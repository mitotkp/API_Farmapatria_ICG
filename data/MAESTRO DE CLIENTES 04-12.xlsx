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cmarffisis\Downloads\"/>
    </mc:Choice>
  </mc:AlternateContent>
  <xr:revisionPtr revIDLastSave="0" documentId="13_ncr:1_{F28D22B0-E292-47F0-A2D2-59854D320311}" xr6:coauthVersionLast="47" xr6:coauthVersionMax="47" xr10:uidLastSave="{00000000-0000-0000-0000-000000000000}"/>
  <bookViews>
    <workbookView xWindow="-120" yWindow="-120" windowWidth="29040" windowHeight="15840" firstSheet="2" activeTab="2" xr2:uid="{00000000-000D-0000-FFFF-FFFF00000000}"/>
  </bookViews>
  <sheets>
    <sheet name="Worksheet" sheetId="1" state="hidden" r:id="rId1"/>
    <sheet name="Mestro clientes" sheetId="2" state="hidden" r:id="rId2"/>
    <sheet name="CLIENTES" sheetId="3" r:id="rId3"/>
  </sheets>
  <definedNames>
    <definedName name="_xlnm._FilterDatabase" localSheetId="0" hidden="1">Worksheet!$A$6:$AE$3116</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25" i="3" l="1"/>
  <c r="E306" i="3"/>
  <c r="E308" i="3"/>
  <c r="E587" i="3"/>
  <c r="A599" i="3" a="1"/>
  <c r="A599" i="3" s="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<sst xmlns="http://schemas.openxmlformats.org/spreadsheetml/2006/main" count="104600" uniqueCount="15991">
  <si>
    <t>DROGUERIA INTERCONTINENTAL, C.A.</t>
  </si>
  <si>
    <t>Listado de Clientes</t>
  </si>
  <si>
    <t>Codigo</t>
  </si>
  <si>
    <t>Nombre</t>
  </si>
  <si>
    <t>Razon Social</t>
  </si>
  <si>
    <t>Ultima Compra</t>
  </si>
  <si>
    <t>Tiempo sin Comprar</t>
  </si>
  <si>
    <t>Rif</t>
  </si>
  <si>
    <t>U.Venta</t>
  </si>
  <si>
    <t>Ciudad</t>
  </si>
  <si>
    <t>Telefonos</t>
  </si>
  <si>
    <t>Limite Bs</t>
  </si>
  <si>
    <t>Limite $</t>
  </si>
  <si>
    <t>Dias credito</t>
  </si>
  <si>
    <t>Dscto Lineal</t>
  </si>
  <si>
    <t>CodZona</t>
  </si>
  <si>
    <t>Zona</t>
  </si>
  <si>
    <t>Codven</t>
  </si>
  <si>
    <t>Vendedor</t>
  </si>
  <si>
    <t>Brick IMS</t>
  </si>
  <si>
    <t>Direccion</t>
  </si>
  <si>
    <t>Registrado</t>
  </si>
  <si>
    <t>COD</t>
  </si>
  <si>
    <t>Express</t>
  </si>
  <si>
    <t>CRuta</t>
  </si>
  <si>
    <t>Ruta</t>
  </si>
  <si>
    <t>Estado</t>
  </si>
  <si>
    <t>Municipio</t>
  </si>
  <si>
    <t>Grupo</t>
  </si>
  <si>
    <t>Status</t>
  </si>
  <si>
    <t>Cred Disp</t>
  </si>
  <si>
    <t>Saldo Deudor</t>
  </si>
  <si>
    <t>Morosidad</t>
  </si>
  <si>
    <t>00001</t>
  </si>
  <si>
    <t>FARMACIA LA REALEZA, C. A</t>
  </si>
  <si>
    <t>02/12/2025</t>
  </si>
  <si>
    <t>1 día</t>
  </si>
  <si>
    <t>J501619336</t>
  </si>
  <si>
    <t>MATURIN EDO MONAGAS</t>
  </si>
  <si>
    <t>0424-9219521</t>
  </si>
  <si>
    <t>6201</t>
  </si>
  <si>
    <t>MATURIN</t>
  </si>
  <si>
    <t>02</t>
  </si>
  <si>
    <t>VENDEDOR 1</t>
  </si>
  <si>
    <t>AV. NRO 03,.DE LOS GUARITOS ,EDIF DIEGO, PISO PB, LOCAL NRO 2, SECTOR GUARITOS III.</t>
  </si>
  <si>
    <t>N</t>
  </si>
  <si>
    <t>0</t>
  </si>
  <si>
    <t>MONAGAS</t>
  </si>
  <si>
    <t>ACOSTA</t>
  </si>
  <si>
    <t>FARMACIAS</t>
  </si>
  <si>
    <t>Activo</t>
  </si>
  <si>
    <t>610573.91</t>
  </si>
  <si>
    <t>Solvente</t>
  </si>
  <si>
    <t>00002</t>
  </si>
  <si>
    <t>MATRIZ (ISMAIRA TAYZ BERMUDEZ DE NATERA "JIKCA BOTICA BERMUDEZ, F.P")</t>
  </si>
  <si>
    <t>01/08/2025</t>
  </si>
  <si>
    <t>4 meses</t>
  </si>
  <si>
    <t>V114833955</t>
  </si>
  <si>
    <t>0424-5208469</t>
  </si>
  <si>
    <t>8581</t>
  </si>
  <si>
    <t>AGUASAY</t>
  </si>
  <si>
    <t>18</t>
  </si>
  <si>
    <t>PATRICIA MIRELES</t>
  </si>
  <si>
    <t>PRINCIPAL DE LAS TERRAZAS DESPUES DE LA REDOMA A AL TERCERA CUADRA MATURIN EDO MONAGAS</t>
  </si>
  <si>
    <t>0.00</t>
  </si>
  <si>
    <t>ANACO EDO ANZOATEGUI</t>
  </si>
  <si>
    <t>0414-8397661</t>
  </si>
  <si>
    <t>8513</t>
  </si>
  <si>
    <t>ANACO</t>
  </si>
  <si>
    <t>32</t>
  </si>
  <si>
    <t>ANZOATEGUI 2</t>
  </si>
  <si>
    <t>AV.  BOLIVAR, EDIF FERDINANDO VENTURELLA 4-46, PISO PB, LOCAL 4 SECTOR LAS PARCELAS. ANACO EDO ANZOATEGUI</t>
  </si>
  <si>
    <t>ANZOATEGUI</t>
  </si>
  <si>
    <t>00004</t>
  </si>
  <si>
    <t>GRUPO FARMAVEN,C.A. (SUCURSAL MARACAY)</t>
  </si>
  <si>
    <t>GRUPO FARMAVEN,C.A.</t>
  </si>
  <si>
    <t>25/08/2025</t>
  </si>
  <si>
    <t>3 meses</t>
  </si>
  <si>
    <t>J502541250</t>
  </si>
  <si>
    <t>BARINAS</t>
  </si>
  <si>
    <t>8566</t>
  </si>
  <si>
    <t>MARACAY</t>
  </si>
  <si>
    <t>20</t>
  </si>
  <si>
    <t>SORANGEL CONTRERAS</t>
  </si>
  <si>
    <t>AV 2 CON CALLE 2, CASA NRO, S/N, SECTOR LA CARAMUCA LA CARAMUCA. BARINAS ESTADO BARINAS</t>
  </si>
  <si>
    <t>ARAGUA</t>
  </si>
  <si>
    <t>GIRARDOT</t>
  </si>
  <si>
    <t>PORLAMAR EDO NUEVA ESPARTA</t>
  </si>
  <si>
    <t>0414-7924301 / 0285-2617635</t>
  </si>
  <si>
    <t>8531</t>
  </si>
  <si>
    <t>PORLAMAR</t>
  </si>
  <si>
    <t>25</t>
  </si>
  <si>
    <t>NUEVA ESPARTA</t>
  </si>
  <si>
    <t>AV 4 DE MAYO CON CALLE FAJARDO, EDIFICIO AIDA, LOCAL 2, DIAGONAL AL HOSPITAL LUIS ORTEGA. PORLAMAR EDO NUEVA ESPARTA</t>
  </si>
  <si>
    <t>ARISMENDI</t>
  </si>
  <si>
    <t>00006</t>
  </si>
  <si>
    <t>FORMULA NATURAL, C.A</t>
  </si>
  <si>
    <t>J400411041</t>
  </si>
  <si>
    <t>04/09/2025</t>
  </si>
  <si>
    <t>CALABOZO EDO GUARICO</t>
  </si>
  <si>
    <t>04149460165</t>
  </si>
  <si>
    <t>8527</t>
  </si>
  <si>
    <t>CALABOZO</t>
  </si>
  <si>
    <t>21</t>
  </si>
  <si>
    <t>GUARICO - APURE</t>
  </si>
  <si>
    <t>CR 11 ENTRE CALLE 11 Y 13, LOCAL S/N, SECTOR CASCO CENTRAL. CALABOZO EDO GUARICO</t>
  </si>
  <si>
    <t>GUARICO</t>
  </si>
  <si>
    <t>INFANTE</t>
  </si>
  <si>
    <t>32255.81</t>
  </si>
  <si>
    <t>00007</t>
  </si>
  <si>
    <t>FARMABELLA, C.A</t>
  </si>
  <si>
    <t>J501332193</t>
  </si>
  <si>
    <t>0412-2286746 /  02952636971</t>
  </si>
  <si>
    <t>CALLE ARISMENDI, ENTRE SAN NICOLAS Y VELASQUEZ, LOCAL NRO 2, SECTOR CENTRO. PORLAMAR EDO NUEVA ESPARTA</t>
  </si>
  <si>
    <t>737.19</t>
  </si>
  <si>
    <t>En Mora</t>
  </si>
  <si>
    <t>CUMANA EDO SUCRE</t>
  </si>
  <si>
    <t>0424-8465693</t>
  </si>
  <si>
    <t>8544</t>
  </si>
  <si>
    <t>CUMANA</t>
  </si>
  <si>
    <t>09</t>
  </si>
  <si>
    <t>SUCRE</t>
  </si>
  <si>
    <t>AV. ARISMENDI, EDIF. MANFREDY, PISO P/B, LOCAL 3, SECTOR 4 ESQUINAS CUMANA SUCRE</t>
  </si>
  <si>
    <t>00009</t>
  </si>
  <si>
    <t>FARMAMASNET,C.A.</t>
  </si>
  <si>
    <t>03/12/2025</t>
  </si>
  <si>
    <t>0 día</t>
  </si>
  <si>
    <t>J400529085</t>
  </si>
  <si>
    <t>0414-9348874 / 0291-6439999</t>
  </si>
  <si>
    <t>AV. JUNCAL CON CALLE PIAR LOCAL N 03 FRENTE A LA PLAZA AYACUCHO MATURIN MONAGAS</t>
  </si>
  <si>
    <t>41186.27</t>
  </si>
  <si>
    <t>0000B</t>
  </si>
  <si>
    <t>YOLARCI PAREDES SANTIAGO</t>
  </si>
  <si>
    <t>09/09/2025</t>
  </si>
  <si>
    <t>2 meses</t>
  </si>
  <si>
    <t>V119568966</t>
  </si>
  <si>
    <t>8769</t>
  </si>
  <si>
    <t>MIRANDA</t>
  </si>
  <si>
    <t>28/08/2025</t>
  </si>
  <si>
    <t>MERIDA</t>
  </si>
  <si>
    <t>ALBERTO ADRIANI</t>
  </si>
  <si>
    <t>EMPLEADOS</t>
  </si>
  <si>
    <t>Inactivo</t>
  </si>
  <si>
    <t>00010</t>
  </si>
  <si>
    <t>FARMACIA EL OFERTON, C.A</t>
  </si>
  <si>
    <t>J317218973</t>
  </si>
  <si>
    <t>0424-9345156</t>
  </si>
  <si>
    <t>CR 8-A, CALLE Nº 17, ANTIGUA PIAR, EDIF LA CHINITA. PISO  P.B., LOCAL Nº 01,  SECTOR CENTRO. MATURIN MONAGAS</t>
  </si>
  <si>
    <t>643829.70</t>
  </si>
  <si>
    <t>00011</t>
  </si>
  <si>
    <t>FARMACIA FARMATONYS, C.A (UPATA)</t>
  </si>
  <si>
    <t>FARMACIA FARMATONYS, C.A</t>
  </si>
  <si>
    <t>J500728204</t>
  </si>
  <si>
    <t>01/12/2025</t>
  </si>
  <si>
    <t>UPATA EDO BOLIVAR</t>
  </si>
  <si>
    <t>0424-938673</t>
  </si>
  <si>
    <t>8516</t>
  </si>
  <si>
    <t>UPATA</t>
  </si>
  <si>
    <t>15</t>
  </si>
  <si>
    <t>GABRIEL LARA</t>
  </si>
  <si>
    <t>CALLE MIRANDA LOCAL NRO. S/N, SECTOR CENTRO UPATA BOLIVAR</t>
  </si>
  <si>
    <t>BOLiVAR</t>
  </si>
  <si>
    <t>CARONI</t>
  </si>
  <si>
    <t>381881.90</t>
  </si>
  <si>
    <t>00012</t>
  </si>
  <si>
    <t>FARMA ROBLE EXPRES, C.A</t>
  </si>
  <si>
    <t>22/11/2025</t>
  </si>
  <si>
    <t>1 semana</t>
  </si>
  <si>
    <t>J500403674</t>
  </si>
  <si>
    <t>13/11/2025</t>
  </si>
  <si>
    <t>GUASIPATI EDO BOLIVAR</t>
  </si>
  <si>
    <t>0426-2959284</t>
  </si>
  <si>
    <t>8521</t>
  </si>
  <si>
    <t>GUASIPATI</t>
  </si>
  <si>
    <t>CALLE JUNIN, LOCAL S/N, SECTOR EL ROBLE , PARROQUIA  CAPITAL ROSCIO GUASIPATI BOLIVAR</t>
  </si>
  <si>
    <t>40050.13</t>
  </si>
  <si>
    <t>00013</t>
  </si>
  <si>
    <t>FARMABERAKA, C.A</t>
  </si>
  <si>
    <t>27/11/2025</t>
  </si>
  <si>
    <t>6 días</t>
  </si>
  <si>
    <t>J500978251</t>
  </si>
  <si>
    <t>TUMEREMO EDO BOLIVAR</t>
  </si>
  <si>
    <t>0416-1907424</t>
  </si>
  <si>
    <t>8517</t>
  </si>
  <si>
    <t>TUMEREMO</t>
  </si>
  <si>
    <t>CALLE ROSCIO, LOCAL NRO S/N, SECTOR LAS PIEDRITAS TUMEREMO BOLIVAR</t>
  </si>
  <si>
    <t>48793.97</t>
  </si>
  <si>
    <t>00014</t>
  </si>
  <si>
    <t>FARMACIA NAZARET MONAGAS, C.A</t>
  </si>
  <si>
    <t>14/11/2025</t>
  </si>
  <si>
    <t>2 semanas</t>
  </si>
  <si>
    <t>J316669980</t>
  </si>
  <si>
    <t>30/10/2025</t>
  </si>
  <si>
    <t>CARIPITO EDO MONAGAS</t>
  </si>
  <si>
    <t>0412-6863028</t>
  </si>
  <si>
    <t>8554</t>
  </si>
  <si>
    <t>CARIPITO</t>
  </si>
  <si>
    <t>CALLE MONAGAS, C/C VARGAS Y AV. 5 DE JULIO, LOCAL NRO. S/N, SECTOR CENTRO</t>
  </si>
  <si>
    <t>00015</t>
  </si>
  <si>
    <t>FARMACIA AMBAR, C.A</t>
  </si>
  <si>
    <t>J299050857</t>
  </si>
  <si>
    <t>SAN FELIX  EDO BOLIVAR</t>
  </si>
  <si>
    <t>0414-0951600</t>
  </si>
  <si>
    <t>8525</t>
  </si>
  <si>
    <t>SAN FELIX</t>
  </si>
  <si>
    <t>17</t>
  </si>
  <si>
    <t>BOLIVAR NORTE</t>
  </si>
  <si>
    <t>CARRERA MARIñO LOCAL NO 13 CENTRO DE SAN FELIX ESTADO BOLIVAR. 
Estado Bolivar. Municipio Caroní. Parroquia Simón Bolívar. San Felix (Ciudad Guayana)</t>
  </si>
  <si>
    <t>00016</t>
  </si>
  <si>
    <t>CRISTY PHARMA CENTER, C.A</t>
  </si>
  <si>
    <t>J411964190</t>
  </si>
  <si>
    <t>0424-9157515</t>
  </si>
  <si>
    <t>8570</t>
  </si>
  <si>
    <t>JUSEPIN</t>
  </si>
  <si>
    <t>CALLE CHIMBORAZO CASA NRO 73 SECTOR CENTRO AV PAZ</t>
  </si>
  <si>
    <t>00017</t>
  </si>
  <si>
    <t>FARMA TOÑA, C.A</t>
  </si>
  <si>
    <t>J500595468</t>
  </si>
  <si>
    <t>0424-6063579</t>
  </si>
  <si>
    <t>CALLE 5-A, ANTIGUA CALLE PIAR, EDIF. EDIFICIO CHIHANE, PISO PB, LOCAL 1, SECTOR CENTRO MATURIN MONAGAS</t>
  </si>
  <si>
    <t>00018</t>
  </si>
  <si>
    <t>ISMAIRA TAYZ BERMUDEZ DE NATERA "JIKCA BOTICA BERMUDEZ, F.P" (SUCURSAL MATURíN)</t>
  </si>
  <si>
    <t>ISMAIRA TAYZ BERMUDEZ DE NATERA "JIKCA BOTICA BERMUDEZ, F.P"</t>
  </si>
  <si>
    <t>17/10/2025</t>
  </si>
  <si>
    <t>1 mes</t>
  </si>
  <si>
    <t>34138.15</t>
  </si>
  <si>
    <t>00019</t>
  </si>
  <si>
    <t>TEJERO VARIEDADES MYA, C.A</t>
  </si>
  <si>
    <t>J501081409</t>
  </si>
  <si>
    <t>EL TEJERO EDO MONAGAS</t>
  </si>
  <si>
    <t>+58 424-9136566</t>
  </si>
  <si>
    <t>8567</t>
  </si>
  <si>
    <t>TEJERO</t>
  </si>
  <si>
    <t>CALLE PARAISO, CASA  S/N, SECTOR EL TEJERO. MONAGAS</t>
  </si>
  <si>
    <t>350871.57</t>
  </si>
  <si>
    <t>00020</t>
  </si>
  <si>
    <t>FARMACIA SANTA ROSA, C.A. (CUMANA)</t>
  </si>
  <si>
    <t>J307516208</t>
  </si>
  <si>
    <t>CUMANA EDO  SUCRE</t>
  </si>
  <si>
    <t>0424-8299194 / 02934331202 /</t>
  </si>
  <si>
    <t>AV SANTA ROSA RES. ZUMAIYA LOCAL Nº 2 CUMANA SUCRE</t>
  </si>
  <si>
    <t>2118.34</t>
  </si>
  <si>
    <t>00021</t>
  </si>
  <si>
    <t>STORE FARMA VENEZUELA, C.A</t>
  </si>
  <si>
    <t>J500802315</t>
  </si>
  <si>
    <t>MATURIN - MONAGAS</t>
  </si>
  <si>
    <t>0414-9925214</t>
  </si>
  <si>
    <t>CALLE PRINCIPAL LOCAL NRO 1 URB BELLO CAMPO</t>
  </si>
  <si>
    <t>EL VALLE EDO NUEVA ESPARTA</t>
  </si>
  <si>
    <t>8607</t>
  </si>
  <si>
    <t>EL VALLE</t>
  </si>
  <si>
    <t>CALLE GUILLOTINA LOCAL NRO S/N SECTOR CONEJEROS EL VALLE DEL ESPIRITU SANTO NUEVA ESPARTA</t>
  </si>
  <si>
    <t>CARACAS DISTRITO CAPITAL</t>
  </si>
  <si>
    <t>0412-2789380</t>
  </si>
  <si>
    <t>8515</t>
  </si>
  <si>
    <t>CARACAS</t>
  </si>
  <si>
    <t>23</t>
  </si>
  <si>
    <t>AV. PASEO LOS PROCERES, C.C. LOS PROCERES (IPSFA), PB. LOCAL PE005, SECTOR LOS PROCERES, CARACAS, DTTO. CAPITAL.</t>
  </si>
  <si>
    <t>DISTRITO CAPITAL</t>
  </si>
  <si>
    <t>LIBERTADOR</t>
  </si>
  <si>
    <t>00024</t>
  </si>
  <si>
    <t>FARMACIA POPULAR ZARAZA, C.A</t>
  </si>
  <si>
    <t>03/10/2025</t>
  </si>
  <si>
    <t>J313091146</t>
  </si>
  <si>
    <t>02/10/2025</t>
  </si>
  <si>
    <t>ZARAZA EDO GUARICO</t>
  </si>
  <si>
    <t>0412-4590007</t>
  </si>
  <si>
    <t>8559</t>
  </si>
  <si>
    <t>ZARAZA</t>
  </si>
  <si>
    <t>AV ANDRES ELOY BLANCO LOCAL NRO S/N SECTOR EL TERMINAL</t>
  </si>
  <si>
    <t>00025</t>
  </si>
  <si>
    <t>FARMACIA MIRANDA 2, C.A.</t>
  </si>
  <si>
    <t>2 días</t>
  </si>
  <si>
    <t>J400210313</t>
  </si>
  <si>
    <t>SAN FERNANDO DE APURE EDO AP</t>
  </si>
  <si>
    <t>0414-4758111</t>
  </si>
  <si>
    <t>8583</t>
  </si>
  <si>
    <t>SAN FERNANDO DE APURE</t>
  </si>
  <si>
    <t>AV MIRANDA EDIF ITALIA PISO PB LOCAL 1-A ZONA CENTRO</t>
  </si>
  <si>
    <t>APURE</t>
  </si>
  <si>
    <t>ACHAGUAS</t>
  </si>
  <si>
    <t>232882.77</t>
  </si>
  <si>
    <t>00026</t>
  </si>
  <si>
    <t>FARMACIA FARMA INSALGA, C.A.</t>
  </si>
  <si>
    <t>J500891563</t>
  </si>
  <si>
    <t>0412-8798137</t>
  </si>
  <si>
    <t>CTRA 7 LOCAL NRO 110 SECTOR LAS COCUIZAS.</t>
  </si>
  <si>
    <t>00027</t>
  </si>
  <si>
    <t>GUSTAVO ADOLFO BERMUDEZ (FURRIAL)</t>
  </si>
  <si>
    <t>V184638629</t>
  </si>
  <si>
    <t>EL FURRIAL EDO MONAGAS</t>
  </si>
  <si>
    <t>0414-8744077</t>
  </si>
  <si>
    <t>8580</t>
  </si>
  <si>
    <t>EL FURRIAL</t>
  </si>
  <si>
    <t>CALLE LAS ACACIAS, CSAS NRO S/N, SECTOR CENTRO</t>
  </si>
  <si>
    <t>00028</t>
  </si>
  <si>
    <t>FARMACIA SANA SANA CB, BOYACA II, C.A</t>
  </si>
  <si>
    <t>26/11/2025</t>
  </si>
  <si>
    <t>J409995348</t>
  </si>
  <si>
    <t>25/11/2025</t>
  </si>
  <si>
    <t>BARCELONA EDO ANZOATEGUI</t>
  </si>
  <si>
    <t>0414-1993255</t>
  </si>
  <si>
    <t>8533</t>
  </si>
  <si>
    <t>BARCELONA</t>
  </si>
  <si>
    <t>14</t>
  </si>
  <si>
    <t>CALLE 01 LOCAL NRO 01 URB BOYACA 2 SECTOR 03 BARCELONA ANZOATEGUI</t>
  </si>
  <si>
    <t>145155.02</t>
  </si>
  <si>
    <t>00029</t>
  </si>
  <si>
    <t>STORE FARMA CENTER, C.A</t>
  </si>
  <si>
    <t>J501429731</t>
  </si>
  <si>
    <t>0424-9557056</t>
  </si>
  <si>
    <t>AV. PRINCIPAL , LOCAL NRO L-3, SECTOR LOS GUARITOS.</t>
  </si>
  <si>
    <t>BARRANCAS EDO MONAGAS</t>
  </si>
  <si>
    <t>0412-6898773-0424-8601383</t>
  </si>
  <si>
    <t>8550</t>
  </si>
  <si>
    <t>BARRANCAS</t>
  </si>
  <si>
    <t>11</t>
  </si>
  <si>
    <t>DELTA AMACURO</t>
  </si>
  <si>
    <t>AV BOLIVAR CON CALLE NUEVA CENTRO CC MINI BOULEVARD NIVEL P/B LOCAL S/N SECTOR CENTRO</t>
  </si>
  <si>
    <t>00031</t>
  </si>
  <si>
    <t>FARMACIA CARMENCITA CENTRO, C,A</t>
  </si>
  <si>
    <t>20/10/2025</t>
  </si>
  <si>
    <t>J501463212</t>
  </si>
  <si>
    <t>13/08/2025</t>
  </si>
  <si>
    <t>CARUPANO EDO SUCRE</t>
  </si>
  <si>
    <t>0412-148-4913/4147607247</t>
  </si>
  <si>
    <t>8545</t>
  </si>
  <si>
    <t>CARUPANO</t>
  </si>
  <si>
    <t>CALLE CARABOBO, EDIF. MARY, PISO PB. LOCAL N° 02, ZONA CENTRO CARUPANO SUCRE</t>
  </si>
  <si>
    <t>00032</t>
  </si>
  <si>
    <t>FARMACIA CARMENCITA, C.A</t>
  </si>
  <si>
    <t>16/10/2025</t>
  </si>
  <si>
    <t>J411853160</t>
  </si>
  <si>
    <t>24/09/2025</t>
  </si>
  <si>
    <t>04147607247</t>
  </si>
  <si>
    <t>AV UNIVERSITARIA EDIF SANTA PAULA PISO 1-B LOCAL 1-B, URB BELLO MONTE CARUPANO SUCRE</t>
  </si>
  <si>
    <t>00033</t>
  </si>
  <si>
    <t>(MATRIZ) FARMACIA SU SALUD, C.A</t>
  </si>
  <si>
    <t>J305477841</t>
  </si>
  <si>
    <t>MIRAFLORES</t>
  </si>
  <si>
    <t>8687</t>
  </si>
  <si>
    <t>FARMACIA SU SALUD,C.A. - MIRAFLORES [J305477841] Inactivo
CALLE CHARBONETH - CAMPO MIRAFLORES - ESTADO MONAGAS. 
Estado Monagas. Municipio Punceres. Parroquia</t>
  </si>
  <si>
    <t>00034</t>
  </si>
  <si>
    <t>FARMACIAS DEL AHORRO DR. AHORRO, C.A.</t>
  </si>
  <si>
    <t>24/11/2025</t>
  </si>
  <si>
    <t>J295534701</t>
  </si>
  <si>
    <t>TUCUPITA DELTA AMACURO</t>
  </si>
  <si>
    <t>0414-8833483</t>
  </si>
  <si>
    <t>8551</t>
  </si>
  <si>
    <t>TUCUPITA</t>
  </si>
  <si>
    <t>CALLE PATIVILCA, C/C MIRANDA CASA S/N, SECTOR CENTRO SAN JOSE</t>
  </si>
  <si>
    <t>38823.26</t>
  </si>
  <si>
    <t>00035</t>
  </si>
  <si>
    <t>FARMACIA AYUB, C.A.</t>
  </si>
  <si>
    <t>J500346760</t>
  </si>
  <si>
    <t>04248646488</t>
  </si>
  <si>
    <t>CALLE CARABOBO, CC KAMILO CENTER, NIVEL B, LOCAL K-09, SECTOR ENTRE CALLE MARIÑO Y AVENIDA BERMUDEZ CUMANA SUCRE</t>
  </si>
  <si>
    <t>2209974.68</t>
  </si>
  <si>
    <t>PUNTA DE MATA EDO MONAGAS</t>
  </si>
  <si>
    <t>0424-9509316</t>
  </si>
  <si>
    <t>8568</t>
  </si>
  <si>
    <t>PUNTA DE MATA</t>
  </si>
  <si>
    <t>CALLE 18 DE OCTUBRE CON VALMORE RODRIGUEZ Y EZEQUIEL  ZAMORA, CASA NRO 160, SECTOR  CENTRO.</t>
  </si>
  <si>
    <t>00037</t>
  </si>
  <si>
    <t>BOTIQUERIA FARMAVIDA, C.A</t>
  </si>
  <si>
    <t>J500540698</t>
  </si>
  <si>
    <t>TUCUPITA EDO DELTA AMACURO</t>
  </si>
  <si>
    <t>04120942569</t>
  </si>
  <si>
    <t>CALLE MARIÑO C/C PATIVILCA LOCAL S/N SECTOR CENTRO TUCUPITA ESTADO DELTA AMACURO</t>
  </si>
  <si>
    <t>1888871.28</t>
  </si>
  <si>
    <t>+58 412-6320167</t>
  </si>
  <si>
    <t>AV SANTOR ERMINY ARISMENDI EDIF BEATRIZ PISO PB LOCAL 1 URB LAS DELICIAS CARACAS DISTRITO CAPITAL</t>
  </si>
  <si>
    <t>00039</t>
  </si>
  <si>
    <t>FARMACIA DELTA ORINOKIA, C.A</t>
  </si>
  <si>
    <t>J402363800</t>
  </si>
  <si>
    <t>0414-9867997</t>
  </si>
  <si>
    <t>CALLE PATIVIL, LOCAL NRO 47, SECTOR CENTRO.</t>
  </si>
  <si>
    <t>0424-9216867</t>
  </si>
  <si>
    <t>CALLE EL PARAISO, LOCAL NRO 3, SECTOR CENTRO</t>
  </si>
  <si>
    <t>00041</t>
  </si>
  <si>
    <t>FARMASSYL 2, C.A.</t>
  </si>
  <si>
    <t>J500814186</t>
  </si>
  <si>
    <t>0412-1030989</t>
  </si>
  <si>
    <t>AV. BOLIVAR, EDIF MOLINO, PISO 01, LOCAL S/N, SECTOR CENTRO.</t>
  </si>
  <si>
    <t>00042</t>
  </si>
  <si>
    <t>FARMASSYL C.A</t>
  </si>
  <si>
    <t>J500399065</t>
  </si>
  <si>
    <t>AV. BICENTENARIO, CASA NRO 209, SECTOR CENTRO.</t>
  </si>
  <si>
    <t>00043</t>
  </si>
  <si>
    <t>FARMACIA FARMAWELL, C.A.</t>
  </si>
  <si>
    <t>J500630859</t>
  </si>
  <si>
    <t>CAICARA EDO MONAGAS</t>
  </si>
  <si>
    <t>0414-8969074</t>
  </si>
  <si>
    <t>8602</t>
  </si>
  <si>
    <t>CAICARA</t>
  </si>
  <si>
    <t>AV. BERMUDEZ, LOCAL S/N, SECTOR CENTRO.</t>
  </si>
  <si>
    <t>207332.87</t>
  </si>
  <si>
    <t>0412-0943769</t>
  </si>
  <si>
    <t>AV. JOSE ANTONIO PAEZ, CRUCE CON CARRERA 6, LOCAL NRO S/N, SECTOR ANTONIO JOSE DE SUCRE.</t>
  </si>
  <si>
    <t>00045</t>
  </si>
  <si>
    <t>MATRIZ INVERSORA ASSI, C.A</t>
  </si>
  <si>
    <t>J501208875</t>
  </si>
  <si>
    <t>PUERTO ORDAZ EDO BOLIVAR</t>
  </si>
  <si>
    <t>8524</t>
  </si>
  <si>
    <t>PUERTO ORDAZ</t>
  </si>
  <si>
    <t>AV GUAYANA CON CALLE CARUACHI, CENTRO COMERCIAL 303, NIVEL PB LOCAL 12, SECTOR ALTA VISTA CIUDAD GUAYANA, ESTADO BOLIVAR. 
Estado Bolivar. Municipio Caroní. Pa</t>
  </si>
  <si>
    <t>00046</t>
  </si>
  <si>
    <t>FARMACIA SAN JOSE, C.A</t>
  </si>
  <si>
    <t>J501635749</t>
  </si>
  <si>
    <t>0424-8524397</t>
  </si>
  <si>
    <t>AV. CARABOBO, EDIF 1700, PISO PB, LOCAL 02, ZONA CENTRO CAUPANO SUCRE</t>
  </si>
  <si>
    <t>413263.47</t>
  </si>
  <si>
    <t>00047</t>
  </si>
  <si>
    <t>FARMACIA HIGH MEDS, C.A</t>
  </si>
  <si>
    <t>J500857586</t>
  </si>
  <si>
    <t>ARAGUA DE MATURIN  EDO MONAG</t>
  </si>
  <si>
    <t>0412-8619698</t>
  </si>
  <si>
    <t>8529</t>
  </si>
  <si>
    <t>ARAGUA DE MATURIN</t>
  </si>
  <si>
    <t>CALLE SUCRE, CASA NRO S/N, SECTOR CENTRO</t>
  </si>
  <si>
    <t>903764.04</t>
  </si>
  <si>
    <t>0412-0810151 / 02943322344</t>
  </si>
  <si>
    <t>CALLE LAS MARGARITAS, LOCAL NRO S/N, ZONA BANCO DE VENEZUELA CENTRO CARUPANO SUCRE</t>
  </si>
  <si>
    <t>00049</t>
  </si>
  <si>
    <t>FARMACIA KVU, CA</t>
  </si>
  <si>
    <t>J403502005</t>
  </si>
  <si>
    <t>0424-8099314</t>
  </si>
  <si>
    <t>CALLE INDEPENDENCIA, EDIF LA CULATA, NRO 133, PISO PB, LOCAL A, SECTOR CARUPANO SUCRE</t>
  </si>
  <si>
    <t>29056.64</t>
  </si>
  <si>
    <t>0424-9388401</t>
  </si>
  <si>
    <t>AV. ALIRIO UGARTE PELAYO, CC LA ESTACION, NIVEL PB, LOCAL 8, SECTOR BAJO GUARAPICHE.</t>
  </si>
  <si>
    <t>00051</t>
  </si>
  <si>
    <t>FARMACIA CUALIS, C.A</t>
  </si>
  <si>
    <t>J412349694</t>
  </si>
  <si>
    <t>URACOA EDO MONAGAS</t>
  </si>
  <si>
    <t>0412-6277547</t>
  </si>
  <si>
    <t>8552</t>
  </si>
  <si>
    <t>URACOA</t>
  </si>
  <si>
    <t>CALLE ARISMENDI CASA S/N SECTOR CENTRO</t>
  </si>
  <si>
    <t>122062.79</t>
  </si>
  <si>
    <t>00052</t>
  </si>
  <si>
    <t>FARMACIA TU BENDICION, C.A</t>
  </si>
  <si>
    <t>J412810642</t>
  </si>
  <si>
    <t>EL TIGRE EDO ANZOATEGUI</t>
  </si>
  <si>
    <t>0424-8083219</t>
  </si>
  <si>
    <t>8534</t>
  </si>
  <si>
    <t>EL TIGRE</t>
  </si>
  <si>
    <t>AV. WISTON CHURCHILL, LOCAL NRO 02, SECTOR SUR, URB FRANCISCO DE MIRANDA EL TIGRE ANZOATEGUI</t>
  </si>
  <si>
    <t>160706.60</t>
  </si>
  <si>
    <t>00053</t>
  </si>
  <si>
    <t>FARMACIA PLAZA, C.A.</t>
  </si>
  <si>
    <t>J309284770</t>
  </si>
  <si>
    <t>0412-7726563 /  02877213437</t>
  </si>
  <si>
    <t>CALLE PETION, CASA 4, SECTOR CENTRO-TUCUPITA</t>
  </si>
  <si>
    <t>138394.81</t>
  </si>
  <si>
    <t>0416-7916791</t>
  </si>
  <si>
    <t>CALLE LAS PALMAS CON MANZANA2, LOCAL S/N, URB. MONTE CALVARIO, MONSEÑOR ARGIMIRO GARCIA.</t>
  </si>
  <si>
    <t>00055</t>
  </si>
  <si>
    <t>FARMALUSO, C.A.</t>
  </si>
  <si>
    <t>J501297606</t>
  </si>
  <si>
    <t>0412-9876617</t>
  </si>
  <si>
    <t>CTRA. NACIONAL MATURIN-PUNTA DE MATA, LOCAL NRO S/N, SECTOR NO APLICA.</t>
  </si>
  <si>
    <t>00056</t>
  </si>
  <si>
    <t>LALY FARMA, C.A</t>
  </si>
  <si>
    <t>J500878753</t>
  </si>
  <si>
    <t>0412-1862131</t>
  </si>
  <si>
    <t>CALLE INDEPENDENCIA, CASA NRO 154, ZONA CENTRO CARUPANO SUCRE</t>
  </si>
  <si>
    <t>226111.67</t>
  </si>
  <si>
    <t>0414-7770556</t>
  </si>
  <si>
    <t>AV. BERMUDEZ, CASA NRO 155, SECTOR CENTRO CUMANA SUCRE</t>
  </si>
  <si>
    <t>00058</t>
  </si>
  <si>
    <t>FARMA HEART C.A</t>
  </si>
  <si>
    <t>J412203959</t>
  </si>
  <si>
    <t>04148691973</t>
  </si>
  <si>
    <t>CR 10 CON CALLE 9 EDIF KARELVYS OFIC 01 PISO PB LOCAL 02 SECTOR CENTRO MATURIN MONAGAS</t>
  </si>
  <si>
    <t>00059</t>
  </si>
  <si>
    <t>FARMACIA FARMALISTO, C.A</t>
  </si>
  <si>
    <t>J501908923</t>
  </si>
  <si>
    <t>19/11/2025</t>
  </si>
  <si>
    <t>0414-3947771</t>
  </si>
  <si>
    <t>AV. BOLIVAR, ENTRE LA CALLE 20 Y CARRERA 8, LOCAL IANNA, NRO 1 , SECTOR CENTRO.</t>
  </si>
  <si>
    <t>47627.17</t>
  </si>
  <si>
    <t>00060</t>
  </si>
  <si>
    <t>FARMACIA DR. AHORRO 2, C.A.</t>
  </si>
  <si>
    <t>J500919042</t>
  </si>
  <si>
    <t>21/10/2025</t>
  </si>
  <si>
    <t>0426-1923806</t>
  </si>
  <si>
    <t>FISCAL CALLE BOLIVAR LOCAL S/N URB MONSEÑOR ARGIMIRO, GARCIA URB. DELFIN MENDOZA.</t>
  </si>
  <si>
    <t>7938.81</t>
  </si>
  <si>
    <t>00061</t>
  </si>
  <si>
    <t>INVERSORA ASSI, C.A (SUCURSAL)</t>
  </si>
  <si>
    <t>INVERSORA ASSI, C.A</t>
  </si>
  <si>
    <t>04148968772</t>
  </si>
  <si>
    <t>AV GUAYANA CON CALLE CARUACHI CC 303 NIVEL PB LOCAL
12 SECTOR ALTA VISTA CIUDAD GUAYANA BOLIVAR ZONA POSTAL 8050</t>
  </si>
  <si>
    <t>2168482.04</t>
  </si>
  <si>
    <t>5201</t>
  </si>
  <si>
    <t>00063</t>
  </si>
  <si>
    <t>FARMACIA VICROS C.A.</t>
  </si>
  <si>
    <t>17/11/2025</t>
  </si>
  <si>
    <t>J500415974</t>
  </si>
  <si>
    <t>0426-3216459 / 0416-1872991</t>
  </si>
  <si>
    <t>CTRA PRINCIPAL, LOCAL S/N, LOCAL SECTOR 2, SAN RAFAEL.</t>
  </si>
  <si>
    <t>105968.87</t>
  </si>
  <si>
    <t>00064</t>
  </si>
  <si>
    <t>MATRIZ FARMACIA MERUEM 08, C.A</t>
  </si>
  <si>
    <t>J500571585</t>
  </si>
  <si>
    <t>00065</t>
  </si>
  <si>
    <t>FARMAHUMANA ,C.A</t>
  </si>
  <si>
    <t>J409957527</t>
  </si>
  <si>
    <t>0414-8914075</t>
  </si>
  <si>
    <t>CALLE 07 LOCAL MANZANA 4 , PARCELA NRO 01-02 ,URB LOS SAMANES UD 266, PARROQUIA UNIVERSIDAD.</t>
  </si>
  <si>
    <t>482902.59</t>
  </si>
  <si>
    <t>00066</t>
  </si>
  <si>
    <t>FARMACIA ORINOCO AZUL CA</t>
  </si>
  <si>
    <t>J402719736</t>
  </si>
  <si>
    <t>0424-8834520 / 0412-4719806</t>
  </si>
  <si>
    <t>CALLE JACIENTO LARA, CASA S/N, URBANIZACION TUCUPITA.</t>
  </si>
  <si>
    <t>00067</t>
  </si>
  <si>
    <t>FARMACIA DOÑA JOSEFA, C.A.</t>
  </si>
  <si>
    <t>08/08/2025</t>
  </si>
  <si>
    <t>J304872755</t>
  </si>
  <si>
    <t>EL TIRANO EDO NUEVA ESPARTA</t>
  </si>
  <si>
    <t>0295-2490331 / 0416-6981377</t>
  </si>
  <si>
    <t>8609</t>
  </si>
  <si>
    <t>EL TIRANO</t>
  </si>
  <si>
    <t>AV. 31 DE JULIO, C.C.TURISTICO PLAYA EL AGUA, NIVEL P.B. LOCAL 06, SECTOR PLAYA EL AGUA., PLAZA PARAGUACHI.</t>
  </si>
  <si>
    <t>00068</t>
  </si>
  <si>
    <t>FARMACIA BONANOVA, C.A</t>
  </si>
  <si>
    <t>J403251282</t>
  </si>
  <si>
    <t>0412-9413820</t>
  </si>
  <si>
    <t>AV. BICENTENARIO, EDIF NEPTUNO, PISO PB, LOCAL 1, SECTOR CENTRO.</t>
  </si>
  <si>
    <t>00069</t>
  </si>
  <si>
    <t>FARMACIA CAICARA,C.A</t>
  </si>
  <si>
    <t>J500483945</t>
  </si>
  <si>
    <t>+58 424-5546000</t>
  </si>
  <si>
    <t>CALLE ZAMORA CASA NRO 11 SECTOR BOCA DE MONTE CAICARA MONAGAS</t>
  </si>
  <si>
    <t>511508.30</t>
  </si>
  <si>
    <t>00070</t>
  </si>
  <si>
    <t>(MATRIZ) FARMACIA 1A, C.A</t>
  </si>
  <si>
    <t>J411461156</t>
  </si>
  <si>
    <t>0416-7999324 / +55 928482743</t>
  </si>
  <si>
    <t>8652</t>
  </si>
  <si>
    <t>SAN JUAN BAUTISTA (NVA. ESPARTA)</t>
  </si>
  <si>
    <t>CTRA AEROPUERTO SANTIAGO MARIÑO. EDIF AEROPUERTO INTERNACIONAL GENERAL EN JEFE SANTIAGO MARIÑO. PISO 1. LOCAL S/N. ZONA EL YAQUE. SAN JUAN BAUTISTA. ESTADO NUE</t>
  </si>
  <si>
    <t>00072</t>
  </si>
  <si>
    <t>NAYIR DEL VALLE RONDON SUAREZ</t>
  </si>
  <si>
    <t>V141107310</t>
  </si>
  <si>
    <t>0424-9604545</t>
  </si>
  <si>
    <t>8591</t>
  </si>
  <si>
    <t>SAN VICENTE</t>
  </si>
  <si>
    <t>CALLE JUANA RAMIREZ, LOCAL NRO 23 SECTOR SAN VICENTE.</t>
  </si>
  <si>
    <t>00073</t>
  </si>
  <si>
    <t>FARMADITO, C.A.</t>
  </si>
  <si>
    <t>20/11/2025</t>
  </si>
  <si>
    <t>J500868413</t>
  </si>
  <si>
    <t>05/11/2025</t>
  </si>
  <si>
    <t>0412-8474104</t>
  </si>
  <si>
    <t>13</t>
  </si>
  <si>
    <t>YOLET LARA</t>
  </si>
  <si>
    <t>CALLE COROMOTO CRUCE CON TERCERA TRANSVERSAL LOCAL RESIDENCIAL COROMOTO NRO. A NRO A URB CALICANTO MARACAY ARAGUA</t>
  </si>
  <si>
    <t>82038.71</t>
  </si>
  <si>
    <t>00074</t>
  </si>
  <si>
    <t>FARMACIA HOSPI-SALUD, C.A</t>
  </si>
  <si>
    <t>J308827320</t>
  </si>
  <si>
    <t>0424-9617799</t>
  </si>
  <si>
    <t>AV. BICENTENARIO, EDIF. TORRE FEMA, PISO PB, LOCAL 01, SECTOR ALBERTO RAVELL.</t>
  </si>
  <si>
    <t>SECTOR LA CRUZ</t>
  </si>
  <si>
    <t>00076</t>
  </si>
  <si>
    <t>INSUMOS MEDICOS LA ISLA, C.A</t>
  </si>
  <si>
    <t>28/11/2025</t>
  </si>
  <si>
    <t>5 días</t>
  </si>
  <si>
    <t>J412448080</t>
  </si>
  <si>
    <t>0414-7804357</t>
  </si>
  <si>
    <t>CALLE GREGORIO BOADAS, CASA S/N, SECTOR LA PLAZA SAN JUAN BAUTISTA.</t>
  </si>
  <si>
    <t>00077</t>
  </si>
  <si>
    <t>FARMACIA EL PUENTE, C.A</t>
  </si>
  <si>
    <t>J305476691</t>
  </si>
  <si>
    <t>29/09/2025</t>
  </si>
  <si>
    <t>0426-0608881</t>
  </si>
  <si>
    <t>CALLE NUEVA ESPARTA, CASA S/N, PARROQUIA CARIPITO</t>
  </si>
  <si>
    <t>1104.89</t>
  </si>
  <si>
    <t>00078</t>
  </si>
  <si>
    <t>BOTIQUERIA LA RAMONA, C.A.</t>
  </si>
  <si>
    <t>J501061653</t>
  </si>
  <si>
    <t>EL CALLAO</t>
  </si>
  <si>
    <t>8520</t>
  </si>
  <si>
    <t>CALLE PRINCIPAL LOCAL NRO S/N SECTOR LA RAMONA EL CALLAO BOLIVAR</t>
  </si>
  <si>
    <t>00079</t>
  </si>
  <si>
    <t>FARMACIA RAFI, C.A</t>
  </si>
  <si>
    <t>J500660588</t>
  </si>
  <si>
    <t>PUNTA DE PIEDRA EDO NUEVA ES</t>
  </si>
  <si>
    <t>0424-8578457</t>
  </si>
  <si>
    <t>8668</t>
  </si>
  <si>
    <t>PUNTA DE PIEDRA</t>
  </si>
  <si>
    <t>AV. JUAN BAUTISTA ARISMENDI, LOCAL NRO S/N, URB NUEVA CADIZ PUNTA DE PIEDRA</t>
  </si>
  <si>
    <t>0424-8199537</t>
  </si>
  <si>
    <t>6301</t>
  </si>
  <si>
    <t>BOCA DE POZO</t>
  </si>
  <si>
    <t>CALLE EL ROSARIO, CASA NRO S/N, SECTOR EL GUAMACHE</t>
  </si>
  <si>
    <t>0424-9326293 -</t>
  </si>
  <si>
    <t>CR UPATA. CC TOPACIO. NIVEL PB. LOCAL 03. SECTOR PUERTO ORDAZ. CIUDAD GUAYANA. ESTADO BOLIVAR</t>
  </si>
  <si>
    <t>00082</t>
  </si>
  <si>
    <t>FARMALITO, C.A</t>
  </si>
  <si>
    <t>J501569746</t>
  </si>
  <si>
    <t>0412-4990998</t>
  </si>
  <si>
    <t>AV 01, PARCELA 60-01, LOCAL NRO S/N, URB LOS GUARITOS VI.</t>
  </si>
  <si>
    <t>0412-3522082</t>
  </si>
  <si>
    <t>CALLE NACIONAL DE SAN JUAN BAUTISCA, LOCAL NRO S/N, SECTOR CERROMAR, EL ESPINAL</t>
  </si>
  <si>
    <t>00084</t>
  </si>
  <si>
    <t>FARMACIA ABUNDAS, C.A</t>
  </si>
  <si>
    <t>J410841354</t>
  </si>
  <si>
    <t>JUAN GRIEGO EDO NUEVA ESPART</t>
  </si>
  <si>
    <t>0414-9432375</t>
  </si>
  <si>
    <t>8532</t>
  </si>
  <si>
    <t>JUAN GRIEGO</t>
  </si>
  <si>
    <t>AV. JESUS RAFAEL LEANDRO, CC LA BODEGA, NIVEL PB,  LOCAL 09,10, 11, SECTOR CENTRO DE JUAN GRIEGO</t>
  </si>
  <si>
    <t>216034.23</t>
  </si>
  <si>
    <t>00085</t>
  </si>
  <si>
    <t>FARMACIA DORALU, C.A</t>
  </si>
  <si>
    <t>26/08/2025</t>
  </si>
  <si>
    <t>J296070695</t>
  </si>
  <si>
    <t>22/08/2025</t>
  </si>
  <si>
    <t>LA ASUNCION</t>
  </si>
  <si>
    <t>0416-8967395</t>
  </si>
  <si>
    <t>8615</t>
  </si>
  <si>
    <t>CALLE MATASIETE, CASA NRO 7-110, SECTOR LA PORTADA,. LA ASUNCION ESTADO NUEVA ESPARTA</t>
  </si>
  <si>
    <t>0424-8134508</t>
  </si>
  <si>
    <t>CALLE MIRANDA, LOCAL NRO 42-A, SECTOR CASCO VIEJO .</t>
  </si>
  <si>
    <t>00087</t>
  </si>
  <si>
    <t>FARMACIA MULTIAHORRO, C.A</t>
  </si>
  <si>
    <t>J316246680</t>
  </si>
  <si>
    <t>0424-8343723</t>
  </si>
  <si>
    <t>CALLE SUCRE LOCAL 20 SECTOR CASCO VIEJO EL TIGRE ANZOATEGUI</t>
  </si>
  <si>
    <t>2151118.86</t>
  </si>
  <si>
    <t>00088</t>
  </si>
  <si>
    <t>FARMAGENERIX, C. A. (GLOBAL 2)</t>
  </si>
  <si>
    <t>FARMAGENERIX, C. A.</t>
  </si>
  <si>
    <t>J405959240</t>
  </si>
  <si>
    <t>VILLA ROSA EDO NUEVA ESPARTA</t>
  </si>
  <si>
    <t>+58 414-7922243</t>
  </si>
  <si>
    <t>8608</t>
  </si>
  <si>
    <t>VILLA ROSA</t>
  </si>
  <si>
    <t>AV. PRINCIPAL DE SAN ANTONIO CON CALLE UNION,  LOCAL  NRO 2, SECTOR  SAN ANTONIO, AL LADO DEL SURTIMARKET.</t>
  </si>
  <si>
    <t>325155.02</t>
  </si>
  <si>
    <t>0414-7922243</t>
  </si>
  <si>
    <t>AV 31 DE JULIO CC, PARAGUACHI NIVEL 1, LOCAL 1, SECTOR EL TIRANO, PLAZA PARAGUACHI .</t>
  </si>
  <si>
    <t>00090</t>
  </si>
  <si>
    <t>FARMACIA MAZIAD C.A.</t>
  </si>
  <si>
    <t>J299117218</t>
  </si>
  <si>
    <t>12/11/2025</t>
  </si>
  <si>
    <t>EL TIGRITO EDO ANZOATEGUI</t>
  </si>
  <si>
    <t>0424-9189538</t>
  </si>
  <si>
    <t>8535</t>
  </si>
  <si>
    <t>EL TIGRITO</t>
  </si>
  <si>
    <t>AV. FERNANDEZ PADILLA  CRUCE CON CALLE YARACUY LOCAL NRO 232 SECTOR SAN JOSE DE GUANIPA SAN JOSE DE GUANIPA (EL TIGRITO) ANZOATEGUI</t>
  </si>
  <si>
    <t>170279.84</t>
  </si>
  <si>
    <t>00091</t>
  </si>
  <si>
    <t>(MATRIZ) FARMA 24/7 PLUS, C.A.</t>
  </si>
  <si>
    <t>J502289470</t>
  </si>
  <si>
    <t>00092</t>
  </si>
  <si>
    <t>FARMACIA LA VIGIA S&amp;S,C.A</t>
  </si>
  <si>
    <t>J501050171</t>
  </si>
  <si>
    <t>VALLE LA PASCUA EDO GUARICO</t>
  </si>
  <si>
    <t>0424-3002347 / 04123399721 /</t>
  </si>
  <si>
    <t>8526</t>
  </si>
  <si>
    <t>VALLE DE LA PASCUA</t>
  </si>
  <si>
    <t>CALLE EL VIGIA, LOCAL NRO S/N, SECTOR LA VIGIA VALLE DE LA PASCUA GUARICO</t>
  </si>
  <si>
    <t>401279.38</t>
  </si>
  <si>
    <t>0412-1980708</t>
  </si>
  <si>
    <t>04</t>
  </si>
  <si>
    <t>JONATHAN</t>
  </si>
  <si>
    <t>CALLE RETUMBO, CRUCE CPN REAL, EDIF JHOMA, PISO PB, LOCAL 3, SECTOR CENTRO</t>
  </si>
  <si>
    <t>00094</t>
  </si>
  <si>
    <t>FARMACIA DOÑA RENEE, C.A.</t>
  </si>
  <si>
    <t>J500434103</t>
  </si>
  <si>
    <t>0412-9876452</t>
  </si>
  <si>
    <t>CALLE TUCUPITA, LOCAL NRO 14, SECTOR CENTRO.</t>
  </si>
  <si>
    <t>70659.16</t>
  </si>
  <si>
    <t>00095</t>
  </si>
  <si>
    <t>FARMACIA SANTA ANA, C.A.</t>
  </si>
  <si>
    <t>J095007332</t>
  </si>
  <si>
    <t>0412-2177508</t>
  </si>
  <si>
    <t>CALLE DALLA COSTA, CASA 25 SECTOR CENTRO.</t>
  </si>
  <si>
    <t>50333.54</t>
  </si>
  <si>
    <t>0412-2731703</t>
  </si>
  <si>
    <t>AV. PASEO LIBERTADOR, EDIF EDSON PISO P/B,  LOCAL 76, SECTOR CENTRO.</t>
  </si>
  <si>
    <t>SAN ANTONIO DEL GOLFO</t>
  </si>
  <si>
    <t>0412-9481637 / 02938293033 /</t>
  </si>
  <si>
    <t>8546</t>
  </si>
  <si>
    <t>CTRA NACIONAL CUMANA, CARUPANO,  AV. LA MARINA, CASA S/N, CASERIO SAN ANTONIO.</t>
  </si>
  <si>
    <t>00098</t>
  </si>
  <si>
    <t>FARMACIA BELFRA , C.A</t>
  </si>
  <si>
    <t>J310492611</t>
  </si>
  <si>
    <t>0414-3942478</t>
  </si>
  <si>
    <t>AV BELLA  VISTA, CC CAMPO CLARO, NIVEL PB, LOCAL 5, SECTOR LAS CAYENAS.</t>
  </si>
  <si>
    <t>130408.99</t>
  </si>
  <si>
    <t>00099</t>
  </si>
  <si>
    <t>FARMACIA SANTO CRISTO 2025, C.A</t>
  </si>
  <si>
    <t>J505508245</t>
  </si>
  <si>
    <t>PARIAGUAN</t>
  </si>
  <si>
    <t>8543</t>
  </si>
  <si>
    <t>CALLE COMERCIO CRUCE CON CALLE ANZOATEGUI EDIF 33 PISO P/B LOCAL 2 SECTOR CASCO CENTRAL PARIAGUAN ANZOATEGUI</t>
  </si>
  <si>
    <t>81926.40</t>
  </si>
  <si>
    <t>00100</t>
  </si>
  <si>
    <t>INVERSIONES PAREDES PADRON, C.A</t>
  </si>
  <si>
    <t>J410922982</t>
  </si>
  <si>
    <t>0414-8520028</t>
  </si>
  <si>
    <t>CALLE BRION, CASA 84-10, SECTOR BARRANCAS DEL ORINOCO.</t>
  </si>
  <si>
    <t>90707.81</t>
  </si>
  <si>
    <t>00101</t>
  </si>
  <si>
    <t>INVERSIONES MINI MARKET IVONET, C.A</t>
  </si>
  <si>
    <t>J411035513</t>
  </si>
  <si>
    <t>0414-8799165</t>
  </si>
  <si>
    <t>AV. NEGRO PRIMERO, QTA NINET, LOCAL 3, SECTOR CENTRO.</t>
  </si>
  <si>
    <t>GUARENAS</t>
  </si>
  <si>
    <t>8647</t>
  </si>
  <si>
    <t>CALLE COMERCIO. LOCAL NRO 52-B. SECTOR LA LLANADA. GUARENAS. ESTADO MIRANDA</t>
  </si>
  <si>
    <t>ACEVEDO</t>
  </si>
  <si>
    <t>00103</t>
  </si>
  <si>
    <t>EXPENDIO DE MEDICINAS ANGOSTURA, C.A</t>
  </si>
  <si>
    <t>J503218177</t>
  </si>
  <si>
    <t>LA PARAGUA</t>
  </si>
  <si>
    <t>7101</t>
  </si>
  <si>
    <t>CALLE REGULO MACHADO LOCAL S/N SECTOR CENTRO PARROQUIA BARCELONETA MUNICIPIO BOLIVARIANO ANGOSTURA LA PARAGUA BOLIVAR</t>
  </si>
  <si>
    <t>1077427.25</t>
  </si>
  <si>
    <t>FARMACIA FARMA SALUD INTEGRAL, C.A</t>
  </si>
  <si>
    <t>J400445965</t>
  </si>
  <si>
    <t>04148858578</t>
  </si>
  <si>
    <t>CALLE MIRANDA. EDIF. SANTA BARBARA. PISO PB. LOCAL 112. SECTOR CENTRO DE UPATA. UPATA. ESTADO BOLIVAR</t>
  </si>
  <si>
    <t>00105</t>
  </si>
  <si>
    <t>FARMARKET MATURIN, C.A</t>
  </si>
  <si>
    <t>J413237334</t>
  </si>
  <si>
    <t>0424-9698114</t>
  </si>
  <si>
    <t>AV LUIS DEL VALLE GARCIA, EDIF DOÑA MARIA, PISO  PB, LOCAL 4, SECTOR CENTRO .</t>
  </si>
  <si>
    <t>0414-7862480</t>
  </si>
  <si>
    <t>AV PEÑAVER, EDIF S/N, PISO PB, LOCAL 2B, SECTOR PUEBLO NUEVO NORTE.</t>
  </si>
  <si>
    <t>00107</t>
  </si>
  <si>
    <t>FARMACIA LA BOTICA +, C.A</t>
  </si>
  <si>
    <t>J412146688</t>
  </si>
  <si>
    <t>0416-1161377 / 02934332529 /</t>
  </si>
  <si>
    <t>AV BERMUDEZ, EDIF JORGE ANTONIO, PISO, LOCAL 153, SECTOR CENTRO CUMANA SUCRE</t>
  </si>
  <si>
    <t>60621.85</t>
  </si>
  <si>
    <t>00108</t>
  </si>
  <si>
    <t>FARMACIA DOÑA GLADIS, C.A</t>
  </si>
  <si>
    <t>J317429249</t>
  </si>
  <si>
    <t>0412-0921024/ 0412-3524881 /</t>
  </si>
  <si>
    <t>CALLE ORTIZ, LOCAL NRO S/N SECTOR BOCA DE POZO ROBLEDAL BOCA DE POZO NUEVA ESPARTA</t>
  </si>
  <si>
    <t>431763.92</t>
  </si>
  <si>
    <t>00109</t>
  </si>
  <si>
    <t>DIVYS FARMA, C.A</t>
  </si>
  <si>
    <t>J407680676</t>
  </si>
  <si>
    <t>CARIPE EDO MONAGAS</t>
  </si>
  <si>
    <t>0424-9444785</t>
  </si>
  <si>
    <t>8560</t>
  </si>
  <si>
    <t>CARIPE</t>
  </si>
  <si>
    <t>AV ENRIQUE CHAUMER, CASA NRO 30, SECTOR EL GUACHARO. CARIPE ESTADO MONAGAS</t>
  </si>
  <si>
    <t>00110</t>
  </si>
  <si>
    <t>FARMACIA EL OFERTON MIRANDA, C.A</t>
  </si>
  <si>
    <t>J500559852</t>
  </si>
  <si>
    <t>0412-9905262</t>
  </si>
  <si>
    <t>AV MIRANDA, EDIF CANNAYO, PISO PB. LOCAL 1, SECTOR CENTRO</t>
  </si>
  <si>
    <t>328112.96</t>
  </si>
  <si>
    <t>00111</t>
  </si>
  <si>
    <t>FARMACIAS LOS LLANOS, CA</t>
  </si>
  <si>
    <t>19/08/2025</t>
  </si>
  <si>
    <t>J411680761</t>
  </si>
  <si>
    <t>0414-5435412 / 0424-3165339</t>
  </si>
  <si>
    <t>CALLE EL ENCUENTRO, CRUCE CON CALLE MUÑOS, EDIF SAONDAS, SECTR CENTRO</t>
  </si>
  <si>
    <t>0414-0951782 / 02869942826 /</t>
  </si>
  <si>
    <t>Av. Caracas Urb. Gran Sabana Sector Las Casitas C.C. Nina Nivel 1 local 8 Puerto Ordaz Edo. Bolivar. 
Estado Bolivar. Municipio Caroní. Parroquia Unare . Puert</t>
  </si>
  <si>
    <t>00113</t>
  </si>
  <si>
    <t>FARMACIA INSTAFARMA, C.A.</t>
  </si>
  <si>
    <t>J406532274</t>
  </si>
  <si>
    <t>31/10/2025</t>
  </si>
  <si>
    <t>0414-8823631 / 02916351991 /</t>
  </si>
  <si>
    <t>AV VIA VIBORAL, CC BELLO CAMPO, NIVEL PB, LOCAL 12, SECTOR TIPURO.</t>
  </si>
  <si>
    <t>00114</t>
  </si>
  <si>
    <t>FARMACOMPRAS LA POPULAR, C.A</t>
  </si>
  <si>
    <t>J315071690</t>
  </si>
  <si>
    <t>ZARAZA GUARICO</t>
  </si>
  <si>
    <t>0412-4610790</t>
  </si>
  <si>
    <t>CALLE BOLIVAR, C/C CALLE NUEVA, CASA NRO S/N, SECTOR EL MEDANO.</t>
  </si>
  <si>
    <t>00115</t>
  </si>
  <si>
    <t>MERLIN DELIA DEL VALLE VILLAFRANCA NAVARRO</t>
  </si>
  <si>
    <t>V140111453</t>
  </si>
  <si>
    <t>0414-7621933</t>
  </si>
  <si>
    <t>CALLE Nº 2, CASA NRO 110, URB LOS PRADOS II, ZONA INDUSTRIAL.</t>
  </si>
  <si>
    <t>02934331549 / 04128613874</t>
  </si>
  <si>
    <t>AV BERMUDEZ CON PETION EDIF ABELARDO PISO PB LOCAL 2 SECTOR EL CENTRO CUMANA SUCRE</t>
  </si>
  <si>
    <t>00117</t>
  </si>
  <si>
    <t>FORMULANDO SALUD Y BELLEZA, C.A.</t>
  </si>
  <si>
    <t>J503698489</t>
  </si>
  <si>
    <t>15/11/2025</t>
  </si>
  <si>
    <t>+58 414-9117764</t>
  </si>
  <si>
    <t>AV PRINCIPAL DE MARIPEREZ ENTRE AVENIDA 7 Y AUGUSTO SANDINO EDIF SEDE DE LA HERMANDAD GALLEGA DE VENEZUELA C.A PISO S/N LOCAL S/N URB MARIPEREZ CARACAS DISTRIT</t>
  </si>
  <si>
    <t>5933.60</t>
  </si>
  <si>
    <t>00118</t>
  </si>
  <si>
    <t>FARMACIA FARMA MOLL ,C.A</t>
  </si>
  <si>
    <t>J500161255</t>
  </si>
  <si>
    <t>0412-6091553</t>
  </si>
  <si>
    <t>AV. LA PAZ, EDIF EXPOMUEBLES LAS AMERICAS, PISO 1, LOCAL PB, SECTOR CENTRO.</t>
  </si>
  <si>
    <t>00119</t>
  </si>
  <si>
    <t>FARMACIA ORIENTE, C.A (MATURIN)</t>
  </si>
  <si>
    <t>FARMACIA ORIENTE, C.A</t>
  </si>
  <si>
    <t>J302235863</t>
  </si>
  <si>
    <t>0414-394.20.56</t>
  </si>
  <si>
    <t>AV PRINCIAL DE FUNDEMOS, LOCAL  NRO 38, URB FUNDEMOS.</t>
  </si>
  <si>
    <t>0412-2508644</t>
  </si>
  <si>
    <t>CALLE IGUALDAD, C/C BUENA AVENTURA, LOCAL NRO S/N, NRO  S/N,  SECTOR PUNDA POLAMAR.</t>
  </si>
  <si>
    <t>00121</t>
  </si>
  <si>
    <t>FARMACIA FARMAPZO,C.A</t>
  </si>
  <si>
    <t>J500971788</t>
  </si>
  <si>
    <t>0414-8953914 / 02869626382</t>
  </si>
  <si>
    <t>CALLE  CUCHIVERO, EDIF TAMANACO, PISO PB, LOCAL 2, SECTOR ALTA VISTA, PTO ORDAZ, CIUDAD GUAYANA.</t>
  </si>
  <si>
    <t>414166.90</t>
  </si>
  <si>
    <t>00122</t>
  </si>
  <si>
    <t>UNIDAD QUIRURGICA PLAZA, C.A</t>
  </si>
  <si>
    <t>03/11/2025</t>
  </si>
  <si>
    <t>J316989011</t>
  </si>
  <si>
    <t>29/10/2025</t>
  </si>
  <si>
    <t>PAMPATAR</t>
  </si>
  <si>
    <t>0424-8241469</t>
  </si>
  <si>
    <t>8555</t>
  </si>
  <si>
    <t>CALLE EL TORITO, EDIF UNIDAD QUIRURGICA PLAZA, PISO PB,  LOCAL S/N, URB. PLAYA EL ANGEL, MUNICIPIO MANEIRO.</t>
  </si>
  <si>
    <t>11340.97</t>
  </si>
  <si>
    <t>AV LIBERTADOR CON CALLE ATASCOSA Nº44, PARROQUIA VALLE LA PASCUA</t>
  </si>
  <si>
    <t>8800</t>
  </si>
  <si>
    <t>CAMPO DE CARABOBO (TOCUYITO)</t>
  </si>
  <si>
    <t>CARACAS (PETARE)</t>
  </si>
  <si>
    <t>0424-1974748</t>
  </si>
  <si>
    <t>CALLE 4A, EDIF GEMINIS1, PISO 1, LOCAL 1, URB LA URBINA.</t>
  </si>
  <si>
    <t>+17864619303</t>
  </si>
  <si>
    <t>TORRE LA PREVISORA, PISO 20, PREVIFARMA, SECTOR PLAZA VENEZUELA.</t>
  </si>
  <si>
    <t>0424-9633545</t>
  </si>
  <si>
    <t>AV PRINCIPAL LA PUENTE, LOCAL NRO S/N, SECTOR LOS GODOS.</t>
  </si>
  <si>
    <t>00127</t>
  </si>
  <si>
    <t>CENTRO MEDICO ESTETICO DR PEDRO FIGALLO, C.A</t>
  </si>
  <si>
    <t>J305622450</t>
  </si>
  <si>
    <t>0291-6433680 / 0414-7624434</t>
  </si>
  <si>
    <t>AV LUIS DEL VALLE GARCIA, EDIF ANEXO CENTRO MEDICO, PISO 5, LOCAL CONSULTORIO 5-2, SECTOR LAS AVENIDAS.</t>
  </si>
  <si>
    <t>00128</t>
  </si>
  <si>
    <t>FARMACIA SALUD Y VIDA, C.A</t>
  </si>
  <si>
    <t>J501617562</t>
  </si>
  <si>
    <t>0424-9270216</t>
  </si>
  <si>
    <t>CALLE MERIDA CON CALLE PAEZ, LOCAL  NRO 01, SECTOR LA PLAZA, MUNICIPIO ROSCIO.</t>
  </si>
  <si>
    <t>00129</t>
  </si>
  <si>
    <t>DOLIMAR ZUYLEN ABREU</t>
  </si>
  <si>
    <t>29/11/2025</t>
  </si>
  <si>
    <t>4 días</t>
  </si>
  <si>
    <t>V21041227</t>
  </si>
  <si>
    <t>0412-8314402</t>
  </si>
  <si>
    <t>5.03</t>
  </si>
  <si>
    <t>0414-8944104</t>
  </si>
  <si>
    <t>AV PASEO CARONI, CC GRAN SABANA, NIVEL P-B, LOCAL 02, URB EL GUAMO.</t>
  </si>
  <si>
    <t>00131</t>
  </si>
  <si>
    <t>FARMACIA SAN RAFAEL (GUARICO)</t>
  </si>
  <si>
    <t>FARMACIA SAN RAFAEL</t>
  </si>
  <si>
    <t>V042533358</t>
  </si>
  <si>
    <t>CAMAGUAN EDO GUARICO</t>
  </si>
  <si>
    <t>0414-2113479</t>
  </si>
  <si>
    <t>8573</t>
  </si>
  <si>
    <t>CAMAGUAN</t>
  </si>
  <si>
    <t>CALLE MIRANDA, C/C MUCURITAS, CASA NRO S/N, SECTOR CASCO CENTRAL CAMAGUAN GUARICO</t>
  </si>
  <si>
    <t>1059202.31</t>
  </si>
  <si>
    <t>00132</t>
  </si>
  <si>
    <t>MATRIZ (INVERSIONES FARMATODITO M &amp; B, C.A)</t>
  </si>
  <si>
    <t>J500209134</t>
  </si>
  <si>
    <t>00133</t>
  </si>
  <si>
    <t>FARMACIA SAN MIGUEL, C.A (UPATA)</t>
  </si>
  <si>
    <t>FARMACIA SAN MIGUEL, C.A</t>
  </si>
  <si>
    <t>07/11/2025</t>
  </si>
  <si>
    <t>3 semanas</t>
  </si>
  <si>
    <t>J303104878</t>
  </si>
  <si>
    <t>23/10/2025</t>
  </si>
  <si>
    <t>0424-9721206</t>
  </si>
  <si>
    <t>CALLE POLANCO, CON AV. RAUL LEONI, CC DEL SUR, NIVEL PB, LOCAL 06, SECTOR CENTRO.</t>
  </si>
  <si>
    <t>21298.97</t>
  </si>
  <si>
    <t>CANTAURA</t>
  </si>
  <si>
    <t>0424-8748709</t>
  </si>
  <si>
    <t>8536</t>
  </si>
  <si>
    <t>CALLE NUEVO MUNDO, CASA NRO S/N, SECTOR CINCO.</t>
  </si>
  <si>
    <t>EL DORADO</t>
  </si>
  <si>
    <t>+573127718340</t>
  </si>
  <si>
    <t>8518</t>
  </si>
  <si>
    <t>CALLE PRINCIPAL CASA NRO 48 URB KEWEY I SANTA ELENA DE UAIREN BOLIVAR</t>
  </si>
  <si>
    <t>00136</t>
  </si>
  <si>
    <t>FARMAEXPRESS EL CENTRO, C.A</t>
  </si>
  <si>
    <t>J501052174</t>
  </si>
  <si>
    <t>21/11/2025</t>
  </si>
  <si>
    <t>PORLAMAR NUEVA ESPARTA</t>
  </si>
  <si>
    <t>0412-3573823</t>
  </si>
  <si>
    <t>CALLE IGUALDAD ENTRE CALLES MARTINEZ Y MENESES LOCAL NRO S/N SECTOR CENTRO DE PORLAMAR</t>
  </si>
  <si>
    <t>255645.04</t>
  </si>
  <si>
    <t>00137</t>
  </si>
  <si>
    <t>FARMACIA MI SALUD 2022, C.A</t>
  </si>
  <si>
    <t>J502590226</t>
  </si>
  <si>
    <t>0412-8682167</t>
  </si>
  <si>
    <t>CALLE PRINCIPAL LOCAL S/N. SECTOR AEROPUERTO PARROQUIA DALLA COSTA MUNICIPIO SIFONTES</t>
  </si>
  <si>
    <t>51749.68</t>
  </si>
  <si>
    <t>00138</t>
  </si>
  <si>
    <t>FARMACIA MI FARMACIA,C.A</t>
  </si>
  <si>
    <t>J295676824</t>
  </si>
  <si>
    <t>CLARINES EDO ANZOATEGUI</t>
  </si>
  <si>
    <t>0424-8816743</t>
  </si>
  <si>
    <t>8537</t>
  </si>
  <si>
    <t>CLARINES</t>
  </si>
  <si>
    <t>AV FERNANDEZ PADILA, C.C, AKUARIUS, NIVEL PLANTA BAJA , LOCAL 1, SECTOR CASCO CENTRAL NORTE.</t>
  </si>
  <si>
    <t>172475.62</t>
  </si>
  <si>
    <t>00139</t>
  </si>
  <si>
    <t>FARMACIA SOCIAL PROGRESO III,C.A</t>
  </si>
  <si>
    <t>J299846023</t>
  </si>
  <si>
    <t>LAS MERCEDES EDO GUARICO</t>
  </si>
  <si>
    <t>0424-3462678</t>
  </si>
  <si>
    <t>8574</t>
  </si>
  <si>
    <t>LAS MERCEDES DEL LLANO</t>
  </si>
  <si>
    <t>CALLE  BOLIVAR ENTRE CALLE SAN JOSE Y TROPEZON,  LOCAL NRO S/N, SECTOR CENTRO.</t>
  </si>
  <si>
    <t>70938.09</t>
  </si>
  <si>
    <t>00140</t>
  </si>
  <si>
    <t>FARMACIA FARMAVIRTUDES,C.A</t>
  </si>
  <si>
    <t>J412722506</t>
  </si>
  <si>
    <t>0414-8487405</t>
  </si>
  <si>
    <t>AV. INTERCOMUNAL CC RAHME, NIVEL 1. LOCAL G2-1, SECTOR INTERCOMUNAL.</t>
  </si>
  <si>
    <t>PAMPATAR EDO NUEVA ESPARTA</t>
  </si>
  <si>
    <t>0295-2633034 / 0412-2703685</t>
  </si>
  <si>
    <t>AV. JOVITO VILLALBA, SECTOR SAN LORENZO, RES. VIVALCO.</t>
  </si>
  <si>
    <t>0414-2371043</t>
  </si>
  <si>
    <t>AV 5 DE JULIO, LOCAL NRO S/N, SECTOR BARCELONA.</t>
  </si>
  <si>
    <t>0424-8478152</t>
  </si>
  <si>
    <t>AV. FRANCISCO DE MIRANDA, CC VENEZUELA , NIVEL PB, LOCAL 08, SECTOR PUEBLO NUEVO.</t>
  </si>
  <si>
    <t>00144</t>
  </si>
  <si>
    <t>CIRA MARINA PEREZ DE SILVA "FARMACIA DON MIGUEL"</t>
  </si>
  <si>
    <t>V022307599</t>
  </si>
  <si>
    <t>ELORZA</t>
  </si>
  <si>
    <t>8653</t>
  </si>
  <si>
    <t>AV BOLIVAR. CASA NRO 12-47- SECTOR CENTRO ELORZA. ESTADO APURE</t>
  </si>
  <si>
    <t>47037.13</t>
  </si>
  <si>
    <t>00145</t>
  </si>
  <si>
    <t>FARMA NADIA, C.A</t>
  </si>
  <si>
    <t>J306817387</t>
  </si>
  <si>
    <t>CANTAURA EDO ANZOATEGUI</t>
  </si>
  <si>
    <t>0424-8634401</t>
  </si>
  <si>
    <t>01</t>
  </si>
  <si>
    <t>AV. BOLIVAR, LOCAL NRO N-28, SECTOR EL CENTRO CANTAURA</t>
  </si>
  <si>
    <t>00146</t>
  </si>
  <si>
    <t>MULTI-FARMACIA SAMIR C.A</t>
  </si>
  <si>
    <t>J501140065</t>
  </si>
  <si>
    <t>0424-8488919</t>
  </si>
  <si>
    <t>CALLE MONAGAS, ENTRE CALLE SUCRE Y CALLE PICHINCHA, LOCAL NRO 3-48, SECTOR LAS PARCELAS 1 ANACO ANZOATEGUI</t>
  </si>
  <si>
    <t>509705.98</t>
  </si>
  <si>
    <t>00147</t>
  </si>
  <si>
    <t>FARMACIA LA ESPERANZA 2019, C.A.</t>
  </si>
  <si>
    <t>J413254387</t>
  </si>
  <si>
    <t>0414-7721908</t>
  </si>
  <si>
    <t>CALLE JUNCAL,  LOCAL NRO S/N, SECTOR LA PLAZA,  DIAGONAL A COMERCIAL ABC</t>
  </si>
  <si>
    <t>91857.77</t>
  </si>
  <si>
    <t>00148</t>
  </si>
  <si>
    <t>FARMACIA NIÑO DE LA CRUZ, C.A</t>
  </si>
  <si>
    <t>J299931705</t>
  </si>
  <si>
    <t>0414-7675750</t>
  </si>
  <si>
    <t>CALLE MONAGAS, HOY CARRERA 7,  ENTRE CALLES 4 Y 5, EDIF CENTRO EMPRESARIAL, ISABELLA, PISO PB,  LOCAL 1, SECTOR BANCO OBRERO.</t>
  </si>
  <si>
    <t>0424-9070889</t>
  </si>
  <si>
    <t>CALLE VIA VENEZUELA, EDIF CLINICA PUERTO ORDAZ,  TORRE II, PISO PLANTA  BAJA, LOCAL C1, C2 Y C3, URB UD-205. CIUDAD GUAYANA.</t>
  </si>
  <si>
    <t>0414-8240763</t>
  </si>
  <si>
    <t>AV FERNANDEZ PADILLA, CC 596, NIVEL PB, LOCAL 03, SECTOR CASCO CENTRAL .</t>
  </si>
  <si>
    <t>PUERTO PIRITU</t>
  </si>
  <si>
    <t>0424-8473339</t>
  </si>
  <si>
    <t>8538</t>
  </si>
  <si>
    <t>AV FERNANDO PEÑALVER, CC TRAPICHE, NIVEL PLANTA BAJA, LOCAL 2, SECTOR CENTRO.</t>
  </si>
  <si>
    <t>0281-2868228 / 0414-1249927</t>
  </si>
  <si>
    <t>AV RAUL LEONI, CC LA FUNDACION MENDOZA, LOCAL 1.</t>
  </si>
  <si>
    <t>00153</t>
  </si>
  <si>
    <t>FARMACIA NUESTRA VIDA, C.A</t>
  </si>
  <si>
    <t>J505031341</t>
  </si>
  <si>
    <t>04147983001</t>
  </si>
  <si>
    <t>AV PANAMERICANA LOCAL NRO 24 SSECTOR PANAMERICANA CUMANA SUCRE</t>
  </si>
  <si>
    <t>63472.58</t>
  </si>
  <si>
    <t>00154</t>
  </si>
  <si>
    <t>FARMACIA AVENIDA LA PAZ, C.A</t>
  </si>
  <si>
    <t>J403060983</t>
  </si>
  <si>
    <t>0414-8655478</t>
  </si>
  <si>
    <t>AV LA PAZ, QTA NRO 50-1, SECTOR LAS AVENIDAS</t>
  </si>
  <si>
    <t>13921.44</t>
  </si>
  <si>
    <t>00155</t>
  </si>
  <si>
    <t>FARMA EXPRESS 24, C.A</t>
  </si>
  <si>
    <t>30/11/2025</t>
  </si>
  <si>
    <t>3 días</t>
  </si>
  <si>
    <t>J412341170</t>
  </si>
  <si>
    <t>0424-8017584</t>
  </si>
  <si>
    <t>AV LIBERTADOR CRUCE CON TERCERA CARRERA NORTE CC SAN REMO EXPRESS NIVEL PB LOCAL 01-02. SECTOR PUEBLO NUEVO NORTE EL TIGRE ESTADO ANZOATEGUI.</t>
  </si>
  <si>
    <t>298689.12</t>
  </si>
  <si>
    <t>00156</t>
  </si>
  <si>
    <t>FARMALUZ EL TIGRITO, C.A</t>
  </si>
  <si>
    <t>J501169543</t>
  </si>
  <si>
    <t>0424-8891739</t>
  </si>
  <si>
    <t>CALLE VENEZUELA ENTRE CALLE UNION Y CALLE ROCIO LOCAL NRO S/N SECTOR CENTRO SAN JOSE DE GUANIPA EL TIGRITO ANZOATEGUI</t>
  </si>
  <si>
    <t>3187330.83</t>
  </si>
  <si>
    <t>00157</t>
  </si>
  <si>
    <t>FARMACIA ISABELLA 23,C.A</t>
  </si>
  <si>
    <t>J404024425</t>
  </si>
  <si>
    <t>0424-8292698 / 02825144333 /</t>
  </si>
  <si>
    <t>CALLE  BARALT, CC 12, LOCAL NRO S/N, SECTOR LOS ALGARROBOS.</t>
  </si>
  <si>
    <t>00158</t>
  </si>
  <si>
    <t>VANESSA RODRIGUEZ</t>
  </si>
  <si>
    <t>V15813085</t>
  </si>
  <si>
    <t>8512</t>
  </si>
  <si>
    <t>MATURIN 1</t>
  </si>
  <si>
    <t>ACCIONISTAS</t>
  </si>
  <si>
    <t>0414-8861111</t>
  </si>
  <si>
    <t>CALLE YARACUY, ENTRE AVENIDA FERNANDEZ PADILLA Y CALLE ROMA, CC PREMIER, NIVEL PB, LOCAL 2 Y 3, URB SAN JOSE DE GUANIPA EL TIGRITO ANZOATEGUI</t>
  </si>
  <si>
    <t>00160</t>
  </si>
  <si>
    <t>FARMAMIGA PLUS, C.A</t>
  </si>
  <si>
    <t>J500203640</t>
  </si>
  <si>
    <t>04169885686</t>
  </si>
  <si>
    <t>CALLE SALIAS, LOCAL S/N, SECTOR EL ROBLE, MUNICIPIO ROSCIO.</t>
  </si>
  <si>
    <t>208955.17</t>
  </si>
  <si>
    <t>00161</t>
  </si>
  <si>
    <t>FARMACIA FARMA286, CA</t>
  </si>
  <si>
    <t>J501462330</t>
  </si>
  <si>
    <t>0414-8953914</t>
  </si>
  <si>
    <t>AV PRINCIPAL / VEREDA 29 LOCAL NRO 7, SECTOR UNARE II PUERTO ORDAZ BOLIVAR</t>
  </si>
  <si>
    <t>149187.05</t>
  </si>
  <si>
    <t>00162</t>
  </si>
  <si>
    <t>CECOT ORIENTE, C.A</t>
  </si>
  <si>
    <t>J311728066</t>
  </si>
  <si>
    <t>0414-7678611</t>
  </si>
  <si>
    <t>AV. FUERZAS ARMADAS, EDIF GRUPO MEDICO TIERRA SANTA, PISO 1, LOCAL 1-5.</t>
  </si>
  <si>
    <t>00163</t>
  </si>
  <si>
    <t>FARMACIA CENTRAL C.A. "FARMACENTER"</t>
  </si>
  <si>
    <t>J500874952</t>
  </si>
  <si>
    <t>EL SOCORRO</t>
  </si>
  <si>
    <t>0412-1972143</t>
  </si>
  <si>
    <t>8654</t>
  </si>
  <si>
    <t>CALLE ZARAZA LOCAL NRO S/N SECTOR EL ZAMURO EL SOCORRO GUARICO</t>
  </si>
  <si>
    <t>450758.98</t>
  </si>
  <si>
    <t>0414-1440834</t>
  </si>
  <si>
    <t>AV. JUAN BAUTISTA ARISMENDI, LOCAL NRO PB,  SECTOR SAN ANTONIO VILLA ROSA.</t>
  </si>
  <si>
    <t>LECHERIAS</t>
  </si>
  <si>
    <t>0412-0428327</t>
  </si>
  <si>
    <t>8539</t>
  </si>
  <si>
    <t>LECHERIA</t>
  </si>
  <si>
    <t>AV PRINCIPAL, LOCAL ENTRE CALLE PIRITU Y ANZOATEGUI, NRO 306-B, EL MORRO.</t>
  </si>
  <si>
    <t>AV 4 DE MAYO, ENTRE CALLES SAN RAFAEL Y DIAZ, LOCAL NRO S/N, SECTOR TACHIRA.</t>
  </si>
  <si>
    <t>00167</t>
  </si>
  <si>
    <t>FARMAVIDA HCM, C.A</t>
  </si>
  <si>
    <t>J500450575</t>
  </si>
  <si>
    <t>0424-9020429/0416-1622679</t>
  </si>
  <si>
    <t>AV. INDEPENDENCIA, CALLE 19 DE ABRIL, LOCAL NRO S/N, SECTOR GUASIPATI.</t>
  </si>
  <si>
    <t>28920.84</t>
  </si>
  <si>
    <t>0424-9286228</t>
  </si>
  <si>
    <t>CALLE 8 CRUCE LOCAL SUCRE CON CARRERA 12 NRO A SECTOR CENTRO Nº 135 MATURIN MONAGAS</t>
  </si>
  <si>
    <t>00169</t>
  </si>
  <si>
    <t>HIPERMERCADO MAXI HOGAR, C.A.</t>
  </si>
  <si>
    <t>J297601643</t>
  </si>
  <si>
    <t>0414-1088567</t>
  </si>
  <si>
    <t>AV FERNANDO DE PEÑALVER, LOCAL NRO S/N, SECTOR LA PLANTA., PIRITU</t>
  </si>
  <si>
    <t>111859.65</t>
  </si>
  <si>
    <t>00170</t>
  </si>
  <si>
    <t>FARMACIA GLOBAL,C.A</t>
  </si>
  <si>
    <t>J309947575</t>
  </si>
  <si>
    <t>SAN JUAN BAUTISTA EDO  NUEVA</t>
  </si>
  <si>
    <t>CALLE PAEZ, CASA NRO S/N, SECTOR SAN JUAN BAUTISTA.</t>
  </si>
  <si>
    <t>1111118.79</t>
  </si>
  <si>
    <t>PUERTO LA CRUZ</t>
  </si>
  <si>
    <t>0426-5833406</t>
  </si>
  <si>
    <t>8540</t>
  </si>
  <si>
    <t>CALLE DEMOCRACIA, EDIF BARTOLOME. PISO PLANTA BAJA, LOCAL 02, SECTOR CENTRO.</t>
  </si>
  <si>
    <t>00172</t>
  </si>
  <si>
    <t>FARMACIA PUNTO CENTER, C.A</t>
  </si>
  <si>
    <t>J305647992</t>
  </si>
  <si>
    <t>0424-8325828</t>
  </si>
  <si>
    <t>AV. FERNANDEZ PADILLA, CC JOSE GREGORIO, NIVEL PB,  LOCAL 1-2, SECTOR LA MATICA.</t>
  </si>
  <si>
    <t>34402.43</t>
  </si>
  <si>
    <t>EL RINCON EDO  ANZOATEGUI</t>
  </si>
  <si>
    <t>0414-7995548</t>
  </si>
  <si>
    <t>8541</t>
  </si>
  <si>
    <t>RINCON / ANZOATEGUI</t>
  </si>
  <si>
    <t>CALLE BRISAS DE MANANTIAL, CC PROGRESO, CASA NRO 6, SECTOR BRISAS DEL  MANANTIAL , VIDOÑO I, EL RINCON</t>
  </si>
  <si>
    <t>00174</t>
  </si>
  <si>
    <t>INVERSIONES SUPERFARMA, C.A</t>
  </si>
  <si>
    <t>J500281625</t>
  </si>
  <si>
    <t>0424-8239455</t>
  </si>
  <si>
    <t>CALLE ANZOATEGUI, LOCAL SUPERFARMA, C.A., NRO S/N, SECTOR CASCO CENTRAL.</t>
  </si>
  <si>
    <t>0416-1161377</t>
  </si>
  <si>
    <t>AV BERMUDEZ, EDIF JORGE ANTONIO, PISO, LOCAL 153, SECTOR CENTRO.¡ CUMANA SUCRE</t>
  </si>
  <si>
    <t>0424-8369354</t>
  </si>
  <si>
    <t>AV II, SECTOR II, LOCAL PLANTA BAJA, NRO 5, URB BOYACA III.</t>
  </si>
  <si>
    <t>00177</t>
  </si>
  <si>
    <t>FARMACIA ROMULO GALLEGOS I, C.A</t>
  </si>
  <si>
    <t>J316591131</t>
  </si>
  <si>
    <t>CALLE 16. DAMASO FIGUEREDO. CASA NRO S/N. SECTOR CENTRO. ELORZA. ESTADO APURE</t>
  </si>
  <si>
    <t>556217.95</t>
  </si>
  <si>
    <t>00178</t>
  </si>
  <si>
    <t>DAY PHARMA, C.A</t>
  </si>
  <si>
    <t>J500717997</t>
  </si>
  <si>
    <t>17/09/2025</t>
  </si>
  <si>
    <t>LECHERIA EDO ANZOATEGUI</t>
  </si>
  <si>
    <t>0412-4265767 / 0281280400 /</t>
  </si>
  <si>
    <t>AV DIEGO BAUTISTA, URBANEJA, EDIF CENTRO POLIESPECIALISTICODA HOSPITAL, PISO 1-A, LOCAL 2, SECTOR AVENIDA PRINCIPAL.</t>
  </si>
  <si>
    <t>12022.98</t>
  </si>
  <si>
    <t>0412-8426562</t>
  </si>
  <si>
    <t>CALLE SUCRE, EDIF ALGARVE, PISO PLANTA BAJA, LOCAL 1-158, SECTOR PUEBLO AJURO.</t>
  </si>
  <si>
    <t>0412-5354405</t>
  </si>
  <si>
    <t>CR CUARTA SUR, CALLE 15, LOCAL NRO S/N,  SECTOR PUEBLO NUEVO SUR.</t>
  </si>
  <si>
    <t>00181</t>
  </si>
  <si>
    <t>INVER-FARMA LAS LOMAS,C.A</t>
  </si>
  <si>
    <t>J407356496</t>
  </si>
  <si>
    <t>PUERTO AYACUCHO</t>
  </si>
  <si>
    <t>0248-5215532</t>
  </si>
  <si>
    <t>8579</t>
  </si>
  <si>
    <t>33</t>
  </si>
  <si>
    <t>TELEMARKETING HEMERSON</t>
  </si>
  <si>
    <t>CALLE PRINCIPAL, LOCAL PLANTA BAJA, NRO S/N, SECTOR LOMAS VERDES PUERTO AYACUCHO AMAZONAS</t>
  </si>
  <si>
    <t>AMAZONAS</t>
  </si>
  <si>
    <t>ATURES</t>
  </si>
  <si>
    <t>41891.88</t>
  </si>
  <si>
    <t>0426-2469813</t>
  </si>
  <si>
    <t>AV CONSTITUCION, CRUCE CON AVENIDA ORINOCO, CASA NRO S/N, SECTOR..</t>
  </si>
  <si>
    <t>MAIQUETIA</t>
  </si>
  <si>
    <t>+58 424-1276483</t>
  </si>
  <si>
    <t>8655</t>
  </si>
  <si>
    <t>MAIQUETÍA</t>
  </si>
  <si>
    <t>CALLE CALLE CRISTO A JEFATURA.ENTRE CALLE MARCADO Y SILENCIO. LOCAL NRO # URB. MAIQUETIA. MAIQUETIA. ESTADO VARGAS.</t>
  </si>
  <si>
    <t>VARGAS</t>
  </si>
  <si>
    <t>SANTA ELENA DE UAIREN</t>
  </si>
  <si>
    <t>+559591173780</t>
  </si>
  <si>
    <t>8630</t>
  </si>
  <si>
    <t>CALLE BOLIVAR LOS CASTAÑOS, PISO PB, LOCAL 01-B, SECTOR CASCO CENTRAL.</t>
  </si>
  <si>
    <t>0424-9260723</t>
  </si>
  <si>
    <t>PARROQUIA 07 UNIVERSIDAD,UD 256,ALTA VISTA PARCELA 256-03-03 PUERTO ORDAZ,ESTADO BOLÍVAR. 
Estado Bolivar. Municipio Caroní. Parroquia Universidad . Puerto Ord</t>
  </si>
  <si>
    <t>00186</t>
  </si>
  <si>
    <t>FARMACIA FARMA-SHOP,C.A.</t>
  </si>
  <si>
    <t>J303219861</t>
  </si>
  <si>
    <t>0412-8690633</t>
  </si>
  <si>
    <t>AV BOULEVARD 5 DE JULIO, EDIF SAN ANTONIO, PISO PB, LOCAL 1, SECTOR CASCO CENTRAL, BARCELONA ANZOATEGUI</t>
  </si>
  <si>
    <t>4165.34</t>
  </si>
  <si>
    <t>00187</t>
  </si>
  <si>
    <t>FARMACIA CIELO DIVINO, C.A</t>
  </si>
  <si>
    <t>J501069131</t>
  </si>
  <si>
    <t>0424-9498777</t>
  </si>
  <si>
    <t>VDA 37, CASA NRO 01, URB LOS GUARITOS III.</t>
  </si>
  <si>
    <t>00188</t>
  </si>
  <si>
    <t>FARMADETODO 2024, C.A.</t>
  </si>
  <si>
    <t>09/08/2025</t>
  </si>
  <si>
    <t>J504881015</t>
  </si>
  <si>
    <t>+58 412-6498732 / +58 424-86</t>
  </si>
  <si>
    <t>AV PEDRO MARIA FREITES. LOCAL NRO 42. URB CAMINONUEVO II. BARCELONA. ESTADO ANZOATEGUI</t>
  </si>
  <si>
    <t>0424-8187330</t>
  </si>
  <si>
    <t>AV UNIVERSIDAD, LOCAL NRO 22 B, SECTOR ISLA DE CUBA 2.</t>
  </si>
  <si>
    <t>00190</t>
  </si>
  <si>
    <t>FARMACIA SHALOM YIREH 2014, C.A</t>
  </si>
  <si>
    <t>J405893060</t>
  </si>
  <si>
    <t>0412-0823895</t>
  </si>
  <si>
    <t>CTRA VIA NACIONAL SAN JAIME, CC LOS GIRASOLES, NIVEL 1, LOCAL 8, SECTOR SAN JAIME.</t>
  </si>
  <si>
    <t>0424-8612406</t>
  </si>
  <si>
    <t>CALLE DEMOCRACIA, CALLE FREITES, EDIF FLAIHAN, PISO P-B, LOCAL P-B, SECTOR CENTRO. PUERTO LA GRUZ</t>
  </si>
  <si>
    <t>0416-6816855</t>
  </si>
  <si>
    <t>CALLE SUCRE, CRUCE CON 17 DE DICIEMBRE. LOCAL FARMACIA SAAS, SECTOR CENTRO ANACO.</t>
  </si>
  <si>
    <t>00193</t>
  </si>
  <si>
    <t>MATRIZ FARMACIA CHIRICA VIEJA, C.A</t>
  </si>
  <si>
    <t>J300577147</t>
  </si>
  <si>
    <t>00194</t>
  </si>
  <si>
    <t>INVERSIONES HERMANOS VELASQUEZ 2021, C.A</t>
  </si>
  <si>
    <t>J502200010</t>
  </si>
  <si>
    <t>0424-3103293</t>
  </si>
  <si>
    <t>CALLE RIOS, LOCAL NRO S/N, SECTOR EL CALLAO.</t>
  </si>
  <si>
    <t>328204.53</t>
  </si>
  <si>
    <t>00195</t>
  </si>
  <si>
    <t>FARMACIA LA ARBOLEDA, C.A</t>
  </si>
  <si>
    <t>J408475499</t>
  </si>
  <si>
    <t>14/08/2025</t>
  </si>
  <si>
    <t>0424-9584480</t>
  </si>
  <si>
    <t>CALLE UD 323, MANZANA 80, PARCELA 5, MINI CENTRO COMERCIAL, LOCAL NRO 7.8 Y 9, URB VILLACABARU.</t>
  </si>
  <si>
    <t>0424-2651106 / 02869623651 /</t>
  </si>
  <si>
    <t>AV.GUAYANA CENTRO COMERCIAL CIUDAD ALTAVISTA II, NIVEL PLANTA BAJA LOCAL PB O1. PUERTO ORDAZ- ESTADO BOLIVAR.. 
Estado Bolivar. Municipio Caroní. Parroquia Cac</t>
  </si>
  <si>
    <t>00197</t>
  </si>
  <si>
    <t>UNIFARMACIA2015 3, C.A. (TUMEREMO)</t>
  </si>
  <si>
    <t>UNIFARMACIA2015 3, C.A.</t>
  </si>
  <si>
    <t>J501784264</t>
  </si>
  <si>
    <t>CALLE PIAR EDIF LA CASTAÑUELA PISO S/N LOCAL S/N SECTOR FRENTE ANTIGUA BODEGA ANA TUMEREMO BOLIVAR</t>
  </si>
  <si>
    <t>3352698.20</t>
  </si>
  <si>
    <t>0424-9509425</t>
  </si>
  <si>
    <t>CENTRO COMERCIAL TOCOMA CARRERA TOCOMA PISO OFICINA 1 ALTA VISTA PUERTO ORDAZ ESTADO BOLIVAR. 
Estado Bolivar. Municipio Caroní. Parroquia Universidad . Puerto</t>
  </si>
  <si>
    <t>00199</t>
  </si>
  <si>
    <t>FARMACIA FARMATLANTICO, C.A</t>
  </si>
  <si>
    <t>J411414468</t>
  </si>
  <si>
    <t>04125305574</t>
  </si>
  <si>
    <t>AV ATLANTICO  EDIF 1 CENTRO ATLANTICO UD-310 PISO PB LOCAL 1 SECTOR YARA-YARA 2 CIUDAD GUAYANA</t>
  </si>
  <si>
    <t>58810.18</t>
  </si>
  <si>
    <t>0414-7691255</t>
  </si>
  <si>
    <t>CALLE S/N, CETRO COMERCIAL CCD, EDIF SEDE DEL HOSPITAL DE CLINICAS CECIAMB CA , PISO PB, LOCAL 10, SECTOR PUERTO ORDAZ.</t>
  </si>
  <si>
    <t>00201</t>
  </si>
  <si>
    <t>FARMACIA GLOBALSALUD, C.A</t>
  </si>
  <si>
    <t>J400220769</t>
  </si>
  <si>
    <t>0416-9183005</t>
  </si>
  <si>
    <t>AV JUNCAL, ENTRE AV. BOLIVAR Y CALLE MONAGAS EDIFVICENTE RIVAS PISO P.B. LOCAL 2 SECTOR CENTRO</t>
  </si>
  <si>
    <t>62595.36</t>
  </si>
  <si>
    <t>0424-8763708</t>
  </si>
  <si>
    <t>AV BERMUNEZ , LOCAL  NRO 96, SECTOR CENTRO CUMANA SUCRE</t>
  </si>
  <si>
    <t>0414-1982808</t>
  </si>
  <si>
    <t>CALLE GUAYANA, EDIF MARKA, PISO P/B, LOCAL NRO 16,. EL TIGRE</t>
  </si>
  <si>
    <t>0424-5660636</t>
  </si>
  <si>
    <t>AV PASEO CARONI TORRE INCA PISO PB LOCAL 1-B SECTOR UNARE II PUERTO ORDAZ EDO BOLIVAR. 
Estado Bolivar. Municipio Caroní. Parroquia Unare . Puerto Ordaz (Ciuda</t>
  </si>
  <si>
    <t>FARMACIA EL FARAON, C.A</t>
  </si>
  <si>
    <t>0412-1190354</t>
  </si>
  <si>
    <t>AV FERNANDO PEÑALVER CC FARAON NIVEL PB LOCAL 7 SECTOR LA PLANTA PUERTO PIRITU</t>
  </si>
  <si>
    <t>00206</t>
  </si>
  <si>
    <t>PREMIUM FARMACIA LOS GUAYOS, C.A.</t>
  </si>
  <si>
    <t>J504045802</t>
  </si>
  <si>
    <t>LOS GUAYOS</t>
  </si>
  <si>
    <t>COMP: 0424-4021015 / PAG: 04</t>
  </si>
  <si>
    <t>8649</t>
  </si>
  <si>
    <t>LOS GUAYOS (CARABOBO)</t>
  </si>
  <si>
    <t>28</t>
  </si>
  <si>
    <t>EGFRAN BRUESTHEN</t>
  </si>
  <si>
    <t>AV BOLIVAR CON CALLE ZAMORA, CENTRO COMERCIAL PREMA. LOCAL NRO 2. SECTOR S/N. LOS GUAYOS. ESTADO CARABOBO</t>
  </si>
  <si>
    <t>CARABOBO</t>
  </si>
  <si>
    <t>BEJUMA</t>
  </si>
  <si>
    <t>332372.72</t>
  </si>
  <si>
    <t>00207</t>
  </si>
  <si>
    <t>(MATRIZ) FARMACIA HOSPITALARIA INDEPENDENCIA CA</t>
  </si>
  <si>
    <t>J304717458</t>
  </si>
  <si>
    <t>8523</t>
  </si>
  <si>
    <t>CIUDAD BOLIVAR</t>
  </si>
  <si>
    <t>0426-6851040</t>
  </si>
  <si>
    <t>URB. BELLA VISTA ,CARRERA 5, MANZANA  28, CASA NRO 5.</t>
  </si>
  <si>
    <t>00209</t>
  </si>
  <si>
    <t>FARMACHUCHO, C.A</t>
  </si>
  <si>
    <t>J501822247</t>
  </si>
  <si>
    <t>0424-8911588</t>
  </si>
  <si>
    <t>AV. MIRANDA, EDIF SAN JORGE, PISO PB, LOCAL 5,-1348, SECTOR LAS PARCELAS, ANACO</t>
  </si>
  <si>
    <t>506352.81</t>
  </si>
  <si>
    <t>0412-7954333</t>
  </si>
  <si>
    <t>AV MIRANDA ENTRE MARCANO E IGUALDAD, LOCAL NRO S/N, SECTOR CENTRO PORLAMAR</t>
  </si>
  <si>
    <t>0414-8459700</t>
  </si>
  <si>
    <t>AV FERNANDEZ PADILLA, LOCAL NRO 5-7, SECTOR CENTRAL SAN JOSE DE GUANIPA.</t>
  </si>
  <si>
    <t>00212</t>
  </si>
  <si>
    <t>FARMACIA SAN ANTONIO CBO,C.A</t>
  </si>
  <si>
    <t>J501575878</t>
  </si>
  <si>
    <t>0412-4993995</t>
  </si>
  <si>
    <t>AV BOLIVAR, EDIF S/N, PISO P/B, LOCAL S/N, SECTOR PASEO ORINOCO, PARROQUIA CATEDRAL, MUNICIPIO ANGOSTURA DEL ORINOCO.</t>
  </si>
  <si>
    <t>293444.21</t>
  </si>
  <si>
    <t>00213</t>
  </si>
  <si>
    <t>FARMAJUSTO 2021, C.A</t>
  </si>
  <si>
    <t>06/11/2025</t>
  </si>
  <si>
    <t>J500838891</t>
  </si>
  <si>
    <t>28/10/2025</t>
  </si>
  <si>
    <t>0412-1831298</t>
  </si>
  <si>
    <t>AV PRINCIPAL GULF, LOCAL NRO 15-A, SECTOR CHAPARIN, PUERTO LA CRUZ.</t>
  </si>
  <si>
    <t>4855.18</t>
  </si>
  <si>
    <t>00214</t>
  </si>
  <si>
    <t>ECOFARMACIA BOYACA, C.A</t>
  </si>
  <si>
    <t>J501167397</t>
  </si>
  <si>
    <t>0424-8870470</t>
  </si>
  <si>
    <t>CALLE MIRANDA, LOCAL I,  NRO PB, LOCAL 1, URB BOYACA II, BARCELONA</t>
  </si>
  <si>
    <t>12749.26</t>
  </si>
  <si>
    <t>00215</t>
  </si>
  <si>
    <t>FARMACIA CHIQUINQUIRA, C.A.</t>
  </si>
  <si>
    <t>J306664718</t>
  </si>
  <si>
    <t>0424-9474701</t>
  </si>
  <si>
    <t>CALLE LAS TRES ROSAS, LOCAL S/N, SECTOR LAS TRES</t>
  </si>
  <si>
    <t>14154.70</t>
  </si>
  <si>
    <t>0414-0862120 / 02812711218</t>
  </si>
  <si>
    <t>AV B, Nº 21, LOCAL  NRO 21B, URB BOYACA., BARCELONA</t>
  </si>
  <si>
    <t>00217</t>
  </si>
  <si>
    <t>FARMACIA CALLE PETION, C.A.</t>
  </si>
  <si>
    <t>J403469890</t>
  </si>
  <si>
    <t>0426-5946709</t>
  </si>
  <si>
    <t>CALLE PETION, LOCAL 01-06-01-05, SECTOR CENTRO TUCUPITA.</t>
  </si>
  <si>
    <t>75222.30</t>
  </si>
  <si>
    <t>0412-4993561</t>
  </si>
  <si>
    <t>AV 5, LOCAL NRO S/N, SECTOR LA CHARNECA EL TIGRE ANZOATEGUI</t>
  </si>
  <si>
    <t>0414-7729198</t>
  </si>
  <si>
    <t>CALLE EL JUNCAL LOCAL NRO S/N, SECTOR EL JUNCAL, PARROQUIA CAPITAL ROSCIO, MUNICIPIO ROSCIO GUASIPATI.</t>
  </si>
  <si>
    <t>00220</t>
  </si>
  <si>
    <t>FARMACIA LOS GODOS, C.A</t>
  </si>
  <si>
    <t>J080047850</t>
  </si>
  <si>
    <t>0424-9211130 /  0424-8327080</t>
  </si>
  <si>
    <t>CALLE 17, ANTIGUA CALLE LA PLANTA CASA NRO 251, SECTOR NEGRO PRIMERO .</t>
  </si>
  <si>
    <t>109888.10</t>
  </si>
  <si>
    <t>00221</t>
  </si>
  <si>
    <t>FARMACIA FARMAECONOMIA SAN ELIAS, C.A</t>
  </si>
  <si>
    <t>J295612427</t>
  </si>
  <si>
    <t>0414-8968772</t>
  </si>
  <si>
    <t>CR EL PALMAR CRUCE C/CRA GUASIPATI, EDIF BERCEMA PISO PB, LOCAL 01, SECTOR CENTRO, PUERTO ORDAZ.</t>
  </si>
  <si>
    <t>2011701.63</t>
  </si>
  <si>
    <t>0424-8919276 / 0412-1816634</t>
  </si>
  <si>
    <t>CALLE EMERGENCIA, LOCAL NRO 5, BARRIO GUZMAN LANDER, BARCELONA</t>
  </si>
  <si>
    <t>00223</t>
  </si>
  <si>
    <t>FARMACIA JAIME SABU C.A.</t>
  </si>
  <si>
    <t>15/10/2025</t>
  </si>
  <si>
    <t>J311806636</t>
  </si>
  <si>
    <t>27/09/2025</t>
  </si>
  <si>
    <t>+58 414-2597692</t>
  </si>
  <si>
    <t>CALLE NUEVA LOCAL FARMACIA JAIME SABU NRO 01 SECTOR LOS DOS CERRITOS MAIQUETIA LA GUAIRA</t>
  </si>
  <si>
    <t>112.44</t>
  </si>
  <si>
    <t>00224</t>
  </si>
  <si>
    <t>FARMACIA EL DORADO, C.A</t>
  </si>
  <si>
    <t>J401034705</t>
  </si>
  <si>
    <t>0414-7600619</t>
  </si>
  <si>
    <t>AV GUMILLA, CC EL DORADO, NIVEL S/N, LOCAL 1, SECTOR  LUIS HURTADO HIGUERA, CIUDAD GUAYANA SAN FELIX BOLIVAR</t>
  </si>
  <si>
    <t>289000.91</t>
  </si>
  <si>
    <t>00225</t>
  </si>
  <si>
    <t>COMERCIALIZADORA THIAGO, C.A</t>
  </si>
  <si>
    <t>J410462485</t>
  </si>
  <si>
    <t>MARIGUITAR</t>
  </si>
  <si>
    <t>0424-8342537</t>
  </si>
  <si>
    <t>8547</t>
  </si>
  <si>
    <t>CALLE LA MARINA, LOCAL NRO 2, SECTOR CENTRO MARIGUITAR. EDO SUCRE</t>
  </si>
  <si>
    <t>153946.11</t>
  </si>
  <si>
    <t>00226</t>
  </si>
  <si>
    <t>FARMACIA Y DISTRIBUIDORA CEREKA, C.A</t>
  </si>
  <si>
    <t>J500487550</t>
  </si>
  <si>
    <t>EL DORADO EDO BOLIVAR</t>
  </si>
  <si>
    <t>0414-8681944</t>
  </si>
  <si>
    <t>CALLE MIRANDA CASA BNRO S/N SECTOR EL DORADO EDO BOLIVAR</t>
  </si>
  <si>
    <t>00227</t>
  </si>
  <si>
    <t>FARMAPASEO, C.A.</t>
  </si>
  <si>
    <t>J500989911</t>
  </si>
  <si>
    <t>0414-2900802</t>
  </si>
  <si>
    <t>AV PASEO CARONI CON AV. GUARAPICHE, EDIF GALPON B, PISO PLANTA BAJA LOCAL, ZONA INDUSTRIAL UNARE PUERTO ORDAZ EDO BOLIVAR</t>
  </si>
  <si>
    <t>1044091.87</t>
  </si>
  <si>
    <t>00228</t>
  </si>
  <si>
    <t>LUIS WILFREDO ROJAS MEDINA</t>
  </si>
  <si>
    <t>V27706782</t>
  </si>
  <si>
    <t>0424-6712655</t>
  </si>
  <si>
    <t>AV PROLONGACION FUERZAS ARMADAS, CC RIVIERA REAL, NIVEL PB, LOCAL 09, URB RIO BARCELONA</t>
  </si>
  <si>
    <t>00230</t>
  </si>
  <si>
    <t>FARMACIA CARMEN ISAIAS, C.A</t>
  </si>
  <si>
    <t>J317063902</t>
  </si>
  <si>
    <t>15/09/2025</t>
  </si>
  <si>
    <t>ARAGUA DE BARCELONA</t>
  </si>
  <si>
    <t>0414-8463255</t>
  </si>
  <si>
    <t>8542</t>
  </si>
  <si>
    <t>CALLE ANZOATEGUI., LOCAL NRO 57, SECTOR EL ARROYO ARACUA ARAGUA DE BARCELONA ANZOATEGUI</t>
  </si>
  <si>
    <t>217405.56</t>
  </si>
  <si>
    <t>CARACAS / DISTRITO CAPITAL</t>
  </si>
  <si>
    <t>0414-1566634</t>
  </si>
  <si>
    <t>AV 5TA ENTRE AVENIDA COLOMBIA Y AVENIDA MEXICO EDIF STIO PISO PB LOCAL 1 URB PEREZ BONALDE CARACAS DISTRITO CAPITAL ZONA POSTAL 1030</t>
  </si>
  <si>
    <t>00232</t>
  </si>
  <si>
    <t>FARMA GLOBAL, C.A</t>
  </si>
  <si>
    <t>J501546592</t>
  </si>
  <si>
    <t>AV MARISCAL DE SUCRE LOCAL  NRO S/N SECTOR CASCO CENTRAL. SANTA ELENA DE UAIREN BOLIVAR ZONA POSTAL 8011</t>
  </si>
  <si>
    <t>68282.46</t>
  </si>
  <si>
    <t>0414-8420613</t>
  </si>
  <si>
    <t>CALLE MIRANDA, LOCAL NRO S/N, SECTOR CASCO CENTRAL PARIAGUAN.</t>
  </si>
  <si>
    <t>00234</t>
  </si>
  <si>
    <t>VINOTINTO FARMA, C.A.</t>
  </si>
  <si>
    <t>J412889524</t>
  </si>
  <si>
    <t>0414-9067164</t>
  </si>
  <si>
    <t>CALLE AYACUCHO. EDIF LIBANESA. PISO PLANTA BAJA. LOCAL 38. SECTOR CENTROP. PUNTA DE MATA. ESTADO MONAGAS</t>
  </si>
  <si>
    <t>91140.64</t>
  </si>
  <si>
    <t>00235</t>
  </si>
  <si>
    <t>CESAR ENRIQUE BRITO NUÑEZ</t>
  </si>
  <si>
    <t>V20404522</t>
  </si>
  <si>
    <t>115414.21</t>
  </si>
  <si>
    <t>00236</t>
  </si>
  <si>
    <t>V26516261</t>
  </si>
  <si>
    <t>8610</t>
  </si>
  <si>
    <t>SANTA ANA - NVA ESPARTA</t>
  </si>
  <si>
    <t>CALLE LIBERTAD CASA NRO S.N ZONA CENTRAL DE SANTA ANA MUNICIPIO GOMEZ SANTA ANA NUEVA ESPARTA</t>
  </si>
  <si>
    <t>VALENCIA</t>
  </si>
  <si>
    <t>0414-3472929</t>
  </si>
  <si>
    <t>8558</t>
  </si>
  <si>
    <t>16</t>
  </si>
  <si>
    <t>CARABOBO - ARAGUA</t>
  </si>
  <si>
    <t>CALLE 111, LOCAL NRO 103-A-120, URB LOS COLORADOS, VALENCIA CARABOBO</t>
  </si>
  <si>
    <t>00239</t>
  </si>
  <si>
    <t>FARMACIA SANA SANA C.B, C.A</t>
  </si>
  <si>
    <t>J405061944</t>
  </si>
  <si>
    <t>0424-8464612</t>
  </si>
  <si>
    <t>AV PRINCIPAL VEREDA 12, CASA NRO 1, URB TRONCONAL IV, BARCELONA</t>
  </si>
  <si>
    <t>198996.63</t>
  </si>
  <si>
    <t>00240</t>
  </si>
  <si>
    <t>LEO FARMA, C. A.</t>
  </si>
  <si>
    <t>J316673480</t>
  </si>
  <si>
    <t>0414-8504346</t>
  </si>
  <si>
    <t>AV BOLIVAR C/C PASEO HERES, EDIF RESIDENCIAS HERES, PISO PB, LOCAL B, PASEO HERES CIUDAD BOLIVAR.</t>
  </si>
  <si>
    <t>108945.13</t>
  </si>
  <si>
    <t>0414-1853418</t>
  </si>
  <si>
    <t>CALLE PRINCIPAL CASA S/N, SECTOR LA HORQUETA .</t>
  </si>
  <si>
    <t>00242</t>
  </si>
  <si>
    <t>FARMACIA MEDI FARMA ARAGUA, C.A</t>
  </si>
  <si>
    <t>J297197664</t>
  </si>
  <si>
    <t>0412-9876694</t>
  </si>
  <si>
    <t>CALLE BOLIVAR CRUCE CON CALLE COLON, LOCAL NRO 83 SECTOR CENTRAL ARAGUA</t>
  </si>
  <si>
    <t>0424-9340623 /  02856541587</t>
  </si>
  <si>
    <t>AV SAN FRANCISCO DE ASIS EDIF ROMULO PISO P/B LOCAL 03 URB VISTA HERMOSA MCPIO HERES CD BOLIVAR BOLIVAR ZONA POSTAL 8001</t>
  </si>
  <si>
    <t>0424-1041765 / 02869620945</t>
  </si>
  <si>
    <t>CR CACHAMAY CON CALLE ARO, CC BABILONIA MALL, NIVEL PB, LOCAL 25-3B, SECTOR ALTA VISTA .</t>
  </si>
  <si>
    <t>00245</t>
  </si>
  <si>
    <t>DONACIONES</t>
  </si>
  <si>
    <t>V1</t>
  </si>
  <si>
    <t>1373.21</t>
  </si>
  <si>
    <t>00246</t>
  </si>
  <si>
    <t>FARMACIA EL CRISTO REY, C.A</t>
  </si>
  <si>
    <t>J311953647</t>
  </si>
  <si>
    <t>RIO CARIBE</t>
  </si>
  <si>
    <t>0414-3818853 / 02946461028 /</t>
  </si>
  <si>
    <t>8548</t>
  </si>
  <si>
    <t>CALLE RIBERO CRUCE CON CRISTO REY, CASA  NRO 153 ZONA RIO CARIBE SUCRE</t>
  </si>
  <si>
    <t>4584.54</t>
  </si>
  <si>
    <t>00247</t>
  </si>
  <si>
    <t>FARMACIA JOCARI, C.A</t>
  </si>
  <si>
    <t>J295380143</t>
  </si>
  <si>
    <t>KAHORYS RIVERO</t>
  </si>
  <si>
    <t>AV PRINCIPAL CON CALLE LUIS PINEDA, EDIF RIBACEO, PISO PB, LOCAL 1, SECTOR LECHERIAS.</t>
  </si>
  <si>
    <t>191904.83</t>
  </si>
  <si>
    <t>00248</t>
  </si>
  <si>
    <t>FARMACIA MARKET CBL,C.A</t>
  </si>
  <si>
    <t>J501876622</t>
  </si>
  <si>
    <t>10/11/2025</t>
  </si>
  <si>
    <t>0412-1146244</t>
  </si>
  <si>
    <t>AV CASANOVA CON PASEO MENESES LOCAL NRO S/N SECTOR CENTURION, PARROQUIA CATEDRAL MUNICIPIO ANGOSTURA. ESTADO BOLIVAR</t>
  </si>
  <si>
    <t>45135.21</t>
  </si>
  <si>
    <t>00249</t>
  </si>
  <si>
    <t>FARMACIA FAMI FARMA MGM, C.A</t>
  </si>
  <si>
    <t>J502084878</t>
  </si>
  <si>
    <t>MARIARA EDO CARABOBO</t>
  </si>
  <si>
    <t>0412-4179721</t>
  </si>
  <si>
    <t>2001</t>
  </si>
  <si>
    <t>MARIARA</t>
  </si>
  <si>
    <t>29</t>
  </si>
  <si>
    <t>EDGAR VALENZUELA</t>
  </si>
  <si>
    <t>AV PRINCIPAL LOCAL NRO 03, SECTOR VISTA ALEGRE, Nº 29 MARIARA CARABOBO</t>
  </si>
  <si>
    <t>27705.09</t>
  </si>
  <si>
    <t>CAGUA EDO ARAGUA</t>
  </si>
  <si>
    <t>0412-0427584</t>
  </si>
  <si>
    <t>8596</t>
  </si>
  <si>
    <t>CAGUA-ARAGUA</t>
  </si>
  <si>
    <t>CALLE COMERCIO C/C MIRANDA EDIF CENTRO PROFESIONAL LOS ANDES PISO PB LOCAL 1 SECTOR CENTRO CAGUA ARAGUA.</t>
  </si>
  <si>
    <t>CAGUA</t>
  </si>
  <si>
    <t>0424-9735230</t>
  </si>
  <si>
    <t>CALLE PAEZ LOCAL NRO 6 SECTOR DALLA COSTA-GUASIPATI.</t>
  </si>
  <si>
    <t>00252</t>
  </si>
  <si>
    <t>FARMACIA SANTA BARBARA I, C.A</t>
  </si>
  <si>
    <t>J500380968</t>
  </si>
  <si>
    <t>0414-8794226</t>
  </si>
  <si>
    <t>CALLE DALLA COSTA  LOCAL NRO S/N, SECTOR CENTRO TUCUPITA.</t>
  </si>
  <si>
    <t>5329572.59</t>
  </si>
  <si>
    <t>0424-9330174</t>
  </si>
  <si>
    <t>CALLE POLANCO C/C CALLE ANDRES ELOY BLANCO LOCAL NRO 86 SECTOR CENTRO DE UPATA  ESTADO BOLIVAR UPATA BOLIVAR</t>
  </si>
  <si>
    <t>00254</t>
  </si>
  <si>
    <t>FARMACIA MULTIAHORRO PLC, C.A</t>
  </si>
  <si>
    <t>J500738412</t>
  </si>
  <si>
    <t>PUERTO LA CRUZ EDO ANZOATEGU</t>
  </si>
  <si>
    <t>0424-8237301 / 04265830819</t>
  </si>
  <si>
    <t>AV 5 DE JULIO CALLE  BUENOS AIRES EDIF DON GREGORIO PISO N/A, LOCAL 1 Y 2 PLANTA BAJA ZONA CENTRO PUERTO LA CRUZ</t>
  </si>
  <si>
    <t>1192801.45</t>
  </si>
  <si>
    <t>YAGUARAPARO</t>
  </si>
  <si>
    <t>0414-0893875</t>
  </si>
  <si>
    <t>8549</t>
  </si>
  <si>
    <t>CALLE BOLIVAR LOCAL  NRO 38, SECTOR CENTRO YAGUARAPANO SUCRE</t>
  </si>
  <si>
    <t>00256</t>
  </si>
  <si>
    <t>FARMACIA YEMAYA ,C.A</t>
  </si>
  <si>
    <t>24/10/2025</t>
  </si>
  <si>
    <t>J294412238</t>
  </si>
  <si>
    <t>0414-8239885</t>
  </si>
  <si>
    <t>CR VIA EL RINCON CC TERRAZAS DEL MAR NIVEL PB, LOCAL 3 SECTOR EL RINCON BARCELONA</t>
  </si>
  <si>
    <t>00257</t>
  </si>
  <si>
    <t>FARMANORTE R&amp;F, C.A.</t>
  </si>
  <si>
    <t>J501489629</t>
  </si>
  <si>
    <t>0412-3622200 / 02812697891 /</t>
  </si>
  <si>
    <t>CALLE ANZOATEGUI C/C CALLE 5 DE JULIO EDIF GALIA PISO PB LOCAL  A  SECTOR CENTRO PUERTO LA CRUZ .</t>
  </si>
  <si>
    <t>22638.17</t>
  </si>
  <si>
    <t>00258</t>
  </si>
  <si>
    <t>FARMACIA MULTIAHORRO GUANIPA ,C.A</t>
  </si>
  <si>
    <t>J411283029</t>
  </si>
  <si>
    <t>22/10/2025</t>
  </si>
  <si>
    <t>0424-8497958</t>
  </si>
  <si>
    <t>CALLE VENEZUELA LOCAL NRO S/N SECTOR MERCADO MUNICIPIO SAN JOSE DE GUANIPA EL TIGRITO ANZOZATEGUI</t>
  </si>
  <si>
    <t>147315.40</t>
  </si>
  <si>
    <t>FARMACIA VIRGEN DEL VALLE, C.A.</t>
  </si>
  <si>
    <t>CALLE NPATIVILCA CASA 34 SECTOR CENTRO-TUCUPITA</t>
  </si>
  <si>
    <t>00260</t>
  </si>
  <si>
    <t>FARMAHELP IM, C.A</t>
  </si>
  <si>
    <t>J500611447</t>
  </si>
  <si>
    <t>0412-4552954 / 0424-3746143</t>
  </si>
  <si>
    <t>CALLE BUENOS AIRES CASA NRO 40 SECTOR LOS COCOS MARACAY</t>
  </si>
  <si>
    <t>4075.90</t>
  </si>
  <si>
    <t>00261</t>
  </si>
  <si>
    <t>ANGEL PAUL CORTEZ</t>
  </si>
  <si>
    <t>V209180550</t>
  </si>
  <si>
    <t>0412-1183243</t>
  </si>
  <si>
    <t>AV PRINCIPAL CASA NRO S/N SECTOR EL FURRIAL</t>
  </si>
  <si>
    <t>00262</t>
  </si>
  <si>
    <t>FARMACIA CHIRICA VIEJA, C.A (GUASIPATI)</t>
  </si>
  <si>
    <t>FARMACIA CHIRICA VIEJA, C.A</t>
  </si>
  <si>
    <t>0414-7653683</t>
  </si>
  <si>
    <t>CALLE BOLIVAR, SECTOR LA PLAZA, DIAGONAL A LA PLAZA BOLIVAR GUASIPATI BOLIVAR</t>
  </si>
  <si>
    <t>00263</t>
  </si>
  <si>
    <t>FARMACIA MULTIAHORRO PARIAGUAN, C.A</t>
  </si>
  <si>
    <t>J500265646</t>
  </si>
  <si>
    <t>04248041578</t>
  </si>
  <si>
    <t>AV BOLIVAR CC MANGO NIVEL PB, LOCAL NRO 5 SECTOR EL CENTRO PARIAGUAN ANZOATEGUI</t>
  </si>
  <si>
    <t>1459514.68</t>
  </si>
  <si>
    <t>00264</t>
  </si>
  <si>
    <t>FARMACIA CENTER SALUD, C.A.</t>
  </si>
  <si>
    <t>J405653329</t>
  </si>
  <si>
    <t>0412-1803217</t>
  </si>
  <si>
    <t>AV BOLIVAR CC EL FRIO NIVEL PB LOCAL N-02 SECTOR EL FRIO PUERTO LA CRUZ</t>
  </si>
  <si>
    <t>00265</t>
  </si>
  <si>
    <t>FARMACIA FARMA SALUD INTEGRAL II, C.A</t>
  </si>
  <si>
    <t>4 semanas</t>
  </si>
  <si>
    <t>J413086794</t>
  </si>
  <si>
    <t>18/08/2025</t>
  </si>
  <si>
    <t>0414-8303149 / 02882215746</t>
  </si>
  <si>
    <t>AV BICENTENARIO C/C CALLE 19 DE ABRIL CC EL DATIL NIVEL PB LOCAL 1 SECTOR CENTRO PARROQUIA SECCION CAPITAL PIAR UPATA</t>
  </si>
  <si>
    <t>25602.84</t>
  </si>
  <si>
    <t>00266</t>
  </si>
  <si>
    <t>FARMALUZ EL TIGRE, C.A</t>
  </si>
  <si>
    <t>J412821741</t>
  </si>
  <si>
    <t>04248236698</t>
  </si>
  <si>
    <t>CR  TERCERA CARRERA SUR ENTRE CALLES 12 Y  13 SUR CASA NRO 206  SECTOR PUEBLO NUEVO SUR EL TIGRE</t>
  </si>
  <si>
    <t>604316.09</t>
  </si>
  <si>
    <t>0424-8550200</t>
  </si>
  <si>
    <t>AV MIGUEL FIGUERA MONTES DE OCA SECTOR EL BAJO PARIAGUAN ESTADO ANZOATEGUI</t>
  </si>
  <si>
    <t>0286-3182967 / 0416-7929138</t>
  </si>
  <si>
    <t>AV PRINCIPAL LOCAL NRO 02 SECTOR VISTA AL SOL RUTA 1 SAN FELIX CIUDAD GUAYANA</t>
  </si>
  <si>
    <t>00269</t>
  </si>
  <si>
    <t>FARMACIA MAITA  Y PAITO C.A</t>
  </si>
  <si>
    <t>07/10/2025</t>
  </si>
  <si>
    <t>J298972769</t>
  </si>
  <si>
    <t>TUNAPUY EDO SUCRE</t>
  </si>
  <si>
    <t>0426-7666907 / 0424-8384340</t>
  </si>
  <si>
    <t>8571</t>
  </si>
  <si>
    <t>TUNAPUY</t>
  </si>
  <si>
    <t>CALLE BOLIVAR CASA NRO S/N SECTOR CURIEPE TUNAPUY SUCRE</t>
  </si>
  <si>
    <t>00270</t>
  </si>
  <si>
    <t>FARMACIA VIDA NUEVA 2021, C.A (BOLIVAR)</t>
  </si>
  <si>
    <t>FARMACIA VIDA NUEVA 2021, C.A</t>
  </si>
  <si>
    <t>J501012083</t>
  </si>
  <si>
    <t>EL CALLAO EDO BOLIVAR</t>
  </si>
  <si>
    <t>0426-8982056</t>
  </si>
  <si>
    <t>CALLE VILLA LA RAMORA CASA S/NRO SECTOR LA GASOLINA EL CALLAO BOLIVAR</t>
  </si>
  <si>
    <t>258024.37</t>
  </si>
  <si>
    <t>00271</t>
  </si>
  <si>
    <t>FARMACIA RIO PLAZA, C.A.</t>
  </si>
  <si>
    <t>J411024341</t>
  </si>
  <si>
    <t>0414-8767277</t>
  </si>
  <si>
    <t>AV GUARAPICHE CON CALLE CHICANAG CC RIO PLAZA NIVEL PB LOCAL 07 SECTOR UNARE I PUERTO ORDAZ</t>
  </si>
  <si>
    <t>1255.84</t>
  </si>
  <si>
    <t>00272</t>
  </si>
  <si>
    <t>FARMACIA SAN MIGUEL, C.A (APURE)</t>
  </si>
  <si>
    <t>J294224334</t>
  </si>
  <si>
    <t>MANTECAL ESTADO APURE</t>
  </si>
  <si>
    <t>0416-7797347</t>
  </si>
  <si>
    <t>8575</t>
  </si>
  <si>
    <t>MANTECAL</t>
  </si>
  <si>
    <t>CALLE COMERCIO LOCAL NRO 01 SECTOR CENTRO MANTECAL APURE</t>
  </si>
  <si>
    <t>337.73</t>
  </si>
  <si>
    <t>00273</t>
  </si>
  <si>
    <t>FARMAZA, C.A (2)</t>
  </si>
  <si>
    <t>FARMAZA, C.A</t>
  </si>
  <si>
    <t>J409192229</t>
  </si>
  <si>
    <t>TEMBLADOR EDO MONAGAS</t>
  </si>
  <si>
    <t>0412-9471689</t>
  </si>
  <si>
    <t>8553</t>
  </si>
  <si>
    <t>TEMBLADOR</t>
  </si>
  <si>
    <t>CTRA NACIONAL VIA MATURIN LOCAL NRO S/N SECTOR LA MANGA 2 TEMBLADOR MONAGAS</t>
  </si>
  <si>
    <t>0414-8856899</t>
  </si>
  <si>
    <t>CALLE PRINCIPAL CC ZULIA NIVEL PB LOCAL SS SECTOR ALTA VISTA NORTE AL FRENTE DE LA PLAZA EL HIERRO PUERTO ORDAZ</t>
  </si>
  <si>
    <t>00275</t>
  </si>
  <si>
    <t>FARMACIA PERIFERICO,C.A</t>
  </si>
  <si>
    <t>J501139520</t>
  </si>
  <si>
    <t>0424-9115134</t>
  </si>
  <si>
    <t>AV PROLONGACION AV 5 DE JULIO C/C PASEO MORENO DE MENDOZA LOCAL NRO 06 URB BOLIVAR GRUPO 2 PARROQUIA CATEDRAL MUNICIPIO ANGOSTURA DEL ORINOCO.</t>
  </si>
  <si>
    <t>145872.99</t>
  </si>
  <si>
    <t>0414-3549032-04128253758</t>
  </si>
  <si>
    <t>CALLE PRINCIPAL CASA NRO S/N SECTOR BARRIO CENTRO MANTECAL APURE ZONA POSTAL 7010</t>
  </si>
  <si>
    <t>04/08/2025</t>
  </si>
  <si>
    <t>0424-8255278</t>
  </si>
  <si>
    <t>AV JOSE ANTONIO ANZOATEGUI CASA S/N SECTOR MONTAÑITA ARAGUA ANZOATEGUI</t>
  </si>
  <si>
    <t>00278</t>
  </si>
  <si>
    <t>KAROLAY DEL VALLE RODRIGUEZ ASCANIO</t>
  </si>
  <si>
    <t>V22620196</t>
  </si>
  <si>
    <t>FUNDEMOS</t>
  </si>
  <si>
    <t>10142.44</t>
  </si>
  <si>
    <t>00279</t>
  </si>
  <si>
    <t>FARMACIA FARMASALUD 17 DE DICIEMBRE.C.A (SUCURSAL)</t>
  </si>
  <si>
    <t>FARMACIA FARMASALUD 17 DE DICIEMBRE.C.A</t>
  </si>
  <si>
    <t>J501071527</t>
  </si>
  <si>
    <t>SAN FELIX EDO BOLIVAR</t>
  </si>
  <si>
    <t>AV 17 DE DICIEMBRE LOCAL NRO S/N SECTOR 17 DE DICIEMBRE MUNICIPIO ANGOSTURA DEL ORINOCO ZONA POSTAL 8001</t>
  </si>
  <si>
    <t>334246.38</t>
  </si>
  <si>
    <t>0424-9109096</t>
  </si>
  <si>
    <t>AV PRINCIPAL CALLE PIAR FRENTE ANTIGUA BODEGA ANA TUMEREMO</t>
  </si>
  <si>
    <t>00281</t>
  </si>
  <si>
    <t>FARMACIA M&amp;M MARQUEZ MARCANO, C.A</t>
  </si>
  <si>
    <t>J404684050</t>
  </si>
  <si>
    <t>0424-9038333</t>
  </si>
  <si>
    <t>CALLE 17 CON CARRERA 9 EDIF HOTEL POSADA LA GABBIA PISO 1 LOCAL B, SECTOR CENTRO.</t>
  </si>
  <si>
    <t>0424-3171074</t>
  </si>
  <si>
    <t>8572</t>
  </si>
  <si>
    <t>CALLE PRINCIPAL EDIF DOÑA CLARA PISO PB LOCAL S/N SECTOR EL MANGUITO ACHAGUAS</t>
  </si>
  <si>
    <t>00283</t>
  </si>
  <si>
    <t>JUMBOFARMA CARIPITO, C.A</t>
  </si>
  <si>
    <t>J403986584</t>
  </si>
  <si>
    <t>0424-8881366</t>
  </si>
  <si>
    <t>AV JERUSALEM CC JUMBO NIVEL PB LOCAL 12  SECTOR LA FLORESTA CARIPITO</t>
  </si>
  <si>
    <t>95464.86</t>
  </si>
  <si>
    <t>00284</t>
  </si>
  <si>
    <t>FARMACIA SAN JUDAS TADEO (CARUPANO)</t>
  </si>
  <si>
    <t>FARMACIA SAN JUDAS TADEO</t>
  </si>
  <si>
    <t>V039467093</t>
  </si>
  <si>
    <t>0412-3042793</t>
  </si>
  <si>
    <t>CALLE 02 LOCAL NRO 11 SECTOR II URB GUAYACAN DE LAS FLORES SUCRE CARUPANO SUCRE</t>
  </si>
  <si>
    <t>44133.88</t>
  </si>
  <si>
    <t>CIUDAD BOLIVAR EDO BOLIVAR</t>
  </si>
  <si>
    <t>0414-3889156</t>
  </si>
  <si>
    <t>Av 17 de Diciembre CC Florida Nivel PB local 1 Sector Av 17 de Diciembre Negro Primero Parroquia Vista Hermosa Municupio Heres Ciudad Bolivar Bolivar Zona post</t>
  </si>
  <si>
    <t>Av Libertador Cruce con Calle Los Nisperos CC Ciudad Traky nivel PB local LF 18D. Urb Medina Angarita . 
Estado Bolivar. Municipio Heres. Parroquia Catedral. C</t>
  </si>
  <si>
    <t>00287</t>
  </si>
  <si>
    <t>ECOFARMACIA, C.A</t>
  </si>
  <si>
    <t>J403614393</t>
  </si>
  <si>
    <t>0424-8287066</t>
  </si>
  <si>
    <t>AV 1 LOCAL NRO 6 SECTOR III URBANIZACION BOYACA III  BARCELONA</t>
  </si>
  <si>
    <t>18456.39</t>
  </si>
  <si>
    <t>0424-8811524</t>
  </si>
  <si>
    <t>CALLE PAEZ CRUCE CON BOLIVAR CASA NRO S/N SECTOR CASCO CENTRAL ARAGUA DE BARCELONA</t>
  </si>
  <si>
    <t>00289</t>
  </si>
  <si>
    <t>MIA PHARMA, C.A</t>
  </si>
  <si>
    <t>J501671583</t>
  </si>
  <si>
    <t>0414-7670942</t>
  </si>
  <si>
    <t>CALLE MAMA TERE  LOCAL Nº 29 SECTOR TIPURO</t>
  </si>
  <si>
    <t>00290</t>
  </si>
  <si>
    <t>LA BOTICA DE YOLANDA, C.A</t>
  </si>
  <si>
    <t>J501436053</t>
  </si>
  <si>
    <t>0416-8800893</t>
  </si>
  <si>
    <t>CALLE CARABOBO CASA NRO 127 SECTOR CAMPO LAS DELICIAS JUSEPIN MONAGAS ZONA POSTAL 6204 JUSEPIN</t>
  </si>
  <si>
    <t>0414-4600551</t>
  </si>
  <si>
    <t>CALLE FRANCISCO J CARABALLO LOCAL NRO SN SECTOR CENTRO</t>
  </si>
  <si>
    <t>00292</t>
  </si>
  <si>
    <t>FARMACIA EL FORTIN, C.A</t>
  </si>
  <si>
    <t>04/11/2025</t>
  </si>
  <si>
    <t>J500481322</t>
  </si>
  <si>
    <t>0412-3629000</t>
  </si>
  <si>
    <t>CALLE SUCRE EDIF HUNG PISO PB LOCAL L-3 ZONA CENTRO</t>
  </si>
  <si>
    <t>107716.76</t>
  </si>
  <si>
    <t>00293</t>
  </si>
  <si>
    <t>FARMACIA SANTO TOME S.R.L</t>
  </si>
  <si>
    <t>J095091449</t>
  </si>
  <si>
    <t>0414-8921327</t>
  </si>
  <si>
    <t>CALLE CHIPIA CON CALLE CEDEÑO EDIF EL PORVENIR PISO PB LOCAL D SECTOR CENTRO</t>
  </si>
  <si>
    <t>CALLE CHARAIMA. CASA NRO 02-21. SECTOR JOSÉ GREGORIO HERNÀNDEZ. CIUDAD GUAYANA. ESTADO BOLIVAR.</t>
  </si>
  <si>
    <t>CUMANA ESTADO SUCRE</t>
  </si>
  <si>
    <t>0414-3937876</t>
  </si>
  <si>
    <t>AV ARISMENDI EDIF BOTICA EL INDIO PISO PB LOCAL 195 SECTOR LAS CUATRO ESQUINAS CUMANA SUCRE</t>
  </si>
  <si>
    <t>0414-7655631</t>
  </si>
  <si>
    <t>AV BOLIVAR CASA NRO 36 SECTOR CENTRO</t>
  </si>
  <si>
    <t>00297</t>
  </si>
  <si>
    <t>FARMACIA DIVINO NIÑO III, C.A</t>
  </si>
  <si>
    <t>J311111000</t>
  </si>
  <si>
    <t>0414-2961187  / 04142963490</t>
  </si>
  <si>
    <t>AV LIBERTADOR CASA NRO S/N SECTOR CENTRO VALLE DE LA PASCUA. GUARICO ZONA POSTAL 2307</t>
  </si>
  <si>
    <t>340553.25</t>
  </si>
  <si>
    <t>0424-7027102</t>
  </si>
  <si>
    <t>CALLE JUNCAL CASCO CENTRAL ENTRE CALLE GIRARDOT Y DEMOCRACIA EDIF ATTIE PISO 1-A  LOCAL PHARMACURE SECTOR EL TERMINAL</t>
  </si>
  <si>
    <t>0412-3508313</t>
  </si>
  <si>
    <t>CALLE JOAQUIN MANEIRO LOCAL GONDOLA NRO S/N SECTOR PAMPATAR</t>
  </si>
  <si>
    <t>0412-0281012 / 02943311034 /</t>
  </si>
  <si>
    <t>AV INDEPENDENCIA CASA NRO  42 SECTOR SANTA ROSA  CARUPANO SUCRE</t>
  </si>
  <si>
    <t>00301</t>
  </si>
  <si>
    <t>FARMACIA LA CAMPIÑA, S. R. L.</t>
  </si>
  <si>
    <t>J095020037</t>
  </si>
  <si>
    <t>0424-9113059</t>
  </si>
  <si>
    <t>AV  NUEVA GRANADA EDIF AMERICA PISO PB LOCAL 02 SECTOR NEGRO PRIMERO PQUIA VTA HERMOSA</t>
  </si>
  <si>
    <t>24947.97</t>
  </si>
  <si>
    <t>0426-7630193</t>
  </si>
  <si>
    <t>CALLE RIVERO EDIF SAN MIGUEL PISO PB LOCAL 77-B SECTOR RIO CARIBE SUCRE</t>
  </si>
  <si>
    <t>00303</t>
  </si>
  <si>
    <t>FARMACIA ROSAJOSE,S.A</t>
  </si>
  <si>
    <t>J500499027</t>
  </si>
  <si>
    <t>0414-1948764 / 02943310285 /</t>
  </si>
  <si>
    <t>CALLE LAS MARGARITAS CON AVENIDA INDEPENDENCIA LOCAL  NRO 131-B LOCAL 13 1-B ZONA CENTRO CARUPANO SUCRE</t>
  </si>
  <si>
    <t>18907.75</t>
  </si>
  <si>
    <t>00304</t>
  </si>
  <si>
    <t>TODOFARMA, C.A (SUCRE)</t>
  </si>
  <si>
    <t>TODOFARMA, C.A</t>
  </si>
  <si>
    <t>J309162683</t>
  </si>
  <si>
    <t>0426-1278794 / 02943313047 /</t>
  </si>
  <si>
    <t>CALLE JUNCAL ZONA CENTRO DE CARUPANO LOCALES 5Y6 ESTADO SUCRE. 
Estado Sucre. Municipio Bermúdez. Parroquia Santa Catalina. Carupano</t>
  </si>
  <si>
    <t>93028.95</t>
  </si>
  <si>
    <t>00305</t>
  </si>
  <si>
    <t>(MATRIZ) SUMINISTROS THIAGO, C.A</t>
  </si>
  <si>
    <t>J500267665</t>
  </si>
  <si>
    <t>00306</t>
  </si>
  <si>
    <t>FARMACIA COMUNITARIA LA MANGA, C.A</t>
  </si>
  <si>
    <t>J080099761</t>
  </si>
  <si>
    <t>0416-6661263</t>
  </si>
  <si>
    <t>CR 6 ANTIGUA CALLE BERMUDEZ LOCAL NRO 01 SECTOR CENTRO MATURIN MONAGAS ZONA</t>
  </si>
  <si>
    <t>0414-4671356</t>
  </si>
  <si>
    <t>AV 4 DE MAYO CC GENOVES NIVEL UNICO LOCAL 02 SECTOR GENOVES PORLAMAR</t>
  </si>
  <si>
    <t>00308</t>
  </si>
  <si>
    <t>FARMACIA CARMEN LUZ , C.A</t>
  </si>
  <si>
    <t>J295759150</t>
  </si>
  <si>
    <t>0414-8781647</t>
  </si>
  <si>
    <t>CALLE VARGAS C/C CALLE SUCRE EDIF CRISMAR PISO PB LOCAL 01 SECTOR CENTRO PARROQUIA SECCION CAPITAL PIAR UPATA</t>
  </si>
  <si>
    <t>11036.25</t>
  </si>
  <si>
    <t>0414-8415786</t>
  </si>
  <si>
    <t>AV FERNANDEZ PADILLA, ENTRE CALLE JUNIN Y 18 DE OCTUBRE LOCAL NRO 1 SECTOR CENTRAL SAN JOSE DE GUANIPA</t>
  </si>
  <si>
    <t>J501139490</t>
  </si>
  <si>
    <t>04140948841</t>
  </si>
  <si>
    <t>CALLE INDEPENDENCIA EDIF AFAMIA PISO P/B LOCAL  A-5 SECTOR PASEO MENESES PARROQUIA CATEDRAL MUNICIPIO ANGOSTURA DEL ORINOCO CIUDAD BOLIVAR BOLIVAR</t>
  </si>
  <si>
    <t>00311</t>
  </si>
  <si>
    <t>FARMACIA PORTAL FARMA,C.A</t>
  </si>
  <si>
    <t>J500344112</t>
  </si>
  <si>
    <t>0424-8349508</t>
  </si>
  <si>
    <t>AV SANTA ROSA ENTRE 5TA Y 6TA TRANSVERSAL LOCAL 69 SECTOR SANTA ROSA  CUMANA SUCRE</t>
  </si>
  <si>
    <t>206125.54</t>
  </si>
  <si>
    <t>0412-9462641</t>
  </si>
  <si>
    <t>AV PROLONGACION PASEO COLON LOCAL LA ENSENADA NRO 12 SECTOR EL PARAISO, PUERTO LA CRUZ.</t>
  </si>
  <si>
    <t>00313</t>
  </si>
  <si>
    <t>FARMACIA SU SALUD, C.A (SUCURSAL MIRAFLORES)</t>
  </si>
  <si>
    <t>FARMACIA SU SALUD, C.A</t>
  </si>
  <si>
    <t>0416-490-4342</t>
  </si>
  <si>
    <t>CALLE CHARVONETH, CAMPO MIRAFLORES, MIRAFLORES ESTADO MONAGAS</t>
  </si>
  <si>
    <t>30998.35</t>
  </si>
  <si>
    <t>0414-8295624</t>
  </si>
  <si>
    <t>AV CAJIGAL EDIF DAYANA PISO PB LOCAL B BARRIO PORTUGAL ABAJO BARCELONA</t>
  </si>
  <si>
    <t>URB ALBERTO RAVELL</t>
  </si>
  <si>
    <t>00316</t>
  </si>
  <si>
    <t>FARMACIA ALBA MARIANA ,C.A</t>
  </si>
  <si>
    <t>J303077439</t>
  </si>
  <si>
    <t>CASANAY</t>
  </si>
  <si>
    <t>0416-1889835</t>
  </si>
  <si>
    <t>8557</t>
  </si>
  <si>
    <t>CALLE PERU LOCAL COMERCIAL NRO 17 ZONA CENTRO CASANAY SUCRE.</t>
  </si>
  <si>
    <t>98712.01</t>
  </si>
  <si>
    <t>CARIACO</t>
  </si>
  <si>
    <t>0416-1417282 / 0412-1181656</t>
  </si>
  <si>
    <t>8556</t>
  </si>
  <si>
    <t>CALLE BOLIVAR CASA NRO 07 SECTOR MERCADO MUNICIPAL CARIACO ESTADO SUCRE</t>
  </si>
  <si>
    <t>00318</t>
  </si>
  <si>
    <t>BARAK FARMA, C.A</t>
  </si>
  <si>
    <t>10/10/2025</t>
  </si>
  <si>
    <t>J500881177</t>
  </si>
  <si>
    <t>0414-8819791</t>
  </si>
  <si>
    <t>AV FRANCISCO DE MIRANDA CC CIUDAD TEMBLADOR NIVEL PB LOCAL NRO 2 SECTOR CENTRO TEMBLADOR.</t>
  </si>
  <si>
    <t>00319</t>
  </si>
  <si>
    <t>FARMACIA CARMEN ISABEL, C.A</t>
  </si>
  <si>
    <t>J402120370</t>
  </si>
  <si>
    <t>0412-1873785</t>
  </si>
  <si>
    <t>CALLE ACOSTA. CRUCE CON PANAMA CASA NRO 114. ZONA CENTRO CARUPANO. CARUPANO SUCRE.</t>
  </si>
  <si>
    <t>38940.74</t>
  </si>
  <si>
    <t>00320</t>
  </si>
  <si>
    <t>FARMACIA SAN SALVADOR, C.A.</t>
  </si>
  <si>
    <t>J305353115</t>
  </si>
  <si>
    <t>0424-8055724</t>
  </si>
  <si>
    <t>CALLE CARABOBO LOCAL NRO 38 SECTOR LAS PARCELAS I ANACO ANZOATEGUI</t>
  </si>
  <si>
    <t>1162893.06</t>
  </si>
  <si>
    <t>00321</t>
  </si>
  <si>
    <t>FARMACENTRO C.A</t>
  </si>
  <si>
    <t>20/09/2025</t>
  </si>
  <si>
    <t>J314251287</t>
  </si>
  <si>
    <t>07/08/2025</t>
  </si>
  <si>
    <t>CALLE 05 (ZOILO VIDAL) LOCAL NRO 37 ZONA CENTRO DE SANFELIX.</t>
  </si>
  <si>
    <t>AV MARACAY C/C AVENIDA UPATA CC PHENICIA NIVEL PB LOCAL 15 SECTOR AV. UPATA CIUDAD BOLIVAR BOLIVAR</t>
  </si>
  <si>
    <t>00323</t>
  </si>
  <si>
    <t>FARMAYUPPI, C.A</t>
  </si>
  <si>
    <t>J500742355</t>
  </si>
  <si>
    <t>0412-1340226</t>
  </si>
  <si>
    <t>AV JORGE RODRIGUEZ LOCAL NRO S/N SECTOR ISLA DE CUBA PUERTO LA CRUZ</t>
  </si>
  <si>
    <t>129837.65</t>
  </si>
  <si>
    <t>0424-9257178</t>
  </si>
  <si>
    <t>CALLE COLOMBIA EDIF SIMOGAR PISO P/B LOCAL S/N SECTOR CASCO CENTRAL CASANAY SUCRE</t>
  </si>
  <si>
    <t>00325</t>
  </si>
  <si>
    <t>FARMACIA DON JESUS, C.A</t>
  </si>
  <si>
    <t>J310798559</t>
  </si>
  <si>
    <t>AV BICENTENARIO EDIF TURPIAL PISO PB LOCAL 1 SECTOR CENTRO</t>
  </si>
  <si>
    <t>00326</t>
  </si>
  <si>
    <t>FARMACIA CHEINA, C.A</t>
  </si>
  <si>
    <t>J500499094</t>
  </si>
  <si>
    <t>0424-9292588</t>
  </si>
  <si>
    <t>CALLE JUNCAL LOCAL S/N SECTOR ALTO PERU PARROQUIA CAPITAL ROSCO GUASIPATI</t>
  </si>
  <si>
    <t>34915.84</t>
  </si>
  <si>
    <t>0414-8932796</t>
  </si>
  <si>
    <t>AV. 05 DE JULIO. LOCAL NRO 135 SECTOR CENTRO PUERTO LA CRUZ ANZOATEGUI.</t>
  </si>
  <si>
    <t>0414-5425060/0281-2676411 /</t>
  </si>
  <si>
    <t>AV PRINCIPAL RAZETTI LOCAL FARMACIA OK NRO 53 SECTOR RAZETTI BARCELONA</t>
  </si>
  <si>
    <t>00329</t>
  </si>
  <si>
    <t>CITY PHARMA, C.A</t>
  </si>
  <si>
    <t>J406127957</t>
  </si>
  <si>
    <t>0424-8722605</t>
  </si>
  <si>
    <t>CALLE ACOSTA EDIF HAIDEE PISO PLANTA BAJA LOCAL 01 SECTOR CENTRO CARUPANO SUCRE</t>
  </si>
  <si>
    <t>00330</t>
  </si>
  <si>
    <t>FARMACIA VIRGEN DE FATIMA II,C.A</t>
  </si>
  <si>
    <t>J316759822</t>
  </si>
  <si>
    <t>0414-0918919</t>
  </si>
  <si>
    <t>CALLE GUZMAN BLANCO EDIF GRUPO PROFESIONAL BEDROS PISO 01 OF 40 SECTOR CENTRO CARIPE ESTADO MONAGAS</t>
  </si>
  <si>
    <t>62450.38</t>
  </si>
  <si>
    <t>00331</t>
  </si>
  <si>
    <t>FARMACIA Y SUMINISTRO ESTETOSCOPIO VENEZUELA, C.A</t>
  </si>
  <si>
    <t>J297712631</t>
  </si>
  <si>
    <t>0424-8699025</t>
  </si>
  <si>
    <t>AV APAMATE CASA A-25B LOCAL ANEXO URB VISTA ALTA SECTOR HOSPITAL RAZETTE BARCELONA.</t>
  </si>
  <si>
    <t>13669.61</t>
  </si>
  <si>
    <t>00332</t>
  </si>
  <si>
    <t>PHARMA MEDICA NAZARETH, C.A</t>
  </si>
  <si>
    <t>J406371068</t>
  </si>
  <si>
    <t>0414-7624999</t>
  </si>
  <si>
    <t>CR 8-A ANTIGUA CALLE PIAR CASA 83 NRO LOCAL B SECTOR CENTRO.</t>
  </si>
  <si>
    <t>00333</t>
  </si>
  <si>
    <t>FARMA NANA, C.A</t>
  </si>
  <si>
    <t>J400068223</t>
  </si>
  <si>
    <t>0412-1835607 / 02812660591 /</t>
  </si>
  <si>
    <t>AV 05 DE JULIO EDIF ORIENTE PISO PB LOCAL 1 Y 2  SECTOR CENTRO PUERTO LA CRUZ</t>
  </si>
  <si>
    <t>51384.34</t>
  </si>
  <si>
    <t>0414-7771018</t>
  </si>
  <si>
    <t>CALLE LA PAZ LOCAL NRO 02 SECTOR COCHABAMBA CUMANA SUCRE</t>
  </si>
  <si>
    <t>0424-9650339</t>
  </si>
  <si>
    <t>CALLE ROSCIO LOCAL 2 MINICENTRO EL COMANDANTE SECTOR EL OBELISCO EL CALLAO</t>
  </si>
  <si>
    <t>0424-8693804</t>
  </si>
  <si>
    <t>AV. UPATA EDIF DEPOSITO CERAMICAS GUAYANA PB LOCAL 1 Y 2 SECTOR MEDINA ANGARITA CIUDAD BOLIVAR ESTADO BOLIVAR. 
Estado Bolivar. Municipio Heres. Parroquia Agua</t>
  </si>
  <si>
    <t>00337</t>
  </si>
  <si>
    <t>BOTIQUERIA GUASIPATI, C.A</t>
  </si>
  <si>
    <t>J502491910</t>
  </si>
  <si>
    <t>0424-9101368</t>
  </si>
  <si>
    <t>CALLE EL JUNCAL LOCAL NRO S/N SECTOR GUASIPATI.</t>
  </si>
  <si>
    <t>2691485.62</t>
  </si>
  <si>
    <t>00338</t>
  </si>
  <si>
    <t>FARMA HOSPITAL CA.</t>
  </si>
  <si>
    <t>J306315195</t>
  </si>
  <si>
    <t>0416-5437488</t>
  </si>
  <si>
    <t>AV CARACAS. EDIF. VILLAMED. PISO P.B. LOCAL S/N. SECTOR CENTRO. SAN FERNANDO DE APURE. ESTADO APURE</t>
  </si>
  <si>
    <t>1723172.29</t>
  </si>
  <si>
    <t>00339</t>
  </si>
  <si>
    <t>VIDA FARMA ACTIVA, C.A.</t>
  </si>
  <si>
    <t>J500687389</t>
  </si>
  <si>
    <t>0412-8371371</t>
  </si>
  <si>
    <t>CALLE PRINCIPAL CASA NRO S/N LA PUENTE.</t>
  </si>
  <si>
    <t>0412-1834143 /  0293-4163348</t>
  </si>
  <si>
    <t>AV PRINCIPAL LOCAL NRO 01 URB LA LLANADA SECTOR I CUMANA SUCRE</t>
  </si>
  <si>
    <t>00341</t>
  </si>
  <si>
    <t>FARMACIA FARMASALO, C.A</t>
  </si>
  <si>
    <t>J501862010</t>
  </si>
  <si>
    <t>0414-7676172</t>
  </si>
  <si>
    <t>AV FRANCISCO DE MIRANDA LOCAL NRO 24 SECTOR TEMBLADOR</t>
  </si>
  <si>
    <t>61811.68</t>
  </si>
  <si>
    <t>00342</t>
  </si>
  <si>
    <t>FARMACIA MEDITERRANEO, C.A</t>
  </si>
  <si>
    <t>J401307868</t>
  </si>
  <si>
    <t>0424-9339770</t>
  </si>
  <si>
    <t>AV ROMULO GALLEGOS CON CALLE 02 CC AMIEVA NIVEL  P-B LOCAL 1.2.3 Y 4 SECTOR BRISAS DEL AEROPUERTO MATURIN</t>
  </si>
  <si>
    <t>00343</t>
  </si>
  <si>
    <t>FARMACIA MULTI MAFER C.A.</t>
  </si>
  <si>
    <t>J402027761</t>
  </si>
  <si>
    <t>10/09/2025</t>
  </si>
  <si>
    <t>CUMANACOA</t>
  </si>
  <si>
    <t>0424-8741720</t>
  </si>
  <si>
    <t>8561</t>
  </si>
  <si>
    <t>AV ANTONIO JOSE DE SUCRE CASA NRO 101 SECTOR EL CENTRO CUMANACOA SUCRE</t>
  </si>
  <si>
    <t>00344</t>
  </si>
  <si>
    <t>FARMACIA CARIPE, C.A. (CARACAS)</t>
  </si>
  <si>
    <t>FARMACIA CARIPE, C.A.</t>
  </si>
  <si>
    <t>06/10/2025</t>
  </si>
  <si>
    <t>J313908355</t>
  </si>
  <si>
    <t>0424-7474533 / 02126336326 0</t>
  </si>
  <si>
    <t>AV PROLONGAGACION ZULOAGA LOCAL NUMERO 27 NRO PB URB LOS ROSALES CARACAS.</t>
  </si>
  <si>
    <t>0412-2152342</t>
  </si>
  <si>
    <t>AV CAJIGAL LOCAL NRO 17-52 SECTOR PORTUGAL ABAJO</t>
  </si>
  <si>
    <t>0412-0810095</t>
  </si>
  <si>
    <t>CALLE BERMUDEZ CASA 165 SECTOR PLAZA BERMUDEZ CARIACO SUCRE</t>
  </si>
  <si>
    <t>00347</t>
  </si>
  <si>
    <t>FARMACIA SAN CARLOS, C.A</t>
  </si>
  <si>
    <t>J302493129</t>
  </si>
  <si>
    <t>27/10/2025</t>
  </si>
  <si>
    <t>0416-7777468</t>
  </si>
  <si>
    <t>CALLE VENEZUELA CASA NRO 80 SECTOR CENTRO CASANAY SUCRE</t>
  </si>
  <si>
    <t>00348</t>
  </si>
  <si>
    <t>FARMACIA VIRGEN DE CHIQUINQUIRA</t>
  </si>
  <si>
    <t>V094530420</t>
  </si>
  <si>
    <t>SAN JOSE DE AEROCUAR</t>
  </si>
  <si>
    <t>0424-7822916</t>
  </si>
  <si>
    <t>8562</t>
  </si>
  <si>
    <t>CALLE SUCRE CASA NRO 23 SECTOR SAN JOSE DE AEROCUAR SAN JOSE DE AEROCUAR SUCRE</t>
  </si>
  <si>
    <t>40905.12</t>
  </si>
  <si>
    <t>0281-2740333</t>
  </si>
  <si>
    <t>AV MIRANDA EDIF MARY PISO PB LOCAL 1 SECTOR PALOTAL BARCELONA</t>
  </si>
  <si>
    <t>0414-7797697</t>
  </si>
  <si>
    <t>8563</t>
  </si>
  <si>
    <t>SANTA ANA ANZOATEGUI</t>
  </si>
  <si>
    <t>CALLE SOTILLO CRUCE CON CALLE SUCRE LOCAL NRO S/N ZONA SANTA ANA ANZOATEGUI</t>
  </si>
  <si>
    <t>AV ANZOATEGUI LOCAL NRO S/N ZONA ARAGUA DE BARCELONA.</t>
  </si>
  <si>
    <t>00352</t>
  </si>
  <si>
    <t>FARMACIA CORAZON DE JESUS I,C.A</t>
  </si>
  <si>
    <t>J500380801</t>
  </si>
  <si>
    <t>0414-0913936</t>
  </si>
  <si>
    <t>CALLE PATIVICA LOCAL NRO 02  LOCAL DOS SECTOR CENTRO TUCUPITA.</t>
  </si>
  <si>
    <t>154732.19</t>
  </si>
  <si>
    <t>00353</t>
  </si>
  <si>
    <t>FARMA COLOMBIA, C.A</t>
  </si>
  <si>
    <t>J501660611</t>
  </si>
  <si>
    <t>0416-5918792</t>
  </si>
  <si>
    <t>CALLE 23 DE ENERO LOCAL NRO S/N SECTOR EL DORADO BOLIVAR</t>
  </si>
  <si>
    <t>1074323.78</t>
  </si>
  <si>
    <t>00354</t>
  </si>
  <si>
    <t>FARMACIA MERUEM 08, SUCURSAL. C.A (BOLIVAR)</t>
  </si>
  <si>
    <t>FARMACIA MERUEM 08, SUCURSAL. C.A</t>
  </si>
  <si>
    <t>LAS CLARITAS EDO BOLIVAR</t>
  </si>
  <si>
    <t>0416-6956814</t>
  </si>
  <si>
    <t>8519</t>
  </si>
  <si>
    <t>LAS CLARITAS</t>
  </si>
  <si>
    <t>TRONCAL 10 SECTOR LAS CLARITAS, CARRETERA INTERCONTINENTAL BRASIL-VENEZUELA KILOMETRO 85 PARROQUIA SAN ISIDRO LAS CLARITAS BOLIVAR</t>
  </si>
  <si>
    <t>00355</t>
  </si>
  <si>
    <t>FARMACIA NUEVO TERMINAL, C.A.</t>
  </si>
  <si>
    <t>J309355414</t>
  </si>
  <si>
    <t>AV ANTONIO JOSE DE SUCRE. LOCAL LOCAL COMERCIAL SECTOR PINTO SALINAS. CALABOZO. CALABOZO. ESTADO GUÁRICO</t>
  </si>
  <si>
    <t>758557.03</t>
  </si>
  <si>
    <t>00356</t>
  </si>
  <si>
    <t>LARED FARMACIA, C.A</t>
  </si>
  <si>
    <t>J501157928</t>
  </si>
  <si>
    <t>0424-9316109</t>
  </si>
  <si>
    <t>CALLE 9 LOCAL NRO 3 SECTOR LOS GUARITOS MATURIN ESTADO MONAGAS</t>
  </si>
  <si>
    <t>00357</t>
  </si>
  <si>
    <t>FARMARKET, C.A</t>
  </si>
  <si>
    <t>J501834954</t>
  </si>
  <si>
    <t>0414-8673321</t>
  </si>
  <si>
    <t>AV RAUL LEONI LOCAL NRO S/N SECTOR SANTA INES.</t>
  </si>
  <si>
    <t>00358</t>
  </si>
  <si>
    <t>LEBIGFARMA, C.A</t>
  </si>
  <si>
    <t>J500972610</t>
  </si>
  <si>
    <t>0426-7921034</t>
  </si>
  <si>
    <t>CALLE PRINCIPAL CASA NRO S/N SECTOR EL AEROPUERTO EL DORADO BOLIVAR</t>
  </si>
  <si>
    <t>0414-7815508</t>
  </si>
  <si>
    <t>CALLE CONGRESILLO LOCAL NRO 14, CASERIO CARIACO SUCRE</t>
  </si>
  <si>
    <t>00360</t>
  </si>
  <si>
    <t>UNI-FARMA C,A</t>
  </si>
  <si>
    <t>J500816375</t>
  </si>
  <si>
    <t>0412-8760000 /</t>
  </si>
  <si>
    <t>CELLE VENEZUELA NRO 122 CC UNICENTRO NIVEL PB LOCAL 01 SECTOR PASEO ORINOCO PARROQUIA CATEDRAL MUNICIPIO ANGOSTURA DEL ORINOCO .</t>
  </si>
  <si>
    <t>19590.37</t>
  </si>
  <si>
    <t>00361</t>
  </si>
  <si>
    <t>FARMACIA SOFI SALUD, C.A</t>
  </si>
  <si>
    <t>J403837848</t>
  </si>
  <si>
    <t>0424-9265885</t>
  </si>
  <si>
    <t>AV BOLIVAR LOCAL FRENTE LA PLAZA 7 NRO S/N SECTOR CENTRO.</t>
  </si>
  <si>
    <t>343775.91</t>
  </si>
  <si>
    <t>00362</t>
  </si>
  <si>
    <t>FARMAJOTA CARRIZALES, C.A</t>
  </si>
  <si>
    <t>01/11/2025</t>
  </si>
  <si>
    <t>J505793322</t>
  </si>
  <si>
    <t>13/10/2025</t>
  </si>
  <si>
    <t>0412-8703051</t>
  </si>
  <si>
    <t>CALLE MATEO MANAURE CASA S/N SECTOR URACOA . MONAGAS</t>
  </si>
  <si>
    <t>24383.47</t>
  </si>
  <si>
    <t>00363</t>
  </si>
  <si>
    <t>FARMA BONO, C.A</t>
  </si>
  <si>
    <t>J296057559</t>
  </si>
  <si>
    <t>0414-0961215</t>
  </si>
  <si>
    <t>AV FRANCISCO DE MIRANDA EDIF FARMA BONO PISO PB LOCAL 1 SECTOR CENTRO TEMBLADOR</t>
  </si>
  <si>
    <t>164549.28</t>
  </si>
  <si>
    <t>CALLE MONAGAS, SECTOR SALIDA EL PERU, LOCAL NUMERO 2 EL CALLAO BOLIVAR</t>
  </si>
  <si>
    <t>ALTAMIRA</t>
  </si>
  <si>
    <t>0424-8649678</t>
  </si>
  <si>
    <t>8565</t>
  </si>
  <si>
    <t>CASERIO ALTAMIRA CARRETERA NACIONAL</t>
  </si>
  <si>
    <t>00366</t>
  </si>
  <si>
    <t>FARMACIA VALENTINA PLUS, C.A.</t>
  </si>
  <si>
    <t>30/08/2025</t>
  </si>
  <si>
    <t>J411871532</t>
  </si>
  <si>
    <t>21/08/2025</t>
  </si>
  <si>
    <t>ACHAGUAS EDO APURE</t>
  </si>
  <si>
    <t>0426-4445923</t>
  </si>
  <si>
    <t>CALLE LEONOR GUERRA ANTIGUA CALLE CAUJARITO A 100 MTS DEL REGISTRO SUBALTERNO LOCAL NRO S/N SECTOR CENTRO</t>
  </si>
  <si>
    <t>0414-7221709/0412-3104728</t>
  </si>
  <si>
    <t>AV BOLIVAR ESTE EDIF LA FACILIDAD PISO PB LOCAL 2-A SECTOR CASCO CENTRAL</t>
  </si>
  <si>
    <t>00368</t>
  </si>
  <si>
    <t>FARMACIA SINAI 235, C. A</t>
  </si>
  <si>
    <t>J405189967</t>
  </si>
  <si>
    <t>VALLE LA PASCUA</t>
  </si>
  <si>
    <t>04141462913</t>
  </si>
  <si>
    <t>AV ROMULO GALLEGOS EDIF PAOLO MALAVASI PISO PB LOCAL S/N  SECTOR CENTRO VALLE LA PASCUA GUARICO</t>
  </si>
  <si>
    <t>163464.67</t>
  </si>
  <si>
    <t>00369</t>
  </si>
  <si>
    <t>FARMACIA C&amp;H, C.A</t>
  </si>
  <si>
    <t>J501197512</t>
  </si>
  <si>
    <t>0414-8637441</t>
  </si>
  <si>
    <t>AV PRINCIPAL DE LA PICA LOCAL NRO 46 SECTOR LA PICA</t>
  </si>
  <si>
    <t>22928.81</t>
  </si>
  <si>
    <t>00370</t>
  </si>
  <si>
    <t>FARMACOSMETICOS,C.A</t>
  </si>
  <si>
    <t>J501248249</t>
  </si>
  <si>
    <t>0424-8363560</t>
  </si>
  <si>
    <t>CALLE COMERCIO CRUCE CON CALLE LA ROMANA 01 EDIF CENTRO EMPRESARIAL DANIELA PISO PB LOCAL 01 Y 02 SECTOR EL MEDANO</t>
  </si>
  <si>
    <t>48899.99</t>
  </si>
  <si>
    <t>00371</t>
  </si>
  <si>
    <t>FARMACIA MARIGUITAR, C.A</t>
  </si>
  <si>
    <t>J297864199</t>
  </si>
  <si>
    <t>MARIGUITAR EDO SUCRE</t>
  </si>
  <si>
    <t>0424-8857044</t>
  </si>
  <si>
    <t>CALLE MIRANDA LOCAL NRO 38 SECTOR MARIGUITAR SUCRE</t>
  </si>
  <si>
    <t>21242.36</t>
  </si>
  <si>
    <t>00372</t>
  </si>
  <si>
    <t>FARMACIA LOS ANDES 89, C.A (PUNTA DE MATA)</t>
  </si>
  <si>
    <t>FARMACIA LOS ANDES 89, C.A</t>
  </si>
  <si>
    <t>01/09/2025</t>
  </si>
  <si>
    <t>J502101837</t>
  </si>
  <si>
    <t>0414-7605300</t>
  </si>
  <si>
    <t>AV BOLIVAR SUR CRUCE CON CALLE NUEVA ESTE LOCAL NRO S/N ZONA PUNTA DE MATA MONAGAS</t>
  </si>
  <si>
    <t>00373</t>
  </si>
  <si>
    <t>FARMACIA CALABOZO C.A.</t>
  </si>
  <si>
    <t>J305957312</t>
  </si>
  <si>
    <t>CALABOZO / GUARICO</t>
  </si>
  <si>
    <t>AV FRANCISCO DE MIRANDA ENTRE CARRERA 10 Y 11 LOCAL
NRO S/N SECTOR CASCO CENTRAL CALABOZO GUARICO ZONA POSTAL 2312</t>
  </si>
  <si>
    <t>1667065.90</t>
  </si>
  <si>
    <t>00374</t>
  </si>
  <si>
    <t>FARMACIA J.G.H 2020 , C.A</t>
  </si>
  <si>
    <t>J500315490</t>
  </si>
  <si>
    <t>0412-9299293</t>
  </si>
  <si>
    <t>AV 5 DE JULIO ENTRE CALLE ANZOATEGUI Y CALLE DON BOSCO LOCAL NRO 118-A SECTOR CENTRO</t>
  </si>
  <si>
    <t>112768.31</t>
  </si>
  <si>
    <t>AV BOLIVAR ENTRE CEDEÑO Y CALLE ARISMENDI NO. 105-64 EDIF DELFINA PISO PB LOCAL 01 SECTOR SAN JOSE VALENCIA CARABOBO</t>
  </si>
  <si>
    <t>QUIRIQUIRE</t>
  </si>
  <si>
    <t>8569</t>
  </si>
  <si>
    <t>AV BOLIVAR CASA NRO 65 SECTOR CENTRO QUIRIQUIRE QUIRIQUIRE. MONAGAS</t>
  </si>
  <si>
    <t>00377</t>
  </si>
  <si>
    <t>BIOGASTROHEALTH, C.A</t>
  </si>
  <si>
    <t>J501738688</t>
  </si>
  <si>
    <t>0424-8930376</t>
  </si>
  <si>
    <t>CALLE DEMOCRACIA ENTRE LA ORTOPEDICA Y FARMACIA OK LOCAL NRO S/N SECTOR CASCO CENTRAL</t>
  </si>
  <si>
    <t>37124.13</t>
  </si>
  <si>
    <t>00378</t>
  </si>
  <si>
    <t>CENTRO MEDICO MAZZARRI REY, C.A</t>
  </si>
  <si>
    <t>J301369530</t>
  </si>
  <si>
    <t>0414-8416600</t>
  </si>
  <si>
    <t>CALLE 20 SUR Nº 8 PUEBLO NUEVO SUR.</t>
  </si>
  <si>
    <t>27134.04</t>
  </si>
  <si>
    <t>00379</t>
  </si>
  <si>
    <t>INVERSIONES Y SUMINISTROS RIT SE MAR, C.A</t>
  </si>
  <si>
    <t>J411653659</t>
  </si>
  <si>
    <t>0412-8396137</t>
  </si>
  <si>
    <t>CALLE BRION LOCAL NRO 25 SECTOR LOS ALGARROBOS BARRANCAS</t>
  </si>
  <si>
    <t>71785.92</t>
  </si>
  <si>
    <t>0414-3874926</t>
  </si>
  <si>
    <t>CALLE RICAURTE EIDF ARAUCA PISO PB LOCAL Nº 01 SECTOR CENTRO ACHAGUAS. APURE</t>
  </si>
  <si>
    <t>00381</t>
  </si>
  <si>
    <t>SUMINISTROS MEDICOS QUIRURGICOS GOMEZ RODRIGUEZ, F.P</t>
  </si>
  <si>
    <t>V170913651</t>
  </si>
  <si>
    <t>CALLE 2 CASA NRO 15161 SECTOR PABLO MORILLO ROBLE JUSEPIN ESTADO MONAGAS</t>
  </si>
  <si>
    <t>761.95</t>
  </si>
  <si>
    <t>00382</t>
  </si>
  <si>
    <t>FARMACLARK, C.A</t>
  </si>
  <si>
    <t>J504322962</t>
  </si>
  <si>
    <t>0414-8952156</t>
  </si>
  <si>
    <t>CALLE 5 DE JULIO CC CLARK NIVEL S/N LOCAL S/N SECTOR LA ZONA EL CALLAO ESTADO BOLIVAR</t>
  </si>
  <si>
    <t>ANACO ANZOATEGUI</t>
  </si>
  <si>
    <t>0412-4923839</t>
  </si>
  <si>
    <t>AV. MERIDA C/C URDANETA EDIF GEORGINA PISO PB LOCAL 3-26 SECTOR CASCO CENTRAL</t>
  </si>
  <si>
    <t>0412-1825155</t>
  </si>
  <si>
    <t>Calle Principal, Local N° 01, Urb Cachamay Gurí, Edo Bolivar. . 
Estado Bolivar. Municipio Caroní. Parroquia Cachamay . San Felix (Ciudad Guayana)</t>
  </si>
  <si>
    <t>00386</t>
  </si>
  <si>
    <t>FARMASUR 2021, C.A</t>
  </si>
  <si>
    <t>J501019894</t>
  </si>
  <si>
    <t>EL DORADO BOLIVAR</t>
  </si>
  <si>
    <t>CALLE PRINCIPAL LOCAL NRO S/N SECTOR LOS PROCERES</t>
  </si>
  <si>
    <t>00387</t>
  </si>
  <si>
    <t>FARMACIA DIVINA MISERICORDIA, C.A</t>
  </si>
  <si>
    <t>J402030096</t>
  </si>
  <si>
    <t>0412-6947066</t>
  </si>
  <si>
    <t>CALLE 7 LOCAL 170 NRO PB URB LAS COCUIZAS MATURIN MONAGAS</t>
  </si>
  <si>
    <t>130097.48</t>
  </si>
  <si>
    <t>00388</t>
  </si>
  <si>
    <t>FARMACIA  FIGUEROA</t>
  </si>
  <si>
    <t>V183372625</t>
  </si>
  <si>
    <t>0424-9487645</t>
  </si>
  <si>
    <t>CALLE COMERCIO FRENTE ESCUELA YURUARI</t>
  </si>
  <si>
    <t>12401.81</t>
  </si>
  <si>
    <t>0414-1949496</t>
  </si>
  <si>
    <t>AV ALDONZA MANRIQUE LOCAL NRO S/N URB PLAYA EL ANGEL</t>
  </si>
  <si>
    <t>00390</t>
  </si>
  <si>
    <t>FARMAZUL, C.A</t>
  </si>
  <si>
    <t>J500454520</t>
  </si>
  <si>
    <t>0412-9444758</t>
  </si>
  <si>
    <t>AV 19 DE ABRIL LOCAL S/N URB DELFIN MENDOZA</t>
  </si>
  <si>
    <t>00391</t>
  </si>
  <si>
    <t>FARMACIA LA PATRONA DE ORIENTE, C.A</t>
  </si>
  <si>
    <t>J400872332</t>
  </si>
  <si>
    <t>0424-9131457</t>
  </si>
  <si>
    <t>AV ALIRIO UGARTE PELAYO CC TERRAZAS DEL NORTE I NIVEL 1 LOCAL  #18 SECTOR TIPURO I</t>
  </si>
  <si>
    <t>00392</t>
  </si>
  <si>
    <t>MARKET FARMA 24, C.A</t>
  </si>
  <si>
    <t>J406756792</t>
  </si>
  <si>
    <t>0414-4247501</t>
  </si>
  <si>
    <t>AV BOLIVAR CRUCE CON AV RAUL LEONI LOCAL NRO S/N SECTOR CENTRO</t>
  </si>
  <si>
    <t>00393</t>
  </si>
  <si>
    <t>FARMACIA HOSPITALARIA PLUS, C.A</t>
  </si>
  <si>
    <t>J412995723</t>
  </si>
  <si>
    <t>0414-4690965 / 04144753221 /</t>
  </si>
  <si>
    <t>AV CARACAS CASA NRO 2565 LOCAL 01 SECTOR CENTRO</t>
  </si>
  <si>
    <t>31761.74</t>
  </si>
  <si>
    <t>04166066470 /  02952570612 /</t>
  </si>
  <si>
    <t>CALLE LIBERTADOR CASA NRO S/N SECTOR LA ESQUINA CALIENTE SANTA ANA</t>
  </si>
  <si>
    <t>0416-8850380</t>
  </si>
  <si>
    <t>0424-8106861</t>
  </si>
  <si>
    <t>AV PRINCIPAL LOCAL NRO 19 SECTOR 2 BOYACA II</t>
  </si>
  <si>
    <t>00397</t>
  </si>
  <si>
    <t>FARMA TINA, C.A</t>
  </si>
  <si>
    <t>J402222211</t>
  </si>
  <si>
    <t>0412-1132851 / 0414-9910748</t>
  </si>
  <si>
    <t>CALLE AZCUE EDIF BANCO ORINOCO PISO PB LOCAL ANTIGUO LOCATEL SECTOR CENTRO MATURIN MONAGAS</t>
  </si>
  <si>
    <t>190104.95</t>
  </si>
  <si>
    <t>424-8508693</t>
  </si>
  <si>
    <t>CALLE BOLIVAR LOCAL NRO 38 SECTOR PUEBLO NUEVO. PUERTO LA CRUZ. ESTADO ANZOATEGUI</t>
  </si>
  <si>
    <t>+58 412-7414424</t>
  </si>
  <si>
    <t>AV FINAL CASANOVA EDIF TALADRO PISO PB LOCAL B-C-F URB BELLO MONTE CARACAS DISTRITO CAPITAL</t>
  </si>
  <si>
    <t>MANTECAL EDO APURE</t>
  </si>
  <si>
    <t>0240-9940660/ 04265301116</t>
  </si>
  <si>
    <t>CALLE GUIDO CIAFROCA, CASA NRO 41, LOCAL 2, SECTOR CANTV, MANTECAL</t>
  </si>
  <si>
    <t>+58 414-0192419</t>
  </si>
  <si>
    <t>CALLE REAL DE LOS MAGALLANES CASA NRO 48 SECTOR LOS MAGALLANES DE CATIA CARACAS DISTRITO CAPITAL</t>
  </si>
  <si>
    <t>0416-0332163</t>
  </si>
  <si>
    <t>CALLE INDEPENDENCIA CON CALLE URICA EDIF BERNA PISO PB LOCAL 02 SECTOR SANTA ANA ROSA CARUPANO SUCRE</t>
  </si>
  <si>
    <t>0424-3529898</t>
  </si>
  <si>
    <t>8576</t>
  </si>
  <si>
    <t>TUCUPIDO</t>
  </si>
  <si>
    <t>CALLE SUCRE C/C SALON LOCAL NRO S/N SECTOR EL SOL</t>
  </si>
  <si>
    <t>00404</t>
  </si>
  <si>
    <t>POLICLINICA SUCRE, C.A</t>
  </si>
  <si>
    <t>08/11/2025</t>
  </si>
  <si>
    <t>J080188233</t>
  </si>
  <si>
    <t>08/10/2025</t>
  </si>
  <si>
    <t>0414-9814466</t>
  </si>
  <si>
    <t>AV FERNANDEZ DE ZERPA EDIF. POLICLINICA SUCRE, PISO PB LOCAL S/N, URBANIZACION PARCELAMIENTO MIRANDA CUMANA SUCRE</t>
  </si>
  <si>
    <t>00405</t>
  </si>
  <si>
    <t>FARMACIA CENTRAL II, C.A</t>
  </si>
  <si>
    <t>J309337378</t>
  </si>
  <si>
    <t>11/08/2025</t>
  </si>
  <si>
    <t>0424-6023267</t>
  </si>
  <si>
    <t>CALLE ORINOCO EDIF CENTRAL II PISO PB LOCAL S/N URB BICENTENARIO</t>
  </si>
  <si>
    <t>34401.90</t>
  </si>
  <si>
    <t>00406</t>
  </si>
  <si>
    <t>FARMACIA AMERICA DE MARIGUITAR, C.A</t>
  </si>
  <si>
    <t>J500521014</t>
  </si>
  <si>
    <t>MARIGUITAR SUCRE</t>
  </si>
  <si>
    <t>0424-8837004</t>
  </si>
  <si>
    <t>CALLE MIRANDA CASA NRO 111 SECTOR MARIGUITAR SUCRE</t>
  </si>
  <si>
    <t>535724.77</t>
  </si>
  <si>
    <t>00407</t>
  </si>
  <si>
    <t>ULTRA FARMA HG, C.A</t>
  </si>
  <si>
    <t>25/09/2025</t>
  </si>
  <si>
    <t>J500476043</t>
  </si>
  <si>
    <t>0412-1179283</t>
  </si>
  <si>
    <t>AV EL SAMAN CC VALLE ALTO CENTER NIVEL PB LOCAL LPB7 SECTOR PUTUCUAL</t>
  </si>
  <si>
    <t>0414-8366222</t>
  </si>
  <si>
    <t>CALLE ALBERTO RAVELL LOCAL NRO S/N SECTOR BARRIO OBRERO</t>
  </si>
  <si>
    <t>00409</t>
  </si>
  <si>
    <t>FARMA MEDIC S, C.A</t>
  </si>
  <si>
    <t>J403486670</t>
  </si>
  <si>
    <t>0414-8849299</t>
  </si>
  <si>
    <t>CALLE PATIVILCA NRO 26 LOCAL 01 SECTOR CENTRO</t>
  </si>
  <si>
    <t>268346.99</t>
  </si>
  <si>
    <t>00410</t>
  </si>
  <si>
    <t>CARLOS ALBERTO BLANCO VIÑOLES</t>
  </si>
  <si>
    <t>V9452236</t>
  </si>
  <si>
    <t>0424-9082009</t>
  </si>
  <si>
    <t>KM 1 VIA LA CRUZ SECTOR LA CARBONERA</t>
  </si>
  <si>
    <t>21848.79</t>
  </si>
  <si>
    <t>FALCON</t>
  </si>
  <si>
    <t>0424-6581941</t>
  </si>
  <si>
    <t>8577</t>
  </si>
  <si>
    <t>PUNTO FIJO</t>
  </si>
  <si>
    <t>AV 1 LOCAL NRO 2 SECTOR URB ANTIGUO AEROPUERTO PUNTO FIJO</t>
  </si>
  <si>
    <t>00412</t>
  </si>
  <si>
    <t>CENTRO DE ESPECIALIDADES MEDICAS SAUDE, C.A</t>
  </si>
  <si>
    <t>J501811601</t>
  </si>
  <si>
    <t>0412-8001481</t>
  </si>
  <si>
    <t>AV FABRICIO OJEDA CC VISTAMAR NIVEL 1 LOCAL 33 SECTOR VISTAMAR</t>
  </si>
  <si>
    <t>00413</t>
  </si>
  <si>
    <t>FARMA DERMAK, C.A</t>
  </si>
  <si>
    <t>J500663447</t>
  </si>
  <si>
    <t>0414-1343292</t>
  </si>
  <si>
    <t>CR 11 CON CALLE 1 LOCAL NRO 01 SECTOR LAS AVENIDAS</t>
  </si>
  <si>
    <t>18636.42</t>
  </si>
  <si>
    <t>00414</t>
  </si>
  <si>
    <t>FARMACIA CHIRICA VIEJA, C.A  (BOTIQUERIA)</t>
  </si>
  <si>
    <t>0424-9045124</t>
  </si>
  <si>
    <t>CALLE BOLÍVAR, SECTOR LA PLAZA, DIAGONAL A LA PLAZA BOLÍVAR GUASIPATI BOLIVAR</t>
  </si>
  <si>
    <t>54848.48</t>
  </si>
  <si>
    <t>00415</t>
  </si>
  <si>
    <t>CONSULTORIO MEDICO PEDIATRICO DAMELIS COLINA</t>
  </si>
  <si>
    <t>V066737167</t>
  </si>
  <si>
    <t>0426-3852179</t>
  </si>
  <si>
    <t>CALLE ANTONIO JOSE DE SUCRE SECTOR EL DORADO</t>
  </si>
  <si>
    <t>00416</t>
  </si>
  <si>
    <t>FARMA CENTRO SALOMON, S.A</t>
  </si>
  <si>
    <t>J312994991</t>
  </si>
  <si>
    <t>0412-6051696</t>
  </si>
  <si>
    <t>AV FRANCISCO DE MIRANDA EDIF SALOMON PISO PB LOCAL NRO 41 SECTOR CENTRO</t>
  </si>
  <si>
    <t>00417</t>
  </si>
  <si>
    <t>FARMACIA CITYFARMA, C.A</t>
  </si>
  <si>
    <t>J501389381</t>
  </si>
  <si>
    <t>0426-7827502</t>
  </si>
  <si>
    <t>CALLE EL DORADO CON CALLE COMERCIO CASA NRO 03 SECTOR CDI</t>
  </si>
  <si>
    <t>0424-8257521</t>
  </si>
  <si>
    <t>AV ENRIQUE CHAUMER C/C FELIX A CALDERON EDIF RESID. CARIPE PISO PB LOCAL 1 SECTOR CENTRO CARIPE MONAGAS</t>
  </si>
  <si>
    <t>00419</t>
  </si>
  <si>
    <t>FARMAEXPRESS EL CENTRO 2, C.A</t>
  </si>
  <si>
    <t>J502410600</t>
  </si>
  <si>
    <t>0412-3566688</t>
  </si>
  <si>
    <t>CALLE IGUALDAD ENTRE ARISMENDI Y MARIÑO LOCAL S/N SECTOR CENTRO</t>
  </si>
  <si>
    <t>311595.56</t>
  </si>
  <si>
    <t>00420</t>
  </si>
  <si>
    <t>DIANA PATRICIA ARISMENDI ESPINOZA</t>
  </si>
  <si>
    <t>V26975200</t>
  </si>
  <si>
    <t>0412-8036755</t>
  </si>
  <si>
    <t>SECTOR PRADOS DEL SUR</t>
  </si>
  <si>
    <t>00421</t>
  </si>
  <si>
    <t>INVERSIONES Y FARMACIA LAS 3 CRUCES, C.A</t>
  </si>
  <si>
    <t>J502894543</t>
  </si>
  <si>
    <t>0416-4808071</t>
  </si>
  <si>
    <t>CALLE BOLIVAR A 50 METROS DE LA ESCUELA YURUARI CC LA LOGIA LOCAL 2</t>
  </si>
  <si>
    <t>305449.42</t>
  </si>
  <si>
    <t>0424-8555413 / 02934334640 /</t>
  </si>
  <si>
    <t>AV BERMUDEZ LOCAL NRO 18 SECTOR CENTRO CUMANA SUCRE</t>
  </si>
  <si>
    <t>0414-0999344</t>
  </si>
  <si>
    <t>8578</t>
  </si>
  <si>
    <t>LA TOSCANA</t>
  </si>
  <si>
    <t>CTRA VIA LA TOSCANA - JUSEPIN CASA NRO 68 SECTOR CENTRO</t>
  </si>
  <si>
    <t>VALLE DE LA PASCUA EDO GUARI</t>
  </si>
  <si>
    <t>0416-0241528 /  02353415257</t>
  </si>
  <si>
    <t>12</t>
  </si>
  <si>
    <t>PAOLA ALCALA</t>
  </si>
  <si>
    <t>AV ROMULO GALLEGOS ENTRE AVENIDA LIBERTADOR Y CALLE DELEITE  LOCAL NRO 85 SECTOR CENTRO</t>
  </si>
  <si>
    <t>00425</t>
  </si>
  <si>
    <t>FARMACIA DIVINO NIÑO IV, C.A</t>
  </si>
  <si>
    <t>J314226371</t>
  </si>
  <si>
    <t>0414-2961187 / 02353419877 /</t>
  </si>
  <si>
    <t>VDA ROMULO GALLEGOS C/C CALLE RETUMBO CASA NRO S/N SECTOR CENTRO</t>
  </si>
  <si>
    <t>76584.47</t>
  </si>
  <si>
    <t>00426</t>
  </si>
  <si>
    <t>FARMACIA JOSE GREGORIO HERNANDEZ C.A.</t>
  </si>
  <si>
    <t>J302229960</t>
  </si>
  <si>
    <t>CR 11. ENTRE CALLES 05 Y 06. LOCAL S/N. SECTOR CASCO CENTRAL. CALABOZO. ESTADO GUARICO</t>
  </si>
  <si>
    <t>514207.03</t>
  </si>
  <si>
    <t>PUERTO AYACUCHO EDO AMAZONAS</t>
  </si>
  <si>
    <t>0426-2447239</t>
  </si>
  <si>
    <t>AV ORINOCO CC MANIGLIA  NIVEL PB LOCAL NRO 6 BARRIO BELLO MONTE</t>
  </si>
  <si>
    <t>00428</t>
  </si>
  <si>
    <t>FARMACIA LAS TRES ROSAS, C.A</t>
  </si>
  <si>
    <t>J501265097</t>
  </si>
  <si>
    <t>0426-1929312</t>
  </si>
  <si>
    <t>AV LAS TRES ROSAS LOCAL NRO S/N SECTOR LAS TRES ROSAS</t>
  </si>
  <si>
    <t>00429</t>
  </si>
  <si>
    <t>FARMA EXPRESS CENTRAL, C.A</t>
  </si>
  <si>
    <t>J406282073</t>
  </si>
  <si>
    <t>0414-9988416</t>
  </si>
  <si>
    <t>CALLE HERES LOCAL NRO 10 ZONA EL CALLAO EDO BOLIVAR</t>
  </si>
  <si>
    <t>1924841.76</t>
  </si>
  <si>
    <t>00430</t>
  </si>
  <si>
    <t>FARMACIA TECNICA, C.A</t>
  </si>
  <si>
    <t>J080061780</t>
  </si>
  <si>
    <t>0414-8830101 / 02916429364 /</t>
  </si>
  <si>
    <t>AV BICENTENARIO CASA NRO S/N SECTOR CENTRO</t>
  </si>
  <si>
    <t>00431</t>
  </si>
  <si>
    <t>FARMACIA FARMAINA, C.A</t>
  </si>
  <si>
    <t>J293950945</t>
  </si>
  <si>
    <t>AGUASAY EDO MONAGAS</t>
  </si>
  <si>
    <t>0414-8691973</t>
  </si>
  <si>
    <t>CALLE LEONARDO INFANTE LOCAL NRO 6 SECTOR CENTRO</t>
  </si>
  <si>
    <t>00432</t>
  </si>
  <si>
    <t>HOSPITAL METROPOLITANO MATURIN C.A</t>
  </si>
  <si>
    <t>J304952430</t>
  </si>
  <si>
    <t>0414-8985834</t>
  </si>
  <si>
    <t>AV BELLA VISTA CRUCE CON CRUZ PERAZA  EDIF HOSPITAL METROPOLITANO MATURIN PISO 04 OF PRESIDENCIA SECTOR BELLA VISTA</t>
  </si>
  <si>
    <t>68431.82</t>
  </si>
  <si>
    <t>00433</t>
  </si>
  <si>
    <t>(MATRIZ) FARMACIA INSUMOS EXPRESS</t>
  </si>
  <si>
    <t>J400916151</t>
  </si>
  <si>
    <t>04242102615</t>
  </si>
  <si>
    <t>CALLE MARTI LOCAL NRO S/N SECTOR GUAYABAL</t>
  </si>
  <si>
    <t>00435</t>
  </si>
  <si>
    <t>INVERSIONES LKGM121494, C.A</t>
  </si>
  <si>
    <t>J297964606</t>
  </si>
  <si>
    <t>0414-8705060</t>
  </si>
  <si>
    <t>AV BOLIVAR EDIF RIPAL PISO B LOCAL 03 SECTOR CENTRO</t>
  </si>
  <si>
    <t>CHACAO EDO MIRANDA</t>
  </si>
  <si>
    <t>0424-2237756</t>
  </si>
  <si>
    <t>8582</t>
  </si>
  <si>
    <t>CHACAO</t>
  </si>
  <si>
    <t>AV SANTIAGO DE LEON CON PARIS EDIF PREMIER PISO PB LOCAL B URB LA CALIFORNIA NORTE</t>
  </si>
  <si>
    <t>0414-6748232</t>
  </si>
  <si>
    <t>CALLE MARIÑO Y CALLE BERMUDEZ EDIF CENTRO COMERCIAL GINAN PISO PRIMER LOCAL NRO 8 SECTOR EL CENTRO CUMANA SUCRE</t>
  </si>
  <si>
    <t>0424-9010468</t>
  </si>
  <si>
    <t>AV PRINCIPAL DE LECHERIA CC ARCANGEL NIVEL PB LOCAL D</t>
  </si>
  <si>
    <t>00439</t>
  </si>
  <si>
    <t>FARMACIA ZONA LIBRE S.A</t>
  </si>
  <si>
    <t>01/10/2025</t>
  </si>
  <si>
    <t>J080030354</t>
  </si>
  <si>
    <t>26/09/2025</t>
  </si>
  <si>
    <t>0412092-5297/</t>
  </si>
  <si>
    <t>AV 4 DE MAYO EDIF CARLOS ALBERTO PISO PB LOCAL A SECTOR TACHIRA</t>
  </si>
  <si>
    <t>187.82</t>
  </si>
  <si>
    <t>00440</t>
  </si>
  <si>
    <t>FARMACIA LA BOTICA, C.A (CARIPE)</t>
  </si>
  <si>
    <t>FARMACIA LA BOTICA, C.A</t>
  </si>
  <si>
    <t>J080104404</t>
  </si>
  <si>
    <t>0424-9344698</t>
  </si>
  <si>
    <t>AV GUZMAN BLANCO CASA NRO 18 SECTOR CENTRO CARIPE MONAGAS</t>
  </si>
  <si>
    <t>00441</t>
  </si>
  <si>
    <t>NOSSA FARMACIA, C.A</t>
  </si>
  <si>
    <t>J500259166</t>
  </si>
  <si>
    <t>0412-3576292/</t>
  </si>
  <si>
    <t>AV. 31 DE JULIO CC EL CAMPO NIVEL PLTA BAJA LOCAL 4 SECTOR EL TIRANO, PLAZA PARAGUACHI NUEVA ESPARTA</t>
  </si>
  <si>
    <t>337573.58</t>
  </si>
  <si>
    <t>00443</t>
  </si>
  <si>
    <t>FARMACIA MAISAY, C.A</t>
  </si>
  <si>
    <t>J312901080</t>
  </si>
  <si>
    <t>0412-1957789</t>
  </si>
  <si>
    <t>AV FINAL AV 4 DE MAYO CC 4 DE MAYO LOCAL 03 NIVEL PB SECTOR 4 DE MAYO</t>
  </si>
  <si>
    <t>00444</t>
  </si>
  <si>
    <t>FARMA-CLINICA CUYUNI, C.A</t>
  </si>
  <si>
    <t>J410564059</t>
  </si>
  <si>
    <t>0416-5448130</t>
  </si>
  <si>
    <t>CALLE SEGUNDA LOCAL 08 SECTOR SIFONTES PARROQUIA EL DORADO</t>
  </si>
  <si>
    <t>421691.19</t>
  </si>
  <si>
    <t>00445</t>
  </si>
  <si>
    <t>FARMACIA NUEVA SAN FERMIN, C.A</t>
  </si>
  <si>
    <t>J406235334</t>
  </si>
  <si>
    <t>PUNTO FIJO EDO FALCON</t>
  </si>
  <si>
    <t>0414-6375913</t>
  </si>
  <si>
    <t>08</t>
  </si>
  <si>
    <t>TELEMARKETING JORGE</t>
  </si>
  <si>
    <t>AV MANUELITA SAENZ EDIF OLIVARES V PISO P/B LOCAL 2
SECTOR BELLA VISTA PUNTO FIJO FALCON ZONA POSTAL 4102</t>
  </si>
  <si>
    <t>0424-3764424</t>
  </si>
  <si>
    <t>8584</t>
  </si>
  <si>
    <t>CHAGUARAMAS</t>
  </si>
  <si>
    <t>CTRA NACIONAL CASA NRO S/N SECTOR EL TERMINAL CHAGUARAMAS GUARICO</t>
  </si>
  <si>
    <t>0412-3059826</t>
  </si>
  <si>
    <t>CALLE 2 TRANSVERSAL EDIF CLINICA JUANGRIEGO PISO PB APT 1 SECTOR LAGUNA HONDA-MARCANO</t>
  </si>
  <si>
    <t>00448</t>
  </si>
  <si>
    <t>FARMACIA SAN MIGUEL ARCANGEL 2022, C.A (CARIPE)</t>
  </si>
  <si>
    <t>FARMACIA SAN MIGUEL ARCANGEL 2022, C.A</t>
  </si>
  <si>
    <t>J501835365</t>
  </si>
  <si>
    <t>0414-7618543 / 0414-2390457</t>
  </si>
  <si>
    <t>CALLE MONAGAS LOCAL NRO 22 SECTOR CENTRO CARIPE MONAGAS</t>
  </si>
  <si>
    <t>0424-8173517</t>
  </si>
  <si>
    <t>CALLE BLANCO FOMBONA CRUCE C/C MEXICO LOCAL NRO 178 SECTOR CENTRO CUMANA SUCRE</t>
  </si>
  <si>
    <t>00450</t>
  </si>
  <si>
    <t>FARMACIA FARMA + C.A</t>
  </si>
  <si>
    <t>19/09/2025</t>
  </si>
  <si>
    <t>J500001665</t>
  </si>
  <si>
    <t>0424-8662141 /  02952646929</t>
  </si>
  <si>
    <t>CALLE PASEO CULTURAL RAMON VASQUEZ BRITO CC BOULEVARD PORLAMAR NIVEL U LOCAL A-1 CONJUNTO RESIDENCIAL ANTIGUO AEROPUERTO</t>
  </si>
  <si>
    <t>0412-4641006</t>
  </si>
  <si>
    <t>AV VALMORE RODRIGUEZ CRUCE CON CALLE RICAURTE LOCAL NRO 01 SECTOR TAVERA ACOSTA</t>
  </si>
  <si>
    <t>00452</t>
  </si>
  <si>
    <t>FARMACIA BERMUDEZ, C.A</t>
  </si>
  <si>
    <t>J302374499</t>
  </si>
  <si>
    <t>0414-7672357 / 0291-6518056</t>
  </si>
  <si>
    <t>CALLE PRINCIPAL CASA NRO 02 SECTOR LOS GUARITOS</t>
  </si>
  <si>
    <t>00453</t>
  </si>
  <si>
    <t>+ AHORRO 4, C.A</t>
  </si>
  <si>
    <t>J503423595</t>
  </si>
  <si>
    <t>AV ANTONIO JOSE DE SUCRE. LOCAL NRO 41. SECTOR INDIA ROSA. CALABOZO. ESTADO GUARICO</t>
  </si>
  <si>
    <t>443458.53</t>
  </si>
  <si>
    <t>00454</t>
  </si>
  <si>
    <t>GLADYS NAIDELI NIÑO PAREDES</t>
  </si>
  <si>
    <t>V206310240</t>
  </si>
  <si>
    <t>+57-3113311016</t>
  </si>
  <si>
    <t>CALLE PRINCIPAL CASA NRO S/N SECTOR CENTRO</t>
  </si>
  <si>
    <t>423891.39</t>
  </si>
  <si>
    <t>00455</t>
  </si>
  <si>
    <t>FARMACIA NYDADI, C.A</t>
  </si>
  <si>
    <t>J500524544</t>
  </si>
  <si>
    <t>0412-4840100</t>
  </si>
  <si>
    <t>AV PEDRO MARIA FREITES EDIF BUENOS AIRES PISO PB LOCAL 03 URB BUENOS AIRES</t>
  </si>
  <si>
    <t>38318.89</t>
  </si>
  <si>
    <t>00456</t>
  </si>
  <si>
    <t>FARMACIA MONAGAS III, C.A</t>
  </si>
  <si>
    <t>J413084295</t>
  </si>
  <si>
    <t>0424-3454983</t>
  </si>
  <si>
    <t>AV CARACAS CRUCE CON PASEO LIBERTADOR LOCAL FARMONAGAS PLANTA BAJA NRO S/N SECTOR CENTRO</t>
  </si>
  <si>
    <t>1446247.76</t>
  </si>
  <si>
    <t>00457</t>
  </si>
  <si>
    <t>GRUPO BAIMAR, C.A</t>
  </si>
  <si>
    <t>J502147381</t>
  </si>
  <si>
    <t>0424-5140159</t>
  </si>
  <si>
    <t>CR 3 LOCAL NRO S/N SECTOR CENTRO MANTECAL ESTADO APURE</t>
  </si>
  <si>
    <t>45281.40</t>
  </si>
  <si>
    <t>00458</t>
  </si>
  <si>
    <t>FARMACIA FARMAPRIX, C.A</t>
  </si>
  <si>
    <t>J298894300</t>
  </si>
  <si>
    <t>SAN JUAN DE LOS MORROS EDO G</t>
  </si>
  <si>
    <t>0414-7595725</t>
  </si>
  <si>
    <t>8585</t>
  </si>
  <si>
    <t>SAN JUAN DE LOS MORROS</t>
  </si>
  <si>
    <t>CALLE SANTA ISABEL LOCAL NRO 13 SECTOR CENTRO</t>
  </si>
  <si>
    <t>00459</t>
  </si>
  <si>
    <t>FARMACIA ANAMAR, C.A</t>
  </si>
  <si>
    <t>30/09/2025</t>
  </si>
  <si>
    <t>J501320357</t>
  </si>
  <si>
    <t>SANTA BARBARA EDO MONAGAS</t>
  </si>
  <si>
    <t>0424-9197946</t>
  </si>
  <si>
    <t>8586</t>
  </si>
  <si>
    <t>SANTA BARBARA</t>
  </si>
  <si>
    <t>CALLE BOLIVAR CASA S/N SECTOR CENTRO</t>
  </si>
  <si>
    <t>GUANARE EDO PORTUGUESA</t>
  </si>
  <si>
    <t>0426-3477412</t>
  </si>
  <si>
    <t>AV SIMON BOLIVAR CC RUSINCA NIVEL PB LOCAL 3-A BARRIO EL CAMBIO</t>
  </si>
  <si>
    <t>PORTUGUESA</t>
  </si>
  <si>
    <t>ARAURE</t>
  </si>
  <si>
    <t>00461</t>
  </si>
  <si>
    <t>FARMACIA ORIENTE, C.A (GUARICO)</t>
  </si>
  <si>
    <t>J309225758</t>
  </si>
  <si>
    <t>0412-1329904 / 02464310664</t>
  </si>
  <si>
    <t>AV JOSE FELIX RIBAS EDIF ALBERT PISO PB LOCAL 2 SECTOR CENTRO SAN JUAN DE LOS MORROS GUARICO</t>
  </si>
  <si>
    <t>17734.50</t>
  </si>
  <si>
    <t>0416-6918108</t>
  </si>
  <si>
    <t>AV JOSE GREGORIO MONAGAS CASA NRO 01 SECTOR LOS CORTIJOS</t>
  </si>
  <si>
    <t>00463</t>
  </si>
  <si>
    <t>FARMACIA COSTA GUAYANA 2020, C.A</t>
  </si>
  <si>
    <t>J500372205</t>
  </si>
  <si>
    <t>0414-8997539</t>
  </si>
  <si>
    <t>AV GUAYANA CALLE PRINCIPAL EL PUERTO LOCAL NRO SN SECTOR CAMPO ROJO</t>
  </si>
  <si>
    <t>11.09</t>
  </si>
  <si>
    <t>00464</t>
  </si>
  <si>
    <t>FARMACIA FARMA OFERTA A-RA, C.A</t>
  </si>
  <si>
    <t>J400827990</t>
  </si>
  <si>
    <t>0426-5900863</t>
  </si>
  <si>
    <t>CALLE MANZANA 18 LOCAL NRO 10-86 URB GRAN SABANA UD 337 PARROQUIA UNARE</t>
  </si>
  <si>
    <t>156388.29</t>
  </si>
  <si>
    <t>00465</t>
  </si>
  <si>
    <t>GRUPO FARMAINGENIO, C.A</t>
  </si>
  <si>
    <t>J406111090</t>
  </si>
  <si>
    <t>SAN JUAN DE PAYARA EDO APURE</t>
  </si>
  <si>
    <t>0424 - 3165339 /</t>
  </si>
  <si>
    <t>8514</t>
  </si>
  <si>
    <t>SAN JUAN DE PAYARA</t>
  </si>
  <si>
    <t>AN NEGRO PRIMERO LOCAL NRO 4 SECTOR HOSPITAL</t>
  </si>
  <si>
    <t>0414-8211214</t>
  </si>
  <si>
    <t>8589</t>
  </si>
  <si>
    <t>URICA</t>
  </si>
  <si>
    <t>CALLE LIBERTAD LOCAL NRO S/N SECTOR CHAPARRAL</t>
  </si>
  <si>
    <t>0414-8395580</t>
  </si>
  <si>
    <t>CALLE BARALT ENTRE CALLE ARAGUA Y ANACO SECTOR PUEBLO NUEVO</t>
  </si>
  <si>
    <t>0426-34015359</t>
  </si>
  <si>
    <t>AV BOLIVAR CASA NRO S/N SECTOR CENTRO</t>
  </si>
  <si>
    <t>00469</t>
  </si>
  <si>
    <t>FARMACIA DACAIG, C.A</t>
  </si>
  <si>
    <t>J297314369</t>
  </si>
  <si>
    <t>0424-9534293</t>
  </si>
  <si>
    <t>CALLE 5 DE JULIO  LOCAL  NRO 53 SECTOR CENTRO</t>
  </si>
  <si>
    <t>41173.82</t>
  </si>
  <si>
    <t>00470</t>
  </si>
  <si>
    <t>FARMACIA INVERSIONES CISBEN CASTRO, F.P</t>
  </si>
  <si>
    <t>V200230465</t>
  </si>
  <si>
    <t>0426-9674038</t>
  </si>
  <si>
    <t>CALLE SUCRE LOCAL S/N SECTOR SANTA BARBARA</t>
  </si>
  <si>
    <t>0424-8151419</t>
  </si>
  <si>
    <t>CALLE BRASIL SECTOR CASCO VIEJO</t>
  </si>
  <si>
    <t>00472</t>
  </si>
  <si>
    <t>FARMA EXPRES, C.A.</t>
  </si>
  <si>
    <t>J400935059</t>
  </si>
  <si>
    <t>AV MIRANDA. CC MADIARAGA. EDIF MIS HIJOS. PISO PB. LOCAL S/N. SECTOR CENTRO SAN FERNANDO DE APURE. ESTADO APURE</t>
  </si>
  <si>
    <t>211219.61</t>
  </si>
  <si>
    <t>00473</t>
  </si>
  <si>
    <t>FARMACIA FUERZAS ARMADAS CA</t>
  </si>
  <si>
    <t>J302274621</t>
  </si>
  <si>
    <t>AV PASEO LIBERTADOR. EDIF. SAN FERNANDO. PISO PB. LOCAL S/N. SECTOR CENTRO. SAN FERNANDO DE APURE. ESTADO APURE</t>
  </si>
  <si>
    <t>369162.07</t>
  </si>
  <si>
    <t>SANTA ANA DE CORO EDO FALCON</t>
  </si>
  <si>
    <t>0412-6815890</t>
  </si>
  <si>
    <t>8590</t>
  </si>
  <si>
    <t>SANTA ANA DE CORO</t>
  </si>
  <si>
    <t>AV EL TENIS ENTRE CALLES SANTA ROSA Y PROVIDENCIA LOCAL NRO S/N BARRIO CURAZAITO</t>
  </si>
  <si>
    <t>0424-9130243</t>
  </si>
  <si>
    <t>CALLE SUCRE LOCAL NRO 73-35 SECTOR JUAN VIRICUAL</t>
  </si>
  <si>
    <t>00476</t>
  </si>
  <si>
    <t>FARMACIA EL OFERTON 2018, C.A</t>
  </si>
  <si>
    <t>J412269453</t>
  </si>
  <si>
    <t>GUIGUE EDO CARABOBO</t>
  </si>
  <si>
    <t>0412-4549768 / 0424-4334615</t>
  </si>
  <si>
    <t>8659</t>
  </si>
  <si>
    <t>GUIGUE - CARABOBO</t>
  </si>
  <si>
    <t>AV BOLIVAR CON CALLE RIVAS CC GUIGUE NIVEL S/N LOCAL 11 SECTOR PUEBLO NUEVO</t>
  </si>
  <si>
    <t>VALENCIA-GUIGUE</t>
  </si>
  <si>
    <t>424.89</t>
  </si>
  <si>
    <t>00477</t>
  </si>
  <si>
    <t>INV. AMIRA, C.A</t>
  </si>
  <si>
    <t>J500706588</t>
  </si>
  <si>
    <t>0414-9748414</t>
  </si>
  <si>
    <t>CALLE ROSCIO, BOULEVARD PLAZA BOLIVAR  LOCAL NRO 05 SECTOR EL CENTRO</t>
  </si>
  <si>
    <t>00478</t>
  </si>
  <si>
    <t>FARMACIA INSUMOS EXPRESS, C.A (SUCURSAL 2 PERIFERICO)</t>
  </si>
  <si>
    <t>FARMACIA INSUMOS EXPRESS, C.A</t>
  </si>
  <si>
    <t>22/09/2025</t>
  </si>
  <si>
    <t>0424-9594244</t>
  </si>
  <si>
    <t>AV GUAYANA LOCAL S/N SECTOR PERIFERICO CIUDAD BOLIVAR BOLIVAR</t>
  </si>
  <si>
    <t>624.80</t>
  </si>
  <si>
    <t>00479</t>
  </si>
  <si>
    <t>FARMACIA WORLD MARKET, C.A</t>
  </si>
  <si>
    <t>J501057664</t>
  </si>
  <si>
    <t>0412-6868452</t>
  </si>
  <si>
    <t>AV TENIS CON CALLE PROVIDENCIA LOCAL NRO S/N SECTOR MONTE VERDE</t>
  </si>
  <si>
    <t>00480</t>
  </si>
  <si>
    <t>FARMA MOTOS 1, C.A.</t>
  </si>
  <si>
    <t>J504398624</t>
  </si>
  <si>
    <t>AV INTERCOMUNAL, CRUCE CON CALLE TRECE DE SEPTIEMBRE. LOCAL NRO 01. SECTOR CENTRO. SAN FERNANDO DE APURE. ESTADO APURE</t>
  </si>
  <si>
    <t>519849.12</t>
  </si>
  <si>
    <t>00481</t>
  </si>
  <si>
    <t>FARMA DIVINA, C.A</t>
  </si>
  <si>
    <t>J501834830</t>
  </si>
  <si>
    <t>0424-9249763 / 04249086892 /</t>
  </si>
  <si>
    <t>CALLE PRINCIPAL LA PUENTE LOCAL NRO 5 SECTOR LA PUENTE</t>
  </si>
  <si>
    <t>421371.48</t>
  </si>
  <si>
    <t>00482</t>
  </si>
  <si>
    <t>FARMASALUD PARIAGUAN, C.A</t>
  </si>
  <si>
    <t>J501814872</t>
  </si>
  <si>
    <t>PARIAGUAN EDO ANZOATEGUI</t>
  </si>
  <si>
    <t>0414-0880516</t>
  </si>
  <si>
    <t>AV NORTE EDIF MAX VERA PLANTA BAJA PISO 1 LOCAL S/N SECTOR FRANCISCO DE MIRANDA</t>
  </si>
  <si>
    <t>00483</t>
  </si>
  <si>
    <t>FARMACIA YORDI, C.A</t>
  </si>
  <si>
    <t>J501188254</t>
  </si>
  <si>
    <t>0424-9107412</t>
  </si>
  <si>
    <t>CALLE S/N LOCAL OFICINA NRO 03 SECTOR 25 DE MARZO</t>
  </si>
  <si>
    <t>83054.53</t>
  </si>
  <si>
    <t>00484</t>
  </si>
  <si>
    <t>SOLIDEZFARMA, C.A</t>
  </si>
  <si>
    <t>J501634297</t>
  </si>
  <si>
    <t>0412-8410483</t>
  </si>
  <si>
    <t>AV JOSE TADEO MONAGAS 2DO CALLEJON CASA NRO S/N SECTOR BRISAS DEL AEROPUERTO</t>
  </si>
  <si>
    <t>00485</t>
  </si>
  <si>
    <t>FARMAVIDA 2022, C.A (ANACO)</t>
  </si>
  <si>
    <t>FARMAVIDA 2022, C.A</t>
  </si>
  <si>
    <t>J502477985</t>
  </si>
  <si>
    <t>0412-4965035</t>
  </si>
  <si>
    <t>CALLE SUCRE CASA NRO 6-73 SECTOR LAS PARCELAS ANACO ANZOATEGUI</t>
  </si>
  <si>
    <t>43988.62</t>
  </si>
  <si>
    <t>0424-8974417</t>
  </si>
  <si>
    <t>AV EL HOSPITAL LOCAL UNICO SECTOR EL HOSPITAL</t>
  </si>
  <si>
    <t>0414-8224743</t>
  </si>
  <si>
    <t>CENTRO MEDICO ODONTOLOGICO ARISMENDI, CALLE ARISMENDI NRO 44</t>
  </si>
  <si>
    <t>0414-0858462</t>
  </si>
  <si>
    <t>CALLE ZEA A 50 METROS DEL HOTEL GIONISA CASA NRO S/N  SECTOR CENTRO</t>
  </si>
  <si>
    <t>00489</t>
  </si>
  <si>
    <t>FARMACIA SANTA BARBARA, C.A (GUIRIA)</t>
  </si>
  <si>
    <t>FARMACIA SANTA BARBARA, C.A</t>
  </si>
  <si>
    <t>J501328820</t>
  </si>
  <si>
    <t>GUIRIA EDO SUCRE</t>
  </si>
  <si>
    <t>0424-9033064</t>
  </si>
  <si>
    <t>8593</t>
  </si>
  <si>
    <t>GUIRIA</t>
  </si>
  <si>
    <t>CALLE VALDEZ ESQUINA TRINCHERAS  EDIFICIO VISTAMAR PISO PLANTA BAJA LOCAL 01 SECTOR CENTRO GUIRIA SUCRE</t>
  </si>
  <si>
    <t>00490</t>
  </si>
  <si>
    <t>FARMACENTER EL SOCORRO, C.A.</t>
  </si>
  <si>
    <t>J503573686</t>
  </si>
  <si>
    <t>0412-4658355/ 0412-4113224/</t>
  </si>
  <si>
    <t>CALLE BOLIVAR C/C PIAR. LOCAL S/N. SECTOR CENTRO. ELSOCORRO. ESTADO GUARICO</t>
  </si>
  <si>
    <t>219535.37</t>
  </si>
  <si>
    <t>00491</t>
  </si>
  <si>
    <t>FARMACIA GALICIA, C.A</t>
  </si>
  <si>
    <t>J501270813</t>
  </si>
  <si>
    <t>0424-8468616</t>
  </si>
  <si>
    <t>AV GUZMAN LANDER ENTRE VEREDA 10 Y 11 LOCAL NRO 2 URB COLINAS DEL NEVERI</t>
  </si>
  <si>
    <t>00492</t>
  </si>
  <si>
    <t>FARMACIA PRINCIPAL DE TEMBLADOR, C.A</t>
  </si>
  <si>
    <t>J302041899</t>
  </si>
  <si>
    <t>0424-9118150</t>
  </si>
  <si>
    <t>AV ROMULO BETANCOURT LOCAL NRO 81 SECTOR CENTRO</t>
  </si>
  <si>
    <t>41422.38</t>
  </si>
  <si>
    <t>00493</t>
  </si>
  <si>
    <t>OPTIFARMA, C.A</t>
  </si>
  <si>
    <t>J500499035</t>
  </si>
  <si>
    <t>0414-7680079</t>
  </si>
  <si>
    <t>AV LUIS DEL VALLE GARCIA CARRERA 9-A CON CALLE 6 EDIF CENTRO DE CONSULTA SANTA SOFIA PISO PB LOCAL 10 SECTOR LAS AVENIDAS</t>
  </si>
  <si>
    <t>00494</t>
  </si>
  <si>
    <t>FARMACOIMA, C.A</t>
  </si>
  <si>
    <t>J500454783</t>
  </si>
  <si>
    <t>0424-8208570</t>
  </si>
  <si>
    <t>AV CASACOIMA C/C AV PRIMERO DE MAYO LOCAL NRO S/N URB DELFIN MENDOZA</t>
  </si>
  <si>
    <t>8695</t>
  </si>
  <si>
    <t>ACARIGUA</t>
  </si>
  <si>
    <t>00495</t>
  </si>
  <si>
    <t>FARMACIA FARMAPRONTO, C.A</t>
  </si>
  <si>
    <t>J312379014</t>
  </si>
  <si>
    <t>0414-4050303</t>
  </si>
  <si>
    <t>CALLE ZEA LOCAL NRO 01 SECTOR EL CENTRO MUNICIPIO SIFONTES</t>
  </si>
  <si>
    <t>00496</t>
  </si>
  <si>
    <t>FARMACIA PROGRESO, C.A</t>
  </si>
  <si>
    <t>J315997185</t>
  </si>
  <si>
    <t>0424-3281100</t>
  </si>
  <si>
    <t>CALLE PAEZ CASA NRO 72 SECTOR CENTRO</t>
  </si>
  <si>
    <t>0414-3132544</t>
  </si>
  <si>
    <t>CALLE BOLIVAR CON ZEA EDIFICIO LA GUAYANESA PB LOCAL S/N SECTOR CENTRO</t>
  </si>
  <si>
    <t>0416-5106895 /</t>
  </si>
  <si>
    <t>AV LIBERTADOR CC COMERCIO LOCAL NRO S/N SECTOR CENTRO</t>
  </si>
  <si>
    <t>0424-8778684</t>
  </si>
  <si>
    <t>AV WINSTON CHURCHILL SUR ENTRE CARRERA 16 Y 17 LOCAL TAGUAPIRE NRO S/N SECTOR EL VEA</t>
  </si>
  <si>
    <t>0414-3465639</t>
  </si>
  <si>
    <t>AN MONSEÑOR SENDREA CRUCE CON CALLE RIBAS LOCAL NRO 48 SECTOR CENTRO SAN JUAN DE LOS MORROS GUARICO</t>
  </si>
  <si>
    <t>0424-9742728</t>
  </si>
  <si>
    <t>CALLE MANZANA 67 CASA NRO 18 URB GRAN SABANA UD-337</t>
  </si>
  <si>
    <t>0412-3257896</t>
  </si>
  <si>
    <t>CALLE BOLIVAR CON SEPTIMA TRANSVERSAL QTA ANA MARIA SECTOR HOSPITAL CUMANA SUCRE</t>
  </si>
  <si>
    <t>0412-7956290</t>
  </si>
  <si>
    <t>CALLE SUCRE CRUCE CON CALLE LA LINEA LOCAL NRO 001 BARRIO SUCRE</t>
  </si>
  <si>
    <t>00504</t>
  </si>
  <si>
    <t>FARMACIA FARMASALUD 17 DE DICIEMBRE, C.A</t>
  </si>
  <si>
    <t>0426-1952389</t>
  </si>
  <si>
    <t>AV 17 DE DICIEMBRE LOCAL NRO S/N SECTOR 17 DE DICIEMBRE MUNICIPIO ANGOSTURA DEL ORINOCO</t>
  </si>
  <si>
    <t>322580.14</t>
  </si>
  <si>
    <t>00505</t>
  </si>
  <si>
    <t>COMERCIALIZADORA DUNAMIS, C.A</t>
  </si>
  <si>
    <t>J409411966</t>
  </si>
  <si>
    <t>0416-1801301</t>
  </si>
  <si>
    <t>AV GERMANIA EDIF FARMACIA CARACAS PISO PB LOCAL 3 BARRIO AJURO PARROQUIA CATEDRAL MUNICIPIO HERES</t>
  </si>
  <si>
    <t>5024.71</t>
  </si>
  <si>
    <t>00506</t>
  </si>
  <si>
    <t>FARMACARACAS, C.A</t>
  </si>
  <si>
    <t>J500860927</t>
  </si>
  <si>
    <t>0414-9912227</t>
  </si>
  <si>
    <t>AV GUARAPICHE LOCAL NRO 9 URB UCHIRE MANZANA 20,  SECTOR UNARE I</t>
  </si>
  <si>
    <t>822989.89</t>
  </si>
  <si>
    <t>00507</t>
  </si>
  <si>
    <t>INVERSIONES LOS GARCIAS, C.A</t>
  </si>
  <si>
    <t>J402398816</t>
  </si>
  <si>
    <t>LA NEGRA EDO GUARICO</t>
  </si>
  <si>
    <t>0412-7232073</t>
  </si>
  <si>
    <t>8594</t>
  </si>
  <si>
    <t>LA NEGRA</t>
  </si>
  <si>
    <t>CTRA NACIONAL VIA CAMAGUAN CASA NRO S/N SECTOR BRISAS DE PORTUGUESA</t>
  </si>
  <si>
    <t>3501.13</t>
  </si>
  <si>
    <t>00508</t>
  </si>
  <si>
    <t>RUBENMEDIC, C.A</t>
  </si>
  <si>
    <t>J313263281</t>
  </si>
  <si>
    <t>0424-8133951</t>
  </si>
  <si>
    <t>AV PRINCIPAL HOSPITAL LUIS RAZETTI CASA NRO A-15 URB VISTA ALTA</t>
  </si>
  <si>
    <t>0.06</t>
  </si>
  <si>
    <t>0416-2631988</t>
  </si>
  <si>
    <t>AV NEGRO PRIMERO LOCAL NRO 03 SECTOR SANTA BARBARA</t>
  </si>
  <si>
    <t>00510</t>
  </si>
  <si>
    <t>FARMACIA LOS SAMANES, C.A</t>
  </si>
  <si>
    <t>J308982180</t>
  </si>
  <si>
    <t>AV BOLIVAR CASA NRO 196 SECTOR CASCO CENTRAL</t>
  </si>
  <si>
    <t>0412-1175088</t>
  </si>
  <si>
    <t>CALLE 01 LOCAL NRO 15 URB CAMPECHE SECTOR 4 CUMANA SUCRE</t>
  </si>
  <si>
    <t>0412-9873226</t>
  </si>
  <si>
    <t>AVENIDA TRANSVERSAL 21 LOCAL 323 NIVEL BAJA NRO. 18 VILLA IKABARU. 
Estado Bolivar. Municipio Caroní. Parroquia Cachamay . Puerto Ordaz (Ciudad Guayana)</t>
  </si>
  <si>
    <t>+58 414-8767277 /  028699464</t>
  </si>
  <si>
    <t>AV GUAYANA MANZANA 94 LOCAL NRO 22 SECTOR UD-337 GRAN SABANA DEL CORE 8 PUERTO ORDAZ BOLIVAR</t>
  </si>
  <si>
    <t>00514</t>
  </si>
  <si>
    <t>DANIEL TINEO</t>
  </si>
  <si>
    <t>V15903036</t>
  </si>
  <si>
    <t>0414-8837393</t>
  </si>
  <si>
    <t>200519.76</t>
  </si>
  <si>
    <t>0424-8821303</t>
  </si>
  <si>
    <t>VALENCIA EDO CARABOBO</t>
  </si>
  <si>
    <t>0412-3413599</t>
  </si>
  <si>
    <t>CALLE PAEZ CRUCE CON BOYACA  LOCAL 98-14 ZONA CENTRO DE VALENCIA. VALENCIA. CARABOBO</t>
  </si>
  <si>
    <t>0414-3875696</t>
  </si>
  <si>
    <t>CR TOCOMA CC MAMY NIVEL PISO 1 LOCAL 38 IRB ALTA VISTA</t>
  </si>
  <si>
    <t>+57-3226253539</t>
  </si>
  <si>
    <t>00520</t>
  </si>
  <si>
    <t>FARMACIA UNIDAS LC, C.A (CUMANA)</t>
  </si>
  <si>
    <t>FARMACIA UNIDAS LC, C.A</t>
  </si>
  <si>
    <t>J502875751</t>
  </si>
  <si>
    <t>0424-8241575</t>
  </si>
  <si>
    <t>AV FERNANDEZ DED ZERPA EDIF CENTRO PROFESIONAL LA COPITA EDIF B PISO PB LOCAL UNICO  SECTOR FERNANDEZ DE ZERPA CUMANA SUCRE</t>
  </si>
  <si>
    <t>00521</t>
  </si>
  <si>
    <t>FARMACIA HOSPITAL S.R.L.,</t>
  </si>
  <si>
    <t>08/09/2025</t>
  </si>
  <si>
    <t>J095038793</t>
  </si>
  <si>
    <t>0424-9069025</t>
  </si>
  <si>
    <t>AV LIBERTADOR VIA SEGURO SOCIAL LOCAL NRO 10 SECTOR GUAIPARO</t>
  </si>
  <si>
    <t>00522</t>
  </si>
  <si>
    <t>FARMACIA FARMASUR C.A</t>
  </si>
  <si>
    <t>J500866550</t>
  </si>
  <si>
    <t>0424-9189569</t>
  </si>
  <si>
    <t>SECTOR LAS LOMAS HERMOSAS, PB. LOCAL S/N. EL DORADO, ESTADO BOLIVAR</t>
  </si>
  <si>
    <t>94872.74</t>
  </si>
  <si>
    <t>00523</t>
  </si>
  <si>
    <t>BARUC FARMA, C.A</t>
  </si>
  <si>
    <t>J501023425</t>
  </si>
  <si>
    <t>0412-8032950 /</t>
  </si>
  <si>
    <t>CALLE ARQUIMEDES CEDEÑO CON CALLE TURIMIQUIRE CC MINI CENTRO VIRGEN DEL VALLE NIVEL PB LOCAL PB A2 PB A3 SECTOR TIPURO MATURIN MONAGAS</t>
  </si>
  <si>
    <t>5391.70</t>
  </si>
  <si>
    <t>00524</t>
  </si>
  <si>
    <t>FARMA OFERTAS EL MEDANO, C.A</t>
  </si>
  <si>
    <t>J298495952</t>
  </si>
  <si>
    <t>0424-3766915/0412-2516479 /</t>
  </si>
  <si>
    <t>CALLE COMERCIO LOCAL NRO 2 SECTOR EL MEDANO</t>
  </si>
  <si>
    <t>66262.77</t>
  </si>
  <si>
    <t>0412-4611369</t>
  </si>
  <si>
    <t>CALLE TROCONIS CASA NRO 91-1 SECTOR EL PARAISO ZARAZA ESTADO GUARICO</t>
  </si>
  <si>
    <t>00526</t>
  </si>
  <si>
    <t>CENTRO INTEGRAL REINA SOFIA 2015, C.A</t>
  </si>
  <si>
    <t>18/11/2025</t>
  </si>
  <si>
    <t>J406902330</t>
  </si>
  <si>
    <t>04141745552</t>
  </si>
  <si>
    <t>CALLE MARIÑO EDIF MILON PISO S/N LOCAL S/N SECTOR LA PLAZA</t>
  </si>
  <si>
    <t>0414-9860616 /</t>
  </si>
  <si>
    <t>AV MANUEL PIAR ENTRE CALLE 5 Y 6 EDIF ALAM PISO PB LOCAL 2 SECTOR PRIMERO DE MAYO</t>
  </si>
  <si>
    <t>00528</t>
  </si>
  <si>
    <t>INVERSIONES CARCORD, C.A</t>
  </si>
  <si>
    <t>J307622407</t>
  </si>
  <si>
    <t>CUMANACOA EDO SUCRE</t>
  </si>
  <si>
    <t>0424-8101287</t>
  </si>
  <si>
    <t>CALLE BOLIVAR LOCAL NRO 71 SECTOR EL CENTRO</t>
  </si>
  <si>
    <t>1330.34</t>
  </si>
  <si>
    <t>00529</t>
  </si>
  <si>
    <t>FARMACIA LOS ANDES, C.A (BOLIVAR)</t>
  </si>
  <si>
    <t>FARMACIA LOS ANDES, C.A</t>
  </si>
  <si>
    <t>J502211047</t>
  </si>
  <si>
    <t>0414-8759834</t>
  </si>
  <si>
    <t>AV PASEO CARONI CON SEXTA TRANSVERSAL CC LOS ANDES NIVEL PB LOCAL 18 URB PARATEPUY PARROQUIA UNARE PUERTO ORDAZ BOLIVAR</t>
  </si>
  <si>
    <t>12587.20</t>
  </si>
  <si>
    <t>0414-8500128</t>
  </si>
  <si>
    <t>CALLE MARIÑO, EDIFICIO CARINA, PISO PB, LOCAL 1. SECTOR SAN RAFAEL. SAN FELIX. EDO. BOLIVAR. 
Estado Bolivar. Municipio Caroní. Parroquia Simón Bolívar. San Fe</t>
  </si>
  <si>
    <t>00531</t>
  </si>
  <si>
    <t>FARMACIA MANTECAL, F.P</t>
  </si>
  <si>
    <t>V095994772</t>
  </si>
  <si>
    <t>0414-5414521</t>
  </si>
  <si>
    <t>CALLE NRO 7 CASA NRO 12 SECTOR CENTRO</t>
  </si>
  <si>
    <t>0412-1816634</t>
  </si>
  <si>
    <t>CALLE SAN CARLOS CASA NRO 24-62 B URB URDANETA</t>
  </si>
  <si>
    <t>00533</t>
  </si>
  <si>
    <t>FARMACIA PASCUA OFERTA, C.A</t>
  </si>
  <si>
    <t>J317275187</t>
  </si>
  <si>
    <t>0412-4933418 /</t>
  </si>
  <si>
    <t>CALLE RETUMBO CRUCE CON REAL EDIF JHOMA PISO PB LOCAL 3 SECTOR CENTRO</t>
  </si>
  <si>
    <t>333378.40</t>
  </si>
  <si>
    <t>0424-9059766</t>
  </si>
  <si>
    <t>CALLE MATURIN CASA NRO 25 SECTOR DALLA COSTA</t>
  </si>
  <si>
    <t>00535</t>
  </si>
  <si>
    <t>FARMACIA AHORRO Y SALUD, C.A (PROCERES)</t>
  </si>
  <si>
    <t>FARMACIA AHORRO Y SALUD, C.A</t>
  </si>
  <si>
    <t>J501912491</t>
  </si>
  <si>
    <t>0412-8616622 / 0414-8781066</t>
  </si>
  <si>
    <t>AV PRINCIPAL CALLE 6 CASA NRO 46 URB RIVERAS DEL ORINOCO PARROQUIA AGUA SALADA MUNICIPIO ANGOSTURA DEL ORINOCO CIUDAD BOLIVAR BOLIVAR</t>
  </si>
  <si>
    <t>174455.42</t>
  </si>
  <si>
    <t>00536</t>
  </si>
  <si>
    <t>FARMACIA HOSPI-SALUD EL TIGRE, C.A</t>
  </si>
  <si>
    <t>J312134810</t>
  </si>
  <si>
    <t>0424-8541796</t>
  </si>
  <si>
    <t>AV WINSTON CRURCHILL NORTE LOCAL S/N SECTOR PUEBLO NUEVO NORTE EL TIGRE ANZOATEGUI</t>
  </si>
  <si>
    <t>60110.38</t>
  </si>
  <si>
    <t>0412-5001611</t>
  </si>
  <si>
    <t>CALLE ROSCIO CRUCE CON MELLAO LOCAL NRO 84-20 URB RITEC</t>
  </si>
  <si>
    <t>0424-8465693 /</t>
  </si>
  <si>
    <t>AV BERMUDEZ CC GINA NIVEL PB LOCAL 1-1 SECTOR EL CENTRO</t>
  </si>
  <si>
    <t>00539</t>
  </si>
  <si>
    <t>FARMA FE, C.A (GUARICO)</t>
  </si>
  <si>
    <t>FARMA FE, C.A</t>
  </si>
  <si>
    <t>J412512951</t>
  </si>
  <si>
    <t>0414-4640953</t>
  </si>
  <si>
    <t>CALLE COMERCIO LOCAL NRO S/N SECTOR EL MEDANO ZARAZA GUARICO</t>
  </si>
  <si>
    <t>2934517.65</t>
  </si>
  <si>
    <t>0414-3912394 / 02825118540</t>
  </si>
  <si>
    <t>CALLE LAS FLORES LOCAL NRO S/N SECTOR LA TRILLA</t>
  </si>
  <si>
    <t>00541</t>
  </si>
  <si>
    <t>FARMA ORINOCO CA, C.A (ANACO)</t>
  </si>
  <si>
    <t>FARMA ORINOCO CA, C.A</t>
  </si>
  <si>
    <t>J502709339</t>
  </si>
  <si>
    <t>20/08/2025</t>
  </si>
  <si>
    <t>02825118540 /</t>
  </si>
  <si>
    <t>AV PORTUGUESA CON CALLE URDANETA LOCAL PISO 1 NRO 1 SECTOR LOS ALGARROBOS ANACO ESTADO ANZOATEGUI</t>
  </si>
  <si>
    <t>00542</t>
  </si>
  <si>
    <t>FARMACIA CMCAGUA, C.A</t>
  </si>
  <si>
    <t>J403095175</t>
  </si>
  <si>
    <t>0412-4828239</t>
  </si>
  <si>
    <t>CALLE PIAR EDIF CENTRO PIAR PISO PB LOCAL 104-84-01-01-03 SECTOR CASCO CENTRAL</t>
  </si>
  <si>
    <t>00543</t>
  </si>
  <si>
    <t>FARMATEO 24, C.A</t>
  </si>
  <si>
    <t>J502776133</t>
  </si>
  <si>
    <t>SAN MATEO EDO ANZOATEGUI</t>
  </si>
  <si>
    <t>0412-9410887</t>
  </si>
  <si>
    <t>8597</t>
  </si>
  <si>
    <t>SAN MATEO</t>
  </si>
  <si>
    <t>CALLE MATURIN LOCAL NRO 3 CASCO CENTRAL SECTOR CASCO CENTRAL</t>
  </si>
  <si>
    <t>0414-2274155</t>
  </si>
  <si>
    <t>AV AVENIDA PRIMERO DE MAYO LOCAL NRO S/N SECTOR CENTRO</t>
  </si>
  <si>
    <t>00545</t>
  </si>
  <si>
    <t>FARMACIA EL VALLE 2017, C.A</t>
  </si>
  <si>
    <t>J408320460</t>
  </si>
  <si>
    <t>0412-9893961</t>
  </si>
  <si>
    <t>AV ROMULO GALLEGOS OESTE ENTRE CALLE ORITUCO Y AV MANAPIRE LOCAL NRO 93 SECTOR CENTRO VALLE DE LA PASCUA GUARICO</t>
  </si>
  <si>
    <t>0414-8844511</t>
  </si>
  <si>
    <t>AV BERMUDEZ LOCAL NRO 26-A SECTOR CENTRO CUMANA SUCRE</t>
  </si>
  <si>
    <t>0424-9187303</t>
  </si>
  <si>
    <t>AV PASEO CARONI CON CALLE CHURUN MERU MANZ 2 PARCELA 1 LOCAL NRO 1 SECTOR UD 264 ALTA VISTA PUERTO ORDAZ. 
Estado Bolivar. Municipio Caroní. Parroquia Universi</t>
  </si>
  <si>
    <t>SECTOR 23 DE ENERO</t>
  </si>
  <si>
    <t>00549</t>
  </si>
  <si>
    <t>FARMACIA LICASTE, C.A</t>
  </si>
  <si>
    <t>J500523394</t>
  </si>
  <si>
    <t>0414-5922005</t>
  </si>
  <si>
    <t>AV ENRIQUE CHAUMER EDIF SAN JORGEPISO PB LOCAL 01 SECTOR CENTRO</t>
  </si>
  <si>
    <t>00550</t>
  </si>
  <si>
    <t>CLINICA SANTA ROSA, C.A</t>
  </si>
  <si>
    <t>J080136187</t>
  </si>
  <si>
    <t>0424-8898659</t>
  </si>
  <si>
    <t>AV FRANCISCO DE MIRANDA LOCAL NRO 223 SECTOR PUEBLO NUEVO NORTE EL TIGRE ANZOATEGUI</t>
  </si>
  <si>
    <t>72641.59</t>
  </si>
  <si>
    <t>8598</t>
  </si>
  <si>
    <t>LA ESTACADA</t>
  </si>
  <si>
    <t>CALLE LA ESCUELA LOCAL S/N ESCTOR LA ESTACADA</t>
  </si>
  <si>
    <t>00552</t>
  </si>
  <si>
    <t>FARMACIA SANA SANA LAS CASITAS, C.A</t>
  </si>
  <si>
    <t>J501670862</t>
  </si>
  <si>
    <t>0416-3619289</t>
  </si>
  <si>
    <t>CALLE 1 CASA NRO 25 SECTOR III URBANIZACION BRISAS DEL MAR</t>
  </si>
  <si>
    <t>41721.21</t>
  </si>
  <si>
    <t>00553</t>
  </si>
  <si>
    <t>FARMACIA LUZ C.A.</t>
  </si>
  <si>
    <t>J303254934</t>
  </si>
  <si>
    <t>SAN ANTONIO</t>
  </si>
  <si>
    <t>8614</t>
  </si>
  <si>
    <t>CALLE BOLIVAR. LOCAL NRO 93. SECTOR SAN ANTONIO. SAN ANTONIO. ESTADO MONAGAS</t>
  </si>
  <si>
    <t>30152.92</t>
  </si>
  <si>
    <t>00554</t>
  </si>
  <si>
    <t>FARMACIA JUNCAL, C.A</t>
  </si>
  <si>
    <t>J080097920</t>
  </si>
  <si>
    <t>0424-916-3127 /  0414-191450</t>
  </si>
  <si>
    <t>AV JUNCAL. EDIF VALERA. PISO P.B. LOCAL 3. SECTOR LOS BLOQUES. MATURIN. ESTADO MONAGAS</t>
  </si>
  <si>
    <t>74646.16</t>
  </si>
  <si>
    <t>0414-0218981</t>
  </si>
  <si>
    <t>AV FRANCISCO DE MIRANDA CRUCE CON CALLE 22 SUR CC EL COLOSO NIVEL PB LOCAL 1 Y 2 SECTOR PUEBLO NUEVO SUR</t>
  </si>
  <si>
    <t>00556</t>
  </si>
  <si>
    <t>FARMA LABORATORIO EL REY DE LA SALUD, C.A</t>
  </si>
  <si>
    <t>J501679002</t>
  </si>
  <si>
    <t>0412-8615809 / 0424-4359077</t>
  </si>
  <si>
    <t>AV LUIS DEL VALLE GARCIA CC MULTICENTRO LAS AVENIDAS NIVEL PB LOCAL LPB0-1 SECTOR CENTRO</t>
  </si>
  <si>
    <t>00557</t>
  </si>
  <si>
    <t>FARMACIA MONTES FARMA, C.A</t>
  </si>
  <si>
    <t>J400796865</t>
  </si>
  <si>
    <t>0414-8797791</t>
  </si>
  <si>
    <t>CALLE MIRANDA C/C LAS FLORES EDIF CUMANACOA PISO P/B LOCAL 2 SECTOR CUMANACOA</t>
  </si>
  <si>
    <t>11221.63</t>
  </si>
  <si>
    <t>00558</t>
  </si>
  <si>
    <t>INVERISONES FACIFARMA NORTE, C.A</t>
  </si>
  <si>
    <t>J501113971</t>
  </si>
  <si>
    <t>MARACAY EDO ARAGUA</t>
  </si>
  <si>
    <t>0416-0402770 /</t>
  </si>
  <si>
    <t>AV LAS DELICIAS LOCAL NRO S/N SECTOR LAS DELICIAS AREA CIRCULO MILITAR HOTEL LAS DELICIAS</t>
  </si>
  <si>
    <t>00559</t>
  </si>
  <si>
    <t>FARMAPIRITU, C.A</t>
  </si>
  <si>
    <t>J412508245</t>
  </si>
  <si>
    <t>PUERTO PIRITU EDO ANZOATEGUI</t>
  </si>
  <si>
    <t>0414-1987853</t>
  </si>
  <si>
    <t>AV PRINCIPAL DEL TEJAR CC GABY MAR NIVEL PB LOCAL 3,4,5,6 Y 7 SECTOR EL TEJAR</t>
  </si>
  <si>
    <t>596240.31</t>
  </si>
  <si>
    <t>00560</t>
  </si>
  <si>
    <t>FARMACIA LAKE PLAZA, C.A.</t>
  </si>
  <si>
    <t>J295053266</t>
  </si>
  <si>
    <t>GUATIRE</t>
  </si>
  <si>
    <t>0212-3412768 /</t>
  </si>
  <si>
    <t>8603</t>
  </si>
  <si>
    <t>CTRA GUARENAS, GUATIRE. LOCAL CENTRO AUTOMOTRIZ. GUATIRE PLAZA. NRO PISO 2. URB EL INGENIO. GUATIRE. ESTADO MIRANDA</t>
  </si>
  <si>
    <t>31843.79</t>
  </si>
  <si>
    <t>0416-3009535 / 0286-9744268</t>
  </si>
  <si>
    <t>CARRERA 2 CASA NRO 39 AL LADO CLINICA NEVERI SECTOR CENTRO</t>
  </si>
  <si>
    <t>0412-0338597</t>
  </si>
  <si>
    <t>AV BOLIVAR EDIF LAS LAJAS PISO PB NRO 54 LOCAL 54 SECTOR CENTRO</t>
  </si>
  <si>
    <t>00563</t>
  </si>
  <si>
    <t>FARMACIA INSUMOS EXPRESS, C.A (SUCURSAL 4 VISTA HERMOSA)</t>
  </si>
  <si>
    <t>0414-8533217</t>
  </si>
  <si>
    <t>AVENIDA ROTARIA LOCAL N°19- VISTA HERMOSA CIUDAD BOLIVAR BOLIVAR</t>
  </si>
  <si>
    <t>239408.52</t>
  </si>
  <si>
    <t>00564</t>
  </si>
  <si>
    <t>(MATRIZ) FARMA OFERTAS LA ECONOMICA, C.A</t>
  </si>
  <si>
    <t>J501467528</t>
  </si>
  <si>
    <t>FARMACIA FARMAOFERTAS, C.A</t>
  </si>
  <si>
    <t>J501336652</t>
  </si>
  <si>
    <t>0412-0889386</t>
  </si>
  <si>
    <t>CARRERA 3 ANTES CHIPIA,C/C ANTES 5 ANTES ZOILO VIDAL,MANZANA N°46- UD 101 SAN FELIX BOLIVAR</t>
  </si>
  <si>
    <t>00566</t>
  </si>
  <si>
    <t>MATRIZ FARMA AHORRO LA ECONOMICA, C.A</t>
  </si>
  <si>
    <t>J502256180</t>
  </si>
  <si>
    <t>00567</t>
  </si>
  <si>
    <t>FARMA OFERTAS TIERRA SANTA, C.A (SUCURSAL CORE 8)</t>
  </si>
  <si>
    <t>FARMA OFERTAS TIERRA SANTA, C.A</t>
  </si>
  <si>
    <t>J502672133</t>
  </si>
  <si>
    <t>0414-3875241</t>
  </si>
  <si>
    <t>URBANIZACION GRAN SABANA CORE 8 LOCAL 3-4 PUERTO ORDAZ BOLIVAR</t>
  </si>
  <si>
    <t>256645.31</t>
  </si>
  <si>
    <t>00568</t>
  </si>
  <si>
    <t>FARMA AHORRO LA ECONOMICA, C.A (SUCURSAL DORADO)</t>
  </si>
  <si>
    <t>FARMA AHORRO LA ECONOMICA, C.A</t>
  </si>
  <si>
    <t>0412-1132877</t>
  </si>
  <si>
    <t>CALLE ANZOATEQUI CON AVENIDA GUMILLA REDOMA EL DORADO LOCAL ,N°1 SAN FELIX BOLIVAR</t>
  </si>
  <si>
    <t>73364.60</t>
  </si>
  <si>
    <t>0412-3676648</t>
  </si>
  <si>
    <t>CALLE PAEZ CRUCE CON CALLE CEDEÑO EDIFICIO MOROCHO LOCAL NRO 7 SAN FELIX BOLIVAR</t>
  </si>
  <si>
    <t>00570</t>
  </si>
  <si>
    <t>FARMA AHORRO LA ECONOMICA, C.A (SUCURSAL 2 SAN FELIX)</t>
  </si>
  <si>
    <t>0412-9429413</t>
  </si>
  <si>
    <t>CALLE RAMIREZ CON CALLE 4- S/N SAN FELIX BOLIVAR</t>
  </si>
  <si>
    <t>0412-1472738</t>
  </si>
  <si>
    <t>AV ANTONIO BERRIOS MANZANA 009-LOCAL S/N PARCELA 196, ANDRES ELOY BLANCO SECTOR EL ROBLE UD-107,PARROQUIA DALA COSTA SAN FELIX BOLIVAR</t>
  </si>
  <si>
    <t>00572</t>
  </si>
  <si>
    <t>FARMA AHORRO LA ECONOMICA, C.A (SUCURSAL 3 SAN FELIX)</t>
  </si>
  <si>
    <t>0426-1951504</t>
  </si>
  <si>
    <t>AV MANUEL PIAR AL LADO DE AGROPRECUARIA EL BARRIO PB LOCAL S/N SAN FELIX BOLIVAR</t>
  </si>
  <si>
    <t>257495.76</t>
  </si>
  <si>
    <t>00573</t>
  </si>
  <si>
    <t>GUSTAVO ADOLFO CESIN CABELLO (DORADO)</t>
  </si>
  <si>
    <t>GUSTAVO ADOLFO CESIN CABELLO</t>
  </si>
  <si>
    <t>V19535938</t>
  </si>
  <si>
    <t>0426-2214768</t>
  </si>
  <si>
    <t>19453.35</t>
  </si>
  <si>
    <t>00574</t>
  </si>
  <si>
    <t>FARMACIA LA ECONOMICA, C.A (SUCURSAL 1 CORITO)</t>
  </si>
  <si>
    <t>FARMACIA LA ECONOMICA, C.A</t>
  </si>
  <si>
    <t>AVENIDA ESPAÑA SECTOR EL CORITO EDIFICIO SAGRADO CORAZON DE JESUS LOCAL NRO 4 Y 5 CIUDAD BOLIVAR</t>
  </si>
  <si>
    <t>195068.40</t>
  </si>
  <si>
    <t>00575</t>
  </si>
  <si>
    <t>SUMINISTROS THIAGO, C.A</t>
  </si>
  <si>
    <t>0424-3450214</t>
  </si>
  <si>
    <t>CALLE INFANTE LOCAL NRO 117 SECTOR CENTRO</t>
  </si>
  <si>
    <t>137630.09</t>
  </si>
  <si>
    <t>0424-1908081</t>
  </si>
  <si>
    <t>CALLE PRINCIPAL DE LA PUA CRUCE CON CALLE LOS ILUSTRES EDIF CENTRO COMERCIAL Y RESIDENCIAL VILLADAGOS PISO PB LOCAL C Y D URB LA PUA VALLE DE LA PASCUA GUARICO</t>
  </si>
  <si>
    <t>00577</t>
  </si>
  <si>
    <t>FARMACIA V.I.P, C.A</t>
  </si>
  <si>
    <t>J502966056</t>
  </si>
  <si>
    <t>0424-9542336 /</t>
  </si>
  <si>
    <t>AV 17 DE DICIEMBRE CC VIRGEN DEL VALLE NIVEL PB LOCAL S/N SECTOR VISTA HERMOSA</t>
  </si>
  <si>
    <t>75899.04</t>
  </si>
  <si>
    <t>0412-4988425</t>
  </si>
  <si>
    <t>8599</t>
  </si>
  <si>
    <t>GUANTA</t>
  </si>
  <si>
    <t>AV PRINCIPAL DE GUANTA CC LAS PALMERAS NIVEL PLANTA BAJA LOCAL 6 URB LAS PALMERAS</t>
  </si>
  <si>
    <t>00579</t>
  </si>
  <si>
    <t>MATRIZ FARMA OFERTAS TIERRA SANTA, C.A</t>
  </si>
  <si>
    <t>00580</t>
  </si>
  <si>
    <t>FARMACIA PROSPERI, C.A</t>
  </si>
  <si>
    <t>J502731997</t>
  </si>
  <si>
    <t>0412-6008251</t>
  </si>
  <si>
    <t>CALLE VIA PRINCIPAL LA FLORIDA CASA NRO S/N SECTOR LA FLORIDA</t>
  </si>
  <si>
    <t>00581</t>
  </si>
  <si>
    <t>FARMACIA FARMAOFERTAS, C.A (SUCURSAL II LA CRUZ)</t>
  </si>
  <si>
    <t>0412-1011514</t>
  </si>
  <si>
    <t>AV EL EJERCITO LOCAL NRO 03 SECTOR LOS GODOS MATURIN ESTADO MONAGAS</t>
  </si>
  <si>
    <t>82493.71</t>
  </si>
  <si>
    <t>00582</t>
  </si>
  <si>
    <t>FARMACIA DROMEQUI COMPAÑIA ANONIMA</t>
  </si>
  <si>
    <t>J309891570</t>
  </si>
  <si>
    <t>0424-4590112</t>
  </si>
  <si>
    <t>CALLE 96 LOCAL NRO 96-41 SECTOR SANTA ROSA</t>
  </si>
  <si>
    <t>4195.36</t>
  </si>
  <si>
    <t>0412-0465414</t>
  </si>
  <si>
    <t>CALLE SANTA ISABEL C/C INFANTE CASA NRO 20 SECTOR CASCO CENTRAL SAN JUAN DE LOS MORROS GUARICO</t>
  </si>
  <si>
    <t>00584</t>
  </si>
  <si>
    <t>FARMACIA MATERNI-FARMA PLAZA DE TOROS, C.A</t>
  </si>
  <si>
    <t>J501384657</t>
  </si>
  <si>
    <t>0424-4963848 / 0241-8355101</t>
  </si>
  <si>
    <t>AV 100 LOCAL NRO 56-47 BARRIO LOS NARANJOS</t>
  </si>
  <si>
    <t>400.23</t>
  </si>
  <si>
    <t>00585</t>
  </si>
  <si>
    <t>FARMACIA ECUADOR, C.A</t>
  </si>
  <si>
    <t>J298368470</t>
  </si>
  <si>
    <t>CASANAY EDO SUCRE</t>
  </si>
  <si>
    <t>0412-1295043</t>
  </si>
  <si>
    <t>CALLE ECUADOR CASA 33 ZONA CENTRO CASANAY CANCHA DE TIRO</t>
  </si>
  <si>
    <t>339452.90</t>
  </si>
  <si>
    <t>00586</t>
  </si>
  <si>
    <t>FARMARKET NANCY URBINA F.P</t>
  </si>
  <si>
    <t>V098984077</t>
  </si>
  <si>
    <t>0424-9507464</t>
  </si>
  <si>
    <t>CALLE SUCRE LOCAL NRO S/N SECTOR CENTRO</t>
  </si>
  <si>
    <t>00587</t>
  </si>
  <si>
    <t>FARMACIA MAS QUE FARMACIA, C.A</t>
  </si>
  <si>
    <t>J413115891</t>
  </si>
  <si>
    <t>0412-4313175 / 0412-1595476</t>
  </si>
  <si>
    <t>AV ROJAS QUEIPO LOCAL NRO 2, Nº 102-125 SECTOR S/N</t>
  </si>
  <si>
    <t>20255.66</t>
  </si>
  <si>
    <t>00588</t>
  </si>
  <si>
    <t>INVERSIONES FARMACIA LA PARADA, C.A</t>
  </si>
  <si>
    <t>J500413912</t>
  </si>
  <si>
    <t>GUATIRE EDO MIRANDA</t>
  </si>
  <si>
    <t>0412-8016197</t>
  </si>
  <si>
    <t>AN INTERCOMUNAL GUARENAS-GUATIRE CC LA PARADA NIVEL PB LOCAL 1 SECTOR VEGA ARRIBA</t>
  </si>
  <si>
    <t>0416-1336207</t>
  </si>
  <si>
    <t>00590</t>
  </si>
  <si>
    <t>FARMACIA KRISBELYS</t>
  </si>
  <si>
    <t>V27115602</t>
  </si>
  <si>
    <t>0416-2863058</t>
  </si>
  <si>
    <t>64175.59</t>
  </si>
  <si>
    <t>00591</t>
  </si>
  <si>
    <t>FARMA OFERTAS LA ECONOMICA, C.A (SUCURSAL 10)</t>
  </si>
  <si>
    <t>FARMA OFERTAS LA ECONOMICA, C.A</t>
  </si>
  <si>
    <t>PUERTO LA CRUZ / ANZOATEGUI</t>
  </si>
  <si>
    <t>0424-8621774</t>
  </si>
  <si>
    <t>AV MUNICIPAL CC PEQUEÑOS COMERCIANTES NIVEL PB LOCAL 5 Y 6 SECTOR MERCADO PUERTO LA CRUZ ANZOATEGUI</t>
  </si>
  <si>
    <t>34284.65</t>
  </si>
  <si>
    <t>00592</t>
  </si>
  <si>
    <t>ORGANIZACION ANGELES DE LA SALUD</t>
  </si>
  <si>
    <t>J000000001</t>
  </si>
  <si>
    <t>CALLE 1 SECTOR CUYUNI</t>
  </si>
  <si>
    <t>1.02</t>
  </si>
  <si>
    <t>00593</t>
  </si>
  <si>
    <t>FARMACIA MULTIAHORRO TOTAL, C.A</t>
  </si>
  <si>
    <t>J402878885</t>
  </si>
  <si>
    <t>0414-8003217</t>
  </si>
  <si>
    <t>CR 3ERA SUR ENTRE CALLE 15 SUR Y AVENIDA WISTON CHURCHILL LOCAL NRO S/N SECTOR PUEBLO NUEVO SUR EL TIGRE ANZOATEGUI</t>
  </si>
  <si>
    <t>112462.05</t>
  </si>
  <si>
    <t>00594</t>
  </si>
  <si>
    <t>TU FARMA ANZ, C.A</t>
  </si>
  <si>
    <t>J502657894</t>
  </si>
  <si>
    <t>0412-4026680</t>
  </si>
  <si>
    <t>CALLE SUCRE LOCAL 03-27 A SECTOR BARRIO SUCRE BARCELONA ANZOATEGUI</t>
  </si>
  <si>
    <t>0424-9189464</t>
  </si>
  <si>
    <t>CALLE LIBERTAD EDIF TAMANACO PISO PB LOCAL TAMANACO ZONA CENTRO DE UPATA BOLIVAR</t>
  </si>
  <si>
    <t>0412-9916112 / 0424-4548335</t>
  </si>
  <si>
    <t>CALLE 139-A CC VILLA CLARA III NIVEL S/N LOCAL 3 URB EL VIÑEDO</t>
  </si>
  <si>
    <t>00597</t>
  </si>
  <si>
    <t>FARMACIA FARMA-DELTA, C.A</t>
  </si>
  <si>
    <t>J502321624</t>
  </si>
  <si>
    <t>0412-5951247</t>
  </si>
  <si>
    <t>AV ORINOCO LOCAL NRO S/N ZONA SAN RAFAEL URB. LEONARDO RUIZ PINEDA</t>
  </si>
  <si>
    <t>177833.21</t>
  </si>
  <si>
    <t>00598</t>
  </si>
  <si>
    <t>FARMA OFERTAS LA ECONOMICA, C.A (SUCURSAL 7)</t>
  </si>
  <si>
    <t>0414-8532643 / 0412-9605054</t>
  </si>
  <si>
    <t>AVENIDA MANUEL PIAR SECTOR PRIMERO DE MAYO SAN FELIX BOLIVAR</t>
  </si>
  <si>
    <t>278781.21</t>
  </si>
  <si>
    <t>00599</t>
  </si>
  <si>
    <t>GRUPO VFG 2016, C.A</t>
  </si>
  <si>
    <t>J409156907</t>
  </si>
  <si>
    <t>0424-2139079 /</t>
  </si>
  <si>
    <t>ESQ ESQUINA DE MIGUELACHO A PELIGRO LOCAL EDIFICIO CLINICA STHORY NRO 4 URB LA CANDELARIA</t>
  </si>
  <si>
    <t>1.42</t>
  </si>
  <si>
    <t>00600</t>
  </si>
  <si>
    <t>FARMACENTER ORIENTE, C.A</t>
  </si>
  <si>
    <t>J407966057</t>
  </si>
  <si>
    <t>0424-9130176</t>
  </si>
  <si>
    <t>CALLE 21 EDIF GRUPO CARRERA PISO PB OF 01 SECTOR CENTRO</t>
  </si>
  <si>
    <t>0412-3946959</t>
  </si>
  <si>
    <t>CALLE COMERCIO, LOCAL 49 SECTOR CENTRO</t>
  </si>
  <si>
    <t>0412-8356640</t>
  </si>
  <si>
    <t>AV MERIDA EDIF CHAGUARAMOS PISO PB LOCAL 4-86 SECTOR PUEBLO NUEVO ANACO ANZOATEGUI</t>
  </si>
  <si>
    <t>0424-8184109</t>
  </si>
  <si>
    <t>CALLE MANEIRO LOCAL NRO 30 SECTOR CENTRO</t>
  </si>
  <si>
    <t>00604</t>
  </si>
  <si>
    <t>FARMALINA, C.A</t>
  </si>
  <si>
    <t>J500624344</t>
  </si>
  <si>
    <t>0426-5833567</t>
  </si>
  <si>
    <t>CALLE F LOCAL NRO 4 URB BOYACA I</t>
  </si>
  <si>
    <t>691573.76</t>
  </si>
  <si>
    <t>0414-7654829</t>
  </si>
  <si>
    <t>AV BOLIVAR EDIF NRO S/N PISO PB LOCAL 1 SECTOR LA REDOMA-PUNTA DE MATA</t>
  </si>
  <si>
    <t>00606</t>
  </si>
  <si>
    <t>ACCESORIOS LA BOUTIQUE DEL AUTOMOVIL, C.A (FARMA BOUTIQUE)</t>
  </si>
  <si>
    <t>ACCESORIOS LA BOUTIQUE DEL AUTOMOVIL, C.A</t>
  </si>
  <si>
    <t>J309350447</t>
  </si>
  <si>
    <t>0412-0843144</t>
  </si>
  <si>
    <t>CALLE LIBERTAD C/C PICHINCHA EDIF ANTABI PISO PB LOCAL S/N ZONA CENTRO CARUPANO SUCRE</t>
  </si>
  <si>
    <t>307458.32</t>
  </si>
  <si>
    <t>00607</t>
  </si>
  <si>
    <t>FARMACIA LA NIÑA, C.A</t>
  </si>
  <si>
    <t>J501782318</t>
  </si>
  <si>
    <t>0426-1966638</t>
  </si>
  <si>
    <t>CALLE 2 LOCAL NRO S/N SECTOR PRIMERO DE MAYO</t>
  </si>
  <si>
    <t>14799.62</t>
  </si>
  <si>
    <t>00608</t>
  </si>
  <si>
    <t>FARMACIA SAN SHARBEL, C.A</t>
  </si>
  <si>
    <t>J500686021</t>
  </si>
  <si>
    <t>0414-8124730</t>
  </si>
  <si>
    <t>AV PRINCIPAL DE LECHERIA LOCAL PAULITA NRO 2 SECTOR LECHERIA</t>
  </si>
  <si>
    <t>S</t>
  </si>
  <si>
    <t>65865.04</t>
  </si>
  <si>
    <t>00609</t>
  </si>
  <si>
    <t>FARMACIA LA MAGISTRAL, F.P</t>
  </si>
  <si>
    <t>V066353016</t>
  </si>
  <si>
    <t>0416-5413806</t>
  </si>
  <si>
    <t>CARRERA 3 LOCAL NRO 3 SECTOR BARRIO CENTRO MANTECAL APURE</t>
  </si>
  <si>
    <t>71151.60</t>
  </si>
  <si>
    <t>00610</t>
  </si>
  <si>
    <t>FARMACIA EL CARMEN, C.A (GUARICO)</t>
  </si>
  <si>
    <t>FARMACIA EL CARMEN, C.A</t>
  </si>
  <si>
    <t>J060011728</t>
  </si>
  <si>
    <t>EL SOMBRERO EDO GUARICO</t>
  </si>
  <si>
    <t>0412-4305239 /</t>
  </si>
  <si>
    <t>8511</t>
  </si>
  <si>
    <t>EL SOMBRERO</t>
  </si>
  <si>
    <t>AV ANDRES ELOY BLANCO ESQUINA CON CALLE 05 DE JULIO LOCAL NRO 02-A SECTOR EL TAMARINDO EL SOMBRERO GUARICO</t>
  </si>
  <si>
    <t>113670.12</t>
  </si>
  <si>
    <t>00611</t>
  </si>
  <si>
    <t>CENTRO MEDICO VENEZUELA C. A.</t>
  </si>
  <si>
    <t>J310906289</t>
  </si>
  <si>
    <t>0414-8396201</t>
  </si>
  <si>
    <t>AV FRANCISCO DE MIRANDA QTA S/N . SECTOR PUEBLO NUEVO NORTE. EL TIGRE. ESTADO ANZOATEGUI.</t>
  </si>
  <si>
    <t>00612</t>
  </si>
  <si>
    <t>FARMACIA HOSPI-SALUD GUANIPA, C.A</t>
  </si>
  <si>
    <t>J501265119</t>
  </si>
  <si>
    <t>AV FERNANDEZ PADILLA CRUCE CON MARIÑO CC MALAVER NIVEL PB LOCAL LC-PB-4-A SECTOR LA PAZ SAN JOSE DE GUANIPA EL TIGRITO ANZOATEGUI</t>
  </si>
  <si>
    <t>23409.77</t>
  </si>
  <si>
    <t>00613</t>
  </si>
  <si>
    <t>CLINIC FARMA, C.A</t>
  </si>
  <si>
    <t>J503037571</t>
  </si>
  <si>
    <t>+58 412-9905262</t>
  </si>
  <si>
    <t>CALLE FLORIDA, PARCELAMIENTO TAMANACO CENTRO PROFESIONAL VICTORIA LOCAL NRO 06 SRCTOR JUANICO MATURIN ESTADO MONAGAS</t>
  </si>
  <si>
    <t>19139.06</t>
  </si>
  <si>
    <t>0426-5952011 /</t>
  </si>
  <si>
    <t>AV RIVAS C/C MIRANDA LOCAL NRO 210 SECTOR PALO NEGRO</t>
  </si>
  <si>
    <t>00615</t>
  </si>
  <si>
    <t>FARMA EXPRESS SRK, C.A</t>
  </si>
  <si>
    <t>J406539716</t>
  </si>
  <si>
    <t>0412-9165899</t>
  </si>
  <si>
    <t>AV JESUS SUBERO ENTRE CALLE 18 Y 19 SUR EDIF CENTRO EMPRESARIAL ROSADEIN PISO PB LOCAL 01 SECTOR PUEBLO NUEVO SUR EL TIGRE ANZOATEGUI</t>
  </si>
  <si>
    <t>13879.54</t>
  </si>
  <si>
    <t>0424-3466497</t>
  </si>
  <si>
    <t>CALLE JOSE ANGEL MONTENEGRO CASA NRO S/N SECTOR CENTRO</t>
  </si>
  <si>
    <t>00617</t>
  </si>
  <si>
    <t>CHAPILLAS ORINOCO, C.A</t>
  </si>
  <si>
    <t>J309845519</t>
  </si>
  <si>
    <t>0291-6533064</t>
  </si>
  <si>
    <t>CALLE EL ROSARIO CASA NRO 06 SECTOR LA CARBONERA</t>
  </si>
  <si>
    <t>0412-8785904</t>
  </si>
  <si>
    <t>CALLE 5 DE JULIO C/C SUCRE LOCAL NRO 1 SECTOR CENTRO</t>
  </si>
  <si>
    <t>00619</t>
  </si>
  <si>
    <t>FARMACIA DORADO, C.A</t>
  </si>
  <si>
    <t>J501431221</t>
  </si>
  <si>
    <t>+57-3212217378</t>
  </si>
  <si>
    <t>CALLE COMERCIO LOCAL NRO 10 SECTOR EL DORADO</t>
  </si>
  <si>
    <t>6666.93</t>
  </si>
  <si>
    <t>00622</t>
  </si>
  <si>
    <t>FARMACIA MAS QUE FARMACIA MAÑONGO, C.A</t>
  </si>
  <si>
    <t>J501631360</t>
  </si>
  <si>
    <t>NAGUNAGUA EDO CARABOBO</t>
  </si>
  <si>
    <t>0414-4025474 / 0241-8269534</t>
  </si>
  <si>
    <t>8604</t>
  </si>
  <si>
    <t>NAGUANAGUA</t>
  </si>
  <si>
    <t>AV 3 PARCELA 11-B LOCAL NRO 1 SECTOR MAÑONGO</t>
  </si>
  <si>
    <t>NAGUANAGUA-CARABOBO</t>
  </si>
  <si>
    <t>2346.67</t>
  </si>
  <si>
    <t>00623</t>
  </si>
  <si>
    <t>FARMACIA MA BAJUKA, C.A</t>
  </si>
  <si>
    <t>J401987982</t>
  </si>
  <si>
    <t>0426-6011257 / 02874908374 /</t>
  </si>
  <si>
    <t>AV 19 DE ABRIL EDIF CENTRO EMPRESARIAL AIDABAMO PISO P/B LOCAL 1 URB DR. DELFIN MENDOZA</t>
  </si>
  <si>
    <t>00624</t>
  </si>
  <si>
    <t>INSUMOS SUMINITROS JESHUA. C,A</t>
  </si>
  <si>
    <t>J500934653</t>
  </si>
  <si>
    <t>+57-321-6715084</t>
  </si>
  <si>
    <t>AV PRINCIPAL EL DORADO AL LADO DE SUPERMERCADO LA GRAN MANZANA</t>
  </si>
  <si>
    <t>976914.90</t>
  </si>
  <si>
    <t>0286-9711421</t>
  </si>
  <si>
    <t>CALLE CHARAIMA NO. 02-21 URB. JOSE GREGORIO HERNANDEZ, SAN FELIX, EDO. BOLIVAR. 
Estado Bolivar. Municipio Caroní. Parroquia Cachamay . Caicara Del Orinoco</t>
  </si>
  <si>
    <t>00626</t>
  </si>
  <si>
    <t>FARMACIA LA CONSTANCIA</t>
  </si>
  <si>
    <t>V14912031</t>
  </si>
  <si>
    <t>04162645709</t>
  </si>
  <si>
    <t>CALLE COMUNIDAD CASA NRO S/N AL LADO DE LA JUNTA PARROQUIAL EL DORADO</t>
  </si>
  <si>
    <t>538058.80</t>
  </si>
  <si>
    <t>00627</t>
  </si>
  <si>
    <t>FARMACIA INSUMOS EXPRESS, C.A (SUCURSAL 5 GERMANIA)</t>
  </si>
  <si>
    <t>0426-3819980</t>
  </si>
  <si>
    <t>AV GERMANIA REDOMA EL PSIQUIATRICO LOCAL S/N CIUDAD BOLIVAR BOLIVAR</t>
  </si>
  <si>
    <t>398015.59</t>
  </si>
  <si>
    <t>00628</t>
  </si>
  <si>
    <t>FARMACIA CARABOBO 2022, C.A</t>
  </si>
  <si>
    <t>J502210660</t>
  </si>
  <si>
    <t>CALLE CARABOBO LOCAL FRENTE A LA CANCHA LA CARATICA NRO S/N SECTOR CENTRO</t>
  </si>
  <si>
    <t>4350101.23</t>
  </si>
  <si>
    <t>00629</t>
  </si>
  <si>
    <t>FARMA 24/7 PLUS, C.A.</t>
  </si>
  <si>
    <t>0414-9833825</t>
  </si>
  <si>
    <t>AV PEDRO MARIA FREITES CASA NRO 15-A SECTOR CASCO CENTRAL BARCELONA ANZOATEGUI</t>
  </si>
  <si>
    <t>132690.86</t>
  </si>
  <si>
    <t>0424-8698843</t>
  </si>
  <si>
    <t>CALLE BOLIVAR QTA MEÑA NRO S/N SECTOR EL HOSPITAL</t>
  </si>
  <si>
    <t>00631</t>
  </si>
  <si>
    <t>FARMACIA MARIA JOSE DE CLARINES, C.A.</t>
  </si>
  <si>
    <t>J404736760</t>
  </si>
  <si>
    <t>0424-8087263</t>
  </si>
  <si>
    <t>AV FERNANDEZ PADILLA LOCAL NRO 1 SECTOR CASCO CENTRAL</t>
  </si>
  <si>
    <t>114419.26</t>
  </si>
  <si>
    <t>00632</t>
  </si>
  <si>
    <t>FARMA ALAIA PLUS C.A</t>
  </si>
  <si>
    <t>J502837566</t>
  </si>
  <si>
    <t>0412-2199194</t>
  </si>
  <si>
    <t>CALLE MARIÑO CON CALLE ROJAS EDIF CENTRO PROFESIONAL SAN JORGE PISO P/B LOCAL 1 SECTOR CENTRO</t>
  </si>
  <si>
    <t>32963.64</t>
  </si>
  <si>
    <t>00633</t>
  </si>
  <si>
    <t>FARMA AHORRO LA ECONOMICA, C.A (PPAL CORE 8)</t>
  </si>
  <si>
    <t>0412-0895439</t>
  </si>
  <si>
    <t>VDA MANZANA 57 LOCAL N 57,GRAN SABANA ,SECTOR CORE 8 PUERTO ORDAZ,MUNICIPIO CARONI CIUDAD GUAYANA BOLIVAR</t>
  </si>
  <si>
    <t>157879.05</t>
  </si>
  <si>
    <t>00634</t>
  </si>
  <si>
    <t>FARMA OFERTAS LA ECONOMICA, C.A (SUCURSAL 11)</t>
  </si>
  <si>
    <t>5472.45</t>
  </si>
  <si>
    <t>0426-2957845</t>
  </si>
  <si>
    <t>AV. ESTADOS UNIDOS MANZANA 014 CC COSTA AMERICA NIVEL PLAZA LOCAL PLA-02 URB CHILEMEX, SECTOR 015</t>
  </si>
  <si>
    <t>00636</t>
  </si>
  <si>
    <t>FARMACIA BARUCH C.A</t>
  </si>
  <si>
    <t>J501990034</t>
  </si>
  <si>
    <t>0412-8658837 /</t>
  </si>
  <si>
    <t>CALLE PIAR CC LIBERTAD LOCAL S/N SECTOR CENTRO PARIAGUAN ANZOATEGUI</t>
  </si>
  <si>
    <t>145613.44</t>
  </si>
  <si>
    <t>00637</t>
  </si>
  <si>
    <t>FARMACIA LAS BALLENAS 2020, C.A</t>
  </si>
  <si>
    <t>14/10/2025</t>
  </si>
  <si>
    <t>J500389183</t>
  </si>
  <si>
    <t>11/10/2025</t>
  </si>
  <si>
    <t>0424-3651485 / 0412-8879548</t>
  </si>
  <si>
    <t>AV PRINCIPAL LA ARBOLEDA CC LA ARBOLEDA NIVEL PB LOCAL 2 URB LA ARBOLEDA</t>
  </si>
  <si>
    <t>00638</t>
  </si>
  <si>
    <t>FARMACIA LA ECONOMICA , C.A (SUCURSAL 2 EL TERMINAL)</t>
  </si>
  <si>
    <t>FARMACIA LA ECONOMICA , C.A</t>
  </si>
  <si>
    <t>0424-9195448</t>
  </si>
  <si>
    <t>AVENIDA SUCRE LOCAL 54 Y 55 SECTOR HUECO LINDO CIUDAD BOLIVAR BOLIVAR</t>
  </si>
  <si>
    <t>216425.47</t>
  </si>
  <si>
    <t>00639</t>
  </si>
  <si>
    <t>FARMAJUSTO 2021, C.A (SUCURSAL)</t>
  </si>
  <si>
    <t>AV PRINCIPAL GULF LOCAL NRO 15-A SECTOR CHUPARIN PUERTO LA CRUZ ANZOATEGUI ZONA POSTAL 6023. 
Estado Anzoategui. Municipio Juan Antonio Sotillo. Parroquia Capi</t>
  </si>
  <si>
    <t>0414-3836525 /</t>
  </si>
  <si>
    <t>AV REPUBLICA CON CALLE PAEZ LOCAL NRO 5 SECTOR LAS MALVINAS SAN JOSE DE GUANIPA</t>
  </si>
  <si>
    <t>00641</t>
  </si>
  <si>
    <t>FARMACIA FARMA ISABELL, C.A.</t>
  </si>
  <si>
    <t>J500422431</t>
  </si>
  <si>
    <t>0424-9439938</t>
  </si>
  <si>
    <t>AV PASEO CARONI LOCAL COMECIAL NRO 2-A ZONA INDUSTRIAL UNARE II</t>
  </si>
  <si>
    <t>00642</t>
  </si>
  <si>
    <t>FARMASIFONTES, C.A.</t>
  </si>
  <si>
    <t>J504897400</t>
  </si>
  <si>
    <t>AV SIFONTES CON CALLE EL DORADO LOCAL NRO 11 ZONA CENTRO COMERCIAL RIMAVEN TUMEREMO BOLIVAR</t>
  </si>
  <si>
    <t>4176733.27</t>
  </si>
  <si>
    <t>00643</t>
  </si>
  <si>
    <t>FARMACIA EL SOL II C.A.</t>
  </si>
  <si>
    <t>J309324985</t>
  </si>
  <si>
    <t>18/10/2025</t>
  </si>
  <si>
    <t>0424-3048663 /  0414-4573626</t>
  </si>
  <si>
    <t>AV BOLIVAR C/C SANCHEZ CARRERO CC HORMIGA CENTER  NIVEL 1 LOCAL 1 SECTOR CASCO CENTRAL</t>
  </si>
  <si>
    <t>0424-3342153</t>
  </si>
  <si>
    <t>AV PROLONGACION FUERZAS AEREAS LOCAL NRO 24 BARRIO SAN RAFAEL</t>
  </si>
  <si>
    <t>00645</t>
  </si>
  <si>
    <t>FARMACIA PREMIUM, C.A (GUACARA)</t>
  </si>
  <si>
    <t>FARMACIA PREMIUM, C.A</t>
  </si>
  <si>
    <t>J412446452</t>
  </si>
  <si>
    <t>GUACARA EDO CARABOBO</t>
  </si>
  <si>
    <t>0412-8888220</t>
  </si>
  <si>
    <t>8605</t>
  </si>
  <si>
    <t>GUACARA</t>
  </si>
  <si>
    <t>AV CARABOBO CON CALLE MARQUEZ DEL TORO CC MF NIVEL PB LOCAL 1 SECTOR S/N GUACARA CARABOBO</t>
  </si>
  <si>
    <t>1010703.53</t>
  </si>
  <si>
    <t>00646</t>
  </si>
  <si>
    <t>FARMACIA DRA FARMACIA, C.A</t>
  </si>
  <si>
    <t>J409775747</t>
  </si>
  <si>
    <t>0424-8713545</t>
  </si>
  <si>
    <t>CALLE SUCRE EDIF CENTRO ANACO PISO PB LOCAL 54 SECTOR CENTRO ANACO ANZOATEGUI</t>
  </si>
  <si>
    <t>40126.33</t>
  </si>
  <si>
    <t>00647</t>
  </si>
  <si>
    <t>FARMACIA HOSPITAL C.A</t>
  </si>
  <si>
    <t>J304136862</t>
  </si>
  <si>
    <t>0414-4069755</t>
  </si>
  <si>
    <t>AV BOLIVAR, CRUCE CON CALLE SAN JUAN LOCAL DOÑA OLINDA NRO 3 SECTOR CENTRO SAN JUAN DE LOS MORROS GUARICO</t>
  </si>
  <si>
    <t>00648</t>
  </si>
  <si>
    <t>FARMACIA EL SOL C.A (MARACAY)</t>
  </si>
  <si>
    <t>FARMACIA EL SOL C.A</t>
  </si>
  <si>
    <t>J001323953</t>
  </si>
  <si>
    <t>0412-1443505</t>
  </si>
  <si>
    <t>AV MIRANDA OESTE LOCAL NRO S/N SECTOR CASCO CENTRAL MARACAY ARAGUA</t>
  </si>
  <si>
    <t>28210.71</t>
  </si>
  <si>
    <t>MACUTO</t>
  </si>
  <si>
    <t>0414-0127093</t>
  </si>
  <si>
    <t>8657</t>
  </si>
  <si>
    <t>MACUTO (LA GUAIRA)</t>
  </si>
  <si>
    <t>CALLE LA PLAYA. CALLA CAJIGAL. EDIF. MANZO. NRO 56. PISO PB. LOCAL 3. SECTOR BOULEVAR EL PASEO DE MACUTO. ESTADO LA GUAIRA.</t>
  </si>
  <si>
    <t>00650</t>
  </si>
  <si>
    <t>FARMACIA FARMAGUAYANA, C.A</t>
  </si>
  <si>
    <t>J502588922</t>
  </si>
  <si>
    <t>CALLE CUCHIVERO Y PARALELA A LA CALLE CAURA, CON INTERSECCIONES DE LAS CARRERAS CHURUM MERU Y GURI CC ALTA VISTA II NIVEL PB LOCAL 26 SECTOR ALTA VISTA</t>
  </si>
  <si>
    <t>464669.84</t>
  </si>
  <si>
    <t>00651</t>
  </si>
  <si>
    <t>FARMACIA AZUR, C.A</t>
  </si>
  <si>
    <t>J501122504</t>
  </si>
  <si>
    <t>0426-4114524</t>
  </si>
  <si>
    <t>CALLE JUNCAL CASA NRO S/N SECTOR POBLACION DE GUASIPATI PARROQUIA CAPITAL ROSCIO</t>
  </si>
  <si>
    <t>49676.80</t>
  </si>
  <si>
    <t>00652</t>
  </si>
  <si>
    <t>FARMA OFERTAS LA ECONOMICA, C.A.  (SUCURSAL 3)</t>
  </si>
  <si>
    <t>FARMA OFERTAS LA ECONOMICA, C.A.</t>
  </si>
  <si>
    <t>02916420477 04148532643</t>
  </si>
  <si>
    <t>65882.48</t>
  </si>
  <si>
    <t>00653</t>
  </si>
  <si>
    <t>FARMACIA RAZETTI P&amp;H, C.A</t>
  </si>
  <si>
    <t>J501834857</t>
  </si>
  <si>
    <t>0416-7989269</t>
  </si>
  <si>
    <t>CALLE UCHIRE CC BIBLO´S CENTER NIVEL PLANTA BAJA LOCAL 43 SECTOR URBANIZACION UNARE</t>
  </si>
  <si>
    <t>35057.28</t>
  </si>
  <si>
    <t>00654</t>
  </si>
  <si>
    <t>FARMA OFERTAS LA ECONOMICA, C.A  (SUCURSAL 4)</t>
  </si>
  <si>
    <t>0424-8890120</t>
  </si>
  <si>
    <t>13142.04</t>
  </si>
  <si>
    <t>0424-9221555</t>
  </si>
  <si>
    <t>CALLE CUMANA CON CEDEÑO EDIF AFONSO PISO PB LOCAL 1 SECTOR LA MANGA</t>
  </si>
  <si>
    <t>00656</t>
  </si>
  <si>
    <t>FARMACIA SAN JOSE, S.R.L. (CUMANACOA)</t>
  </si>
  <si>
    <t>FARMACIA SAN JOSE, S.R.L.</t>
  </si>
  <si>
    <t>J080260589</t>
  </si>
  <si>
    <t>0412-8012618</t>
  </si>
  <si>
    <t>AV SUCRE EDIF DOÑA DALER PISO P/B LOCAL 01 SECTOR CENTRO CUMANACOA SUCRE</t>
  </si>
  <si>
    <t>44654.93</t>
  </si>
  <si>
    <t>00657</t>
  </si>
  <si>
    <t>MATRIZ FARMACIA AHORRO Y SALUD, C.A</t>
  </si>
  <si>
    <t>URBANIZACION RIVERAS DEL ORINOCO AVENIDA PRINCIPAL C/C 6 LOCAL N°04. 
Estado Bolivar. Municipio Heres. Parroquia Agua Salada . Ciudad Bolivar</t>
  </si>
  <si>
    <t>00658</t>
  </si>
  <si>
    <t>FARMACIA AHORRO Y SALUD, C.A (SUCURSAL 2 SOLEDAD)</t>
  </si>
  <si>
    <t>SOLEDAD-ANZOATEGUI</t>
  </si>
  <si>
    <t>0416-9885658</t>
  </si>
  <si>
    <t>8595</t>
  </si>
  <si>
    <t>SOLEDAD</t>
  </si>
  <si>
    <t>AV GUZMAN BLANCO LOCAL S/N CIUDAD ORINOCO  MUNICIPIO INDEPENDENCIA DEL ESTADO ANZOATEQUI SOLEDAD</t>
  </si>
  <si>
    <t>69833.73</t>
  </si>
  <si>
    <t>0414-8625590</t>
  </si>
  <si>
    <t>URB LA LLOVIZNA</t>
  </si>
  <si>
    <t>00660</t>
  </si>
  <si>
    <t>FARMACIA PISCIS, C.A.</t>
  </si>
  <si>
    <t>J080344855</t>
  </si>
  <si>
    <t>0414-0832076</t>
  </si>
  <si>
    <t>AV MERIDA LOCAL NRO 12 SECTOR PUEBLO NUEVO ANACO ANZOATEGUI</t>
  </si>
  <si>
    <t>61849.19</t>
  </si>
  <si>
    <t>00661</t>
  </si>
  <si>
    <t>FARMACIA AHORRAFARMA, C.A.</t>
  </si>
  <si>
    <t>J503417005</t>
  </si>
  <si>
    <t>CALLE ROSCIO CASA NRO 9 SECTOR EL CALLAO EL CALLAO BOLIVAR</t>
  </si>
  <si>
    <t>4849584.56</t>
  </si>
  <si>
    <t>CALLE TUCUPITA CASA 5 SECTOR CENTRO</t>
  </si>
  <si>
    <t>00663</t>
  </si>
  <si>
    <t>FARMATLANTICO, C.A. (SAAS)</t>
  </si>
  <si>
    <t>FARMATLANTICO, C.A.</t>
  </si>
  <si>
    <t>J500261071</t>
  </si>
  <si>
    <t>0424-9185136</t>
  </si>
  <si>
    <t>AV ATLANTICO CC COSTA ATLANTICA EDIFICIO 1 NIVEL PB LOCAL 2 Y 3 SECTOR UNARE PUERTO ORDAZ BOLIVAR</t>
  </si>
  <si>
    <t>7120.39</t>
  </si>
  <si>
    <t>0424-8048938 / 02812812083 /</t>
  </si>
  <si>
    <t>AV DANIEL CAMEJO OCTAVIO CC PLAZA MAYOR NIVEL PB LOCAL PB-46 URB COMPLEJO TURISTICO EL MORRO</t>
  </si>
  <si>
    <t>00665</t>
  </si>
  <si>
    <t>PHARMA LUPITA BARCELONA, C.A</t>
  </si>
  <si>
    <t>J503330120</t>
  </si>
  <si>
    <t>AV CARACAS EDIF MINI CENTRO LENI PISO PB LOCAL NRO 05 SECTOR CENTRO BARCELONA ANZOATEGUI</t>
  </si>
  <si>
    <t>2054.99</t>
  </si>
  <si>
    <t>00666</t>
  </si>
  <si>
    <t>FARMA RUTTAS III, C.A</t>
  </si>
  <si>
    <t>J500000510</t>
  </si>
  <si>
    <t>0414-8637006</t>
  </si>
  <si>
    <t>AV ORINOCO LOCAL S/N SECTOR LA PLAZA MUNICIPIO ROSCIO</t>
  </si>
  <si>
    <t>86309.59</t>
  </si>
  <si>
    <t>00667</t>
  </si>
  <si>
    <t>EXPENDIO DE MEDICAMENTOS FARMASANA, C.A.</t>
  </si>
  <si>
    <t>J501208093</t>
  </si>
  <si>
    <t>0416-5863132</t>
  </si>
  <si>
    <t>CALLE SOUBLEETH LOCAL NTO 46 SECTOR COMUNIDAD SANTO DOMINGO LAS CLARITAS ESTADO BOLIVAR</t>
  </si>
  <si>
    <t>620662.86</t>
  </si>
  <si>
    <t>00668</t>
  </si>
  <si>
    <t>GRUPO MEDICO LA TRINIDAD S.A</t>
  </si>
  <si>
    <t>J306086323</t>
  </si>
  <si>
    <t>0414-3807810</t>
  </si>
  <si>
    <t>AV GULF CON CALLE 22 CASA NRO 60-A URB GULF</t>
  </si>
  <si>
    <t>00669</t>
  </si>
  <si>
    <t>FARMA DON ORIENTE , C.A. (SUC 00 PRINCIPAL )</t>
  </si>
  <si>
    <t>FARMA DON ORIENTE , C.A.</t>
  </si>
  <si>
    <t>J317542100</t>
  </si>
  <si>
    <t>0424-934.69.75</t>
  </si>
  <si>
    <t>CR 14 A EDIF CENTRO DE DISTRIBUCION FARMADON (CDF) PISO PB LOCAL 99 URB LAS BRISAS DEL ORINOCO MATURIN MONAGAS</t>
  </si>
  <si>
    <t>17527146.03</t>
  </si>
  <si>
    <t>CALLE VENEZUELA CON BOLIVIA EDIF CLINICA PUERTO ORDAZ PISO PB OF S/N SECTOR CENTRO</t>
  </si>
  <si>
    <t>00671</t>
  </si>
  <si>
    <t>FARMA SALUD ORINOCO, C.A</t>
  </si>
  <si>
    <t>J404063218</t>
  </si>
  <si>
    <t>0412-8374093</t>
  </si>
  <si>
    <t>CR SECTOR CENTRO CARRERA 06 (ANTIGUA CALLE BERMUDEZ) EDIF POLO NORTE PISO PB LOCAL 04 SECTOR CENTRO</t>
  </si>
  <si>
    <t>13138.97</t>
  </si>
  <si>
    <t>00672</t>
  </si>
  <si>
    <t>INVERSIONES R' LOPEZ C.A</t>
  </si>
  <si>
    <t>J500817592</t>
  </si>
  <si>
    <t>0426-4712935</t>
  </si>
  <si>
    <t>CALLE MIRANDA CASA SN SECTOR EL DORADO</t>
  </si>
  <si>
    <t>25961.77</t>
  </si>
  <si>
    <t>VIA SAN JAIME, URB ÑA CEIBA, COND A #21</t>
  </si>
  <si>
    <t>00674</t>
  </si>
  <si>
    <t>FARMACIA PLAZA BOYACA, C.A.</t>
  </si>
  <si>
    <t>J503277041</t>
  </si>
  <si>
    <t>0414-7868196</t>
  </si>
  <si>
    <t>CALLE BOLIVAR LOCAL NRO 3-28 SECTOR CENTRO</t>
  </si>
  <si>
    <t>11296.28</t>
  </si>
  <si>
    <t>00675</t>
  </si>
  <si>
    <t>FARMACIA MORALES. C.A.</t>
  </si>
  <si>
    <t>J301465296</t>
  </si>
  <si>
    <t>04169453280 /</t>
  </si>
  <si>
    <t>CALLE MANUEL MORALES C/AV. 11 LOCAL NRO 137 URB EL PIÑONAL, MARACAY ESTADO ARAGUA</t>
  </si>
  <si>
    <t>7578.40</t>
  </si>
  <si>
    <t>00676</t>
  </si>
  <si>
    <t>FARMACIA LA VICTORIA, C.A.</t>
  </si>
  <si>
    <t>J294243762</t>
  </si>
  <si>
    <t>0424-9187045 / 0416-7908284</t>
  </si>
  <si>
    <t>CALLE LA PAZ, LOCAL NRO 02, SECTOR PLAZA BOLIVAR</t>
  </si>
  <si>
    <t>159624.58</t>
  </si>
  <si>
    <t>00677</t>
  </si>
  <si>
    <t>FARMACIA RADICAL, C.A</t>
  </si>
  <si>
    <t>J500862601</t>
  </si>
  <si>
    <t>0414-8809909</t>
  </si>
  <si>
    <t>AV 03 DE LOS GUARITOS 01 LOCAL NRO 1A SECTOR EL ABANICO</t>
  </si>
  <si>
    <t>0424-8299868</t>
  </si>
  <si>
    <t>CALLE ACOSTA NUNERO 72 LOCAL NRO 01 ZONA VIA MERCADO</t>
  </si>
  <si>
    <t>POZUELOS EDO ANZOATEGUI</t>
  </si>
  <si>
    <t>0424-843-4975</t>
  </si>
  <si>
    <t>8508</t>
  </si>
  <si>
    <t>POZUELOS</t>
  </si>
  <si>
    <t>AV PRINCIPAL EDIF FARMACIA AMPARO PISO PB APT 5-2 SECTOR POZUELOS</t>
  </si>
  <si>
    <t>00681</t>
  </si>
  <si>
    <t>11/09/2025</t>
  </si>
  <si>
    <t>0424-942.80.74 / 0424-916591</t>
  </si>
  <si>
    <t>AV GUAYANA CON CALLE CARUACHI CC 303 NIVEL PB LOCAL 12 SECTOR ALTA VISTA</t>
  </si>
  <si>
    <t>00682</t>
  </si>
  <si>
    <t>LA FARMACIA PLC, C.A</t>
  </si>
  <si>
    <t>J500455860</t>
  </si>
  <si>
    <t>0424-871-6011</t>
  </si>
  <si>
    <t>AV MUNICIPAL CC CENTRO COMERCIAL REGINA NIVEL PLANTA BAJA LOCAL 61 SECTOR BARRIO MARIÑO</t>
  </si>
  <si>
    <t>15897.41</t>
  </si>
  <si>
    <t>00683</t>
  </si>
  <si>
    <t>FARMACIA GRAN SUCRE, C.A</t>
  </si>
  <si>
    <t>J406070840</t>
  </si>
  <si>
    <t>AV GRAN MARISCAL LOCAL CENTRO PROFESIONAL GRAN SUCRE NRO P/B SECTOR GRAN MARISCAL CUMANA</t>
  </si>
  <si>
    <t>128854.47</t>
  </si>
  <si>
    <t>00684</t>
  </si>
  <si>
    <t>FARMACIA AHORRO SALUD IV</t>
  </si>
  <si>
    <t>J500455810</t>
  </si>
  <si>
    <t>0412-837-5651</t>
  </si>
  <si>
    <t>AV NICOLAS ROLANDO EDIF ROLIEFRAN PISO PB LOCAL S/N SECTOR LA ADUANA</t>
  </si>
  <si>
    <t>50406.26</t>
  </si>
  <si>
    <t>0414-144-5249</t>
  </si>
  <si>
    <t>AV NUEVA ESPARTA CC SIMBAD NIVEL PLANTA BAJA LOCAL S/N SECTOR VENECIA</t>
  </si>
  <si>
    <t>00686</t>
  </si>
  <si>
    <t>FARMACIA VIDA Y SALUD 2023, C.A.</t>
  </si>
  <si>
    <t>J503050772</t>
  </si>
  <si>
    <t>CALLE PRINCIPAL LOCAL NRO S/N SECTOR EL DORADO</t>
  </si>
  <si>
    <t>163597.91</t>
  </si>
  <si>
    <t>0424-9007074</t>
  </si>
  <si>
    <t>00688</t>
  </si>
  <si>
    <t>GLOBAL PHARMACY, C.A</t>
  </si>
  <si>
    <t>J500310196</t>
  </si>
  <si>
    <t>0412-1801171</t>
  </si>
  <si>
    <t>AV EL PARAISO LOCAL NRO S/N SECTOR PARAISO</t>
  </si>
  <si>
    <t>04128375651</t>
  </si>
  <si>
    <t>CALLE BUENOS AIRES LOCAL 18-54 SECTOR BUENOS AIRES</t>
  </si>
  <si>
    <t>00690</t>
  </si>
  <si>
    <t>FARMACIA PUNTO ECONOMICO, C.A</t>
  </si>
  <si>
    <t>J503378409</t>
  </si>
  <si>
    <t>0424-9185597</t>
  </si>
  <si>
    <t>CALLE BOLIVAR CON CALLE ROSCIO LOCAL S/N SECTOR EL BOTANICO PARROQUIA CATEDRAL MUNICIPIO ANGOSTURA DEL ORINOCO</t>
  </si>
  <si>
    <t>61525.78</t>
  </si>
  <si>
    <t>00691</t>
  </si>
  <si>
    <t>FARMACIA MAR AZUL W&amp;H, C. A.</t>
  </si>
  <si>
    <t>J412927523</t>
  </si>
  <si>
    <t>0424-8649699</t>
  </si>
  <si>
    <t>AV PRINCIPAL C.C CENTRO COMERCIAL MAR AZUL NIVEL PLANTA BAJA LOCAL PB2 SECTOR CASCO CENTRAL</t>
  </si>
  <si>
    <t>0424-8699536 / 02832358473 /</t>
  </si>
  <si>
    <t>AV. FRANCISCO DE MIRANDA LOCAL Nº 26 SECTOR PUEBLO NUEVO SUR .</t>
  </si>
  <si>
    <t>00693</t>
  </si>
  <si>
    <t>FARMACIA VIDA Y SALUD CARUPANO C.A</t>
  </si>
  <si>
    <t>J503389460</t>
  </si>
  <si>
    <t>0424-8846588</t>
  </si>
  <si>
    <t>AV UNIVERSITARIA EDIF LA PERLA PISO P/B LOCAL 1 SECTOR BELLO MONTE CARUPANO SUCRE</t>
  </si>
  <si>
    <t>1255826.25</t>
  </si>
  <si>
    <t>00694</t>
  </si>
  <si>
    <t>FARMACIA ORTOPEDICA C A</t>
  </si>
  <si>
    <t>J301247418</t>
  </si>
  <si>
    <t>0414-8240643</t>
  </si>
  <si>
    <t>AV. LUIS RAZETTI LOCAL NRO A-24  SECTOR VISTA ALTA NRO 24</t>
  </si>
  <si>
    <t>180430.91</t>
  </si>
  <si>
    <t>00695</t>
  </si>
  <si>
    <t>LITOFARMA,C.A (SUCURSAL)</t>
  </si>
  <si>
    <t>LITOFARMA,C.A</t>
  </si>
  <si>
    <t>J412809601</t>
  </si>
  <si>
    <t>04265867772</t>
  </si>
  <si>
    <t>CALLE 1 CASA NRO 52 SECTOR II, URBANIZACION BOYACA II BARCELONA ANZOATEGUI</t>
  </si>
  <si>
    <t>91267.88</t>
  </si>
  <si>
    <t>00696</t>
  </si>
  <si>
    <t>PROSALUD, C.A</t>
  </si>
  <si>
    <t>J501857156</t>
  </si>
  <si>
    <t>11/11/2025</t>
  </si>
  <si>
    <t>0424-8609861</t>
  </si>
  <si>
    <t>AV PRINCIPAL LUIS RAZETTI CASA NRO 56 LOCALES NROS 56- B Y / 56-C BARRIO EL ASFALTO SECTOR EL SAMAN</t>
  </si>
  <si>
    <t>2443.40</t>
  </si>
  <si>
    <t>0424-8799933</t>
  </si>
  <si>
    <t>CALLE BOLIVAR CON CALLE MATURIN LOCAL NRO 5-12SECTOR CASCO CENTRAL</t>
  </si>
  <si>
    <t>00698</t>
  </si>
  <si>
    <t>FARMACIA AHORRO SALUD III, C.A.</t>
  </si>
  <si>
    <t>J413043769</t>
  </si>
  <si>
    <t>0424-8084925</t>
  </si>
  <si>
    <t>AV PEDRO MARIA FREITES EDIF DORILA PISO PB LOCAL #2 SECTOR CAMINO NUEVO</t>
  </si>
  <si>
    <t>16110.83</t>
  </si>
  <si>
    <t>0424-8942785</t>
  </si>
  <si>
    <t>CALLE SUCRE CASA NRO 49 BARRIO EL ASFALTO BARCELONA ANZOATEGUI</t>
  </si>
  <si>
    <t>0412-1121684</t>
  </si>
  <si>
    <t>34</t>
  </si>
  <si>
    <t>FRANK JAIME</t>
  </si>
  <si>
    <t>L VDA JORGE RODRIGUEZ CC FIMICENTRO NIVEL B LOCAL 1 URB LAS GARZAS</t>
  </si>
  <si>
    <t>00702</t>
  </si>
  <si>
    <t>MATRIZ FARMACIA POPULAR ZARAZA, C.A</t>
  </si>
  <si>
    <t>04241546030</t>
  </si>
  <si>
    <t>CALLE DESCANSO EDIF PROFESIONAL PISO PB LOCAL 4 SECTOR CENTRO</t>
  </si>
  <si>
    <t>00705</t>
  </si>
  <si>
    <t>FARMACIA HOSPIFARMA, C.A</t>
  </si>
  <si>
    <t>J316037975</t>
  </si>
  <si>
    <t>0414-8688601</t>
  </si>
  <si>
    <t>AV LAS AMERICAS C/C PADRE PALACIOS LOCAL HOSPIFARMA NRO PB SECTOR PUERTO ORDAZ</t>
  </si>
  <si>
    <t>209298.94</t>
  </si>
  <si>
    <t>00706</t>
  </si>
  <si>
    <t>EXPENDIO DE MEDICINA FARMANORIEGA, C.A</t>
  </si>
  <si>
    <t>J406755753</t>
  </si>
  <si>
    <t>ONOTO EDO ANZOATEGUI</t>
  </si>
  <si>
    <t>0414-8459780</t>
  </si>
  <si>
    <t>8775</t>
  </si>
  <si>
    <t>ONOTO - ANZOATEGUI</t>
  </si>
  <si>
    <t>CALLE BOLIVAR CASA NRO S/N SECTOR CENTRO</t>
  </si>
  <si>
    <t>94225.52</t>
  </si>
  <si>
    <t>0424-3766915</t>
  </si>
  <si>
    <t>CALLE LIBERTAD EDIF 78 PISO PB LOCAL 78 SECTOR CENTRO</t>
  </si>
  <si>
    <t>00708</t>
  </si>
  <si>
    <t>FARMACIA H &amp; H, C.A</t>
  </si>
  <si>
    <t>J501132780</t>
  </si>
  <si>
    <t>0414-0859103</t>
  </si>
  <si>
    <t>AV PRINCIPAL DE GUARAGUAO LOCAL NRO 04 Y 05 SECTOR HOSPITAL CESAR RODRIGUEZ DE GUARAGUAO</t>
  </si>
  <si>
    <t>0412-0968474</t>
  </si>
  <si>
    <t>AV MUNICIPAL EDIF TORRE PORTEÑA PISO PB LOCAL 5 SECTOR CENTRO</t>
  </si>
  <si>
    <t>0414-825-4054</t>
  </si>
  <si>
    <t>CALLE 5 CRUCE CON CARRERA 4 EDIF CLINICA MUNICIPAL DR ALI MONTILLA PISO PB SECTOR CASCO CENTRAL LECHERIA ANZOATEGUI</t>
  </si>
  <si>
    <t>00711</t>
  </si>
  <si>
    <t>FARMACIA INSUMOS EXPRESS,C.A  (SUCURSAL HERES)</t>
  </si>
  <si>
    <t>FARMACIA INSUMOS EXPRESS,C.A</t>
  </si>
  <si>
    <t>VENIDA BOLIVAR CRUCE CON PASEO HERES LOCAL PLANTA BAJA DISTINGUIDO CON LA LETRA E,CIUDAD BOLIVAR BOLIVAR</t>
  </si>
  <si>
    <t>60734.02</t>
  </si>
  <si>
    <t>00712</t>
  </si>
  <si>
    <t>FARMA OFERTAS TIERRA SANTA, C.A (PRINCIPAL)</t>
  </si>
  <si>
    <t>0412-8586954</t>
  </si>
  <si>
    <t>CALLE SAN FELIX CASA NRO 11 SECTOR MERCADO PERIFERICO, PARROQUIA CATEDRAL CIUDAD BOLIVAR BOLIVAR</t>
  </si>
  <si>
    <t>192818.87</t>
  </si>
  <si>
    <t>00713</t>
  </si>
  <si>
    <t>SUPERMERCADO DON ANTONIO, C.A.</t>
  </si>
  <si>
    <t>J502744525</t>
  </si>
  <si>
    <t>04266852195</t>
  </si>
  <si>
    <t>07</t>
  </si>
  <si>
    <t>MARBELIS AVENDAÑO</t>
  </si>
  <si>
    <t>AV AMERICO VESPUCIO CC CARIBBEAN MALL NIVEL C1 LOCAL 258-259-261 SECTOR PUERTO LA CRUZ</t>
  </si>
  <si>
    <t>535.18</t>
  </si>
  <si>
    <t>00714</t>
  </si>
  <si>
    <t>FARMA OFERTAS LA ECONOMICA,C.A,(SUCURSAL 6 UNARE)</t>
  </si>
  <si>
    <t>FARMA OFERTAS LA ECONOMICA,C.A</t>
  </si>
  <si>
    <t>02866340938 / 04148532643</t>
  </si>
  <si>
    <t>AV. 3 EDIF. S/N, PLANTA BAJA, LOCAL 2, URBANIZACIÓN UNARE II PUERTO ORDAZ BOLIVAR</t>
  </si>
  <si>
    <t>20748.19</t>
  </si>
  <si>
    <t>00715</t>
  </si>
  <si>
    <t>MATRIZ TU FARMA ANZ, C.A</t>
  </si>
  <si>
    <t>00716</t>
  </si>
  <si>
    <t>TU FARMA ANZ, C.A (SUCURSAL GUANIRE)</t>
  </si>
  <si>
    <t>0424-8917620 / 0412-2360318</t>
  </si>
  <si>
    <t>CALLE SUCRE LOCAL 03-27 A SECTOR BARRIO SUCRE BARCELONA ANZOATEGUI ZONA POSTAL 6023. 
Estado Anzoategui. Municipio Simón Bolívar. Parroquia El Carmen. Barcelon</t>
  </si>
  <si>
    <t>69573.06</t>
  </si>
  <si>
    <t>00717</t>
  </si>
  <si>
    <t>SUMMASALUD FARMACIAS C.A</t>
  </si>
  <si>
    <t>J500988753</t>
  </si>
  <si>
    <t>0424-8223109</t>
  </si>
  <si>
    <t>AV JORGE RODRIGUEZ CC EMPRESARIAL NUEVA PRENSA NIVEL PB LOCAL 01 SECTOR LAS GARZAS</t>
  </si>
  <si>
    <t>708980.08</t>
  </si>
  <si>
    <t>0414-816.61.17 / 0281- 268.7</t>
  </si>
  <si>
    <t>CALLE BOLIVAR LOCAL NRO 114 SECTOR CENTRO DE PUERTO LA CRUZ</t>
  </si>
  <si>
    <t>CALLE PRINCIPAL DE LA PLAZA LA SOLEDAD EDIF SUCRE PISO PB LOCAL 02-B URB LA SOLEDAD MARACAY ARAGUA</t>
  </si>
  <si>
    <t>00720</t>
  </si>
  <si>
    <t>FARMACIA FARMAREAL, C.A. (ANZ)</t>
  </si>
  <si>
    <t>FARMACIA FARMAREAL, C.A.</t>
  </si>
  <si>
    <t>J500581238</t>
  </si>
  <si>
    <t>0424-886-5200</t>
  </si>
  <si>
    <t>CALLE LA EMERGENCIA CASA NRO 145 BARRIO GUZMAN LANDER BARCELONA ANZOATEGUI</t>
  </si>
  <si>
    <t>0414-2796060</t>
  </si>
  <si>
    <t>CENTRO COMERCIAL CAMINO REAL LOCAL Nº 3, AVENIDA LA COSTANERA, URBANIZACION NUEVA BARCELONA</t>
  </si>
  <si>
    <t>00722</t>
  </si>
  <si>
    <t>FARMACIA BOTANICA 2012, C.A.</t>
  </si>
  <si>
    <t>J400685800</t>
  </si>
  <si>
    <t>TUCUPIDO EDO GUARICO</t>
  </si>
  <si>
    <t>0412-3429149</t>
  </si>
  <si>
    <t>CALLE BOLIVAR CRUCE CON CENTENO CASA NRO S/N SECTOR CENTRO</t>
  </si>
  <si>
    <t>0424-8323260</t>
  </si>
  <si>
    <t>CALLE BUENOS AIRES EDIF CACHALOTE PISO PB LOCAL 1-1 SECTOR CASCO CENTRAL</t>
  </si>
  <si>
    <t>00724</t>
  </si>
  <si>
    <t>FARMACLARINES, C.A</t>
  </si>
  <si>
    <t>J500488220</t>
  </si>
  <si>
    <t>0424-8476391/02814417097</t>
  </si>
  <si>
    <t>AV PRINCIPAL DE CLARINES CC JORGE CENTER NIVEL P/B LOCAL 1-2-3 SECTOR PRINCIPAL</t>
  </si>
  <si>
    <t>89898.64</t>
  </si>
  <si>
    <t>00725</t>
  </si>
  <si>
    <t>FARMACIA LALA 4, COMPAÑIA ANONIMA</t>
  </si>
  <si>
    <t>J400532523</t>
  </si>
  <si>
    <t>0424-9615653</t>
  </si>
  <si>
    <t>AV CARACAS MANZANA 30 PARCELA 19 EDIF CENTRO EMPRESARIAL AUTANA PISO PB LOCAL 01 ZONA INDUSTRIAL LOS PINOS CIUDAD GUAYANA</t>
  </si>
  <si>
    <t>5690.22</t>
  </si>
  <si>
    <t>00726</t>
  </si>
  <si>
    <t>FARMACIA ANDALUZ 1 C.A</t>
  </si>
  <si>
    <t>J501185042</t>
  </si>
  <si>
    <t>0424-8352207</t>
  </si>
  <si>
    <t>CALLE BOLIVAR LOCAL NRO 26-2 SECTOR CASCO CENTRAL</t>
  </si>
  <si>
    <t>33763.03</t>
  </si>
  <si>
    <t>0414-0930920</t>
  </si>
  <si>
    <t>AVENIDA PRINCIPAL CASA NRO 9 URB TRONCONAL IV</t>
  </si>
  <si>
    <t>00728</t>
  </si>
  <si>
    <t>FARMA LUPITA, C.A</t>
  </si>
  <si>
    <t>J500221835</t>
  </si>
  <si>
    <t>0412-0882266</t>
  </si>
  <si>
    <t>CALLE MANEIRO NUMERO 21, EDIFICIO LIBERTAD, PB, LOCAL 02 SECTOR CENTRO</t>
  </si>
  <si>
    <t>311680.97</t>
  </si>
  <si>
    <t>04145636164</t>
  </si>
  <si>
    <t>CALLE JUNCAL LOCAL NRO 169 SECTOR PLAZA BOLIVAR CARUPANO SUCRE</t>
  </si>
  <si>
    <t>00730</t>
  </si>
  <si>
    <t>DISTRIBUCIONES ARA C.A</t>
  </si>
  <si>
    <t>J406206890</t>
  </si>
  <si>
    <t>0416-340-6864</t>
  </si>
  <si>
    <t>AV BOLIVAR LOCAL NRO 47 URB CARIBE PUERTO LA CRUZ ESTADO ANZOATEGUI</t>
  </si>
  <si>
    <t>109938.78</t>
  </si>
  <si>
    <t>0424-8489310</t>
  </si>
  <si>
    <t>AV PRINCIPAL DE LECHERIA CC EMPRESARIAL NIVEL PB LOCAL PB-04 SECTOR LAS PALMERAS</t>
  </si>
  <si>
    <t>00732</t>
  </si>
  <si>
    <t>FARMACIA COLINA C.A</t>
  </si>
  <si>
    <t>J402398450</t>
  </si>
  <si>
    <t>0414-807-2460 / 02819965251</t>
  </si>
  <si>
    <t>AV GUZMAN LANDER EDIF CENTRO DE ESPECIALIDADES MEDICAS COLINA PISO PB LOCAL PB-01 SECTOR COLINAS DEL NEVERI</t>
  </si>
  <si>
    <t>00733</t>
  </si>
  <si>
    <t>FARMA ZONA 2022, C.A</t>
  </si>
  <si>
    <t>J502801693</t>
  </si>
  <si>
    <t>0412-5843510</t>
  </si>
  <si>
    <t>FISCAL CALLE PRIMERO DE MAYO CRUCE CON CALLE CABALLERO SARMIENTO LOCAL MAMA LINA NRO 1 SECTOR 23 DE ENERO ANACO ANZOATEGUI</t>
  </si>
  <si>
    <t>CARIACO EDO SUCRE</t>
  </si>
  <si>
    <t>CALLE JESUS GUILLERMO GUZMAN CASA NRO 65 SECTOR CARIACO</t>
  </si>
  <si>
    <t>00735</t>
  </si>
  <si>
    <t>FARMACIA LATINA,C.A.</t>
  </si>
  <si>
    <t>J080102444</t>
  </si>
  <si>
    <t>04147693415</t>
  </si>
  <si>
    <t>AV JUNCAL, ENTRE BARRETO E INFANTE EDIF SAN CELESTINO PISO PB LOCAL A SECTOR CENTRO</t>
  </si>
  <si>
    <t>32368.49</t>
  </si>
  <si>
    <t>00736</t>
  </si>
  <si>
    <t>FARMACIA SALUD EXPRESS, C.A</t>
  </si>
  <si>
    <t>J501068720</t>
  </si>
  <si>
    <t>04249015564/</t>
  </si>
  <si>
    <t>AV MENCA DE LEONI CRUCE CON CALLE BERMUDEZ LOCAL NRO 24-B SECTOR MENCA DE LEONI PARROQUIA LA SABANITA MUNICIPIO ANGOSTURA DEL ORINOCO CIUDAD BOLIVAR ESTADO BOL</t>
  </si>
  <si>
    <t>00737</t>
  </si>
  <si>
    <t>GRUPO PLENITUD FIGUERA C.A.</t>
  </si>
  <si>
    <t>J408088380</t>
  </si>
  <si>
    <t>0414-3824673</t>
  </si>
  <si>
    <t>AV AVENIDA NRO 3 LOCAL AUTOCONSTRUCCION NRO 38 LOCAL PLANTA BAJA SECTOR ALTO DE LOS GODOS</t>
  </si>
  <si>
    <t>0.58</t>
  </si>
  <si>
    <t>0424-8510259</t>
  </si>
  <si>
    <t>00739</t>
  </si>
  <si>
    <t>FARMACIA 24 HORAS KARINA MOTA</t>
  </si>
  <si>
    <t>V227150439</t>
  </si>
  <si>
    <t>0424-9619699</t>
  </si>
  <si>
    <t>SECTOR COSTO ARRIBA VIA NACIONAL</t>
  </si>
  <si>
    <t>00740</t>
  </si>
  <si>
    <t>FARMACOFFEL, C.A</t>
  </si>
  <si>
    <t>J501642486</t>
  </si>
  <si>
    <t>0424-9091131 / 04248503272 /</t>
  </si>
  <si>
    <t>AV BICENTENARIO EDIF TORRE COFFEL PISO PB LOCAL 4 SECTOR CENTRO</t>
  </si>
  <si>
    <t>00741</t>
  </si>
  <si>
    <t>FARMA JADE SISTHENAY, C.A</t>
  </si>
  <si>
    <t>J501985243</t>
  </si>
  <si>
    <t>0424-9077838</t>
  </si>
  <si>
    <t>CALLE SUCRE LOCAL NRO 20 SECTOR CENTRO</t>
  </si>
  <si>
    <t>0426-5829788</t>
  </si>
  <si>
    <t>AV AMERICO VESPUCIO CC GOLF PLAZA NIVEL PB LOCAL 4 SECTOR EL MORRO</t>
  </si>
  <si>
    <t>0424-8324528</t>
  </si>
  <si>
    <t>CALLE COLON CASA NRO 78 SECTOR CASCO CENTRAL</t>
  </si>
  <si>
    <t>0414-8098774</t>
  </si>
  <si>
    <t>AV 2 BOYACA 3 LOCAL NRO 40 SECTOR 1</t>
  </si>
  <si>
    <t>00745</t>
  </si>
  <si>
    <t>FARMACIA DR JUAN DE DIOS HOLMQUIST, C.A</t>
  </si>
  <si>
    <t>J502697918</t>
  </si>
  <si>
    <t>0414-0120700</t>
  </si>
  <si>
    <t>CALLE GUZMAN BLANCO C/CALLE BOLIVAR LOCAL NRO 44 ZONA CENTRO SOLEDAD ESTADO ANZOATEGUI</t>
  </si>
  <si>
    <t>54164.66</t>
  </si>
  <si>
    <t>AV PRINCIPAL CC VALLE ARRIBA NIVEL PB LOCAL 1 URB VALLE ARRIBA GUATIRE ESTADO MIRANDA</t>
  </si>
  <si>
    <t>00747</t>
  </si>
  <si>
    <t>FARMA OFERTAS TIERRA SANTA, C.A (SUCURSAL 2 SAN FELIX)</t>
  </si>
  <si>
    <t>0424-941876</t>
  </si>
  <si>
    <t>UD- 101- CARRERA 6, LOCAL S/N, CENTRO DE SAN FELIX . 
Estado Bolivar. Municipio Caroní. Parroquia Dalla Costa . San Felix (Ciudad Guayana)</t>
  </si>
  <si>
    <t>56472.70</t>
  </si>
  <si>
    <t>00748</t>
  </si>
  <si>
    <t>FARMA ABBY C.A.</t>
  </si>
  <si>
    <t>J502018476</t>
  </si>
  <si>
    <t>0426-9862562</t>
  </si>
  <si>
    <t>CALLE PRINCIPAL LOCAL NRO S/N SECTOR 19 DE ABRIL CANCHUNCHU VIEJO</t>
  </si>
  <si>
    <t>58423.76</t>
  </si>
  <si>
    <t>00749</t>
  </si>
  <si>
    <t>FARMACIA LA CHURUATA, C.A.</t>
  </si>
  <si>
    <t>J309297511</t>
  </si>
  <si>
    <t>0286-9670413 / 961.43.41/041</t>
  </si>
  <si>
    <t>CALLE CHINA EDIF HOSPITAL DE CLINICAS CARONI PISO PB LOCAL 01 SECTOR ALTA VISTA SUR</t>
  </si>
  <si>
    <t>6529.44</t>
  </si>
  <si>
    <t>0412-4610973</t>
  </si>
  <si>
    <t>CALLE HOSPITAL LOCAL NRO 3 SECTOR RIVERO</t>
  </si>
  <si>
    <t>00751</t>
  </si>
  <si>
    <t>INVERSIONES Y SUMINISTROS DULCE MANIA C.A,</t>
  </si>
  <si>
    <t>J500323484</t>
  </si>
  <si>
    <t>0412-1116510</t>
  </si>
  <si>
    <t>AV GUASIMA LOCAL NRO S/N DRCTOR CENTRO</t>
  </si>
  <si>
    <t>0414-8208525</t>
  </si>
  <si>
    <t>CALLE ANZOATEGUI LOCAL NRO 114 SECTOR CASCO VIEJO</t>
  </si>
  <si>
    <t>00753</t>
  </si>
  <si>
    <t>FARMACIA AHORRO Y SALUD, C.A (SUCURSAL 1)</t>
  </si>
  <si>
    <t>0416-7910683</t>
  </si>
  <si>
    <t>AVENIDA PASEO GASPARI LOCAL 01 PLANTA BAJA SECTOR MERCADO PERIFERICO CIUDAD BOLIVAR BOLIVAR</t>
  </si>
  <si>
    <t>93213.56</t>
  </si>
  <si>
    <t>00754</t>
  </si>
  <si>
    <t>FARMACIA INSUMOS EXPRESS, C.A (PRINCIPAL)</t>
  </si>
  <si>
    <t>CALLE VENEZUELA LOCAL NRO 83-A SECTOR PASEO ORINOCO PARROQUIA CATEDRAL MUNICIPIO ANGOSTURA DEL ORINOCO CIUDAD BOLIVAR BOLIVAR</t>
  </si>
  <si>
    <t>490519.26</t>
  </si>
  <si>
    <t>00755</t>
  </si>
  <si>
    <t>AGROINSUMOS ATENAS DE ORIENTE, C.A.</t>
  </si>
  <si>
    <t>J501496919</t>
  </si>
  <si>
    <t>0414-9426237</t>
  </si>
  <si>
    <t>CALLE BOLIVAR ENTRE PAEZ Y COLON, DIAGONAL A LA FARMACIA ARAGUA Y BANCO DE VENEZUELA ARAGUA DE BARCELONA ANZOATEGUI</t>
  </si>
  <si>
    <t>0424- 9323042 / 0424- 300923</t>
  </si>
  <si>
    <t>AV ORINOCO EDIF VALLECITO PISO 1 Y 02 SECTOR LA BRISAS DEL ORINOCO</t>
  </si>
  <si>
    <t>00757</t>
  </si>
  <si>
    <t>FARMA NATURAL VIRGEN DEL ROSARIO C.A</t>
  </si>
  <si>
    <t>J503423048</t>
  </si>
  <si>
    <t>0424-3397145</t>
  </si>
  <si>
    <t>CALLE BERMUDEZ CRUCE CON CALLE MELLADO EDIF VILLA REAL PISO P/B LOCAL 2 SECTOR CASCO CENTRAL</t>
  </si>
  <si>
    <t>23371.92</t>
  </si>
  <si>
    <t>0414-2499789</t>
  </si>
  <si>
    <t>CARRERA 10 ESQUINA CALLE 4 CENTRO AL FRENTE DEL CENTRO MEDICO SECTOR CENTRO</t>
  </si>
  <si>
    <t>00759</t>
  </si>
  <si>
    <t>FARMACIA EL MORRO S.R.L.</t>
  </si>
  <si>
    <t>J303582400</t>
  </si>
  <si>
    <t>0424-8660196</t>
  </si>
  <si>
    <t>AV PRINCIPAL EDIF DON PIO PISO PB LOCAL 1 SECTOR MORRO I LECHERIAS ANZOATEGUI</t>
  </si>
  <si>
    <t>119072.81</t>
  </si>
  <si>
    <t>00760</t>
  </si>
  <si>
    <t>SERVICIOS DE BIOANALISIS SALAZAR, F.P</t>
  </si>
  <si>
    <t>V185930978</t>
  </si>
  <si>
    <t>ARAGUA DE BARCELONA  EDO ANZ</t>
  </si>
  <si>
    <t>AV JOSE ANTONIO ANZOATEGUI CASA S/N SECTOR MONTAÑITA ARAGUA DE BARCELONA ANZOATEGUI</t>
  </si>
  <si>
    <t>4777.00</t>
  </si>
  <si>
    <t>00761</t>
  </si>
  <si>
    <t>INVERSIONES LILIANA HENRRIQUEZ, F.P</t>
  </si>
  <si>
    <t>V179356810</t>
  </si>
  <si>
    <t>0424-9293409</t>
  </si>
  <si>
    <t>AV PRINCIPAL CASA NRO S/N SECTOR CAÑO E CRUZ LAS CAROLINAS</t>
  </si>
  <si>
    <t>0414-701-2362 / 02812826666</t>
  </si>
  <si>
    <t>AV PRINCIPAL DE BOYACA II LOCAL NRO 24 SECTOR 01 BOYACA II</t>
  </si>
  <si>
    <t>00763</t>
  </si>
  <si>
    <t>CLINICA TIERRA SANTA, C.A</t>
  </si>
  <si>
    <t>J401730132</t>
  </si>
  <si>
    <t>0424-9049850</t>
  </si>
  <si>
    <t>AV FUERZAS ARMADAS EDIF GRUPO MEDICO TIERRA SANTA PISO PB Y MEZZANINA LOCAL 1 SECTOR LAS AVENIDAS</t>
  </si>
  <si>
    <t>11866.12</t>
  </si>
  <si>
    <t>0424-8020554</t>
  </si>
  <si>
    <t>CALLE PRINCIPAL DE GUANTA CASA NRO 159 SECTOR CHORRERON EL CHAPARRO</t>
  </si>
  <si>
    <t>00765</t>
  </si>
  <si>
    <t>INVERSIONES EMIRIT SALUD, C.A</t>
  </si>
  <si>
    <t>J500241674</t>
  </si>
  <si>
    <t>EL MANTECO EDO BOLIVAR</t>
  </si>
  <si>
    <t>0414-8533739</t>
  </si>
  <si>
    <t>8606</t>
  </si>
  <si>
    <t>EL MANTECO</t>
  </si>
  <si>
    <t>CALLE RAUL LEONIS LOCAL NRO S/N SECTOR PUEBLO NUEVO</t>
  </si>
  <si>
    <t>36586.73</t>
  </si>
  <si>
    <t>0412-4869622 / 02466163541</t>
  </si>
  <si>
    <t>CALLE COMERCIO ENTRE FRATERNIDAD Y DESCANSO CASA A/N NRO A/N SECTOR CASCO CENTRAL EL SOMBRERO GUARICO</t>
  </si>
  <si>
    <t>00767</t>
  </si>
  <si>
    <t>CORPORACION FARMACÉUTICA ECO FULL 2020, C.A</t>
  </si>
  <si>
    <t>J500392605</t>
  </si>
  <si>
    <t>0414-3807635 /02869625560</t>
  </si>
  <si>
    <t>AV GUAYANA CC CRISTAL NIVEL PB LOCAL 005 SECTOR ALTA VISTA</t>
  </si>
  <si>
    <t>20050.21</t>
  </si>
  <si>
    <t>+57-3122785234</t>
  </si>
  <si>
    <t>CALLE ANTONIO PLAZA CASA NRO 10 URB LUIS HURTADO HIGUERA</t>
  </si>
  <si>
    <t>00769</t>
  </si>
  <si>
    <t>FARMACIA LA PILDORA, C.A</t>
  </si>
  <si>
    <t>J095078108</t>
  </si>
  <si>
    <t>0414-8722823 / 0414-7604784</t>
  </si>
  <si>
    <t>CALLE BOULEVARD GUANAGUANARE CRUCE C/CALLE MANUEL PIAR, URB BELLA VISTA</t>
  </si>
  <si>
    <t>0426-2469813 02485211164 042</t>
  </si>
  <si>
    <t>AV PERIMETRAL EDIF GONZALEZ HERRERA PISO PB LOCAL 4 SECTOR EL CAICET</t>
  </si>
  <si>
    <t>00771</t>
  </si>
  <si>
    <t>DISTRIBUIDORA, COMERCIALIZADORA Y BOTIQUERIA ROSNAIRIS, C.A.</t>
  </si>
  <si>
    <t>J501561125</t>
  </si>
  <si>
    <t>424-3365428 /416-7368034/024</t>
  </si>
  <si>
    <t>CALLE #2 LOCAL NRO S/N SECTOR LA PICA NRO 2 ACHAGUAS APURE</t>
  </si>
  <si>
    <t>421841.10</t>
  </si>
  <si>
    <t>00772</t>
  </si>
  <si>
    <t>BIOMEDICAL LABORATORIO CLINICO, C.A</t>
  </si>
  <si>
    <t>J412512234</t>
  </si>
  <si>
    <t>0424-9674013</t>
  </si>
  <si>
    <t>PLAZA BOLIVAR LOCAL S/N SECTOR EL MANTECO EDO BOLIVAR</t>
  </si>
  <si>
    <t>00773</t>
  </si>
  <si>
    <t>FARMA DALLA, C.A.</t>
  </si>
  <si>
    <t>J501385807</t>
  </si>
  <si>
    <t>0414-7726733</t>
  </si>
  <si>
    <t>CALLE BOLIVAR LOCAL NRO 22-02-03 SECTOR CENTRO DE LA CIUDAD DE EL MANTECO</t>
  </si>
  <si>
    <t>0424-9275530</t>
  </si>
  <si>
    <t>CALLE SUCRE LOCAL S/N SECTOR CENTRO, PARROQUIA PEDRO COVA</t>
  </si>
  <si>
    <t>00775</t>
  </si>
  <si>
    <t>FARMACIA GRAN SALUD (INVER GIANPIER ARIAS)</t>
  </si>
  <si>
    <t>V27504153</t>
  </si>
  <si>
    <t>0426-2169510</t>
  </si>
  <si>
    <t>219164.62</t>
  </si>
  <si>
    <t>00776</t>
  </si>
  <si>
    <t>FARMACIA LA FLORESTA,C.A</t>
  </si>
  <si>
    <t>J075517350</t>
  </si>
  <si>
    <t>0424-4282906</t>
  </si>
  <si>
    <t>CALLE PIAR LOCAL NRO 25-1 SECTOR LA FLORIDA GUACARA ESTADO CARABOBO</t>
  </si>
  <si>
    <t>10010.84</t>
  </si>
  <si>
    <t>00777</t>
  </si>
  <si>
    <t>INVERSIONES AJAR &amp; ADER, C.A</t>
  </si>
  <si>
    <t>J409024881</t>
  </si>
  <si>
    <t>0414-0987327</t>
  </si>
  <si>
    <t>CALLE 1 CASA NRO 9 URB ROMULO BETANCOURT</t>
  </si>
  <si>
    <t>00778</t>
  </si>
  <si>
    <t>FARMACIA SOCIAL TUCUPIDO C.A.</t>
  </si>
  <si>
    <t>J409830900</t>
  </si>
  <si>
    <t>0424-3070102/0238-5520424</t>
  </si>
  <si>
    <t>CALLE S/N FRENTE AL HOSPITAL "DR PEDRO DEL CORRAL" LOCAL NRO S/N URB RIVERO</t>
  </si>
  <si>
    <t>02812652097</t>
  </si>
  <si>
    <t>CALLE GIRARDOT LOCAL Nº 31 SECTOR CENTRO</t>
  </si>
  <si>
    <t>0424-3078057 /  02468712643</t>
  </si>
  <si>
    <t>CALLE 4  ESQUINA CARRERA 10 LOCAL LOCAL S/N ZONA CASCO CENTRAL</t>
  </si>
  <si>
    <t>0416-6448937 / 02353419138</t>
  </si>
  <si>
    <t>CALLE 23 DE ENERO CASA NRO 8 SECTOR EL ZAMURO</t>
  </si>
  <si>
    <t>00782</t>
  </si>
  <si>
    <t>LABORATORIO CLINICO LA FE, C.A.</t>
  </si>
  <si>
    <t>J410689277</t>
  </si>
  <si>
    <t>0414-4659463</t>
  </si>
  <si>
    <t>CR 10 ENTRE CALLES 7 Y 8 CC CARITAS NIVEL 1 LOCAL 1 SECTOR CASCO CENTRAL</t>
  </si>
  <si>
    <t>0424-7059577 / 02884146722 /</t>
  </si>
  <si>
    <t>CALLE INDEPENDENCIA EDIF. 2 PISO PB LOCAL 2 SECTOR CASCO CENTRAL UPATA BOLIVAR</t>
  </si>
  <si>
    <t>00784</t>
  </si>
  <si>
    <t>MATRIZ FARMACIA 360º, C.A</t>
  </si>
  <si>
    <t>J502965750</t>
  </si>
  <si>
    <t>00785</t>
  </si>
  <si>
    <t>FARMACIA 360º, C.A (SUC 1 MERCADO)</t>
  </si>
  <si>
    <t>FARMACIA 360º, C.A</t>
  </si>
  <si>
    <t>0424-9185597 / 0424-9512274</t>
  </si>
  <si>
    <t>CALLE 6 LOCAL NRO 34 SECTOR 2 BARCELONA ANZOATEGUI</t>
  </si>
  <si>
    <t>34116.86</t>
  </si>
  <si>
    <t>00786</t>
  </si>
  <si>
    <t>FARMACIA 360º, C.A (PPAL BARCELONA)</t>
  </si>
  <si>
    <t>156548.58</t>
  </si>
  <si>
    <t>00787</t>
  </si>
  <si>
    <t>FARMACIA SANTA ROSA C A (PUNTA DE MATA)</t>
  </si>
  <si>
    <t>FARMACIA SANTA ROSA C A</t>
  </si>
  <si>
    <t>J301489039</t>
  </si>
  <si>
    <t>0424-9005744 / 02923371753 /</t>
  </si>
  <si>
    <t>AV BOLIVAR LOCAL NRO 132 SECTOR CENTRO PUNTA DE MATA MONAGAS</t>
  </si>
  <si>
    <t>1090.71</t>
  </si>
  <si>
    <t>0426-5918198 / 02856515248/</t>
  </si>
  <si>
    <t>AV ESPAÑA LOCAL 232 SECTOR JERUSALEN PARROQUIA LA SABANITA MUNICIPIO ANGOSTURA DEL ORINOCO</t>
  </si>
  <si>
    <t>00789</t>
  </si>
  <si>
    <t>FARMALUZ HOSPITAL, C.A</t>
  </si>
  <si>
    <t>J504063851</t>
  </si>
  <si>
    <t>CALLE ZULIA CON AVENIDA REPUBLICA CASA 4 URB SANTA ELENA SAN JOSE DE GUANIPA (EL TIGRITO) ANZOATEGUI</t>
  </si>
  <si>
    <t>1019352.80</t>
  </si>
  <si>
    <t>0414-8899368</t>
  </si>
  <si>
    <t>AV MARIO BRICEÑO IRAGORRI EDIF HERES PISO P.B. LOCAL 1 ZONA PASEO HERES PQUIA CATEDRAL CD</t>
  </si>
  <si>
    <t>00791</t>
  </si>
  <si>
    <t>FUNDACION CLINICA ADVENTISTA</t>
  </si>
  <si>
    <t>05/09/2025</t>
  </si>
  <si>
    <t>J301795199</t>
  </si>
  <si>
    <t>27/08/2025</t>
  </si>
  <si>
    <t>0412-8718714</t>
  </si>
  <si>
    <t>CALLE 28 EDIF FUNDACION CLINICA ADVENTISTA PISO PB APT FUNDACION CLINICA ADVENTISTA SECTOR VIENTO COLAO</t>
  </si>
  <si>
    <t>04148240332</t>
  </si>
  <si>
    <t>AVENIDA RAUL LEONI MANZANA 7 QUINTA NUMERO 3,URBANIZACION FUNDACION MENDOZA</t>
  </si>
  <si>
    <t>0414-898-5099/0286-9613046</t>
  </si>
  <si>
    <t>ALTA VISTA UD 262 CARRERA CACHAMAY CON CALLE ARO CENTRO COMERCIAL BABIBLONIA MALL CENTER MEZANINA 2 LOCAL NIVEL 2 PUERTO ORDAZ EDO BOLIVAR. 
Estado Bolivar. Mu</t>
  </si>
  <si>
    <t>00794</t>
  </si>
  <si>
    <t>FARMACIA DORAL PLUS, C.A.</t>
  </si>
  <si>
    <t>J501669295</t>
  </si>
  <si>
    <t>0426-1579488</t>
  </si>
  <si>
    <t>16839.36</t>
  </si>
  <si>
    <t>00795</t>
  </si>
  <si>
    <t>FARMAVITAL C A (CANTAURA)</t>
  </si>
  <si>
    <t>FARMAVITAL C A</t>
  </si>
  <si>
    <t>J316338029</t>
  </si>
  <si>
    <t>0426-3831753</t>
  </si>
  <si>
    <t>AV BOLIVAR LOCAL NRO 82 SECTOR CASCO CENTRAL CANTAURA ANZOATEGUI</t>
  </si>
  <si>
    <t>80792.47</t>
  </si>
  <si>
    <t>00796</t>
  </si>
  <si>
    <t>CLINICA CACER, C.A</t>
  </si>
  <si>
    <t>J304839090</t>
  </si>
  <si>
    <t>0285-6328009 / 0285-6324148</t>
  </si>
  <si>
    <t>AV GUASIPATI C/C AV. TACHIRA QUINTA LOS COCOS. CIUDAD BOLIVAR. ESTADO BOLIVAR</t>
  </si>
  <si>
    <t>0.36</t>
  </si>
  <si>
    <t>00797</t>
  </si>
  <si>
    <t>FARMA OFERTAS LA ECONOMICA ,C.A  (SUCURSAL 8 VISTA AL SOL)</t>
  </si>
  <si>
    <t>FARMA OFERTAS LA ECONOMICA ,C.A</t>
  </si>
  <si>
    <t>AVENIDA PRINCIPAL VISTA AL SOL CRUCE CON CALLE AMBROSIO LOCAL S/N SAN FELIX BOLIVAR</t>
  </si>
  <si>
    <t>36083.70</t>
  </si>
  <si>
    <t>0424-3157548</t>
  </si>
  <si>
    <t>CALLE SALIAS LOCAL NRO 81 SECTOR CASCO CENTRAL SAN JUAN DE LOS MORROS GUARICO</t>
  </si>
  <si>
    <t>00799</t>
  </si>
  <si>
    <t>FARMACIA FARMA SALUD INTEGRAL, C.A (UPATA)</t>
  </si>
  <si>
    <t>04126955763 /  04148848828</t>
  </si>
  <si>
    <t>CALLE MIRANDA EDIF SANTA BARBARA PISO P.B LOCAL 112 SECTOR CENTRO DE UPATA BOLIVAR</t>
  </si>
  <si>
    <t>0414-3864942</t>
  </si>
  <si>
    <t>CALLE PAEZ CC CENTRO COMERCIAL PAEZ NIVEL PB LOCAL L-8 SECTOR CENTRO DE SAN FELIX</t>
  </si>
  <si>
    <t>00801</t>
  </si>
  <si>
    <t>FARMACIA SAN ANTONIO, C.A. (NUEVA ESPARTA)</t>
  </si>
  <si>
    <t>FARMACIA SAN ANTONIO, C.A.</t>
  </si>
  <si>
    <t>J302278368</t>
  </si>
  <si>
    <t>0414-7986658</t>
  </si>
  <si>
    <t>CALLE EL SOL EDIF LAS MARIANAS PISO PB LOCAL 01 SECTOR GUAIMARO JUAN GRIEGO NUEVA ESPARTA</t>
  </si>
  <si>
    <t>00802</t>
  </si>
  <si>
    <t>FARMA SHEKINAH,C.A</t>
  </si>
  <si>
    <t>J501006377</t>
  </si>
  <si>
    <t>CHAGUARAMAS EDO MONAGAS</t>
  </si>
  <si>
    <t>0416-1841791</t>
  </si>
  <si>
    <t>CTRA NACIONALCASA S/N SECTOR IV CHAGUARAMAS II MONAGAS</t>
  </si>
  <si>
    <t>462829.25</t>
  </si>
  <si>
    <t>AV. ORINOCO, SECTOR LA PLAZA, PB LOCAL S/N GUASIPATI BOLIVAR</t>
  </si>
  <si>
    <t>00804</t>
  </si>
  <si>
    <t>FARMACIA CHIRICA VIEJA, C.A ( EL CALLAO)</t>
  </si>
  <si>
    <t>EL CALLAO EDO BOLVAR</t>
  </si>
  <si>
    <t>0424-9420592</t>
  </si>
  <si>
    <t>CALLE ROSCIO NRO. 3, LOCALES 7,8 Y 9, FRENTE A LA PLAZA BOLÍVAR EL CALLAO BOLIVAR</t>
  </si>
  <si>
    <t>76630.63</t>
  </si>
  <si>
    <t>00805</t>
  </si>
  <si>
    <t>DRODESCUENTO 21, C.A.</t>
  </si>
  <si>
    <t>J501029555</t>
  </si>
  <si>
    <t>0414-861.48.88 / 0412-879.84</t>
  </si>
  <si>
    <t>CALLE URICA EDIF DOÑA ROSA PB LOCAL NRO 2 SUR SECTOR CENTRO</t>
  </si>
  <si>
    <t>00806</t>
  </si>
  <si>
    <t>GASTROEXPRESS Y ENDOEXPRESS, C.A.</t>
  </si>
  <si>
    <t>J403977313</t>
  </si>
  <si>
    <t>0424-9338223</t>
  </si>
  <si>
    <t>AV. 3 DE LOS GUARITOS CON CALLE 7 DE ALTO DE LOS GODOS  2</t>
  </si>
  <si>
    <t>4895.79</t>
  </si>
  <si>
    <t>00807</t>
  </si>
  <si>
    <t>FARMACIA ARENAS</t>
  </si>
  <si>
    <t>V15688604</t>
  </si>
  <si>
    <t>0414-0914725</t>
  </si>
  <si>
    <t>226494.01</t>
  </si>
  <si>
    <t>00808</t>
  </si>
  <si>
    <t>FARMACIA ROSA MISTICA C.A.</t>
  </si>
  <si>
    <t>J306536841</t>
  </si>
  <si>
    <t>0414-1907025</t>
  </si>
  <si>
    <t>CALLE SANTA TERESA LOCAL S/N SECTOR VALMORE RODRIGUEZ SAN JOSE DE GUANIPA EL TIGRITO ANZOATEGUI</t>
  </si>
  <si>
    <t>72426.02</t>
  </si>
  <si>
    <t>00809</t>
  </si>
  <si>
    <t>IKO FARMA, C.A.</t>
  </si>
  <si>
    <t>J313162906</t>
  </si>
  <si>
    <t>0424-8358885</t>
  </si>
  <si>
    <t>AV IGUALDAD ENTRE CALLE DIAZ Y SAN RAFAEL LOCAL NRO S/N SECTOR CENTRO</t>
  </si>
  <si>
    <t>205039.23</t>
  </si>
  <si>
    <t>0414-9273290</t>
  </si>
  <si>
    <t>AV BOLÍVAR C C CENTRO EMPRESARIAL BOLIVAR NIVEL PB LOCAL PB-1 SECTOR BELLA VISTA</t>
  </si>
  <si>
    <t>00811</t>
  </si>
  <si>
    <t>FARMACIA ECOLOGICA 2012, C.A. (FARMACIA SAAS)</t>
  </si>
  <si>
    <t>FARMACIA ECOLOGICA 2012, C.A.</t>
  </si>
  <si>
    <t>J401498531</t>
  </si>
  <si>
    <t>0295-2745800</t>
  </si>
  <si>
    <t>AV FRANCISCO FAJARDO CC ECOCENTER NIVEL B NIVEL PB LOCAL PB-7 SECTOR EL VALLE EL VALLE DEL ESPIRUTU SANTO NUEVA ESPARTA</t>
  </si>
  <si>
    <t>80052.50</t>
  </si>
  <si>
    <t>00812</t>
  </si>
  <si>
    <t>FARMACIA CENTRICA, C.A</t>
  </si>
  <si>
    <t>J503906685</t>
  </si>
  <si>
    <t>VDA 32 LOCAL NRO N°1 N°2 URB BOYACA IV</t>
  </si>
  <si>
    <t>442340.46</t>
  </si>
  <si>
    <t>AV. 5 DE JULIO, CC GALERIA L.R, LOCAL 1, SECTOR LA CHARNECA</t>
  </si>
  <si>
    <t>00814</t>
  </si>
  <si>
    <t>KATLEEN FABIANA BETANCOURT TORRES</t>
  </si>
  <si>
    <t>V25578899</t>
  </si>
  <si>
    <t>3446.43</t>
  </si>
  <si>
    <t>05/08/2025</t>
  </si>
  <si>
    <t>0424-8745519</t>
  </si>
  <si>
    <t>FISCAL AV PRINCIPAL DE LECHERIA LOCAL NIKKO NRO 48 SECTOR LECHERIA</t>
  </si>
  <si>
    <t>00816</t>
  </si>
  <si>
    <t>FARMA RUTTAS II, C.A</t>
  </si>
  <si>
    <t>J412279270</t>
  </si>
  <si>
    <t>EL  MANTECO EDO BOLIVAR</t>
  </si>
  <si>
    <t>0424-9251664</t>
  </si>
  <si>
    <t>CALLE BOLIVAR LOCAL S/N SECTOR CENTRO, PARROQUIA PEDRO COVA</t>
  </si>
  <si>
    <t>76116.89</t>
  </si>
  <si>
    <t>00817</t>
  </si>
  <si>
    <t>FARMACIA BOTICA SAN JOSE, C.A.</t>
  </si>
  <si>
    <t>J310885095</t>
  </si>
  <si>
    <t>0424-9647565</t>
  </si>
  <si>
    <t>CALLE PIAR LOCAL NRO 36 SECTOR CENTRO</t>
  </si>
  <si>
    <t>284199.85</t>
  </si>
  <si>
    <t>0412-0959414</t>
  </si>
  <si>
    <t>CALLE SAN NICOLAS ENTRE BOULEVARD GUEVARA Y CALLE MARIÑO LOCAL NRO 3 SECTOR CENTRO</t>
  </si>
  <si>
    <t>00819</t>
  </si>
  <si>
    <t>(MATRIZ) GRUPO FARMAVEN, C.A</t>
  </si>
  <si>
    <t>00820</t>
  </si>
  <si>
    <t>FARMACIA SANTA CECILIA C.A.</t>
  </si>
  <si>
    <t>J305098980</t>
  </si>
  <si>
    <t>0424--8970098</t>
  </si>
  <si>
    <t>CALLE PRINCIPAL CON ESQUINA LAS ACACIAS LOCAL NRO SN SECTOR APOSTADERO, MCPIO MANEIRO</t>
  </si>
  <si>
    <t>00821</t>
  </si>
  <si>
    <t>FARMACIA SAGRADO CORAZON, C.A</t>
  </si>
  <si>
    <t>J502573186</t>
  </si>
  <si>
    <t>0414-3964284 04147604959</t>
  </si>
  <si>
    <t>AV LAS 3 ROSAS CON CALLE ZABALETA LOCAL NRO S/N SECTOR EL MORICHE II</t>
  </si>
  <si>
    <t>91793.28</t>
  </si>
  <si>
    <t>00822</t>
  </si>
  <si>
    <t>TU FARMA ANZ, C.A (SUCURSAL II URPIN)</t>
  </si>
  <si>
    <t>0414-7886482</t>
  </si>
  <si>
    <t>112086.43</t>
  </si>
  <si>
    <t>00823</t>
  </si>
  <si>
    <t>(MATRIZ) FAR-TODO VIRGEN DEL VALLE, C.A</t>
  </si>
  <si>
    <t>J294533922</t>
  </si>
  <si>
    <t>0412-8715447 / 0414-9873326</t>
  </si>
  <si>
    <t>FISCAL CALLE URICA EDIF DOÑA ROSA PISO .B LOCAL 2 SUR SECTOR CENTRO</t>
  </si>
  <si>
    <t>00825</t>
  </si>
  <si>
    <t>VILLAFARMA C.A.</t>
  </si>
  <si>
    <t>J501170819</t>
  </si>
  <si>
    <t>0424-9013509</t>
  </si>
  <si>
    <t>CALLE PRINCIPAL CON CALLE 4 CASA NRO 2 URB VILLA ROSA</t>
  </si>
  <si>
    <t>0424-8854588</t>
  </si>
  <si>
    <t>CALLE VENEZUELA LOCAL NRO C-21SECTOR CENTRAL I SAN JOSE DE GUANIPA</t>
  </si>
  <si>
    <t>00827</t>
  </si>
  <si>
    <t>LABORATORIO CLINICO SAN JUAN, C.A</t>
  </si>
  <si>
    <t>J412197533</t>
  </si>
  <si>
    <t>CALLE LAS FLORES CASA NRO 83 SECTOR CENTRO</t>
  </si>
  <si>
    <t>0295-2530242</t>
  </si>
  <si>
    <t>AV AVENIDA PRINCIPAL LA VECINDAD EDIF DON FELIPE PISO PB LOCAL S/N SECTOR LA VECINDAD</t>
  </si>
  <si>
    <t>00829</t>
  </si>
  <si>
    <t>CENTRO QUIRURGICO MEDICAL MONAGAS, C.A</t>
  </si>
  <si>
    <t>J502831975</t>
  </si>
  <si>
    <t>AV LA PAZ, CALLE 1 CASA NRO S/N SECTOR LAS AVENIDAS</t>
  </si>
  <si>
    <t>6585.82</t>
  </si>
  <si>
    <t>00830</t>
  </si>
  <si>
    <t>FARMACIA FARMACARONI, C.A</t>
  </si>
  <si>
    <t>J503962038</t>
  </si>
  <si>
    <t>CALLE CAURA CON CALLE CUCHIVERO CC CIUDAD ALTA VISTA I NIVEL PB LOCAL 88 SECTOR ALTA VISTA PUERTO ORDAZ BOLIVAR</t>
  </si>
  <si>
    <t>604316.53</t>
  </si>
  <si>
    <t>00831</t>
  </si>
  <si>
    <t>FARMACIA GRUPO LA ISLA C.A</t>
  </si>
  <si>
    <t>J502414452</t>
  </si>
  <si>
    <t>0412-3587916</t>
  </si>
  <si>
    <t>AV LLANO ADENTRO LOCAL NRO S/N ZONA PORLAMAR PORLAMAR ESTADO NUEVA ESPARTA</t>
  </si>
  <si>
    <t>400776.20</t>
  </si>
  <si>
    <t>0424-9681380</t>
  </si>
  <si>
    <t>AVENIDA BOLÍVAR QUINTA SAN JOSÉ Nº 52, SECTOR CENTRO</t>
  </si>
  <si>
    <t>00833</t>
  </si>
  <si>
    <t>FARMACIA DON BENITEZ</t>
  </si>
  <si>
    <t>V191017621</t>
  </si>
  <si>
    <t>0426-3662844</t>
  </si>
  <si>
    <t>36241.01</t>
  </si>
  <si>
    <t>00834</t>
  </si>
  <si>
    <t>FARMACIA SUPERFARMA ORIENTE C.A</t>
  </si>
  <si>
    <t>J402633564</t>
  </si>
  <si>
    <t>0426-9808581</t>
  </si>
  <si>
    <t>AV. WINSTON CHUIRCHILL C/C 5TA CARRERA NORTE , EDIF. SUPERFARMA, LOCAL 1, PISO 1, SECTOR PUEBLO NUEVO NORTE EL TIGRE ANZOATEGUI</t>
  </si>
  <si>
    <t>213013.88</t>
  </si>
  <si>
    <t>00835</t>
  </si>
  <si>
    <t>INSTITUTO MEDICO DE CIRUGIA AMBULATORIA, C.A (IMCA)</t>
  </si>
  <si>
    <t>INSTITUTO MEDICO DE CIRUGIA AMBULATORIA, C.A</t>
  </si>
  <si>
    <t>J313219410</t>
  </si>
  <si>
    <t>414-8411530/0283-2420904</t>
  </si>
  <si>
    <t>CUARTA CARRERA BIS SUR ENTRE CALLE 18 Y 19, CASA NRO S/N SECTOR PUEBLO NUEVO EL TIGRE ANZOATEGUI</t>
  </si>
  <si>
    <t>381.92</t>
  </si>
  <si>
    <t>00836</t>
  </si>
  <si>
    <t>EXPENDIO DE MEDICINAS PUNTO ECONOMICO, C.A</t>
  </si>
  <si>
    <t>J503645903</t>
  </si>
  <si>
    <t>MARIPA EDO BOLIVAR</t>
  </si>
  <si>
    <t>8612</t>
  </si>
  <si>
    <t>MARIPA</t>
  </si>
  <si>
    <t>CALLE BOLIVAR CASA S/N SECTOR POBLACION DE MARIPA MUNICIPIO SUCRE</t>
  </si>
  <si>
    <t>0426-2228107</t>
  </si>
  <si>
    <t>AV ANDRES ELOY BLANCO LOCAL NRO S/N SECTOR EL TERMINAL ZARAZA GUARICO</t>
  </si>
  <si>
    <t>0424-8177451</t>
  </si>
  <si>
    <t>CARRETERA NEGRA LA FLINT CRUCE CON AV. JESUS SUBERO LOCAL 1-2, SECTOR PUEBLO AJURO MUNICIPIO SIMON RODRIGUEZ</t>
  </si>
  <si>
    <t>0426-8926438</t>
  </si>
  <si>
    <t>FISCAL CALLE JUNIN EDIF LA PROPIA ESQUINA DEL MINERO PISO P/B LOCAL 2 SECTOR JUNIN</t>
  </si>
  <si>
    <t>04267761515</t>
  </si>
  <si>
    <t>CALLE MARIÑO CRUCE CON CALLE ZEA EDIF BADRA PISO P/B LOCAL S/N SECTOR CENTRO CUMANA</t>
  </si>
  <si>
    <t>0416-1417282</t>
  </si>
  <si>
    <t>CALLE BOLIVAR C/C SANTA MARTA EDIF CENTRO CLINICO DR JIMENEZ PISO PB LOCAL C-3 SECTOR LA PLAZA</t>
  </si>
  <si>
    <t>00842</t>
  </si>
  <si>
    <t>MEDICOS Y ODONTOLOGICOS C.A. - "FARMACIA SAN GERONIMO", C.A.</t>
  </si>
  <si>
    <t>J410107413</t>
  </si>
  <si>
    <t>0235-3425543</t>
  </si>
  <si>
    <t>CALLE 23 DE ENERO C/C CALLE LAS FLORES Y BOLIVAR EDIF DIVINO NIÑO JESUS PISO 1 LOCAL 1 SECTOR CENTRO</t>
  </si>
  <si>
    <t>00843</t>
  </si>
  <si>
    <t>FARMACIA FARMA SALUD INTEGRAL IV, C.A</t>
  </si>
  <si>
    <t>J501723907</t>
  </si>
  <si>
    <t>0416-8892966</t>
  </si>
  <si>
    <t>CALLE PRINCIPAL CRUCE CON CALLE COJEDES LOCAL S/N URB COVIAGUARD</t>
  </si>
  <si>
    <t>00844</t>
  </si>
  <si>
    <t>EXPENDIO DE MEDICINAS Y COSMETICO BUENA VISTA, FP</t>
  </si>
  <si>
    <t>V102713504</t>
  </si>
  <si>
    <t>GUAYABAL EDO GUARICO</t>
  </si>
  <si>
    <t>0414-1073735</t>
  </si>
  <si>
    <t>8613</t>
  </si>
  <si>
    <t>GUAYABAL</t>
  </si>
  <si>
    <t>CALLE ,MIGUEL ANTONIO SALAS CASA NRO  S/N SECTOR LAS CASITAS EZEQUIAL ZAMORA GUAYABAL</t>
  </si>
  <si>
    <t>42455.05</t>
  </si>
  <si>
    <t>00845</t>
  </si>
  <si>
    <t>FARMACIA EL FARAON, C.A (MATURIN)</t>
  </si>
  <si>
    <t>J409047172</t>
  </si>
  <si>
    <t>0424-9134539</t>
  </si>
  <si>
    <t>AV JUNCAL ENTRE CARRERA 14 Y 15 LOCAL EDIFICI EL FARAON NRO 3 SECTOR LOS BLOQUES MATURIN MONAGAS</t>
  </si>
  <si>
    <t>CC TERRAZAS DEL NORTE II</t>
  </si>
  <si>
    <t>0212-7517335</t>
  </si>
  <si>
    <t>AV LEONARDO DA VINCI EDIF TORRE FINANCIERA PISO PB LOCAL S/N URB BELLO MONTE CARACAS MIRANDA</t>
  </si>
  <si>
    <t>00848</t>
  </si>
  <si>
    <t>FARMACIA LA BATALLA SHOP, C.A.</t>
  </si>
  <si>
    <t>J298708646</t>
  </si>
  <si>
    <t>0412-3516580</t>
  </si>
  <si>
    <t>CALLE IGUALDAD LOCAL NRO 83-B URB CENTRO PORLAMAR NUEVA ESPARTA</t>
  </si>
  <si>
    <t>1067916.44</t>
  </si>
  <si>
    <t>0412-5898443</t>
  </si>
  <si>
    <t>CALLE CHAMA CON CAURIMARE CC CENTRO CARONI, MODULO A NIVEL 2 OF A-28 URB COLINAS DE BELLO MONTE CARACAS MIRANDA</t>
  </si>
  <si>
    <t>00850</t>
  </si>
  <si>
    <t>FARMA RECETA EXPRESS C.A</t>
  </si>
  <si>
    <t>J500830106</t>
  </si>
  <si>
    <t>AV RIVAS CRUCE CON CALLE ARTIAGAS EDIF CORAZON DE JESUS PISO PB LOCAL CENTRO</t>
  </si>
  <si>
    <t>00852</t>
  </si>
  <si>
    <t>FARMACONSULT, C.A</t>
  </si>
  <si>
    <t>J406959294</t>
  </si>
  <si>
    <t>0414-9990613</t>
  </si>
  <si>
    <t>AV LLANO ADENTRO CC EL MERCADO LA ISLA NIVEL FERIA LOCAL LA08 SECTOR ACHIPANO</t>
  </si>
  <si>
    <t>110120.02</t>
  </si>
  <si>
    <t>0424-8432451</t>
  </si>
  <si>
    <t>AV CAMARON EDIF HOTEL TIBISAY BEACH RESORT PISO PB LOCAL 1A URB PLAYA EL ANGEL, PARCELA M14</t>
  </si>
  <si>
    <t>00854</t>
  </si>
  <si>
    <t>UNIDAD MEDICO DOCENTE SALUD PARA LA VIDA,UNIMED C.A.</t>
  </si>
  <si>
    <t>J295018797</t>
  </si>
  <si>
    <t>0416-6950808/ 0295-2642301 /</t>
  </si>
  <si>
    <t>AV JOSE MARIA LOZADA QTA NRO S/N URB SABANAMAR</t>
  </si>
  <si>
    <t>0414-8718618</t>
  </si>
  <si>
    <t>CALLE RICAUTER EDIF HERMANOS RAMOS PISO 1 LOCAL NRO 2 SECTOR CENTRO</t>
  </si>
  <si>
    <t>00856</t>
  </si>
  <si>
    <t>DANIEL JOSE BRITO ROJAS</t>
  </si>
  <si>
    <t>V19603507</t>
  </si>
  <si>
    <t>00857</t>
  </si>
  <si>
    <t>LUIS MANUEL BLANCO CHAURAN</t>
  </si>
  <si>
    <t>V18274335</t>
  </si>
  <si>
    <t>0412-8721905</t>
  </si>
  <si>
    <t>SECTOR LA CARBONERA</t>
  </si>
  <si>
    <t>PETARE EDO MIRANDA</t>
  </si>
  <si>
    <t>AV SANZ EDIF E PISO PB LOCAL 1 CONJUNTO RESIDENCIAL TEREPAIMA, EL MARQUES CARACAS</t>
  </si>
  <si>
    <t>00859</t>
  </si>
  <si>
    <t>FARMACIA MACANAO, F.P.</t>
  </si>
  <si>
    <t>V093061299</t>
  </si>
  <si>
    <t>BOCA DE POZO EDO NUEVA ESPAR</t>
  </si>
  <si>
    <t>+58 426-7372909</t>
  </si>
  <si>
    <t>CALLE PAEZ LOCAL NRO S/N SECTOR BOCA DE POZO MACANAO</t>
  </si>
  <si>
    <t>184847.11</t>
  </si>
  <si>
    <t>CTRA NACIONAL LOCAL NRO S/N NRO S/N SECTOR LAS CAMAZAS</t>
  </si>
  <si>
    <t>0286 9725378</t>
  </si>
  <si>
    <t>AV MENCA DE LEONI LOCAL NRO 36 SECTOR 25 DE MARZO</t>
  </si>
  <si>
    <t>1 año</t>
  </si>
  <si>
    <t>0424-9343980</t>
  </si>
  <si>
    <t>00863</t>
  </si>
  <si>
    <t>RATTAN HYPERMARKET, C.A</t>
  </si>
  <si>
    <t>J313383309</t>
  </si>
  <si>
    <t>0424-8530808</t>
  </si>
  <si>
    <t>AV ALDONZA MANRIQUE CON JOVITO VILLALBA CC K, ETAPA I NIVEL OFICINAS LOCAL A2 Y A3 URB PLAYA EL ANGEL</t>
  </si>
  <si>
    <t>1959254.57</t>
  </si>
  <si>
    <t>00864</t>
  </si>
  <si>
    <t>MATRIZ FARMACIA ALBA MARIANA, C.A</t>
  </si>
  <si>
    <t>00865</t>
  </si>
  <si>
    <t>FARMACIA ALBA MARIANA, C.A (SUCURSAL)</t>
  </si>
  <si>
    <t>FARMACIA ALBA MARIANA, C.A</t>
  </si>
  <si>
    <t>116367.86</t>
  </si>
  <si>
    <t>0414-4674711</t>
  </si>
  <si>
    <t>CALLE CALLEJON F, ENTRE CALLE ANDREA SANTA MARIA Y JOSE ANTONIO RODRIGUEZ EDIF UQI DR LUIS OLIVERO</t>
  </si>
  <si>
    <t>AV CIRCUNVALACION OESTE CASA NRO 98 SECTOR BELLO MONTE 1 VALENCIA ESTADO CARABOBO</t>
  </si>
  <si>
    <t>00869</t>
  </si>
  <si>
    <t>FARMAEXPRESS LA PIÑA, C.A.</t>
  </si>
  <si>
    <t>J500933703</t>
  </si>
  <si>
    <t>0424-9132034</t>
  </si>
  <si>
    <t>AV GUAYANA CC "CIUDAD COMERCIAL AUTOMOTRIZ" NIVEL N/A LOCAL 6 SECTOR UD-278 PARQUE INDUSTRIAL MANZANA 1, PARCELA 1</t>
  </si>
  <si>
    <t>00870</t>
  </si>
  <si>
    <t>FARMACIA NUÑEZ C A</t>
  </si>
  <si>
    <t>J300939596</t>
  </si>
  <si>
    <t>0424-8742107</t>
  </si>
  <si>
    <t>CALLE BUENOS AIRES LOCAL NRO 03 SECTOR CASCO VIEJO EL TIGRE ANZOATEGUI</t>
  </si>
  <si>
    <t>715743.79</t>
  </si>
  <si>
    <t>00871</t>
  </si>
  <si>
    <t>FARMARISMENDI, C.A.</t>
  </si>
  <si>
    <t>J501979600</t>
  </si>
  <si>
    <t>0424-9622229</t>
  </si>
  <si>
    <t>AV.ARISMENDI, CASA N° 19-B PARROQUIA SAN JOSE, ESTADO DELTA AMACURO .</t>
  </si>
  <si>
    <t>18605.81</t>
  </si>
  <si>
    <t>00872</t>
  </si>
  <si>
    <t>FARMACIA VIRGEN DE LOURDES C.A (RIO CARIBE)</t>
  </si>
  <si>
    <t>FARMACIA VIRGEN DE LOURDES C.A</t>
  </si>
  <si>
    <t>J080177533</t>
  </si>
  <si>
    <t>RIO CARIBE EDO SUCRE</t>
  </si>
  <si>
    <t>+58 426-5804627</t>
  </si>
  <si>
    <t>CALLE RIVERO CASA NRO 139 SECTOR CENTRO RIO CARIBE SUCRE</t>
  </si>
  <si>
    <t>00873</t>
  </si>
  <si>
    <t>FARMACIA VIRGEN DE LOURDES I, C.A. (CARUPANO)</t>
  </si>
  <si>
    <t>FARMACIA VIRGEN DE LOURDES I, C.A.</t>
  </si>
  <si>
    <t>J504071382</t>
  </si>
  <si>
    <t>AV UNIVERSITARIA LOCAL GALPON REAOCA NRO 03 SECTOR PRIMERO DE MAYO CARUPANO SUCRE</t>
  </si>
  <si>
    <t>00874</t>
  </si>
  <si>
    <t>POLICLINICA MATURIN, S.A</t>
  </si>
  <si>
    <t>J080176740</t>
  </si>
  <si>
    <t>AV LUIS DEL VALLE GARCIA, CARRERA 9-A EDIF POLICLINICA MATURIN, SECTOR LAS AVENIDAS, MATURIN MONAGAS.</t>
  </si>
  <si>
    <t>98918.38</t>
  </si>
  <si>
    <t>00875</t>
  </si>
  <si>
    <t>OHELIS MEDRANO</t>
  </si>
  <si>
    <t>V16516884</t>
  </si>
  <si>
    <t>0.27</t>
  </si>
  <si>
    <t>00876</t>
  </si>
  <si>
    <t>MATRIZ FARMACIA MEDITOTAL, C.A</t>
  </si>
  <si>
    <t>J302455413</t>
  </si>
  <si>
    <t>0426-6141129</t>
  </si>
  <si>
    <t>0424-8402816</t>
  </si>
  <si>
    <t>AV PASTOR OROPEZA MANZANA 3 CASA NRO 8 URB FUNDACION MENDOZA</t>
  </si>
  <si>
    <t>00879</t>
  </si>
  <si>
    <t>INSAFARMA, C.A</t>
  </si>
  <si>
    <t>J401655092</t>
  </si>
  <si>
    <t>0412-8356572/0412-1314308</t>
  </si>
  <si>
    <t>CALLE MARTINEZ CON CALLE MARCANO LOCAL NRO S/N SECTOR CENTRO DE PORLAMAR</t>
  </si>
  <si>
    <t>303775.55</t>
  </si>
  <si>
    <t>0424-4199104</t>
  </si>
  <si>
    <t>CALLE 5 DE JULIO LOCAL NRO S/N NUMERO SECTOR EL TAMARINDO</t>
  </si>
  <si>
    <t>00882</t>
  </si>
  <si>
    <t>FARMACIA SAN RAFAEL, F.P (CUMANA)</t>
  </si>
  <si>
    <t>V029975295</t>
  </si>
  <si>
    <t>0414-0902855</t>
  </si>
  <si>
    <t>AV. GRAN MARISCAL C.C LA PAZ, NIVEL P.B, LOCAL NRO 4, SECTOR EL HOSPITAL - A 50 METROS DEL SEBIN CUMANA SUCRE</t>
  </si>
  <si>
    <t>157658.17</t>
  </si>
  <si>
    <t>0414-8439992</t>
  </si>
  <si>
    <t>CALLE VENEZUELA CASA S/N SECTOR CENTRO ZONA EL MERCADO</t>
  </si>
  <si>
    <t>00884</t>
  </si>
  <si>
    <t>FARMACIA SUR DE ARAGUA 2022, C.A.</t>
  </si>
  <si>
    <t>12/08/2025</t>
  </si>
  <si>
    <t>J502477489</t>
  </si>
  <si>
    <t>SAN SEBASTIAN EDO ARAGUA</t>
  </si>
  <si>
    <t>0416-3206448</t>
  </si>
  <si>
    <t>8685</t>
  </si>
  <si>
    <t>SAN SEBASTIAN - ARAGUA</t>
  </si>
  <si>
    <t>CALLE RIVAS ENTRE CALLE MARIÑO Y CALLE SUCRE LOCAL NRO 2 SECTOR CENTRO SAN SEBASTIAN ARAGUA</t>
  </si>
  <si>
    <t>0424-2392281</t>
  </si>
  <si>
    <t>AV BERMUDEZ CC GINA NIVEL PB LOCAL C-5, C-6, C-7 SECTOR CENTRO</t>
  </si>
  <si>
    <t>00886</t>
  </si>
  <si>
    <t>FARMACIA MULTIAHORRO BARCELONA, C.A</t>
  </si>
  <si>
    <t>J503814489</t>
  </si>
  <si>
    <t>0424-8979906</t>
  </si>
  <si>
    <t>AV. NICOLAS ROLANDO CON AV 5 DE JULIO. FRENTE A LA FUENTE LUMINOSA Y CALLE MATURIN EDIF SAN JORGUE PISO PB LOCAL PBSECTOR LA CHICA</t>
  </si>
  <si>
    <t>1514396.80</t>
  </si>
  <si>
    <t>00887</t>
  </si>
  <si>
    <t>FARMA HOGAR CENTER, C.A</t>
  </si>
  <si>
    <t>J500519451</t>
  </si>
  <si>
    <t>0412-3822808 / 0414-8863949</t>
  </si>
  <si>
    <t>AV LIBERTADOR BARRIO EL PARAISO PISO 1 LOCAL SIGLAS 8C, UBICADO EN LA TORRE C BARRIO EL PARAISO</t>
  </si>
  <si>
    <t>0414-7723736</t>
  </si>
  <si>
    <t>AV BOLIVAR CASA NRO 78 SECTOR CENTRO</t>
  </si>
  <si>
    <t>00889</t>
  </si>
  <si>
    <t>MATRIZ FARMA CLINICA, C.A</t>
  </si>
  <si>
    <t>J303507212</t>
  </si>
  <si>
    <t>00890</t>
  </si>
  <si>
    <t>FARMACIA FARMA CLINICA, C.A. (SUCURSAL)</t>
  </si>
  <si>
    <t>FARMACIA FARMA CLINICA, C.A.</t>
  </si>
  <si>
    <t>04147734789</t>
  </si>
  <si>
    <t>CTRA CUMANA-CUMANACOA EDIF CLINICA ORIENTE PISO P.B LOCAL S/N SECTOR CRUZ DE LA UNION CUMANA SUCRE</t>
  </si>
  <si>
    <t>1679960.56</t>
  </si>
  <si>
    <t>AV 17 DE DICIEMBRE CC POLICLINICA SANTA ANA NIVEL PB LOCAL 9 SECTOR AV 17 DE DICIEMBRE MUNIC. HERES</t>
  </si>
  <si>
    <t>AV 17 DE DICIEMBRE CRUCE CON CALLE MADRID, LOCAL Nª 29 SECTOR NEGRO PRIMERO PARROQUIA CATEDRAL</t>
  </si>
  <si>
    <t>00893</t>
  </si>
  <si>
    <t>HOUSE PHARMACY C.A</t>
  </si>
  <si>
    <t>J501592276</t>
  </si>
  <si>
    <t>+58 416-6819313</t>
  </si>
  <si>
    <t>CALLE LAS CAMELIAS LOCAL LOCAL NRO 109 SECTOR PARAISO I EL TIGRE ANZOATEGUI</t>
  </si>
  <si>
    <t>18587.04</t>
  </si>
  <si>
    <t>CALLE DOCTOR JOSE MARIA VARGAS EDIF IMEVCA PISO PB LOCAL S/N SECTOR JUANICO MATURIN MONAGAS</t>
  </si>
  <si>
    <t>00896</t>
  </si>
  <si>
    <t>FARMACIA NUESTRA SEÑORA DE LA SOLEDAD C A</t>
  </si>
  <si>
    <t>J301930797</t>
  </si>
  <si>
    <t>0414-7758223</t>
  </si>
  <si>
    <t>AV GUZMAN BLANCO C/C CALLE MARIÑO LOCAL NRO S/N SECTOR LA PEÑITA SOLEDAD ESTADO ANZOATEGUI</t>
  </si>
  <si>
    <t>56472.48</t>
  </si>
  <si>
    <t>00897</t>
  </si>
  <si>
    <t>LUPITA PHARMA, C.A</t>
  </si>
  <si>
    <t>J501889996</t>
  </si>
  <si>
    <t>0412-1198797</t>
  </si>
  <si>
    <t>CALLE DEMOCRACIA CRUCE CON CALLE CEMENTERIO LOCAL NRO 120 SECTOR CASCO CENTRAL PUERTO LA CRUZ. ANZOATEGUI</t>
  </si>
  <si>
    <t>33880.95</t>
  </si>
  <si>
    <t>00898</t>
  </si>
  <si>
    <t>INVERSIONES FARMA GUAYANA C.A  (LAS CLARITAS)</t>
  </si>
  <si>
    <t>INVERSIONES FARMA GUAYANA C.A</t>
  </si>
  <si>
    <t>J500572590</t>
  </si>
  <si>
    <t>0426-3628209</t>
  </si>
  <si>
    <t>CALLE TRONCAL 10 CASA SN LAS CLARITAS KM 85 LAS CLARITAS BOLIVAR</t>
  </si>
  <si>
    <t>120435.90</t>
  </si>
  <si>
    <t>00899</t>
  </si>
  <si>
    <t>FARMACIA FARMA DORADA, C.A</t>
  </si>
  <si>
    <t>J295171676</t>
  </si>
  <si>
    <t>0424-9715452</t>
  </si>
  <si>
    <t>CALLE BOLIVAR LOCAL S/N SECTOR LAS CLARITAS, ,MCPIO SIFONTES</t>
  </si>
  <si>
    <t>607761.09</t>
  </si>
  <si>
    <t>00900</t>
  </si>
  <si>
    <t>FARMACIA EL SOL,  C.A</t>
  </si>
  <si>
    <t>J080237064</t>
  </si>
  <si>
    <t>0424-8618251</t>
  </si>
  <si>
    <t>AV. FERNANDEZ PADILLA CC RICOBONO NIVEL PB LOCAL 11-B Y 12-B SECTOR VISTA AL SOL SAN JOSE DE GUANIPA EL TIGRITO</t>
  </si>
  <si>
    <t>00901</t>
  </si>
  <si>
    <t>GREENFARMA, C.A</t>
  </si>
  <si>
    <t>J500652178</t>
  </si>
  <si>
    <t>0424-8050487</t>
  </si>
  <si>
    <t>AV 1 CASA NRO 46 URB BOYACA III SECTOR I BARCELONA  ANZOATEGUI</t>
  </si>
  <si>
    <t>00902</t>
  </si>
  <si>
    <t>UNIFARMACIA2015 2, C.A. (EL PALMAR)</t>
  </si>
  <si>
    <t>UNIFARMACIA2015 2, C.A.</t>
  </si>
  <si>
    <t>J501067309</t>
  </si>
  <si>
    <t>EL PALMAR EDO BOLIVAR</t>
  </si>
  <si>
    <t>8616</t>
  </si>
  <si>
    <t>EL PALMAR</t>
  </si>
  <si>
    <t>CALLE BOLIVAR CON CALLE SANTA BARBARA LOCAL NRO 7 SECTOR CENTRO EL PALMAR BOLIVAR</t>
  </si>
  <si>
    <t>1563123.45</t>
  </si>
  <si>
    <t>0424-8063836/0412-1951238/04</t>
  </si>
  <si>
    <t>AV BOLIVAR CON ALDONZA MANRRIQUE CC Y EMPRESARIAL AB NIVEL LANTA BAJA NIVEL PB LOCAL 1 I URB PLAYA EL ANGEL PAMPATAR NUEVA ESPARTA</t>
  </si>
  <si>
    <t>0412-1147408</t>
  </si>
  <si>
    <t>AV FRANCISCO DE MIRANDA CON CALLE 21 EDIF SANTA CRUZ PISO 1 LOCAL 1 Y 2 SECTOR PUEBLO NUEVO NORTE</t>
  </si>
  <si>
    <t>CTRA DE LA COSTA CC ANA NIVEL B LOCAL 02 SECTOR EL TEJAR</t>
  </si>
  <si>
    <t>00906</t>
  </si>
  <si>
    <t>FARMA DESCUENTOS-FARMACIA SANTA RITA, C.A.</t>
  </si>
  <si>
    <t>J305318034</t>
  </si>
  <si>
    <t>LA ASUNCION EDO NUEVA ESPART</t>
  </si>
  <si>
    <t>0414-7976214</t>
  </si>
  <si>
    <t>27</t>
  </si>
  <si>
    <t>TELEMARKETING NEYKARIN</t>
  </si>
  <si>
    <t>CALLE GIRARDOT CASA S/N SECTOR COCHEIMA</t>
  </si>
  <si>
    <t>00907</t>
  </si>
  <si>
    <t>JOSE RAFAEL CHACON FIGUEROA</t>
  </si>
  <si>
    <t>V19446719</t>
  </si>
  <si>
    <t>0412-8220614</t>
  </si>
  <si>
    <t>LOS GUARITOS</t>
  </si>
  <si>
    <t>1207.82</t>
  </si>
  <si>
    <t>00908</t>
  </si>
  <si>
    <t>FARMAPLAZA PLC, CA</t>
  </si>
  <si>
    <t>J413221837</t>
  </si>
  <si>
    <t>0414 1989356</t>
  </si>
  <si>
    <t>EDIFICIO ADONIS Nº 120-B, ENTRE CALLE BOLIVAR Y SUCRE, PUERTO LA CRUZ ANZOATEGUI</t>
  </si>
  <si>
    <t>71854.77</t>
  </si>
  <si>
    <t>00909</t>
  </si>
  <si>
    <t>FARMACIA CHICA LINDA, C.A.</t>
  </si>
  <si>
    <t>J307573597</t>
  </si>
  <si>
    <t>0426-7906247</t>
  </si>
  <si>
    <t>CALLE PAEZ,FRENTE COLEGIO ANTONIO DE BERRIOS, C.C CHICA LINDA, LOCAL 3, CENTRO DE SAN FELIX PARROQUIA SIMON BOLIVAR</t>
  </si>
  <si>
    <t>120378.74</t>
  </si>
  <si>
    <t>00910</t>
  </si>
  <si>
    <t>FARMA ZAKY, C.A.</t>
  </si>
  <si>
    <t>J413101521</t>
  </si>
  <si>
    <t>04248295136</t>
  </si>
  <si>
    <t>AV CASANOVA CC ROSA MISTICA NIVEL PB LOCAL 18, LA FLORESTA SECTOR MATURIN</t>
  </si>
  <si>
    <t>00911</t>
  </si>
  <si>
    <t>FARMACIA LA FE CENTRAL, C.A</t>
  </si>
  <si>
    <t>J501004293</t>
  </si>
  <si>
    <t>0416-3168467</t>
  </si>
  <si>
    <t>CALLE PRINCIPAL LOCAL S/N SECTOR SANTO DOMINGO PARROQUIA SAN ISIDRO</t>
  </si>
  <si>
    <t>127415.67</t>
  </si>
  <si>
    <t>00912</t>
  </si>
  <si>
    <t>FARMACIA EL SOL DE ORIENTE C.A.</t>
  </si>
  <si>
    <t>J412584529</t>
  </si>
  <si>
    <t>0412-1096942</t>
  </si>
  <si>
    <t>CALLE PRINCIPAL LOCAL NRO 6 SECTOR 17 DE DICIEMBRE I EL TIGRE ANZOATEGUI</t>
  </si>
  <si>
    <t>00913</t>
  </si>
  <si>
    <t>FARMACIA SAN RAMON, C.A.</t>
  </si>
  <si>
    <t>J300296822</t>
  </si>
  <si>
    <t>0424-8387378</t>
  </si>
  <si>
    <t>CALLE BLANCO FOMBONA CRUCE CON CALLE RENDON, C.C JESÚS CENTER NIVEL 1 LOCAL NO.1 SECTOR CENTRO</t>
  </si>
  <si>
    <t>36368.23</t>
  </si>
  <si>
    <t>0424-8587997</t>
  </si>
  <si>
    <t>CALLE BOLIVAR EDIF ALSA PISO 02 Y 03 LOCAL 02 Y 03 SECTOR HOSPITAL</t>
  </si>
  <si>
    <t>0424-8206494</t>
  </si>
  <si>
    <t>CALLE EN LA INTERSECCIÓN DE LA CALLE SUCRE CON OTRORA AV. INTERCOMUNAL ANDRÉS BELLO, CC MONAGAS NIVEL 0 LOCAL 1 Y 2 SECTOR BARRIO SUCRE</t>
  </si>
  <si>
    <t>00916</t>
  </si>
  <si>
    <t>FARMACIA GALEANA II, COMPAÑIA ANONIMA</t>
  </si>
  <si>
    <t>J294275664</t>
  </si>
  <si>
    <t>0424-9508716/0414-8654890</t>
  </si>
  <si>
    <t>CALLE S/N, CC LA CHURUATA, NIVEL PB, LOCAL 16 SECTOR ALTAVISTA SUR</t>
  </si>
  <si>
    <t>127662.89</t>
  </si>
  <si>
    <t>CALLE LIBERTAD LOCAL PLANTA BAJA NRO 1 SECTOR CASCO CENTRAL, EDIFICIO CENTRO PORTEÑO</t>
  </si>
  <si>
    <t>INVERSIONES LA MAXIMA 3000, CA</t>
  </si>
  <si>
    <t>J401449280</t>
  </si>
  <si>
    <t>CATIA</t>
  </si>
  <si>
    <t>58 412-9937385 / 0412-522189</t>
  </si>
  <si>
    <t>8617</t>
  </si>
  <si>
    <t>10</t>
  </si>
  <si>
    <t>LAURA ALFARO</t>
  </si>
  <si>
    <t>AV. QUINRA ENTRE COLOMBIA Y ATLANTICO, ZONA PEREZ BONALDE CATIA, LOCAL BIG FARMA. LIBERTADOR, CARACAS DISTRITO CAPITAL</t>
  </si>
  <si>
    <t>00919</t>
  </si>
  <si>
    <t>EXPENDIO DE MEDICINAS JR, C.A</t>
  </si>
  <si>
    <t>J503756942</t>
  </si>
  <si>
    <t>0412-8358328</t>
  </si>
  <si>
    <t>CALLE BOLIVAR LOCAL S/N SECTOR CASCO HISTORICO PARROQUIA CAPITAL SUCRE MUNICIPIO MARIPA</t>
  </si>
  <si>
    <t>0.95</t>
  </si>
  <si>
    <t>+58 412-8607706</t>
  </si>
  <si>
    <t>AVENIDA BERMUDEZ CENTRO COMERCIAL GINA, NIVEL PB, LOCAL K-15 SECTOR EL CENTRO</t>
  </si>
  <si>
    <t>8618</t>
  </si>
  <si>
    <t>GUANAPE</t>
  </si>
  <si>
    <t>CALLE PRINCIPAL CASA NRO S/N SECTOR CASCO CENTRAL VALLE DE GUANAPE</t>
  </si>
  <si>
    <t>00922</t>
  </si>
  <si>
    <t>FARMACIA MERUEM 08,C.A (MARGARITA)</t>
  </si>
  <si>
    <t>FARMACIA MERUEM 08,C.A</t>
  </si>
  <si>
    <t>12/09/2025</t>
  </si>
  <si>
    <t>0412-2043927 /</t>
  </si>
  <si>
    <t>CALLE NARVAEZ, ENTRE CEDEÑO Y MARCANO, LOCAL NRO L-1, SECTOR TACHIRA PORLAMAR EDO NUEVA ESPARTA</t>
  </si>
  <si>
    <t>63065.43</t>
  </si>
  <si>
    <t>00923</t>
  </si>
  <si>
    <t>FARMACIA 292 FARMA, C.A</t>
  </si>
  <si>
    <t>J500591578</t>
  </si>
  <si>
    <t>CALLE MONAGAS LOCAL NRO 65-1 LOCAL 65-1 SECTOR CENTRO</t>
  </si>
  <si>
    <t>134635.22</t>
  </si>
  <si>
    <t>00924</t>
  </si>
  <si>
    <t>FARMACIA ALBECAR II, CA</t>
  </si>
  <si>
    <t>28/09/2025</t>
  </si>
  <si>
    <t>J308784478</t>
  </si>
  <si>
    <t>AV. PPAL DE PALO VERDE EDF. TOCUYO PB LOCAL 1 MUNICIPIO SUCRE; EDO MIRANDA. ESTADO MIRANDA. MUNICIPIO SUCRE. PARROQUIA PETARE. CARACAS CARACAS</t>
  </si>
  <si>
    <t>84712.19</t>
  </si>
  <si>
    <t>04148163965</t>
  </si>
  <si>
    <t>SECTOR VISTA HERMOSA CALE NRO 8 CRUCE CON CALLE NRO 14</t>
  </si>
  <si>
    <t>00926</t>
  </si>
  <si>
    <t>PLUSFARMA, C.A.</t>
  </si>
  <si>
    <t>J504373680</t>
  </si>
  <si>
    <t>PARAGUACHI EDO NUEVA ESPARTA</t>
  </si>
  <si>
    <t>8619</t>
  </si>
  <si>
    <t>PARAGUACHI</t>
  </si>
  <si>
    <t>AV 31 DE JULIO LOCAL NRO 32 SECTOR EL SALADO PLAZA PARAGUACHI</t>
  </si>
  <si>
    <t>417666.39</t>
  </si>
  <si>
    <t>00927</t>
  </si>
  <si>
    <t>(MATRIZ) FARMACIA MAZIAD, C.A</t>
  </si>
  <si>
    <t>00928</t>
  </si>
  <si>
    <t>FARMACIA ARAYA</t>
  </si>
  <si>
    <t>V099820787</t>
  </si>
  <si>
    <t>ARAYA EDO SUCRE</t>
  </si>
  <si>
    <t>04147909480</t>
  </si>
  <si>
    <t>8620</t>
  </si>
  <si>
    <t>ARAYA</t>
  </si>
  <si>
    <t>CALLE RIVERO LOCAL NRO S/N SECTOR CENTRO - ARAYA</t>
  </si>
  <si>
    <t>30.29</t>
  </si>
  <si>
    <t>00929</t>
  </si>
  <si>
    <t>FARMACIA NOVO PHARMA EXPRESS, C.A</t>
  </si>
  <si>
    <t>J500544120</t>
  </si>
  <si>
    <t>0414-782-43-63</t>
  </si>
  <si>
    <t>CALLE SAN RAFAEL CASA NRO 1, URB. PLAYA GRANDE CARUPANO MUNICIPIO BERMUDEZ</t>
  </si>
  <si>
    <t>35728.39</t>
  </si>
  <si>
    <t>0424-4141351</t>
  </si>
  <si>
    <t>AV 110-A (CONSTITUCION) LOCAL NRO 56-37 BARRIO LOS NARANJOS</t>
  </si>
  <si>
    <t>00931</t>
  </si>
  <si>
    <t>ASOCIACION COOPERATIVA DE SERVICIOS MULTIPLES ARAYA, R.L. (FARMACIA VIRGEN DE LAS AGUAS SANTAS)</t>
  </si>
  <si>
    <t>ASOCIACION COOPERATIVA DE SERVICIOS MULTIPLES ARAYA, R.L.</t>
  </si>
  <si>
    <t>J080178840</t>
  </si>
  <si>
    <t>0412-4641541</t>
  </si>
  <si>
    <t>ARAYA ESTADO SUCRE CALLE PRINCIPAL EDIFICIO COOPERATIVA ARAYA S/N ARAYA SUCRE</t>
  </si>
  <si>
    <t>188699.16</t>
  </si>
  <si>
    <t>00932</t>
  </si>
  <si>
    <t>EXPENDIO DE MEDICINAS AMARILYS LOPEZ</t>
  </si>
  <si>
    <t>V128889023</t>
  </si>
  <si>
    <t>0412-0810151</t>
  </si>
  <si>
    <t>CALLE LAS DELICIAS CASA S/N CASERIO GUACA PLAYA GRANDE</t>
  </si>
  <si>
    <t>39672.54</t>
  </si>
  <si>
    <t>0412-1382716</t>
  </si>
  <si>
    <t>8669</t>
  </si>
  <si>
    <t>TACUATO - FALCON</t>
  </si>
  <si>
    <t>CALLE RAMON ANTONIO MEDINA CON CALLE SAN JOSE LOCAL NRO SN SECTOR CENTRO TACUATO FALCON</t>
  </si>
  <si>
    <t>00934</t>
  </si>
  <si>
    <t>FARMACIA CBL, C.A</t>
  </si>
  <si>
    <t>J500258844</t>
  </si>
  <si>
    <t>0424-9507026</t>
  </si>
  <si>
    <t>AV JESUS SOTO CON CALLE EL CAURA NRO 121 CC TEPUY NIVEL P/B LOCAL 6 SECTOR AV JESUS SOTO PARROQUIA CATEDRAL</t>
  </si>
  <si>
    <t>0414-2505559</t>
  </si>
  <si>
    <t>AV FRANCISCO DE MIRANDA FRENTE A LA PASTELERÍA CHANTILY LOCAL 62-B SECTOR PUEBLO NUEVO SUR EL TIGRE ANZOATEGUI</t>
  </si>
  <si>
    <t>AVENIDA 2 ENTRE CALLES 2 Y 1, MONTALBAN 1, CENTRO COMERCIAL USLAR, PISO 2, LOCAL 5, URBANIZACION MONTALBAN, MUNICIPIO BOLIVARIANO DE LIBERTADOR</t>
  </si>
  <si>
    <t>AV. PASEO MENECES C/C CRUZ VERDE LOCAL S/N SECTOR PASEO MENESES PARROQUIA CATEDRAL MUNICIPIO HERES</t>
  </si>
  <si>
    <t>00938</t>
  </si>
  <si>
    <t>FARMACIA BOLIVAR, C.A.</t>
  </si>
  <si>
    <t>J000295662</t>
  </si>
  <si>
    <t>0424-9395447</t>
  </si>
  <si>
    <t>CR 6 EDIF SAN SIMON PISO P.B LOCAL 1 SECTOR CENTRO MATURIN ESTADO MONAGAS</t>
  </si>
  <si>
    <t>62408.34</t>
  </si>
  <si>
    <t>00939</t>
  </si>
  <si>
    <t>FARMACIA LA OFRENDA JN, C.A</t>
  </si>
  <si>
    <t>J501557934</t>
  </si>
  <si>
    <t>0424-4571654</t>
  </si>
  <si>
    <t>AV SESQUICENTENARIA CRUCE CON CALLE 1 LACAL NRO S/N SECTOR VILLA DE ROSA ISNES VALENCIA CARABOBO</t>
  </si>
  <si>
    <t>344268.98</t>
  </si>
  <si>
    <t>00940</t>
  </si>
  <si>
    <t>FARMACENTER CENTRO II, C.A.</t>
  </si>
  <si>
    <t>J412894714</t>
  </si>
  <si>
    <t>CALLE VARGAS CON AV BOLIVAR EDIF INVERCOSCA II PISO PB LOCAL 48 SECTOR CENTRO DE MARACAY</t>
  </si>
  <si>
    <t>00941</t>
  </si>
  <si>
    <t>FARMACIA LOS PROCERES C.A.</t>
  </si>
  <si>
    <t>J095135721</t>
  </si>
  <si>
    <t>AV GERMANIA CC LOS PROCERES EDIFICIO IPSFA NIVEL PB LOCAL PE Nº 037 SECTOR BARRIO AJURO MUNICIPIO HERES PARROQUIA CATEDRAL</t>
  </si>
  <si>
    <t>60101.55</t>
  </si>
  <si>
    <t>0424-8007110</t>
  </si>
  <si>
    <t>AV. 4 DE MAYO CON TUBORES SECTOR GENOVES CASA 23119 SECTOR GENOVES</t>
  </si>
  <si>
    <t>00943</t>
  </si>
  <si>
    <t>FARMACIA EDY MAR C A</t>
  </si>
  <si>
    <t>J301745892</t>
  </si>
  <si>
    <t>ALTAGRACIA DE ORITUCO</t>
  </si>
  <si>
    <t>8640</t>
  </si>
  <si>
    <t>AV ILUSTRES PROCERES LOCAL NRO S/N SECTOR EL CHALA ALTAGRACIA DE ORITUCO GUARICO</t>
  </si>
  <si>
    <t>285677.68</t>
  </si>
  <si>
    <t>00944</t>
  </si>
  <si>
    <t>FARMACIA RIO III 87, C.A</t>
  </si>
  <si>
    <t>J501586080</t>
  </si>
  <si>
    <t>06/09/2025</t>
  </si>
  <si>
    <t>CARACAS DTTO CAPITAL</t>
  </si>
  <si>
    <t>0414-3359515</t>
  </si>
  <si>
    <t>CTRA PRINCIPAL DEL JUNQUITO KM. 5, CASA N°5, URB. SUCRE PARROQUIA EL JUNQUITO, CARACAS DTTO CAPITAL</t>
  </si>
  <si>
    <t>AV NORTE ENTRE LAS ESQUINAS DE TIENDA HONDA A PUENTE TRINIDAD PARROQUIA ALTAGRACIA MUNICIPIO LIBERTADOR CARACAS DTTO CAPITAL</t>
  </si>
  <si>
    <t>00946</t>
  </si>
  <si>
    <t>FARMACIA SAN FRANCISCO DE ASIS,C.A</t>
  </si>
  <si>
    <t>J308863246</t>
  </si>
  <si>
    <t>SANTA MARIA EDO NUEVA ESPART</t>
  </si>
  <si>
    <t>0424-8724741</t>
  </si>
  <si>
    <t>8621</t>
  </si>
  <si>
    <t>SANTA MARIA - NVA ESPARTA</t>
  </si>
  <si>
    <t>CTRA NACIONAL VIA BOCA DE RIO CASA NRO S/N SECTOR SANTA MARIA EDO NUEVA ESPARTA</t>
  </si>
  <si>
    <t>597403.93</t>
  </si>
  <si>
    <t>0412-9007384</t>
  </si>
  <si>
    <t>AV LAS FERIAS, N° 66-85 LOCAL NRO 3 SECTOR SANTA ROSA, VALENCIA EDO CARABOBO</t>
  </si>
  <si>
    <t>00948</t>
  </si>
  <si>
    <t>TU FARMA TIERRA ADENTRO, C.A</t>
  </si>
  <si>
    <t>J504429767</t>
  </si>
  <si>
    <t>0426-6852195</t>
  </si>
  <si>
    <t>CALLE EL TUNEL LOCAL NRO 15 SECTOR TIERRA ADENTRO, PUERTO LA CRUZ EDO ANZOATEGUI</t>
  </si>
  <si>
    <t>212255.45</t>
  </si>
  <si>
    <t>00949</t>
  </si>
  <si>
    <t>FARMACIA COMPLETO C.A</t>
  </si>
  <si>
    <t>J503320982</t>
  </si>
  <si>
    <t>0426-3375940</t>
  </si>
  <si>
    <t>AV PRINCIPAL LOCAL NRO 60 SECTOR TRONCONAL III, BARCELONA EDO ANZOATEGUI</t>
  </si>
  <si>
    <t>04144083070</t>
  </si>
  <si>
    <t>AV CEDEÑO CC COVI NIVEL PB LOCAL 02 SECTOR LA PATORA, VALENCIA EDO CARABOBO</t>
  </si>
  <si>
    <t>0412-7027329</t>
  </si>
  <si>
    <t>AV ROTARIA EDIF SAN TOME PISO P/B LOCAL 2 URB VISTA HERMOSA, PARROQUIA VISTA HRMOSA, MUNICIPIO HERES CIUDAD BOLIVAR EDO BOLIVAR</t>
  </si>
  <si>
    <t>00952</t>
  </si>
  <si>
    <t>EXPENDIO DE MEDICINAS ANTONIO, C.A.</t>
  </si>
  <si>
    <t>J503218215</t>
  </si>
  <si>
    <t>04165852756</t>
  </si>
  <si>
    <t>AV MIRANDA LOCAL NRO 01 SECTOR CENTRO PARROQUIA BARCELONETA MUNICIPIO BOLIVARIANO ANGOSTURA LA PARAGUA BOLIVAR</t>
  </si>
  <si>
    <t>3071090.48</t>
  </si>
  <si>
    <t>00953</t>
  </si>
  <si>
    <t>JOSE ANGEL AGUILARTE CARRASCO</t>
  </si>
  <si>
    <t>V23898862</t>
  </si>
  <si>
    <t>0412-0363519</t>
  </si>
  <si>
    <t>510.68</t>
  </si>
  <si>
    <t>00954</t>
  </si>
  <si>
    <t>FARMAPAZ LAS COCUIZAS, C.A. (SUCURSAL 7 HOSPITAL)</t>
  </si>
  <si>
    <t>FARMAPAZ LAS COCUIZAS, C.A.</t>
  </si>
  <si>
    <t>J506048086</t>
  </si>
  <si>
    <t>0414-8302424 /  0412-8757018</t>
  </si>
  <si>
    <t>CR Nº 7 URBANIZACION LAS COCUIZAS LOCAL NRO 133 SECTOR LAS COCUIZAS MATURIN MONAGAS</t>
  </si>
  <si>
    <t>433377.66</t>
  </si>
  <si>
    <t>00955</t>
  </si>
  <si>
    <t>FARMAPAZ LAS COCUIZAS, C.A. (SUCURSAL 8 AV LUIS DEL VALLE)</t>
  </si>
  <si>
    <t>0414-8302424 /  0412-8757040</t>
  </si>
  <si>
    <t>42668.28</t>
  </si>
  <si>
    <t>00956</t>
  </si>
  <si>
    <t>FARMACIA LALA 07, C.A.</t>
  </si>
  <si>
    <t>J410519568</t>
  </si>
  <si>
    <t>04121903210</t>
  </si>
  <si>
    <t>CALLE CIRCUNVALACION CC PRONESUR NIVEL PB LOCAL 04 URB VISTA HERMOSA MUNICIPIO HERES CIUDAD BOLIVAR EDO BOLIVAR</t>
  </si>
  <si>
    <t>69897.09</t>
  </si>
  <si>
    <t>00957</t>
  </si>
  <si>
    <t>PATRICIA STEFANIA MIRELES MARTINEZ</t>
  </si>
  <si>
    <t>V22599018</t>
  </si>
  <si>
    <t>0424-9666466</t>
  </si>
  <si>
    <t>00958</t>
  </si>
  <si>
    <t>WILLEMER RAFAEL CUMANA BARCENAS</t>
  </si>
  <si>
    <t>V15632202</t>
  </si>
  <si>
    <t>00959</t>
  </si>
  <si>
    <t>FARMACIA HOSPITALARIA BIRUACA, C.A.</t>
  </si>
  <si>
    <t>J504484210</t>
  </si>
  <si>
    <t>BIRUACA EDO APURE</t>
  </si>
  <si>
    <t>0414-4787118</t>
  </si>
  <si>
    <t>8622</t>
  </si>
  <si>
    <t>BIRUACA</t>
  </si>
  <si>
    <t>CARRETERA NACIONAL ACHAGUAS Nº 02 SECTOR BOULEVARD ROBERTO CABELLO, MUNICIPIO BIRUACA EDO APURE</t>
  </si>
  <si>
    <t>00960</t>
  </si>
  <si>
    <t>FARMACIA YERUVIC, C.A</t>
  </si>
  <si>
    <t>J303956360</t>
  </si>
  <si>
    <t>CALLE SUCRE CON MIRANDA CASA NRO 25 SECTOR CENTRO ARAGUA DE MATURIN EDO MONAGAS</t>
  </si>
  <si>
    <t>47958.59</t>
  </si>
  <si>
    <t>00961</t>
  </si>
  <si>
    <t>FARMACIA JGH MAUX CA</t>
  </si>
  <si>
    <t>J504213179</t>
  </si>
  <si>
    <t>AV 5 DE JULIO LOCAL NRO 62 ZONA CASCO CENTRAL PUERTO LA CRUZ EDO ANZOATEGU</t>
  </si>
  <si>
    <t>142079.66</t>
  </si>
  <si>
    <t>00962</t>
  </si>
  <si>
    <t>FARMACIA CENTRAL A.J, C.A</t>
  </si>
  <si>
    <t>J502401806</t>
  </si>
  <si>
    <t>+573145823574</t>
  </si>
  <si>
    <t>CALLE PRINCIPAL LOCAL NRO S/N SECTOR EL DORADO EDO BOLIVAR</t>
  </si>
  <si>
    <t>00963</t>
  </si>
  <si>
    <t>FARMACIA FARMA ACTUAL LA REDOMA, C.A</t>
  </si>
  <si>
    <t>J410880619</t>
  </si>
  <si>
    <t>0414-8515679</t>
  </si>
  <si>
    <t>CALLE 08 LOCAL NRO. 1 SECTOR ANTIGUA ARTIGA MATURIN EDO MONAGAS</t>
  </si>
  <si>
    <t>00964</t>
  </si>
  <si>
    <t>FARMACIA INSUMOS EXPRESS, C.A (SUCURSAL 3 LIBERTADOR)</t>
  </si>
  <si>
    <t>0414-0960002</t>
  </si>
  <si>
    <t>AVENIDA LIBERTADOR P/B LOCAL N02. 
Estado Bolivar. Municipio Heres. Parroquia Catedral. Ciudad Bolivar</t>
  </si>
  <si>
    <t>162035.18</t>
  </si>
  <si>
    <t>00965</t>
  </si>
  <si>
    <t>"FARMACIA CARUPANO, C.A."</t>
  </si>
  <si>
    <t>J095143678</t>
  </si>
  <si>
    <t>0424-9502089/0286-9223780</t>
  </si>
  <si>
    <t>AVENIDA PRINCIPAL DE CASTILLITO LOCAL NRO S/N SECTOR CASTILLITO CIUDAD GUAYANA EDO BOLIVAR</t>
  </si>
  <si>
    <t>0424/3185844</t>
  </si>
  <si>
    <t>AVENIDA CASA DE ZINC, CRUCE CON CALLEJON F, SAN FERNANDO DE APURE EDO APURE</t>
  </si>
  <si>
    <t>00967</t>
  </si>
  <si>
    <t>FARMACIA LOS PRIMOS, C.A</t>
  </si>
  <si>
    <t>J500693559</t>
  </si>
  <si>
    <t>+584 24-9587959</t>
  </si>
  <si>
    <t>CALLE ELOY PALACIOS CRUCE CON BOYACA , CASA S/N , SECTOR CENTRO MATURIN EDO MONAGAS</t>
  </si>
  <si>
    <t>00968</t>
  </si>
  <si>
    <t>EXPENDIO DE MEDICINA NICOLAS TADEO,S.R.L</t>
  </si>
  <si>
    <t>J080321537</t>
  </si>
  <si>
    <t>0424-9069100</t>
  </si>
  <si>
    <t>AVENIDA PRINCIPAL DE LA PICA CON CALLE LA COSTA LOCAL NRO 110 MATURIN EDO MONAGAS</t>
  </si>
  <si>
    <t>133848.58</t>
  </si>
  <si>
    <t>00969</t>
  </si>
  <si>
    <t>FARMACIA NELLY, C.A.</t>
  </si>
  <si>
    <t>J500721978</t>
  </si>
  <si>
    <t>0412-4714572</t>
  </si>
  <si>
    <t>CALLE LOS RIELES SECTOR EL PERU CALLE PRINCIPAL LA FABRICA  EL CALLAO EDO BOLIVAR</t>
  </si>
  <si>
    <t>121441.09</t>
  </si>
  <si>
    <t>00970</t>
  </si>
  <si>
    <t>FARMACIA TEREMACA II, C.A.</t>
  </si>
  <si>
    <t>J312759372</t>
  </si>
  <si>
    <t>CAICARA DEL ORINOCO EDO BOLI</t>
  </si>
  <si>
    <t>8623</t>
  </si>
  <si>
    <t>CAICARA DEL ORINOCO</t>
  </si>
  <si>
    <t>AV CARABOBO C/C AV LIBERTADOR LOCAL S/N SECTOR CENTRO URBANO CAICARA DEL ORINOCO EDO BOLIVAR</t>
  </si>
  <si>
    <t>29075.64</t>
  </si>
  <si>
    <t>00971</t>
  </si>
  <si>
    <t>FARMA ADRIANKA L.P C.A</t>
  </si>
  <si>
    <t>J502731504</t>
  </si>
  <si>
    <t>0424-9130004</t>
  </si>
  <si>
    <t>CALLE GUZMAN BLANCO LOCAL NRO 82 SECTOR EL MERCADO CARIPE EDO MONAGAS</t>
  </si>
  <si>
    <t>1230382.68</t>
  </si>
  <si>
    <t>0412-0824195</t>
  </si>
  <si>
    <t>CALLE CARABOBO CC KAMILO CENTER NIVEL P/B LOCAL K 08 SECTOR ENTRE CALLE MARIÑO Y AV BERMUDEZ CUMANA EDO SUCRE</t>
  </si>
  <si>
    <t>00973</t>
  </si>
  <si>
    <t>FARMACIA PAEZ EL MERCADO CA  (SUCURSAL MARACAY)</t>
  </si>
  <si>
    <t>FARMACIA PAEZ EL MERCADO CA</t>
  </si>
  <si>
    <t>J308227072</t>
  </si>
  <si>
    <t>0424-5424695</t>
  </si>
  <si>
    <t>AV CRUZ PAREDES ENTRE AVENIDA GARQUERA Y AV ANDRES VARELA LOCAL COMERCIAL NRO 14-33 SECTOR CASCO CENTRAL BARINAS BARINAS</t>
  </si>
  <si>
    <t>00974</t>
  </si>
  <si>
    <t>ELVIRA DEL CARMEN BRACHO "FARMACIA FARMAELORZA, F.P</t>
  </si>
  <si>
    <t>V024755769</t>
  </si>
  <si>
    <t>0416-6203972 / 0416-6409052</t>
  </si>
  <si>
    <t>AVENIDA BOLIVAR CASA #07-32 SECTOR CENTRO ELORZA EDO APURE</t>
  </si>
  <si>
    <t>535699.90</t>
  </si>
  <si>
    <t>00975</t>
  </si>
  <si>
    <t>SUPER FARMA RV, CA</t>
  </si>
  <si>
    <t>25/10/2025</t>
  </si>
  <si>
    <t>J412578065</t>
  </si>
  <si>
    <t>0412-8617540</t>
  </si>
  <si>
    <t>AV. BICENTENARIO CC EL INDIO NIVEL PB LOCAL 02 SECTOR CENTRO, MATURIN ESTADO MONAGAS.</t>
  </si>
  <si>
    <t>00976</t>
  </si>
  <si>
    <t>SOLUFARMA PLAZA, C.A.</t>
  </si>
  <si>
    <t>J410755440</t>
  </si>
  <si>
    <t>0414-8319999</t>
  </si>
  <si>
    <t>AV BOLIVAR EDIF VIRGEN DEL VALLE PISO 1 LOCAL 134 A SECTOR CENTRO PUNTA DE MATA ESTADO MONAGAS</t>
  </si>
  <si>
    <t>00977</t>
  </si>
  <si>
    <t>FARMACIA SU SALUD C.A. (QUIRIQUIRE)</t>
  </si>
  <si>
    <t>FARMACIA SU SALUD C.A.</t>
  </si>
  <si>
    <t>0416-6060748 / 0416-5999431</t>
  </si>
  <si>
    <t>CALLE BOLIVAR CASA NRO 135 SECTOR QUIRIQUIRE, QUIRIQUIRE ESTADO MONAGAS</t>
  </si>
  <si>
    <t>39142.14</t>
  </si>
  <si>
    <t>00978</t>
  </si>
  <si>
    <t>FARMACIA FLINT, C.A  (SUCURSAL)</t>
  </si>
  <si>
    <t>FARMACIA FLINT, C.A</t>
  </si>
  <si>
    <t>J504467600</t>
  </si>
  <si>
    <t>CTRA EL TIGRE/CARIS SECTOR LAS CUATRO VIAS. 
Estado Anzoategui. Municipio Simón Rodríguez. Parroquia Edmundo Barrios 3/. El Tigre</t>
  </si>
  <si>
    <t>276383.76</t>
  </si>
  <si>
    <t>00979</t>
  </si>
  <si>
    <t>FARMACIA FARMA HOGAR 3000 C.A</t>
  </si>
  <si>
    <t>J402952392</t>
  </si>
  <si>
    <t>0424-9651309</t>
  </si>
  <si>
    <t>AV SUCRE LOCAL NRO 43 SECTOR LAS CAMPIÑAS PARROQUIA SABANITA MUNICIPIO HERES CIUDAD BOLIVAR BOLIVAR</t>
  </si>
  <si>
    <t>00980</t>
  </si>
  <si>
    <t>FARMACIA 24 DE MAYO, C.A</t>
  </si>
  <si>
    <t>J500450311</t>
  </si>
  <si>
    <t>0416-0349924</t>
  </si>
  <si>
    <t>CTRA TRONCAL 10 - KM 87 CASA NRO S/N SECTOR CERRO AMORETTY LAS CLARITAS BOLIVAR</t>
  </si>
  <si>
    <t>0.10</t>
  </si>
  <si>
    <t>00981</t>
  </si>
  <si>
    <t>FARMA TALIN,C.A.</t>
  </si>
  <si>
    <t>J501546690</t>
  </si>
  <si>
    <t>0424-9189510</t>
  </si>
  <si>
    <t>AV 3, MANZANA 12 LOCAL NRO 39 URB UNARE 2, SECTOR 2 CIUDAD GUAYANA BOLIVAR</t>
  </si>
  <si>
    <t>0424-8147088</t>
  </si>
  <si>
    <t>AV LA AUYAMA EDIF HOSPITAL CLÍNICAS DEL ESTE PISO 1 LOCAL CLÍNICAS DEL ESE SECTOR LA OTRA BANDA EL PILAR (LOS ROBLES) NUEVA ESPARTA</t>
  </si>
  <si>
    <t>04248084935</t>
  </si>
  <si>
    <t>AV FERNANDEZ PADILLA LOCAL NRO 02 SECTOR CENTRO CLARINES EDO ANZOATEGUI</t>
  </si>
  <si>
    <t>00984</t>
  </si>
  <si>
    <t>FARMA GUANTA, C.A</t>
  </si>
  <si>
    <t>J504701726</t>
  </si>
  <si>
    <t>0424-8917620</t>
  </si>
  <si>
    <t>CALLE REAL CASA NRO 10-12 SECTOR CASCO CENTRAL GUANTA ANZOATEGUI</t>
  </si>
  <si>
    <t>25865.90</t>
  </si>
  <si>
    <t>00985</t>
  </si>
  <si>
    <t>FARMAPAZ LAS COCUIZAS, C.A. (SUCURSAL 9 SAN PATRICIO)</t>
  </si>
  <si>
    <t>04249314445</t>
  </si>
  <si>
    <t>CR Nº7 URBANIZACION LAS COCUIZAS LOCAL NRO. 133 SECTOR LAS COCUIZAS MATURIN MONAGAS ZONA POSTAL 6201. 
Estado Monagas. Municipio Maturín. Parroquia Las Cocuiza</t>
  </si>
  <si>
    <t>78343.98</t>
  </si>
  <si>
    <t>00986</t>
  </si>
  <si>
    <t>FARMA ORINOCO, C.A (PUERTO ORDAZ)</t>
  </si>
  <si>
    <t>FARMA ORINOCO, C.A</t>
  </si>
  <si>
    <t>J504624373</t>
  </si>
  <si>
    <t>CALLE CHINA ENTRE CALLE MILLAN  Y CARRERA ROMA CC LA CHURUATA NIVEL PB LOCAL 08 URB VILLA ASIA CIUDAD GUAYANA PUERTO ORDAZ ESTADO BOLIVAR</t>
  </si>
  <si>
    <t>139353.08</t>
  </si>
  <si>
    <t>00987</t>
  </si>
  <si>
    <t>FARMA911, C.A</t>
  </si>
  <si>
    <t>J500657382</t>
  </si>
  <si>
    <t>04128620284</t>
  </si>
  <si>
    <t>CALLE SUCRE CASA NRO 355 ZONA AYACUCHO JUSEPIN EDO MONAGAS</t>
  </si>
  <si>
    <t>04140968241</t>
  </si>
  <si>
    <t>CALLE EL DORADO AL LADO DE MATERIALES PRIMAVEN LOCAL SIN NUMERO SECTOR CENTRO TUMEREMO</t>
  </si>
  <si>
    <t>AV LECUNA ESQUINA DE VELASQUEZ, PB NRO 102 APARTADO 2868 CARACAS EDO DISTRITO CAPITAL</t>
  </si>
  <si>
    <t>00990</t>
  </si>
  <si>
    <t>MATRIZ FARMACIA ADRIANKA</t>
  </si>
  <si>
    <t>CALLE GUZMAN BLANCO LOCAL NRO 82 SECTOR EL MERCADO CARIPE MONAGAS</t>
  </si>
  <si>
    <t>00991</t>
  </si>
  <si>
    <t>FARMACIA ADRIANKA L.P, C.A   "SUCRUSAL I"</t>
  </si>
  <si>
    <t>AV PRINCIPAL SAN AGUSTIN LOCAL S/N MUNICIPIO CARIPE EDO MONAGAS</t>
  </si>
  <si>
    <t>0416-6955692</t>
  </si>
  <si>
    <t>CALLE MARINA C.C ANDALUZ  NIVEL P/B LOCAL 1 Y 2  JUAN GRIEGO NUEVA ESPARTA</t>
  </si>
  <si>
    <t>00993</t>
  </si>
  <si>
    <t>FARMACIA LUZ 1 , C.A   (NVA ESPARTA)</t>
  </si>
  <si>
    <t>FARMACIA LUZ 1 , C.A</t>
  </si>
  <si>
    <t>J500758880</t>
  </si>
  <si>
    <t>CALLE EL SOL EDIF SANTA RITA PISO P/B SECTOR GUAIMARO JUAN GRIEGO NUEVA ESPARTA</t>
  </si>
  <si>
    <t>1530.54</t>
  </si>
  <si>
    <t>CR MANZANA NRO 4 PARCELA DE TERRENO NRO 272-04-06 UD -272 CASA TIPO AGURI NRO 6 URB URBANIZACION JARDIN LEVANTE CIUDAD GUAYANA BOLIVAR</t>
  </si>
  <si>
    <t>00995</t>
  </si>
  <si>
    <t>EXPENDIO DE MEDICAMENTOS LAS 2 PRINCESAS, C.A.</t>
  </si>
  <si>
    <t>J501533008</t>
  </si>
  <si>
    <t>04147625219</t>
  </si>
  <si>
    <t>CALLE ROSCIO CC FONSECA PEREIRA NIVEL P/B LOCAL 01 SECTOR CASCO CENTRAL SANTA ELENA DE UIREN</t>
  </si>
  <si>
    <t>04243650759</t>
  </si>
  <si>
    <t>AV MIRANDA CC . NIVEL 10 LOCAL PB ZONA SHOPPING BOULEVARD MARACAY ARAGUA</t>
  </si>
  <si>
    <t>04121175088</t>
  </si>
  <si>
    <t>CALLE 01 LOCAL NRO 15 URB CAMPECHE SECTOR 4 CUMANA EDO SUCRE</t>
  </si>
  <si>
    <t>00998</t>
  </si>
  <si>
    <t>FARMACIA PAGUEMENOS, C.A</t>
  </si>
  <si>
    <t>J500306474</t>
  </si>
  <si>
    <t>04248134517</t>
  </si>
  <si>
    <t>AV INTERCOMUNAL ANDRES BELLO HOY AV JORGE RODRIGUEZ LOCAL VISTAMA NRO 12 SECTOR LECHERIA</t>
  </si>
  <si>
    <t>04249424045</t>
  </si>
  <si>
    <t>AV GERMANIA EDIF PREVITE PISO P/B LOCAL 03 SECTOR GERMANIA PARROQUIA CATEDRAL CIUDAD BOLIVAR</t>
  </si>
  <si>
    <t>01000</t>
  </si>
  <si>
    <t>FARMACIA MUNDOFARMA MIKAEL, C.A</t>
  </si>
  <si>
    <t>J410485167</t>
  </si>
  <si>
    <t>04265825841</t>
  </si>
  <si>
    <t>CALLE RIVERO CON CALLE GIRARDOT Y CALLE LIBERTAD LOCAL NRO 52 RIO CARIBE EDO SUCRE</t>
  </si>
  <si>
    <t>01001</t>
  </si>
  <si>
    <t>FAMILY MARKET, C.A</t>
  </si>
  <si>
    <t>J412254928</t>
  </si>
  <si>
    <t>0412-0398000</t>
  </si>
  <si>
    <t>FISCAL ESQ AVENIDA ALDONZA MANRIQUE CON CALLE LA SARDINA LOCAL NRO S/N URB PLAYA EL ANGEL PAMPATAR NUEVA ESPARTA</t>
  </si>
  <si>
    <t>86050.49</t>
  </si>
  <si>
    <t>01002</t>
  </si>
  <si>
    <t>FARMACIA SAN PEDRO C.A</t>
  </si>
  <si>
    <t>J307132868</t>
  </si>
  <si>
    <t>FISCAL AV JESUS RAFAEL LEANDRO LOCAL LOCAL NRO 2 PB SECTOR JUNAGRIEGO, AL LADO DE LA PANADERIA MARGARITA BEACH JUAN GRIEGO NUEVA ESPARTA ZONA</t>
  </si>
  <si>
    <t>0424-8882200</t>
  </si>
  <si>
    <t>CALLE BOLIVAR CRUCE CON COLOMBIA CASA NRO 32 SECTOR CENTRO PARIAGUAN ANZOATEGUI</t>
  </si>
  <si>
    <t>MONTALBAN EDO CARABOBO</t>
  </si>
  <si>
    <t>0412-4316979</t>
  </si>
  <si>
    <t>8625</t>
  </si>
  <si>
    <t>MONTALBAN</t>
  </si>
  <si>
    <t>CALLE CARABOBO, ENTRE ANDRÉS BELLO Y BOLÍVAR. LOCAL N° XX, SECTOR CENTRO MONTALBAN. CARABOBO</t>
  </si>
  <si>
    <t>+55-9584198868</t>
  </si>
  <si>
    <t>AV ATLANTICO  CC PLAZA ATLANTICO MALL NIVEL FERIA LOCAL 25-26 SECTOR PUERTO ORDAZ CIUDAD GUAYANA BOLIVAR</t>
  </si>
  <si>
    <t>0414-3588013</t>
  </si>
  <si>
    <t>CC METROPOLIS SHOPPING CENTER NIVEL TIERRA LOCALES ST/8 Y ST/9. VALENCIA ESTADO CARABOBO</t>
  </si>
  <si>
    <t>01007</t>
  </si>
  <si>
    <t>FARMACIA VADE 2021, C.A.</t>
  </si>
  <si>
    <t>J501883505</t>
  </si>
  <si>
    <t>CAUCAGUA</t>
  </si>
  <si>
    <t>0414-2935805</t>
  </si>
  <si>
    <t>8627</t>
  </si>
  <si>
    <t>CALLE RIVAS DAVILA CC ALEXJO NIVEL PB LOCAL S/N SECTOR CASCO CENTRAL CAUCAGUA MIRANDA</t>
  </si>
  <si>
    <t>01008</t>
  </si>
  <si>
    <t>FARMACIA LA DRA MOYA C.A</t>
  </si>
  <si>
    <t>J501789061</t>
  </si>
  <si>
    <t>04149835824</t>
  </si>
  <si>
    <t>CALLE ZULIA CASA S/N URB SANTA ELENA SAN JOSE GUANIPA (EL TIGRITO) ANZOATEGUI</t>
  </si>
  <si>
    <t>287395.92</t>
  </si>
  <si>
    <t>01009</t>
  </si>
  <si>
    <t>FARMACIA AVANTE, C.A</t>
  </si>
  <si>
    <t>J501977666</t>
  </si>
  <si>
    <t>0412-0861825</t>
  </si>
  <si>
    <t>AV COMERCIO CRUCE CON CALLE  EL CALVARIO CC MANZANA NIVEL PB OF 33 SECTOR CALLE BOLIVAR VALLE DE GUANAPE ANZOATEGUI</t>
  </si>
  <si>
    <t>83871.09</t>
  </si>
  <si>
    <t>01010</t>
  </si>
  <si>
    <t>FARMACIA SAN VICENTE C.A</t>
  </si>
  <si>
    <t>J311296611</t>
  </si>
  <si>
    <t>0414-3958596</t>
  </si>
  <si>
    <t>CALLE FRANCISCO ESTEBAN GOMEZ CC EL PARQUE NIVEL PB LOCAL 13 URB LA ARBOLEDA PORLAMAR NUEVA ESPARTA</t>
  </si>
  <si>
    <t>497264.57</t>
  </si>
  <si>
    <t>TOCUYITO EDO CARABOBO</t>
  </si>
  <si>
    <t>0414-4210937</t>
  </si>
  <si>
    <t>8628</t>
  </si>
  <si>
    <t>TOCUYITO</t>
  </si>
  <si>
    <t>AV PRINCIPAL NUEVA VALENCIA C/C CALLE VENEZUELA LOCAL NRO 02 BARRIO FUNDACION CAP SECTOR 1 TOCUYITO ESTADO CARABOBO</t>
  </si>
  <si>
    <t>0412-9887820</t>
  </si>
  <si>
    <t>8629</t>
  </si>
  <si>
    <t>HIGUEROTE</t>
  </si>
  <si>
    <t>AV ANDRES ELOY BLANCO LOCAL NRO S/N ¡, SECTOR EL CENTRO MCPIO BRION HIGUEROTE ESTADO MIRANDA</t>
  </si>
  <si>
    <t>01014</t>
  </si>
  <si>
    <t>FARMACIA MARIA AUXILIADORA, C.A.</t>
  </si>
  <si>
    <t>J080045475</t>
  </si>
  <si>
    <t>0412-292-4128</t>
  </si>
  <si>
    <t>CALLE AZCUE EDIF MARIA AUXILIADORA PISO PB LOCAL 10 SECTOR CENTRO MATURIN MONAGAS</t>
  </si>
  <si>
    <t>01015</t>
  </si>
  <si>
    <t>MEDIHOME G.V., C.A.</t>
  </si>
  <si>
    <t>J404417893</t>
  </si>
  <si>
    <t>0424-7538987</t>
  </si>
  <si>
    <t>AV BOLÍVAR NORTE, ENTRE CALLES NAVAS ESPINOLA Y CALLE SALOM CC PASEO ATENEO 107-32 NIVEL PB LOCAL PB 01/02 SECTOR SAN JOSE VALENCIA CARABOBO</t>
  </si>
  <si>
    <t>36640.49</t>
  </si>
  <si>
    <t>J503895217</t>
  </si>
  <si>
    <t>CALLE RAMIREZ EDIF S/N, PISO P/B LOCAL NRO 12 SECTOR CENTRO DE SAN FELIX PARROQUIA DALLA COSTA MUNICIPIO CARONI CIUDAD GUAYANA ESADO BOLIVAR</t>
  </si>
  <si>
    <t>01017</t>
  </si>
  <si>
    <t>CLINICA GRAN SABANA, C.A</t>
  </si>
  <si>
    <t>J502254722</t>
  </si>
  <si>
    <t>CALLE URDANETA LOCAL NRO 165 SECTOR POBLACION SANTA ELENA PARROQUIA CAPITAL GRAN SABANA SANTA ELENA DE UAIREN</t>
  </si>
  <si>
    <t>01018</t>
  </si>
  <si>
    <t>FARMACIA EL NEGRO ANTONIO C.A.</t>
  </si>
  <si>
    <t>J313246573</t>
  </si>
  <si>
    <t>MAMPORAL EDO MIRANDA</t>
  </si>
  <si>
    <t>0424-2184820</t>
  </si>
  <si>
    <t>8631</t>
  </si>
  <si>
    <t>MAMPORAL</t>
  </si>
  <si>
    <t>CALLE REAL LOCAL NRO S/N SECTOR MAMPORAL MCPIO BUROZ MAMPORAL MIRANDA</t>
  </si>
  <si>
    <t>0412-3914596</t>
  </si>
  <si>
    <t>8632</t>
  </si>
  <si>
    <t>RIO CHICO</t>
  </si>
  <si>
    <t>CALLE VENEZUELA CON VIA A TACARIGUA DE LA LAGUNA, EDIF. EL PASO PISO PB  LOCALES 2 Y 3 ZONA RIO CHICO ESTADO MIRANDA</t>
  </si>
  <si>
    <t>01020</t>
  </si>
  <si>
    <t>FARMACIA VIDASALUD I, C.A.</t>
  </si>
  <si>
    <t>J503951613</t>
  </si>
  <si>
    <t>0412-2917678</t>
  </si>
  <si>
    <t>CALLE LIBERTAD, LOCAL N° 67-B, SECTOR CENTRO, CARUPANO ESTADO SUCRE</t>
  </si>
  <si>
    <t>88687.20</t>
  </si>
  <si>
    <t>01021</t>
  </si>
  <si>
    <t>FARMACIA MEDITOTAL C A "PUENTE REAL"</t>
  </si>
  <si>
    <t>0424-8823478</t>
  </si>
  <si>
    <t>AV COSTANERA EDIF MEDITOTAL WOW PISO PB LOCAL MEDITOTAL WOW SECTOR MAURICA BARCELONA ANZOATEGUI</t>
  </si>
  <si>
    <t>01022</t>
  </si>
  <si>
    <t>FARMACIA MEDITOTAL C A "CIUDAD REAL"</t>
  </si>
  <si>
    <t>0414-7695714</t>
  </si>
  <si>
    <t>AV AUTOPISTA JOSE ANTONIO ANZOATEGUI LOCAL FARMACIA MEDITOTAL NRO N/A SECTOR LA PONDEROSA BARCELONA ANZOATEGUI</t>
  </si>
  <si>
    <t>969107.81</t>
  </si>
  <si>
    <t>01023</t>
  </si>
  <si>
    <t>FARMACIA VISION CRISTIANA 2021 C.A</t>
  </si>
  <si>
    <t>J501176205</t>
  </si>
  <si>
    <t>TINAQUILLO</t>
  </si>
  <si>
    <t>8633</t>
  </si>
  <si>
    <t>30</t>
  </si>
  <si>
    <t>COJEDES</t>
  </si>
  <si>
    <t>AV MIRANDA Nº 17-41 LOCAL NRO 3L3 ZONA CENTR TINAQUILLO ESTADO COJEDES</t>
  </si>
  <si>
    <t>212479.11</t>
  </si>
  <si>
    <t>01024</t>
  </si>
  <si>
    <t>MAS QUE FARMACIA LAS FERIAS, C.A</t>
  </si>
  <si>
    <t>J501115656</t>
  </si>
  <si>
    <t>0412-7312019</t>
  </si>
  <si>
    <t>AV 100 (CONSTITUCION) NRO CIVICO 62-B-101 CASA NRO 62-B-101 URB POPULAR SAN AGUSTIN DEL SUR VALENCIA ESTADO CARABOBO</t>
  </si>
  <si>
    <t>17262.60</t>
  </si>
  <si>
    <t>0414-8209513  0414-3838578 0</t>
  </si>
  <si>
    <t>AV LA PAZ CC LOS TEJADOS NIVEL PB LOCAL 1 Y 2 SECTOR VISTA EL SOL SAN JOSE DE GUANIPA EL TIGRITO</t>
  </si>
  <si>
    <t>01026</t>
  </si>
  <si>
    <t>MATRIZ FARMA SALUD PLUS 1 C. A</t>
  </si>
  <si>
    <t>01027</t>
  </si>
  <si>
    <t>FARMA SALUD PLUS 1 C. A  "SUCURSAL 1"</t>
  </si>
  <si>
    <t>UD 113 BELLA VISTA CALLE CHARAIMA MANZANA S/N LOCAL 2427 SAN FELIX  ESTADO BOLIVAR</t>
  </si>
  <si>
    <t>177319.10</t>
  </si>
  <si>
    <t>01028</t>
  </si>
  <si>
    <t>FARMACIA NAZARENO 2000 SRL</t>
  </si>
  <si>
    <t>J306865802</t>
  </si>
  <si>
    <t>VALLE DE GUANAPE</t>
  </si>
  <si>
    <t>CALLE BOLIVAR CRUCE CON LAS DELICIAS CASA S/N SECTOR LAS PLACITAS VALLE DE GUANAPE</t>
  </si>
  <si>
    <t>76790.07</t>
  </si>
  <si>
    <t>01029</t>
  </si>
  <si>
    <t>FULGENCIO GERMAN TORREALBA RODRIGUEZ  "EXPENDIO DE MEDICINAS EL ROCIO, FP"</t>
  </si>
  <si>
    <t>V115298794</t>
  </si>
  <si>
    <t>MACAPO EDO COJEDES</t>
  </si>
  <si>
    <t>8634</t>
  </si>
  <si>
    <t>MACAPO - COJEDES</t>
  </si>
  <si>
    <t>AVENIDA BOLIVAR N.43,SECTOR EL CENTRO MACAPO,MUNICIPIO LIMA BLANCO DEL ESTADO COJEDES</t>
  </si>
  <si>
    <t>229391.49</t>
  </si>
  <si>
    <t>01030</t>
  </si>
  <si>
    <t>GONZALO EMMANUEL UZCATEGUI HERDE</t>
  </si>
  <si>
    <t>V17547803</t>
  </si>
  <si>
    <t>04120840322</t>
  </si>
  <si>
    <t>01031</t>
  </si>
  <si>
    <t>FARMACIA GRUPO LOPEZ CA</t>
  </si>
  <si>
    <t>06/08/2025</t>
  </si>
  <si>
    <t>J307389737</t>
  </si>
  <si>
    <t>04128857393</t>
  </si>
  <si>
    <t>CALLE BOLIVAR C/C CARABOBO CC CORP BANCA NIVEL PB LOCAL LOCAL # 8 SECTOR CENTRO MONTALBAN CARABOBO</t>
  </si>
  <si>
    <t>0414-8378166</t>
  </si>
  <si>
    <t>AV MERIDA LOCAL LA CUAIMA NRO 4-88-2 SECTOR PUEBLO NUEVO ANACO ANZOATEGUI</t>
  </si>
  <si>
    <t>0424-8562638</t>
  </si>
  <si>
    <t>CALLE MATASIET LOCAL 1-57 SECTOR LA PORTADA LA ASUNCION ESTADO NUEVA ESPARTA</t>
  </si>
  <si>
    <t>01034</t>
  </si>
  <si>
    <t>SERVIMEDIC CALZADILLA, C.A.</t>
  </si>
  <si>
    <t>J501604800</t>
  </si>
  <si>
    <t>CUPIRA EDO MIRANDA</t>
  </si>
  <si>
    <t>8635</t>
  </si>
  <si>
    <t>CUPIRA</t>
  </si>
  <si>
    <t>CALLE LAS FLORES DE CUPIRA, SECTOR CASCO HISTORICO CUPIRA ESTADO MIRANDA</t>
  </si>
  <si>
    <t>357043.88</t>
  </si>
  <si>
    <t>13/09/2025</t>
  </si>
  <si>
    <t>04142082274</t>
  </si>
  <si>
    <t>AV 3-A ANTIGUA CALLE COMERCIO LOCAL NRO 01 SECTOR EL CENTRO DE HIGUEROTE, MCPIO, BRION, HIGUEROTE ESTADO MIRANDA</t>
  </si>
  <si>
    <t>01036</t>
  </si>
  <si>
    <t>FARMACIA VIRGEN DEL VALLE II C.A.</t>
  </si>
  <si>
    <t>J294379168</t>
  </si>
  <si>
    <t>0294-5551675 / 0424-8539599</t>
  </si>
  <si>
    <t>CALLE SUCRE CASA NRO 78 CARIACO ESTADO SUCRE</t>
  </si>
  <si>
    <t>0414-7768991</t>
  </si>
  <si>
    <t>AV BOLIVAR LOCAL S/N SECTOR CASCO HISTORICO CUPIRA ESTADO MIRANDA</t>
  </si>
  <si>
    <t>01038</t>
  </si>
  <si>
    <t>FARMACIA ULTRA FARMA SOLIDARIA C.A.</t>
  </si>
  <si>
    <t>J309784412</t>
  </si>
  <si>
    <t>0424-2716294</t>
  </si>
  <si>
    <t>CALLE PPAL  CC CARACAS NIVEL PB LOCAL 09 URB MONTALBAN III CARACAS DISTRITO CAPITAL</t>
  </si>
  <si>
    <t>120129.07</t>
  </si>
  <si>
    <t>01039</t>
  </si>
  <si>
    <t>FARMACIA ZULOAGA C.A</t>
  </si>
  <si>
    <t>J000802610</t>
  </si>
  <si>
    <t>0414-3253202</t>
  </si>
  <si>
    <t>CALLE PROLONGACION ZULOAGA CASA NRO 25 URB LOS ROSALES CARACAS DISTRITO CAPITAL</t>
  </si>
  <si>
    <t>210723.96</t>
  </si>
  <si>
    <t>01040</t>
  </si>
  <si>
    <t>MATRIZ FARMACIA FARMATORRE NAGUANAGUA, C.A</t>
  </si>
  <si>
    <t>J400743907</t>
  </si>
  <si>
    <t>01041</t>
  </si>
  <si>
    <t>FARMACIA FARMATORRE NAGUANAGUA, C.A "PPAL"</t>
  </si>
  <si>
    <t>0241-8680051, ext. 111</t>
  </si>
  <si>
    <t>AV AVENIDA VALENCIA CC NORTE NIVEL PB LOCAL 1,2,3,4,5 SECTOR NAGUANAGUA NAGUANAGUA CARABOBO</t>
  </si>
  <si>
    <t>863826.17</t>
  </si>
  <si>
    <t>01042</t>
  </si>
  <si>
    <t>FARMACIA FARMATORRE NAGUANAGUA, C.A "AV BOLIVAR"</t>
  </si>
  <si>
    <t>0241-868005 / 0414-4194292</t>
  </si>
  <si>
    <t>1606048.30</t>
  </si>
  <si>
    <t>01043</t>
  </si>
  <si>
    <t>FARMACIA FARMATORRE NAGUANAGUA, C.A "SUCURSAL BIOMAÑONGO"</t>
  </si>
  <si>
    <t>NAGUANAGUA  EDO CARABOBO</t>
  </si>
  <si>
    <t>01044</t>
  </si>
  <si>
    <t>FARMACIA FARMATORRE NAGUANAGUA, C.A "SUCURSAL MAÑONGO"</t>
  </si>
  <si>
    <t>579547.42</t>
  </si>
  <si>
    <t>01046</t>
  </si>
  <si>
    <t>CASA PLENILUNIO NATURAL, C.A</t>
  </si>
  <si>
    <t>J501459444</t>
  </si>
  <si>
    <t>0416-1296756</t>
  </si>
  <si>
    <t>CALLE IKABARU EDIF QUINAID PISO PB LOCAL 2 SECTOR CASCO CENTRAL SANTA ELENE DE UAIREN ESTADO BOLIVAR</t>
  </si>
  <si>
    <t>01047</t>
  </si>
  <si>
    <t>(MATRIZ) FARMACIA M&amp;R FRONTERA, C.A.</t>
  </si>
  <si>
    <t>J413031434</t>
  </si>
  <si>
    <t>0424-7188208</t>
  </si>
  <si>
    <t>CTRA NACIONAL TRONCAL 10 LOCAL COLINAS DE LA LAGUNA PARROQUIA CAPITAL GRAN SABANA SANTA ELENA DE UAIREN ESTADO BOLIVAR</t>
  </si>
  <si>
    <t>01048</t>
  </si>
  <si>
    <t>EXPENDIO DE MEDICINA LOS SOLIDARIOS, C.A.</t>
  </si>
  <si>
    <t>J503910291</t>
  </si>
  <si>
    <t>+55 95 9143-2092</t>
  </si>
  <si>
    <t>CALLE ANDRES BELLO CASA NRO 14 URB EZEQUIEL ZAMORA PARROQUIA CAPITAL GRAN SABANA SANTA ELENA DE UAIREN  ESTADO BOLIVAR</t>
  </si>
  <si>
    <t>4175454.75</t>
  </si>
  <si>
    <t>01049</t>
  </si>
  <si>
    <t>FARMACIA LA TORRE, C.A.</t>
  </si>
  <si>
    <t>J304154291</t>
  </si>
  <si>
    <t>0412- 4193295</t>
  </si>
  <si>
    <t>CALLE COLOMBIA LOCAL NRO 99-11 NRO 99-11 SECTOR CATEDRAL VALENCIA CARABOBO</t>
  </si>
  <si>
    <t>684218.68</t>
  </si>
  <si>
    <t>01050</t>
  </si>
  <si>
    <t>EXPENDIO DE MEDICINAS FARMA EXPRESS, C.A.</t>
  </si>
  <si>
    <t>J501864616</t>
  </si>
  <si>
    <t>0426-7203229</t>
  </si>
  <si>
    <t>AVE MARISCAL SUCRE LOCAL S/N SECTOR CASCO CENTRAL SANTA ELENA DE UAIREN ESTADO BOLIVAR</t>
  </si>
  <si>
    <t>224440.29</t>
  </si>
  <si>
    <t>01051</t>
  </si>
  <si>
    <t>ALBA MARINA GONZALEZ LIMA "FARMACIA CRISTO DE LA SALUD GONZALEZ"</t>
  </si>
  <si>
    <t>V206847340</t>
  </si>
  <si>
    <t>EL CHAPARRO</t>
  </si>
  <si>
    <t>0414-9831781</t>
  </si>
  <si>
    <t>8636</t>
  </si>
  <si>
    <t>EL CHAPARRO - GUARICO</t>
  </si>
  <si>
    <t>CALLE INDEPENDENCIA LOCAN S/N SECTOR EL PARQUE EL CHAPARRO (CAPITAL) ESTADO ANZOATEGUI</t>
  </si>
  <si>
    <t>312518.40</t>
  </si>
  <si>
    <t>01052</t>
  </si>
  <si>
    <t>"FARMACIA Y COSMETICOS YESIMAR II COMPAÑIA ANONIMA"</t>
  </si>
  <si>
    <t>J306568557</t>
  </si>
  <si>
    <t>SANTA ELENE DE UAIREN</t>
  </si>
  <si>
    <t>+55 9591316696</t>
  </si>
  <si>
    <t>CALLE BOLIVAR CON URDANETA LOCAL NRO 04 SECTOR CASCO CENTRAL SANTA ELENA DE UAIREN  ESTADO BOLIVAR</t>
  </si>
  <si>
    <t>167034.66</t>
  </si>
  <si>
    <t>01053</t>
  </si>
  <si>
    <t>FARMACIA LA ENTRADA EL REMANSO, C.A.</t>
  </si>
  <si>
    <t>J504622192</t>
  </si>
  <si>
    <t>SAN DIEGO VALENCIA</t>
  </si>
  <si>
    <t>0424-4316921 / 0412-4746799</t>
  </si>
  <si>
    <t>8637</t>
  </si>
  <si>
    <t>SAN DIEGO</t>
  </si>
  <si>
    <t>AV N7I CC BRISAS DEL VALE NIVEL PB LOCAL 6-7 SECTOR MUNICIPIO SAN DIEGO VALENCIA CARABOBO</t>
  </si>
  <si>
    <t>850457.19</t>
  </si>
  <si>
    <t>01054</t>
  </si>
  <si>
    <t>FARMACIA LA AVENIDA C.A. "PRINCIPAL"</t>
  </si>
  <si>
    <t>J001408533</t>
  </si>
  <si>
    <t>SAN ANTONIO DE LOS ALTOS EDO</t>
  </si>
  <si>
    <t>0414-1034231</t>
  </si>
  <si>
    <t>8638</t>
  </si>
  <si>
    <t>SAN ANTONIO DE LOS ALTOS</t>
  </si>
  <si>
    <t>AV PERIMETRAL CC SAN ANTONIO NIVEL PB LOCAL E URBSAN ANTONIO DE LOS ALTOS SAN ANTONIO DE LOS ALTOS MIRANDA</t>
  </si>
  <si>
    <t>156068.33</t>
  </si>
  <si>
    <t>LOS TEQUES -  MIRANDA</t>
  </si>
  <si>
    <t>0414-9292086</t>
  </si>
  <si>
    <t>AV PERIMETRAL CC SAN ANTONIO NIVEL PB LOCAL E URB SAN ANTONIO DE LOS ALTOS SAN ANTONIO DE LOS ALTOS MIRANDA</t>
  </si>
  <si>
    <t>01056</t>
  </si>
  <si>
    <t>INVERSIONES BUENO 1268, C.A. "FARMACIA DAPRIX 1268"</t>
  </si>
  <si>
    <t>J501251118</t>
  </si>
  <si>
    <t>TACARIGUA DE MAMPORAL</t>
  </si>
  <si>
    <t>04142787708</t>
  </si>
  <si>
    <t>CALLE COMERCIO LOCAL NRO SN SECTOR CENTRO DE TACARIGUA MCPIO BRION TACARIGUA DE MAMPORAL MIRANDA</t>
  </si>
  <si>
    <t>26235.79</t>
  </si>
  <si>
    <t>01057</t>
  </si>
  <si>
    <t>EXPENDIO DE MEDICAMENTOS PEDIALIZ, C.A.</t>
  </si>
  <si>
    <t>J504834874</t>
  </si>
  <si>
    <t>0424-9083462</t>
  </si>
  <si>
    <t>AV MARISCAL SUCRE CASA NRO S/N SECTOR CASCO CENTRAL SANTA ELENA DE UAIREN ESTADO BOLIVAR</t>
  </si>
  <si>
    <t>187875.17</t>
  </si>
  <si>
    <t>01058</t>
  </si>
  <si>
    <t>FORTUNATO ZEIDEN GUTIERREZ  "FARMA - DESCUENTOS SANTA ANA"</t>
  </si>
  <si>
    <t>V121185918</t>
  </si>
  <si>
    <t>0414-1156139</t>
  </si>
  <si>
    <t>CALLE HURTADO ASCANIO C/C AYACUCHO LOCAL NRO 1 SECTOR HOSPITAL ALTAGRACIA DE ORITUCO GUARICO</t>
  </si>
  <si>
    <t>429086.90</t>
  </si>
  <si>
    <t>01059</t>
  </si>
  <si>
    <t>FARMACIA SANTA ANA 2 C.A.</t>
  </si>
  <si>
    <t>J404551476</t>
  </si>
  <si>
    <t>CALLE ILUSTRES PROCERES LOCAL NRO 1 SECTOR SALADILLO ALTAGRACIA DE ORITUCO GUARICO</t>
  </si>
  <si>
    <t>128203.40</t>
  </si>
  <si>
    <t>01060</t>
  </si>
  <si>
    <t>FARMACIA SAN BASILIO C.A.</t>
  </si>
  <si>
    <t>J501239924</t>
  </si>
  <si>
    <t>0424-8906859</t>
  </si>
  <si>
    <t>CALLE COLON LOCAL NRO S/N SECTOR EL CERRITO EL CHAPARRO EL CHAPARRO (CAPITAL) ANZOATEGUI</t>
  </si>
  <si>
    <t>137981.30</t>
  </si>
  <si>
    <t>01061</t>
  </si>
  <si>
    <t>FARMA SALUD PLUS 1 C. A "SUCURSAL 2 VILLA BAHIA"</t>
  </si>
  <si>
    <t>CALLE LA VECINDAD PROLONGACIÓN AVENIDA NORTE SUR 7 MANZANA 1 CIUDAD GUAYANA PARROQUIA UNARE MUNICIPIO CARONI ESTADO BOLIVAR</t>
  </si>
  <si>
    <t>151369.13</t>
  </si>
  <si>
    <t>01062</t>
  </si>
  <si>
    <t>FARMACIA MARKET CBL,C.A "SUCURSAL 1"</t>
  </si>
  <si>
    <t>AV CASANOVA CON PASEO MENESES LOCAL NRO S/N SECTOR CENTURION, PARROQUIA CATEDRAL MUNICIPIO ANGOSTURA. ESTADO BOLIVAR. ZONA POSTAL 8001</t>
  </si>
  <si>
    <t>313300.27</t>
  </si>
  <si>
    <t>0414-7948994</t>
  </si>
  <si>
    <t>CR CUARTA ENTRE CALLES TRECE Y CATORCE SUR LOCAL NRO S/N SECTOR PUEBLO NUEVO SUR EL TIGRE  ESTADO ANZOATEGUI</t>
  </si>
  <si>
    <t>01064</t>
  </si>
  <si>
    <t>FARMACIA VOLUNTAD DE DIOS (DORADO)</t>
  </si>
  <si>
    <t>V097545690</t>
  </si>
  <si>
    <t>78220.80</t>
  </si>
  <si>
    <t>01065</t>
  </si>
  <si>
    <t>FARMACIA FARMAOFERTAS, C.A  (SUCURSAL LIBERTADOR)</t>
  </si>
  <si>
    <t>70452.97</t>
  </si>
  <si>
    <t>01066</t>
  </si>
  <si>
    <t>FARMACIA FARMALLOVIZNA, C.A</t>
  </si>
  <si>
    <t>J504701033</t>
  </si>
  <si>
    <t>CALLE S/N PARCELA NRO 2-7-5, URBANIZACIÓN UNARE I UD 291. ESTADO BOLIVAR. MUNICIPIO CARONI. PARROQUIA UNARE. PUERTO ORDAZ (CIUDAD GUAYANA)</t>
  </si>
  <si>
    <t>436801.62</t>
  </si>
  <si>
    <t>01067</t>
  </si>
  <si>
    <t>FARMA DIABETICS, C.A.</t>
  </si>
  <si>
    <t>J501784299</t>
  </si>
  <si>
    <t>AV ANDRES BELLO ENTRE PRIMERA Y SEGUNDA TRANSVERSAL EDIF EVERI PISO PB LOCAL A URB LOS PALOS GRANDES CARACAS (CHACAO) MIRANDA ZONA POSTAL 1060. ESTADO MIRANDA.</t>
  </si>
  <si>
    <t>59527.33</t>
  </si>
  <si>
    <t>01068</t>
  </si>
  <si>
    <t>FARMACIA NAZARET CBO, C.A.</t>
  </si>
  <si>
    <t>J504709565</t>
  </si>
  <si>
    <t>AVENIDA ESPAÑA CRUCE CON AVENIDA PERIMETRAL LOCAL NRO S/N BARRIO CUYUNI SECTOR CIUDAD BOLIVAR. ESTADO BOLIVAR</t>
  </si>
  <si>
    <t>41123.29</t>
  </si>
  <si>
    <t>0412-5794339</t>
  </si>
  <si>
    <t>AV CASANOVA EDIF TORRE EUROCENTRO PISO 4 OF 4-3 URB BELLO MONTE CARACAS DISTRITO CAPITAL ZONA POSTAL 1050</t>
  </si>
  <si>
    <t>01070</t>
  </si>
  <si>
    <t>FARMACIA PLAZA BOLIVAR, C.A.</t>
  </si>
  <si>
    <t>J316455670</t>
  </si>
  <si>
    <t>ESQ EL CONDE EDIF LA PREVISORA PISO PB LOCAL 1 URB EL SILENCIO CARACAS DISTRITO CAPITAL ZONA POSTAL 1010</t>
  </si>
  <si>
    <t>181246.55</t>
  </si>
  <si>
    <t>01071</t>
  </si>
  <si>
    <t>FARMACIA INDUSTRIAL VALENCIA SUR C.A.</t>
  </si>
  <si>
    <t>J317272315</t>
  </si>
  <si>
    <t>AV HENRY FORD CC PASEO LAS INDUSTRIAS,2DA ETAPA NIVEL MEZZANINA LOCAL 118 SECTOR PASEO LAS INDUSTRIAS VALENCIA CARABOBO ZONA POSTAL 2003</t>
  </si>
  <si>
    <t>13387.03</t>
  </si>
  <si>
    <t>01072</t>
  </si>
  <si>
    <t>FARMACIA FARMASALUD 17 DE DICIEMBRE, C.A "SUCURSAL 2 AV ESPAÑA"</t>
  </si>
  <si>
    <t>AV ESPAÑA SECTOR EL MIRADOR. MUNICIPIO HERES. CIUDAD BOLIVAR. ESTADO BOLIVAR</t>
  </si>
  <si>
    <t>292777.55</t>
  </si>
  <si>
    <t>CALLE ELICE ENTRE AV. FRANCISCO DE MIRANDA Y AV. LIBERTADOR. EDIF. GELOMACA. PISO MEZZANINA. LOCAL MZZ. URB. CHACAO. CARACAS. ESTADO MIRANDA</t>
  </si>
  <si>
    <t>01074</t>
  </si>
  <si>
    <t>FARMACIA RALSU C.A.</t>
  </si>
  <si>
    <t>J294285694</t>
  </si>
  <si>
    <t>CALLE 3 EDIF LIBERTADOR PISO B OF E Y F. URB VISTA ALEGRE CARACAS. DISTRITO CAPITAL</t>
  </si>
  <si>
    <t>10861.16</t>
  </si>
  <si>
    <t>AV MARIÑO SUR LOCAL NRO 207 SECTOR SAN IGNACIO, MARACAY ESTADO ARAGUA.</t>
  </si>
  <si>
    <t>0412-5794339 /</t>
  </si>
  <si>
    <t>AV OESTE ENTRE LAS ESQ DE CONDE A PPAL EDIF LA PREVISORA PISO 4 OF 40 URB EL CONDE CARACAS DISTRITO CAPITAL</t>
  </si>
  <si>
    <t>AV FCO DE MIRANDA EDIF LA CALIFORNIA PISO PB LOCAL 10 URB LA CALIFORNIA NORTE CARACAS (PETARE) MIRANDA</t>
  </si>
  <si>
    <t>FISCAL AV CIRCUNVALACION DEL SOL EDIF CONSULTORIOS MEDICOS PISO PB LOCAL LC-04 URB SANTA PAULA CARACAS (EL CAFETAL) MIRANDA</t>
  </si>
  <si>
    <t>AV ROMULO GALLEGOS EDIF DEL ESTE TORRE F PISO PB LOCAL 1 URB SANTA EDUVIGIS CARACAS (PETARE) ESTADO MIRANDA</t>
  </si>
  <si>
    <t>01080</t>
  </si>
  <si>
    <t>FARMACIA JAHNRALE, C.A</t>
  </si>
  <si>
    <t>J403538280</t>
  </si>
  <si>
    <t>AV OESTE ENTRE LAS ESQUINAS DE CONDE A PPAL EDIF LA PREVISORA PISO 4 OF 40 ZONA LA CATEDRAL CARACAS DISTRITO CAPITAL</t>
  </si>
  <si>
    <t>10330.70</t>
  </si>
  <si>
    <t>01081</t>
  </si>
  <si>
    <t>FARMACIA DIEGO DE LOZADA 35, C.A.</t>
  </si>
  <si>
    <t>J403469440</t>
  </si>
  <si>
    <t>SANTA TERESA DEL TUY</t>
  </si>
  <si>
    <t>0412-0406563</t>
  </si>
  <si>
    <t>8642</t>
  </si>
  <si>
    <t>CALLE FALCON. EDIF JOSEFA. PISO PB. LOCAL 108. ZONA CENTRAL SANTA TERESA DEL TUY. ESTADO MIRANDA</t>
  </si>
  <si>
    <t>7824.24</t>
  </si>
  <si>
    <t>01082</t>
  </si>
  <si>
    <t>FARMACIA BEJUMA II C.A.</t>
  </si>
  <si>
    <t>J403104220</t>
  </si>
  <si>
    <t>0412-033369</t>
  </si>
  <si>
    <t>8643</t>
  </si>
  <si>
    <t>CALLE BOYACA ENTRE AV BOLIVAR Y SUCRE. LOCAL S/N. SECTOR SURTIDOR LA UNIÓN. ESTADO CARABOBO</t>
  </si>
  <si>
    <t>98783.30</t>
  </si>
  <si>
    <t>0414-6783238</t>
  </si>
  <si>
    <t>AV RONDON ENTRE FARRIAR Y BOYACA CASA NRO 97-16. SECTOR CENTRO DE VALENCIA. ESTADO CARABOBO</t>
  </si>
  <si>
    <t>01084</t>
  </si>
  <si>
    <t>FARMA HOME 24-7, C.A.</t>
  </si>
  <si>
    <t>J504857718</t>
  </si>
  <si>
    <t>04122360318</t>
  </si>
  <si>
    <t>CALLE H CON CALLE REAL CC LAS PALMAS. NIVEL PB. LOCAL N° 6. SECTOR CASCO CENTRAL GUANTA. ESTADO ANZOATEGUI</t>
  </si>
  <si>
    <t>3095.72</t>
  </si>
  <si>
    <t>01085</t>
  </si>
  <si>
    <t>FARMACIA EL EMIR, C.A</t>
  </si>
  <si>
    <t>J501243581</t>
  </si>
  <si>
    <t>0412-8826004</t>
  </si>
  <si>
    <t>AV NUEVA VALENCIA DISTRIBUIDOR SAN LUIS CC CAVE NIVEL PB. LOCAL COMERCIAL 3-3. SECTOR FRENTE AL MERCADO DE MAYORISTAS. TOCUYITO. ESTADO CARABOBO</t>
  </si>
  <si>
    <t>140309.12</t>
  </si>
  <si>
    <t>01086</t>
  </si>
  <si>
    <t>EXPENDIO VIERA, C.A.</t>
  </si>
  <si>
    <t>J500818050</t>
  </si>
  <si>
    <t>0424-9537622</t>
  </si>
  <si>
    <t>CALLE MARISCAL SUCRE. LOCAL NRO 3. SECTOR SANTA ELENA DE UAIREN. SANTA ELENA DE UAIREN. ESTADO BOLIVAR</t>
  </si>
  <si>
    <t>311399.33</t>
  </si>
  <si>
    <t>01087</t>
  </si>
  <si>
    <t>FARMACIA FARMARKET BUENAVENTURA, C.A.</t>
  </si>
  <si>
    <t>J504610860</t>
  </si>
  <si>
    <t>AV INTERCUMUNAL GUARENAS GUATIRE. CC BUENAVENTURA. NIVEL B .LOCAL C-011 Y C-012. URB GUARENAS GUATIRE. GUATIRE. ESTADO MIRANDA</t>
  </si>
  <si>
    <t>01088</t>
  </si>
  <si>
    <t>FARMACIA ANAUJU C.A.</t>
  </si>
  <si>
    <t>J307623861</t>
  </si>
  <si>
    <t>SANTA LUCÍA</t>
  </si>
  <si>
    <t>0424-1967314</t>
  </si>
  <si>
    <t>8644</t>
  </si>
  <si>
    <t>SANTA LUCÍA DEL TUY</t>
  </si>
  <si>
    <t>CALLE BOLIVAR. CASA CASA NRO 14. ZONA CASCO CENTRAL. SANTA LUCIA. ESTADO MIRANDA</t>
  </si>
  <si>
    <t>2589.31</t>
  </si>
  <si>
    <t>01089</t>
  </si>
  <si>
    <t>FARMACIA SAN VICENTE PLUS, C.A.</t>
  </si>
  <si>
    <t>J401575625</t>
  </si>
  <si>
    <t>04148502170</t>
  </si>
  <si>
    <t>FISCAL AV SAN FRANCISCO DE ASIS. EDIF MORELLA. PISO PB. LOCAL 01. URB ANDRES ELOY BLANCO. CIUDAD BOLIVAR. CIUDAD BOLIVAR. ESTADO BOLIVAR</t>
  </si>
  <si>
    <t>0414-8489624</t>
  </si>
  <si>
    <t>AV 31 DE JULIO. LOCAL ANEXO. PLANTA BAJA NRO S/N. SECTOR EL SALADO. PLAZA PARAGUACHI. ESTADO NUEVA ESPARTA.</t>
  </si>
  <si>
    <t>0412-8553021</t>
  </si>
  <si>
    <t>AV AREVALO GONZALEZ CASA NRO 01. SECTOR NEGRO PRIMERO. GUACARA. ESTADO CARABOBO</t>
  </si>
  <si>
    <t>01092</t>
  </si>
  <si>
    <t>JIKCA BOTICA BERMUDEZ C.A</t>
  </si>
  <si>
    <t>J507295400</t>
  </si>
  <si>
    <t>CALE PRINCIPAL CASA NRO 72. SECTOR FE Y ALEGRIA. AGUSAY. ESTADO MONAGAS.</t>
  </si>
  <si>
    <t>87790.73</t>
  </si>
  <si>
    <t>AV BOLIVAR LOCAL NRO 44 SECTOR LOS COQUITOS PARROQUIA CATEDRAL MUNICIPIO HERES CIUDAD BOLIVAR BOLIVAR</t>
  </si>
  <si>
    <t>01094</t>
  </si>
  <si>
    <t>EXPENDIO DE MEDICINA SALUD TOTAL DEL SUR, C.A.</t>
  </si>
  <si>
    <t>J500152108</t>
  </si>
  <si>
    <t>0426-4094697</t>
  </si>
  <si>
    <t>CALLE ZEA CC PASAJE MORALES. NIVEL PB. LOCAL 31.SECTOR SANTA ELENA DE UAIREN. SANTA ELENA DE UAIREN. ESTADO BOLIVAR</t>
  </si>
  <si>
    <t>272906.15</t>
  </si>
  <si>
    <t>01095</t>
  </si>
  <si>
    <t>+ AHORRO 2, C.A.</t>
  </si>
  <si>
    <t>J503411716</t>
  </si>
  <si>
    <t>0424-3119550</t>
  </si>
  <si>
    <t>CALLE NUMERO 3. CASA NRO 12. URB LOS TAMARINDOS. SECTOR 01 SAN FERNANDO DE APURE. ESTADO APURE</t>
  </si>
  <si>
    <t>226613.66</t>
  </si>
  <si>
    <t>01096</t>
  </si>
  <si>
    <t>FARMACIA FUERZAS ARMADAS DOS, C.A</t>
  </si>
  <si>
    <t>J314730070</t>
  </si>
  <si>
    <t>AV CARAMACATE. LOCAL P/B. NUM S/N. SECTOR LOS SILOS. SAN FERNANDO DE APURE. ESTADO APURE</t>
  </si>
  <si>
    <t>202224.87</t>
  </si>
  <si>
    <t>AV.REVOLUCIÓN. EDIF. ANEXO AL CENTRO MÉDICO DEL SUR. PISO PB. LOCAL S/N. SECTOR CASA DE ZINC. SAN FERNANDO DE APURE. ESTADO APURE</t>
  </si>
  <si>
    <t>CHARALLAVE</t>
  </si>
  <si>
    <t>0412-2593544</t>
  </si>
  <si>
    <t>8646</t>
  </si>
  <si>
    <t>AV BOLIVAR. CC TAMANACO TUY. NIVEL PB. LOCAL 4. ZONA CASCO CENTRAL CHARALLAVE. ESTADO MIRANDA</t>
  </si>
  <si>
    <t>0424-1429372</t>
  </si>
  <si>
    <t>CALLE COMERCIO. NRO 20. ZONA LA LLANADA. GUARENAS ESTADO MIRANDA.</t>
  </si>
  <si>
    <t>04120406563</t>
  </si>
  <si>
    <t>CALLE NEGRO PRIMERO. LOCAL 53-2. ZONA CENTRAL. SANTA TERESA DEL TUY. ESTADO MIRANDA.</t>
  </si>
  <si>
    <t>01101</t>
  </si>
  <si>
    <t>FARMACIA BOULEVAR CANTON C.A.</t>
  </si>
  <si>
    <t>J296963991</t>
  </si>
  <si>
    <t>SAN CARLOS</t>
  </si>
  <si>
    <t>0414-4345586</t>
  </si>
  <si>
    <t>8648</t>
  </si>
  <si>
    <t>SAN CARLOS (COJEDES)</t>
  </si>
  <si>
    <t>AV BOLIVAR. EDIF. CENTRO COMERCIAL SAN CARLOS. PISO P/B. LOCAL 9. SECTOR CENTRO. ESTADO COJEDES</t>
  </si>
  <si>
    <t>3584944.51</t>
  </si>
  <si>
    <t>01102</t>
  </si>
  <si>
    <t>OTILIO RAFAEL CONDE NAHR "FARMACIA NUEVA LOS GUAYOS"</t>
  </si>
  <si>
    <t>V053885507</t>
  </si>
  <si>
    <t>0414-4254214 / ADM: 0414-427</t>
  </si>
  <si>
    <t>AV BOLÍVAR. EDIFICO QUINTIN. PISO PB. LOCAL 03. SECTOR LOS GUAYOS PLAZA BOLÍVAR. LOS GUAYOS. ESTADO CARABOBO</t>
  </si>
  <si>
    <t>92799.61</t>
  </si>
  <si>
    <t>01103</t>
  </si>
  <si>
    <t>FARMACIA CRISMARPLUS,C.A.</t>
  </si>
  <si>
    <t>16/11/2025</t>
  </si>
  <si>
    <t>J403977755</t>
  </si>
  <si>
    <t>0414-2393644</t>
  </si>
  <si>
    <t>CALLE SUCRE. ENTRE 4ta y 5ta TRANSVERSAL. LOCAL CASA N° 11. LOCALES 09,10 Y 11. ZONA CENTRAL. SANTA LUCIA. ESTADO MIRANDA</t>
  </si>
  <si>
    <t>57086.10</t>
  </si>
  <si>
    <t>01104</t>
  </si>
  <si>
    <t>FARMACIA FARMAOFERTAS .C.A (SUCURSAL LOS GODOS)</t>
  </si>
  <si>
    <t>FARMACIA FARMAOFERTAS .C.A</t>
  </si>
  <si>
    <t>+58 424-9471699</t>
  </si>
  <si>
    <t>AV. EL EJERCITO. LOCAL N° 3, SECTOR LOS GODOS, PARROQUIA ALTOS LOS GODOS. MUNICIPIO MATURIN, ESTADO MONAGAS.. 
Estado Monagas. Municipio Maturín. Parroquia San</t>
  </si>
  <si>
    <t>36316.82</t>
  </si>
  <si>
    <t>01105</t>
  </si>
  <si>
    <t>CASA NATURISTA EXPRESSO PRODUCTOS NATURALES, C.A.</t>
  </si>
  <si>
    <t>J402378661</t>
  </si>
  <si>
    <t>+55 95 9157-3486</t>
  </si>
  <si>
    <t>CALLE BOLIVAR. LOCAL S/N. SECTOR CASCO CENTRAL. SANTA ELENA DE UAIREN. ESTADO BOLIVAR</t>
  </si>
  <si>
    <t>160593.80</t>
  </si>
  <si>
    <t>01106</t>
  </si>
  <si>
    <t>EXPENDIO DE MEDICINAS FARMAVIC, C.A.</t>
  </si>
  <si>
    <t>J505004646</t>
  </si>
  <si>
    <t>+55 95 8423-6290</t>
  </si>
  <si>
    <t>CTRA TRONCAL 10. LOCAL NRO 11. SECTOR BOULEVARD. BRISAS EL UAIREN. SANTA ELENA DE UAIREN. ESTADO BOLIVAR</t>
  </si>
  <si>
    <t>524441.24</t>
  </si>
  <si>
    <t>0414-7697371</t>
  </si>
  <si>
    <t>CALLE INDEPENDENCIA. LOCAL S/N. SECTOR LA TRINIDAD. EL CHAPARRO. ESTADO ANZOATEGUI.</t>
  </si>
  <si>
    <t>01108</t>
  </si>
  <si>
    <t>FARMACIA SANA SANA EL VIÑEDO C.A.</t>
  </si>
  <si>
    <t>J504103950</t>
  </si>
  <si>
    <t>0414-7900127</t>
  </si>
  <si>
    <t>AV PRINCIPAL DEL VIÑEDO. CASA LOCAL NRO 17. SECTOR BRISAS DE AGUA CLARA, ELVIÑEDO</t>
  </si>
  <si>
    <t>23608.67</t>
  </si>
  <si>
    <t>01109</t>
  </si>
  <si>
    <t>FARMACIA FARMA NILAN, C.A.</t>
  </si>
  <si>
    <t>J501625450</t>
  </si>
  <si>
    <t>0212-3619302</t>
  </si>
  <si>
    <t>AV PRINCIPAL. CASA NRO D-7. LOCAL "A". URB RUIZ PINEDA. ZONA 1. GUARENAS. ESTADO MIRANDA.</t>
  </si>
  <si>
    <t>91414.91</t>
  </si>
  <si>
    <t>01110</t>
  </si>
  <si>
    <t>"DIVERFARMA ARN, COMPAÑIA ANONIMA"</t>
  </si>
  <si>
    <t>J295201532</t>
  </si>
  <si>
    <t>CIUDAD PIAR</t>
  </si>
  <si>
    <t>0414-2207449</t>
  </si>
  <si>
    <t>8651</t>
  </si>
  <si>
    <t>AVENIDA MARTIN TRAVIESO. LOCAL NRO 1. SECTOR  MERCADO MUNICIPAL DE CIUDAD PIAR. CIUADAD PIAR. ESTADO BOLIVAR</t>
  </si>
  <si>
    <t>202855.85</t>
  </si>
  <si>
    <t>01111</t>
  </si>
  <si>
    <t>FARMASIGA,C.A.</t>
  </si>
  <si>
    <t>J501581061</t>
  </si>
  <si>
    <t>EL VIGIA</t>
  </si>
  <si>
    <t>0412-0926669</t>
  </si>
  <si>
    <t>8650</t>
  </si>
  <si>
    <t>EL VIGIA (MÉRIDA)</t>
  </si>
  <si>
    <t>AVENIDA BOLIVAR, CALLE PRINCIPAL LOCAL NRO 618, 3-46 Y 3-15 BARRIO SUR AMERICA EL VIGIA, ESTADO MERIDA. Estado Merida. Municipio Alberto Adriani . Parroquia Pr</t>
  </si>
  <si>
    <t>640666.03</t>
  </si>
  <si>
    <t>01112</t>
  </si>
  <si>
    <t>LA FARMACIA EL TIGRE, C.A</t>
  </si>
  <si>
    <t>J501396140</t>
  </si>
  <si>
    <t>0424-8873888</t>
  </si>
  <si>
    <t>AV FRANCISCO DE MIRANDA. CC SIGLO XXI. NIVEL PB. LOCAL 2. SECTOR CENTRO. EL TIGRE. ESTADO ANZOATEGUI.</t>
  </si>
  <si>
    <t>75752.91</t>
  </si>
  <si>
    <t>01113</t>
  </si>
  <si>
    <t>FARMACIA CAUJARO, C.A</t>
  </si>
  <si>
    <t>J095191982</t>
  </si>
  <si>
    <t>PUERO ORDAZ</t>
  </si>
  <si>
    <t>0424-9071368</t>
  </si>
  <si>
    <t>CALLE MEDITERRANEO, MANZANA 005 CC COSTA MEDITERRANEO NIVEL PB. LOCAL PB-06 URB VILLA AFRICANA, UD.- 237 -PUERTO ORDAZ CIUDAD GUAYANA BOLIVAR</t>
  </si>
  <si>
    <t>28445.76</t>
  </si>
  <si>
    <t>01114</t>
  </si>
  <si>
    <t>DISTRI-FARMA C.A</t>
  </si>
  <si>
    <t>J411758868</t>
  </si>
  <si>
    <t>04145326202</t>
  </si>
  <si>
    <t>AV 15 LOCAL NRO S/N SECTOR SAN ISIDRO EL VIGIA MÉRIDA
ZONA POSTAL 5145</t>
  </si>
  <si>
    <t>34622.46</t>
  </si>
  <si>
    <t>01115</t>
  </si>
  <si>
    <t>DISTRIBUIDORA FUSERCA C.A</t>
  </si>
  <si>
    <t>J302974542</t>
  </si>
  <si>
    <t>+58412-0750076</t>
  </si>
  <si>
    <t>CALLE NARVAEZ. C/C CHARAIMA. CASA NRO 20-19. SECTOR GENOVES. PORLAMAR. ESTADO NUEVA ESPARTA.</t>
  </si>
  <si>
    <t>10172.43</t>
  </si>
  <si>
    <t>0414-4844353</t>
  </si>
  <si>
    <t>AV 109 ARANZAZU. LOCAL NRO CIVICO 78-12.7 BARRIO ESCALONA. VALENCIA. ESTADO CARABOBO.</t>
  </si>
  <si>
    <t>01117</t>
  </si>
  <si>
    <t>FARMACIA CANDELARIA C.A.</t>
  </si>
  <si>
    <t>J080045416</t>
  </si>
  <si>
    <t>0414-1929965</t>
  </si>
  <si>
    <t>AV BOLIVAR. EDIF LA CANDELARIA. PISO PB. LOCAL 126-A. SECTOR CENTRO CANTAURA. ESTADO ANZOATEGUI.</t>
  </si>
  <si>
    <t>28308.56</t>
  </si>
  <si>
    <t>01118</t>
  </si>
  <si>
    <t>FARMACIA KARLEMAR C.A.</t>
  </si>
  <si>
    <t>J302849195</t>
  </si>
  <si>
    <t>0424-2220073</t>
  </si>
  <si>
    <t>AV PRINCIPAL DE LOS NARANJOS. CC INDUSTRIAL LOS NARANJOS. NIVEL PB. LOCAL 1-18. URB. LOS NARANJOS. GUARENAS. ESTADO MIRANDA.</t>
  </si>
  <si>
    <t>178188.06</t>
  </si>
  <si>
    <t>01119</t>
  </si>
  <si>
    <t>FARMACIA COLON, C.A.</t>
  </si>
  <si>
    <t>J001450793</t>
  </si>
  <si>
    <t>0412-6088816</t>
  </si>
  <si>
    <t>AV LOS CARMENES CON 7MA TRANSVERSAL. LOCAL NRO 110. SECTOR LOS CASTAÑOS. EL CEMENTERIO. CARACAS. DISTRITO CAPITAL.</t>
  </si>
  <si>
    <t>478818.25</t>
  </si>
  <si>
    <t>01120</t>
  </si>
  <si>
    <t>FARMACIA DIVINO NIÑO II, C.A</t>
  </si>
  <si>
    <t>J309186132</t>
  </si>
  <si>
    <t>CALLE GUASCO CON DELEITE. CASA NRO SN SECTOR CENTRO. CENTRO VALLE DE LA PASCUA. ESTADO GUÁRICO.</t>
  </si>
  <si>
    <t>23377.95</t>
  </si>
  <si>
    <t>01121</t>
  </si>
  <si>
    <t>FARMACIA SALUDABLE, C.A.</t>
  </si>
  <si>
    <t>J406557404</t>
  </si>
  <si>
    <t>0424-5316569</t>
  </si>
  <si>
    <t>AV ANAUCO Y PANTERON CON CALLE RORAIMA. EDIF CONJUNTO RESIDENCIAL PORTICO DEL AVILA. PISO PB. LOCAL 07. URB. SAN BERNARDINO. CARACAS</t>
  </si>
  <si>
    <t>1787.85</t>
  </si>
  <si>
    <t>0414 4050303/ 04144178085</t>
  </si>
  <si>
    <t>AV BOLIVAR. ENTRE CALLE MARIÑO Y CALLE MONTILLA. LOCAL NRO 2-A. SECTOR CASCO LOS GUAYOS. LOS GUAYOS. ESTADO CARABOBO</t>
  </si>
  <si>
    <t>01123</t>
  </si>
  <si>
    <t>FARMACIA M&amp;R FRONTERA, C.A. "PRINCIPAL"</t>
  </si>
  <si>
    <t>0424-9408963</t>
  </si>
  <si>
    <t>72789.27</t>
  </si>
  <si>
    <t>01124</t>
  </si>
  <si>
    <t>LA FARMACIA 2024, C.A</t>
  </si>
  <si>
    <t>J505006576</t>
  </si>
  <si>
    <t>0412-8778817</t>
  </si>
  <si>
    <t>CALLE DALLA COSTA. CASA NRO 12. SECTOR LA LAGUNA EL PALMAR. ESTADO BOLIVAR</t>
  </si>
  <si>
    <t>247986.24</t>
  </si>
  <si>
    <t>04142664241</t>
  </si>
  <si>
    <t>8658</t>
  </si>
  <si>
    <t>CARABALLEDA (LA GUAIRA)</t>
  </si>
  <si>
    <t>AV CONSTANZA. EDIF CICE. PISO P. B. LOCAL P.B. URB PALMAR ESTE. CARABALLEDA.  ESTADO LA GUAIRA</t>
  </si>
  <si>
    <t>01126</t>
  </si>
  <si>
    <t>FARMACIA VIDA DORADO</t>
  </si>
  <si>
    <t>V23606246</t>
  </si>
  <si>
    <t>0426-1126279</t>
  </si>
  <si>
    <t>CARRERA 7. CUERPO DE LOS INDIOS. SECTOR EL DORADO</t>
  </si>
  <si>
    <t>27393.24</t>
  </si>
  <si>
    <t>01127</t>
  </si>
  <si>
    <t>FARMACIA FARMAEDEN, C.A.</t>
  </si>
  <si>
    <t>J500586710</t>
  </si>
  <si>
    <t>CALLE HERES CRUCE CON CALLE RICAUTER. LOCAL S/N. SECTOR POBLACION EL CALLAO. EL CALLAO. ESTADO BOLIVAR</t>
  </si>
  <si>
    <t>11826.16</t>
  </si>
  <si>
    <t>01128</t>
  </si>
  <si>
    <t>FARMACIA LA IGUALDAD, C.A.</t>
  </si>
  <si>
    <t>J412250361</t>
  </si>
  <si>
    <t>+58 412-0258877</t>
  </si>
  <si>
    <t>CALLE IGUALDAD ENTRE LIBERTAD Y ARISMENDI LOCAL NRO S/N SECTOR CENTRO PORLAMAR NUEVA ESPARTA</t>
  </si>
  <si>
    <t>1482161.08</t>
  </si>
  <si>
    <t>J407789279</t>
  </si>
  <si>
    <t>0424-3672263</t>
  </si>
  <si>
    <t>AV. LIBERTADOR CRUCE CON CALLE PARAISO, CASA Nº 89, SECTOR CENTRO. VALLE DE LA PASCUA. ESTADO GUÁRICO</t>
  </si>
  <si>
    <t>01130</t>
  </si>
  <si>
    <t>FARMACIA SAN RAFAEL ARCÁNGEL 2014, C.A</t>
  </si>
  <si>
    <t>J504899917</t>
  </si>
  <si>
    <t>0412-3595865</t>
  </si>
  <si>
    <t>CALLE SAN RAFAEL. LOCAL NRO S/N. SECTOR CENTRO BOCA DE POZO. BOCA DE POZO. ESTADO NUEVA ESPARTA</t>
  </si>
  <si>
    <t>442099.20</t>
  </si>
  <si>
    <t>01131</t>
  </si>
  <si>
    <t>+ AHORRO C.A</t>
  </si>
  <si>
    <t>J502255486</t>
  </si>
  <si>
    <t>0424-3355684</t>
  </si>
  <si>
    <t>AV CARACAS. LOCAL NRO S/N. SECTOR TERRON DURO. SAN FERNANDO DE APURE. ESTADO APURE</t>
  </si>
  <si>
    <t>236696.36</t>
  </si>
  <si>
    <t>01132</t>
  </si>
  <si>
    <t>FARMADEPOT, C.A</t>
  </si>
  <si>
    <t>J501577587</t>
  </si>
  <si>
    <t>AV JOVITO VILLALBA. EDIF  CONJUNTO CHAGUARAMOS. PISO PB. LOCAL UNICA. CONJUNTO RESIDENCIAL CHAGUARAMOS. PAMPATAR. ESTADO NUEVA ESPARTA</t>
  </si>
  <si>
    <t>95041.55</t>
  </si>
  <si>
    <t>01133</t>
  </si>
  <si>
    <t>FARMACIA FARMAOFERTAS .C.A (SUCURSAL LAS COCUIZAS)</t>
  </si>
  <si>
    <t>AV. EL EJERCITO. LOCAL NRO 03. SECTOR LOS GODOS. MATURIN. ESTADO MONAGAS</t>
  </si>
  <si>
    <t>31988.63</t>
  </si>
  <si>
    <t>0424-364-5755</t>
  </si>
  <si>
    <t>CALLE 23 DE ENERO. CASA NRO S/N. SECTOR SUR VALLE DE LA PASCUA . ESTADO GUARICO</t>
  </si>
  <si>
    <t>AV JUAN DE CASTELLANOS EDIF THJ ISSA PISO PB LOCAL 4 ZONA JUANGRIEGO JUAN GRIEGO NUEVA ESPARTA</t>
  </si>
  <si>
    <t>01136</t>
  </si>
  <si>
    <t>FARMACENTRO C.A (CARUPANO)</t>
  </si>
  <si>
    <t>J311921990</t>
  </si>
  <si>
    <t>0412-0999660</t>
  </si>
  <si>
    <t>CALLE CARABOBO CASA NRO 71-A ZONA CENTRO CARUPANO ESTADO SUCRE</t>
  </si>
  <si>
    <t>3556.27</t>
  </si>
  <si>
    <t>0424-4062113</t>
  </si>
  <si>
    <t>CALLE 100 (VALENCIA GUIGUE). NÚMERO CIVICO 94-10. LOCAL NRO S/N. SECTOR S/N. VALENCIA. ESTADO CARABOBO</t>
  </si>
  <si>
    <t>01138</t>
  </si>
  <si>
    <t>FARMASAM, C.A.</t>
  </si>
  <si>
    <t>J501029709</t>
  </si>
  <si>
    <t>0212-8717904</t>
  </si>
  <si>
    <t>CALLE ENTRE LA ULTIMA. CALLE HACIA EL SUR DE LA UTB. RAMOS. HOY CALLE EL CRISTO Y LA AVENIDA PANAMERICANA. FRENTE AL CAFÉ EL NEG. QTA VILLA LUISA. NRO S/N. URB</t>
  </si>
  <si>
    <t>180953.97</t>
  </si>
  <si>
    <t>0414-1363290</t>
  </si>
  <si>
    <t>CALLE BOYACA. CRUCE CON AVENIDA. CARABOBO. QTA RAF.I NRO 42. APT PB. SECTOR CENTRO. SAN FERNANDO DE APURE. ESTADO APURE</t>
  </si>
  <si>
    <t>01141</t>
  </si>
  <si>
    <t>MARIA NORMARINA CALZADILLA GARCIA "FARMACIA RIO ARAUCA"</t>
  </si>
  <si>
    <t>V100134922</t>
  </si>
  <si>
    <t>CALLE CRISTOBAL JIMENEZ CON PASEO ALMA LLANERA. CASA NRO 19. SECTOR CENTRO ELORZA. ESTADO APURE</t>
  </si>
  <si>
    <t>143152.54</t>
  </si>
  <si>
    <t>01142</t>
  </si>
  <si>
    <t>FARMACIA CENTURION, S.R.L.</t>
  </si>
  <si>
    <t>J095030970</t>
  </si>
  <si>
    <t>04148930393</t>
  </si>
  <si>
    <t>CALLE PASEO MORENO DE MENDOZA. ESQUINA 5 DE JULIO. LOCAL NRO S/N. SECTOR CENTURION. PARROQUIA CATEDRAL. MUNICIPIO HERES. CIUDAD BOLIVAR. ESTADO BOLIVAR</t>
  </si>
  <si>
    <t>143748.31</t>
  </si>
  <si>
    <t>01143</t>
  </si>
  <si>
    <t>FARMACIA FARMAPLAZA 2020 C.A.</t>
  </si>
  <si>
    <t>J310558973</t>
  </si>
  <si>
    <t>CALLE VELASQUEZ. LOCAL NRO 3. SECTOR CENTRO DE PORLAMAR. ESTADO NUEVA ESPARTA</t>
  </si>
  <si>
    <t>371063.41</t>
  </si>
  <si>
    <t>01144</t>
  </si>
  <si>
    <t>FARMACIA FARMA PLUS 4S C.A.</t>
  </si>
  <si>
    <t>J408446278</t>
  </si>
  <si>
    <t>AVENIDA BOLIVAR ENTRE CALLE JOSE ARCHILA Y REINA LUCERO. SECTOR CENTRO. ELORZA. ESTADO APURE.</t>
  </si>
  <si>
    <t>814429.21</t>
  </si>
  <si>
    <t>01145</t>
  </si>
  <si>
    <t>EXPENDIO DE MEDICINAS LA BENDICION, C.A.</t>
  </si>
  <si>
    <t>J504367974</t>
  </si>
  <si>
    <t>0414-0996821</t>
  </si>
  <si>
    <t>CALLE WARAMASEM. BRISAS DE UAIREN. LOCAL NRO 21. SECTOR ESTA. SANTA ELENA DE UAIREN. ESTADO BOLIVAR</t>
  </si>
  <si>
    <t>23539.01</t>
  </si>
  <si>
    <t>01146</t>
  </si>
  <si>
    <t>COSMOFARMA 24 MIRANDA, C.A.</t>
  </si>
  <si>
    <t>J500498489</t>
  </si>
  <si>
    <t>0424-9648564</t>
  </si>
  <si>
    <t>AV MIRANDA. LOCAL 105. SECTOR CENTRO DE MATURIN. MATRIN. ESTADO MONAGAS</t>
  </si>
  <si>
    <t>01147</t>
  </si>
  <si>
    <t>FARMACIA MENESES EXPRESS, C.A.</t>
  </si>
  <si>
    <t>J504905313</t>
  </si>
  <si>
    <t>AV PASEO MENESES. CRUCE CON AVENIDA GUAYANA. LOCAL NRO S/N. URB. BOLIVAR. SECTOR CENTURION. CIUDAD BOLIVAR. ESTADO BOLIVAR</t>
  </si>
  <si>
    <t>197411.05</t>
  </si>
  <si>
    <t>01148</t>
  </si>
  <si>
    <t>ECOFARMA EXPRESS, C.A.</t>
  </si>
  <si>
    <t>J502255931</t>
  </si>
  <si>
    <t>CALLE COLON CRUCE CON CALLE BARCELONA. LOCAL NRO 114. SECTOR LA SABANITA, PARROQUIA LA SABANITA, MUNICIPIO ANGOSTURA DEL ORINOCO. CIUDAD BOLIVAR. ESTADO BOLIVA</t>
  </si>
  <si>
    <t>01149</t>
  </si>
  <si>
    <t>FARMACIA EL CRUCERO, C.A.</t>
  </si>
  <si>
    <t>J409368190</t>
  </si>
  <si>
    <t>0412-0909063</t>
  </si>
  <si>
    <t>AV 31 DE JULIO LOCAL NRO SIN NUMERO SECTOR LA ASUNCION LA ASUNCION NUEVA ESPARTA</t>
  </si>
  <si>
    <t>228322.30</t>
  </si>
  <si>
    <t>AVENIDA POPULAR LOS GUAYOS LOCAL N°8-A SECTOR BOLIVAR FUERTE LOS GUAYOS ESTADO CARABOBO.</t>
  </si>
  <si>
    <t>01151</t>
  </si>
  <si>
    <t>FARMACIA MAR, C.A.</t>
  </si>
  <si>
    <t>J500711026</t>
  </si>
  <si>
    <t>0412-1186955</t>
  </si>
  <si>
    <t>CALLE 1ERA SUR C/C 7MA CARRERA EDIF FRENTE A LA PLAZA BOLIVAR PISO B LOCAL 01 SECTOR PUEBLO NUEVO SUR EL TIGRE ANZOATEGUI</t>
  </si>
  <si>
    <t>632958.73</t>
  </si>
  <si>
    <t>01152</t>
  </si>
  <si>
    <t>FARMACIA FARMAVITAL, C.A.</t>
  </si>
  <si>
    <t>J314826620</t>
  </si>
  <si>
    <t>0412-9994201</t>
  </si>
  <si>
    <t>AV 23 DE NERO CC LA REDOMA NIVEL P/B LOCAL 1 SECTOR AV- CALABOZO CALABOZO ESTADO GUARICO</t>
  </si>
  <si>
    <t>01153</t>
  </si>
  <si>
    <t>FARMACIA SANTO REMEDIO 89, C.A.</t>
  </si>
  <si>
    <t>J501839867</t>
  </si>
  <si>
    <t>0426-5721052</t>
  </si>
  <si>
    <t>AV JUAN VICENTE TORREALBA CASA NRO S/N SECTOR CENTRO ELORZA ESTADO APURE</t>
  </si>
  <si>
    <t>173986.16</t>
  </si>
  <si>
    <t>01154</t>
  </si>
  <si>
    <t>FARMACIA LAS MINITAS, C.A.</t>
  </si>
  <si>
    <t>J001851720</t>
  </si>
  <si>
    <t>BARUTA</t>
  </si>
  <si>
    <t>0424-283-56-60</t>
  </si>
  <si>
    <t>8660</t>
  </si>
  <si>
    <t>CALLE LA PEDRERA EDIF RESIDENCIA OLGA PISO B PISO PB LOCAL PB URB LAS MINAS DE BARUTA LAS MINAS DE BARUTA ESTADO MIRANDA</t>
  </si>
  <si>
    <t>01155</t>
  </si>
  <si>
    <t>FARMACIA NIÑA GENESIS 1992, C.A</t>
  </si>
  <si>
    <t>J296280762</t>
  </si>
  <si>
    <t>0414-3093844</t>
  </si>
  <si>
    <t>AV PRINCIPAL DEL MANICOMIO LOCAL NRO 172 BARRIO DEL MANICOMIO CARACAS DISTRITO CAPITAL</t>
  </si>
  <si>
    <t>22636.37</t>
  </si>
  <si>
    <t>01156</t>
  </si>
  <si>
    <t>INVERHEALTH, C.A</t>
  </si>
  <si>
    <t>J313236470</t>
  </si>
  <si>
    <t>0414-2174501</t>
  </si>
  <si>
    <t>CALLE VILLAFLOR EDIF ASUNCION PISO PB LOCAL 03 SECTOR SABANA GRANDE CARACAS DISTRITO CAPITAL</t>
  </si>
  <si>
    <t>01157</t>
  </si>
  <si>
    <t>FARMACIA BOSQUESERINO, C.A</t>
  </si>
  <si>
    <t>J501698899</t>
  </si>
  <si>
    <t>0414 4026606</t>
  </si>
  <si>
    <t>CALLE K CASA NRO 73 A 15 URB BOSQUESERINO, LOCAL I, MUNICIPIO SAN DIEGO VALENCIA ESTADO CARABOBO</t>
  </si>
  <si>
    <t>65388.47</t>
  </si>
  <si>
    <t>01158</t>
  </si>
  <si>
    <t>FARMACIA LA CARIDAD DEL COBRE GPC, C.A</t>
  </si>
  <si>
    <t>J310504849</t>
  </si>
  <si>
    <t>0414-2572720</t>
  </si>
  <si>
    <t>AV PAEZ EDIF ADRIATICO PISO PB LOCAL 1 URB LOS CLAVELES, PUENTE HIERRO CARACAS DISTRITO CAPITAL</t>
  </si>
  <si>
    <t>95851.06</t>
  </si>
  <si>
    <t>01159</t>
  </si>
  <si>
    <t>FARMACIA FARMATORRE NAGUANAGUA, C.A "SUCURSAL LAS FERIAS"</t>
  </si>
  <si>
    <t>0414-0420557 / 0412-3554550</t>
  </si>
  <si>
    <t>1541199.52</t>
  </si>
  <si>
    <t>01160</t>
  </si>
  <si>
    <t>FARMACIA MULTICENTRAL C.A</t>
  </si>
  <si>
    <t>J410118520</t>
  </si>
  <si>
    <t>0424-8943890</t>
  </si>
  <si>
    <t>CALLE PERU LOCAL 1 SECTOR CASCO CENTRAL CASANAY ESTADO SUCRE</t>
  </si>
  <si>
    <t>4698.36</t>
  </si>
  <si>
    <t>01161</t>
  </si>
  <si>
    <t>FARMACIA MONUMENTAL, C.A</t>
  </si>
  <si>
    <t>J297935690</t>
  </si>
  <si>
    <t>AV LA PAZ LOCAL NRO 08 SECTOR LAS AVENIDAS MATURIN MONAGAS</t>
  </si>
  <si>
    <t>01162</t>
  </si>
  <si>
    <t>(MATRIZ) CLINIC FARMA, C.A</t>
  </si>
  <si>
    <t>01163</t>
  </si>
  <si>
    <t>CLINIC FARMA C.A  (SUC 1 PUNTA DE MATA)</t>
  </si>
  <si>
    <t>CLINIC FARMA C.A</t>
  </si>
  <si>
    <t>50032.15</t>
  </si>
  <si>
    <t>01164</t>
  </si>
  <si>
    <t>LUCIA ESMERALDA MORA RENGEL</t>
  </si>
  <si>
    <t>V25612338</t>
  </si>
  <si>
    <t>5195.70</t>
  </si>
  <si>
    <t>04242005095</t>
  </si>
  <si>
    <t>CALLE SOUBLETTE CON CALLE REAL ENTRADA COMUNIDAD SAN ANTONIO DE LAS FLORES CASA NRO 18 SECTOR EL CANTON MAIQUETIA LA GUAIRA</t>
  </si>
  <si>
    <t>01167</t>
  </si>
  <si>
    <t>FARMACIA DRO-MEDICAL,C.A</t>
  </si>
  <si>
    <t>J503707267</t>
  </si>
  <si>
    <t>0412-5363580 / 0412-7727374</t>
  </si>
  <si>
    <t>AV BICENTENARIO EDIF LABY PISO P.B LOCAL 2 SECTOR CENTRO MATURIN ESTADO MONAGAS</t>
  </si>
  <si>
    <t>30364.31</t>
  </si>
  <si>
    <t>01168</t>
  </si>
  <si>
    <t>LA GRAN FAMILIA HIPERFARMA, CA</t>
  </si>
  <si>
    <t>J503331178</t>
  </si>
  <si>
    <t>04147849370</t>
  </si>
  <si>
    <t>AV LIBERTADOR (ANTIGUA AV. WINSTON CHURCHILL)  LOCAL NRO SN SECTOR PUEBLO NUEVO EL SUR EL TIGRE ESTADO ANZOATEGUI</t>
  </si>
  <si>
    <t>217938.44</t>
  </si>
  <si>
    <t>01169</t>
  </si>
  <si>
    <t>FARMACIA BIEN STAR SAN DIEGO, C.A.</t>
  </si>
  <si>
    <t>J305689814</t>
  </si>
  <si>
    <t>AV INTERCOMUNAL SAN DIEGO LOCAL C.C TIGSA NRO 2 URB INDUSTRIAL CASTILLITO VALENCIA CARABOBO</t>
  </si>
  <si>
    <t>0424-1546030/0414-2965435</t>
  </si>
  <si>
    <t>AV ROMULO GALLEGOS C/C CALLE GONZALEZ PADRON EDIF CASTELMONTE PISO P.B LOCAL 1 SECTOR CENTRO VALLE DE LA PASCUA GUARICO</t>
  </si>
  <si>
    <t>01171</t>
  </si>
  <si>
    <t>TU FARMA SAN FELIPE, C.A</t>
  </si>
  <si>
    <t>J505314653</t>
  </si>
  <si>
    <t>0424-8413575</t>
  </si>
  <si>
    <t>CR 13 LOCAL NRO 2-79 SECTOR PORTUGAL ARRIBA BARCELONA ANZOATEGUI</t>
  </si>
  <si>
    <t>40259.03</t>
  </si>
  <si>
    <t>0412-8253758</t>
  </si>
  <si>
    <t>CALLE CAUJARITO LOCAL NRO S/N SECTOR CENTRO ACHAGUAS ESTADO APURE</t>
  </si>
  <si>
    <t>01173</t>
  </si>
  <si>
    <t>(MATRIZ) EXPENDIO DE MEDICAMENTOS LAS 2 PRINCESAS, C.A.</t>
  </si>
  <si>
    <t>01174</t>
  </si>
  <si>
    <t>EXPENDIO DE MEDICAMENTOS LAS 2 PRINCESAS, C.A. (SUCURSAL 1)</t>
  </si>
  <si>
    <t>EXPENDIO DE MEDICAMENTOS LAS 2 PRINCESAS, C.A</t>
  </si>
  <si>
    <t>0416-9455438</t>
  </si>
  <si>
    <t>176784.52</t>
  </si>
  <si>
    <t>01175</t>
  </si>
  <si>
    <t>EXPENDIO DE MEDICAMENTOS LAS 2 PRINCESAS, C.A. (SUCURSAL 2)</t>
  </si>
  <si>
    <t>0426-9659642</t>
  </si>
  <si>
    <t>158433.10</t>
  </si>
  <si>
    <t>CALLE FERMIN EDIF Nº 15 PISO PB LOCAL S/N SECTOR CENTRO LA ASUNCION ESTADO NUEVA ESPARTA</t>
  </si>
  <si>
    <t>01177</t>
  </si>
  <si>
    <t>GLOBAL FARMACIA,C.A (GUARICO)</t>
  </si>
  <si>
    <t>GLOBAL FARMACIA,C.A</t>
  </si>
  <si>
    <t>J501312397</t>
  </si>
  <si>
    <t>04243375192</t>
  </si>
  <si>
    <t>CALLE MIRANDA LOCAL NRO 47 SECTOR CENTRO SAN JUAN DE LOS MORROS ESTADO GUARICO</t>
  </si>
  <si>
    <t>15645.15</t>
  </si>
  <si>
    <t>01178</t>
  </si>
  <si>
    <t>FARMACIA FARMAMILENIUM, C.A</t>
  </si>
  <si>
    <t>J409138704</t>
  </si>
  <si>
    <t>0414-8304020</t>
  </si>
  <si>
    <t>CALLE EL DORADO C/C PAEZ Y MIRANDA LOCAL S/N SECTOR EL CENTRO, MUNICIPIO SIFONTES TUMEREMO ESTADO BOLIVAR</t>
  </si>
  <si>
    <t>0414-0947806</t>
  </si>
  <si>
    <t>CALLE UCHIRE CC BIBLOS CENTER NIVEL P/B LOCAL 56 URB UNARE II PUERTO ORDAZ CIUDAD GUAYANA BOLIVAR</t>
  </si>
  <si>
    <t>01180</t>
  </si>
  <si>
    <t>FARMALUZRL, C.A</t>
  </si>
  <si>
    <t>J502467203</t>
  </si>
  <si>
    <t>0426-2947474</t>
  </si>
  <si>
    <t>CALLE GRATEUX LOCAL NRO S/N SECTOR SUBIENDO A VALLE ARRIBA A 40 MTS DEL HOSPITAL JUAN GERMÁN ROSCIO EL CALLAO ESTADO BOLIVAR</t>
  </si>
  <si>
    <t>207330.42</t>
  </si>
  <si>
    <t>CUA ESTADO MIRANDA</t>
  </si>
  <si>
    <t>0239-2120693</t>
  </si>
  <si>
    <t>8662</t>
  </si>
  <si>
    <t>CÚA</t>
  </si>
  <si>
    <t>CALLE SAN JOSE CASA NRO 60 SECTOR CASCO CENTRAL CUA ESTADO MIRANDA</t>
  </si>
  <si>
    <t>01182</t>
  </si>
  <si>
    <t>FOTOPIEL C.A.</t>
  </si>
  <si>
    <t>J403016372</t>
  </si>
  <si>
    <t>04126155638  / 04241566806</t>
  </si>
  <si>
    <t>FISCAL AV LAS REPÚBLICAS CON AVENIDA AMÉRICA CC CENTRO COMERCIAL ASISTENCIAL TERRAS PLAZA NIVEL COMERCIO LOCAL PB-L7 URB TERRAZAS DEL CLUB HÍPICO CARACAS MIRAN</t>
  </si>
  <si>
    <t>8921.31</t>
  </si>
  <si>
    <t>01183</t>
  </si>
  <si>
    <t>FARMACIA FARMAVERO, C.A.</t>
  </si>
  <si>
    <t>J308234001</t>
  </si>
  <si>
    <t>AV BOLIVAR, C.C PARQUE SAN JACINTO LOCAL NRO 20 URB SAN JACINTO MARACAY ARAGUA</t>
  </si>
  <si>
    <t>51409.08</t>
  </si>
  <si>
    <t>01184</t>
  </si>
  <si>
    <t>FARMAEXPRESS 2024, CA</t>
  </si>
  <si>
    <t>J504441988</t>
  </si>
  <si>
    <t>09/10/2025</t>
  </si>
  <si>
    <t>0414-8497429</t>
  </si>
  <si>
    <t>CALLE MIRANDA CRUCE CON CALLE ANZOATEGUI EDIF CORAZON DE JESUS PISO PB LOCAL 01 SECTOR CENTRO PARIAGUAN ANZOATEGUI</t>
  </si>
  <si>
    <t>238420.59</t>
  </si>
  <si>
    <t>0414-4874871 / 0426-0482073</t>
  </si>
  <si>
    <t>FISCAL AV PASEO LIBERTADOR EDIF MULTIFARMA PLUS PISO B LOCAL No 29 SECTOR CENTRO SAN FERNANDO DE APURE APURE</t>
  </si>
  <si>
    <t>01186</t>
  </si>
  <si>
    <t>EMILIO JOSE MARCANO BERMUDEZ</t>
  </si>
  <si>
    <t>V25823988</t>
  </si>
  <si>
    <t>0412-1753236</t>
  </si>
  <si>
    <t>AV EL EJERCITO</t>
  </si>
  <si>
    <t>7511.66</t>
  </si>
  <si>
    <t>01187</t>
  </si>
  <si>
    <t>FARMACRISBEN, C.A.</t>
  </si>
  <si>
    <t>J505231049</t>
  </si>
  <si>
    <t>CALLE SUCRE LOCAL NRO SN SECTOR CENTRO SANTA BARBARA MONAGAS</t>
  </si>
  <si>
    <t>143020.10</t>
  </si>
  <si>
    <t>01188</t>
  </si>
  <si>
    <t>FARMACIA DON FRANCISCO DE DIOS, C.A.</t>
  </si>
  <si>
    <t>J402409672</t>
  </si>
  <si>
    <t>0414-8936049</t>
  </si>
  <si>
    <t>AV PASEO HERES EDIF CAYENA SUITS PISO P/B LOCAL 04 SECTOR CRUZ VERDE PARROQUIA CATEDRAL CIUDAD BOLIVAR STADO BOLIVAR</t>
  </si>
  <si>
    <t>224995.64</t>
  </si>
  <si>
    <t>01189</t>
  </si>
  <si>
    <t>ALEXANDER JOSE RODRIGUEZ LA ROSA</t>
  </si>
  <si>
    <t>V15509414</t>
  </si>
  <si>
    <t>64.43</t>
  </si>
  <si>
    <t>01190</t>
  </si>
  <si>
    <t>FARMA GUAYABAL, C.A</t>
  </si>
  <si>
    <t>J500330456</t>
  </si>
  <si>
    <t>CALLE BOLIVAR LOCAL NRO S/N SECTOR CENTRO GUAYABAL (PUEBLO NUEVO) ESTADO GUARICO</t>
  </si>
  <si>
    <t>01191</t>
  </si>
  <si>
    <t>FARMACIA SAN JUAN CA</t>
  </si>
  <si>
    <t>J301531337</t>
  </si>
  <si>
    <t>CALLE SUCRE CASA NRO S/N SECTOR CENTRO SAN JUAN DE PAYARA ESTADO APURE</t>
  </si>
  <si>
    <t>13102.99</t>
  </si>
  <si>
    <t>01192</t>
  </si>
  <si>
    <t>MARIA LOURDES GUZMAN GARCIA</t>
  </si>
  <si>
    <t>V14620814</t>
  </si>
  <si>
    <t>38686.42</t>
  </si>
  <si>
    <t>01193</t>
  </si>
  <si>
    <t>FARMAPAZ LAS COCUIZAS, C.A.  (SUCURSAL 10 CITY)</t>
  </si>
  <si>
    <t>0412-871-7308 / 0426-899-414</t>
  </si>
  <si>
    <t>194541.72</t>
  </si>
  <si>
    <t>0414-4201135</t>
  </si>
  <si>
    <t>CALLE CANTAURA, NRO. CIVICO 100-31, CC EL CICLON, NIVEL PLANTA BAJA LOCAL 4 SECTOR LA CANDELARIA VALENCIA CARABOBO</t>
  </si>
  <si>
    <t>01195</t>
  </si>
  <si>
    <t>FARMACIA DEL CENTRO 2021, C.A.</t>
  </si>
  <si>
    <t>J501192871</t>
  </si>
  <si>
    <t>04241433986 / 04241433986</t>
  </si>
  <si>
    <t>AV BOLÍVAR CON CALLE MARIÑO, EDIFICIO EXCELSIOR, LOCAL NRO 3, SECTOR CENTRO. SAN JUAN DE LOS MORROS GUARICO</t>
  </si>
  <si>
    <t>01196</t>
  </si>
  <si>
    <t>FARMACIA RIO II 13 C.A</t>
  </si>
  <si>
    <t>J500383924</t>
  </si>
  <si>
    <t>CARAYACA LA GUAIRA</t>
  </si>
  <si>
    <t>0424-1524300</t>
  </si>
  <si>
    <t>CALLE PRINCIPAL KM 23 EDIF 63-B PISO P/B LOCAL 2 URB EL JUNQUITO CARAYACA LA GUAIRA</t>
  </si>
  <si>
    <t>01197</t>
  </si>
  <si>
    <t>FARMA CLIP, C.A. (CHARALLAVE)</t>
  </si>
  <si>
    <t>FARMA CLIP, C.A.</t>
  </si>
  <si>
    <t>J403703574</t>
  </si>
  <si>
    <t>0424-2453219</t>
  </si>
  <si>
    <t>AV BOLIVAR EDIF TELOS PISO PB LOCAL S/N SECTOR EL CAMPITO CHARALLAVE MIRANDA</t>
  </si>
  <si>
    <t>86761.72</t>
  </si>
  <si>
    <t>01198</t>
  </si>
  <si>
    <t>FARMACLIP OCUMARE C.A.</t>
  </si>
  <si>
    <t>J501015058</t>
  </si>
  <si>
    <t>OCUMARE DEL TUY</t>
  </si>
  <si>
    <t>8663</t>
  </si>
  <si>
    <t>AV LANDER CC GIRASOL NIVEL PB LOCAL 3 SECTOR CENTRO OCUMARE DEL TUY MIRANDA</t>
  </si>
  <si>
    <t>68979.23</t>
  </si>
  <si>
    <t>AV FINAL AV. SIMON BOLIVAR EDIF ED. SORIA PISO PB LOCAL LOCAL UNICO URB LA SILSA CARACAS DISTRITO CAPITAL</t>
  </si>
  <si>
    <t>04160994870</t>
  </si>
  <si>
    <t>SECTOR AEROPUERTO EL DORADO ESTADO BOLIVAR</t>
  </si>
  <si>
    <t>01201</t>
  </si>
  <si>
    <t>FARMACIA LEIVA C.A.</t>
  </si>
  <si>
    <t>J504721654</t>
  </si>
  <si>
    <t>0416-4113521</t>
  </si>
  <si>
    <t>CALLE PIAR CASA NRO 30 SECTOR CENTRO RIO CARIBE ESTADO SUCRE</t>
  </si>
  <si>
    <t>46240.32</t>
  </si>
  <si>
    <t>01202</t>
  </si>
  <si>
    <t>CORPORACION GLOBAL RAY, C.A. (GLOBAL 1)</t>
  </si>
  <si>
    <t>CORPORACION GLOBAL RAY, C.A.</t>
  </si>
  <si>
    <t>J406045691</t>
  </si>
  <si>
    <t>CALLE #02 LOCAL NRO 2 URB VILLA ROSA VILLA ROSA ESTADO NUEVA ESPARTA</t>
  </si>
  <si>
    <t>547632.89</t>
  </si>
  <si>
    <t>01203</t>
  </si>
  <si>
    <t>MI FARMACIA LOS SAMANES, C.A</t>
  </si>
  <si>
    <t>J502527990</t>
  </si>
  <si>
    <t>0424-4361781</t>
  </si>
  <si>
    <t>AV BRANGER LOCAL NRO 84-6 SECTOR LOS TALADROS VALENCIA ESTADO CARABOBO</t>
  </si>
  <si>
    <t>288364.16</t>
  </si>
  <si>
    <t>01204</t>
  </si>
  <si>
    <t>RICARDO ENRIQUE GARCIA URBINA</t>
  </si>
  <si>
    <t>V27917906</t>
  </si>
  <si>
    <t>4.73</t>
  </si>
  <si>
    <t>01205</t>
  </si>
  <si>
    <t>FARMACIA SAN SHARBEL 111, C.A</t>
  </si>
  <si>
    <t>J504849642</t>
  </si>
  <si>
    <t>CALLE PRINCIPAL VIA AL HOSPITAL LOCAL NRO 02 SECTOR HOPSITAL DR LUIS RAZETTI BARCELONA ESTADO ANZOATEGUI</t>
  </si>
  <si>
    <t>52207.75</t>
  </si>
  <si>
    <t>01207</t>
  </si>
  <si>
    <t>FARMA OFERTAS TIERRA SANTA,C.A. (SUCURSAL 3)</t>
  </si>
  <si>
    <t>FARMA OFERTAS TIERRA SANTA,C.A.</t>
  </si>
  <si>
    <t>AV GUAYANA, LOCAL 47, SECTOR CENTURION, MERCADO PERIFERICO CIUDAD BOLIVAR ESTADO BOLIVAR</t>
  </si>
  <si>
    <t>135456.42</t>
  </si>
  <si>
    <t>01208</t>
  </si>
  <si>
    <t>EMPRENDIMIENTO ANAYS MARIÑA</t>
  </si>
  <si>
    <t>J503998296</t>
  </si>
  <si>
    <t>COCOLLAR</t>
  </si>
  <si>
    <t>8664</t>
  </si>
  <si>
    <t>CALLE PRINCIPAL LOCAL NRO S/N SECTOR COCOLLAR LAS PIEDRAS - (COCOLLAR) ESTADO SUCRE</t>
  </si>
  <si>
    <t>94308.72</t>
  </si>
  <si>
    <t>01209</t>
  </si>
  <si>
    <t>FARMABAHIA 1098, C.A.</t>
  </si>
  <si>
    <t>J503926457</t>
  </si>
  <si>
    <t>AV PRINCIPAL LOCAL NRO 7-D URB VILLA REAL, SECTOR 5, UD 328, PUERTO ORDAZ CIUDAD GUAYANA BOLIVAR</t>
  </si>
  <si>
    <t>01210</t>
  </si>
  <si>
    <t>FARMACIA LOS ANGELITOS, S.A</t>
  </si>
  <si>
    <t>J000634890</t>
  </si>
  <si>
    <t>CALLE SUR 8, AV. SAN MARTIN, ESQUINA ANGELITOS A JESUS LOCAL NRO 140 URB SAN MARTIN, SECTOR SAN JUAN CARACAS DISTRITO CAPITAL</t>
  </si>
  <si>
    <t>71866.65</t>
  </si>
  <si>
    <t>01211</t>
  </si>
  <si>
    <t>FARMACIA HOSPIMED BEJUMA, C.A.</t>
  </si>
  <si>
    <t>J313678724</t>
  </si>
  <si>
    <t>0424-4905815</t>
  </si>
  <si>
    <t>AV HERES, ENTRE AV. LOS FUNDADORES Y CALLE SALOM LOCAL MANZANA 06, LOTE NRO 07-L2 NRO 02 SECTOR PUEBLO NUEVO BEJUMA ESTADO CARABOBO</t>
  </si>
  <si>
    <t>75495.03</t>
  </si>
  <si>
    <t>01212</t>
  </si>
  <si>
    <t>EXPENDIOS DE MEDICAMENTOS EL REY SEBASTIAN, C.A</t>
  </si>
  <si>
    <t>J502073213</t>
  </si>
  <si>
    <t>EL PILAR</t>
  </si>
  <si>
    <t>04125937301</t>
  </si>
  <si>
    <t>8666</t>
  </si>
  <si>
    <t>CALLE PRINCIPAL LOCAL S/N SECTOR LOS ARROYOS, EL PILAR ESTADO SUCRE.</t>
  </si>
  <si>
    <t>318443.26</t>
  </si>
  <si>
    <t>01213</t>
  </si>
  <si>
    <t>JAIRO JESUS UZCATEGUI HERDE</t>
  </si>
  <si>
    <t>V17547810</t>
  </si>
  <si>
    <t>0416-4031186</t>
  </si>
  <si>
    <t>0424-9268138</t>
  </si>
  <si>
    <t>CALLE BOLIVAR, LOCAL NRO 18-05, SECTOR CENTRO, EL CALLAO BOLIVAR</t>
  </si>
  <si>
    <t>BARQUISIMETO</t>
  </si>
  <si>
    <t>0412-9587873</t>
  </si>
  <si>
    <t>8626</t>
  </si>
  <si>
    <t>CALLE 16 CON CARRERA 23 LOCAL NRO 16-17 ZONA CENTRO BARQUISIMETO LARA</t>
  </si>
  <si>
    <t>LARA</t>
  </si>
  <si>
    <t>CRESPO</t>
  </si>
  <si>
    <t>01216</t>
  </si>
  <si>
    <t>FARMACIA MADRE CANDELARIA C.A</t>
  </si>
  <si>
    <t>J295512740</t>
  </si>
  <si>
    <t>CALLE PELLON Y PALACIOS ENTRE ANDRES ELOY BLANCO E ILUSTRES EDIFICIO MACAIRA PLANTA BAJA LOCAL C SECTOR EL CHALA ALTAGRACIA DE ORITUCO GUARICO</t>
  </si>
  <si>
    <t>457.20</t>
  </si>
  <si>
    <t>01217</t>
  </si>
  <si>
    <t>FARMACIA CARONI C.A.</t>
  </si>
  <si>
    <t>J075497899</t>
  </si>
  <si>
    <t>AV BOLIVAR NORTE  EDIF TORRE MIRANDA NRO CYD PISO PB LOCAL LOC C-D URB LAS ACACIAS VALENCIA CARABOBO</t>
  </si>
  <si>
    <t>01218</t>
  </si>
  <si>
    <t>MATRIZ FARMA WAY MEDIC, C.A</t>
  </si>
  <si>
    <t>J500371489</t>
  </si>
  <si>
    <t>0414-3491611</t>
  </si>
  <si>
    <t>CALLE VIA VIGIRIMA LOCAL NRO 4-5 SECTOR NEGRO PRIMERO GUACARA CARABOBO</t>
  </si>
  <si>
    <t>01221</t>
  </si>
  <si>
    <t>MICOFARMA 2024, C.A</t>
  </si>
  <si>
    <t>J505392310</t>
  </si>
  <si>
    <t>0412-1499448</t>
  </si>
  <si>
    <t>VDA 01 LOCAL NRO 45 URB URBANIZACION CHUPARIN PUERTO LA CRUZ ESTADO ANZOATEGUI</t>
  </si>
  <si>
    <t>270088.03</t>
  </si>
  <si>
    <t>01222</t>
  </si>
  <si>
    <t>CENTRO QUIRURGICO WINSTON CHURCHILL, C.A</t>
  </si>
  <si>
    <t>J301068211</t>
  </si>
  <si>
    <t>0424-8715915</t>
  </si>
  <si>
    <t>AV WINSTON CHURCHILL NRO S/N SECTOR PUEBLO NUEVO SUR EL TIGRE ANZOATEGUI</t>
  </si>
  <si>
    <t>01224</t>
  </si>
  <si>
    <t>JESUS DIAZ</t>
  </si>
  <si>
    <t>V24123526</t>
  </si>
  <si>
    <t>0424-9005254</t>
  </si>
  <si>
    <t>01225</t>
  </si>
  <si>
    <t>JULIO CESAR GUATARASMA GOMEZ</t>
  </si>
  <si>
    <t>V25452827</t>
  </si>
  <si>
    <t>0412-8753488</t>
  </si>
  <si>
    <t>01226</t>
  </si>
  <si>
    <t>JESUS ARMANDO MENDEZ GARCIA</t>
  </si>
  <si>
    <t>V28429530</t>
  </si>
  <si>
    <t>0424-9273766</t>
  </si>
  <si>
    <t>7509.65</t>
  </si>
  <si>
    <t>0424-2745467</t>
  </si>
  <si>
    <t>AV JOSE MARIA VARGAS LOCAL ROCAMAR NRO 2 SECTOR CENTRO PAMPATAR NUEVA ESPARTA</t>
  </si>
  <si>
    <t>01228</t>
  </si>
  <si>
    <t>CENTRO CLINICO DEL CARIBE, C.A</t>
  </si>
  <si>
    <t>J297744878</t>
  </si>
  <si>
    <t>AV FRANCISCO ESTEBAN GOMEZ CC EL PARQUE, EDF. CENTRO CLINICO DEL CARIBE NIVEL PB OF PB URB LA ARBOLEDA PORLAMAR NUEVA ESPARTA</t>
  </si>
  <si>
    <t>01229</t>
  </si>
  <si>
    <t>MERLIS LOPEZ</t>
  </si>
  <si>
    <t>V180797188</t>
  </si>
  <si>
    <t>CALLE PRINCIPAL CASA NRO 34 SECTOR LOS PINOS MATURIN ESTADO MONAGAS</t>
  </si>
  <si>
    <t>01230</t>
  </si>
  <si>
    <t>FARMACIA BERENICE &amp; M.A. C.A.</t>
  </si>
  <si>
    <t>04/10/2025</t>
  </si>
  <si>
    <t>J411613797</t>
  </si>
  <si>
    <t>AV PAEZ CON CALLE 2 QTA CARMEN NRO S/N, URBANIZACION EL PARAISO, CARACAS DISTRITO CAPITAL</t>
  </si>
  <si>
    <t>01231</t>
  </si>
  <si>
    <t>INVERSIONES ABBA 308, C.A.</t>
  </si>
  <si>
    <t>J412549618</t>
  </si>
  <si>
    <t>0424-1726064</t>
  </si>
  <si>
    <t>ESQ DE GRADILLAS A SOCIEDAD EDIF HUMBOLDT PISO PB LOCAL N2 ZONA CATEDRAL CARACAS DISTRITO CAPITAL</t>
  </si>
  <si>
    <t>74440.86</t>
  </si>
  <si>
    <t>01232</t>
  </si>
  <si>
    <t>AUTOMERCADOS NOVA, C.A</t>
  </si>
  <si>
    <t>J407514415</t>
  </si>
  <si>
    <t>AV TERRANOVA LOCAL NRO 5 SECTOR EL POBLADO PORLAMAR NUEVA ESPARTA</t>
  </si>
  <si>
    <t>617740.88</t>
  </si>
  <si>
    <t>01233</t>
  </si>
  <si>
    <t>FARMACIA LA AUYAMA, C.A</t>
  </si>
  <si>
    <t>J502121390</t>
  </si>
  <si>
    <t>AV LA AUYAMA LOCAL NRO S/N SECTOR LA OTRA SABANA EL PILAR (LOS ROBLES) NUEVA ESPARTA</t>
  </si>
  <si>
    <t>1638636.58</t>
  </si>
  <si>
    <t>01234</t>
  </si>
  <si>
    <t>FARMACIA 1A, C.A</t>
  </si>
  <si>
    <t>CALLE IGUALDAD ENTRE BOULEVARD GOMEZ Y CALLE FRATERNIDAD LOCAL NRO 19-36-D SECTOR CENTRO PORLAMAR NUEVA ESPARTA</t>
  </si>
  <si>
    <t>345276.43</t>
  </si>
  <si>
    <t>01235</t>
  </si>
  <si>
    <t>FARMA FE FM, C.A</t>
  </si>
  <si>
    <t>J501067260</t>
  </si>
  <si>
    <t>0414-0835125</t>
  </si>
  <si>
    <t>CALLE MATURIN CASA NRO S/N SECTOE CASCO CENTRAL SAN MATEO ANZOATEGUI</t>
  </si>
  <si>
    <t>20767.74</t>
  </si>
  <si>
    <t>01236</t>
  </si>
  <si>
    <t>FARMACIA AHORRO SALUD V, C.A</t>
  </si>
  <si>
    <t>J500608691</t>
  </si>
  <si>
    <t>0416-3864548</t>
  </si>
  <si>
    <t>AV BOULEVAR 5 DE JULIO LOCAL NRO 13-27 SECTOR BARCELONA BARCELONA ANZOATEGUI</t>
  </si>
  <si>
    <t>109405.50</t>
  </si>
  <si>
    <t>0424-3678818</t>
  </si>
  <si>
    <t>AV CONSTITUCION OESTE LOCAL NRO 53 SECTOR SANTA ROSA NORTE II MARACAY ARAGUA</t>
  </si>
  <si>
    <t>0414-8065300</t>
  </si>
  <si>
    <t>CALLE BOLIVAR CON CALLE SUCRE CC CHENCHE FARIAS NIVEL 1 LOCAL 5 SECTOR CENTRO YAGUARAPARO SUCRE</t>
  </si>
  <si>
    <t>01239</t>
  </si>
  <si>
    <t>UNIDAD MEDICO QUIRURGICA SBELTY, C.A</t>
  </si>
  <si>
    <t>J504576751</t>
  </si>
  <si>
    <t>0412-8825002</t>
  </si>
  <si>
    <t>CALLE PRINCIPAL CC PALMA REAL PISO 1 LOCAL P-18 SECTOR PALMA REAL MATURIN ESTADO MONAGAS</t>
  </si>
  <si>
    <t>0412-8912482</t>
  </si>
  <si>
    <t>CALLE PRINCIPAL SECTOR EL DOARDO FRENTE AL TERMINAL</t>
  </si>
  <si>
    <t>CALLE PRINCIPAL CASA NRO 14-03 URB VILLA BETANIA CIUDAD GUAYANA BOLIVAR</t>
  </si>
  <si>
    <t>0416-7362643</t>
  </si>
  <si>
    <t>AV LIBERTADOR ENTRE CARRERA 3 ANILLO ESTE LOCAL S/N SECTOR CANTV MANTECAL ESTADO APURE</t>
  </si>
  <si>
    <t>AV PPAL CASA NRO P11-21 CONJUNTO RESIDENCIAL PARAMACONI MATURIN ESTADO MONAGAS</t>
  </si>
  <si>
    <t>0412-1820207</t>
  </si>
  <si>
    <t>AV MANUEL PIAR CC LE ECONOMICA NIVEL PB-7 LOCAL 7 SECTOR VISTA AL SOL CIUDAD GUAYANA BOLIVAR</t>
  </si>
  <si>
    <t>CALLE ITALIA EDIF CENTRO CLINICO VILLA AFRICANA PISO PB LOCAL 1 URB LOS OLIVOS CIUDAD GUAYANA BOLIVAR</t>
  </si>
  <si>
    <t>01246</t>
  </si>
  <si>
    <t>FARMACIA MEDICFARMA PLUS, C.A.</t>
  </si>
  <si>
    <t>J505916238</t>
  </si>
  <si>
    <t>AVENIDA GERMANIA  CC LOS PROCERES NIVEL P/B LOCAL PB-032 SECTOR AVENIDA GERMANIA PARROQUIA CATEDRAL MUNICIPIO ANGOSTURA DEL ORINOCO</t>
  </si>
  <si>
    <t>116692.39</t>
  </si>
  <si>
    <t>01249</t>
  </si>
  <si>
    <t>FARMA OFERTAS LA ECONOMICA, C.A (SUCURSAL 1)</t>
  </si>
  <si>
    <t>7905.07</t>
  </si>
  <si>
    <t>01250</t>
  </si>
  <si>
    <t>FARMACIA OFERTAS LA ECONOMICA.CA (PRINCIPAL)</t>
  </si>
  <si>
    <t>FARMACIA OFERTAS LA ECONOMICA.CA</t>
  </si>
  <si>
    <t>379.84</t>
  </si>
  <si>
    <t>01251</t>
  </si>
  <si>
    <t>FARMA AHORRO LA ECONOMICA, C.A (SUCURSAL 6)</t>
  </si>
  <si>
    <t>35289.83</t>
  </si>
  <si>
    <t>CALLE LIBERTAD EDIFICIO SALVEN,P/B LOCAL N° 38-A ,SECTOR CENTRO MUNICIPIO JUAN ANTONIO SOTILLO PUERTO LA CRUZ ESTADO ANZOATEGUI</t>
  </si>
  <si>
    <t>01253</t>
  </si>
  <si>
    <t>FARMA AHORRO LA ECONOMICA, C.A (SUCURSAL 4 PUERTO LA CRUZ)</t>
  </si>
  <si>
    <t>37132.35</t>
  </si>
  <si>
    <t>0424-3202567</t>
  </si>
  <si>
    <t>CALLE PAEZ EDIF DAMN PISO PB LOCAL I ZONA CENTRO MARACAY ARAGUA</t>
  </si>
  <si>
    <t>AV ARAGUA C/C CLL. BERMUDEZ CC MARACAY PLAZA NIVEL PB LOCAL 45 Y 46 URB EL CENTRO MARACAY ARAGUA</t>
  </si>
  <si>
    <t>01256</t>
  </si>
  <si>
    <t>FARMA OFERTAS LA ECONOMICA, C.A (SUCURSAL 5)</t>
  </si>
  <si>
    <t>75143.31</t>
  </si>
  <si>
    <t>0414-0514309</t>
  </si>
  <si>
    <t>AV 19 DE ABRIL LOCAL NRO 50 Y 52 BARRIO DEMOCRACIA II ARACAY ARAGUA</t>
  </si>
  <si>
    <t>01258</t>
  </si>
  <si>
    <t>FARMASOL BOULEVARD 2020 C.A.</t>
  </si>
  <si>
    <t>J500312300</t>
  </si>
  <si>
    <t>CALLE BOULEVARD PEREZ ALMARZA EDIF 27 PISO PB LOCAL 27-A SECTOR CENTRO MARACAY ARAGUA</t>
  </si>
  <si>
    <t>309567.96</t>
  </si>
  <si>
    <t>01259</t>
  </si>
  <si>
    <t>MC' TIME FARMACIA C.A.</t>
  </si>
  <si>
    <t>J315845210</t>
  </si>
  <si>
    <t>04243301865 /</t>
  </si>
  <si>
    <t>AV BOLIVAR ESTE LOCAL NRO 58-1 SECTOR CASCO CENTRAL MARACAY ESTADO ARAGUA</t>
  </si>
  <si>
    <t>01261</t>
  </si>
  <si>
    <t>FARMACIA FARMA OFERTAS LA ECONOMICA,C.A (SUCURSAL 2)</t>
  </si>
  <si>
    <t>FARMACIA FARMA OFERTAS LA ECONOMICA,C.A</t>
  </si>
  <si>
    <t>9924.09</t>
  </si>
  <si>
    <t>01262</t>
  </si>
  <si>
    <t>EXPENDIO DE MEDICAMENTOS SANTA ROSA, C.A</t>
  </si>
  <si>
    <t>J501425353</t>
  </si>
  <si>
    <t>LA PARAGUA EDO BOLIVAR</t>
  </si>
  <si>
    <t>0424-9027426</t>
  </si>
  <si>
    <t>AV MIRANDA LOCAL S/N SECTOR CASCO HISTORICO PAROQUIA BARCELONETA LA PARAGUA BOLIVAR</t>
  </si>
  <si>
    <t>01263</t>
  </si>
  <si>
    <t>EXPENDIO DE MEDICINAS TEPUYS, C.A.</t>
  </si>
  <si>
    <t>J412832484</t>
  </si>
  <si>
    <t>CALLE BOLIVAR FRENTE A LA ESCUELA IMATACA LOCAL S/N PARROQUIA BARCELONETA MUNICIPIO BOLIVARIANO ANGOSTURA LA PARAGUA</t>
  </si>
  <si>
    <t>01264</t>
  </si>
  <si>
    <t>UNIFARMACIA 2015,C.A.- (UPATA)</t>
  </si>
  <si>
    <t>UNIFARMACIA 2015,C.A.</t>
  </si>
  <si>
    <t>J407249886</t>
  </si>
  <si>
    <t>0414-8811116</t>
  </si>
  <si>
    <t>CALLE AYACUCHO, CRUCE CON CALLE UNION, CC SAFITA, NIVEL P.B LOCAL 02 SECTOR CASCO CENTRAL UPATA BOLIVAR</t>
  </si>
  <si>
    <t>0414-3395717</t>
  </si>
  <si>
    <t>CALLE NUEVA DE AGUA SALUD CASA 87-10 SECTOR LOS ROBLES CARACAS DISTRITO CAPITAL</t>
  </si>
  <si>
    <t>01266</t>
  </si>
  <si>
    <t>FARMACIA FAMI SALUD, C.A</t>
  </si>
  <si>
    <t>J505211153</t>
  </si>
  <si>
    <t>0414-1918523</t>
  </si>
  <si>
    <t>CALLE ROSCIO, LOCAL NRO 02 SECTOR EL OBELISCO, EL CALLAO BOLIVAR</t>
  </si>
  <si>
    <t>112960.35</t>
  </si>
  <si>
    <t>01267</t>
  </si>
  <si>
    <t>CENTRO CLINICO VITALIA</t>
  </si>
  <si>
    <t>V24.559.479</t>
  </si>
  <si>
    <t>+58 424-9659697</t>
  </si>
  <si>
    <t>CALLE 5 DE JULIO SALIENDO AL AEROPUERTO EL DORADO EDO BOLIVAR</t>
  </si>
  <si>
    <t>35067.62</t>
  </si>
  <si>
    <t>01268</t>
  </si>
  <si>
    <t>FARMACIA C.C.LAS AMERICAS,C.A.</t>
  </si>
  <si>
    <t>J311165932</t>
  </si>
  <si>
    <t>0412-3104698</t>
  </si>
  <si>
    <t>AV LAS DELICIAS CC LAS AMERICAS NIVEL PB LOCAL PB-3 PB-5 URB EL BOSQUE DE LAS DELICIAS, MARACAY ARAGUA</t>
  </si>
  <si>
    <t>01269</t>
  </si>
  <si>
    <t>FARMACIA FAR-TODO LA ARBOLEDA, C.A</t>
  </si>
  <si>
    <t>J297781358</t>
  </si>
  <si>
    <t>SANTA CRUZ EDO ARAGUA</t>
  </si>
  <si>
    <t>0414-2959288</t>
  </si>
  <si>
    <t>8670</t>
  </si>
  <si>
    <t>SANTA CRUZ - ARAGUA</t>
  </si>
  <si>
    <t>CALLE HERNANDEZ NADAL CRUCE CON CALLE INDEPENDENCIA EDIF LA BARTOLERA PISO PB LOCAL 32-05 NRO 03 SECTOR CASCO CENTRAL SANTA CRUZ ARAGUA</t>
  </si>
  <si>
    <t>3435.73</t>
  </si>
  <si>
    <t>01270</t>
  </si>
  <si>
    <t>FARMACIA VICTORIA´S 2022,C.A</t>
  </si>
  <si>
    <t>J501898570</t>
  </si>
  <si>
    <t>SANTA RITA EDO ARAGUA</t>
  </si>
  <si>
    <t>0424-3745280</t>
  </si>
  <si>
    <t>8671</t>
  </si>
  <si>
    <t>SANTA RITA - ARAGUA</t>
  </si>
  <si>
    <t>AV PRINCIPAL DE COROPO CASA NRO 04 SECTOR DESARROLLO PROYECTO REVERDECER SANRA RITA ARAGUA</t>
  </si>
  <si>
    <t>102551.73</t>
  </si>
  <si>
    <t>01271</t>
  </si>
  <si>
    <t>FARMACIA HOSPITALARIA INDEPENDENCIA CA (HOSPIFARMA)</t>
  </si>
  <si>
    <t>FARMACIA HOSPITALARIA INDEPENDENCIA CA</t>
  </si>
  <si>
    <t>0414-8648066</t>
  </si>
  <si>
    <t>CALLE INDEPENDENCIA CC OLIMPIA NIVEL P/B LOCAL 4-7 SECTOR PLAZA CIUDAD BOLIVAR BOLIVAR</t>
  </si>
  <si>
    <t>51241.62</t>
  </si>
  <si>
    <t>01272</t>
  </si>
  <si>
    <t>FARMACIA FALCOMEDICA PLUS, C.A.</t>
  </si>
  <si>
    <t>J298926902</t>
  </si>
  <si>
    <t>0414-6945173</t>
  </si>
  <si>
    <t>19</t>
  </si>
  <si>
    <t>TELEMARKETING JHON</t>
  </si>
  <si>
    <t>AV JACINTO LARA QTA MANSION BLANCA SECTOR NVO PUEBLO NORTE, PUNTO FIJO- EDO. FALCON</t>
  </si>
  <si>
    <t>0424-3257945</t>
  </si>
  <si>
    <t>AV PRINCIPAL CC PARQUE SAN JACINTO NIVEL P-B LOCAL 11 URB SAN JACINTO MARACAY ARAGUA</t>
  </si>
  <si>
    <t>0424-3105949</t>
  </si>
  <si>
    <t>AV MIRANDA OESTE LOCAL NRO 5 SECTOR LA ROMANA MARACAY ARAGUA</t>
  </si>
  <si>
    <t>01275</t>
  </si>
  <si>
    <t>FARMACIA EMANUEL INTERNACIONAL C A (SUCURSAL SUCRE)</t>
  </si>
  <si>
    <t>FARMACIA EMANUEL INTERNACIONAL C A</t>
  </si>
  <si>
    <t>J411557889</t>
  </si>
  <si>
    <t>0412-1110634</t>
  </si>
  <si>
    <t>AV LIBERTADOR CRUCE CON CALLE LAS CAOBAS, MANZANA 4 LOCAL NRO 90 URB OCV AGUA CLARITA PARIAGUAN ANZOATEGUI</t>
  </si>
  <si>
    <t>0414-5598900</t>
  </si>
  <si>
    <t>22</t>
  </si>
  <si>
    <t>CR 3 CON CALLE 7 CASA S/N URB BARRIO LA PAZ BARQUISIMETO LARA</t>
  </si>
  <si>
    <t>01277</t>
  </si>
  <si>
    <t>FARMACIA NENA 2008, C.A</t>
  </si>
  <si>
    <t>J500538855</t>
  </si>
  <si>
    <t>0412-6251605</t>
  </si>
  <si>
    <t>CALLE 9 ENTRE CARRERAS 3 Y 4 CASA NRO 7-8 BARRIO BOLIVAR BARQUISIMETO LARA</t>
  </si>
  <si>
    <t>1214320.83</t>
  </si>
  <si>
    <t>0414-9233945/0414-3451008</t>
  </si>
  <si>
    <t>AV CONSTITUCION SENTIDO MARACAY TURMERO FRENTE AL TERMINAL TRANSMARACAY LOCAL NRO S/N SECTOR GUASIMAL MARACAY ARAGUA</t>
  </si>
  <si>
    <t>01279</t>
  </si>
  <si>
    <t>(MATRIZ) EXPENDIO DE MEDICINAS PUNTO ECONOMICO, C.A</t>
  </si>
  <si>
    <t>01280</t>
  </si>
  <si>
    <t>EXPENDIO DE MEDICINAS PUNTO ECONOMICO C.A  (SUCURSAL SAN FRANCISCO)</t>
  </si>
  <si>
    <t>EXPENDIO DE MEDICINAS PUNTO ECONOMICO C.A</t>
  </si>
  <si>
    <t>0424 9594244</t>
  </si>
  <si>
    <t>CALLE PRINCIPAL SECTOR SIMON BOLIVAR DIAGONAL A LA ETA SAN FRANCISCO, MUNICIPIO BOLIVARIANO ANGOSTURA, SAN FRANCISCO ESTADO BOLIVAR.</t>
  </si>
  <si>
    <t>0416-5852756</t>
  </si>
  <si>
    <t>CALLE PRINCIPAL LOCAL S/N SECTOR CASCO HISTORICO PARROQUIA BARCELONETA MUNICIPIO BOLIVARIANO ANGOSTURA LA PARAGUA BOLIVAR</t>
  </si>
  <si>
    <t>01282</t>
  </si>
  <si>
    <t>FARMACIA FARMA CLINICA, C.A. (PRINCIPAL)</t>
  </si>
  <si>
    <t>2318622.19</t>
  </si>
  <si>
    <t>0412-1902002</t>
  </si>
  <si>
    <t>AV SIEGERT C/C. INDEPENDENCIA EDIF CENTRO MEDICO ORINOCO PISO P/B. LOCAL S/N. SECTOR PLAZA CIUDAD BOLIVAR BOLIVAR</t>
  </si>
  <si>
    <t>01284</t>
  </si>
  <si>
    <t>FARMACIA HOSPITALARIA INDEPENDENCIA CA (SUCURSAL PSIQUIATRICO)</t>
  </si>
  <si>
    <t>637454.44</t>
  </si>
  <si>
    <t>+58 424-2063417</t>
  </si>
  <si>
    <t>AV SAN JOSE DE TOCOMITA LOCAL NRO 2 SECTOR VILLA ALTAMIRA VIA PRINCIPAL SAN ISIDRO SAN JOSE DE TOCOMITA CIUDAD PIAR (CAPITAL) BOLIVAR</t>
  </si>
  <si>
    <t>01287</t>
  </si>
  <si>
    <t>(MATRIZ) FARMACIA FAR-CENTRO 2019, C.A.</t>
  </si>
  <si>
    <t>J403256748</t>
  </si>
  <si>
    <t>01288</t>
  </si>
  <si>
    <t>FARMACIA FAR-CENTRO 2019, C.A.</t>
  </si>
  <si>
    <t>0412-8917018</t>
  </si>
  <si>
    <t>CALLE BOLIVAR CRUSE CON CALLE MARCIAL POZO LOCAL NRO 43-13 SECTOR CENTRO DE SANTA CRUZ SANTA CRUZ ARAGUA</t>
  </si>
  <si>
    <t>01289</t>
  </si>
  <si>
    <t>FARMACIA FAR-CENTRO 2019, C.A. (SUCURSAL SANTA CRUZ)</t>
  </si>
  <si>
    <t>0412-4338635</t>
  </si>
  <si>
    <t>01290</t>
  </si>
  <si>
    <t>(MATRIZ) FARMACIA EMANUEL INTERNACIONAL C A</t>
  </si>
  <si>
    <t>01291</t>
  </si>
  <si>
    <t>FARMACIA EMANUEL INTERNACIONAL C A (SUCURSAL)</t>
  </si>
  <si>
    <t>0412-0171380</t>
  </si>
  <si>
    <t>94581.18</t>
  </si>
  <si>
    <t>0414-4590649</t>
  </si>
  <si>
    <t>01293</t>
  </si>
  <si>
    <t>NANCY NOHEMI SMITH DE ORTEGA "FARMACIA 19 DE ABRIL FP"</t>
  </si>
  <si>
    <t>V045994615</t>
  </si>
  <si>
    <t>0414-8508324</t>
  </si>
  <si>
    <t>AV 19 DE ABRIL LOCAL 37 SECTOR 19 DE ABRIL PQUIA CATEDRAL MCPIO HERES CIUDAD BOLIVAR BOLIVAR</t>
  </si>
  <si>
    <t>79036.78</t>
  </si>
  <si>
    <t>01294</t>
  </si>
  <si>
    <t>FARMAHEALTH 24/07, C.A</t>
  </si>
  <si>
    <t>J501594422</t>
  </si>
  <si>
    <t>0414-4926001</t>
  </si>
  <si>
    <t>CALLE 5 DE JULIO, CRUCE CON CALLE MEDINA ANGARITA CC ANAGARITA NIVEL - LOCAL 3 ZONA CAGUA CAGUA ARAGUA</t>
  </si>
  <si>
    <t>725.23</t>
  </si>
  <si>
    <t>01295</t>
  </si>
  <si>
    <t>FARMA TU BIENESTAR, C.A</t>
  </si>
  <si>
    <t>J504338940</t>
  </si>
  <si>
    <t>TURMERO EDO ARAGUA</t>
  </si>
  <si>
    <t>0424-3509978</t>
  </si>
  <si>
    <t>8673</t>
  </si>
  <si>
    <t>TURMERO</t>
  </si>
  <si>
    <t>CR NACIONAL TURMERO EDIF ANALEONOR PISO PB LOCAL 6 SECTOR EDUVIGIS TURMERO ARAGUA</t>
  </si>
  <si>
    <t>149868.83</t>
  </si>
  <si>
    <t>01296</t>
  </si>
  <si>
    <t>FARMA-TIENDA,C,A</t>
  </si>
  <si>
    <t>J405948329</t>
  </si>
  <si>
    <t>0412-6100058</t>
  </si>
  <si>
    <t>AV AVENIDA MIRANDA C/C CALLE AREVALO GONZALEZ EDIF EDIFICIO BALDINELLI PISO P/B LOCAL LOCAL S/N SECTOR SECTOR CENTRO SAN FERNANDO DE APURE APURE</t>
  </si>
  <si>
    <t>125152.23</t>
  </si>
  <si>
    <t>01297</t>
  </si>
  <si>
    <t>FARMACIA LA FUENTE DE PAVIA C.A.</t>
  </si>
  <si>
    <t>J503380810</t>
  </si>
  <si>
    <t>8746</t>
  </si>
  <si>
    <t>PAVIA - LARA</t>
  </si>
  <si>
    <t>AV ALI PRIMERA KM10 CASA NRO S/N BARRIO BRISAS DE PAVIA BARQUISIMETO LARA</t>
  </si>
  <si>
    <t>PAVIA - BARQUISIMETO</t>
  </si>
  <si>
    <t>1610.09</t>
  </si>
  <si>
    <t>01298</t>
  </si>
  <si>
    <t>SUN MARKET, C.A</t>
  </si>
  <si>
    <t>J403729948</t>
  </si>
  <si>
    <t>0412-0934956</t>
  </si>
  <si>
    <t>CALLE BARRIO GUAYAMURI CC EL FUTURO NIVEL S/N LOCAL S/N BARRIO GUAYAMURI JUAN GRIEGO NUEVA ESPARTA</t>
  </si>
  <si>
    <t>1087.76</t>
  </si>
  <si>
    <t>0424-3161466</t>
  </si>
  <si>
    <t>CALLE REAL SALIDA A TUCUPIDO LOCAL NRO 117 SECTOR ESTE VALLE DE LA PASCUA GUARICO</t>
  </si>
  <si>
    <t>CABUDARE EDO LARA</t>
  </si>
  <si>
    <t>0416-5158322</t>
  </si>
  <si>
    <t>8674</t>
  </si>
  <si>
    <t>CABUDARE</t>
  </si>
  <si>
    <t>AVENIDA LIBERTADOR CON CRUCE AV. BENIGNO DELGADO LOCAL FARMACIA SALPA CA NRO 1 SECTOR CENTRO SANTA INES LARA</t>
  </si>
  <si>
    <t>01301</t>
  </si>
  <si>
    <t>CENTRO MEDICO QUIRURGICO LA FE, C A</t>
  </si>
  <si>
    <t>J065070633</t>
  </si>
  <si>
    <t>0424-8166628</t>
  </si>
  <si>
    <t>AV JOVITO VILLALBA LOCAL NRO S/N URB JORGE COLL PAMPATAR NUEVA ESPARTA</t>
  </si>
  <si>
    <t>0414-5365408</t>
  </si>
  <si>
    <t>CR 1 CON CALLE 3 LOCAL NRO S/N BARRIO EL CARMEN BARQUISIMETO LARA</t>
  </si>
  <si>
    <t>01303</t>
  </si>
  <si>
    <t>FARMA SHOP SOLIDARIA PALO NEGRO C.A</t>
  </si>
  <si>
    <t>J298687134</t>
  </si>
  <si>
    <t>PALO NEGRO EDO ARAGUA</t>
  </si>
  <si>
    <t>0424-3454025</t>
  </si>
  <si>
    <t>8675</t>
  </si>
  <si>
    <t>PALO NEGRO - ARAGUA</t>
  </si>
  <si>
    <t>CALLE CAMPO ELIAS C/C RONDON LOCAL NRO 3 CONJUNTO RESIDENCIAL TAMARINDO PALO NEGRO ARAGUA ZONA POSTAL 2117</t>
  </si>
  <si>
    <t>126896.78</t>
  </si>
  <si>
    <t>01304</t>
  </si>
  <si>
    <t>FARMACIA SARAMIEL, C.A</t>
  </si>
  <si>
    <t>J504611573</t>
  </si>
  <si>
    <t>SARARE EDO LARA</t>
  </si>
  <si>
    <t>0424-8519065</t>
  </si>
  <si>
    <t>8676</t>
  </si>
  <si>
    <t>SARARE - LARA</t>
  </si>
  <si>
    <t>AV MIRANDA ENTRE CALLE BRUZUAL Y UNION CASA NRO S/N SECTOR SARARE LARA ZONA POSTAL 3015</t>
  </si>
  <si>
    <t>01305</t>
  </si>
  <si>
    <t>FARMACIA SOFI SALUD AZCUE, C.A</t>
  </si>
  <si>
    <t>J412281224</t>
  </si>
  <si>
    <t>0414-9101000</t>
  </si>
  <si>
    <t>CALLE AZCUE CARRERA 9 EDIF MORVE PISO PB LOCAL B SECTOR CENTRO MATURIN MONAGAS</t>
  </si>
  <si>
    <t>42633.18</t>
  </si>
  <si>
    <t>01306</t>
  </si>
  <si>
    <t>FARMACIA BETHEL, C.A</t>
  </si>
  <si>
    <t>J405299460</t>
  </si>
  <si>
    <t>CHURUGUARA EDO FALCON</t>
  </si>
  <si>
    <t>8672</t>
  </si>
  <si>
    <t>CHURUGUARA</t>
  </si>
  <si>
    <t>CALLE PADRE ALDANA ENTRE CALLE BOLIVAR Y PORTO CARRERO, LOCAL S/N SECTOR CENTRO CHURUGUARA FALCON</t>
  </si>
  <si>
    <t>138781.04</t>
  </si>
  <si>
    <t>8677</t>
  </si>
  <si>
    <t>RIO TOCUYO</t>
  </si>
  <si>
    <t>CALLE BOLÍVAR EN LA INTERSECCIÓN CON LA ESQUINA CALLE SANTIAGO LOCAL NRO S/N ZONA CENTRO RIO TOCUYO LARA</t>
  </si>
  <si>
    <t>01308</t>
  </si>
  <si>
    <t>FARMACIA GUALCO, C.A.</t>
  </si>
  <si>
    <t>J310957053</t>
  </si>
  <si>
    <t>PUNTA CARDON EDO FALCON</t>
  </si>
  <si>
    <t>0424-6343091</t>
  </si>
  <si>
    <t>8678</t>
  </si>
  <si>
    <t>PUNTA CARDON</t>
  </si>
  <si>
    <t>AV AV OLLARVIDES CON CALLE ESCUQUE CC E-SOL NIVEL 1 LOCAL Nº 1 SECTOR PUERTA MARAVEN PUNTA CARDON FALCON</t>
  </si>
  <si>
    <t>182197.22</t>
  </si>
  <si>
    <t>01311</t>
  </si>
  <si>
    <t>FARMACIA ECOVIDA, C.A</t>
  </si>
  <si>
    <t>J503682957</t>
  </si>
  <si>
    <t>BARQUISIMETO EDO LARA</t>
  </si>
  <si>
    <t>0414-5098410</t>
  </si>
  <si>
    <t>AVENIDA FLORENCIO JIMENEZ ENTRE CALLES 12 Y 14 DE PUEBLO NUEVO LOCAL NRO 01 ZONA OESTE BARQUISIMETO LARA</t>
  </si>
  <si>
    <t>01312</t>
  </si>
  <si>
    <t>FARMACIA SAN MATEO C A (BARCELONA)</t>
  </si>
  <si>
    <t>FARMACIA SAN MATEO C A</t>
  </si>
  <si>
    <t>J080092066</t>
  </si>
  <si>
    <t>0414-8139628</t>
  </si>
  <si>
    <t>AV CARACAS EDIF C C ES-K-LERA PISO 01-PB LOCAL 01-PB SECTOR CENTRO BARCELONA ANZOATEGUI</t>
  </si>
  <si>
    <t>863.51</t>
  </si>
  <si>
    <t>04126076834</t>
  </si>
  <si>
    <t>CENTRO COMERCIAL AB MEZ LOCAL 54 PORLAMAR NUEVA ESPARTA</t>
  </si>
  <si>
    <t>01314</t>
  </si>
  <si>
    <t>FARMACIA CATALANA, C. A.</t>
  </si>
  <si>
    <t>J503544309</t>
  </si>
  <si>
    <t>0414-2087228</t>
  </si>
  <si>
    <t>CALLE EZEQUIEL ZAMORA CASA NRO 20 SECTOR LA MORITA II ESTE SANTA RITA ARAGUA</t>
  </si>
  <si>
    <t>229833.61</t>
  </si>
  <si>
    <t>01315</t>
  </si>
  <si>
    <t>FARMACIA DIMAWORLD, C.A</t>
  </si>
  <si>
    <t>J413136643</t>
  </si>
  <si>
    <t>PUEBLO NUEVO EDO FALCON</t>
  </si>
  <si>
    <t>8679</t>
  </si>
  <si>
    <t>PUEBLO NUEVO - FALCON</t>
  </si>
  <si>
    <t>CALLE FALCON LOCAL NRO SN SECTOR PUEBLO NUEVO PUEBLO NUEVO FALCON</t>
  </si>
  <si>
    <t>417374.12</t>
  </si>
  <si>
    <t>01316</t>
  </si>
  <si>
    <t>FARMACIA FARMA FULL, C.A</t>
  </si>
  <si>
    <t>J500540973</t>
  </si>
  <si>
    <t>0412-0573734</t>
  </si>
  <si>
    <t>31</t>
  </si>
  <si>
    <t>TELEMARKETING DIEGO</t>
  </si>
  <si>
    <t>CTRA ANTIGUA VIA EL TOCUYO LOCAL NRO S/N BARRIO SAN JOSE OBRERO BARQUIISMETO LARA</t>
  </si>
  <si>
    <t>68587.44</t>
  </si>
  <si>
    <t>01317</t>
  </si>
  <si>
    <t>JHONNY HAKANI BECERENI  "FARMACIA FARMA VIDA"</t>
  </si>
  <si>
    <t>V114293748</t>
  </si>
  <si>
    <t>BARQUIISMETO EDO LARA</t>
  </si>
  <si>
    <t>0414-5188222 / 0412-2527776</t>
  </si>
  <si>
    <t>CR 24 CON CALLE 36 Y 37 36-15 SECTOR CENTRO BARQUIISMETO LARA</t>
  </si>
  <si>
    <t>6876.05</t>
  </si>
  <si>
    <t>AV FRANCISCO DE MIRANDA LOCAL NRO S/N ZONA VIA A SAN FERNANDO DE APURE CALABOZO GUARICO ZONA POSTAL 2312</t>
  </si>
  <si>
    <t>01319</t>
  </si>
  <si>
    <t>FARMACIA MAZIAD, C.A (SUCURSAL)</t>
  </si>
  <si>
    <t>FARMACIA MAZIAD, C.A</t>
  </si>
  <si>
    <t>0416-4639005</t>
  </si>
  <si>
    <t>126051.20</t>
  </si>
  <si>
    <t>01320</t>
  </si>
  <si>
    <t>(MATRIZ) FARMACIA SAN SHARBEL, C.A</t>
  </si>
  <si>
    <t>01321</t>
  </si>
  <si>
    <t>FARMACIA SAN SHARBEL, C.A  "SUCURSAL"</t>
  </si>
  <si>
    <t>avenida principal de lechería, centro comercial paulista, local numero 2 . 
Estado Anzoategui. Municipio Diego Bautista Urbaneja. Parroquia El Morro. Lecherias</t>
  </si>
  <si>
    <t>0412 0750293</t>
  </si>
  <si>
    <t>CALLE LOS MANGOS CASA NRO S/N SECTOR TACUATO TACUATO FALCON</t>
  </si>
  <si>
    <t>0424-6287589</t>
  </si>
  <si>
    <t>AV TIRSO SALAVERRIA EDIF SANTA CLARA PISO PB LOCAL 1 SECTOR CHIMPIRE SANTA ANA DE CORO FALCON</t>
  </si>
  <si>
    <t>01324</t>
  </si>
  <si>
    <t>FARMACIA FARMADESCUENTO C.A</t>
  </si>
  <si>
    <t>J309871102</t>
  </si>
  <si>
    <t>04266342336</t>
  </si>
  <si>
    <t>CALLE BOLIVAR C/C GIRARDOT LOCAL NRO 48-2 SECTOR OCUMARITO PALO NEGRO PALO NEGRO ARAGUA</t>
  </si>
  <si>
    <t>CALLE COMERCIO DE CAJA DE AGUA ENYRE MONAGAS Y MANUELITA SAENZ LOCAL FARMASI NRO 1 SECTOR CAJA DE AGUA PUNTO FIJO FALCON</t>
  </si>
  <si>
    <t>01326</t>
  </si>
  <si>
    <t>FARMACIA LAS CALDERAS C.A</t>
  </si>
  <si>
    <t>J305494312</t>
  </si>
  <si>
    <t>AV MANAURE CC JOSUE NIVEL PB LOCAL NO 1 ZONA CORO SANTA ANA DE CORO FALCON</t>
  </si>
  <si>
    <t>AV GENERAL PELAYO LOCAL NRO 17 SECTOR PUERTA MARAVEN PUNTA CARDON FALCON</t>
  </si>
  <si>
    <t>AV PROLONGACION GIRARDOT EDIF FARMASI NRO 26 PISO P/B LOCAL BLOQUE 1 URB SANTA IRENE PUNTO FIJO FALCON</t>
  </si>
  <si>
    <t>AV BOLIVAR ESQUINA CALLE ALTAGRACIA LOCAL FARMASI NRO 1 SECTOR CENTRO PUNTO FIJO FALCON</t>
  </si>
  <si>
    <t>01330</t>
  </si>
  <si>
    <t>FARMACIA ABAD, C.A</t>
  </si>
  <si>
    <t>J302582148</t>
  </si>
  <si>
    <t>0414-1784895</t>
  </si>
  <si>
    <t>CALLE 9 DE DICIEMBRE LOCAL LOCAL 35 A NRO PB ZONA GUATIRE GUATIRE MIRANDA</t>
  </si>
  <si>
    <t>60452.21</t>
  </si>
  <si>
    <t>01331</t>
  </si>
  <si>
    <t>FARMACIA BERMUDEZ C.A</t>
  </si>
  <si>
    <t>J293497221</t>
  </si>
  <si>
    <t>0412-3527607</t>
  </si>
  <si>
    <t>CALLE INDEPENCIA CASA NRO 82 ZONA CENTRO CARUPANO CARUPANO SUCRE</t>
  </si>
  <si>
    <t>13773.57</t>
  </si>
  <si>
    <t>01332</t>
  </si>
  <si>
    <t>FARMACIA DIMAWORLD P.F., C.A  (PUNTA CARDON)</t>
  </si>
  <si>
    <t>FARMACIA DIMAWORLD P.F., C.A</t>
  </si>
  <si>
    <t>J500262957</t>
  </si>
  <si>
    <t>04126375913</t>
  </si>
  <si>
    <t>CALLE FEDERACION ENTRE BOLIVAR Y RIVAS LOCAL NRO 1-2 SECTOR PUNTA CARDON PUNTA CARDON FALCON</t>
  </si>
  <si>
    <t>3223.90</t>
  </si>
  <si>
    <t>0424-9289694</t>
  </si>
  <si>
    <t>CALLE LUCAS FERNANDEZ PEÑA LOCAL NRO S/N URB AKURIMA SANTA ELENA DE UAIREN BOLIVAR</t>
  </si>
  <si>
    <t>AV VENEZUELA C/CON CALLE SOCORRO EDIF 99 PISO P.B LOCAL B BARRIO SANTA RITA SANTA RITA ARAGUA</t>
  </si>
  <si>
    <t>01335</t>
  </si>
  <si>
    <t>FARMASOL MICHELENA II, C.A.</t>
  </si>
  <si>
    <t>J505647083</t>
  </si>
  <si>
    <t>0414-3452740</t>
  </si>
  <si>
    <t>CALLE SANTOS MICHELENA OESTE LOCAL NRO 32 SECTOR CENTRO MARACAY ARAGUA</t>
  </si>
  <si>
    <t>37561.50</t>
  </si>
  <si>
    <t>01336</t>
  </si>
  <si>
    <t>FARMACIA POLICLINICO TURMERO,C.A.</t>
  </si>
  <si>
    <t>J312528664</t>
  </si>
  <si>
    <t>0424-3680773</t>
  </si>
  <si>
    <t>AV BOLIVAR LOCAL NRO 2-A SECTOR LOS NISPEROS TURMERO, EDO. ARAGUA ROSARIO DE PAYA ARAGUA</t>
  </si>
  <si>
    <t>711453.47</t>
  </si>
  <si>
    <t>01337</t>
  </si>
  <si>
    <t>FARMACIA PUERTO LA II, C.A</t>
  </si>
  <si>
    <t>J500457014</t>
  </si>
  <si>
    <t>0412-5588104</t>
  </si>
  <si>
    <t>AV LUIS RAZZETTI LOCAL COMERCIAL NRO A-19 URB VISTA ALTA BARCELONA ANZOATEGUI</t>
  </si>
  <si>
    <t>237694.70</t>
  </si>
  <si>
    <t>0424-9103867</t>
  </si>
  <si>
    <t>AV JESUS SOTO CC LU LU NIVEL PB LOCAL A2-1 SECTOR PASEO HERES, PARROQUIA CATEDRAL, MUNICIPIO ANGOSTURA DEL ORINOCO CIUDAD BOLIVAR BOLIVAR</t>
  </si>
  <si>
    <t>01339</t>
  </si>
  <si>
    <t>CENTRO MEDICO ZAMBRANO C.A</t>
  </si>
  <si>
    <t>J080037863</t>
  </si>
  <si>
    <t>412-0415114</t>
  </si>
  <si>
    <t>AV CARACAS EDIF CENTRO MEDICO ZAMBRANO PISO 1 LOCAL 1 SECTOR BUENOS AIRES BARCELONA ANZOATEGUI</t>
  </si>
  <si>
    <t>01340</t>
  </si>
  <si>
    <t>CALOX INTERNATIONAL, C.A.</t>
  </si>
  <si>
    <t>J000214670</t>
  </si>
  <si>
    <t>AV DON DIEGO CISNEROS EDIF CALOX PISO 1 OF FINANZAS URB LOS RUICES CARACAS MIRANDA</t>
  </si>
  <si>
    <t>1552654.48</t>
  </si>
  <si>
    <t>01341</t>
  </si>
  <si>
    <t>FARMAVIVE C.A</t>
  </si>
  <si>
    <t>J411569313</t>
  </si>
  <si>
    <t>LA VICTORIA EDO ARAGUA</t>
  </si>
  <si>
    <t>0424-3582418 / 0424-3051923</t>
  </si>
  <si>
    <t>8680</t>
  </si>
  <si>
    <t>LA VICTORIA - ARAGUA</t>
  </si>
  <si>
    <t>AV FRANCISCO DE MIRANDA CASA NRO 53-1 SECTOR CENTRO LA VICTORIA ARAGUA</t>
  </si>
  <si>
    <t>51149.98</t>
  </si>
  <si>
    <t>01343</t>
  </si>
  <si>
    <t>FARMAHOGAR Y ALGO MAS 24/27 C.A</t>
  </si>
  <si>
    <t>J501588473</t>
  </si>
  <si>
    <t>SAN FRANCISCO DE ASIS EDO AR</t>
  </si>
  <si>
    <t>0412-5843361</t>
  </si>
  <si>
    <t>8681</t>
  </si>
  <si>
    <t>SAN FRANCISCO DE ASIS</t>
  </si>
  <si>
    <t>AV BOLIVAR LOCAL NRO 03 SECTOR CASANOVA GODOY SAN FRANCISCO DE ASIS ARAGUA</t>
  </si>
  <si>
    <t>57023.08</t>
  </si>
  <si>
    <t>01344</t>
  </si>
  <si>
    <t>EXPENDIO DE MEDICAMENTOS LA BELLA GIANNA C.A</t>
  </si>
  <si>
    <t>J505326120</t>
  </si>
  <si>
    <t>CAMPO CLARO EDO SUCRE</t>
  </si>
  <si>
    <t>0412-5937301</t>
  </si>
  <si>
    <t>8682</t>
  </si>
  <si>
    <t>CAMPO CLARO - SUCRE</t>
  </si>
  <si>
    <t>CALLE PRINCIPAL CASA NRO S/N SECTOR CENTRO CAMPO CLARO - (SIVISA) (AMARILLO) SUCRE</t>
  </si>
  <si>
    <t>CR 24 ENTRE CALLES 20 Y 21 LOCAL LOCAL NRO 20-23 SECTOR CENTRO BARQUISIMETO LARA</t>
  </si>
  <si>
    <t>01346</t>
  </si>
  <si>
    <t>(MATRIZ) INVERSIONES MAXIMA 3000, C.A</t>
  </si>
  <si>
    <t>01347</t>
  </si>
  <si>
    <t>INVERSIONES LA MAXIMA 3000, CA (SEDE PARACOTOS )</t>
  </si>
  <si>
    <t>PARACOTOS EDO MIRANDA</t>
  </si>
  <si>
    <t>8683</t>
  </si>
  <si>
    <t>PARACOTOS</t>
  </si>
  <si>
    <t>CALLE EL MUEQUE LOCAL GALPON NRO 35-38 URB INDUSTRIAL PARACOTOS PARACOTOS MIRANDA</t>
  </si>
  <si>
    <t>01348</t>
  </si>
  <si>
    <t>FARMACIA FARMAPIAR24, C.A</t>
  </si>
  <si>
    <t>J505791265</t>
  </si>
  <si>
    <t>AV MANUEL PIAR EDIF ALAM PISO B LOCAL 2 SECTOR 1ERO DE MAYO, ENTRE CALLE 5 Y CALLE 6 CIUDAD GUAYANA BOLIVAR</t>
  </si>
  <si>
    <t>223046.81</t>
  </si>
  <si>
    <t>01349</t>
  </si>
  <si>
    <t>FARMACIA DIMAWORLD LAS MARGARITAS, C.A</t>
  </si>
  <si>
    <t>J501462690</t>
  </si>
  <si>
    <t>0424-6630567</t>
  </si>
  <si>
    <t>AV OLLARVIDES (FRANCISCO DE MIRANDA) CON ESQUINA LUIS LOZADA LOCAL NRO 12 SECTOR LAS MARGARITAS PUNTO FIJO FALCON</t>
  </si>
  <si>
    <t>28696.58</t>
  </si>
  <si>
    <t>01350</t>
  </si>
  <si>
    <t>FARMACIA PF LEADERS FOODS, C.A.</t>
  </si>
  <si>
    <t>J408702185</t>
  </si>
  <si>
    <t>0412-6715248</t>
  </si>
  <si>
    <t>CALLE MORUY ESQ. LUIS LOZADA Y RIVAS LOCAL NRO 03 SECTOR LAS MARGARITAS PUNTO FIJO FALCON</t>
  </si>
  <si>
    <t>LOS GUAYOS EDO CARABOBO</t>
  </si>
  <si>
    <t>0412-5408283</t>
  </si>
  <si>
    <t>AV PRINCIPAL LOCAL NRO S/N CASERIO EL ROBLE LOS GUAYOS EDO CARABOBO</t>
  </si>
  <si>
    <t>SAN MATEO EDO ARAGUA</t>
  </si>
  <si>
    <t>0424-3245936</t>
  </si>
  <si>
    <t>8684</t>
  </si>
  <si>
    <t>SAN MATEO - ARAGUA</t>
  </si>
  <si>
    <t>AV BOLIVAR CASA NRO 52 SECTOR CENTRO SAN MATEO ARAGUA</t>
  </si>
  <si>
    <t>01354</t>
  </si>
  <si>
    <t>FARMAFAMILIA LA MORITA, C.A</t>
  </si>
  <si>
    <t>J500183607</t>
  </si>
  <si>
    <t>0414-4435383</t>
  </si>
  <si>
    <t>CALLE EZEQUIEL ZAMORA, C/C LEONARDO RUIZ PINEDA CC SAN JOSE NIVEL P/B LOCAL 01 SECTOR LA MORITA II SANTA RITA ARAGUA</t>
  </si>
  <si>
    <t>118920.98</t>
  </si>
  <si>
    <t>01355</t>
  </si>
  <si>
    <t>CENTRO CLINICO DE LAS MASCOTAS G.A.,S.A.</t>
  </si>
  <si>
    <t>J295046413</t>
  </si>
  <si>
    <t>0424-1360502</t>
  </si>
  <si>
    <t>CALLE 12 CON 2 AVENIDA QTA RAMPIER NRO SN URB MONTALBAN 1. CARACAS DISTRITO CAPITAL</t>
  </si>
  <si>
    <t>50385.14</t>
  </si>
  <si>
    <t>01356</t>
  </si>
  <si>
    <t>FARMACIA LIDER, C.A</t>
  </si>
  <si>
    <t>J501375399</t>
  </si>
  <si>
    <t>04248808332</t>
  </si>
  <si>
    <t>AV HUMBOLDT, LOTE 2 LOCAL COMERCIAL ZONA FRENTE A HIPER GALERIA CUMANA SUCRE</t>
  </si>
  <si>
    <t>01357</t>
  </si>
  <si>
    <t>FARMACIA MONSERRATE V.V, C.A</t>
  </si>
  <si>
    <t>J504589705</t>
  </si>
  <si>
    <t>0414-5435187 / 0424-3149783</t>
  </si>
  <si>
    <t>CALLE BOLIVAR LOCAL NRO 56 SECTOR SANTA ELENA PALO NEGRO ARAGUA</t>
  </si>
  <si>
    <t>437388.82</t>
  </si>
  <si>
    <t>01358</t>
  </si>
  <si>
    <t>DG FARMACIAS, C.A</t>
  </si>
  <si>
    <t>J409935558</t>
  </si>
  <si>
    <t>0412-8963452 / 0424-3149783</t>
  </si>
  <si>
    <t>CALLE CARABOBO EDIF CONJUNTO COMERCIAL LOS REYES MAGOS PISO PB LOCAL Nº 1, SECTOR CENTRO SUR OESTE III, MARACAY ARAGUA</t>
  </si>
  <si>
    <t>476064.25</t>
  </si>
  <si>
    <t>01359</t>
  </si>
  <si>
    <t>FARMACIA FAR-TODO VIRGEN DEL VALLE 2010, C.A</t>
  </si>
  <si>
    <t>J299845078</t>
  </si>
  <si>
    <t>0424-3149783</t>
  </si>
  <si>
    <t>CALLE SUCRE CRUCE CON CALLE RONDON C.C CORAZON DE JESUS NIVEL PLANTA BAJA LOCAL 13-32 SECTOR CENTRO CAGUA ARAGUA</t>
  </si>
  <si>
    <t>930070.20</t>
  </si>
  <si>
    <t>01360</t>
  </si>
  <si>
    <t>FARMACIA FAR-TODO VIRGEN DEL VALLE, C.A  (SUC SAN FRANCISCO DE ASIS)</t>
  </si>
  <si>
    <t>FARMACIA FAR-TODO VIRGEN DEL VALLE, C.A</t>
  </si>
  <si>
    <t>SAN FRACISCO DE ASIS EDO ARA</t>
  </si>
  <si>
    <t>CALLE HUGO OLIVEROS LOCAL LOCAL COMERCIAL NRO 104-50-07 SECTOR CENTRO CAGUA ARAGUA</t>
  </si>
  <si>
    <t>375074.19</t>
  </si>
  <si>
    <t>01361</t>
  </si>
  <si>
    <t>FARMACIA FAR-TODO VIRGEN DEL VALLE, C.A  (SUC TURMERO)</t>
  </si>
  <si>
    <t>704728.76</t>
  </si>
  <si>
    <t>01362</t>
  </si>
  <si>
    <t>FARMACIA FAR-TODO VIRGEN DEL VALLE, C.A  (PPAL CAGUA)</t>
  </si>
  <si>
    <t>558164.41</t>
  </si>
  <si>
    <t>0412-7381961</t>
  </si>
  <si>
    <t>24</t>
  </si>
  <si>
    <t>TELEMARKETING JHERLYN</t>
  </si>
  <si>
    <t>CALLE SEGUNDA NORTE LOCAL NRO 11 SECTOR PUEBLO NUEVO NORTE EL TIGRE ANZOATEGUI</t>
  </si>
  <si>
    <t>01364</t>
  </si>
  <si>
    <t>TU SALUD 24 HORAS, C.A.</t>
  </si>
  <si>
    <t>J505707469</t>
  </si>
  <si>
    <t>CALLE IKABARU LOCAL NRO S/N SECTOR DIAGONAL AL HOSPITAL ROSARIO VERA ZURITA SANTA ELENA DE UAIREN BOLIVAR</t>
  </si>
  <si>
    <t>138866.62</t>
  </si>
  <si>
    <t>0414-8898777</t>
  </si>
  <si>
    <t>CALLE 02 CASA UD-298 NRO 29 URB LOS ROSALES PUERTO ORDAZ CIUDAD GUAYANA BOLIVAR</t>
  </si>
  <si>
    <t>01366</t>
  </si>
  <si>
    <t>FARMACEL 2021, C.A.</t>
  </si>
  <si>
    <t>J501354537</t>
  </si>
  <si>
    <t>0414-2940646</t>
  </si>
  <si>
    <t>CALLE INDEPENDENCIA CRUCE CON CALLE SAN JUAN CC EDIFICIO CENTRO COMERCIAL Y PROFESIONAL DON SIMON NIVEL LANTA BAJA LOCAL N° 2 SECTOR CENTRO CAGUA ARAGUA</t>
  </si>
  <si>
    <t>01367</t>
  </si>
  <si>
    <t>HIPERMERCADO ASIA ORIENTAL, C.A.</t>
  </si>
  <si>
    <t>J295648022</t>
  </si>
  <si>
    <t>+58 412-8624527</t>
  </si>
  <si>
    <t>AV FERNANDEZ PADILLA LOCAL LI NRO PB SECTOR CENTRAL SAN JOSE DE GUANIPA (EL TIGRITO) ANZOATEGUI</t>
  </si>
  <si>
    <t>275565.32</t>
  </si>
  <si>
    <t>01368</t>
  </si>
  <si>
    <t>FARMACIA MEDISTAR, C.A.</t>
  </si>
  <si>
    <t>J500771541</t>
  </si>
  <si>
    <t>EL CONSEJO EDO ARAGUA</t>
  </si>
  <si>
    <t>8665</t>
  </si>
  <si>
    <t>EL CONSEJO - ARAGUA</t>
  </si>
  <si>
    <t>CALLE BOLIVAR LOCAL NRO 74 Y 74-A SECTOR NO APLICA EL CONSEJO ARAGUA</t>
  </si>
  <si>
    <t>7956.42</t>
  </si>
  <si>
    <t>0414-4772013</t>
  </si>
  <si>
    <t>CALLE GUASCO LOCAL NRO 02 SECTOR CENTRO VALLE DE LA PASCUA GUARICO</t>
  </si>
  <si>
    <t>01370</t>
  </si>
  <si>
    <t>FARMACIA FARMASALUD SAINT MICHEL, C.A.</t>
  </si>
  <si>
    <t>J503793988</t>
  </si>
  <si>
    <t>04148869152</t>
  </si>
  <si>
    <t>AV 03 LOCAL NRO 31 URB UNARE 2, SECTOR 2, PUERTO ORDAZ CIUDAD GUAYANA BOLIVAR</t>
  </si>
  <si>
    <t>01371</t>
  </si>
  <si>
    <t>FARMA VIDA, CA  (ZARAZA)</t>
  </si>
  <si>
    <t>FARMA VIDA, CA</t>
  </si>
  <si>
    <t>J500681720</t>
  </si>
  <si>
    <t>+58 424-3025765</t>
  </si>
  <si>
    <t>CALLE COMERCIO LOCAL NRO 44 SECTOR EL MEDANO ZARAZA GUARICO</t>
  </si>
  <si>
    <t>1143634.34</t>
  </si>
  <si>
    <t>+58 424-3502299</t>
  </si>
  <si>
    <t>CALLE PPAL. LOTE G LOCAL PARCELA NRO 03 URB MATA REDONDA MARACAY ARAGUA</t>
  </si>
  <si>
    <t>CTRA NACIONAL VIA MAGDALENO LOCAL GALPON ZONA PALO NEGRO PALO NEGRO ARAGUA</t>
  </si>
  <si>
    <t>0424-1066563</t>
  </si>
  <si>
    <t>AV PRINCIPAL CASA NRO S/N SECTOR LA VECINDAD SANTA ANA NUEVA ESPARTA</t>
  </si>
  <si>
    <t>01375</t>
  </si>
  <si>
    <t>FARMA 12 GROUP C.A.</t>
  </si>
  <si>
    <t>J504812820</t>
  </si>
  <si>
    <t>0412-0981819</t>
  </si>
  <si>
    <t>CALLE 12 CASA NRO 4 BARRIO SAN JOSÉ MARACAY ARAGUA</t>
  </si>
  <si>
    <t>01376</t>
  </si>
  <si>
    <t>DEL SUR POLICLINICA, C.A.</t>
  </si>
  <si>
    <t>J403457620</t>
  </si>
  <si>
    <t>0414-0887073</t>
  </si>
  <si>
    <t>AV SIMON RODRIGUEZ EDIF GRUPO MEDICO DE ESPECIALIDADES PISO PB LOCAL LABORATORIO VASCULAR ZONA PUEBLO NUEVO NORTE EL TIGRE ANZOATEGUI</t>
  </si>
  <si>
    <t>01377</t>
  </si>
  <si>
    <t>MULTI-FARMACIA SAMIR 2, C.A</t>
  </si>
  <si>
    <t>J503211121</t>
  </si>
  <si>
    <t>AV LOS PILONES CC CANOVA NIVEL P/B LOCAL 1 Y 2 SECTOR INAVI ANACO ANZOATEGUI</t>
  </si>
  <si>
    <t>149960.19</t>
  </si>
  <si>
    <t>01378</t>
  </si>
  <si>
    <t>FARMACIA MONTAÑA FRESCA, C.A.</t>
  </si>
  <si>
    <t>J501465258</t>
  </si>
  <si>
    <t>+58 424-4955227</t>
  </si>
  <si>
    <t>AV PRINCIPAL CASA NRO P-395C URB MONTAÑA FRESCA - SECTOR LAS PALMAS MARACAY ARAGUA</t>
  </si>
  <si>
    <t>162079.90</t>
  </si>
  <si>
    <t>01379</t>
  </si>
  <si>
    <t>FARMAHOGAR A &amp; T, C.A.</t>
  </si>
  <si>
    <t>J412871412</t>
  </si>
  <si>
    <t>+58 424-3254810</t>
  </si>
  <si>
    <t>CALLE RIVAS DAVILA LOCAL SEIJAS NRO 2 SECTOR CENTRO LA VICTORIA ARAGUA</t>
  </si>
  <si>
    <t>60657.94</t>
  </si>
  <si>
    <t>01380</t>
  </si>
  <si>
    <t>FARMA LOS CEDROS I, C.A</t>
  </si>
  <si>
    <t>J500483031</t>
  </si>
  <si>
    <t>TURMERO - ARAGUA</t>
  </si>
  <si>
    <t>0424-3322752</t>
  </si>
  <si>
    <t>CALLE ATANACIO GIRARDOT LOCAL FUNDO GONZALITO NRO
69 SECTOR SOROCAIMA III TURMERO ARAGUA ZONA POSTAL 2115</t>
  </si>
  <si>
    <t>01381</t>
  </si>
  <si>
    <t>COMERCIALIZADORA 1106, C.A</t>
  </si>
  <si>
    <t>J404236228</t>
  </si>
  <si>
    <t>AV CHAMA ENTRE CALLE GARCILAZO Y NEWTON CC POLO I TORRE A NIVEL M2 LOCAL A-1 URB LAS COLINAS DE BELLO MONTE CARACAS MIRANDA</t>
  </si>
  <si>
    <t>4725.90</t>
  </si>
  <si>
    <t>01382</t>
  </si>
  <si>
    <t>REYNIER AMISAID MARTINEZ</t>
  </si>
  <si>
    <t>V18926857</t>
  </si>
  <si>
    <t>10169.44</t>
  </si>
  <si>
    <t>01384</t>
  </si>
  <si>
    <t>FARMACIA LA PERIMETRAL C.A.</t>
  </si>
  <si>
    <t>J307057149</t>
  </si>
  <si>
    <t>04128621568</t>
  </si>
  <si>
    <t>AV LA PERIMETRAL CASA NRO S/N BARRIO MONTE CALVARIO-MONSEÑOR ARGIMIRO GARCIA-TUCUPITA-DELTA AMACURO URB. DELFIN MENDOZA (TUCUPITA) DELTA AMACURO</t>
  </si>
  <si>
    <t>01385</t>
  </si>
  <si>
    <t>FARMACIA EL SAMARITANO E.J 2023, C.A</t>
  </si>
  <si>
    <t>J503969849</t>
  </si>
  <si>
    <t>0412-1984226</t>
  </si>
  <si>
    <t>CTRA NACIONAL MARIARA, LOCAL NRO 64, SECTOR MARISCAL SUCRE, MARIARA CARABOBO</t>
  </si>
  <si>
    <t>16453.61</t>
  </si>
  <si>
    <t>01386</t>
  </si>
  <si>
    <t>GLOBAL SALUD SS, C.A</t>
  </si>
  <si>
    <t>J501099537</t>
  </si>
  <si>
    <t>0424-1389499</t>
  </si>
  <si>
    <t>CALLE PAUL EDIF DON SALVADOR PISO PB LOCAL 42-B-1 SECTOR CENTRO SAN SEBASTIAN ARAGUA</t>
  </si>
  <si>
    <t>01387</t>
  </si>
  <si>
    <t>FARMACIA EL TERMINAL, C.A.</t>
  </si>
  <si>
    <t>J402582331</t>
  </si>
  <si>
    <t>0424-9150965</t>
  </si>
  <si>
    <t>AV SUCRE LOCAL 02 NRO. 56-4 SECTOR EL TERMINAL PARROQUIA CATEDRAL MUNICIPIO HERES CIUDAD BOLIVAR BOLIVAR</t>
  </si>
  <si>
    <t>108008.23</t>
  </si>
  <si>
    <t>01388</t>
  </si>
  <si>
    <t>MI FARMACIA CAÑA DE AZUCAR, C.A.</t>
  </si>
  <si>
    <t>J503235624</t>
  </si>
  <si>
    <t>CAÑA DE AZUCAR EDO ARAGUA</t>
  </si>
  <si>
    <t>+58 412-9158726</t>
  </si>
  <si>
    <t>8686</t>
  </si>
  <si>
    <t>CAÑA DE AZUCAR - ARAGUA</t>
  </si>
  <si>
    <t>AV 5 CASA NRO 86 LOCAL 2 URB CAÑA DE AZÚCAR, SECTOR 2 CAÑA DE AZUCAR ARAGUA</t>
  </si>
  <si>
    <t>35161.80</t>
  </si>
  <si>
    <t>01389</t>
  </si>
  <si>
    <t>ROSA AMERICA CORREA SANDOVAL "FARMACIA LA PASCUA, FP"</t>
  </si>
  <si>
    <t>V032199158</t>
  </si>
  <si>
    <t>0424-3671131 / 0235-3413467</t>
  </si>
  <si>
    <t>CALLE ATARRAYA SUR NRO 53 SECTOR CENTRO VALLE DE LA PASCUA GUARICO</t>
  </si>
  <si>
    <t>22899.03</t>
  </si>
  <si>
    <t>01390</t>
  </si>
  <si>
    <t>FARMACIA SAN JUAN PABLO SEGUNDO C.A</t>
  </si>
  <si>
    <t>J504007188</t>
  </si>
  <si>
    <t>0414-5905389</t>
  </si>
  <si>
    <t>AV 2 CASA NRO 6 URB LAS MERCEDES LA VICTORIA ARAGUA</t>
  </si>
  <si>
    <t>101749.49</t>
  </si>
  <si>
    <t>01391</t>
  </si>
  <si>
    <t>FARMACIA TRINIDAD, C.A.</t>
  </si>
  <si>
    <t>J302312086</t>
  </si>
  <si>
    <t>0424-3246703</t>
  </si>
  <si>
    <t>CALLE RICAURTE LOCAL NRO S/N SECTOR CENTRO, TUCUPIDO TUCUPIDO GUARICO</t>
  </si>
  <si>
    <t>01392</t>
  </si>
  <si>
    <t>FARMACIA EL PUEBLO C.A.</t>
  </si>
  <si>
    <t>J303623050</t>
  </si>
  <si>
    <t>0412-9133526</t>
  </si>
  <si>
    <t>CALLE SUCRE C/C MARQUEZ DEL TORO LOCAL PLANTA BAJA ESQUINA PLAZA BOLIVAR NRO 1 SECTOR CENTRO DE GUACARA CARABOBO</t>
  </si>
  <si>
    <t>1153070.89</t>
  </si>
  <si>
    <t>0412-4356045</t>
  </si>
  <si>
    <t>CALLE 12 LOCAL NRO 23 SECTOR SAN JOSE MARACAY ARAGUA</t>
  </si>
  <si>
    <t>AV COROPO CRUCE CON PROLONGACION EZEQUIEL ZAMORA CC Y RESIDENCIAL SAN SEBASTIAN NIVEL PB LOCAL 47 BARRIO LA CONQUISTA SANTA RITA ARAGUA</t>
  </si>
  <si>
    <t>01395</t>
  </si>
  <si>
    <t>FARMACIA SANTA MARIA, C.A. (FARMADIA ARAGUA)</t>
  </si>
  <si>
    <t>FARMACIA SANTA MARIA, C.A.</t>
  </si>
  <si>
    <t>J303412785</t>
  </si>
  <si>
    <t>0424-3137734</t>
  </si>
  <si>
    <t>AV BOLIVAR ESTE C/C CALLE 6 LOCAL NRO 168 SECTOR SECTOR LA BARRACA MARACAY ARAGUA</t>
  </si>
  <si>
    <t>67401.82</t>
  </si>
  <si>
    <t>01396</t>
  </si>
  <si>
    <t>FARMACIA GRUPO MEDICAL SALUD, C.A</t>
  </si>
  <si>
    <t>J412806564</t>
  </si>
  <si>
    <t>0412-8486435</t>
  </si>
  <si>
    <t>AV JOSE MARIA VARGAS LOCAL NRO 04 URB LA FLORESTA MARACAY ARAGUA</t>
  </si>
  <si>
    <t>0412-1115119</t>
  </si>
  <si>
    <t>CALLE MARIÑO CRUCE CON CALLE JUNIN LOCAL NRO 47 SECTOR CENTRO CUMANA SUCRE</t>
  </si>
  <si>
    <t>01398</t>
  </si>
  <si>
    <t>FARMAIGNACIO OESTE II, C.A</t>
  </si>
  <si>
    <t>J300569152</t>
  </si>
  <si>
    <t>CALLE 6 CON CARRERA 6 CASA S/N BARRIO SANTA ISABEL BARQUISIMETO LARA</t>
  </si>
  <si>
    <t>01399</t>
  </si>
  <si>
    <t>FARMACIA SIERRA PARIMA, C.A.</t>
  </si>
  <si>
    <t>J407189921</t>
  </si>
  <si>
    <t>0412-1885170</t>
  </si>
  <si>
    <t>FISCAL AV PASEO CARONI CC SIERRA PARIMA NIVEL 1 LOCAL NRO. 1 SECTOR SIERRA PARIMA CIUDAD GUAYANA BOLIVAR</t>
  </si>
  <si>
    <t>0.81</t>
  </si>
  <si>
    <t>01400</t>
  </si>
  <si>
    <t>FARMAFABI, C.A</t>
  </si>
  <si>
    <t>J401156940</t>
  </si>
  <si>
    <t>CALLE ANZOATEGUI CRUCE CON CALLE BERMUDEZ EDIF CRISTO DE JOSE PISO PLANTA BAJ LOCAL 1 Y 2 SECTOR CENTRO PUERTO PIRITU ANZOATEGUI</t>
  </si>
  <si>
    <t>01401</t>
  </si>
  <si>
    <t>FARMACIA LA REDOMA 2024, C.A</t>
  </si>
  <si>
    <t>J505440179</t>
  </si>
  <si>
    <t>SAN CARLOS EDO COJEDES</t>
  </si>
  <si>
    <t>04122372550 / 04144612378</t>
  </si>
  <si>
    <t>AV RICAURTE C/C CIRCUNVALACION PORTUGUESA EDIF "RODRIGUEZ" PISO P/B LOCAL S/N SECTOR CENTRO SAN CARLOS COJEDES</t>
  </si>
  <si>
    <t>427311.61</t>
  </si>
  <si>
    <t>01402</t>
  </si>
  <si>
    <t>FARMACIA BASE SUCRE, C.A.</t>
  </si>
  <si>
    <t>J501465193</t>
  </si>
  <si>
    <t>03/09/2025</t>
  </si>
  <si>
    <t>0412-2004326</t>
  </si>
  <si>
    <t>CALLE 1, ENTRE AV. 4 Y 5 CASA NRO 999-C URB BASE SUCRE MARACAY ARAGUA</t>
  </si>
  <si>
    <t>20803.46</t>
  </si>
  <si>
    <t>0424-3175889</t>
  </si>
  <si>
    <t>CALLE JUNIN NORTE LOCAL NRO 5 SECTOR CENTRO MARACAY ARAGUA</t>
  </si>
  <si>
    <t>0424-3743474</t>
  </si>
  <si>
    <t>CALLE SANTA ISABEL LOCAL NRO 20 SECTOR CASCO CENTRAL SAN JUAN DE LOS MORROS GUARICO</t>
  </si>
  <si>
    <t>0412-3989327</t>
  </si>
  <si>
    <t>AV SUCRE, FRENTE AL HOSPITAL CENTRAL LOCAL NRO S/N URB LA FLORESTA MARACAY ARAGUA</t>
  </si>
  <si>
    <t>01406</t>
  </si>
  <si>
    <t>FARMAVIDA 2024, C.A</t>
  </si>
  <si>
    <t>J505718428</t>
  </si>
  <si>
    <t>04241407100</t>
  </si>
  <si>
    <t>AV PRINCIPAL SANTA ISABEL LOCAL NRO 1 SECTOR SANTA ISABEL SAN JUAN DE LOS MORROS GUARICO</t>
  </si>
  <si>
    <t>49142.20</t>
  </si>
  <si>
    <t>0424-3484894</t>
  </si>
  <si>
    <t>AV BOLIVAR CC LOS PROCERES NIVEL NO APLICA LOCAL PP1- 12-B URB LOS JARDINES MARACAY ARAGUA</t>
  </si>
  <si>
    <t>01408</t>
  </si>
  <si>
    <t>FARMACIA MI SALVADOR, C.A.</t>
  </si>
  <si>
    <t>J504822140</t>
  </si>
  <si>
    <t>JUSEPIN EDO MONAGAS</t>
  </si>
  <si>
    <t>CALLE MERCADO CASA NRO S/N SECTOR CAMPO SUCRE JUSEPIN, JUSEPIN MONAGAS</t>
  </si>
  <si>
    <t>748576.29</t>
  </si>
  <si>
    <t>01409</t>
  </si>
  <si>
    <t>TUMUNDOFARMA, C.A.</t>
  </si>
  <si>
    <t>J503079835</t>
  </si>
  <si>
    <t>0412-8525209</t>
  </si>
  <si>
    <t>AV CUMANAGOTO CASA CASA NRO 42 SECTOR LAS BATEAS BARCELONA ANZOATEGUI</t>
  </si>
  <si>
    <t>CALLE PRINCIPAL LOCAL NRO PB SECTOR MONTE CALVARIO URB. DELFIN MENDOZA (TUCUPITA) DELTA AMACURO</t>
  </si>
  <si>
    <t>01411</t>
  </si>
  <si>
    <t>SUMIORIENTE, C.A</t>
  </si>
  <si>
    <t>J501132810</t>
  </si>
  <si>
    <t>CALLE PASEO HERES EDIF 16  PISO P/B LOCAL 03 SECTORPASEO HERES PARROQUIA CATEDRAL MUNICIPIO ANGOSTURA DEL ORINOCO CIUDAD BOLIVAR BOLIVAR</t>
  </si>
  <si>
    <t>0414-8594655</t>
  </si>
  <si>
    <t>LAS CAYENAS</t>
  </si>
  <si>
    <t>01413</t>
  </si>
  <si>
    <t>MATRIZ FARMAJUSTO 2021</t>
  </si>
  <si>
    <t>0412-4175221</t>
  </si>
  <si>
    <t>CR 36 ENTRE AV ANDRES BELLO Y CALLE 23 CASA NRO 23-50 LOCAL 1 SECTOR CENTRO BARQUISIMETO LARA</t>
  </si>
  <si>
    <t>0414-0528408</t>
  </si>
  <si>
    <t>CALLE RIO ARAGUA CC FUNDACION MENDOZA NIVEL PB LOCAL 1 Y 7 URB FUNDACION MENDOZA MARACAY ARAGUA</t>
  </si>
  <si>
    <t>01416</t>
  </si>
  <si>
    <t>FARMACIA CARABOBO CA (CABUDARE)</t>
  </si>
  <si>
    <t>FARMACIA CARABOBO CA</t>
  </si>
  <si>
    <t>J314941852</t>
  </si>
  <si>
    <t>0414-3414600</t>
  </si>
  <si>
    <t>CALLE PRINCIPAL LOCAL NRO 10-08 URB LAS MERCEDES CABUDARE LARA</t>
  </si>
  <si>
    <t>01417</t>
  </si>
  <si>
    <t>TU FARMA EL PARAISO, C.A</t>
  </si>
  <si>
    <t>J505315285</t>
  </si>
  <si>
    <t>0412-4845007</t>
  </si>
  <si>
    <t>AV PROLONGACIÓN PASEO COLÓN, CRUCE CON ESQUINA SALÓN LOCAL NRO 11-A SECTOR EL PARAÍSO III PUERTO LA CRUZ ANZOATEGUI</t>
  </si>
  <si>
    <t>155000.27</t>
  </si>
  <si>
    <t>0424-3746471</t>
  </si>
  <si>
    <t>CALLE CAMALEONES C/C DESCANSO CASA NRO 14-1 SECTOR CENTRO VALLE DE LA PASCUA GUARICO</t>
  </si>
  <si>
    <t>01419</t>
  </si>
  <si>
    <t>FARMA RO, C.A</t>
  </si>
  <si>
    <t>J500736266</t>
  </si>
  <si>
    <t>+58 412-5433733</t>
  </si>
  <si>
    <t>AV HERNAN GARMENDIA CC CIUDAD ROCA NIVEL NO APLICA LOCAL NRO.5 URB CIUDAD ROCA CLUB RESIDENCIAL BARQUISIMETO LARA</t>
  </si>
  <si>
    <t>01420</t>
  </si>
  <si>
    <t>FARMACIA FARMAREBAJAS. S.J., C.A.</t>
  </si>
  <si>
    <t>J505340417</t>
  </si>
  <si>
    <t>CALLE SANTA ISABEL LOCAL NRO 20-10 SECTOR CASCO CENTRAL SAN JUAN DE LOS MORROS GUARICO</t>
  </si>
  <si>
    <t>01421</t>
  </si>
  <si>
    <t>TUTTOFARMA, C.A</t>
  </si>
  <si>
    <t>J411318043</t>
  </si>
  <si>
    <t>CARACAS (LAS MERCEDES)</t>
  </si>
  <si>
    <t>CALLE GLORIA, CAMINO REAL Y CALLE CLUB QTA STELLA MARIS NRO 421 URB JUNKO COUNTRI CLUB EL JUNKO LA GUAIRA</t>
  </si>
  <si>
    <t>129.78</t>
  </si>
  <si>
    <t>0424-3000262</t>
  </si>
  <si>
    <t>CALLE PRINCIPAL C/C ATAMAICA LOCAL NRO 79 BARRIO SAN JOSE, MARACAY ARAGUA ZONA</t>
  </si>
  <si>
    <t>01423</t>
  </si>
  <si>
    <t>FARMACIA FARMATORRE NAGUANAGUA, C.A (SUC RUIZ PINEDA)</t>
  </si>
  <si>
    <t>FARMACIA FARMATORRE NAGUANAGUA, C.A</t>
  </si>
  <si>
    <t>585213.80</t>
  </si>
  <si>
    <t>01424</t>
  </si>
  <si>
    <t>FARMACIA NORMA</t>
  </si>
  <si>
    <t>V098833729</t>
  </si>
  <si>
    <t>0424-9679398</t>
  </si>
  <si>
    <t>CALLE PRINCIPAL, CASA NRO S/N SECTOR MIGUEL EMILIO PALACIOS, GUASIPATI BOLIVAR</t>
  </si>
  <si>
    <t>3873774.27</t>
  </si>
  <si>
    <t>0424-5902429</t>
  </si>
  <si>
    <t>CR 19 ESQUINA CALLE 34 LOCAL NRO S/N SECTOR CENTRO BARQUISIMETO LARA</t>
  </si>
  <si>
    <t>01428</t>
  </si>
  <si>
    <t>FARMARATDOS, C.A.</t>
  </si>
  <si>
    <t>J308758400</t>
  </si>
  <si>
    <t>0424-9058055</t>
  </si>
  <si>
    <t>AV BOLIVAR LOCAL NRO 91 SECTOR CENTRO MATURIN MONAGAS</t>
  </si>
  <si>
    <t>244115.76</t>
  </si>
  <si>
    <t>0424-8996010</t>
  </si>
  <si>
    <t>AV PERIMETRAL CASA BELKITA NRO S/N SECTOR SUPER CINE CUMANA SUCRE</t>
  </si>
  <si>
    <t>01430</t>
  </si>
  <si>
    <t>FARMACIA FARMARORAIMA, C.A</t>
  </si>
  <si>
    <t>J505904736</t>
  </si>
  <si>
    <t>CR TOCOMA C/C VENTUARI EDIF ELI ALTI PISO B LOCAL C-2 SECTOR ALTA VISTA CIUDAD GUAYANA BOLIVAR</t>
  </si>
  <si>
    <t>147660.49</t>
  </si>
  <si>
    <t>01431</t>
  </si>
  <si>
    <t>FARMAGALENOS CA</t>
  </si>
  <si>
    <t>J500926391</t>
  </si>
  <si>
    <t>SANTA BARBARA EDO BARINAS</t>
  </si>
  <si>
    <t>0424-7496540</t>
  </si>
  <si>
    <t>8688</t>
  </si>
  <si>
    <t>SANTA BARBARA - BARINAS</t>
  </si>
  <si>
    <t>CR 4 ENTRE CALLES 20 Y 21 CC BAUL DE LA ABUELA NIVEL PB LOCAL SECTOR CENTRO SANTA BARBARA BARINAS</t>
  </si>
  <si>
    <t>1988726.20</t>
  </si>
  <si>
    <t>01432</t>
  </si>
  <si>
    <t>FARMACIA SANTISIMA TRINIDAD C.A</t>
  </si>
  <si>
    <t>J501939373</t>
  </si>
  <si>
    <t>0416-4379665</t>
  </si>
  <si>
    <t>CR 4 ENTRE CALLES 21 Y 22 LOCAL NRO S/N SECTOR PUEBLO NUEVO SANTA BARBARA BARINAS</t>
  </si>
  <si>
    <t>387822.35</t>
  </si>
  <si>
    <t>01433</t>
  </si>
  <si>
    <t>FARMACIA MONSERRALT II, C.A.</t>
  </si>
  <si>
    <t>J310599440</t>
  </si>
  <si>
    <t>CALLE BOLIVAR LOCAL NRO 20-03-A SECTOR CENTRO, SANTA CRUZ, EDO. ARAGUA SANTA CRUZ ARAGUA</t>
  </si>
  <si>
    <t>519892.88</t>
  </si>
  <si>
    <t>01434</t>
  </si>
  <si>
    <t>DISTUFAR VALLE LINDO, C.A</t>
  </si>
  <si>
    <t>J502212353</t>
  </si>
  <si>
    <t>0412-5975888</t>
  </si>
  <si>
    <t>AV INTERCOMUNAL LA JULIA PARCELA MG-10 CC VALLE LINDO NIVEL . LOCAL COMERCIAL N° 19 SECTOR . TURMERO ARAGUA</t>
  </si>
  <si>
    <t>238713.48</t>
  </si>
  <si>
    <t>01435</t>
  </si>
  <si>
    <t>MORA FARMACIA SAN LUIS C.A</t>
  </si>
  <si>
    <t>J504279080</t>
  </si>
  <si>
    <t>0416-5740557</t>
  </si>
  <si>
    <t>CR 3 ENTRE CALLES 15 Y 16 LOCAL NRO S/N SECTOR LEONARDO RUIZ PINEDA SANTA BARBARA BARINAS</t>
  </si>
  <si>
    <t>157594.31</t>
  </si>
  <si>
    <t>01436</t>
  </si>
  <si>
    <t>FARMACIA LAS BRISAS 2024, C.A.</t>
  </si>
  <si>
    <t>J505845772</t>
  </si>
  <si>
    <t>0412-4424031</t>
  </si>
  <si>
    <t>AV PERIMETRAL LOCAL NRO S/N BARRIO BRISAS DEL SUR SECTOR 1 CIUDAD BOLIVAR BOLIVAR</t>
  </si>
  <si>
    <t>01437</t>
  </si>
  <si>
    <t>FARMACIA MAGISTRAL SUCRE, C.A</t>
  </si>
  <si>
    <t>J500771100</t>
  </si>
  <si>
    <t>0424-8466158</t>
  </si>
  <si>
    <t>AV PANAMERICANA LOCAL NRO 134 URB FE Y ALEGRIA CUMANA SUCRE</t>
  </si>
  <si>
    <t>10874.69</t>
  </si>
  <si>
    <t>01438</t>
  </si>
  <si>
    <t>FARMACIA CRISMAR C.A.</t>
  </si>
  <si>
    <t>J302754674</t>
  </si>
  <si>
    <t>SANTA TERESA DEL TUY EDO MIR</t>
  </si>
  <si>
    <t>0414-9068202</t>
  </si>
  <si>
    <t>CALLE EL CARMEN LOCAL NRO 14-1 ZONA CENTRAL SANTA TERESA DEL TUY MIRANDA</t>
  </si>
  <si>
    <t>45931.56</t>
  </si>
  <si>
    <t>01439</t>
  </si>
  <si>
    <t>FARMACIA FARMA EXPRESS 286, C.A</t>
  </si>
  <si>
    <t>J504867560</t>
  </si>
  <si>
    <t>0424-9204218</t>
  </si>
  <si>
    <t>CALLE ARO C/C CARRERA CACHAMAY EDIF TIBIDABO PISO PB LOCAL 4 SECTOR ALTA VISTA CIUDAD GUAYANA BOLIVAR</t>
  </si>
  <si>
    <t>01440</t>
  </si>
  <si>
    <t>FARMACIA SAN AGUSTIN, C.A</t>
  </si>
  <si>
    <t>J303830609</t>
  </si>
  <si>
    <t>0424-8342369</t>
  </si>
  <si>
    <t>CALLE COLOMBIA C/C ARAURE CASA S/N SECTOR CENTRO CASANAY SUCRE</t>
  </si>
  <si>
    <t>441781.93</t>
  </si>
  <si>
    <t>CARACAS (CHACAO) EDO MIRANDA</t>
  </si>
  <si>
    <t>0414-2621441</t>
  </si>
  <si>
    <t>AV DON EUGENIO MENDOZA PLAZA LA CASTELLANA EDIF TORRE DIGITEL PISO 11 OF 11-B URB LA CASTELLANA CARACAS (CHACAO) MIRANDA</t>
  </si>
  <si>
    <t>01442</t>
  </si>
  <si>
    <t>FARMACIA MI CHIQUINQUIRA, C.A</t>
  </si>
  <si>
    <t>J505631519</t>
  </si>
  <si>
    <t>0412-7990340</t>
  </si>
  <si>
    <t>CALLE SAN ANTONIO, CON CALLE MARIÑO, LOCAL S/N ZONA CENTRO. CHURUGUARA MUNICIPIO FEDERACION ESTADO FALCON CHURUGUARA FALCON</t>
  </si>
  <si>
    <t>01443</t>
  </si>
  <si>
    <t>FARMACIA PAEZ FORUM, C.A.</t>
  </si>
  <si>
    <t>J312948817</t>
  </si>
  <si>
    <t>0424-5300927</t>
  </si>
  <si>
    <t>AV ANDRES BELLO CC LOS CAOBOS NIVEL P B LOCAL 7 URB ALTO BARINAS SUR BARINAS BARINAS</t>
  </si>
  <si>
    <t>205465.98</t>
  </si>
  <si>
    <t>01444</t>
  </si>
  <si>
    <t>PHARMAPLUS SAN ANTONIO, C.A.</t>
  </si>
  <si>
    <t>J504620378</t>
  </si>
  <si>
    <t>SAN ANTONIO EDO MONAGAS</t>
  </si>
  <si>
    <t>0424-9539496</t>
  </si>
  <si>
    <t>CALLE PAEZ LOCAL NRO 6 SECTOR SAN ANTONIO MONAGAS</t>
  </si>
  <si>
    <t>337429.41</t>
  </si>
  <si>
    <t>01445</t>
  </si>
  <si>
    <t>FARMACIA FARMASOLA,C.A  (FARMAKL)</t>
  </si>
  <si>
    <t>FARMACIA FARMASOLA,C.A</t>
  </si>
  <si>
    <t>J500933436</t>
  </si>
  <si>
    <t>0414-8054103 -0414-1987777</t>
  </si>
  <si>
    <t>AVENIDA JUAN BAUTISTA ARISMENDI CC PASEO NIVEL PB LOCAL 1-B URB JORGE COLL PAMPATAR NUEVA ESPARTA .</t>
  </si>
  <si>
    <t>237180.81</t>
  </si>
  <si>
    <t>01446</t>
  </si>
  <si>
    <t>CLINICA QUIRURGICA RENACER COMPAÑIA ANONIMA</t>
  </si>
  <si>
    <t>J403754012</t>
  </si>
  <si>
    <t>0414-8928895</t>
  </si>
  <si>
    <t>AV PASEO CARONI CC EL PASEO NIVEL PB LOCAL 8 Y 9 URB UNARE I, PUERTO ORDAZ CIUDAD GUAYANA BOLIVAR</t>
  </si>
  <si>
    <t>CALLE LOPEZ LATOUCHE NROM 103-19 LOCAL NRO 2 SECTOR SAN JOSE VALENCIA CARABOBO</t>
  </si>
  <si>
    <t>01448</t>
  </si>
  <si>
    <t>FARMACIA MEDIFARM C.A</t>
  </si>
  <si>
    <t>16/08/2025</t>
  </si>
  <si>
    <t>J298620790</t>
  </si>
  <si>
    <t>0414-2607137</t>
  </si>
  <si>
    <t>CALLE BOLIVAR LOCAL PB NRO S/N ZONA CENTRO JUAN GRIEGO NUEVA ESPARTA</t>
  </si>
  <si>
    <t>01449</t>
  </si>
  <si>
    <t>BASSAM KHODARI "FARMACIA SANTA INES F.P"</t>
  </si>
  <si>
    <t>V162850390</t>
  </si>
  <si>
    <t>VILLA DE CURA</t>
  </si>
  <si>
    <t>+58 424-3482385</t>
  </si>
  <si>
    <t>8641</t>
  </si>
  <si>
    <t>CALLE PROLONGACION JUAN DE DIOS AGRAZ CASA Nº 42 ZONA CENTRO, VILLA DE CURA , EDO ARAGUA.</t>
  </si>
  <si>
    <t>56520.32</t>
  </si>
  <si>
    <t>SAN CASIMIRO EDO ARAGUA</t>
  </si>
  <si>
    <t>8689</t>
  </si>
  <si>
    <t>SAN CASIMIRO - ARAGUA</t>
  </si>
  <si>
    <t>CALLE LUIS ROBERTO CASADO LOCAL NRO 16 SECTOR CASCO CENTRAL, SAN CASIMIRO EDO ARAGUA CUA MIRANDA</t>
  </si>
  <si>
    <t>01451</t>
  </si>
  <si>
    <t>FARMACIA CRISTO REY, C.A. (BARINAS)</t>
  </si>
  <si>
    <t>FARMACIA CRISTO REY, C.A.</t>
  </si>
  <si>
    <t>J501417520</t>
  </si>
  <si>
    <t>0416-0721623</t>
  </si>
  <si>
    <t>CALLE 14 CASA NRO 6-57 BARRIO 1 DE DICIMEBRE BARINAS BARINAS</t>
  </si>
  <si>
    <t>109755.68</t>
  </si>
  <si>
    <t>01452</t>
  </si>
  <si>
    <t>CHOPIFARMA, C.A.</t>
  </si>
  <si>
    <t>J505247751</t>
  </si>
  <si>
    <t>CALLE JACINTO LARA LOCAL NRO SN SECTOR CASCO CENTRAL EL CALLAO BOLIVAR</t>
  </si>
  <si>
    <t>878587.90</t>
  </si>
  <si>
    <t>01453</t>
  </si>
  <si>
    <t>FARMACIA FARMA POPULAR S.T,C.A</t>
  </si>
  <si>
    <t>J314455389</t>
  </si>
  <si>
    <t>0424-2772962</t>
  </si>
  <si>
    <t>AV AYACUCHO CASA NRO 113-B ZONA CENTRAL SANTA TERESA DEL TUY MIRANDA</t>
  </si>
  <si>
    <t>56811.02</t>
  </si>
  <si>
    <t>0238-3341580</t>
  </si>
  <si>
    <t>CALLE LIBERTAD. LOCAL NRO 1. SECTOR PUEBLO NUEVO. ALTAGRACIA DE ORITUCO, GUARICO</t>
  </si>
  <si>
    <t>AV ROMULO GALLEGOS EDIF JOHNSON &amp; JOHNSON PISO 6 OF 6B URB LOS DOS CAMINOS CARACAS MIRANDA</t>
  </si>
  <si>
    <t>01456</t>
  </si>
  <si>
    <t>MATRIZ (FARMACIA FARMA PLUS 4S C.A.)</t>
  </si>
  <si>
    <t>01457</t>
  </si>
  <si>
    <t>FARMACIA FARMA PLUS 4S C.A. (SUCURSAL MANTECAL)</t>
  </si>
  <si>
    <t>827529.82</t>
  </si>
  <si>
    <t>01458</t>
  </si>
  <si>
    <t>(MATRIZ) FARMACIA MEDICFARMA PLUS, C.A.</t>
  </si>
  <si>
    <t>01459</t>
  </si>
  <si>
    <t>FARMACIA MEDICFARMA PLUS,C.A (SUCURSAL)</t>
  </si>
  <si>
    <t>FARMACIA MEDICFARMA PLUS,C.A</t>
  </si>
  <si>
    <t>CALLE COLON LOCAL S/N CIUDAD BOLIVAR ESTADO BOLIVAR</t>
  </si>
  <si>
    <t>185882.59</t>
  </si>
  <si>
    <t>01460</t>
  </si>
  <si>
    <t>FARMACIA &amp; INSUMED SANTISIMA TRINIDAD C.A</t>
  </si>
  <si>
    <t>J401341713</t>
  </si>
  <si>
    <t>0424-5776025</t>
  </si>
  <si>
    <t>AV CRUZ PAREDESEDIF JUAN URQUIJO PISO PB LOCAL NRO 2 SECTOR CENTRO BARINAS BARINAS</t>
  </si>
  <si>
    <t>252676.31</t>
  </si>
  <si>
    <t>01461</t>
  </si>
  <si>
    <t>FARMACIA DEL SUR NE, C.A</t>
  </si>
  <si>
    <t>J500390580</t>
  </si>
  <si>
    <t>SAN JUAN BAUTISTA  EDO NUEVA</t>
  </si>
  <si>
    <t>CTRA NACIONAL LA ENCRUCIJADA SAN JUAN BAUTISTA LOCAL NRO S/N SECTOR EL ESPINAL SUR SAN JUAN BAUTISTA NUEVA ESPARTA</t>
  </si>
  <si>
    <t>2575763.61</t>
  </si>
  <si>
    <t>01462</t>
  </si>
  <si>
    <t>FARMACIA DIVINO NIÑO F.P (BARINAS)</t>
  </si>
  <si>
    <t>FARMACIA DIVINO NIÑO F.P</t>
  </si>
  <si>
    <t>V091841432</t>
  </si>
  <si>
    <t>0414-7573294</t>
  </si>
  <si>
    <t>CR 4 ESQUINA DE CALLE 14 EDIF LOS MARQUEZ PISO PB LOCAL S/N SECTOR CENTRO, SANTA BARBARA SANTA BARBARA BARINAS</t>
  </si>
  <si>
    <t>62926.18</t>
  </si>
  <si>
    <t>0426-5919444</t>
  </si>
  <si>
    <t>CTRA VIA LA CRUZ KM 1 PROLONGACION CON AV LIBERTADOR CRUCE CON CRUZ PERAZA EDIF HOSPITAL METROPOLITANO PISO 03 LOCAL S/N SECTOR SAN MIGUEL MATURIN MONAGAS</t>
  </si>
  <si>
    <t>01465</t>
  </si>
  <si>
    <t>MATRIZ FARMACIA C&amp;H, C.A</t>
  </si>
  <si>
    <t>01466</t>
  </si>
  <si>
    <t>FARMACIA C&amp;H, C.A (SUCURSAL)</t>
  </si>
  <si>
    <t>AV PRINCIPAL DE LA PICA LOCAL NRO 46 SECTOR LA PICA MATURIN MONAGAS</t>
  </si>
  <si>
    <t>3960.79</t>
  </si>
  <si>
    <t>01467</t>
  </si>
  <si>
    <t>FARMACIA EXPRESS, C.A.</t>
  </si>
  <si>
    <t>J505585401</t>
  </si>
  <si>
    <t>0412-1876750</t>
  </si>
  <si>
    <t>CALLE JUNCAL LOCAL NRO 79 SECTOR CENTRO CARUPANO SUCRE</t>
  </si>
  <si>
    <t>99907.35</t>
  </si>
  <si>
    <t>01468</t>
  </si>
  <si>
    <t>FARMACIA URDANETA, S.R.L.</t>
  </si>
  <si>
    <t>J085193693</t>
  </si>
  <si>
    <t>SIQUISIQUE EDO LARA</t>
  </si>
  <si>
    <t>0424-573-44-77</t>
  </si>
  <si>
    <t>8690</t>
  </si>
  <si>
    <t>SIQUISIQUE - LARA</t>
  </si>
  <si>
    <t>AV COMERCIO ENTRE CALLES 6 Y 7 LOCAL NRO 6-50 SECTOR CENTRO CHURUGUARA FALCON</t>
  </si>
  <si>
    <t>401521.29</t>
  </si>
  <si>
    <t>01469</t>
  </si>
  <si>
    <t>FARMACIA TU BIENESTAR CNA, C.A.</t>
  </si>
  <si>
    <t>J505551078</t>
  </si>
  <si>
    <t>0414-7905527</t>
  </si>
  <si>
    <t>CALLE SAN ISIDRO LOCAL NRO 53 SECTOR EL CUARTEL CUMANA SUCRE</t>
  </si>
  <si>
    <t>AV PRINCIPAL ENTRE CARRERAS 3 Y 3A LOCAL NRO 001 BARRIO EL TOSTAO BARQUISIMETO, LARA</t>
  </si>
  <si>
    <t>01471</t>
  </si>
  <si>
    <t>FARMACIA SAN PIO C.A</t>
  </si>
  <si>
    <t>J503528583</t>
  </si>
  <si>
    <t>CR 18 ENTRE CALLES 46 Y 47 CASA NRO S/N SECTOR CENTRO BARQUISIMETO LARA</t>
  </si>
  <si>
    <t>32887.22</t>
  </si>
  <si>
    <t>01472</t>
  </si>
  <si>
    <t>FARMA-MERILIN, C.A.</t>
  </si>
  <si>
    <t>J502471715</t>
  </si>
  <si>
    <t>0414-7350852</t>
  </si>
  <si>
    <t>CALLE 23 ENTRE CARRERAS 4 Y 5 LOCAL NRO S/N SECTOR HOSPITAL SANTA BARBARA BARINAS</t>
  </si>
  <si>
    <t>58403.96</t>
  </si>
  <si>
    <t>01473</t>
  </si>
  <si>
    <t>FARMACIA UNIVERSAL, S.R.L.</t>
  </si>
  <si>
    <t>J090028641</t>
  </si>
  <si>
    <t>0412-6014877</t>
  </si>
  <si>
    <t>AVENIDA MEDINA JIMENEZ N° 3-70 BARINAS</t>
  </si>
  <si>
    <t>01475</t>
  </si>
  <si>
    <t>MAXIFARMA VIRGEN DEL VALLE, C.A</t>
  </si>
  <si>
    <t>J408753812</t>
  </si>
  <si>
    <t>CALLE SUCRE CASA NRO 349 SECTOR JUSEPIN JUSEPIN MONAGAS</t>
  </si>
  <si>
    <t>25633.34</t>
  </si>
  <si>
    <t>01477</t>
  </si>
  <si>
    <t>FARMACIA SAN GREGORIO BARINAS, C.A.</t>
  </si>
  <si>
    <t>J500252390</t>
  </si>
  <si>
    <t>0412-0269753</t>
  </si>
  <si>
    <t>AVENIDA PIE DE MONTE ENTRE FRANCIA Y ALBERTO ARVELO CC LLANO DE ORO NIVEL PLANTA BAJA LOCAL 4-B URB ALTO BARINAS BARINAS</t>
  </si>
  <si>
    <t>163029.82</t>
  </si>
  <si>
    <t>0412-4682013</t>
  </si>
  <si>
    <t>CALLE CALLE AREVALO GONZALEZ EDIF CENTRO DE ESPECIALIDADES QUIRURGICAS GUACARA PISO PB LOCAL LOCAL NUMERO 1 SECTOR CENTRO GUCARA GUACARA CARABOBO</t>
  </si>
  <si>
    <t>01479</t>
  </si>
  <si>
    <t>+ AHORRO 5, C.A</t>
  </si>
  <si>
    <t>J506164000</t>
  </si>
  <si>
    <t>AV INTERCOMUNAL CC DUIDA NIVEL PB LOCAL SN SECTOR INTERCOMUNAL SAN FERNANDO DE APURE APURE</t>
  </si>
  <si>
    <t>190901.59</t>
  </si>
  <si>
    <t>01480</t>
  </si>
  <si>
    <t>FARMACIA CAPITAL C.A</t>
  </si>
  <si>
    <t>J313136310</t>
  </si>
  <si>
    <t>0416-5438033</t>
  </si>
  <si>
    <t>AV LOS LLANOS CASA NRO 15 SECTOR LOS LLANOS SAN JUAN DE LOS MORROS GUARICO</t>
  </si>
  <si>
    <t>01481</t>
  </si>
  <si>
    <t>FARMACIA DIPROMED, C.A</t>
  </si>
  <si>
    <t>J307361530</t>
  </si>
  <si>
    <t>0414-3242371</t>
  </si>
  <si>
    <t>AV FRANCISCO SOLANO LOPEZ EDIF TORRE OASIS PISO PB LOCAL 11 SECTOR LAS DELICIAS-SABANA GRANDE CARACAS DISTRITO CAPITAL</t>
  </si>
  <si>
    <t>20539.98</t>
  </si>
  <si>
    <t>01482</t>
  </si>
  <si>
    <t>FARMACIA GUARAPICHE, C.A</t>
  </si>
  <si>
    <t>J095052915</t>
  </si>
  <si>
    <t>0414-7722841</t>
  </si>
  <si>
    <t>AV GUARAPICHE LOCAL GUARAPICHE PISO PB NRO A URB UNARE I, PTO ORDAZ CIUDAD GUAYANA BOLIVAR</t>
  </si>
  <si>
    <t>01483</t>
  </si>
  <si>
    <t>FARMACIA INTER SALUD, C.A</t>
  </si>
  <si>
    <t>J505945793</t>
  </si>
  <si>
    <t>0424-3002175</t>
  </si>
  <si>
    <t>AV PRINCIPAL DE SAN VICENTE, N° 14 LOCAL NRO 2 SECTOR SAN VICENTE MARACAY ARAGUA</t>
  </si>
  <si>
    <t>181360.85</t>
  </si>
  <si>
    <t>01484</t>
  </si>
  <si>
    <t>"COMERCIAL ROMAR C. A."</t>
  </si>
  <si>
    <t>J095006638</t>
  </si>
  <si>
    <t>0424-9517295</t>
  </si>
  <si>
    <t>AV ROTARIA EDIF SANTO TOME PISO 01 LOCAL 01 URB VISTA HERMOSA PARROQUIA VISTA HERMOSA MUNICIPIO HERES CIUDAD BOLIVAR BOLIVAR</t>
  </si>
  <si>
    <t>01485</t>
  </si>
  <si>
    <t>FARMA MOTO CATIA, C.A.</t>
  </si>
  <si>
    <t>J505576178</t>
  </si>
  <si>
    <t>CALLE MEXICO ENTRE CALLE EL CRISTO LOCAL N. 01 SECTOR LOS MAGALLANES DE CATIA CARACAS DISTRITO CAPITAL ZONA POSTAL 1030</t>
  </si>
  <si>
    <t>3071094.49</t>
  </si>
  <si>
    <t>01488</t>
  </si>
  <si>
    <t>(MATRIZ) FARMA24 EXPRESS, C.A</t>
  </si>
  <si>
    <t>30/11/2024</t>
  </si>
  <si>
    <t>J504924989</t>
  </si>
  <si>
    <t>01489</t>
  </si>
  <si>
    <t>ANDREA JOSE GOMEZ QUIJADA</t>
  </si>
  <si>
    <t>V26341767</t>
  </si>
  <si>
    <t>01490</t>
  </si>
  <si>
    <t>EVER SANCHEZ</t>
  </si>
  <si>
    <t>V26823635</t>
  </si>
  <si>
    <t>01491</t>
  </si>
  <si>
    <t>FARMACIA FARMACACHAMAY, C.A</t>
  </si>
  <si>
    <t>J505904752</t>
  </si>
  <si>
    <t>AV 08, SECTOR 2 LOCAL NRO 9 URB SUR AEROPUERTO CIUDAD GUAYANA BOLIVAR</t>
  </si>
  <si>
    <t>145916.34</t>
  </si>
  <si>
    <t>01492</t>
  </si>
  <si>
    <t>FARMACIA MI DIVINA PASTORA, C.A</t>
  </si>
  <si>
    <t>J505880578</t>
  </si>
  <si>
    <t>0424-5337580</t>
  </si>
  <si>
    <t>CALLE PRINCIPAL LOCAL NRO S/N SECTOR LA REPRESA 1 BARINAS BARINAS</t>
  </si>
  <si>
    <t>70157.02</t>
  </si>
  <si>
    <t>01494</t>
  </si>
  <si>
    <t>FARMACIA PRAGA C.A.</t>
  </si>
  <si>
    <t>J401298940</t>
  </si>
  <si>
    <t>0424-7145431</t>
  </si>
  <si>
    <t>CALLE 15, ENTRE CARRERA 4 Y 5 LOCAL ANEXO LOCAL DE LA CASA NRO 4 97 SECTOR SANTA BARBARA SANTA BARBARA BARINAS.</t>
  </si>
  <si>
    <t>01495</t>
  </si>
  <si>
    <t>FARMA OFERTAS TIERRA SANTA,C.A. (SUCURSAL 4)</t>
  </si>
  <si>
    <t>UD-125, 25 DE MARZO , MANZANA S/N LOCAL 68, SAN FELIX ESTADO BOLIVAR</t>
  </si>
  <si>
    <t>295318.76</t>
  </si>
  <si>
    <t>01496</t>
  </si>
  <si>
    <t>FARMACIA EL TERMINAL C A (ARAGUA)</t>
  </si>
  <si>
    <t>FARMACIA EL TERMINAL C A</t>
  </si>
  <si>
    <t>J075214846</t>
  </si>
  <si>
    <t>AV.CONSTITUCION C  FUERZAS AEREAS LOCAL NRO 29 SECTOR SANTA ANA, MARACAY EDO ARAGUA</t>
  </si>
  <si>
    <t>01497</t>
  </si>
  <si>
    <t>FARMACIA SAN JOSE EXPRESS, C.A.</t>
  </si>
  <si>
    <t>J296157820</t>
  </si>
  <si>
    <t>0424-9315780</t>
  </si>
  <si>
    <t>AV PASEO MENESES LOCAL NRO 55 SECTOR PASEO MENESES CIUDAD BOLIVAR  BOLIVAR</t>
  </si>
  <si>
    <t>476917.61</t>
  </si>
  <si>
    <t>01498</t>
  </si>
  <si>
    <t>FARMACIUDAD, C. A. (SUCURSAL)</t>
  </si>
  <si>
    <t>FARMACIUDAD, C. A.</t>
  </si>
  <si>
    <t>0426-4586808</t>
  </si>
  <si>
    <t>CALLE CEDEÑO CON AVENIDA CUMANA LOCAL NRO S/N SECTOR HOSPITAL BARINAS BARINAS</t>
  </si>
  <si>
    <t>132773.61</t>
  </si>
  <si>
    <t>01499</t>
  </si>
  <si>
    <t>FARMA24 EXPRESS, C.A</t>
  </si>
  <si>
    <t>0424-5145452</t>
  </si>
  <si>
    <t>CALLE CEDEÑO ENTRE AVS CUMANA Y SAN CARLOS CASA NRO 19-64 LOCAL 1 SECTOR HOSPITAL BARINAS BARINAS</t>
  </si>
  <si>
    <t>176728.59</t>
  </si>
  <si>
    <t>01500</t>
  </si>
  <si>
    <t>CENTRO CLINICO SAN JOSE DE SOCOPO C.A.</t>
  </si>
  <si>
    <t>J304381859</t>
  </si>
  <si>
    <t>SOCOPO</t>
  </si>
  <si>
    <t>8691</t>
  </si>
  <si>
    <t>CR 8 ENTRE CALLES 0 Y 1 EDIF CENTRO CLINICO SAN JOSE DE SOCOPO PISO S/N OF S/N BARRIO EL CENTRO SOCOPO BARINAS</t>
  </si>
  <si>
    <t>19682.25</t>
  </si>
  <si>
    <t>01501</t>
  </si>
  <si>
    <t>BOTIQUERIA SANTA LUCÍA</t>
  </si>
  <si>
    <t>V246659105</t>
  </si>
  <si>
    <t>CALLE TOMAS ALFARO CALATRAVA LOCAL NRO S/N SECTOR CENTRO - PARQUE EL CHAPARRO (CAPITAL) ANZOATEGUI</t>
  </si>
  <si>
    <t>17855.22</t>
  </si>
  <si>
    <t>0414-5781945</t>
  </si>
  <si>
    <t>CALLE CEDEÑO ENTRE AVENIDA CUMANA CALLE CAMEJO LOCAL S/N SECTOR CENTRO BARINAS BARINAS</t>
  </si>
  <si>
    <t>01503</t>
  </si>
  <si>
    <t>FARMACIA SAN JORGE C.A</t>
  </si>
  <si>
    <t>J065053593</t>
  </si>
  <si>
    <t>0412-2235501</t>
  </si>
  <si>
    <t>AV ANTONIO JOSE DE SUCRE CC JORGE COLL NIVEL PB LOCAL 22 URB JORGE COLL PAMPATAR NUEVA ESPARTA</t>
  </si>
  <si>
    <t>0412-3983122</t>
  </si>
  <si>
    <t>AV BOLIVAR CC CHARALLAVE NIVEL PB LOCAL FARMACIA CHARALLAVE ZONA CENTRO CHARALLAVE MIRANDA</t>
  </si>
  <si>
    <t>0412-5653409</t>
  </si>
  <si>
    <t>CALLE BOLIVAR LOCAL LOS SAMANES PB NRO 4 SECTOR CENTRO CHARALLAVE MIRANDA</t>
  </si>
  <si>
    <t>01506</t>
  </si>
  <si>
    <t>FARMAREVENGA, C.A.</t>
  </si>
  <si>
    <t>J506090309</t>
  </si>
  <si>
    <t>CALLE CENTRAL, CRUCE CON CALLE PRINCIPAL CASA NRO 19 URB LAS LUISAS EL CONSEJO ARAGUA</t>
  </si>
  <si>
    <t>147272.70</t>
  </si>
  <si>
    <t>01508</t>
  </si>
  <si>
    <t>FARMAFAMILIA TURMERO, C.A.</t>
  </si>
  <si>
    <t>J505855697</t>
  </si>
  <si>
    <t>CALLE BOLIVAR CRUCE CON CEDEÑO EDIF SAN CRISTOBAL PISO PLATA BAJA LOCAL 35-ASECTOR CENTRO TURMERO ARAGUA</t>
  </si>
  <si>
    <t>161110.16</t>
  </si>
  <si>
    <t>01509</t>
  </si>
  <si>
    <t>FARMACIA LA NUEVA ROMA, C.A</t>
  </si>
  <si>
    <t>J411504440</t>
  </si>
  <si>
    <t>0424-2075424</t>
  </si>
  <si>
    <t>CR 19 ESQUINA CALLE 26 CC CENTRO SOCIAL BARQUISIMETO NIVEL P/B LOCAL 03,04 Y 05 ZONA CENTRO BARQUISIMETO LARA</t>
  </si>
  <si>
    <t>CR 4 ENTRE CALLES 16 Y 17 CASA 16-20 SECTOR SANTA BARBARA, MUN EZEQ ZAMORA SANTA BARBARA BARINAS BARINAS</t>
  </si>
  <si>
    <t>01512</t>
  </si>
  <si>
    <t>CORPORACIÓN MAXICONSUMO,C.A.</t>
  </si>
  <si>
    <t>J501788081</t>
  </si>
  <si>
    <t>AV ANTONIO DE BERRIO LOCAL PARCELA Nº 14 NRO 125 SECTOR EL POLLITO, CIUDAD GUAYANA BOLIVAR</t>
  </si>
  <si>
    <t>01515</t>
  </si>
  <si>
    <t>MATRIZ FARMAPAZ LAS COCUIZAS, C.A</t>
  </si>
  <si>
    <t>01516</t>
  </si>
  <si>
    <t>FARMACIA MEDINLARK, C.A.</t>
  </si>
  <si>
    <t>J400953596</t>
  </si>
  <si>
    <t>0424-5250869</t>
  </si>
  <si>
    <t>8587</t>
  </si>
  <si>
    <t>GUANARE</t>
  </si>
  <si>
    <t>26</t>
  </si>
  <si>
    <t>GISVER GONZALEZ</t>
  </si>
  <si>
    <t>CALLE 26 ENTRE CARRERAS 3 Y 5 CC EMP MARJOCA NIVEL P/B LOCAL 01 BARRIO COLOMBIA SUR GUANARE PORTUGUESA</t>
  </si>
  <si>
    <t>232208.38</t>
  </si>
  <si>
    <t>01518</t>
  </si>
  <si>
    <t>MUNDO FARMACIA C.A</t>
  </si>
  <si>
    <t>J500366426</t>
  </si>
  <si>
    <t>GUANARITO EDO PORTUGUESA</t>
  </si>
  <si>
    <t>8692</t>
  </si>
  <si>
    <t>GUANARITO</t>
  </si>
  <si>
    <t>CALLE PRINCIPAL LOCAL NRO S/N SECTOR EL RIO (BIS) SECTOR CENTRO GUANARITO PORTUGUESA</t>
  </si>
  <si>
    <t>2536703.04</t>
  </si>
  <si>
    <t>01519</t>
  </si>
  <si>
    <t>FARMAPAZ LAS COCUIZAS, C.A (SUC 5 LOS GUARITOS)</t>
  </si>
  <si>
    <t>FARMAPAZ LAS COCUIZAS, C.A</t>
  </si>
  <si>
    <t>109723.41</t>
  </si>
  <si>
    <t>01520</t>
  </si>
  <si>
    <t>FARMA REINA 22</t>
  </si>
  <si>
    <t>J503727250</t>
  </si>
  <si>
    <t>APURITO EDO APURE</t>
  </si>
  <si>
    <t>0416-1403442</t>
  </si>
  <si>
    <t>8694</t>
  </si>
  <si>
    <t>APURITO</t>
  </si>
  <si>
    <t>CALLE EL CAMPO A 50 METROS DE LA CANCHA DEPORTIVA
CASA NRO S/N SECTOR APURITO APURITO APURE ZONA POSTAL 7003</t>
  </si>
  <si>
    <t>788.89</t>
  </si>
  <si>
    <t>01521</t>
  </si>
  <si>
    <t>INVERSIONES FARMACIA EN TUS MANOS C.A</t>
  </si>
  <si>
    <t>J506303116</t>
  </si>
  <si>
    <t>CALLE ESTE 5 ENTRE LA ESQUINA TEÑIDERO Y MIRADOR DE LA CANDELARIA EDIF RESIDENCIAS RIAZOR PISO PB LOCAL 2 URB LA CANDELARIA CARACAS DISTRITO CAPITAL</t>
  </si>
  <si>
    <t>53005.28</t>
  </si>
  <si>
    <t>01522</t>
  </si>
  <si>
    <t>FARMA24 EXPRESS, C.A (SUCURSAL)</t>
  </si>
  <si>
    <t>0414-7697633</t>
  </si>
  <si>
    <t>72934.12</t>
  </si>
  <si>
    <t>01523</t>
  </si>
  <si>
    <t>FARMACIA ALSG, SA</t>
  </si>
  <si>
    <t>J502195807</t>
  </si>
  <si>
    <t>AVENIDA SIMON BOLIVAR LOCAL NRO S/N BARRIO COLOMBIA SUR Nº30-270 GUANARE PORTUGUESA</t>
  </si>
  <si>
    <t>72145.45</t>
  </si>
  <si>
    <t>01524</t>
  </si>
  <si>
    <t>MULTIFARMA PLUS C.A.</t>
  </si>
  <si>
    <t>J501670889</t>
  </si>
  <si>
    <t>0424-8163088</t>
  </si>
  <si>
    <t>AV PEDRO MARÍA FREITES LOCAL NRO 3 SECTOR CAYAURIMA BARCELONA ANZOATEGUI</t>
  </si>
  <si>
    <t>96700.57</t>
  </si>
  <si>
    <t>01525</t>
  </si>
  <si>
    <t>FARMACIA INTERNACIONAL C A</t>
  </si>
  <si>
    <t>J075410734</t>
  </si>
  <si>
    <t>VDA 103 EDIF LUCANIA PISO PB LOCAL 4 EL VIÑEDO VALENCIA CARABOBO</t>
  </si>
  <si>
    <t>01526</t>
  </si>
  <si>
    <t>FARMA VIP, C.A</t>
  </si>
  <si>
    <t>J401214037</t>
  </si>
  <si>
    <t>4144591967</t>
  </si>
  <si>
    <t>CALLE RAFAEL LONGORIA CC VICTORIA CENTER LOCAL A15, 17 SECTOR LA VICTORIA EDO. ARAGUA LA VICTORIA ARAGUA</t>
  </si>
  <si>
    <t>67601.59</t>
  </si>
  <si>
    <t>0424-4503018</t>
  </si>
  <si>
    <t>AV LAS FERIAS CC FUN-KAN NIVEL PB LOCAL 5 SECTOR PLAZA DE TOROS VALENCIA CARABOBO</t>
  </si>
  <si>
    <t>01528</t>
  </si>
  <si>
    <t>FARMAPAZ LAS COCUIZAS, C.A ( SUC 6 HOSPIMEDIC MV)</t>
  </si>
  <si>
    <t>10026.00</t>
  </si>
  <si>
    <t>01529</t>
  </si>
  <si>
    <t>FARMAPAZ LAS COCUIZAS, C.A  (SUCURSAL 4 LA PUENTE)</t>
  </si>
  <si>
    <t>CR Nº 7 URBANIZACION LAS COCUIZAS LOCAL NRO 133 SECTOR LAS COCUIZAS MATURIN MONAGAS ZONA POSTAL 6201</t>
  </si>
  <si>
    <t>53465.70</t>
  </si>
  <si>
    <t>01530</t>
  </si>
  <si>
    <t>YUNIBEL DEL VALLE BRITO MEDINA</t>
  </si>
  <si>
    <t>V19257160</t>
  </si>
  <si>
    <t>52192.00</t>
  </si>
  <si>
    <t>01531</t>
  </si>
  <si>
    <t>DANIELA YERMALIS GARCIA DIAMOND</t>
  </si>
  <si>
    <t>V28385221</t>
  </si>
  <si>
    <t>01532</t>
  </si>
  <si>
    <t>FARMACIA FARMAX., C.A.</t>
  </si>
  <si>
    <t>J500407629</t>
  </si>
  <si>
    <t>04249502840 /</t>
  </si>
  <si>
    <t>AV AVENIDA DALLA COSTA CRUCE CON AVENIDA LIBERTADOR LOCAL NRO 04 SECTOR UD-121 CIUDAD GUAYANA, SAN FELIX BOLIVAR</t>
  </si>
  <si>
    <t>163977.95</t>
  </si>
  <si>
    <t>01533</t>
  </si>
  <si>
    <t>FARMACIA DOCTOR X, C.A.</t>
  </si>
  <si>
    <t>J501072566</t>
  </si>
  <si>
    <t>0424-9328708</t>
  </si>
  <si>
    <t>CALLE MANZANA 60, CASA N°1 LOCAL PLANTA BAJA NRO 1-2 URB VILLA PARATEPUY CIUDAD GUAYANA BOLIVAR</t>
  </si>
  <si>
    <t>143340.41</t>
  </si>
  <si>
    <t>01534</t>
  </si>
  <si>
    <t>FARMACIA MANAL,C.A</t>
  </si>
  <si>
    <t>J401655599</t>
  </si>
  <si>
    <t>CALLE MANZ 11 CARRERA 6 LOCAL NRO 40-B-1 SECTOR UD 101 CENTRO DE SAN FELIX CIUDAD GUAYANA BOLIVAR</t>
  </si>
  <si>
    <t>1681.72</t>
  </si>
  <si>
    <t>01535</t>
  </si>
  <si>
    <t>FARMACIA LA 45, C.A</t>
  </si>
  <si>
    <t>J504631248</t>
  </si>
  <si>
    <t>0424-9502840</t>
  </si>
  <si>
    <t>AV DALLA COSTA LOCAL NRO S/N SECTOR CRUCE DE LA 45 - UD-144 CIUDAD GUAYANA BOLIVAR</t>
  </si>
  <si>
    <t>29881.46</t>
  </si>
  <si>
    <t>01536</t>
  </si>
  <si>
    <t>981197.30</t>
  </si>
  <si>
    <t>0424-6776297</t>
  </si>
  <si>
    <t>CALLE 12 ENTRE CARRERA 3 Y 4 EDIF DON LEO PISO PB LOCAL S/N SECTOR CENTRO SANTA BARBARA BARINAS</t>
  </si>
  <si>
    <t>01538</t>
  </si>
  <si>
    <t>FARMACIA LA CARONÍ 2024., C.A.</t>
  </si>
  <si>
    <t>J505403095</t>
  </si>
  <si>
    <t>EL LIMON EDO ARAGUA</t>
  </si>
  <si>
    <t>8693</t>
  </si>
  <si>
    <t>EL LIMON - ARAGUA</t>
  </si>
  <si>
    <t>CALLE CIRCUNVALACION LOCAL D 42, SECTOR LA AGROPECUARIA. EL LIMON. ARAGUA.</t>
  </si>
  <si>
    <t>01539</t>
  </si>
  <si>
    <t>FARMACIA LA CANDELARIA CA</t>
  </si>
  <si>
    <t>J303336760</t>
  </si>
  <si>
    <t>0412-0561630</t>
  </si>
  <si>
    <t>CARRERA 30 ENTRE CALLES 44 Y 45. PARROQUIA CONCEPCION BARQUISIMETO LARA</t>
  </si>
  <si>
    <t>01540</t>
  </si>
  <si>
    <t>FARMACIA COLITA DE RANA, C.A</t>
  </si>
  <si>
    <t>J503914661</t>
  </si>
  <si>
    <t>CALLE GABANTE CRUCE CON MONAGAS LOCAL NRO 1 SECTOR CENTRO TUCUPIDO GUARICO</t>
  </si>
  <si>
    <t>CALLE FRATERNIDAD Nº25-B . SECTOR CASCO CENTRAL EL SOMBRERO EDO-GUARICO</t>
  </si>
  <si>
    <t>01542</t>
  </si>
  <si>
    <t>FARMAVIDA'S, C.A</t>
  </si>
  <si>
    <t>J505722743</t>
  </si>
  <si>
    <t>0424-5161437</t>
  </si>
  <si>
    <t>CALLE 1 ENTRADA PRINCIPAL CARORITA ABAJO CC DON JOAQUIN LOCAL NRO 4 Y 5 SECTOR ANDRES BELLO BARQUISIMETO LARA</t>
  </si>
  <si>
    <t>0414-8645547</t>
  </si>
  <si>
    <t>AV. ESPAÑA C/C CALLE CUBA CASA Nº 102 SECTOR LA SABANITA PARROQUIA LA SABANITA MUNICIPIO HERES CIUDAD BOLIVAR BOLIVAR</t>
  </si>
  <si>
    <t>01544</t>
  </si>
  <si>
    <t>DISTUFAR EXPRESS, C.A.</t>
  </si>
  <si>
    <t>J505708813</t>
  </si>
  <si>
    <t>0412-3982006</t>
  </si>
  <si>
    <t>CALLE PRINCIPAL CC MARIÑO NIVEL PB LOCAL 01 SECTOR CENTRO TURMERO ARAGUA</t>
  </si>
  <si>
    <t>245567.68</t>
  </si>
  <si>
    <t>AV CARABOBO C/C CALLE 152 EDIF IDU PISO P.B. OF 1 URB LA VIÑA VALENCIA CARABOBO</t>
  </si>
  <si>
    <t>01546</t>
  </si>
  <si>
    <t>CLINIC FARMA, C.A (SUC TUCUPITA)</t>
  </si>
  <si>
    <t>+58 424-9587677</t>
  </si>
  <si>
    <t>331303.11</t>
  </si>
  <si>
    <t>01547</t>
  </si>
  <si>
    <t>FARMACIA AHORRAFARMA 2, C.A</t>
  </si>
  <si>
    <t>J506114216</t>
  </si>
  <si>
    <t>CALLE PRINCIPAL LOCAL NRO 01 SECTOR LA ESPERANZA EL CALLAO BOLIVAR</t>
  </si>
  <si>
    <t>540704.03</t>
  </si>
  <si>
    <t>01548</t>
  </si>
  <si>
    <t>FARMACIA DANUBIO, C.A</t>
  </si>
  <si>
    <t>J506088401</t>
  </si>
  <si>
    <t>CALLE TROCONIS ENTRE CALLE DANUBIO Y CALLE EL ROBLE LOCAL NRO SN SECTOR LOMAS ZARAZA GUARICO</t>
  </si>
  <si>
    <t>186775.11</t>
  </si>
  <si>
    <t>0424-8938051</t>
  </si>
  <si>
    <t>CALLE LAS FLORES LOCAL H-140 BARRIO LA ADUANA BARCELONA ANZOATEGUI</t>
  </si>
  <si>
    <t>01550</t>
  </si>
  <si>
    <t>FARMAVALLIS, C.A.</t>
  </si>
  <si>
    <t>J506231271</t>
  </si>
  <si>
    <t>VALLE GUANAPE</t>
  </si>
  <si>
    <t>0281-4417097</t>
  </si>
  <si>
    <t>CALLE BOLIVAR LOCAL NRO 2 SECTOR CENTRO VALLE DE GUANAPE ANZOATEGUI</t>
  </si>
  <si>
    <t>01551</t>
  </si>
  <si>
    <t>FARMAKACTUS, C.A.</t>
  </si>
  <si>
    <t>J503220023</t>
  </si>
  <si>
    <t>0424-5148010</t>
  </si>
  <si>
    <t>CTRA TRONCAL 5, VIA SAN CRISTOBAL LOCAL NRO S/N SECTOR LA REDOMA INDUSTRIAL BARINAS</t>
  </si>
  <si>
    <t>14550.92</t>
  </si>
  <si>
    <t>01552</t>
  </si>
  <si>
    <t>FARMACIA SANTA MONICA 2018, C.A.</t>
  </si>
  <si>
    <t>J500653301</t>
  </si>
  <si>
    <t>SOCOPO EDO BARINAS</t>
  </si>
  <si>
    <t>04245185804</t>
  </si>
  <si>
    <t>CALLE 1 CON CARRERA 11 Y 12 CASA NRO 11-56 SECTOR EL CENTRO SOCOPO BARINAS</t>
  </si>
  <si>
    <t>121.93</t>
  </si>
  <si>
    <t>0424-93203798</t>
  </si>
  <si>
    <t>0424-7337439</t>
  </si>
  <si>
    <t>CARRERA 4 ESQUINA CON CALLE 23 SECTOR PUEBLO NUEVO. MUNICIPIO EZEQUIEL ZAMORA, PARROQUIA SANTA BARBARA DEL ESTADO BARINAS</t>
  </si>
  <si>
    <t>01555</t>
  </si>
  <si>
    <t>FARMA SALUD &amp; BIENESTAR, C.A.</t>
  </si>
  <si>
    <t>J506300281</t>
  </si>
  <si>
    <t>CTRA TRONCAL 10 VIA EL DORADO LOCAL S/N SECTOR LOS COCOS EL DORADO BOLIVAR</t>
  </si>
  <si>
    <t>129331.12</t>
  </si>
  <si>
    <t>01556</t>
  </si>
  <si>
    <t>FARMACIA LEO, C.A.</t>
  </si>
  <si>
    <t>J307308230</t>
  </si>
  <si>
    <t>0424-3042438</t>
  </si>
  <si>
    <t>CALLE RICAURTE CASA NRO 49 SECTOR CENTRO TUCUPIDO GUARICO</t>
  </si>
  <si>
    <t>01557</t>
  </si>
  <si>
    <t>FARMACIA NADIA (EL DORADO)</t>
  </si>
  <si>
    <t>FARMACIA NADIA</t>
  </si>
  <si>
    <t>V281409480</t>
  </si>
  <si>
    <t>CALLE MIRANDA CASA NRO S/N SECTOR CENTRO EL DORADO BOLIVAR</t>
  </si>
  <si>
    <t>101791.56</t>
  </si>
  <si>
    <t>01558</t>
  </si>
  <si>
    <t>FARMACALIPSO, C.A</t>
  </si>
  <si>
    <t>J506340577</t>
  </si>
  <si>
    <t>BOLIVAR DIAGONAL AL BANCO CARONI LOCAL NRO 2 SECTOR EL CALLAO EL CALLAO BOLIVAR</t>
  </si>
  <si>
    <t>974844.06</t>
  </si>
  <si>
    <t>0416-6771362</t>
  </si>
  <si>
    <t>CR 9 ENTRE CALLES 5 Y 6 CASA NÚMERO 5-56 SECTOR ESMILTA CAMEJO, SOCOPO ESTADO BARINAS SOCOPO BARINAS</t>
  </si>
  <si>
    <t>01561</t>
  </si>
  <si>
    <t>FARMACIA ROJAS, C.A.</t>
  </si>
  <si>
    <t>J075770021</t>
  </si>
  <si>
    <t>VDA ARANZAZU LOCAL NRO 57-A BARRIO MIGUEL ACHE VALENCIA CARABOBO</t>
  </si>
  <si>
    <t>331525.31</t>
  </si>
  <si>
    <t>01562</t>
  </si>
  <si>
    <t>FARMACIAS FARMAMAS+, C.A</t>
  </si>
  <si>
    <t>J500760744</t>
  </si>
  <si>
    <t>0424-5609764</t>
  </si>
  <si>
    <t>AV LOS ANDES ESTACION DE SERVICIO LA NONNA LOCLA NRO 2-B URB ALTO BARINAS BARINAS</t>
  </si>
  <si>
    <t>153820.83</t>
  </si>
  <si>
    <t>01563</t>
  </si>
  <si>
    <t>FARMA RUTTAS, C.A.</t>
  </si>
  <si>
    <t>J409822265</t>
  </si>
  <si>
    <t>0424-9138175</t>
  </si>
  <si>
    <t>CALLE PRINCIPAL SAN JOSE LOCAL NRO S/N SECTOR SAN JOSÉ DE EL CALLAO EL CALLAO BOLIVAR</t>
  </si>
  <si>
    <t>58187.94</t>
  </si>
  <si>
    <t>01564</t>
  </si>
  <si>
    <t>EXPENDIOS DE MEDICINAS ABEL VELEZ F.P</t>
  </si>
  <si>
    <t>V155474579</t>
  </si>
  <si>
    <t>AV PRINCIPAL APURITO, LOCAL S/N A 50 METROS DE LA ESCUELA GRANJA DR. SAVERIO BARBARITO LOCAL NRO SECTOR CENTRO PARROQUIA APURITO MUNICIPIO ACHAGUAS</t>
  </si>
  <si>
    <t>01566</t>
  </si>
  <si>
    <t>FARMACIA FARMAPLAZA, C.A</t>
  </si>
  <si>
    <t>J501995214</t>
  </si>
  <si>
    <t>IRAPA EDO SUCRE</t>
  </si>
  <si>
    <t>0424-8448451</t>
  </si>
  <si>
    <t>6101</t>
  </si>
  <si>
    <t>IRAPA</t>
  </si>
  <si>
    <t>CALLE MARIÑO CASA NRO S/N SECTOR CENTRO IRAPA SUCRE</t>
  </si>
  <si>
    <t>944698.43</t>
  </si>
  <si>
    <t>01569</t>
  </si>
  <si>
    <t>FARMACIA EL MORRO CA</t>
  </si>
  <si>
    <t>J075209567</t>
  </si>
  <si>
    <t>SAN DIEGO - VALENCIA</t>
  </si>
  <si>
    <t>AV 73-A CC UNCENTRO MORRO NIVEL PB Y PA LOCAL PB 5 Y 6 Y NIVEL PA12 URB EL MORRO II VALENCIA CARABOBO</t>
  </si>
  <si>
    <t>1993.77</t>
  </si>
  <si>
    <t>01570</t>
  </si>
  <si>
    <t>FARMACIA LOS TRES MOSQUETEROS 24, C.A</t>
  </si>
  <si>
    <t>J505905201</t>
  </si>
  <si>
    <t>0412-2780100</t>
  </si>
  <si>
    <t>AV LOS TRES MOSQUETEROS, CALLE "A" CASA NRO 19 BARRIO INDEPENDENCIA MARACAY ARAGUA</t>
  </si>
  <si>
    <t>52622.37</t>
  </si>
  <si>
    <t>01571</t>
  </si>
  <si>
    <t>EXPENDIO DE MEDICINAS SU BOTIQUERIA, C.A</t>
  </si>
  <si>
    <t>J505691414</t>
  </si>
  <si>
    <t>MESA DE CAVACAS (GUANARE) ED</t>
  </si>
  <si>
    <t>CALLE VILLAZOILA LOCAL NRO 1 Y 2 BARRIO EL CENTRO MESA DE CAVACAS PORTUGUESA</t>
  </si>
  <si>
    <t>01572</t>
  </si>
  <si>
    <t>FARMAKEI C.A</t>
  </si>
  <si>
    <t>J500608705</t>
  </si>
  <si>
    <t>0412-3528883</t>
  </si>
  <si>
    <t>CALLE COLON EDIF EDIF KEI MARKET PISO S/N SECTOR PUNTA DE PIEDRAS NUEVA ESPARTA</t>
  </si>
  <si>
    <t>52376.24</t>
  </si>
  <si>
    <t>01573</t>
  </si>
  <si>
    <t>BIOMEDICAL MANANTIAL C.A</t>
  </si>
  <si>
    <t>J501285683</t>
  </si>
  <si>
    <t>04148025633</t>
  </si>
  <si>
    <t>CALLE SAN ANTONIO CC MULTICENTRO MESONES NIVEL PB LOCAL L-05 SECTOR MESONES BARCELONA ANZOATEGUI</t>
  </si>
  <si>
    <t>0416-6804012</t>
  </si>
  <si>
    <t>AV PEDRO MARIA FREITES, CRUCE CON CALLE ROSALES CASA NRO 12-40 SECTOR BARRIO COREA BARCELONA ANZOATEGUI</t>
  </si>
  <si>
    <t>01575</t>
  </si>
  <si>
    <t>(MATRIZ) NOVAFARMA GROUP, S.A</t>
  </si>
  <si>
    <t>J505048406</t>
  </si>
  <si>
    <t>01576</t>
  </si>
  <si>
    <t>NOVAFARMA GROUP, S.A</t>
  </si>
  <si>
    <t>0414-8393169</t>
  </si>
  <si>
    <t>CALLE SUCRE CRUCE CON CALLE 24 DE JULIO EDIF MILCAR PISO S/N LOCAL 01 SECTOR 23 DE ENERO ANACO ANZOATEGUI</t>
  </si>
  <si>
    <t>94544.24</t>
  </si>
  <si>
    <t>0414-0579542</t>
  </si>
  <si>
    <t>8656</t>
  </si>
  <si>
    <t>CALLE BOLIVAR CARRERA 2 CASA NRO S/N SECTOR QUEBRADA SECA QUEBRADA SECA BARINAS</t>
  </si>
  <si>
    <t>01580</t>
  </si>
  <si>
    <t>CENTRO MEDICO ANACO, C.A.</t>
  </si>
  <si>
    <t>J080000765</t>
  </si>
  <si>
    <t>+58 416-3214981</t>
  </si>
  <si>
    <t>AV ZULIA LOCAL CENTRO MEDICO ANACO NRO 1 SECTOR PUEBLO NUEVO ANACO ANZOATEGUI</t>
  </si>
  <si>
    <t>54036.74</t>
  </si>
  <si>
    <t>01581</t>
  </si>
  <si>
    <t>FARMACIA CONSUMED,C.A.</t>
  </si>
  <si>
    <t>J297675914</t>
  </si>
  <si>
    <t>0414-5953083</t>
  </si>
  <si>
    <t>AV RICAURTE CC LOS MANGOS NIVEL PB LOCAL #3 SECTOR CENTRO SAN CARLOS COJEDES</t>
  </si>
  <si>
    <t>95850.16</t>
  </si>
  <si>
    <t>01582</t>
  </si>
  <si>
    <t>FARMACIA FARMALYDO LA GOAJIRA, C.A.</t>
  </si>
  <si>
    <t>J302329736</t>
  </si>
  <si>
    <t>ACARIGUA EDO PORTUGUESA</t>
  </si>
  <si>
    <t>0412-0542578</t>
  </si>
  <si>
    <t>ESQ AVENIDA 34 CON ESQUINA AVENIDA ROTARIA CC LA GOAJIRA NIVEL P/B LOCAL 01 Y 02 URB LA GOAJIRA ACARIGUA PORTUGUESA</t>
  </si>
  <si>
    <t>4362.89</t>
  </si>
  <si>
    <t>01583</t>
  </si>
  <si>
    <t>MISCEMED</t>
  </si>
  <si>
    <t>J406579114</t>
  </si>
  <si>
    <t>0412-8893088</t>
  </si>
  <si>
    <t>CALLE CEDEÑO LOCAL NRO 40 ZONA CENTRO DE SAN FELIX CIUDAD GUAYANA BOLIVAR</t>
  </si>
  <si>
    <t>01584</t>
  </si>
  <si>
    <t>FARMATOSCANA, C.A</t>
  </si>
  <si>
    <t>J500324669</t>
  </si>
  <si>
    <t>0412-0519635</t>
  </si>
  <si>
    <t>8735</t>
  </si>
  <si>
    <t>ALTO BARINAS</t>
  </si>
  <si>
    <t>AV RAÚL BLONVAL LÓPEZ ENTRE ADONAY PARRA AVENIDA VENEZUELA CC LE SANTE NIVEL PB LOCAL 8 SECTOR ALTO BARINAS BARINAS</t>
  </si>
  <si>
    <t>14285.95</t>
  </si>
  <si>
    <t>01585</t>
  </si>
  <si>
    <t>MIGUEL RIVAS</t>
  </si>
  <si>
    <t>V27499727</t>
  </si>
  <si>
    <t>CALLE ZARAZA C/C MADARIAGA NRO S/N SECTOR EL TRANQUERO, TUCUPIDO ESTADO GUARICO</t>
  </si>
  <si>
    <t>01587</t>
  </si>
  <si>
    <t>FARMACIA DON VILLA C.A</t>
  </si>
  <si>
    <t>J308195669</t>
  </si>
  <si>
    <t>0424 3507768</t>
  </si>
  <si>
    <t>CARRETERA NACIONAL SAN FERNANDO BIRUACA 9NA TRSVERSAL EDIF. DON VILLA PB SECTOR CENTRO CASCO CENTRAL</t>
  </si>
  <si>
    <t>131590.03</t>
  </si>
  <si>
    <t>01588</t>
  </si>
  <si>
    <t>FARMACIA VIRGEN DE LOURDES, II C.A</t>
  </si>
  <si>
    <t>J311366474</t>
  </si>
  <si>
    <t>AV.5 DE JULIO LOCAL 121-1. PUERTO LA CRUZ ANZOATEGUI</t>
  </si>
  <si>
    <t>122579.70</t>
  </si>
  <si>
    <t>01590</t>
  </si>
  <si>
    <t>FARMACIA MIS DOS J 2021, C.A.</t>
  </si>
  <si>
    <t>J500998198</t>
  </si>
  <si>
    <t>SANTA INES EDO LARA</t>
  </si>
  <si>
    <t>0416-9377944</t>
  </si>
  <si>
    <t>8696</t>
  </si>
  <si>
    <t>SANTA INES - LARA</t>
  </si>
  <si>
    <t>AV PRINCIPAL LIBERTADOR LOCAL NRO S/N SANTA INES SECTOR SANTA INES</t>
  </si>
  <si>
    <t>47921.58</t>
  </si>
  <si>
    <t>01591</t>
  </si>
  <si>
    <t>CENTRO CLINICO QUIRURGICO LA SABANA 520, C.A</t>
  </si>
  <si>
    <t>J505781359</t>
  </si>
  <si>
    <t>CALLE URDANETA LOCAL NRO 184 SECTOR CASCO CENTRAL SANTA ELENA DE UAIREN BOLIVAR</t>
  </si>
  <si>
    <t>260148.91</t>
  </si>
  <si>
    <t>01592</t>
  </si>
  <si>
    <t>EXPENDIO DE MEDICINAS MASSALUD INTERCONTINENTAL, C.A.</t>
  </si>
  <si>
    <t>J506389592</t>
  </si>
  <si>
    <t>CALLE CALLE BOLIVARIANO CON CALLE URDANETA LOCAL NRO 04 SECTOR CASCO CENTRAL SANTA ELENA DE UAIREN BOLIVAR</t>
  </si>
  <si>
    <t>1196294.70</t>
  </si>
  <si>
    <t>01593</t>
  </si>
  <si>
    <t>FLOR EVEDIA MARIN SANTORIO "FARMACIA TARI TARI, FP"</t>
  </si>
  <si>
    <t>V038248371</t>
  </si>
  <si>
    <t>CALLE EL SOL AL LADO DEL HOSPITAL AGUSTIN HERNANDEZ LOCAL FARMACIA TARI-TARI NRO PLANTA BAJA.</t>
  </si>
  <si>
    <t>495634.05</t>
  </si>
  <si>
    <t>01594</t>
  </si>
  <si>
    <t>(MATRIZ) FARMACIA ALSG, SA</t>
  </si>
  <si>
    <t>01595</t>
  </si>
  <si>
    <t>FARMACIA ALSG, SA (SUCURSAL)</t>
  </si>
  <si>
    <t>43675.29</t>
  </si>
  <si>
    <t>01596</t>
  </si>
  <si>
    <t>EXPENDIO DE MEDICINA FE Y SALUD, C.A</t>
  </si>
  <si>
    <t>J505422430</t>
  </si>
  <si>
    <t>04148947851</t>
  </si>
  <si>
    <t>CALLE PIAR LOCAL S/N SECTOR LA AMARILLA EL MANTECO BOLIVAR</t>
  </si>
  <si>
    <t>01598</t>
  </si>
  <si>
    <t>FARMACIA TORRE DAVID, C.A</t>
  </si>
  <si>
    <t>J308384771</t>
  </si>
  <si>
    <t>AV INTERCOMUNAL VIA DUACA KM 10 CASA S/N SECTOR SABANA GRANDE ZONA POSTAL 3001.</t>
  </si>
  <si>
    <t>CARORA EDO LARA</t>
  </si>
  <si>
    <t>3050</t>
  </si>
  <si>
    <t>CARORA - LARA</t>
  </si>
  <si>
    <t>AV. 14 DE FEBRERO ESQUINA CALLE SOL DE ORIENTE LOCAL 01 FARMACIA EL PORTILLO SECTOR EGIDIO MONTESINO CARORA EDO LARA.</t>
  </si>
  <si>
    <t>01600</t>
  </si>
  <si>
    <t>FARMACIA MALBRIC C.A.</t>
  </si>
  <si>
    <t>J413102358</t>
  </si>
  <si>
    <t>CHABASQUEN EDO PORTUGUESA</t>
  </si>
  <si>
    <t>3357</t>
  </si>
  <si>
    <t>CHABASQUEN</t>
  </si>
  <si>
    <t>AV SUCRE ENTRE RICAUTER Y ARISMENDI CASA NRO S/N SECTOR CENTRO CHABASQUEN PORTUGUESA</t>
  </si>
  <si>
    <t>359380.32</t>
  </si>
  <si>
    <t>01601</t>
  </si>
  <si>
    <t>FARMACIA LA PENINSULA, C.A</t>
  </si>
  <si>
    <t>J065042028</t>
  </si>
  <si>
    <t>BOCA DE RIO NUEVA ESPARTA</t>
  </si>
  <si>
    <t>04162961533</t>
  </si>
  <si>
    <t>8530</t>
  </si>
  <si>
    <t>BOCA DE RIO</t>
  </si>
  <si>
    <t>CALLE LA MARINA CASA NRO 151 SECTOR BOCA DEL RIO BOCA DE RIO NUEVA ESPARTA</t>
  </si>
  <si>
    <t>107393.48</t>
  </si>
  <si>
    <t>01602</t>
  </si>
  <si>
    <t>FARMACIA EL ROSARIO C.A.</t>
  </si>
  <si>
    <t>J085011951</t>
  </si>
  <si>
    <t>04121204551</t>
  </si>
  <si>
    <t>CALLE LARA CON PADRE ZUBILLAGA EDIF DON LEOPOLDO PISO PB LOCAL 1 SECTOR CENTRO-CARORA CARORA LARA</t>
  </si>
  <si>
    <t>888886.24</t>
  </si>
  <si>
    <t>01603</t>
  </si>
  <si>
    <t>FARMACIA SAN MIGUEL DE CARORA, C.A.</t>
  </si>
  <si>
    <t>J501189463</t>
  </si>
  <si>
    <t>FISCAL AV FRANCISCO DE MIRANDA ENTRE CALLES ZUBILLAGA Y CUMANA LOCAL NRO S/N SECTOR SANTO DOMINGO CARORA LARA</t>
  </si>
  <si>
    <t>2117979.56</t>
  </si>
  <si>
    <t>01604</t>
  </si>
  <si>
    <t>FARMACIA LA PICA, C.A</t>
  </si>
  <si>
    <t>J413155818</t>
  </si>
  <si>
    <t>0412-1204551</t>
  </si>
  <si>
    <t>AV FRANCISCO DE MIRANDA ENTRE CALLES LIBERTAD Y CONCORDIA LOCAL NRO S/N CENTRO CARORA LARA</t>
  </si>
  <si>
    <t>1486130.49</t>
  </si>
  <si>
    <t>01605</t>
  </si>
  <si>
    <t>FARMACIA SAN IGNACIO EL TOCUYO, C.A</t>
  </si>
  <si>
    <t>J502082409</t>
  </si>
  <si>
    <t>EL TOCUYO EDO LARA</t>
  </si>
  <si>
    <t>3018</t>
  </si>
  <si>
    <t>EL TOCUYO - LARA</t>
  </si>
  <si>
    <t>AV LISANDRO ALVARADO CON CALLE 10 EDIF CAROLLA PISO PB LOCAL 4 SECTOR CENTRO EL TOCUYO LARA</t>
  </si>
  <si>
    <t>6108401.94</t>
  </si>
  <si>
    <t>01606</t>
  </si>
  <si>
    <t>(MATRIZ) FARMAIGNACIO BARARIDA C.A.</t>
  </si>
  <si>
    <t>J316880567</t>
  </si>
  <si>
    <t>01607</t>
  </si>
  <si>
    <t>FARMAIGNACIO BARARIDA C.A. (PRINCIPAL)</t>
  </si>
  <si>
    <t>FARMAIGNACIO BARARIDA C.A.</t>
  </si>
  <si>
    <t>04245152748</t>
  </si>
  <si>
    <t>AV LIBERTADOR CON CALLE 2 LOCAL NRO 1 URB BARARIDA BARQUISIMETO LARA</t>
  </si>
  <si>
    <t>1954786.18</t>
  </si>
  <si>
    <t>01608</t>
  </si>
  <si>
    <t>FARMAIGNACIO BARARIDA C.A. "SUCURSAL"</t>
  </si>
  <si>
    <t>1592279.67</t>
  </si>
  <si>
    <t>01609</t>
  </si>
  <si>
    <t>FARMACIA SAN VALENTIN EL BOLIVAR, C.A</t>
  </si>
  <si>
    <t>J501800111</t>
  </si>
  <si>
    <t>CALLE 9 ENTRE CARRERA 1 (ANTIGUA CARRETERA VIA EL TOCUYO) LOCAL NRO S/N BARRIO EL BOLIVAR BARQUISIMETO LARA</t>
  </si>
  <si>
    <t>2037789.13</t>
  </si>
  <si>
    <t>01610</t>
  </si>
  <si>
    <t>FARMAIGNACIO MIGUEL ANGEL C.A</t>
  </si>
  <si>
    <t>J407254120</t>
  </si>
  <si>
    <t>CR 6 ENTRE CALLES 8 Y 9 CC MIGUEL ANGEL 1 NIVEL PB LOCAL 6,7 Y 8 SECTOR SAN FRANCISCO BARQUISIMETO LARA</t>
  </si>
  <si>
    <t>1883402.12</t>
  </si>
  <si>
    <t>01611</t>
  </si>
  <si>
    <t>FARMACIA ALTAGRACIA 20, C.A</t>
  </si>
  <si>
    <t>J501111235</t>
  </si>
  <si>
    <t>AV 20, ENTRE CALLES 19 Y 20 EDIF ERNO PISO PB LOCAL 19-58 SECTOR CENTRO BARQUISIMETO LARA</t>
  </si>
  <si>
    <t>967178.86</t>
  </si>
  <si>
    <t>01612</t>
  </si>
  <si>
    <t>FARMACIA ROJAS GR, C.A</t>
  </si>
  <si>
    <t>J504856436</t>
  </si>
  <si>
    <t>0412-4741718</t>
  </si>
  <si>
    <t>AV SESQUICENTENARIO LOCAL NRO A SECTOR MIGUEL ACHE VALENCIA CARABOBO</t>
  </si>
  <si>
    <t>226846.14</t>
  </si>
  <si>
    <t>01613</t>
  </si>
  <si>
    <t>FARMAMEXICANO, C.A</t>
  </si>
  <si>
    <t>J505642936</t>
  </si>
  <si>
    <t>0412-1553467</t>
  </si>
  <si>
    <t>CR CARRERA 11 ENTRE CALLES 1 Y 2 CASA NRO S/N SECTOR CENTRO SOCOPO BARINAS</t>
  </si>
  <si>
    <t>01614</t>
  </si>
  <si>
    <t>FARMACIA PAEZ LA RODRIGUEZ C.A.</t>
  </si>
  <si>
    <t>J309926896</t>
  </si>
  <si>
    <t>0424-5807817</t>
  </si>
  <si>
    <t>AV CARABOBO LOCAL C.C. CUATRICENTENARIO NRO 3 URB RODRIGUEZ DOMINGUEZ BARINAS BARINAS</t>
  </si>
  <si>
    <t>0412-2702001</t>
  </si>
  <si>
    <t>5219</t>
  </si>
  <si>
    <t>CAPITANEJO - BARINAS</t>
  </si>
  <si>
    <t>CALLE PRINCIPAL LOCAL S/N SECTOR CENTRO  CAPITANEJO BARINAS</t>
  </si>
  <si>
    <t>01616</t>
  </si>
  <si>
    <t>FARMACIA FARMALOLA, C.A</t>
  </si>
  <si>
    <t>J502363238</t>
  </si>
  <si>
    <t>AV 24 DE JULIO CON CALLE COMERCIO LOCAL NRO S/N SECTOR CENTRO CHABASQUEN PORTUGUESA</t>
  </si>
  <si>
    <t>01617</t>
  </si>
  <si>
    <t>FARMAIGNACIO LA LARA, C.A.</t>
  </si>
  <si>
    <t>J501913218</t>
  </si>
  <si>
    <t>CALLE 96 (24 DE JUNIO) LOCAL NRO 107-53SECTOR CANDELARIA VALENCIA CARABOBO</t>
  </si>
  <si>
    <t>1422198.93</t>
  </si>
  <si>
    <t>01618</t>
  </si>
  <si>
    <t>(MATRIZ) FARMACIUDAD, C.A</t>
  </si>
  <si>
    <t>J500690673</t>
  </si>
  <si>
    <t>01619</t>
  </si>
  <si>
    <t>FARMACIUDAD, C. A. (PRINCIPAL)</t>
  </si>
  <si>
    <t>0424-5969947 / 0424-5134108</t>
  </si>
  <si>
    <t>129683.26</t>
  </si>
  <si>
    <t>01620</t>
  </si>
  <si>
    <t>FARMACIA FARMA VIDA PLUS CA</t>
  </si>
  <si>
    <t>J506772515</t>
  </si>
  <si>
    <t>04261713913</t>
  </si>
  <si>
    <t>CR 3 CON CALLES 20 Y 21 LOCAL SN SECTOR PUEBLO NUEVO SANTA BARBARA BARINAS</t>
  </si>
  <si>
    <t>398330.05</t>
  </si>
  <si>
    <t>01621</t>
  </si>
  <si>
    <t>FARMA BERACA BARINAS, C.A</t>
  </si>
  <si>
    <t>J502377239</t>
  </si>
  <si>
    <t>0412-5372780</t>
  </si>
  <si>
    <t>CALLE SAN JUAN LOCAL NRO 4-46A URB LA VICTORIA BARINAS BARINAS</t>
  </si>
  <si>
    <t>01622</t>
  </si>
  <si>
    <t>FARMACIA PRODUMED, C.A</t>
  </si>
  <si>
    <t>J505027743</t>
  </si>
  <si>
    <t>+58 412-7517910</t>
  </si>
  <si>
    <t>AV 1 LOCAL NRO 2 SECTOR 2 ANTIGUO AEROPUERTO PUNTO FIJO FALCON</t>
  </si>
  <si>
    <t>176902.07</t>
  </si>
  <si>
    <t>01623</t>
  </si>
  <si>
    <t>POLICLINICAS ELOHIM, C.A.</t>
  </si>
  <si>
    <t>J303707017</t>
  </si>
  <si>
    <t>AV FUERZAS ARMADAS C/CALLE 2 EDIF POLILCLINICAS ELOHIM, C.A PISO 5 OF 1 URB LAS AVENIDAS MATURIN MONAGAS</t>
  </si>
  <si>
    <t>01624</t>
  </si>
  <si>
    <t>CLINICA CHILEMEX, C.A.</t>
  </si>
  <si>
    <t>J305708924</t>
  </si>
  <si>
    <t>CALLE CHILE C/C ANTILLA EDIF CEMCA PISO 1 OF PB URB CHILEMEX CIUDAD GUAYANA BOLIVAR</t>
  </si>
  <si>
    <t>01626</t>
  </si>
  <si>
    <t>CENTRO MEDICO LOS PROCERES (CEMEDPROCA) C.A</t>
  </si>
  <si>
    <t>J296490333</t>
  </si>
  <si>
    <t>0414-5454168</t>
  </si>
  <si>
    <t>CALLE PRINCIPAL CASA NRO S/N URB JOSE ANTONIO PAEZ SECTOR 4 LOS PROCERES GUANARE PORTUGUESA</t>
  </si>
  <si>
    <t>01627</t>
  </si>
  <si>
    <t>FARMACIA REAL 2022, C.A</t>
  </si>
  <si>
    <t>J502467033</t>
  </si>
  <si>
    <t>02432337072 / 0412 9883919</t>
  </si>
  <si>
    <t>AVENIDA BOLIVAR LOCAL CENTRO DE ADIESTRAMIENTO FISIOLOGICO Y MEDICIA AEROESPACIAL NRO CAFMA SECTOR LA PLACERA MARACAY ARAGUA</t>
  </si>
  <si>
    <t>5874.64</t>
  </si>
  <si>
    <t>0414 4777986 / 0424 304 66 0</t>
  </si>
  <si>
    <t>AV VENEZUELA C/C AV. COROPO CASA NRO 145 SECTOR LA MORITA II SANTA RITA ARAGUA</t>
  </si>
  <si>
    <t>01629</t>
  </si>
  <si>
    <t>GRUPO MEDICAL 22,C.A</t>
  </si>
  <si>
    <t>J505947079</t>
  </si>
  <si>
    <t>0424-5516080</t>
  </si>
  <si>
    <t>CALLE 22 CON CARRERA 33 LOCAL NRO. S/N SECTOR CENTRO BARQUISIMETO LARA</t>
  </si>
  <si>
    <t>172911.66</t>
  </si>
  <si>
    <t>01630</t>
  </si>
  <si>
    <t>FARMACIA IBERFARMA II., C.A</t>
  </si>
  <si>
    <t>J504806013</t>
  </si>
  <si>
    <t>CHiVACOA EDO YARACUY</t>
  </si>
  <si>
    <t>8745</t>
  </si>
  <si>
    <t>CHIVACOA - YARACUY</t>
  </si>
  <si>
    <t>calle 9 entre avenidas 11 y 12 edificio lorepi local nº 1 sector pozo nuevo</t>
  </si>
  <si>
    <t>YARACUY</t>
  </si>
  <si>
    <t>BOLIVAR</t>
  </si>
  <si>
    <t>01631</t>
  </si>
  <si>
    <t>FARMA TRIGU'S 2022, C.A.</t>
  </si>
  <si>
    <t>J502458697</t>
  </si>
  <si>
    <t>0414-4098279</t>
  </si>
  <si>
    <t>CALLE CEDEÑO CC SUCRE NIVEL PB LOCAL 2 SECTOR TOCUYITO TOCUYITO CARABOBO</t>
  </si>
  <si>
    <t>01632</t>
  </si>
  <si>
    <t>FARMACIA CARORA LA 14, C.A</t>
  </si>
  <si>
    <t>J501713375</t>
  </si>
  <si>
    <t>58 416-9139701 /</t>
  </si>
  <si>
    <t>FISCAL CALLE 14 DE FEBRERO ENTRE CALLE LIDICE Y EL CARMEN LOCAL NRO S/N SECTOR CENTRO CARORA LARA</t>
  </si>
  <si>
    <t>983336.23</t>
  </si>
  <si>
    <t>01633</t>
  </si>
  <si>
    <t>FARMACIA EL COMBATE, C.A.</t>
  </si>
  <si>
    <t>J501279322</t>
  </si>
  <si>
    <t>58 412-7473513</t>
  </si>
  <si>
    <t>AV SESQUICENTENARIA LOCAL NRO 1 URB URBANIZACIÓN POPULAR RUIZ PINEDA I, No 108-J-50 VALENCIA CARABOBO</t>
  </si>
  <si>
    <t>590492.45</t>
  </si>
  <si>
    <t>01634</t>
  </si>
  <si>
    <t>FARMACIA PTO CABELLO, C.A.</t>
  </si>
  <si>
    <t>J503633425</t>
  </si>
  <si>
    <t>PUERTO CABELLO EDO CARABOBO</t>
  </si>
  <si>
    <t>+58 412-2010927</t>
  </si>
  <si>
    <t>2050</t>
  </si>
  <si>
    <t>PUERTO CABELLO</t>
  </si>
  <si>
    <t>CALLE SEGRESTAA CRUCE CON AVENIDA BOLIVAR CC Y PROFESIONAL MADEFER NIVEL P/B LOCAL 07 Y 08 SECTOR CENTRO PUERTO CABELLO CARABOBO</t>
  </si>
  <si>
    <t>867736.27</t>
  </si>
  <si>
    <t>AV BOLIVAR C/C CALLE NEGRO PRIMERO LOCAL 9 Y 10 SECTOR CASCO DE TOCUYITO CARABOBO</t>
  </si>
  <si>
    <t>01636</t>
  </si>
  <si>
    <t>FARMATRIGUS 2024, C.A</t>
  </si>
  <si>
    <t>J505391941</t>
  </si>
  <si>
    <t>AV N/I CASA NRO 1 SECTOR TOCUYITO, ASENTAMIENTO POPULAR LA TRINIDAD TOCUYITO CARABOBO</t>
  </si>
  <si>
    <t>VDA FUERZAS ARMADAS CC RIBIERA REAL NIVEL PA LOCAL PA -14 SECTOR CENTRO BARCELONA ANZOATEGUI</t>
  </si>
  <si>
    <t>04145735027 / 04145735028</t>
  </si>
  <si>
    <t>CR 13 CON CALLE 15 LOCAL EDIFICIO NRO 14-77 BARRIO EL MARQUEZ SOCOPO BARINAS</t>
  </si>
  <si>
    <t>01639</t>
  </si>
  <si>
    <t>EDILIO ANTONIO TORRES ALVAREZ "EXPENDIO DE MEDICINAS DON RAFAEL TORRES, F.P"</t>
  </si>
  <si>
    <t>V095632269</t>
  </si>
  <si>
    <t>SAN RAFAEL DE ONOTO EDO PORT</t>
  </si>
  <si>
    <t>0416-1052-181   /    0414-55</t>
  </si>
  <si>
    <t>3303</t>
  </si>
  <si>
    <t>SAN RAFAEL ONOTO</t>
  </si>
  <si>
    <t>CALLE  7 DE SAN RAFAEL DE ONOTO ESTADO PORTUGUESA</t>
  </si>
  <si>
    <t>86936.38</t>
  </si>
  <si>
    <t>01641</t>
  </si>
  <si>
    <t>FARMACIAS MED-CLICK C.A</t>
  </si>
  <si>
    <t>J500975546</t>
  </si>
  <si>
    <t>AV. LOS LEONES CENTRO EMPRESARIAL BARQUISIMETO PB. LOCAL 8.</t>
  </si>
  <si>
    <t>01642</t>
  </si>
  <si>
    <t>FARMACIA LOS LEONES CA</t>
  </si>
  <si>
    <t>J304201478</t>
  </si>
  <si>
    <t>CENTRO COMERCIAL LOS LEONES, LOCAL 25 Y 26 SITUADO EN LA AV. MADRID CON AV. LOS LEONES, BARQUISIMETO, EDO. LARA..</t>
  </si>
  <si>
    <t>01643</t>
  </si>
  <si>
    <t>FARMACIA LA NOCTURNA C.A</t>
  </si>
  <si>
    <t>J505493566</t>
  </si>
  <si>
    <t>SAN JUAN DE UNARE EDO SUCRE</t>
  </si>
  <si>
    <t>+58 426-7849274</t>
  </si>
  <si>
    <t>6164</t>
  </si>
  <si>
    <t>SAN JUAN DE UNARE - SUCRE</t>
  </si>
  <si>
    <t>CALLE PRINCIPAL CASA NRO S/N SECTOR CENTRO SAN JUAN DE UNARE SUCRE</t>
  </si>
  <si>
    <t>01644</t>
  </si>
  <si>
    <t>FARMAUCHIRE EXPRESS, C.A</t>
  </si>
  <si>
    <t>J404773509</t>
  </si>
  <si>
    <t>BOCA DE UCHIRE EDO ANZOATEGU</t>
  </si>
  <si>
    <t>+58 424-8282778</t>
  </si>
  <si>
    <t>6005</t>
  </si>
  <si>
    <t>BOCA DE UCHIRE</t>
  </si>
  <si>
    <t>CALLE PRINCIPAL CASA NRO 10-61 LOCAL 1 Y 2 URB ALBERTO CARNEVALLY BOCA DE UCHIRE ANZOATEGUI</t>
  </si>
  <si>
    <t>806685.60</t>
  </si>
  <si>
    <t>01645</t>
  </si>
  <si>
    <t>FARMACIA FARMAMIGO IV, C.A</t>
  </si>
  <si>
    <t>J317065220</t>
  </si>
  <si>
    <t>SAN PEDRO EDO MIRANDA</t>
  </si>
  <si>
    <t>0412-0124034 / 0416-6069589</t>
  </si>
  <si>
    <t>1201</t>
  </si>
  <si>
    <t>LOS TEQUES - ALTOS MIRANDINOS</t>
  </si>
  <si>
    <t>CALLE PROCESO CC SAN PEDRO NIVEL PB LOCAL 2-A SECTOR VENTORRILLO CIPRESES SAN PEDRO MIRANDA</t>
  </si>
  <si>
    <t>499393.92</t>
  </si>
  <si>
    <t>CARRERA 22 ENTRE CALLES 34 Y 35, BARQUISIMETO EDO LARA.</t>
  </si>
  <si>
    <t>01647</t>
  </si>
  <si>
    <t>FARMACIA MIS LAURELES, C.A</t>
  </si>
  <si>
    <t>J501015570</t>
  </si>
  <si>
    <t>04124203806</t>
  </si>
  <si>
    <t>AV 6 CON CALLE 19 CASA NRO 2 SECTOR 2 VALENCIA CARABOBO</t>
  </si>
  <si>
    <t>556878.57</t>
  </si>
  <si>
    <t>01648</t>
  </si>
  <si>
    <t>FARMACIA FARMAMARKET, C.A</t>
  </si>
  <si>
    <t>J500278535</t>
  </si>
  <si>
    <t>+58 424-5273032</t>
  </si>
  <si>
    <t>CR 18 CON CALLE 28 CC METROPOLITANO NIVEL PLANTA BAJA LOCAL S/N SECTOR CENTRO BARQUISIMETO LARA</t>
  </si>
  <si>
    <t>EL CUJI - BARQUISIMETO</t>
  </si>
  <si>
    <t>8726</t>
  </si>
  <si>
    <t>EL CUJÍ - LARA</t>
  </si>
  <si>
    <t>CR 5 CON CALLE 2 CASA NRO S/N SECTOR TAMACA BARQUISIMETO (TAMACA) LARA</t>
  </si>
  <si>
    <t>EL CUJÍ - BARQUISIMETO</t>
  </si>
  <si>
    <t>01650</t>
  </si>
  <si>
    <t>FARMACIA SANA SANA V.C, C.A</t>
  </si>
  <si>
    <t>J500918593</t>
  </si>
  <si>
    <t>AV COSTANERA LOCAL NRO L-02 BARRIO OTTO PADRON GUEVARA BARCELONA ANZOATEGUI</t>
  </si>
  <si>
    <t>27599.68</t>
  </si>
  <si>
    <t>01651</t>
  </si>
  <si>
    <t>(MATRIZ) FARMAMIGA BARINAS C.A</t>
  </si>
  <si>
    <t>J505966421</t>
  </si>
  <si>
    <t>AV ADONAY PARRA JIMENEZ CON CRUCE DE LA AVENIDA ORLANDO ARAUJO CC EMPRESARIAL, EL NAZARENO NIVEL PB LOCAL KIOSKO A URB CAMPO LA MESA BARINAS BARINAS</t>
  </si>
  <si>
    <t>01652</t>
  </si>
  <si>
    <t>FARMAMIGA BARINAS C.A (SUCURSAL)</t>
  </si>
  <si>
    <t>FARMAMIGA BARINAS C.A</t>
  </si>
  <si>
    <t>0412-2466401</t>
  </si>
  <si>
    <t>01654</t>
  </si>
  <si>
    <t>CHUCMEDICAL, C.A.</t>
  </si>
  <si>
    <t>J501501467</t>
  </si>
  <si>
    <t>0424-7402009 / 0424-5351168</t>
  </si>
  <si>
    <t>AV ADONAY PARRA CON AV ORLANDO ARAUJO CC CENTRO COMERCIAL EMPERSARIAL EL ANZARENO NIVEL 1 LOCAL 19 URB CAMPO LA MESA BARINAS BARINAS</t>
  </si>
  <si>
    <t>67819.35</t>
  </si>
  <si>
    <t>01655</t>
  </si>
  <si>
    <t>FARMACIA NIÑO JESUS C.A</t>
  </si>
  <si>
    <t>J413198363</t>
  </si>
  <si>
    <t>04244919509</t>
  </si>
  <si>
    <t>CALLE SAN JUAN VIANNEY LOCAL NRO 87-8 URB EUTIMIO RIVAS VALENCIA CARABOBO</t>
  </si>
  <si>
    <t>59372.29</t>
  </si>
  <si>
    <t>0414-0712497</t>
  </si>
  <si>
    <t>VDA CALLEJON SAN JUAN ENTRE CALLE CEDEÑO Y CRUZ PAREDES LOCAL NRO 4-12 SECTOR HOSPITAL BARINAS BARINAS</t>
  </si>
  <si>
    <t>01657</t>
  </si>
  <si>
    <t>FARMACIAS MAS VIDA, C.A</t>
  </si>
  <si>
    <t>J502734830</t>
  </si>
  <si>
    <t>0414-3505966</t>
  </si>
  <si>
    <t>CALLE 4 CON CARRERA 13 CASA NRO 474 URB CHUCHO BRICEÑO CABUDARE LARA</t>
  </si>
  <si>
    <t>43418.71</t>
  </si>
  <si>
    <t>02/08/2025</t>
  </si>
  <si>
    <t>AV FRATERNIDAD ENTRE CALLES 7 Y 8 LOCAL S/N . SECTOR CENTRO, EL TOCUYO LARA</t>
  </si>
  <si>
    <t>01659</t>
  </si>
  <si>
    <t>FARMACIA LA ECONOMIA, C.A.</t>
  </si>
  <si>
    <t>J310226717</t>
  </si>
  <si>
    <t>AV 10 ESQUINA CALLE 15. LOCAL S/N. ZONA POSTAL 3202.</t>
  </si>
  <si>
    <t>01660</t>
  </si>
  <si>
    <t>INVERSIONES FARMATODITO M &amp; B, C.A</t>
  </si>
  <si>
    <t>0424-5681556</t>
  </si>
  <si>
    <t>CALLE BOLIVAR LOCAL NRO 02 SECTOR SANTA INES SANTA INES BARINAS ZONA POSTAL 5201</t>
  </si>
  <si>
    <t>200899.96</t>
  </si>
  <si>
    <t>01661</t>
  </si>
  <si>
    <t>FARMACIA LA 55 DE BQTO, C.A.</t>
  </si>
  <si>
    <t>J500278152</t>
  </si>
  <si>
    <t>04245760785</t>
  </si>
  <si>
    <t>CR 15 ENTRE CALLES 54 Y 55 EDIF PESTANA PISO PB LOCAL S/N SECTOR OESTE BARQUISIMETO LARA</t>
  </si>
  <si>
    <t>2477542.28</t>
  </si>
  <si>
    <t>01662</t>
  </si>
  <si>
    <t>INVERSIONES FARMATODITO M &amp; B, C.A (SUCURSAL II)</t>
  </si>
  <si>
    <t>72795.52</t>
  </si>
  <si>
    <t>01663</t>
  </si>
  <si>
    <t>FARMACIA YACARJARI FARMA, C.A</t>
  </si>
  <si>
    <t>J501793654</t>
  </si>
  <si>
    <t>0414.7327349</t>
  </si>
  <si>
    <t>AV 113, NO, B-1 LOCAL NRO S/N URB COMUNIDAD CAMPO LINDO VALENCIA CARABOBO</t>
  </si>
  <si>
    <t>01664</t>
  </si>
  <si>
    <t>FARMAPARIMA, C.A</t>
  </si>
  <si>
    <t>J503776919</t>
  </si>
  <si>
    <t>AV PASEO CARONI LOCAL NRO 02-A SECTOR SIERRA PARIMA, UD-325 CIUDAD GUAYANA BOLIVAR</t>
  </si>
  <si>
    <t>526201.26</t>
  </si>
  <si>
    <t>01665</t>
  </si>
  <si>
    <t>FARMACIA NUEVA COLICANTO, C.A.</t>
  </si>
  <si>
    <t>J407020080</t>
  </si>
  <si>
    <t>0424-4241466</t>
  </si>
  <si>
    <t>CALLE 68-E FLOR AMARILLO PARCELA 5 MANZANA 13 CASA NRO 82-A-21 URB CALICANTO ZONA INDUSTRIAL EL RECREO VALENCIA CARABOBO</t>
  </si>
  <si>
    <t>26799.33</t>
  </si>
  <si>
    <t>01666</t>
  </si>
  <si>
    <t>FARMACIA FE PLUS, C.A</t>
  </si>
  <si>
    <t>J505370154</t>
  </si>
  <si>
    <t>0424 - 8013800</t>
  </si>
  <si>
    <t>AV. BOLIVAR EDIF. DON RAMON PISO PLANTA BAJA LOCAL A SECTOR CENTRO, ANACO EDO ANZOATEGUI</t>
  </si>
  <si>
    <t>12492.75</t>
  </si>
  <si>
    <t>01667</t>
  </si>
  <si>
    <t>FARMACENTER PLUS, C.A</t>
  </si>
  <si>
    <t>23/08/2025</t>
  </si>
  <si>
    <t>J500912072</t>
  </si>
  <si>
    <t>QUIBOR EDO LARA</t>
  </si>
  <si>
    <t>3061</t>
  </si>
  <si>
    <t>QUIBOR - LARA</t>
  </si>
  <si>
    <t>AV 6 ENTRE CALLES 8 Y 9 LOCAL NRO 2 SECTOR CENTRO QUIBOR LARA ZONA</t>
  </si>
  <si>
    <t>01668</t>
  </si>
  <si>
    <t>FARMACIA FAMAR JV, C.A.</t>
  </si>
  <si>
    <t>J317563476</t>
  </si>
  <si>
    <t>04241324083</t>
  </si>
  <si>
    <t>FISCAL AV SUCRE ENTRE AV. ESPAÑA Y ARGENTINA LOCAL C URB NUEVA CARACAS CARACAS DISTRITO CAPITAL</t>
  </si>
  <si>
    <t>104594.28</t>
  </si>
  <si>
    <t>01669</t>
  </si>
  <si>
    <t>FARMACIA FARMACENTRO CA</t>
  </si>
  <si>
    <t>J304984146</t>
  </si>
  <si>
    <t>AV. PASEO LIBERTADOR CRUCE CON CALLE MUÑOZ EDIF JESUS ZAPATA PISO P/B LOCAL  P/B SECTOR CENTRO. SAN FERNANDO DE APURE</t>
  </si>
  <si>
    <t>638692.03</t>
  </si>
  <si>
    <t>01671</t>
  </si>
  <si>
    <t>EXPENDIO DE MEDICINAS GRATITUD C.A</t>
  </si>
  <si>
    <t>J504255408</t>
  </si>
  <si>
    <t>AV PRINCIPAL CASA NRO S/N BARRIO LAS PALMAS PAYARA ACARIGUA  PORTUGUESA</t>
  </si>
  <si>
    <t>60141.55</t>
  </si>
  <si>
    <t>01672</t>
  </si>
  <si>
    <t>(MATRIZ) INSIDE MARKET, C.A</t>
  </si>
  <si>
    <t>J401583806</t>
  </si>
  <si>
    <t>AV. JUAN BAUTISTA ARISMENDI LOCAL CENTRO EMPRESARIAL PLAZAS DEL SOL I ETAPA LOCALES L5,L6,L7,L8,D1 SECTOR MACHO MUERTO, VILLA ROSA, MUNICIPIO GARCIA, EDO NUEVA</t>
  </si>
  <si>
    <t>01673</t>
  </si>
  <si>
    <t>INSIDE MARKET, C.A (JUAN BAUTISTA)</t>
  </si>
  <si>
    <t>01674</t>
  </si>
  <si>
    <t>INSIDE MARKET CA (31 DE JULIO)</t>
  </si>
  <si>
    <t>INSIDE MARKET CA</t>
  </si>
  <si>
    <t>AV. JUAN BAUTISTA ARISMENDI C.C. CENTRO EMPRESARIAL PLAZAS DEL SOL (I ETAPA) NIVEL P/B LOCAL L5, L6, L7, L8 Y D1, SECTOR MACHO MUERTO. VILLA ROSA. NUEVA ESPART</t>
  </si>
  <si>
    <t>01675</t>
  </si>
  <si>
    <t>INSIDE MARKET, C.A  (TERRANOVA)</t>
  </si>
  <si>
    <t>INSIDE MARKET, C.A</t>
  </si>
  <si>
    <t>01676</t>
  </si>
  <si>
    <t>INSIDE MARKET , C.A. (CIGARRAL)</t>
  </si>
  <si>
    <t>INSIDE MARKET , C.A.</t>
  </si>
  <si>
    <t>EL HATILLO EDO MIRANDA</t>
  </si>
  <si>
    <t>8697</t>
  </si>
  <si>
    <t>EL HATILLO</t>
  </si>
  <si>
    <t>01677</t>
  </si>
  <si>
    <t>INSIDE MARKET C.A, (PLAYA EL ANGEL)</t>
  </si>
  <si>
    <t>INSIDE MARKET C.A,</t>
  </si>
  <si>
    <t>01678</t>
  </si>
  <si>
    <t>INSIDE MARKET, C.A (TRAKI MARGARITA)</t>
  </si>
  <si>
    <t>01679</t>
  </si>
  <si>
    <t>INSIDE MARKET, C.A (LA CANDELARIA)</t>
  </si>
  <si>
    <t>01680</t>
  </si>
  <si>
    <t>INSIDE MARKET, C.A  (JUAN GRIEGO)</t>
  </si>
  <si>
    <t>01681</t>
  </si>
  <si>
    <t>INSIDE MARKET C.A (VALLE DE LA PASCUA)</t>
  </si>
  <si>
    <t>INSIDE MARKET C.A</t>
  </si>
  <si>
    <t>01682</t>
  </si>
  <si>
    <t>INSIDE MARKET, C.A. (EL RECREO)</t>
  </si>
  <si>
    <t>INSIDE MARKET, C.A.</t>
  </si>
  <si>
    <t>EL RECREO - CARACAS</t>
  </si>
  <si>
    <t>8661</t>
  </si>
  <si>
    <t>01684</t>
  </si>
  <si>
    <t>FARMA SALUD Y VIDA, C.A.</t>
  </si>
  <si>
    <t>J506359499</t>
  </si>
  <si>
    <t>AV LOS JABILLOS LOCAL NRO 46 BARRIO LA COROMOTO MARACAY ARAGUA</t>
  </si>
  <si>
    <t>67082.96</t>
  </si>
  <si>
    <t>01685</t>
  </si>
  <si>
    <t>FARMACIA SANTA ELVIRA C.A</t>
  </si>
  <si>
    <t>J309927744</t>
  </si>
  <si>
    <t>CALLE BOLIVAR LOCAL NRO 03-2 SECTOR SAN CASIMIRO SAN CASIMIRO ARAGUA</t>
  </si>
  <si>
    <t>01686</t>
  </si>
  <si>
    <t>PHARMA MILLENIUM + HABITAT, C.A.</t>
  </si>
  <si>
    <t>J501802076</t>
  </si>
  <si>
    <t>0424-5074138</t>
  </si>
  <si>
    <t>AV. 23 DE ENERO CRUCE CON CALLE NICOLAS BRICEÑO. EDIF 13-176. PISO P/B LOCAL S/N, SECTOR CENTRO. ESTADO BARINAS</t>
  </si>
  <si>
    <t>114991.32</t>
  </si>
  <si>
    <t>BARINITAS</t>
  </si>
  <si>
    <t>8698</t>
  </si>
  <si>
    <t>CARRERA 6 CON CALLE 12, EDIF DON SALMAN, PISO P/B LOCAL 1 SECTOR LOS PROCERES. BARINITAS. ESTADO BARINAS</t>
  </si>
  <si>
    <t>01688</t>
  </si>
  <si>
    <t>FARMACIA FARMALIANZA ARAURE, C.A</t>
  </si>
  <si>
    <t>J501640963</t>
  </si>
  <si>
    <t>ARAURE - PORTUGUESA</t>
  </si>
  <si>
    <t>0424 - 5671107</t>
  </si>
  <si>
    <t>8699</t>
  </si>
  <si>
    <t>AV. MUNICIPALIDAD DE ARAURE, ANTIGUA CARRETERA NACIONAL SALIDA BARQUISIMETO LOCAL NRO S/N SECTOR ARAURE, ARAURE PORTUGUESA</t>
  </si>
  <si>
    <t>01689</t>
  </si>
  <si>
    <t>FARMACIA FARMALIANZA LAS LAGRIMAS C A</t>
  </si>
  <si>
    <t>J503410973</t>
  </si>
  <si>
    <t>AV 13 DE JUNIO CON AV 34 LOCAL NIVEL PLANTA BAJA NRO 1, 2 Y 3 SECTOR BANCO OBRERO ACARIGUA PORTUGUESA</t>
  </si>
  <si>
    <t>01690</t>
  </si>
  <si>
    <t>FARMACIA FARMALIANZA DEL ESTE, C.A</t>
  </si>
  <si>
    <t>J501641803</t>
  </si>
  <si>
    <t>AV CIRCUNVALACION VEREDA 32 NUMERO 2 LOCAL S/N SECTOR LA GOAJIRA ACARIGUA ESTADO PORTUGUESA.</t>
  </si>
  <si>
    <t>01691</t>
  </si>
  <si>
    <t>FARMACIA FARMALIANZA GUANARE C.A</t>
  </si>
  <si>
    <t>J506041120</t>
  </si>
  <si>
    <t>0424 - 5671107 ENCARGADO EN</t>
  </si>
  <si>
    <t>AV UNDA ENTRE CARRERA 5TA Y 6TA LOCAL NRO S/N BARRIO LA ARENOSA GUANARE PORTUGUESA ZONA</t>
  </si>
  <si>
    <t>168019.13</t>
  </si>
  <si>
    <t>01692</t>
  </si>
  <si>
    <t>FARMASANROQUE, C.A.</t>
  </si>
  <si>
    <t>J404981535</t>
  </si>
  <si>
    <t>ARAURE EDO PORTUGUESA</t>
  </si>
  <si>
    <t>CTRA DE ARAURE A TAPA DE PIEDRA CC EL PILAR NIVEL P/B LOCAL 01 URB VENCEDORES DE ARAURE SECTOR II A LA MARGEN DERECHA ARARURE</t>
  </si>
  <si>
    <t>01693</t>
  </si>
  <si>
    <t>FARMASANROQUE STORE C.A</t>
  </si>
  <si>
    <t>J501019720</t>
  </si>
  <si>
    <t>AV 32 ALIANZA EDIF RESIDENCIAS TERRANOVA PISO PB. LOCAL PRINCIPAL SECTOR CENTRO ACARIGUA PORTUGUESA</t>
  </si>
  <si>
    <t>0426-3420663</t>
  </si>
  <si>
    <t>CALLE TROCONIS ENTRE DANUBIO Y EL ROBLE LOCAL NRO 70 SECTOR LA LOMA ZARAZA GUARICO</t>
  </si>
  <si>
    <t>01695</t>
  </si>
  <si>
    <t>CENTRO CLINICO LA PIRAMIDE C.A.</t>
  </si>
  <si>
    <t>J303054412</t>
  </si>
  <si>
    <t>+58 412-8653424</t>
  </si>
  <si>
    <t>AV LUIS DEL VALLE GARCIA EDIF LA PIRAMIDE PISO 1 Y2 PISO 1 Y 2 OF LA PIRAMIDE Nº 14 SECTOR LAS AVENIDAS MATURIN MONAGAS</t>
  </si>
  <si>
    <t>01696</t>
  </si>
  <si>
    <t>FARMACIA LA METROPOLITANA, C.A</t>
  </si>
  <si>
    <t>J501195463</t>
  </si>
  <si>
    <t>04244132036 YANELIS SANCHEZ</t>
  </si>
  <si>
    <t>AV PRINCIPAL DE GUAYABAL, NRO. 99-76 EDIF LAS MARIAS. PISO S/N LOCAL NRO. 1 SECTOR S/N NAGUANAGUA CARABOBO</t>
  </si>
  <si>
    <t>01697</t>
  </si>
  <si>
    <t>FARMACIA CRISTOFARMA, C.A</t>
  </si>
  <si>
    <t>J501251975</t>
  </si>
  <si>
    <t>0414-462-2803</t>
  </si>
  <si>
    <t>AV BERMÚDEZ LOCAL MINICENTRO BERMÚDEZ NRO 04 SECTOR SANTA ANA MARACAY ARAGUA</t>
  </si>
  <si>
    <t>241137.29</t>
  </si>
  <si>
    <t>+58 412-0964444 / +58 424-89</t>
  </si>
  <si>
    <t>CALLE VELASQUEZ CON DIAZ Y FAJARDO CC CONCORD NIVEL PLANTA BAJA LOCAL 40 SECTOR GUARAGUAO PORLAMAR NUEVA ESPARTA</t>
  </si>
  <si>
    <t>01699</t>
  </si>
  <si>
    <t>FARMACIA FARMILY C.A</t>
  </si>
  <si>
    <t>J501064890</t>
  </si>
  <si>
    <t>04128293596</t>
  </si>
  <si>
    <t>AVENIDA UNDA ENTRE CARRERA 8 Y 9 DEL BARRIO LA ARENOSA . ESTADO PORTUGUESA. MUNICIPIO GUANARE.</t>
  </si>
  <si>
    <t>1228785.18</t>
  </si>
  <si>
    <t>CACHIPO</t>
  </si>
  <si>
    <t>8700</t>
  </si>
  <si>
    <t>CTRA CARRETERA NACIONAL TROPICAL VIA CARIPITO CASA NRO S/N ZONA TROPICAL CACHIPO MONAGAS</t>
  </si>
  <si>
    <t>01701</t>
  </si>
  <si>
    <t>VILLACOSTA SUMINISTROS MEDICOS, C.A</t>
  </si>
  <si>
    <t>J501432864</t>
  </si>
  <si>
    <t>+58 424-8457646</t>
  </si>
  <si>
    <t>CALLE BOLIVAR CC CRISTOFORO COLOMBO NIVEL PB LOCAL 24 SECTOR CASCO CENTRAL PUERTO LA CRUZ ANZOATEGUI</t>
  </si>
  <si>
    <t>01702</t>
  </si>
  <si>
    <t>FARMACIA GALA VII SAN DIEGO, C.A</t>
  </si>
  <si>
    <t>J501104069</t>
  </si>
  <si>
    <t>SAN DIEGO EDO CARABOBO</t>
  </si>
  <si>
    <t>0424-4217333</t>
  </si>
  <si>
    <t>AVENIDA 73 SECTOR OESTE LOCAL N°716 URBANIZACION EL MORRO MUNICIPIO SAN DIEGO ESTADO CARABOBO</t>
  </si>
  <si>
    <t>71545.63</t>
  </si>
  <si>
    <t>01703</t>
  </si>
  <si>
    <t>FARMACIA LA REINA 2021, C.A</t>
  </si>
  <si>
    <t>J501032467</t>
  </si>
  <si>
    <t>0424-4571268</t>
  </si>
  <si>
    <t>AV. ARANZAZU CON AVENIDA SESQUINCENTENARIA LOCAL NRO 4 SECTOR S/N VALENCIA. CARABOBO</t>
  </si>
  <si>
    <t>577112.59</t>
  </si>
  <si>
    <t>VALENCIA - GUIGUE</t>
  </si>
  <si>
    <t>AV MICHELENA ENTRE AVENIDA MIRANDA Y CALLE URDANETA, LOCAL S/N SECTOR COTICITA, PARROQUIA GUIGUE, MUNICIPIO CARLOS ARVELO, ESTADO CARABOBO.</t>
  </si>
  <si>
    <t>01705</t>
  </si>
  <si>
    <t>AGROPECUARIA EL ESTABLO 21, C.A.</t>
  </si>
  <si>
    <t>J315926946</t>
  </si>
  <si>
    <t>Calle Atarraya, Valle de la Pascua 2350, Guárico</t>
  </si>
  <si>
    <t>01706</t>
  </si>
  <si>
    <t>SUMINISTROS THIAGO, CA (SUCURSAL)</t>
  </si>
  <si>
    <t>SUMINISTROS THIAGO, CA</t>
  </si>
  <si>
    <t>VALLE DE LA PASCUA / GUARICO</t>
  </si>
  <si>
    <t>0412-4158289  -</t>
  </si>
  <si>
    <t>CALLE INFANTE LOCAL NRO 117 SECTOR CENTRO VALLE DE LA PASCUA GUARICO</t>
  </si>
  <si>
    <t>46579.24</t>
  </si>
  <si>
    <t>01707</t>
  </si>
  <si>
    <t>FARMACIA LA ESPERANZA, C.A (BARINAS)</t>
  </si>
  <si>
    <t>J501043060</t>
  </si>
  <si>
    <t>CIUDAD BOLIVIA EDO BARINAS</t>
  </si>
  <si>
    <t>0412-5644132 / 0424-5393414</t>
  </si>
  <si>
    <t>8703</t>
  </si>
  <si>
    <t>CIUDAD BOLIVIA (PEDRAZA LA NUEVA)</t>
  </si>
  <si>
    <t>AV 5 CALLES 1 Y 2 CASO NRO S/N SECTOR EL ESTADIO CIUDAD BOLIVIA BARINAS</t>
  </si>
  <si>
    <t>2168254.51</t>
  </si>
  <si>
    <t>01708</t>
  </si>
  <si>
    <t>FARMACIA LA CHINITA DE LARA CA</t>
  </si>
  <si>
    <t>J085202641</t>
  </si>
  <si>
    <t>CR 34 ENTRE CALLES 22 Y 23 LOCAL NRO S/NO SECTOR HOSPITAL BARQUISIMETO LARA</t>
  </si>
  <si>
    <t>3061758.09</t>
  </si>
  <si>
    <t>01709</t>
  </si>
  <si>
    <t>FARMANATURA, C.A</t>
  </si>
  <si>
    <t>J409926311</t>
  </si>
  <si>
    <t>0414-5674421</t>
  </si>
  <si>
    <t>AV. 10 DIAGONAL A INAVI EDIF CADEBA PISO B LOCAL S/N BARRIO EL CAMBIO BARINAS</t>
  </si>
  <si>
    <t>636528.42</t>
  </si>
  <si>
    <t>01710</t>
  </si>
  <si>
    <t>FARMAIGNACIO CENTRO, C.A</t>
  </si>
  <si>
    <t>J307114312</t>
  </si>
  <si>
    <t>AVENIDA VARGAS ENTRE CARRERAS 18 Y 19 Nº: 18-36 BARQUISIMETO ESTADO LARA.</t>
  </si>
  <si>
    <t>1996755.88</t>
  </si>
  <si>
    <t>01711</t>
  </si>
  <si>
    <t>FARMAIGNACIO BEATRIZ TRISTANCHO, C.A.</t>
  </si>
  <si>
    <t>J506161680</t>
  </si>
  <si>
    <t>TINAQUILLO EDO COJEDES</t>
  </si>
  <si>
    <t>AVENIDA MIRANDA CRUCE CON VARGAS LOCAL 05-12 SECTOR CENTRO TINAQUILLO COJEDES.</t>
  </si>
  <si>
    <t>1704722.53</t>
  </si>
  <si>
    <t>01712</t>
  </si>
  <si>
    <t>FARMAIGNACIO MORAN, C.A.</t>
  </si>
  <si>
    <t>J500490992</t>
  </si>
  <si>
    <t>AVENIDA VENEZUELA ENTRE CALLE 8 Y AVENIDA MORAN. LOCAL NRO 1 URB. AVENIDA VENEZUELA.BARQUISIMETO ESTADO LARA</t>
  </si>
  <si>
    <t>1996921.56</t>
  </si>
  <si>
    <t>01713</t>
  </si>
  <si>
    <t>FARMAIGNACIO SAN CARLOS, C.A.</t>
  </si>
  <si>
    <t>J504964670</t>
  </si>
  <si>
    <t>AVENIDA RICAURTE LOCAL No. 8-57 SECTOR CENTRO MUNICPIO SAN CARLOS ESTADO COJEDES.</t>
  </si>
  <si>
    <t>1938213.67</t>
  </si>
  <si>
    <t>01714</t>
  </si>
  <si>
    <t>FARMAIGNACIO TINAQUILLO, C.A.</t>
  </si>
  <si>
    <t>J503993600</t>
  </si>
  <si>
    <t>TINAQUILLO (COJEDES)</t>
  </si>
  <si>
    <t>CALLE PAEZ CASA NRO. 5-51 POBLACION TINAQUILLO MUNICIPIO AUTONOMO FALCON ESTADO COJEDES.</t>
  </si>
  <si>
    <t>3849760.86</t>
  </si>
  <si>
    <t>01715</t>
  </si>
  <si>
    <t>FARMACIA LA 33, FT, C.A.</t>
  </si>
  <si>
    <t>J500588607</t>
  </si>
  <si>
    <t>CALLE 33 ESQUINA CARRERA 35 LOCAL NRO. S/N SECTOR CENTRO. BARQUISIMETO</t>
  </si>
  <si>
    <t>1341354.69</t>
  </si>
  <si>
    <t>01716</t>
  </si>
  <si>
    <t>FARMACIA YUDIBETH, C.A</t>
  </si>
  <si>
    <t>J294148743</t>
  </si>
  <si>
    <t>CARRERA 25 ENTRE CALLES 48 Y 49 LOCAL NRO 48-91 SECTOR CENTRO. BARQUISIMETO</t>
  </si>
  <si>
    <t>2639477.61</t>
  </si>
  <si>
    <t>01717</t>
  </si>
  <si>
    <t>FARMACIA MEGA CENTER, C.A</t>
  </si>
  <si>
    <t>J501567549</t>
  </si>
  <si>
    <t>CARR. 19 CALLE 33 EDF. DON PANCHO, PISO LOCAL PB LOCAL 1 . BARQUISIMETO EDO LARA</t>
  </si>
  <si>
    <t>2247397.13</t>
  </si>
  <si>
    <t>01718</t>
  </si>
  <si>
    <t>NUEVO MUNDO 2012,C.A.</t>
  </si>
  <si>
    <t>J400640571</t>
  </si>
  <si>
    <t>SAN JUAN BAUTISTA EDO NUEVA</t>
  </si>
  <si>
    <t>0424-8025044 /</t>
  </si>
  <si>
    <t>CTRA NACIONAL LOCAL NRO 1.2.3.4.5. SECTOR CARAPACHO SAN JUAN BAUTISTA NUEVA ESPARTA</t>
  </si>
  <si>
    <t>104768.33</t>
  </si>
  <si>
    <t>0424-8726947 / 0424-8725357</t>
  </si>
  <si>
    <t>AV. FRANCISCO DE MIRANDA LOCAL NRO 240 SECTOR PUEBLO NUEVO SUR. EL TIGRE ESTADO ANZOATEGUI</t>
  </si>
  <si>
    <t>01720</t>
  </si>
  <si>
    <t>JORGE LUIS GUATARASMA GOMEZ</t>
  </si>
  <si>
    <t>V26933500</t>
  </si>
  <si>
    <t>17.00</t>
  </si>
  <si>
    <t>01721</t>
  </si>
  <si>
    <t>FARMACIAS PACHECO (FARPACA), CA</t>
  </si>
  <si>
    <t>J304030444</t>
  </si>
  <si>
    <t>0414-5750341</t>
  </si>
  <si>
    <t>AV 23 DE ENERO CON AVENIDA HUGO CHAVEZ EDIF CP VILLA ERENO PISO P/B LOCAL N° 1 URB ANDRES ELOY BLANCO GUANARE PORTUGUESA</t>
  </si>
  <si>
    <t>128278.33</t>
  </si>
  <si>
    <t>01722</t>
  </si>
  <si>
    <t>FARMACIA PHARMA SALUD, C.A</t>
  </si>
  <si>
    <t>J412625160</t>
  </si>
  <si>
    <t>0412-9331717</t>
  </si>
  <si>
    <t>CARRERA 7 ESQUINA CON CALLE 3 LOCAL NRO S/N SECTOR CENTRO SOCOPO ESTADO BARINAS</t>
  </si>
  <si>
    <t>117928.10</t>
  </si>
  <si>
    <t>01723</t>
  </si>
  <si>
    <t>EXPENDIDO DE MEDICINAS CORDOBA C.A.</t>
  </si>
  <si>
    <t>J505056964</t>
  </si>
  <si>
    <t>CASERIO CORDOBA - PORTUGUESA</t>
  </si>
  <si>
    <t>3350</t>
  </si>
  <si>
    <t>CASERIO CORDOBA (PORTUGUESA)</t>
  </si>
  <si>
    <t>CALLE PRINCIPAL LOCAL NRO S/N CASERIO CORDOBA CORDOBA (CAPITAL) PORTUGUESA</t>
  </si>
  <si>
    <t>75562.12</t>
  </si>
  <si>
    <t>0424-3717292</t>
  </si>
  <si>
    <t>CALLE 5TA AVENIDA LOCAL FARMACIA 5TA AVENIDA SECTOR CENTRO ADMINISTRATIVO - CALABOZO CALABOZO GUARICO</t>
  </si>
  <si>
    <t>01725</t>
  </si>
  <si>
    <t>FARMACIA SANTA BARBARA DE SHANGO Y ALGO MAS, C.A.</t>
  </si>
  <si>
    <t>J501104689</t>
  </si>
  <si>
    <t>0424-2940943</t>
  </si>
  <si>
    <t>CALLE PRINCIPAL LOCAL NRO S/N BARRIO PRIMERO DE MAYO EL DORADO ESTADO BOLIVAR</t>
  </si>
  <si>
    <t>12609.88</t>
  </si>
  <si>
    <t>SAN CRISTOBAL</t>
  </si>
  <si>
    <t>8601</t>
  </si>
  <si>
    <t>AV ESPAÑA FINAL VIA POLIGONO DE TIRO CASA NRO 15 SECTOR PUEBLO NUEVO URB. EL TREBOL II SAN CRISTOBAL TACHIRA</t>
  </si>
  <si>
    <t>TACHIRA</t>
  </si>
  <si>
    <t>AYACUCHO</t>
  </si>
  <si>
    <t>01727</t>
  </si>
  <si>
    <t>FELIPE ROBERTO JIMENEZ OCHOA "FARMACIA VIRGEN DEL CARMEN"</t>
  </si>
  <si>
    <t>V094425014</t>
  </si>
  <si>
    <t>0424-4929886</t>
  </si>
  <si>
    <t>CALLE CARABOBO CASA NRO 20 SECTOR PLAYON MIRANDA, CARABOBO</t>
  </si>
  <si>
    <t>155546.84</t>
  </si>
  <si>
    <t>01728</t>
  </si>
  <si>
    <t>FARMABOX, C.A (SUC LA CANDELARIA)</t>
  </si>
  <si>
    <t>J500281390</t>
  </si>
  <si>
    <t>LA CANDELARIA</t>
  </si>
  <si>
    <t>0412-4019334</t>
  </si>
  <si>
    <t>8702</t>
  </si>
  <si>
    <t>AV. FUERZAS ARMADAS ESQ . CRUCECITA A SAN MIGUEL LOCAL CORI NRO 1 ZONA SAN JOSE CARACAS DISTRITO CAPITAL</t>
  </si>
  <si>
    <t>43787.83</t>
  </si>
  <si>
    <t>01729</t>
  </si>
  <si>
    <t>FARMACIA LA VITALICIA, C.A</t>
  </si>
  <si>
    <t>J505024272</t>
  </si>
  <si>
    <t>0412-0510514</t>
  </si>
  <si>
    <t>AVENIDA PRINCIPAL LA PASTORA VIA GATO NEGRO LOCAL GALPON 4 BARRIO LA PASTORA GUANARE PORTUGUESA</t>
  </si>
  <si>
    <t>214413.62</t>
  </si>
  <si>
    <t>01730</t>
  </si>
  <si>
    <t>EGLIS MERCEDES GONZALEZ DE TORREALBA "EXPENDIO DE MEDICINAS GONZALEZ F.P."</t>
  </si>
  <si>
    <t>V119650328</t>
  </si>
  <si>
    <t>0412 1933454</t>
  </si>
  <si>
    <t>AV. PRINCIPAL LOCAL NRO 2 ZONA VIA A CAÑO DE INDIO CAJA DE AGUA. COJEDES</t>
  </si>
  <si>
    <t>327797.45</t>
  </si>
  <si>
    <t>01733</t>
  </si>
  <si>
    <t>MEDICALCLER, C.A.</t>
  </si>
  <si>
    <t>J412227980</t>
  </si>
  <si>
    <t>0424- 3017309</t>
  </si>
  <si>
    <t>AV LAS TRES ROSAS LOCAL NRO 13-B SECTOR TUMEREMO TUMEREMO BOLIVAR</t>
  </si>
  <si>
    <t>138843.93</t>
  </si>
  <si>
    <t>01734</t>
  </si>
  <si>
    <t>FARMACENTER PLUS SOCOPO, C.A</t>
  </si>
  <si>
    <t>J500483651</t>
  </si>
  <si>
    <t>0414-5491725</t>
  </si>
  <si>
    <t>CARRERA 7 ENTRE CALLES 4 Y 5 LOCAL NRO S/N SECTOR CENTRO. SOCOPO, ESTADO BARINAS</t>
  </si>
  <si>
    <t>296492.12</t>
  </si>
  <si>
    <t>01735</t>
  </si>
  <si>
    <t>EXPENDIO DE MEDICINAS LA BENDICION DE DIOS, C.A.</t>
  </si>
  <si>
    <t>J503199873</t>
  </si>
  <si>
    <t>0416-9594772</t>
  </si>
  <si>
    <t>CALLE CALLEJON 2 VIA LAS UVITAS ENTRE CALLE 2 Y AVENIDA PRINCIPAL CASA NRO S/N SECTOR 18 DE MAYO. ARAURE. RIO ACARIGUA. PORTUGUESA</t>
  </si>
  <si>
    <t>13965.97</t>
  </si>
  <si>
    <t>01736</t>
  </si>
  <si>
    <t>FARMACIA DOCTOR FARMA, C.A.</t>
  </si>
  <si>
    <t>J500880502</t>
  </si>
  <si>
    <t>0412-3597220</t>
  </si>
  <si>
    <t>CARRERA 5TA ESQUINA CALLE 14 SECTOR BARRIO LA ARENOSA GUANARE PORTUGUESA</t>
  </si>
  <si>
    <t>231331.02</t>
  </si>
  <si>
    <t>01737</t>
  </si>
  <si>
    <t>FARMACIA FARMANOSTRA GUANARE, C.A.</t>
  </si>
  <si>
    <t>J501049831</t>
  </si>
  <si>
    <t>0424-5498060</t>
  </si>
  <si>
    <t>AV. PRINCIPAL LOCAL NRO 1 BARRIO EL CAMBIO GUANARE PORTUGUESA</t>
  </si>
  <si>
    <t>147089.94</t>
  </si>
  <si>
    <t>01738</t>
  </si>
  <si>
    <t>FARMACIA LOS YANEZ DE OSPINO, C.A</t>
  </si>
  <si>
    <t>J500253052</t>
  </si>
  <si>
    <t>0412-2752174</t>
  </si>
  <si>
    <t>CTRA NRO 3 ESQUINA CALLE NRO 10 LOCAL NRO S/N SECTOR CENTRO BARRIO CURAZAO GUANARE PORTUGUESA</t>
  </si>
  <si>
    <t>110463.98</t>
  </si>
  <si>
    <t>01739</t>
  </si>
  <si>
    <t>FARMACIA SANTA CRUZ DE OSPINO C.A</t>
  </si>
  <si>
    <t>J500304773</t>
  </si>
  <si>
    <t>OSPINO</t>
  </si>
  <si>
    <t>0412-1989088</t>
  </si>
  <si>
    <t>8704</t>
  </si>
  <si>
    <t>AV LIBERTADOR ENTRE CALLE CEDEÑO Y NEGRO PRIMERO LOCAL NRO 3 SECTOR CENTRO OSPINO ESTADO PORTUGUESA</t>
  </si>
  <si>
    <t>372199.74</t>
  </si>
  <si>
    <t>01740</t>
  </si>
  <si>
    <t>FARMACIA LOS LLANOS DE OSPINO, C.A</t>
  </si>
  <si>
    <t>J504098116</t>
  </si>
  <si>
    <t>0424-5618698</t>
  </si>
  <si>
    <t>CARRERA 5TA ESQUINA CALLE 9 LOCAL NRO 12-54 SECTOR CENTRO. ESTADO PORTUGUESA</t>
  </si>
  <si>
    <t>446223.75</t>
  </si>
  <si>
    <t>01741</t>
  </si>
  <si>
    <t>FARMACIA FARMATEPUY, C.A</t>
  </si>
  <si>
    <t>J506148854</t>
  </si>
  <si>
    <t>FISCAL CR TOCOMA, CRUCE CON CALLE CAURA EDIF TORRE CAURA PISO PB LOCAL PB-11 Y PB-12 SECTOR ALTA VISTA CIUDAD GUAYANA BOLIVAR</t>
  </si>
  <si>
    <t>143014.85</t>
  </si>
  <si>
    <t>01742</t>
  </si>
  <si>
    <t>FARMACIA LA CARDENERA TRINIDAD C.A</t>
  </si>
  <si>
    <t>J410933003</t>
  </si>
  <si>
    <t>0424-5040855</t>
  </si>
  <si>
    <t>CALLE 1 CON AVENIDA 1 CASA NRO S/N BARRIO COROCITO BARINAS.</t>
  </si>
  <si>
    <t>5577409.69</t>
  </si>
  <si>
    <t>01743</t>
  </si>
  <si>
    <t>(MATRIZ) FARMAVALOR, CA</t>
  </si>
  <si>
    <t>J500205805</t>
  </si>
  <si>
    <t>AV. ORINOCO CON CALLE MUCUCHIES, EDIFICIO CENTRO MEDICO GAETANO DI BIANCO, NIVEL PB, URB LAS MERCEDES. MUNICIPIO BARUTA, ESTADO  MIRANDA.</t>
  </si>
  <si>
    <t>0412-4174325</t>
  </si>
  <si>
    <t>01745</t>
  </si>
  <si>
    <t>FARMACIA INFANTE,C.A.</t>
  </si>
  <si>
    <t>J304638256</t>
  </si>
  <si>
    <t>0412-4307225</t>
  </si>
  <si>
    <t>CALLE ATARRAYA C/C PARAISO CASA # S/N SECTOR CENTRO, VALLE DE LA PASCUA , ESTADO GUARICO.</t>
  </si>
  <si>
    <t>469764.20</t>
  </si>
  <si>
    <t>8705</t>
  </si>
  <si>
    <t>LA URBINA -  MIRANDA</t>
  </si>
  <si>
    <t>AV. ORINOCO CON CALLE MUCUCHIES, EDIFICIO CENTRO MEDICO GAETANO DI BIANCO, NIVEL PB, URB LAS MERCEDES. MUNICIPIO BARUTA, ESTADO  MIRANDA..</t>
  </si>
  <si>
    <t>8706</t>
  </si>
  <si>
    <t>LA GUAIRA</t>
  </si>
  <si>
    <t>01751</t>
  </si>
  <si>
    <t>FARMAVALOR, CA (CHACAO)</t>
  </si>
  <si>
    <t>01755</t>
  </si>
  <si>
    <t>FARMACIA LA RECONCILIADORA, C.A.</t>
  </si>
  <si>
    <t>J303145400</t>
  </si>
  <si>
    <t>0414-3922022</t>
  </si>
  <si>
    <t>CALLE DOÑA BARBARA CC MINI CENTRO COMERCIAL LAS MERCEDES NIVEL PB LOCAL  SECTOR CENTRO LAS MERCEDES GUARICO</t>
  </si>
  <si>
    <t>01756</t>
  </si>
  <si>
    <t>GRUPO VALEFARMA, C.A</t>
  </si>
  <si>
    <t>J503497815</t>
  </si>
  <si>
    <t>AV EL ATLANTICO CC PROPATRIA NIVEL 3 LOCAL 3 URB CASALTA CARACAS DISTRITO CAPITAL</t>
  </si>
  <si>
    <t>375599.07</t>
  </si>
  <si>
    <t>01757</t>
  </si>
  <si>
    <t>CADENA DE FARMACIAS SOYFARMA, C.A (CEMENTERIO)</t>
  </si>
  <si>
    <t>J505478842</t>
  </si>
  <si>
    <t>0412-2455002</t>
  </si>
  <si>
    <t>AV PRINCIPAL EL CEMENTERIO EDIF BANCENCO PISO PB LOCAL 01 SECTOR EL CEMENTERIO CARACAS DISTRITO CAPITAL</t>
  </si>
  <si>
    <t>994958.62</t>
  </si>
  <si>
    <t>01758</t>
  </si>
  <si>
    <t>(MATRIZ) CADENA DE FARMACIAS SOYFARMA, C.A</t>
  </si>
  <si>
    <t>01759</t>
  </si>
  <si>
    <t>CADENA DE FARMACIAS SOYFARMA, C.A  ( SANTA TERESA DEL TUY)</t>
  </si>
  <si>
    <t>467640.92</t>
  </si>
  <si>
    <t>01760</t>
  </si>
  <si>
    <t>FARMACIA LA CORINA PC CA</t>
  </si>
  <si>
    <t>J408444127</t>
  </si>
  <si>
    <t>0424-4652322</t>
  </si>
  <si>
    <t>AV INTERCOMUNAL VEREDA 7 LOCAL N° 11 URB LA CORINA PUERTO CABELLO ESTADO CARABOBO</t>
  </si>
  <si>
    <t>711185.92</t>
  </si>
  <si>
    <t>01761</t>
  </si>
  <si>
    <t>FARMACIA FARMAVITAL C.A</t>
  </si>
  <si>
    <t>J501378509</t>
  </si>
  <si>
    <t>MORON (SAN FELIPE) EDO CARAB</t>
  </si>
  <si>
    <t>8707</t>
  </si>
  <si>
    <t>MORON(SAN FELIPE) EDO CARABOBO</t>
  </si>
  <si>
    <t>CALLE PLAZA, AVENIDA PRINCIPAL MORON-SAN FELIPE, MUNICIPIO JUAN JOSE MORA, ESTADO CARABOBO .</t>
  </si>
  <si>
    <t>SAN FELIPE -  MORON</t>
  </si>
  <si>
    <t>1843352.76</t>
  </si>
  <si>
    <t>01762</t>
  </si>
  <si>
    <t>FARMACIA LA CORINA 2 C.A</t>
  </si>
  <si>
    <t>J503455861</t>
  </si>
  <si>
    <t>AVENIDA PRINCIPAL, CC CAMPO ALEGRE, NIVEL PLANTA BAJA, LOCAL A-3, URBANIZACION RANCHO GRANDE. PUERTO CABELLO ESTADO CARABOBO</t>
  </si>
  <si>
    <t>553272.16</t>
  </si>
  <si>
    <t>01763</t>
  </si>
  <si>
    <t>FARMACIA MORILLO PC CA</t>
  </si>
  <si>
    <t>J408444216</t>
  </si>
  <si>
    <t>CALLE 2 3RA TRANSVERSAL 19 PB LOCAL NRO 2 BARRIO MORILLO. PUERTO CABELLO ESTADO CARABOBO</t>
  </si>
  <si>
    <t>311399.05</t>
  </si>
  <si>
    <t>01764</t>
  </si>
  <si>
    <t>FARMACIA DESCUENTO A SU SALUD 3, C.A.</t>
  </si>
  <si>
    <t>J309739590</t>
  </si>
  <si>
    <t>CALLE SUCRE CC AYACUCHO NIVEL PB LOCAL 7 Y 8 ZONA TOCUYITO CARABOBO</t>
  </si>
  <si>
    <t>1968835.16</t>
  </si>
  <si>
    <t>01765</t>
  </si>
  <si>
    <t>FARMACIA DON NICA C.A.</t>
  </si>
  <si>
    <t>J501252912</t>
  </si>
  <si>
    <t>TINACO -  COJEDES</t>
  </si>
  <si>
    <t>8708</t>
  </si>
  <si>
    <t>TINACO - COJEDES</t>
  </si>
  <si>
    <t>CALLE MONAGAS EDIF. DON PEPE PISO PLANTA BAJA, LOCAL NRO 4 SECTOR CENTRO. TINACO. EDO COJEDES.</t>
  </si>
  <si>
    <t>01766</t>
  </si>
  <si>
    <t>INVERSIONES MUNDO NATURAL, C.A.</t>
  </si>
  <si>
    <t>J405236337</t>
  </si>
  <si>
    <t>CALLE COLOMBIA CASA NRO 28 SECTOR CENTRO GUACHARA EDO APURE. MUNICIPIO ACHAGUAS ESTADO APURE</t>
  </si>
  <si>
    <t>01767</t>
  </si>
  <si>
    <t>EXPENDIO DE MEDICINA DOÑA NELIS C.A</t>
  </si>
  <si>
    <t>J407095242</t>
  </si>
  <si>
    <t>210132.32</t>
  </si>
  <si>
    <t>01768</t>
  </si>
  <si>
    <t>FARMACIA EL TRIUNFO C.A</t>
  </si>
  <si>
    <t>J501806187</t>
  </si>
  <si>
    <t>0412-9676212</t>
  </si>
  <si>
    <t>CALLE BOLIVAR CC MERCEDES CENTER NIVEL PB  LOCAL 1-B SECTOR MANUEL MONTAÑEZ. LAS MERCEDES DEL LLANO. GUARICO</t>
  </si>
  <si>
    <t>275008.77</t>
  </si>
  <si>
    <t>01769</t>
  </si>
  <si>
    <t>FARMA INSUMED, C. A</t>
  </si>
  <si>
    <t>J502557911</t>
  </si>
  <si>
    <t>CALLE CALLEJÓN CAJA DE GUA LOCAL NRO 1 Y 2 SECTOR LOS MOTORES SAN CARLOS COJEDES</t>
  </si>
  <si>
    <t>673434.73</t>
  </si>
  <si>
    <t>01770</t>
  </si>
  <si>
    <t>GRISELIDES DEL VALLE MARTINEZ VIÑA</t>
  </si>
  <si>
    <t>V092950391</t>
  </si>
  <si>
    <t>CALLE UNICA CASA NRO 1 CONJUNTO RESIDENCIAL VILLA VIZANO SECTOR JUANICO MATURIN MONAGAS</t>
  </si>
  <si>
    <t>01771</t>
  </si>
  <si>
    <t>FARMACIA DR. FARMA</t>
  </si>
  <si>
    <t>J501448434</t>
  </si>
  <si>
    <t>AV INTERCOMUNAL PLAZA DE TOROS LOCAL 11 URB LA ISABELICA VALENCIA CARABOBO</t>
  </si>
  <si>
    <t>01772</t>
  </si>
  <si>
    <t>YENDRIMAR MENDEZ VALERO "MENDEZ INVERSIONES FARMA-GOURMET EXPRESS"</t>
  </si>
  <si>
    <t>V250797881</t>
  </si>
  <si>
    <t>CIUDAD BOLIVIA ESTADO BARINA</t>
  </si>
  <si>
    <t>0414-5719876</t>
  </si>
  <si>
    <t>TRONCAL 005 SECTOR ACEQUIA LOCAL 01 PEDRAZA CIUDAD BOLIVIA. ESTADO BARINAS</t>
  </si>
  <si>
    <t>15726.73</t>
  </si>
  <si>
    <t>01773</t>
  </si>
  <si>
    <t>FARMACIA SAN JOSE, C.A. (COJEDES)</t>
  </si>
  <si>
    <t>J316352145</t>
  </si>
  <si>
    <t>AVENIDA RICAURTE EDIFICIO SAN JOSE LOCAL NUMERO 3, Nº15-82 SAN CARLOS- ESTADO COJEDES .</t>
  </si>
  <si>
    <t>148231.84</t>
  </si>
  <si>
    <t>01774</t>
  </si>
  <si>
    <t>SUMINISTROS E INVERSIONES ORDAZ, F.P.</t>
  </si>
  <si>
    <t>V181748040</t>
  </si>
  <si>
    <t>CARIPE (SAN AGUSTIN) EDO MON</t>
  </si>
  <si>
    <t>CARRETERA NACIONAL CARIPE, CUMANA, SECTOR SAN AGUSTIN CENTRO COMERCIAL LOCAL NRO 2 PARROQUIA SAN AGUSTIN, MUNICIPIO CARIPE ESTADO MONAGAS</t>
  </si>
  <si>
    <t>17115.54</t>
  </si>
  <si>
    <t>01775</t>
  </si>
  <si>
    <t>FARMACIA MONAGAS C.A (APURE)</t>
  </si>
  <si>
    <t>J305210950</t>
  </si>
  <si>
    <t>0424-3454983    -   0414-046</t>
  </si>
  <si>
    <t>CALLE AREVALO GONZALEZ LOCAL NRO 03 SECTOR CENTRO SAN FERNANDO DE APURE</t>
  </si>
  <si>
    <t>251308.44</t>
  </si>
  <si>
    <t>01776</t>
  </si>
  <si>
    <t>FARMACIA MONAGAS VII CAMAGUAN C.A.</t>
  </si>
  <si>
    <t>J505071050</t>
  </si>
  <si>
    <t>+58 424-3454983</t>
  </si>
  <si>
    <t>AV SAN JUAN VICENTE TORREALBA ANTIGUA CARRETERA NACIONAL CALABOZO - SAN FERNANDO.</t>
  </si>
  <si>
    <t>482136.72</t>
  </si>
  <si>
    <t>01777</t>
  </si>
  <si>
    <t>FARMACIA MONAGAS IV, C.A.</t>
  </si>
  <si>
    <t>J502177477</t>
  </si>
  <si>
    <t>0424-3454983        -</t>
  </si>
  <si>
    <t>AV CARACAS CRUCE CON CALLE PLAZA, LOCAL S/N SECTOR CENTRO. SAN FERNANDO DE APURE</t>
  </si>
  <si>
    <t>817670.68</t>
  </si>
  <si>
    <t>01778</t>
  </si>
  <si>
    <t>FARMACIA MONAGAS V ACHAGUAS C.A.</t>
  </si>
  <si>
    <t>J504010936</t>
  </si>
  <si>
    <t>CALLE JOSE ANGEL MONTENEGRO SECTOR RAUL LEONI. ACHAGUAS. ESTADO APURE</t>
  </si>
  <si>
    <t>664762.99</t>
  </si>
  <si>
    <t>01779</t>
  </si>
  <si>
    <t>FARMACIA MONAGAS 6, C.A</t>
  </si>
  <si>
    <t>J504468134</t>
  </si>
  <si>
    <t>+58 424-3454983        -</t>
  </si>
  <si>
    <t>AV CARABOBO CRUCE CON CALLE AREVALO GONZALEZ EDIF CARABOBO PISO PB LOCAL 2 SECTOR CENTRO SAN FERNANDO DE APURE</t>
  </si>
  <si>
    <t>674349.59</t>
  </si>
  <si>
    <t>01780</t>
  </si>
  <si>
    <t>YAMILYS MARBELLA MOLINA RONDON "MOLINA FARMA HOGAR F.P"</t>
  </si>
  <si>
    <t>V113716530</t>
  </si>
  <si>
    <t>CALLE 8 CON AV 8 LOCAL S/N SECTOR CEMENTERIO. CIUDAD BOLIVIA ESTADO BARINAS</t>
  </si>
  <si>
    <t>41100.75</t>
  </si>
  <si>
    <t>01781</t>
  </si>
  <si>
    <t>FARMACIA MONAGAS II C.A</t>
  </si>
  <si>
    <t>J405588985</t>
  </si>
  <si>
    <t>AV. PASEO LIBERTADOR CRUCE CON CALLE EL CALVARIO, EDIFICIO FARMONAGAS, SECTOR CENTRO. SAN FERNANDO DE APURE</t>
  </si>
  <si>
    <t>654573.65</t>
  </si>
  <si>
    <t>01782</t>
  </si>
  <si>
    <t>FARMACIA FARMASANTOS TUREN CA</t>
  </si>
  <si>
    <t>J506054248</t>
  </si>
  <si>
    <t>TUREN EDO PORTUGUESA</t>
  </si>
  <si>
    <t>8709</t>
  </si>
  <si>
    <t>TUREN - PORTUGUESA</t>
  </si>
  <si>
    <t>AV 5 ENTRE CALLES 12 Y 13 EDIFICIO HOTEL EL CENTRO LOCAL02 PISO PB SECTOR CENTRO VILLA BRUZUAL TUREN ESTADO PORTUGUESA.</t>
  </si>
  <si>
    <t>405016.87</t>
  </si>
  <si>
    <t>01783</t>
  </si>
  <si>
    <t>FARMACIA TERESITA C A</t>
  </si>
  <si>
    <t>J316723658</t>
  </si>
  <si>
    <t>0414-8156355</t>
  </si>
  <si>
    <t>AV PRINCIPAL QTA SANTA TERESITA NRO 13-100 SECTOR CARRETERA DE LA COSTA BOCA DE UCHIRE ANZOATEGUI</t>
  </si>
  <si>
    <t>532180.34</t>
  </si>
  <si>
    <t>01784</t>
  </si>
  <si>
    <t>FARMADG CATIA, C.A.</t>
  </si>
  <si>
    <t>J501960216</t>
  </si>
  <si>
    <t>0424-1737513</t>
  </si>
  <si>
    <t>CALLE CALLE COLOMBIA CON CRISTO Y CALLE PRINCIPAL DE LOS MAGALLANES LOCAL NRO PB 20 ZONA CATIA CARACAS DISTRITO CAPITAL</t>
  </si>
  <si>
    <t>1593.22</t>
  </si>
  <si>
    <t>0424-5523469</t>
  </si>
  <si>
    <t>8701</t>
  </si>
  <si>
    <t>SABANETA</t>
  </si>
  <si>
    <t>AV. LIBERTADOR ENTRE CALLES 6 Y 7 LOCAL NRO S/N SECTOR CENTRO DE SABANETA ESTADO BARINAS</t>
  </si>
  <si>
    <t>01786</t>
  </si>
  <si>
    <t>FARMACIA KAPA CA</t>
  </si>
  <si>
    <t>J408847485</t>
  </si>
  <si>
    <t>CR 12 CON ESQUINA CALLE 15 TODOFICINA PISO PB LOCAL 1 SECTOR LA ARENOSA GUANARE PORTUGUESA</t>
  </si>
  <si>
    <t>0426-1946266</t>
  </si>
  <si>
    <t>CALLE 12 ENTRE CARRERAS 12 Y 13 CASA NRO 12-19 BARRIO EL COROZAL SOCOPO ESTADO BARINAS</t>
  </si>
  <si>
    <t>04121439463</t>
  </si>
  <si>
    <t>AV. 115 LOCAL NRO A-1 LOCAL A-1 SECTOR PARQUE FLORIDA VALENCIA ESTADO CARABOBO</t>
  </si>
  <si>
    <t>01789</t>
  </si>
  <si>
    <t>MILAGRO COROMOTO SANCHEZ DE ROJAS "FARMACIA MILA F.P."</t>
  </si>
  <si>
    <t>V030414914</t>
  </si>
  <si>
    <t>04125173554</t>
  </si>
  <si>
    <t>CALLE EL ROBLE, CASA NRO 38-9 URB LOS CAOBOS VALENCIA CARABOBO</t>
  </si>
  <si>
    <t>11549.13</t>
  </si>
  <si>
    <t>01790</t>
  </si>
  <si>
    <t>FARMACIA DEL LLANO S.A.</t>
  </si>
  <si>
    <t>J301360354</t>
  </si>
  <si>
    <t>0424-5299643</t>
  </si>
  <si>
    <t>AV. PEDRO PEREZ DELGADO EDIF HOTEL RESTAURANT NICOLA PISO PB LOCAL S/N SECTOR LA GRAN PARADA OSPINO. PORTUGESA</t>
  </si>
  <si>
    <t>915638.71</t>
  </si>
  <si>
    <t>01791</t>
  </si>
  <si>
    <t>EXPENDIO DE MEDICINAS EL PROFE, C.A.</t>
  </si>
  <si>
    <t>J503608617</t>
  </si>
  <si>
    <t>LA APARICION - OSPINO</t>
  </si>
  <si>
    <t>8713</t>
  </si>
  <si>
    <t>AV PAEZ CASA NRO S/N SECTOR CENTRO LA APARICION. CERCA DE OSPINO. ESTADO PORTUGUESA</t>
  </si>
  <si>
    <t>25346.20</t>
  </si>
  <si>
    <t>01792</t>
  </si>
  <si>
    <t>TU FARMACIA TODO SPRESS</t>
  </si>
  <si>
    <t>J314435221</t>
  </si>
  <si>
    <t>CALLE RONDON CON LA CALLE BOLIVAR LOCAL MULTICENTRO CAGUA NRO PB 03 SECTOR CENTRO, CAGUA ARAGUA</t>
  </si>
  <si>
    <t>1728485.90</t>
  </si>
  <si>
    <t>01793</t>
  </si>
  <si>
    <t>FARMACIA DON MORENO C.A.</t>
  </si>
  <si>
    <t>J500954387</t>
  </si>
  <si>
    <t>0412-6918155 – 0426-1571995</t>
  </si>
  <si>
    <t>AV. 24 DE JULIO Y AVENIDA 17 DE DICIEMBRE LOCAL NRO S/N CASERIO CENTRO CHABASQUEN PORTUGUESA</t>
  </si>
  <si>
    <t>CALLE PRINCIPAL CARIPE LOCAL NRO S/N SECTOR CENTRO SAN AGUSTIN MONAGAS</t>
  </si>
  <si>
    <t>AV. 33 E/CALLES 22 Y 23 LOCAL NRO 22-38 SECTOR CENTRO II, PAEZ, ACARIGUA PORTUGUESA</t>
  </si>
  <si>
    <t>0412-5865933 -</t>
  </si>
  <si>
    <t>8600</t>
  </si>
  <si>
    <t>LA FLORIDA</t>
  </si>
  <si>
    <t>AV. ANDRES BELLO CON AV LAS ACACIAS EDIF FLORIDA PALACE PISO PB APT "A" URB LA FLORIDA CARACAS</t>
  </si>
  <si>
    <t>01797</t>
  </si>
  <si>
    <t>FARMACIA EVC SALUD, C. A.</t>
  </si>
  <si>
    <t>02/09/2025</t>
  </si>
  <si>
    <t>J501865639</t>
  </si>
  <si>
    <t>0424-5534518</t>
  </si>
  <si>
    <t>CALLE 28 CON AV 40 B LOCAL NRO S/N BARRIO PARAGUAY ACARIGUA PORTUGUESA</t>
  </si>
  <si>
    <t>01798</t>
  </si>
  <si>
    <t>FARMACIA LAS 24 HORAS DE FLOR AMARILLO, C.A.</t>
  </si>
  <si>
    <t>J293729645</t>
  </si>
  <si>
    <t>04244267166</t>
  </si>
  <si>
    <t>AV BOLIVAR LOCAL NRO 94 SECTOR FLOR AMARILLO VALENCIA CARABOBO</t>
  </si>
  <si>
    <t>15136.19</t>
  </si>
  <si>
    <t>01799</t>
  </si>
  <si>
    <t>FARMACIA FARMA TAJ, C.A. (CEMENTERIO)</t>
  </si>
  <si>
    <t>J500959834</t>
  </si>
  <si>
    <t>0412-9801059</t>
  </si>
  <si>
    <t>AV PRINCIPAL DEL CEMENTERIO LOCAL N° S/N URB LAS LUCES CARACAS DISTRITO CAPITAL .</t>
  </si>
  <si>
    <t>01800</t>
  </si>
  <si>
    <t>FARMACIA PLAZA AHORRO, C.A.</t>
  </si>
  <si>
    <t>J312533587</t>
  </si>
  <si>
    <t>0412-1997604</t>
  </si>
  <si>
    <t>CALLE RICAURTE CRUCE CON CALLE RIBAS CASA NRO S/N SECTOR CENTRO TUCUPIDO. GUARICO</t>
  </si>
  <si>
    <t>01801</t>
  </si>
  <si>
    <t>SERVICIOS CLINICA LOS LLANOS,C.A.</t>
  </si>
  <si>
    <t>J300163210</t>
  </si>
  <si>
    <t>0424-3757542</t>
  </si>
  <si>
    <t>CALLE LOS PARAMOS CON AV. LAS INDUSTRIAS EDIF CLINICA LOS LLANOS PISO B PB LOCAL S/N ZONA INDUSTRIAL</t>
  </si>
  <si>
    <t>187509.29</t>
  </si>
  <si>
    <t>01802</t>
  </si>
  <si>
    <t>FARMACENTER, C.A. (EL VALLE)</t>
  </si>
  <si>
    <t>J501700249</t>
  </si>
  <si>
    <t>0424-3096966</t>
  </si>
  <si>
    <t>AV LAS INDUSTRIAS CC LA PASCUA CENTER NIVEL PB LOCAL NUMERO 3 SECTOR LA VIGIA VALLE DE LA PASCUA. GUARICO</t>
  </si>
  <si>
    <t>01803</t>
  </si>
  <si>
    <t>FARMACIA VIRGEN DEL ROSARIO C.A</t>
  </si>
  <si>
    <t>J310917710</t>
  </si>
  <si>
    <t>+58 424-5163648</t>
  </si>
  <si>
    <t>AV. 3 ENTRE CALLES 9 Y 10 SECTOR CENTRO, LOCAL NRO 9-81. TUREN EDO PORTUGUESA</t>
  </si>
  <si>
    <t>8810.13</t>
  </si>
  <si>
    <t>01804</t>
  </si>
  <si>
    <t>EXPENDIO DE MEDICINA DIVINA PASTORA, C.A.</t>
  </si>
  <si>
    <t>J502841555</t>
  </si>
  <si>
    <t>+58 412-8271152</t>
  </si>
  <si>
    <t>CARRERA 4 ESQUINA CALLE 6 LOCAL NRO S/N BARRIO LA CRUZ PAPELON, MUNICIPIO PAPELON, EN DIRECCION A GUANARITO. PORTUGUESA</t>
  </si>
  <si>
    <t>30968.42</t>
  </si>
  <si>
    <t>01805</t>
  </si>
  <si>
    <t>EBA PASTORA LEAL ROMERO "EXPENDIO DE MEDICINA LEAL 2022, F.P."</t>
  </si>
  <si>
    <t>V095315727</t>
  </si>
  <si>
    <t>SAN CARLOS - COJEDES</t>
  </si>
  <si>
    <t>AV. BOLIVAR CASA NRO S/N SECTOR CENTRO SUR LIBERTAD, COJEDES</t>
  </si>
  <si>
    <t>624319.80</t>
  </si>
  <si>
    <t>01806</t>
  </si>
  <si>
    <t>(MATRIZ) FARMA VIDA, CA</t>
  </si>
  <si>
    <t>01807</t>
  </si>
  <si>
    <t>FARMACIA FARMA VIDA C.A (SUCURSAL)</t>
  </si>
  <si>
    <t>FARMACIA FARMA VIDA C.A</t>
  </si>
  <si>
    <t>CALLE COMERCIO LOCAL NEO 44 SECTOR EL MEDANO ZARAZA ESTADO GUARICO.</t>
  </si>
  <si>
    <t>01808</t>
  </si>
  <si>
    <t>AUTO FARMACIA JN CORAL, C.A.</t>
  </si>
  <si>
    <t>J003517216</t>
  </si>
  <si>
    <t>AV. LA COSTANERA QTA CORAL NRO PB URB PALMAR ESTE CARABALLEDA LA GUAIRA</t>
  </si>
  <si>
    <t>48644.45</t>
  </si>
  <si>
    <t>01809</t>
  </si>
  <si>
    <t>EXPENDIO DE MEDICINA SAN MIGUEL, C.A.</t>
  </si>
  <si>
    <t>J409981096</t>
  </si>
  <si>
    <t>+58 414-5617138</t>
  </si>
  <si>
    <t>8740</t>
  </si>
  <si>
    <t>EL PLAYON - PORTUGUESA</t>
  </si>
  <si>
    <t>AV COMERCIO ENTRE CALLES 1 Y CARRERA NAC LOCAL NRO S/N CASERIO EL PLAYON, ESTADO PORTUGUESA</t>
  </si>
  <si>
    <t>01810</t>
  </si>
  <si>
    <t>FARMACIA FARMACENTRO LA AGUADITA, C.A.</t>
  </si>
  <si>
    <t>J506438550</t>
  </si>
  <si>
    <t>LA AGUADITA - COJEDES</t>
  </si>
  <si>
    <t>8710</t>
  </si>
  <si>
    <t>CARRETERA NACIONAL TRONCAL 005 LOCAL NRO 2 SECTOR LA AGUADITA COJEDES</t>
  </si>
  <si>
    <t>75080.98</t>
  </si>
  <si>
    <t>01811</t>
  </si>
  <si>
    <t>TU ZONA MARKET FARMACIA, C.A.</t>
  </si>
  <si>
    <t>J500109504</t>
  </si>
  <si>
    <t>0414-4802820</t>
  </si>
  <si>
    <t>CALLE 109 FLORES Nº CIVICO 96-106, C/C AVENIDA PASEO CABRIALES, GALPONES COMERCIALES APC MODULO 2 Y 3 LOCAL GALPON NRO G13 TIPO A SECTOR VALENCIA</t>
  </si>
  <si>
    <t>0412-4413668</t>
  </si>
  <si>
    <t>CALLE MIRANDA FINAL EDIFICIO HOTEL ISLA LARGA PISO PLANTA BAJA LOCAL NRO 4 SECTOR PLAYA BLANCA PUERTO CABELLO</t>
  </si>
  <si>
    <t>01813</t>
  </si>
  <si>
    <t>(MATRIZ) FARMACENTER EL SOCORRO, C.A.</t>
  </si>
  <si>
    <t>01814</t>
  </si>
  <si>
    <t>FARMACENTER EL SOCORRO, C.A. (SUC SANTA MARIA DE IPIRE)</t>
  </si>
  <si>
    <t>SANTA MARIA IPIRE</t>
  </si>
  <si>
    <t>8711</t>
  </si>
  <si>
    <t>01816</t>
  </si>
  <si>
    <t>FARMACIA OSPINO C.A.</t>
  </si>
  <si>
    <t>J300599400</t>
  </si>
  <si>
    <t>+58 412-0520904</t>
  </si>
  <si>
    <t>AV. LIBERTADOR CASA S/N SECTOR CASCO CENTRAL OSPINO PORTUGUESA</t>
  </si>
  <si>
    <t>1181096.78</t>
  </si>
  <si>
    <t>01817</t>
  </si>
  <si>
    <t>FARMACIA MATERANO´S, C.A.</t>
  </si>
  <si>
    <t>J500902298</t>
  </si>
  <si>
    <t>BOCONOITO - PORTUGUESA</t>
  </si>
  <si>
    <t>+58 412-6306743</t>
  </si>
  <si>
    <t>8712</t>
  </si>
  <si>
    <t>AV. PRINCIPAL ENTRE CARRERA 2 Y 3 FRENTE A LA PLAZA BOLIVAR DE BOCONOITO LOCAL NRO S/N BARRIO LAS RURALES BOCONOITO PORTUGUESA</t>
  </si>
  <si>
    <t>52295.55</t>
  </si>
  <si>
    <t>01818</t>
  </si>
  <si>
    <t>FARMACIA LAS BALLENAS TURMERO, C.A</t>
  </si>
  <si>
    <t>J506241935</t>
  </si>
  <si>
    <t>0412-8480631</t>
  </si>
  <si>
    <t>CALLE PETION CRUCE CON CALLE URDANETA CASA NRO PARCELA 1-1 SECTOR - TURMERO ARAGUA Estado Aragua.</t>
  </si>
  <si>
    <t>01819</t>
  </si>
  <si>
    <t>FARMACIAS LUNA C. A</t>
  </si>
  <si>
    <t>J501979138</t>
  </si>
  <si>
    <t>+58 412-4433064     0412-830</t>
  </si>
  <si>
    <t>CALLE 6 ENTRE CARRERAS 7 Y 8 LOCAL NRO SIN N° SECTOR CASCO CENTRAL CALABOZO GUARICO</t>
  </si>
  <si>
    <t>208648.79</t>
  </si>
  <si>
    <t>01820</t>
  </si>
  <si>
    <t>FARMACIAS FARMALUNA C.A</t>
  </si>
  <si>
    <t>J411595926</t>
  </si>
  <si>
    <t>0412-9120684     -   0412-44</t>
  </si>
  <si>
    <t>CARRERA 13 ESQUINA CALLE 14 LOCAL 1 CASCO CENTRAL. CALABOZO Estado Guarico.</t>
  </si>
  <si>
    <t>362079.11</t>
  </si>
  <si>
    <t>01821</t>
  </si>
  <si>
    <t>FARMACIA CARLOS PEREZ, C.A</t>
  </si>
  <si>
    <t>J505254995</t>
  </si>
  <si>
    <t>0424-5760785</t>
  </si>
  <si>
    <t>CARRERA 19, ESQUINA CON CALLE 31 EDIF LA FLORIDA PISO PB LOCAL 03 ZONA CENTRO BARQUISIMETO . LARA</t>
  </si>
  <si>
    <t>2137602.54</t>
  </si>
  <si>
    <t>01822</t>
  </si>
  <si>
    <t>FARMAIGNACIO LA 19 , C.A</t>
  </si>
  <si>
    <t>J413049538</t>
  </si>
  <si>
    <t>CARRERA 19 ENTRE CALLES 41 Y 42 LOCAL NRO 4-56 SECTOR CENTRO BARQUISMETO ESTADO LARA</t>
  </si>
  <si>
    <t>3329918.03</t>
  </si>
  <si>
    <t>01823</t>
  </si>
  <si>
    <t>FARMACIA LOS CERRAJONES FT, C.A.</t>
  </si>
  <si>
    <t>J502628436</t>
  </si>
  <si>
    <t>LOS CERRAJONES - LARA</t>
  </si>
  <si>
    <t>8714</t>
  </si>
  <si>
    <t>AVENIDA PRINCIPAL JOSE FELIX RIBAS, ENTRE CALLE UNION 4.LOS CERRAJONES EDO LARA</t>
  </si>
  <si>
    <t>2428852.67</t>
  </si>
  <si>
    <t>01824</t>
  </si>
  <si>
    <t>COMERCIALIZADORA Y SUMINISTROS BEDY-V, C.A</t>
  </si>
  <si>
    <t>J409441512</t>
  </si>
  <si>
    <t>0424-9132306</t>
  </si>
  <si>
    <t>AV. ATLANTICO CASA NRO 29 URB YARA 2 MANZANA 10 CIUDAD GUAYANA, PUERTO ORDAZ</t>
  </si>
  <si>
    <t>62817.11</t>
  </si>
  <si>
    <t>01825</t>
  </si>
  <si>
    <t>EUSTACIO RINCON RUBIO "FARMACIA MI FARMACIA"</t>
  </si>
  <si>
    <t>V001903477</t>
  </si>
  <si>
    <t>BISCUCUY - PORTUGUESA</t>
  </si>
  <si>
    <t>04126700708</t>
  </si>
  <si>
    <t>8715</t>
  </si>
  <si>
    <t>CALLE 5 NEGRO PRIMERO ENTRE CARR 4Y5 SECTOR CENTRO BISCUCUY, EDO PORTUGUESA. 
Estado Portuguesa.</t>
  </si>
  <si>
    <t>2139.44</t>
  </si>
  <si>
    <t>0412-9652401</t>
  </si>
  <si>
    <t>AV CARABOBO MANZANA A CASA 4 NRO LOCAL 2 URB. RODRIGUEZ DOMINGUEZ BARINAS BARINAS</t>
  </si>
  <si>
    <t>01827</t>
  </si>
  <si>
    <t>FARMACIA LA TRINIDAD DON SAMUEL, C.A.</t>
  </si>
  <si>
    <t>J400453577</t>
  </si>
  <si>
    <t>0424-5678290</t>
  </si>
  <si>
    <t>AV ADONAY PARRA CC TRINIDAD NIVEL P.B. LOCAL 1 SECTOR DON SAMUEL BARINAS</t>
  </si>
  <si>
    <t>01828</t>
  </si>
  <si>
    <t>TU FARMACIA TODO POR TU SALUD; C.A</t>
  </si>
  <si>
    <t>J408902362</t>
  </si>
  <si>
    <t>CIUDAD BOLIVIA (PEDRAZA LA V</t>
  </si>
  <si>
    <t>0426-8285482</t>
  </si>
  <si>
    <t>Carretera via SAN CRISTOBAL SECTOR LA SEQUIA PICADERA 1 MUNICIPIO CIUDAD BOLIVIA PEDRAZA. Estado Barinas.</t>
  </si>
  <si>
    <t>01829</t>
  </si>
  <si>
    <t>FARMACAPSULA C.A</t>
  </si>
  <si>
    <t>J501431345</t>
  </si>
  <si>
    <t>0424-8096000</t>
  </si>
  <si>
    <t>CALLE GUAYANA EDIF BLUE HILL PISO PB LOCAL 1 Y 4 SECTOR CASCO CENTRAL MUNICIPIO SIMON RODRIGUEZ EL TIGRE ESTADO  ANZOATEGUI</t>
  </si>
  <si>
    <t>1462107.23</t>
  </si>
  <si>
    <t>CALLE 1 CASA NRO 29 URB LA HERREREÑA II SECTOR II SAN CARLOS. COJEDES</t>
  </si>
  <si>
    <t>01831</t>
  </si>
  <si>
    <t>FARMACIA FARMAMITO, C.A</t>
  </si>
  <si>
    <t>J500264682</t>
  </si>
  <si>
    <t>0414-3452573</t>
  </si>
  <si>
    <t>AV. SAN JUAN MARIA VIANNEY LOCAL CENTRO COMERCIAL LA GUACAMAYA NAVE A NRO 13 SECTOR  PARROQUIA MIGUEL PEÑA VALENCIA</t>
  </si>
  <si>
    <t>01832</t>
  </si>
  <si>
    <t>FARMACIA SAN IGNACIO DE EL TOCUYO, C.A.</t>
  </si>
  <si>
    <t>J313309214</t>
  </si>
  <si>
    <t>0424 5237531 CUENTAS POR PAG</t>
  </si>
  <si>
    <t>AVENIDA VENEZUELA ENTRE CALLE 33 Y 34, EDIFICIO CORSA PLANTA BAJA LOCAL 33-75. ZONA CENTRO BARQUISIMETO ESTADO LARA</t>
  </si>
  <si>
    <t>1734432.68</t>
  </si>
  <si>
    <t>0424-5913067</t>
  </si>
  <si>
    <t>CALLE 2 BOLIVAR LOCAL NRO 16 SECTOR CENTRO BICUCUY, PORTUGUESA</t>
  </si>
  <si>
    <t>01834</t>
  </si>
  <si>
    <t>FARMACIA FARMANAZARET TINACO, C.A.</t>
  </si>
  <si>
    <t>J296401918</t>
  </si>
  <si>
    <t>0414-0357220</t>
  </si>
  <si>
    <t>CALLE MONAGAS CASA NRO S/N SECTOR CENTRO TINACO COJEDES</t>
  </si>
  <si>
    <t>5005.72</t>
  </si>
  <si>
    <t>0424-5439040</t>
  </si>
  <si>
    <t>FISCAL AV AVENIDA 13 DE JUNIO CON AVENIDA 27 CASA NRO S/N. BARRIO EL TRAPICHE ARARURE</t>
  </si>
  <si>
    <t>01836</t>
  </si>
  <si>
    <t>FARMACIA MIS ANGELES 2, C.A.</t>
  </si>
  <si>
    <t>J501796424</t>
  </si>
  <si>
    <t>AV CIRCUNVALACION SUR ESQUINA CALLE 25 -D LOCAL NRO S/N BARRIO LA MUNICIPALIDAD ACARIGUA PORTUGUESA</t>
  </si>
  <si>
    <t>01837</t>
  </si>
  <si>
    <t>FARMACIA MIS ANGELES 4, C.A</t>
  </si>
  <si>
    <t>J504666769</t>
  </si>
  <si>
    <t>CTRA VIA MIJAGUITO ENTRE AVENIDA 04 Y 05 LOCAL NRO S/N BARRIO AUGUSTO MALAVE VILLALBA ACARIGUA PORTUGUESA</t>
  </si>
  <si>
    <t>01838</t>
  </si>
  <si>
    <t>CLINICA SANTA MARIA C.A.</t>
  </si>
  <si>
    <t>J303395163</t>
  </si>
  <si>
    <t>VILLA PASTORA - PORTUGUESA</t>
  </si>
  <si>
    <t>8718</t>
  </si>
  <si>
    <t>AV. PAEZ ESQUINA CALLE 20 Y 21 LOCAL NO.1 SECTOR VILLA PASTORA..Estado Portuguesa.</t>
  </si>
  <si>
    <t>01839</t>
  </si>
  <si>
    <t>JUAN JOSE PARRA CASTAÑEZ  "EXPENDIO DE MEDICINAS VIRGEN DE LA PAZ IRENA"</t>
  </si>
  <si>
    <t>V086734369</t>
  </si>
  <si>
    <t>0426-5445424</t>
  </si>
  <si>
    <t>AV BOLIVAR LOCAL NRO 2 URB. EL PAO EL PAO. COJEDES</t>
  </si>
  <si>
    <t>1277013.58</t>
  </si>
  <si>
    <t>01840</t>
  </si>
  <si>
    <t>FARMA HEALING C.A</t>
  </si>
  <si>
    <t>J411861820</t>
  </si>
  <si>
    <t>0414-4060590 / 0412-3450898</t>
  </si>
  <si>
    <t>AV. BOLIVAR  CRUCE CON CALLEJON LAS BABAS LOCAL NRO 01 SECTOR LOS SAMANES SAN CARLOS, COJEDES</t>
  </si>
  <si>
    <t>0412-5625985</t>
  </si>
  <si>
    <t>AV PRINCIPAL LOCAL NRO S/N SECTOR MORRONES, MORRONES PORTUGUESA</t>
  </si>
  <si>
    <t>01843</t>
  </si>
  <si>
    <t>MARIAM BARBAR</t>
  </si>
  <si>
    <t>V20261188</t>
  </si>
  <si>
    <t>+58 412-5381169</t>
  </si>
  <si>
    <t>CALLE LOS ILUSTRES CASA NRO 58 SECTOR LOS ILUSTRES VALLE DE LA PASCUA GUARICO</t>
  </si>
  <si>
    <t>MAIQUETIA - LA GUAIRA</t>
  </si>
  <si>
    <t>0424-2631031 / 04143779683</t>
  </si>
  <si>
    <t>CALLE REAL DE PARIATA EDIF GARAJONAY PISO PB LOCAL 1 SECTOR MAIQUETIA MAIQUETIA LA GUAIRA</t>
  </si>
  <si>
    <t>01846</t>
  </si>
  <si>
    <t>JOSE  ANGEL MEDINA VALERIO</t>
  </si>
  <si>
    <t>V29735742</t>
  </si>
  <si>
    <t>01847</t>
  </si>
  <si>
    <t>FARMACIA DON MANUEL OSPINO CA</t>
  </si>
  <si>
    <t>J408734184</t>
  </si>
  <si>
    <t>04245653243</t>
  </si>
  <si>
    <t>AV DANIEL CAMEJO ACOSTA ENTRE AV PAEZ Y CALLE FRANCISCO DE MIRANDA LOCAL NRO 01 SECTOR CASCO CENTRAL OSPINO PORTUGUESA</t>
  </si>
  <si>
    <t>263460.59</t>
  </si>
  <si>
    <t>01848</t>
  </si>
  <si>
    <t>FARMACIA MAMANICO OSPINO, C.A</t>
  </si>
  <si>
    <t>J506412667</t>
  </si>
  <si>
    <t>0424-5556572</t>
  </si>
  <si>
    <t>AV ROTARIA EDIF MAMANICO PISO P/B LOCAL 4 SECTOR MAMANICO ACARIGUA PORTUGUESA. Estado Portuguesa.</t>
  </si>
  <si>
    <t>79376.02</t>
  </si>
  <si>
    <t>01849</t>
  </si>
  <si>
    <t>FARMACIA POPULAR OSPINO, C.A.</t>
  </si>
  <si>
    <t>J310820392</t>
  </si>
  <si>
    <t>0424-5590543</t>
  </si>
  <si>
    <t>AV LIBERTADOR CALLE CAMEJO ACOSTA CASA SIN NUMERO SECTOR CENTRO. CENTRO DE OSPINO. ESTADO PORTUGUESA</t>
  </si>
  <si>
    <t>01850</t>
  </si>
  <si>
    <t>FARMATODITO Y&amp;B, C.A (SUCURSAL)</t>
  </si>
  <si>
    <t>FARMATODITO Y&amp;B, C.A</t>
  </si>
  <si>
    <t>J501829870</t>
  </si>
  <si>
    <t>0426-8299803</t>
  </si>
  <si>
    <t>CALLE GUZMAN BLANCO CC MILIEM NIEVL 1 LOCAL NRO 1 BARRIO EL CHORRO BARINAS ESTADO BARINAS</t>
  </si>
  <si>
    <t>20767.15</t>
  </si>
  <si>
    <t>01851</t>
  </si>
  <si>
    <t>FARMACIA FARMAREAL, C.A   (UPATA)</t>
  </si>
  <si>
    <t>J402662130</t>
  </si>
  <si>
    <t>CALLE AYACUCHO LOCAL NRO 50 SECTOR CASCO CENTRAL, UPATA BOLIVAR</t>
  </si>
  <si>
    <t>+58 412-9893961</t>
  </si>
  <si>
    <t>AV LIBERTADOR ENTRE CALLE REAL Y PARAISO EDIF S/N PISO PB LOCAL 21 SECTOR CENTRO VALLE DE LA PASCUA GUARICO</t>
  </si>
  <si>
    <t>01853</t>
  </si>
  <si>
    <t>FARMACIA JOSUE 1.8, C.A</t>
  </si>
  <si>
    <t>J506434237</t>
  </si>
  <si>
    <t>04144116007</t>
  </si>
  <si>
    <t>AV LA ROMANA CRUCE CON CUARTA CALLE LOCAL NRO - URB RICARDO URRIERA VALENCIA CARABOBO</t>
  </si>
  <si>
    <t>28310.56</t>
  </si>
  <si>
    <t>01854</t>
  </si>
  <si>
    <t>EXPENDIO DE MEDICINAS MI SANTO, C.A.</t>
  </si>
  <si>
    <t>J500686579</t>
  </si>
  <si>
    <t>ACARIGUA - PORTUGUESA</t>
  </si>
  <si>
    <t>0412-2408352</t>
  </si>
  <si>
    <t>CALLE 1 LOCAL NRO 1 SECTOR ROMULO BETANCOURT RIO ACARIGUA PORTUGUESA</t>
  </si>
  <si>
    <t>17781.52</t>
  </si>
  <si>
    <t>01855</t>
  </si>
  <si>
    <t>FARMACIA SUPPLY FARMA I, C.A</t>
  </si>
  <si>
    <t>J296759359</t>
  </si>
  <si>
    <t>+58 414-5831969</t>
  </si>
  <si>
    <t>CALLE EL SOCORRO LOCAL NRO 9-8 SECTOR ANZOATEGUI TINAQUILLO COJEDES</t>
  </si>
  <si>
    <t>481729.23</t>
  </si>
  <si>
    <t>01856</t>
  </si>
  <si>
    <t>FARMACIA SAN PABLITO 2021, C.A</t>
  </si>
  <si>
    <t>J500732333</t>
  </si>
  <si>
    <t>+58 414-4098954</t>
  </si>
  <si>
    <t>AV 1 CRUCE CON CALLE 5 LOCAL NRO S/N URB MONSEÑOR PADILLA SECTOR 2 SAN CARLOS COJEDES</t>
  </si>
  <si>
    <t>28821.23</t>
  </si>
  <si>
    <t>01857</t>
  </si>
  <si>
    <t>FARMACIA SALUDABLE GUANARE C.A</t>
  </si>
  <si>
    <t>J500987277</t>
  </si>
  <si>
    <t>CR QUINTA ENTRE CALLES 18 Y 19 LOCAL NRO S/N SECTOR CENTRO GUANARE PORTUGUESA</t>
  </si>
  <si>
    <t>440694.91</t>
  </si>
  <si>
    <t>+58 424-2697868</t>
  </si>
  <si>
    <t>AV CARACAS EDIF DOLORES PISO B LOCAL B SECTOR SAN BERNARDINO CARACAS DISTRITO CAPITAL</t>
  </si>
  <si>
    <t>01859</t>
  </si>
  <si>
    <t>FARMACIA MONAGAS VIII SAN JUAN DE PAYARA, C.A</t>
  </si>
  <si>
    <t>J506482800</t>
  </si>
  <si>
    <t>0424-3252820      +58 424-34</t>
  </si>
  <si>
    <t>AV NEGRO PRIMERO LOCAL LOCAL NRO S/N SECTOR VIA NACIONAL ENTRADA SAN JUAN DE PAYARA SAN JUAN DE PAYARA APURE</t>
  </si>
  <si>
    <t>176265.48</t>
  </si>
  <si>
    <t>01860</t>
  </si>
  <si>
    <t>ANGEL VICENTE PITRUZZELLA HERNANDEZ "FARMACIA RAZETTI, F.P"</t>
  </si>
  <si>
    <t>V092616831</t>
  </si>
  <si>
    <t>0424-5046555</t>
  </si>
  <si>
    <t>AV. MARQUEZ DEL PUMAR EDIF. CALZADA PEZ PISO P.B LOCAL 1 SECTOR CENTRO BARINAS.</t>
  </si>
  <si>
    <t>01861</t>
  </si>
  <si>
    <t>FARMACIA BIEN SALUD, C.A.</t>
  </si>
  <si>
    <t>J500942419</t>
  </si>
  <si>
    <t>0412-7789258</t>
  </si>
  <si>
    <t>AV. RICAURTE ENTRE CALLE SALOM Y CALLE VARGAS LOCAL NRO.2,3 SECTOR CENTRO TINAQUILLO COJEDES</t>
  </si>
  <si>
    <t>79204.76</t>
  </si>
  <si>
    <t>AV. GUAICAIPURO LOCAL A 50 MTS DE INAVI # 15, SECTOR EL MOLINO. BARINAS</t>
  </si>
  <si>
    <t>01863</t>
  </si>
  <si>
    <t>FARMACIA VARINA C.A.</t>
  </si>
  <si>
    <t>J316488314</t>
  </si>
  <si>
    <t>0412-5222448</t>
  </si>
  <si>
    <t>AV RAUL BLONVAL LOPEZ EDIF INSTITUTO DIAGNOSTICO VARYNA PISO P.B. LOCAL S/N.URB. ALTO BARINAS. ESTADO BARINAS</t>
  </si>
  <si>
    <t>85395.00</t>
  </si>
  <si>
    <t>01864</t>
  </si>
  <si>
    <t>CARMEN MARCOLINA GALLARDO MEDINA "EXPENDIO DE MEDICINAS IYENNY"</t>
  </si>
  <si>
    <t>V033195229</t>
  </si>
  <si>
    <t>0414-0581872</t>
  </si>
  <si>
    <t>8737</t>
  </si>
  <si>
    <t>LA CARAMUCA - BARINAS</t>
  </si>
  <si>
    <t>AV. 2 CON CALLE 2 CASA NRO S/N SECTOR LA CARAMUCA, LA CARAMUCA ESTADO BARINAS</t>
  </si>
  <si>
    <t>EL MOLINO - BARINAS</t>
  </si>
  <si>
    <t>04244579066 /  04142956188</t>
  </si>
  <si>
    <t>CALLE RICAURTE LOCAL PASEO PROFESIONAL JESUS REDENTOR NRO 3-A SECTOR CASCO CENTRAL TUCUPIDO ESTADO GUARICO</t>
  </si>
  <si>
    <t>0424-5085523</t>
  </si>
  <si>
    <t>AV 5 ESQUINA DE CALLE 23 CC RESIDENCIAL CIUDAD BOLIVIA NIVEL PB LOCAL 1 URB EL LICEO 1 CIUDAD BOLIVIA. ESTADO BARINAS</t>
  </si>
  <si>
    <t>01867</t>
  </si>
  <si>
    <t>DROGUERIA Y SUMINISTROS MILENIUM PLUS C.A.</t>
  </si>
  <si>
    <t>J411462918</t>
  </si>
  <si>
    <t>0416-1791314</t>
  </si>
  <si>
    <t>CALLE 3 CRUCE CON CALLEJON EL PARQUE CASA NRO 129 URB ALTO  BARINAS NORTE. ESTADO BARINAS</t>
  </si>
  <si>
    <t>01868</t>
  </si>
  <si>
    <t>ZABBI FARMA,C.A</t>
  </si>
  <si>
    <t>J506101025</t>
  </si>
  <si>
    <t>04122033261</t>
  </si>
  <si>
    <t>AV BOLIVAR CRUCE CON CALLE 6 CASA NRO 3 URB RAUL LEONI PUNTA DE MATA MONAGAS</t>
  </si>
  <si>
    <t>01869</t>
  </si>
  <si>
    <t>FARMA 282 C.A.</t>
  </si>
  <si>
    <t>J504367770</t>
  </si>
  <si>
    <t>CALLE DEMOCRACIA  CASA 11 NRO 125  SECTOR PUEBLO NUEVO ANACO ANZOATEGUI</t>
  </si>
  <si>
    <t>84424.12</t>
  </si>
  <si>
    <t>01870</t>
  </si>
  <si>
    <t>FARMACIA DIMAWORLD CENTRO, C.A</t>
  </si>
  <si>
    <t>J500317603</t>
  </si>
  <si>
    <t>0424-6324202</t>
  </si>
  <si>
    <t>CALLE ZAMORA ESQUINA BRASIL LOCAL NRO 1-2 SECTOR CASCO CENTRAL PUNTO FIJO FALCON</t>
  </si>
  <si>
    <t>309837.57</t>
  </si>
  <si>
    <t>01871</t>
  </si>
  <si>
    <t>NESTOR GREGORIO DUGARTE "EXPENDIO DE MEDICINA LOS DUGARTE"</t>
  </si>
  <si>
    <t>V092675196</t>
  </si>
  <si>
    <t>0412-0316779</t>
  </si>
  <si>
    <t>CALLE PRINCIPAL CASA 12-04 CASERIO CAMIRI BARINAS, ESTADO BARINAS</t>
  </si>
  <si>
    <t>01872</t>
  </si>
  <si>
    <t>INSTITUTO POLICLINICO TURMERO HOSPITAL PRIVADO C.A.</t>
  </si>
  <si>
    <t>J075806620</t>
  </si>
  <si>
    <t>0424-3440189</t>
  </si>
  <si>
    <t>CALLE PROLONGACION AV. BOLIVAR LOCAL NRO 10-3 SECTOR CENTRO.TURMERO. ESTADO ARAGUA</t>
  </si>
  <si>
    <t>01873</t>
  </si>
  <si>
    <t>FARMACIA SPORT CENTER VILM C.A</t>
  </si>
  <si>
    <t>J301003349</t>
  </si>
  <si>
    <t>0412-2516702</t>
  </si>
  <si>
    <t>AV.EL PAUJI CON NORTE 1 LOS NARANJOS EL CAFETAL LOCAL NUMERO 20. EL HATILLO ESTADO MIRANDA</t>
  </si>
  <si>
    <t>3349.26</t>
  </si>
  <si>
    <t>0424-2232901</t>
  </si>
  <si>
    <t>CALLE LA GUAIRITA EDIF EUROBUILDING PISO NIVEL (-1) LOCAL NO SIL-3 URB CHUAO CARACAS MIRANDA</t>
  </si>
  <si>
    <t>01875</t>
  </si>
  <si>
    <t>FARMACIA GUATIRE CENTER, C.A.</t>
  </si>
  <si>
    <t>J410212144</t>
  </si>
  <si>
    <t>0412-4128675</t>
  </si>
  <si>
    <t>AV BERMUDEZ EDIF PARCHITO PISO PB LOCAL COMERCIAL N-10 ZONA PUEBLO DE LA CIUDAD DE GUATIRE MIRANDA</t>
  </si>
  <si>
    <t>134033.67</t>
  </si>
  <si>
    <t>01876</t>
  </si>
  <si>
    <t>FARMACIA MALL SALUD, C.A</t>
  </si>
  <si>
    <t>J500178590</t>
  </si>
  <si>
    <t>04245517658</t>
  </si>
  <si>
    <t>CALLE 12 ENTRE CARRERAS 18 Y 19 CASA NRO 18-92 SECTOR CENTRO BARQUISIMETO</t>
  </si>
  <si>
    <t>58 416-3527583</t>
  </si>
  <si>
    <t>CALLE 3 CASA NRO 74 URB JOSE ANTONIO PAEZ SECTOR 1 ETAPA 1 BARINAS BARINAS</t>
  </si>
  <si>
    <t>01878</t>
  </si>
  <si>
    <t>DROGUERIA NINSIFARMA, C.A.</t>
  </si>
  <si>
    <t>J501219583</t>
  </si>
  <si>
    <t>0412-5374701</t>
  </si>
  <si>
    <t>AV LOS LLANOS CRUCE CON FERMIN TORO LOCAL NRO 25 SECTOR PIÑONAL SUR MARACAY ARAGUA</t>
  </si>
  <si>
    <t>01879</t>
  </si>
  <si>
    <t>FARMACIA JUAN PABLO II, C.A</t>
  </si>
  <si>
    <t>J316126552</t>
  </si>
  <si>
    <t>0412-4014362</t>
  </si>
  <si>
    <t>CALLE URDANETA CON CALLE CARABOBO CC DOÑA ADELA NIVEL SN LOCAL 04 Y 05 ZONA CENTRO PUERTO CABELLO CARABOBO</t>
  </si>
  <si>
    <t>211271.57</t>
  </si>
  <si>
    <t>+58 414-7820807</t>
  </si>
  <si>
    <t>AV LIBERTADOR CRUCE CON CALLE RAFAEL MARSILLA LOCAL NRO S/N SECTOR CENTRO CARIPE MONAGAS</t>
  </si>
  <si>
    <t>01881</t>
  </si>
  <si>
    <t>FARMACIA MI GRAN CARABOBEÑA, C.A.</t>
  </si>
  <si>
    <t>J401245188</t>
  </si>
  <si>
    <t>04244582644</t>
  </si>
  <si>
    <t>AV PRINCIPAL LOCAL NRO 14 BARRIO PEDRO HERRERA VALENCIA CARABOBO</t>
  </si>
  <si>
    <t>205427.10</t>
  </si>
  <si>
    <t>01882</t>
  </si>
  <si>
    <t>FARMACIA VILLA SALUD, C.A</t>
  </si>
  <si>
    <t>J401507956</t>
  </si>
  <si>
    <t>AVENIDA LISANDRO HERNANDEZ ESTE, LOCAL NRO 4, SECTOR LAS MERCEDES, VILLA DE CURA, ESTADO ARAGUA.</t>
  </si>
  <si>
    <t>88773.56</t>
  </si>
  <si>
    <t>01883</t>
  </si>
  <si>
    <t>FARMACIA LA BENDICION DE DIOS C.A</t>
  </si>
  <si>
    <t>J503822015</t>
  </si>
  <si>
    <t>0414-2678137</t>
  </si>
  <si>
    <t>CARRETERA TRONCAL 5 LOCAL NRO  S/N  SECTOR LA CEIBA CAPITANEJO, ESTADO BARINAS.</t>
  </si>
  <si>
    <t>401044.26</t>
  </si>
  <si>
    <t>01884</t>
  </si>
  <si>
    <t>EXPENDIO DE MEDICINAS LIAM &amp; AARON 2024, C.A</t>
  </si>
  <si>
    <t>J411760706</t>
  </si>
  <si>
    <t>0424-5969662</t>
  </si>
  <si>
    <t>AV. COMERCIO  ENTRE CALLES 6 Y 7 LOCAL NRO S/N SECTOR CENTRO EL PLAYON. ESTADO PORTUGUESA</t>
  </si>
  <si>
    <t>01885</t>
  </si>
  <si>
    <t>FARMAIMPORTACIONES DAVILA, C.A</t>
  </si>
  <si>
    <t>J500390955</t>
  </si>
  <si>
    <t>PEDRAZA - BARINAS</t>
  </si>
  <si>
    <t>0414-5734103</t>
  </si>
  <si>
    <t>8719</t>
  </si>
  <si>
    <t>AV 4 ENTRE CALLES 19 Y 20 LOCAL NRO-19-61 BARRIO LA CULTURA I. Estado Barinas. Municipio Pedraza. Parroquia Ciudad Bolivia. Barinas</t>
  </si>
  <si>
    <t>1528255.18</t>
  </si>
  <si>
    <t>0414-3553289 / 0424-5872724</t>
  </si>
  <si>
    <t>AV 34 CON CALLE 23 EDIF COROMOTANA PISO P/B LOCAL 02 SECTOR CENTRO ACARIGUA EDO PORTUGUESA ACARIGUA PORTUGUESA</t>
  </si>
  <si>
    <t>AV 31 CON CALLE 21 EDIF EL GANADOR PISO P/B LOCAL 01 SECTOR CENTRO ACARIGUA PORTUGUESA</t>
  </si>
  <si>
    <t>AV 35 CON CALLE 32 EDIF MAPAVI PISO P/B LOCAL 01 SECTOR ACARIGUA. ACARIGUA EDO. PORTUGUESA.</t>
  </si>
  <si>
    <t>0414-3553289 /</t>
  </si>
  <si>
    <t>AV PRINCIPAL CON AVENIDA 3 LOCAL NRO S/N URB VILLA ARAURE I ARARURE PORTUGUESA</t>
  </si>
  <si>
    <t>01890</t>
  </si>
  <si>
    <t>FARMA BIOVITAL</t>
  </si>
  <si>
    <t>J503292784</t>
  </si>
  <si>
    <t>LAS VEGAS - COJEDES</t>
  </si>
  <si>
    <t>0412-341.02.68  /</t>
  </si>
  <si>
    <t>8720</t>
  </si>
  <si>
    <t>AV BOLIVAR LOCAL NRO 2 SECTOR CENTRI I LAS VEGAS COJEDES</t>
  </si>
  <si>
    <t>230308.70</t>
  </si>
  <si>
    <t>01891</t>
  </si>
  <si>
    <t>FARMA BIOSALUD, C.A</t>
  </si>
  <si>
    <t>J500600720</t>
  </si>
  <si>
    <t>0412-341.02.68</t>
  </si>
  <si>
    <t>AV BOLIVAR C/C RICAURTE EDIF BAJJANI PISO P/B LOCAL E SECTOR CENTRO SAN CARLOS COJEDES</t>
  </si>
  <si>
    <t>152948.06</t>
  </si>
  <si>
    <t>0414-7687493</t>
  </si>
  <si>
    <t>01894</t>
  </si>
  <si>
    <t>CITYFARMA, C.A.</t>
  </si>
  <si>
    <t>J500140711</t>
  </si>
  <si>
    <t>0426-3427599</t>
  </si>
  <si>
    <t>CALLE ATARRAYA C/C REAL LOCAL NRO 10 SECTOR CASCO CENTRAL VALLE DE LA PASCUA, GUARICO</t>
  </si>
  <si>
    <t>98421.84</t>
  </si>
  <si>
    <t>01895</t>
  </si>
  <si>
    <t>FARMACIA FARMA SERVICIOS LA FLORIDA, C.A.</t>
  </si>
  <si>
    <t>J502434526</t>
  </si>
  <si>
    <t>CALLE 92A ESQUINA AV 3 Y 3A EDIF LA BORINQUEÑA PISO PB LOCAL PB SECTOR SANTA LUCIA MARACAIBO ZULIA</t>
  </si>
  <si>
    <t>242038.51</t>
  </si>
  <si>
    <t>01896</t>
  </si>
  <si>
    <t>FARMACIA FARMA SERVICIOS LA CASTELLANA, C.A</t>
  </si>
  <si>
    <t>J503892420</t>
  </si>
  <si>
    <t>CALLE 92 A ESQUINA CALLE 3 Y 3 EDIF LA BARINQUEÑA PISO PB LOCAL PB SECTOR SANTA LUCIA MARACAIBO</t>
  </si>
  <si>
    <t>13444.30</t>
  </si>
  <si>
    <t>01897</t>
  </si>
  <si>
    <t>FARMACIA FARMA SERVICIO LA CANDELARIA, C.A</t>
  </si>
  <si>
    <t>J504108979</t>
  </si>
  <si>
    <t>+58 424-6417254</t>
  </si>
  <si>
    <t>CALLE 92A ESQUINA AVENIDA 3 Y 3a EDIF LA BARINQUEÑA PISO PB LOCAL PB SECTOR SANTA LUCIA MARACAIBO</t>
  </si>
  <si>
    <t>109012.57</t>
  </si>
  <si>
    <t>01898</t>
  </si>
  <si>
    <t>FARMACIA FARMA SERVICIO LA CANDELARIA EXPRESS C.A</t>
  </si>
  <si>
    <t>J504109614</t>
  </si>
  <si>
    <t>0424-6417254</t>
  </si>
  <si>
    <t>CALLE 92A ESQUINA 3 Y 3A EDIF LA BORINQUEÑA PISO PB LOCAL PB SECTOR SANTA LUCIA MARACAIBO</t>
  </si>
  <si>
    <t>73322.92</t>
  </si>
  <si>
    <t>01899</t>
  </si>
  <si>
    <t>FARMACIA PAEZ GUANARE, CA</t>
  </si>
  <si>
    <t>J314392093</t>
  </si>
  <si>
    <t>0412-5281064</t>
  </si>
  <si>
    <t>AV HILANDERA ENTRE AV. MAISANTA Y LIMONERO CASA NRO 02 URB ANDRES ELOY BLANCO GUANARE PORTUGUESA</t>
  </si>
  <si>
    <t>130592.94</t>
  </si>
  <si>
    <t>01900</t>
  </si>
  <si>
    <t>NEYKARIN DEL CARMEN YENDIS ALVAREZ</t>
  </si>
  <si>
    <t>V21411075</t>
  </si>
  <si>
    <t>LOS CORTIJOS</t>
  </si>
  <si>
    <t>01901</t>
  </si>
  <si>
    <t>DISTUFAR, C.A.</t>
  </si>
  <si>
    <t>J500909896</t>
  </si>
  <si>
    <t>CALLE MIRANDA CRUCE CON CALLE CARREÑO LOCAL SAN ANTONIO NRO 67 SECTOR CENTRO TURMERO ARAGUA</t>
  </si>
  <si>
    <t>461199.82</t>
  </si>
  <si>
    <t>01902</t>
  </si>
  <si>
    <t>FARMACIA SUPER TODO II C.A</t>
  </si>
  <si>
    <t>J400518881</t>
  </si>
  <si>
    <t>AVENIDA CARACAS CRUCE CON CALLE MONAGAS, EDIFICIO MARTINS, PLANTA BAJA, DE LA CIUDAD DE BARCELONA, MUNICIPIO BOLIVAR DEL ESTADO ANZOATEGUI.</t>
  </si>
  <si>
    <t>01903</t>
  </si>
  <si>
    <t>FARMAPAZ LAS COCUIZAS, C.A (SUC 1 TIPURO)</t>
  </si>
  <si>
    <t>62418.78</t>
  </si>
  <si>
    <t>01904</t>
  </si>
  <si>
    <t>FARMAPAZ LAS COCUIZAS, C.A (SUC 2 LA CRUZ)</t>
  </si>
  <si>
    <t>125837.34</t>
  </si>
  <si>
    <t>01905</t>
  </si>
  <si>
    <t>FARMAPAZ LAS COCUIZAS, C.A. (SUC SABANA GRANDE)</t>
  </si>
  <si>
    <t>133148.66</t>
  </si>
  <si>
    <t>01906</t>
  </si>
  <si>
    <t>DISTUFAR SAN PABLO, C.A</t>
  </si>
  <si>
    <t>J506335379</t>
  </si>
  <si>
    <t>AV PRINCIPAL Y FERGUS DE LA CARRETERA NACIONAL TURMERO LA ENCRUCIJADA, MANZANA C CC REGIONAL SAN PABLO NIVEL PLANTA LOCAL 8 URB SAN PABLO TURMERO ARAGUA</t>
  </si>
  <si>
    <t>153772.24</t>
  </si>
  <si>
    <t>01907</t>
  </si>
  <si>
    <t>FARMACIA CUMBRES ANDINAS CA</t>
  </si>
  <si>
    <t>J503205997</t>
  </si>
  <si>
    <t>0424-5508911</t>
  </si>
  <si>
    <t>CALLE PAEZ LOCAL S/N NRO 01 SECTOR EL PUEBLO CALDERAS, ESTADO BARINAS</t>
  </si>
  <si>
    <t>384744.11</t>
  </si>
  <si>
    <t>01908</t>
  </si>
  <si>
    <t>FARMACIA PHARMA VIDA Y SALUD 23 C.A.</t>
  </si>
  <si>
    <t>J503387360</t>
  </si>
  <si>
    <t>0416-8531885</t>
  </si>
  <si>
    <t>CALLE 13 ENTRE AVENIDAS 17 Y 18, EDIFICIO YOLYVAN LOCAL NRO S/N SECTOR LA ERMITA QUIBOR LARA</t>
  </si>
  <si>
    <t>248714.21</t>
  </si>
  <si>
    <t>01909</t>
  </si>
  <si>
    <t>FARMACIA SANTA MARIA, S.R.L.</t>
  </si>
  <si>
    <t>J075476700</t>
  </si>
  <si>
    <t>CENTRAL DE TACARIGUA EDO CAR</t>
  </si>
  <si>
    <t>04142833816</t>
  </si>
  <si>
    <t>8639</t>
  </si>
  <si>
    <t>CENTRAL DE TACARIGUA</t>
  </si>
  <si>
    <t>AV. BOLIVAR LOCAL  NRO 40 SECTOR CENTRAL TACARIGUA, CENTRAL TACARIGUA, ESTADO CARABOBO</t>
  </si>
  <si>
    <t>676007.37</t>
  </si>
  <si>
    <t>01910</t>
  </si>
  <si>
    <t>FARMACIA SEBAOT SEÑOR DE LOS EJERCITOS C.A</t>
  </si>
  <si>
    <t>J404912118</t>
  </si>
  <si>
    <t>0414-4116007</t>
  </si>
  <si>
    <t>CALLE D, NRO 88-75 LOCAL NRO 2 URB LA QUIZANDA VALENCIA CARABOBO</t>
  </si>
  <si>
    <t>11918.06</t>
  </si>
  <si>
    <t>01911</t>
  </si>
  <si>
    <t>FARMACIA 360 LA FRIA CA</t>
  </si>
  <si>
    <t>J504757705</t>
  </si>
  <si>
    <t>LA FRIA - TACHIRA</t>
  </si>
  <si>
    <t>0424-7033690</t>
  </si>
  <si>
    <t>8721</t>
  </si>
  <si>
    <t>CALLE 2 ENTRE CARRERAS 7 Y 8  LOCAL NRO 7-50 SECTOR CASCO CENTRAL LA FRIA. ESTADO TACHIRA</t>
  </si>
  <si>
    <t>278353.68</t>
  </si>
  <si>
    <t>01912</t>
  </si>
  <si>
    <t>FARMACIA MI FARMA C.A</t>
  </si>
  <si>
    <t>J500246790</t>
  </si>
  <si>
    <t>0412-1626089</t>
  </si>
  <si>
    <t>AV JACINTO LARA ENTRE CALLE LIBERTAD Y CALLE FALCON LOCAL NRO 3. SECTOR CENTRO . PUNTO FIJO. FALCON</t>
  </si>
  <si>
    <t>2932257.57</t>
  </si>
  <si>
    <t>01913</t>
  </si>
  <si>
    <t>FARMACIA MY SAGRADA FAMILIA, C.A</t>
  </si>
  <si>
    <t>J502885170</t>
  </si>
  <si>
    <t>AV URSULA HERNANDEZ C.C CALLE 3 CASA NRO S.N BARRIO SAN JOSE V DE LOS CHORRRITOS, TOCUYITO. MUNICIPIO LIBERTADOR ESTADO CARABOBO.</t>
  </si>
  <si>
    <t>599448.68</t>
  </si>
  <si>
    <t>01914</t>
  </si>
  <si>
    <t>FARMACIA SANTA ROSA LARA C.A</t>
  </si>
  <si>
    <t>J500056109</t>
  </si>
  <si>
    <t>0414-1575503</t>
  </si>
  <si>
    <t>CARRERA 2 PROLONGACION AVENIDA LOS LEONES  Y CALLE 11  LOCAL NRO 11-60-8 ZONA ESTE BARQUISIMETO ESTADO LARA</t>
  </si>
  <si>
    <t>01915</t>
  </si>
  <si>
    <t>FARMAROMAN.C.A.</t>
  </si>
  <si>
    <t>J501692718</t>
  </si>
  <si>
    <t>0424-8398430</t>
  </si>
  <si>
    <t>CALLE BELLA VISTA CRUCE CON VIA PRINCIPAL LEONARDITO MARCANO LOCAL NRO S/N LOCAL COMERCIAL, SECTOR PEDREGALES, JUAN GRIEGO NUEVA ESPARTA</t>
  </si>
  <si>
    <t>2269.34</t>
  </si>
  <si>
    <t>01916</t>
  </si>
  <si>
    <t>FARMACIA MI FARMA P.F. II C.A.  "SUCURSAL"</t>
  </si>
  <si>
    <t>FARMACIA MI FARMA P.F. II C.A.</t>
  </si>
  <si>
    <t>J502081739</t>
  </si>
  <si>
    <t>0412-51405784</t>
  </si>
  <si>
    <t>AV RAFAEL GONZALEZ, ESQUINA CALLE EL PARAISO LOCAL NRO (A) URB SANTA IRENE PUNTO FIJO FALCON</t>
  </si>
  <si>
    <t>2343642.91</t>
  </si>
  <si>
    <t>01917</t>
  </si>
  <si>
    <t>FARMACIA VIRGEN DE LOURDES C.A.</t>
  </si>
  <si>
    <t>J306477179</t>
  </si>
  <si>
    <t>+58 424-8384311</t>
  </si>
  <si>
    <t>CALLE MANEIRO C/CALLE LIBERTAD LOCAL NRO 22 CONJUNTO RESIDENCIAL CENTRO PUERTO LA CRUZ ANZOATEGUI</t>
  </si>
  <si>
    <t>4.01</t>
  </si>
  <si>
    <t>01918</t>
  </si>
  <si>
    <t>FARMACIA AHORRO SALUD C A</t>
  </si>
  <si>
    <t>J312305525</t>
  </si>
  <si>
    <t>+58 424-8110079</t>
  </si>
  <si>
    <t>CALLE BOLIVAR LOCAL NRO 4-2 SECTOR CENTRO BARCELONA ANZOATEGUI</t>
  </si>
  <si>
    <t>19761.95</t>
  </si>
  <si>
    <t>01919</t>
  </si>
  <si>
    <t>FARMACIA GUAFARMA, C.A.</t>
  </si>
  <si>
    <t>J500564147</t>
  </si>
  <si>
    <t>0414-9714805</t>
  </si>
  <si>
    <t>CTRA VIA LA HOYADA LOCAL NRO S/N SECTOR LAS MARIAS GUANARITO PORTUGUESA</t>
  </si>
  <si>
    <t>01920</t>
  </si>
  <si>
    <t>YDELFONSO ANTONIO LINAREZ TOCHEZ "EXPENDIO DE MEDICINA SAN JOSE EL BAUL"</t>
  </si>
  <si>
    <t>V095304563</t>
  </si>
  <si>
    <t>EL BAUL - COJEDES</t>
  </si>
  <si>
    <t>0412-4092310</t>
  </si>
  <si>
    <t>8722</t>
  </si>
  <si>
    <t>CALLE MIRANDA LOCAL SANSOSENRO 1 SECTOR CENTRO EL BAUL COJEDES</t>
  </si>
  <si>
    <t>803326.19</t>
  </si>
  <si>
    <t>01921</t>
  </si>
  <si>
    <t>FARMACIA B&amp;S, C.A</t>
  </si>
  <si>
    <t>J500485506</t>
  </si>
  <si>
    <t>0414 7169556</t>
  </si>
  <si>
    <t>8592</t>
  </si>
  <si>
    <t>AV 3 INDEPENDENCIA, ENTRE CALLES 31 Y 32, NUMERO 31 Y 33 EDIF SALVAL PISO P/B LOCAL A SECTOR EL LLANO MERIDA MÉRIDA</t>
  </si>
  <si>
    <t>352245.96</t>
  </si>
  <si>
    <t>0424-5420118</t>
  </si>
  <si>
    <t>AV 23 DE ENERO EDIF LOS CHAGUARAMOS PISO PB LOCAL 3 SECTOR LA FLORESTA BARINAS</t>
  </si>
  <si>
    <t>0424-5549433</t>
  </si>
  <si>
    <t>CALLE S/N CASA 13-20, URBANIZACION CAMPO LA MESA. .Estado Barinas.</t>
  </si>
  <si>
    <t>01924</t>
  </si>
  <si>
    <t>ANGELA GERALDINE CABRERA GUERRERO</t>
  </si>
  <si>
    <t>V19421546</t>
  </si>
  <si>
    <t>11217.57</t>
  </si>
  <si>
    <t>01925</t>
  </si>
  <si>
    <t>FARMACIA FARMA R&amp;L C.A.</t>
  </si>
  <si>
    <t>J501308527</t>
  </si>
  <si>
    <t>AV PRINCIPAL CASA NRO S/N NRO 110 URB COLINAS DE GIRARDOT III NAGUANAGUA CARABOBO</t>
  </si>
  <si>
    <t>01926</t>
  </si>
  <si>
    <t>FARMACIAS MIS PALMAS, C.A.</t>
  </si>
  <si>
    <t>J298749997</t>
  </si>
  <si>
    <t>0412-9671122</t>
  </si>
  <si>
    <t>AV ARANZAZU CC LAS PALMAS NIVEL P/B LOCAL 14 SECTOR BARRIO RUIZ PINEDA II VALENCIA CARABOBO</t>
  </si>
  <si>
    <t>134595.99</t>
  </si>
  <si>
    <t>01927</t>
  </si>
  <si>
    <t>FARMACIA GALA V AV BOLIVAR, CA</t>
  </si>
  <si>
    <t>J500478283</t>
  </si>
  <si>
    <t>0412-4092065</t>
  </si>
  <si>
    <t>CALLE ARVELO LOCAL NRO 6-B SECTOR CASCO CENTRAL, TOCUYITO, CARABOBO</t>
  </si>
  <si>
    <t>262762.32</t>
  </si>
  <si>
    <t>01928</t>
  </si>
  <si>
    <t>FARMACIA FARMALIDER II C.A.</t>
  </si>
  <si>
    <t>J500181396</t>
  </si>
  <si>
    <t>0412-1318520</t>
  </si>
  <si>
    <t>CALLE ANDRES ELOY BLANCO LOCAL NRO 70-30 SECTOR BELLO MONTE, VALLE FRESCO (ASENTAMIENTO CAMPESINO) CARABOBO</t>
  </si>
  <si>
    <t>305152.03</t>
  </si>
  <si>
    <t>01929</t>
  </si>
  <si>
    <t>FARMASISTIR1, C.A</t>
  </si>
  <si>
    <t>J506525194</t>
  </si>
  <si>
    <t>0424-8963578</t>
  </si>
  <si>
    <t>CALLE SAN JUAN LOCAL CASA 41-38 NRO 01 URB LA CAROLINA. BARINAS</t>
  </si>
  <si>
    <t>29632.50</t>
  </si>
  <si>
    <t>01930</t>
  </si>
  <si>
    <t>DROGFARMA A BUEN PRECIO, C.A</t>
  </si>
  <si>
    <t>J502442936</t>
  </si>
  <si>
    <t>0424-5517276</t>
  </si>
  <si>
    <t>CALLE No 02 LOCAL NRO S/N BARRIO NUEVO LA CARAMUCA LA CARAMUCA BARINAS BARINAS</t>
  </si>
  <si>
    <t>01931</t>
  </si>
  <si>
    <t>FARMACIA FARMALIDER, C.A.</t>
  </si>
  <si>
    <t>J299039829</t>
  </si>
  <si>
    <t>AV. VARGAS CC PRIMERA CALLE NIVEL P/B LOCAL 2 Y 3 SECTOR LA LIBERTAD GUACARA. CARABOBO</t>
  </si>
  <si>
    <t>75977.59</t>
  </si>
  <si>
    <t>01932</t>
  </si>
  <si>
    <t>FARMACIA IMPORTPLAZA C.A</t>
  </si>
  <si>
    <t>J505178067</t>
  </si>
  <si>
    <t>AV ROMULO GALLEGOS LOCAL NRO 109-A SECTOR CRUZ DE LEGUA VALENCIA CARABOBO</t>
  </si>
  <si>
    <t>120158.36</t>
  </si>
  <si>
    <t>0414-8984549</t>
  </si>
  <si>
    <t>01934</t>
  </si>
  <si>
    <t>VISION FARMA, C.A.</t>
  </si>
  <si>
    <t>J501321922</t>
  </si>
  <si>
    <t>CALLE 100 AV. VALENCIA - GUIGUE LOCAL GALPON NRO 119 SECTOR CASCO FLOR AMARILLO, LOCAL COMERCIAL Nº 1 VALENCIA. CARABOBO.</t>
  </si>
  <si>
    <t>344236.40</t>
  </si>
  <si>
    <t>01935</t>
  </si>
  <si>
    <t>VISION FARMA CENTRO, C.A.</t>
  </si>
  <si>
    <t>J502911367</t>
  </si>
  <si>
    <t>AV BOLIVAR DE FLOR AMARILLO ENTRE CALLE COROMOTO Y CALLE PLAZA PB LOCAL 2 CASCO CENTRAL VALENCIA ESTADO CARABOBO.</t>
  </si>
  <si>
    <t>233545.20</t>
  </si>
  <si>
    <t>01936</t>
  </si>
  <si>
    <t>JOSE JAVIER CADENAS NIETO "CADENAS FARMACIA LAS REBAJAS, F.P"</t>
  </si>
  <si>
    <t>V132113250</t>
  </si>
  <si>
    <t>58 412-1643530</t>
  </si>
  <si>
    <t>CR 15 ESQUINA DE LA CALLE 12 CASA S/N BARRIO EL COROZAL SOCOPO BARINAS</t>
  </si>
  <si>
    <t>316387.61</t>
  </si>
  <si>
    <t>01937</t>
  </si>
  <si>
    <t>FARMACIA GALA I, C.A.</t>
  </si>
  <si>
    <t>J401537995</t>
  </si>
  <si>
    <t>CTRA VIGIRIMA-YAGUA LOCAL EL TOCO NRO 1-A SECTOR EL TOCO GUACARA CARABOBO</t>
  </si>
  <si>
    <t>300241.04</t>
  </si>
  <si>
    <t>01938</t>
  </si>
  <si>
    <t>FARMACIA GALA IX AV. LAS FERIAS, C.A</t>
  </si>
  <si>
    <t>J501576025</t>
  </si>
  <si>
    <t>AV LAS FERIAS 100 LOCAL NRO 1 SECTOR PLAZA DE TOROS VALENCIA CARABOBO</t>
  </si>
  <si>
    <t>274841.86</t>
  </si>
  <si>
    <t>01939</t>
  </si>
  <si>
    <t>FARMACIA MULTIAHORRO CARACAS, C.A.</t>
  </si>
  <si>
    <t>J413250918</t>
  </si>
  <si>
    <t>0424-2189543</t>
  </si>
  <si>
    <t>05</t>
  </si>
  <si>
    <t>WILFREDO CABRERA</t>
  </si>
  <si>
    <t>CALLE ARTURO USLAR PIETRI EDIF STAR PISO PB LOCAL N 3 Y 4 URB CHACAO, CARACAS, MIRANDA</t>
  </si>
  <si>
    <t>7063.42</t>
  </si>
  <si>
    <t>01940</t>
  </si>
  <si>
    <t>FARMALYDO ACARIGUA, C.A.</t>
  </si>
  <si>
    <t>J501516758</t>
  </si>
  <si>
    <t>0416-2002292</t>
  </si>
  <si>
    <t>AV LIBERTADOR CON AV. 13 DE JUNIO EDIF LAS LAGRIMAS PISO 1 LOCAL 1 SECTOR CENTRO ACARIGUA</t>
  </si>
  <si>
    <t>437434.00</t>
  </si>
  <si>
    <t>01941</t>
  </si>
  <si>
    <t>TU FARMACIA 78, C.A</t>
  </si>
  <si>
    <t>J401083030</t>
  </si>
  <si>
    <t>04241753850 /</t>
  </si>
  <si>
    <t>AV. SUCRE ENTRE AV. CRUZ PAREDES Y CALLE MERIDA EDIF SAN PEDRO PISO PB LOCAL 2 SECTOR CENTRO BARINAS BARINAS</t>
  </si>
  <si>
    <t>175786.67</t>
  </si>
  <si>
    <t>01942</t>
  </si>
  <si>
    <t>FARMACIA INVERSIONES FARMACOR C.A</t>
  </si>
  <si>
    <t>J500295820</t>
  </si>
  <si>
    <t>04244744792</t>
  </si>
  <si>
    <t>CALLE 8 DE DICIEMBRE ENTRE AV EZEQUIEL ZAMORA Y PAEZ CASA S/N SECTOR CENTRO ARISMENDI BARINAS</t>
  </si>
  <si>
    <t>1092179.21</t>
  </si>
  <si>
    <t>01943</t>
  </si>
  <si>
    <t>FARMACIA SAN RAFAEL C.A. (PORTUGUESA)</t>
  </si>
  <si>
    <t>J306175520</t>
  </si>
  <si>
    <t>+58 412-5169755</t>
  </si>
  <si>
    <t>CALLE 4 LOCAL NRO 2 URB JOSE ANTONIO PAEZ GUANARE PORTUGUESA</t>
  </si>
  <si>
    <t>411549.45</t>
  </si>
  <si>
    <t>01944</t>
  </si>
  <si>
    <t>FARMACIA CONTRERAS BRICEÑO 2 CA</t>
  </si>
  <si>
    <t>J501446148</t>
  </si>
  <si>
    <t>CR 5 CON CALLE 1 Y CALLE 3 EDIF RASAIS PISO P/B LOCAL 01 SECTOR BARRIO COROMOTO GUANARE PORTUGUESA.</t>
  </si>
  <si>
    <t>18238.89</t>
  </si>
  <si>
    <t>0243-2462020</t>
  </si>
  <si>
    <t>CALLE MARIÑO SUR EDIF. RESIDENCIAS SAN MIGUEL PISO PB LOCAL 76-A URB. SAN MIGUEL, MARACAY EDO.ARAGUA</t>
  </si>
  <si>
    <t>01948</t>
  </si>
  <si>
    <t>FARMACIA PARQUE CRISTAL ME C A</t>
  </si>
  <si>
    <t>J302781914</t>
  </si>
  <si>
    <t>0212-285-41-92</t>
  </si>
  <si>
    <t>AV FRANCISCO DE MIRANDA EDIF PARQUE CRISTAL PISO II LOCAL LCC-12 Y LCC-13 URB LOS PALOS GRANDES CARACAS (CHACAO) MIRANDA</t>
  </si>
  <si>
    <t>01949</t>
  </si>
  <si>
    <t>FARMA PUKY C.A.</t>
  </si>
  <si>
    <t>J501211515</t>
  </si>
  <si>
    <t>0414-4189173</t>
  </si>
  <si>
    <t>CALLE COLOMBIA EDIF CORP BANCA PISO PB LOCAL 2 SECTOR CENTRO VALENCIA CARABOBO</t>
  </si>
  <si>
    <t>2965.18</t>
  </si>
  <si>
    <t>SAN FELIPE - YARACUY</t>
  </si>
  <si>
    <t>04128303347</t>
  </si>
  <si>
    <t>8723</t>
  </si>
  <si>
    <t>AV LA PAZ ENTRE AV CARABOBO Y AV NORTE 1 LOCAL NRO S/N URB NORTE 1 SAN FELIPE. YARACUY</t>
  </si>
  <si>
    <t>01951</t>
  </si>
  <si>
    <t>FARMACIA ECONOMICA PERU, C.A</t>
  </si>
  <si>
    <t>J506440130</t>
  </si>
  <si>
    <t>CALLE PRINCIPAL C/C CEREDA 40 LOCAL NRO 01 URB EL PERU SECTOR II PARROQUIA AGUA SALADA MUNICIPIO ANGOSTURA DEL ORINOCO CIUDAD BOLIVAR BOLIVAR</t>
  </si>
  <si>
    <t>25056.13</t>
  </si>
  <si>
    <t>01952</t>
  </si>
  <si>
    <t>RAIBELYS PAOLA NOGUERA CORDERO</t>
  </si>
  <si>
    <t>31/08/2025</t>
  </si>
  <si>
    <t>V30317093</t>
  </si>
  <si>
    <t>0412-8633533</t>
  </si>
  <si>
    <t>2619.28</t>
  </si>
  <si>
    <t>CALLE PRINCIPAL  LOCAL NRO 1 SECTOR SAETAL TUCUPIDO, GUARICO</t>
  </si>
  <si>
    <t>01954</t>
  </si>
  <si>
    <t>FARMACIA FARMAVAL 2021 C.A</t>
  </si>
  <si>
    <t>J501032220</t>
  </si>
  <si>
    <t>04127296193 /</t>
  </si>
  <si>
    <t>AV. INTERCOMUNAL CABUDARE - LA PIEDAD. URB EL BOSQUE, LOCAL NRO 01, LOS RASTROJOS, ESTADO LARA, MUNICIPIO PALAVECINO. CABUDARE</t>
  </si>
  <si>
    <t>28680.00</t>
  </si>
  <si>
    <t>01955</t>
  </si>
  <si>
    <t>FARMACIA JEHOVA NISSI</t>
  </si>
  <si>
    <t>V19428860</t>
  </si>
  <si>
    <t>+573229046724</t>
  </si>
  <si>
    <t>ENTRADA DEL AEROPUERTO A 100 METROS DE LA GRAN MANZANA EL DORADO BOLIVAR</t>
  </si>
  <si>
    <t>109046.57</t>
  </si>
  <si>
    <t>01956</t>
  </si>
  <si>
    <t>FARMACIA VIRGEN DE LOURDES III MR. C.A</t>
  </si>
  <si>
    <t>J503073802</t>
  </si>
  <si>
    <t>AV CARACAS CC VIDEMAR NIVEL PB LOCAL 2 SECTOR CASCO CENTRAL BARCELONA ANZOATEGUI</t>
  </si>
  <si>
    <t>238299.23</t>
  </si>
  <si>
    <t>01957</t>
  </si>
  <si>
    <t>FARMACIA LA ESTACION 888, C.A (COROPO)</t>
  </si>
  <si>
    <t>FARMACIA LA ESTACION 888, C.A</t>
  </si>
  <si>
    <t>J505461893</t>
  </si>
  <si>
    <t>+58 424-3277548</t>
  </si>
  <si>
    <t>AVENIDA COROPO ENTRE CALLE 3 DE COROPO Y CALLE PPAL LOCAL 08, CONJUNTO RESIDENCIAL LOS LIRIOS SANTA RITA. MARACAY ESTADO ARAGUA</t>
  </si>
  <si>
    <t>230421.98</t>
  </si>
  <si>
    <t>01958</t>
  </si>
  <si>
    <t>FARMACIA LOS CANALES, C.A</t>
  </si>
  <si>
    <t>J080274679</t>
  </si>
  <si>
    <t>+58 424-8478956</t>
  </si>
  <si>
    <t>CALLE MARIÑO CC EL PEÑON DEL FARO NIVEL PB LOCAL E1, E2, E3 URB EL PEÑONAL LECHERIAS ANZOATEGUI</t>
  </si>
  <si>
    <t>0.01</t>
  </si>
  <si>
    <t>01959</t>
  </si>
  <si>
    <t>FARMACIA BARI-LISBOA C.A</t>
  </si>
  <si>
    <t>J505516728</t>
  </si>
  <si>
    <t>412-1416450</t>
  </si>
  <si>
    <t>AV. CARABOBO CON CALLE 2 Y 3 COLCAL NRO S/N  URB COROMOTO BARINAS. BARINAS</t>
  </si>
  <si>
    <t>870264.21</t>
  </si>
  <si>
    <t>01960</t>
  </si>
  <si>
    <t>FARMACIA AMIGA COSMETIC</t>
  </si>
  <si>
    <t>V23058395</t>
  </si>
  <si>
    <t>0416-4098571</t>
  </si>
  <si>
    <t>CALLE BOLIVAR A 20 METROS DE LA ESCUELA YURUARI CC LA LOGIA LOCAL 5</t>
  </si>
  <si>
    <t>6263.67</t>
  </si>
  <si>
    <t>01961</t>
  </si>
  <si>
    <t>FARMAVIT18, C.A.</t>
  </si>
  <si>
    <t>J502914200</t>
  </si>
  <si>
    <t>0412-6823436</t>
  </si>
  <si>
    <t>FISCAL AV SANTA ROSA ENTRE CALLEJON AMPIES Y CALLE EL TENIS LOCAL NRO 02 SECTOR HOSPITAL SANTA ANA DE CORO FALCON</t>
  </si>
  <si>
    <t>450912.33</t>
  </si>
  <si>
    <t>01962</t>
  </si>
  <si>
    <t>FARMACIA SAN GREGORIO, C.A</t>
  </si>
  <si>
    <t>J412237110</t>
  </si>
  <si>
    <t>0414-5091551</t>
  </si>
  <si>
    <t>AV. LIBERTADOR ESQUINA CALLE 2 LOCAL S/N SECTOR CENTRO SABANETA. BARINAS</t>
  </si>
  <si>
    <t>01963</t>
  </si>
  <si>
    <t>FARMAVISTA C.A</t>
  </si>
  <si>
    <t>J503165456</t>
  </si>
  <si>
    <t>04129648564</t>
  </si>
  <si>
    <t>CALLE CAJIGAL LOCAL NRO 03-23 SECTOR AGUIRRE CAGUA  ARAGUA</t>
  </si>
  <si>
    <t>539958.44</t>
  </si>
  <si>
    <t>01964</t>
  </si>
  <si>
    <t>FARMACENTRO NH, C.A</t>
  </si>
  <si>
    <t>J500989253</t>
  </si>
  <si>
    <t>0424-5634953</t>
  </si>
  <si>
    <t>CALLE ARISMENDI ENTRE AV SUCRE Y BRICEÑO MENDEZ CASA NRO 8-20 LOCAL NRO A-3 SECTOR CENTRO BARINAS</t>
  </si>
  <si>
    <t>0414 151 8972 /</t>
  </si>
  <si>
    <t>CALLE BERMUDEZ CC CORATO NIVEL PB LOCAL 2 SECTOR CENTRO TURMERO ARAGUA</t>
  </si>
  <si>
    <t>01966</t>
  </si>
  <si>
    <t>FARMACIA FARMA BLUE BF, C.A</t>
  </si>
  <si>
    <t>J506508770</t>
  </si>
  <si>
    <t>0412 4134068</t>
  </si>
  <si>
    <t>AV 113, NUMERO 27 LOCAL NRO - URB PARQUE RESIDENCIAL LA FLORIDA VALENCIA CARABOBO</t>
  </si>
  <si>
    <t>484448.79</t>
  </si>
  <si>
    <t>01967</t>
  </si>
  <si>
    <t>SURTI FARMACIA PRINCIPAL C.A.</t>
  </si>
  <si>
    <t>J312573201</t>
  </si>
  <si>
    <t>0414-7801496</t>
  </si>
  <si>
    <t>CALLE JUNCAL CRUCE CON MARIÑO EDIF. DON FAIETA PICO PB LOCAL 1-A SECTOR CENTRO CARUPANO. SUCRE</t>
  </si>
  <si>
    <t>55489.95</t>
  </si>
  <si>
    <t>01968</t>
  </si>
  <si>
    <t>SURTI FARMACIA SUNIAGA, C.A.</t>
  </si>
  <si>
    <t>J310353220</t>
  </si>
  <si>
    <t>04147804777</t>
  </si>
  <si>
    <t>CALLE JUNCAL EDIF. YOLI CRUZ PISO PB LOCAL A, SECTOR CENTRO, CARUPANO, SUCRE</t>
  </si>
  <si>
    <t>52270.92</t>
  </si>
  <si>
    <t>01969</t>
  </si>
  <si>
    <t>FARMACIA FARMAREAL 1, C.A</t>
  </si>
  <si>
    <t>J502394370</t>
  </si>
  <si>
    <t>414-8615093</t>
  </si>
  <si>
    <t>CALLE MIRANDA LOCAL NRO 56-1 SECTOR CASCO CENTRAL UPATA BOLIVAR</t>
  </si>
  <si>
    <t>172482.00</t>
  </si>
  <si>
    <t>04124328810 / 04143338673</t>
  </si>
  <si>
    <t>AV BOLIVAR EDIF IBRISH PISO PB LOCAL 01 SECTOR CENTRO SAN JUAN DE LOS MORROS. GUARICO</t>
  </si>
  <si>
    <t>01971</t>
  </si>
  <si>
    <t>FARMACIA COTOPERI C.A.</t>
  </si>
  <si>
    <t>J501187800</t>
  </si>
  <si>
    <t>0424-8268126</t>
  </si>
  <si>
    <t>AV. 91 CC COTOPERI NIVEL PLANTA BAJA LOCAL 3 SECTOR LA TRIGALEÑA. VALENCIA. CARABOBO</t>
  </si>
  <si>
    <t>01972</t>
  </si>
  <si>
    <t>FARMACIA LA VITAL C.A</t>
  </si>
  <si>
    <t>J501897409</t>
  </si>
  <si>
    <t>0424-3260035 / 0424-3623741</t>
  </si>
  <si>
    <t>AV  GRAN MARISCAL  C.C  CAHIUA NIVEL PB LOCAL NRO 31 SECTOR CAGUA.ARAGUA</t>
  </si>
  <si>
    <t>339888.79</t>
  </si>
  <si>
    <t>01973</t>
  </si>
  <si>
    <t>EXPENDIO DE MEDICINA EDSA C.A</t>
  </si>
  <si>
    <t>J501655707</t>
  </si>
  <si>
    <t>SAN CARLOS COJEDES</t>
  </si>
  <si>
    <t>0424-4198458</t>
  </si>
  <si>
    <t>AV LAS GARZAS CASA NRO I16 URB SAN RAMON, SECTOR I SAN CARLOS COJEDES</t>
  </si>
  <si>
    <t>57945.44</t>
  </si>
  <si>
    <t>PUERTO CUMAREBO - FALCON</t>
  </si>
  <si>
    <t>04125393404</t>
  </si>
  <si>
    <t>8724</t>
  </si>
  <si>
    <t>CALLE ZAVARSE, EDIFICIO HOTEL DON BETO, PISO 01,APT 0540, PUERTO CUMAREBO MUNICIPIO ZAMORA, ESTADO FALCON .</t>
  </si>
  <si>
    <t>01975</t>
  </si>
  <si>
    <t>(MATRIZ) PROSALUD, C.A</t>
  </si>
  <si>
    <t>01976</t>
  </si>
  <si>
    <t>PROSALUD, C.A (SUCURSAL)</t>
  </si>
  <si>
    <t>04242354044</t>
  </si>
  <si>
    <t>AV PRINCIPAL LUIS RAZETTI CASA NRO 56 LOCALES NROS 56-B Y / 56-C BARRIO EL ASFALTO SECTOR EL SAMAN BARCELONA ANZOATEGUI</t>
  </si>
  <si>
    <t>236053.95</t>
  </si>
  <si>
    <t>01977</t>
  </si>
  <si>
    <t>FARMACIA FARMARIO 2024, C.A.</t>
  </si>
  <si>
    <t>J505458566</t>
  </si>
  <si>
    <t>04241315032 /</t>
  </si>
  <si>
    <t>AV 1 EDIF RIO PISO PB LOCAL PB URB VISTA ALEGRE CARACAS DISTRITO CAPITAL</t>
  </si>
  <si>
    <t>01978</t>
  </si>
  <si>
    <t>LABORATORIOS FELIRNI, C.A</t>
  </si>
  <si>
    <t>J503541067</t>
  </si>
  <si>
    <t>PETARE</t>
  </si>
  <si>
    <t>8611</t>
  </si>
  <si>
    <t>AV SANATORIO DEL AVILA EDIF CIUDAD CENTER PISO 8 OF 815E TORRE E URB BOLEITA NORTE CARACAS (PETARE) MIRANDA</t>
  </si>
  <si>
    <t>01980</t>
  </si>
  <si>
    <t>FARMACIAS DASA C.A</t>
  </si>
  <si>
    <t>J503716541</t>
  </si>
  <si>
    <t>04125618838</t>
  </si>
  <si>
    <t>8764</t>
  </si>
  <si>
    <t>URACHICHE - YARACUY</t>
  </si>
  <si>
    <t>CALLE PRINCIPAL EL ESFUERZO LOCAL NRO 01 SECTOR EL PORVENIR URACHICHE YARACUY</t>
  </si>
  <si>
    <t>147207.62</t>
  </si>
  <si>
    <t>01981</t>
  </si>
  <si>
    <t>CARLOS EDUARDO MARFFISIS BASTARDO</t>
  </si>
  <si>
    <t>V24124929</t>
  </si>
  <si>
    <t>19530.61</t>
  </si>
  <si>
    <t>01982</t>
  </si>
  <si>
    <t>FARMACIA GANPERZ C.A</t>
  </si>
  <si>
    <t>J500718012</t>
  </si>
  <si>
    <t>0424-7371265</t>
  </si>
  <si>
    <t>8748</t>
  </si>
  <si>
    <t>SEBORUCO - TACHIRA</t>
  </si>
  <si>
    <t>CTRA ALDEA SANTA FILOMENA. CASA NRO S/N. SECTOR EL GUAMITO. SEBORUCO. TACHIRA</t>
  </si>
  <si>
    <t>324739.23</t>
  </si>
  <si>
    <t>01983</t>
  </si>
  <si>
    <t>EDICTA DEL CARMEN ARAQUE DURAN "ARAQUE INSUMOS MEDICOS F.P."</t>
  </si>
  <si>
    <t>V147244785</t>
  </si>
  <si>
    <t>0414-7088273</t>
  </si>
  <si>
    <t>CALLE 1 CASA  S/N  SECTOR 5 DE JULIO PEDRAZA LA VIEJA . BARINAS</t>
  </si>
  <si>
    <t>01984</t>
  </si>
  <si>
    <t>FARMACIA EL GRAN PODER C.A.</t>
  </si>
  <si>
    <t>J297264590</t>
  </si>
  <si>
    <t>0414-5693247</t>
  </si>
  <si>
    <t>AV 4 ENTRE CALLES 19 Y 20 LOCAL S/N SECTOR QUENIQUEA. CIUDAD BOLIVIA. BARINAS</t>
  </si>
  <si>
    <t>207063.55</t>
  </si>
  <si>
    <t>01985</t>
  </si>
  <si>
    <t>RAFAEL DAVID ROMERO RIVAS "FARMA LIDER SR, F.P."</t>
  </si>
  <si>
    <t>V242369277</t>
  </si>
  <si>
    <t>04142113479 / 04144672367</t>
  </si>
  <si>
    <t>CALLE MIRANDA CON CALLE MUCURITAS CASA NRO SN CONJUNTO RESIDENCIAL CASCO CENTRAL I CAMAGUAN GUARICO</t>
  </si>
  <si>
    <t>96212.04</t>
  </si>
  <si>
    <t>FARMACIA LA CEIBA, C.A.</t>
  </si>
  <si>
    <t>J085092080</t>
  </si>
  <si>
    <t>0412-5978862</t>
  </si>
  <si>
    <t>AV VIA DUACA KILOMETRO 10 LOCAL NRO S/N SECTOR EL CUJI BARQUISIMETO LARA</t>
  </si>
  <si>
    <t>01987</t>
  </si>
  <si>
    <t>MULTIFARMACIA MIRANDA C.A.</t>
  </si>
  <si>
    <t>J308905780</t>
  </si>
  <si>
    <t>0412-8767778</t>
  </si>
  <si>
    <t>CALLE LIBERTAD EDIF SAN ONOFRE PISO PB LOCAL 02 SECTOR PARQUE MIRANDA CARUPANO. SUCRE</t>
  </si>
  <si>
    <t>01988</t>
  </si>
  <si>
    <t>FARMACIA LA ORQUIDEA C.A.</t>
  </si>
  <si>
    <t>J316806472</t>
  </si>
  <si>
    <t>AV 28 CON CALLE 31 C.C CC LOS LLANOS NIVEL PB LOCAL PB01 Y PB02 SECTOR CENTRO ACARIGUA. PORTUGUESA</t>
  </si>
  <si>
    <t>1539153.55</t>
  </si>
  <si>
    <t>01989</t>
  </si>
  <si>
    <t>FARMACIA BARRIO UNION C.A</t>
  </si>
  <si>
    <t>J500960786</t>
  </si>
  <si>
    <t>BARRIO UNION - BARQUISIMETO</t>
  </si>
  <si>
    <t>8727</t>
  </si>
  <si>
    <t>BARRIO UNION - LARA</t>
  </si>
  <si>
    <t>CARRERA 3 ENTRE CALLES 4 Y 5 CASA NRO 4-71. BARRIO UNION BARQUISIMETO. LARA</t>
  </si>
  <si>
    <t>2225010.67</t>
  </si>
  <si>
    <t>01990</t>
  </si>
  <si>
    <t>FARMACIA SAN IGNACIO LA 25 F.T, C.A</t>
  </si>
  <si>
    <t>J503873833</t>
  </si>
  <si>
    <t>AV VENEZUELA CON CALLE 25 LOCAL NRO S/N ZONA CENTRO BARQUISIMETO LARA</t>
  </si>
  <si>
    <t>846990.03</t>
  </si>
  <si>
    <t>01991</t>
  </si>
  <si>
    <t>MORA FARMACIA SAN ROMAN C.A</t>
  </si>
  <si>
    <t>J504102199</t>
  </si>
  <si>
    <t>04125183434</t>
  </si>
  <si>
    <t>CTRA TRONCAL 5 DESPUES DE LA ALCABALA POLICIAL CASA NRO S/N SECTOR SAN JOSE CAPITANEJO. BARINAS</t>
  </si>
  <si>
    <t>910182.47</t>
  </si>
  <si>
    <t>01992</t>
  </si>
  <si>
    <t>FARMACIA DR HOUSE, C.A</t>
  </si>
  <si>
    <t>J504878227</t>
  </si>
  <si>
    <t>CALLE PRINCIPAL CASA NRO S/N SECTOR LA FLORIDA BARRANCAS MONAGAS</t>
  </si>
  <si>
    <t>720551.32</t>
  </si>
  <si>
    <t>01993</t>
  </si>
  <si>
    <t>FARMACIA SAN IGNACIO LA 20 C.A</t>
  </si>
  <si>
    <t>J500523068</t>
  </si>
  <si>
    <t>BARQUISIMETO CENTRO</t>
  </si>
  <si>
    <t>AV 20 ENTRE CALLES 40 Y 41 CC CIUDAD CREPUSCULAR NIVEL B LOCAL 10-PB ZONA CENTRO BARQUISIMETO LARA</t>
  </si>
  <si>
    <t>1952770.41</t>
  </si>
  <si>
    <t>01994</t>
  </si>
  <si>
    <t>FARMAIGNACIO EL SISAL, C.A</t>
  </si>
  <si>
    <t>J295020350</t>
  </si>
  <si>
    <t>BARQUISIMETO - OESTE</t>
  </si>
  <si>
    <t>AV FLORENCIO JIMENEZ CC EL SISAL NIVEL PB LOCAL 1 SECTOR OESTE BARQUISIMETO BARQUISIMETO LARA</t>
  </si>
  <si>
    <t>3754439.37</t>
  </si>
  <si>
    <t>01995</t>
  </si>
  <si>
    <t>FARMACIA TEIM, C.A</t>
  </si>
  <si>
    <t>J502434836</t>
  </si>
  <si>
    <t>AV. GUAYANA CON CALLEJON PERIFERICO CASA NRO 08 SECTOR CENTURION PARROQUIA CATEDRAL. MUNICIPIO ANGOSTURA DEL ORINOCO CIUDAD BOLIVAR BOLIVAR</t>
  </si>
  <si>
    <t>348504.65</t>
  </si>
  <si>
    <t>01996</t>
  </si>
  <si>
    <t>FARMACIA MARIÑO CAGUA, C.A.</t>
  </si>
  <si>
    <t>J307690399</t>
  </si>
  <si>
    <t>0414-4572748</t>
  </si>
  <si>
    <t>CALLE MARIÑO LOCAL NRO 102-05 SECTOR CENTRO CAGUA ARAGUA</t>
  </si>
  <si>
    <t>01997</t>
  </si>
  <si>
    <t>FARMACIA LE PHARMACIE, C.A.</t>
  </si>
  <si>
    <t>J404964568</t>
  </si>
  <si>
    <t>0412-8375027</t>
  </si>
  <si>
    <t>CALLE VICTORIA EDIF FRANSUE PISO PB LOCAL 01 URB CENTRO CARUPANO SUCRE</t>
  </si>
  <si>
    <t>18380.23</t>
  </si>
  <si>
    <t>01998</t>
  </si>
  <si>
    <t>FARMACIA DESCUENTO A SU SALUD CA</t>
  </si>
  <si>
    <t>J307480513</t>
  </si>
  <si>
    <t>+58 412-1573019</t>
  </si>
  <si>
    <t>CTRA VIEJA TOCUYITO CC VIRGEN DE COROMOTO NIVEL NIVEL PB LOCAL 2 SECTOR TOCUYITO TOCUYITO CARABOBO</t>
  </si>
  <si>
    <t>01999</t>
  </si>
  <si>
    <t>FARMACIA HIPER AHORROS, C.A (PPAL)</t>
  </si>
  <si>
    <t>FARMACIA HIPER AHORROS, C.A</t>
  </si>
  <si>
    <t>J298699647</t>
  </si>
  <si>
    <t>AVENIDA 5 DE JULIO EDIF DA VINCI P.B, LOCAL C SECTOR CENTRO PUERTO LA CRUZ ANZOATEGUI Estado Anzoategui. Municipio Juan Antonio Sotillo. Parroquia Capital Puer</t>
  </si>
  <si>
    <t>02000</t>
  </si>
  <si>
    <t>FARMACIA MEDIPUERTO VIRGEN DEL VALLE</t>
  </si>
  <si>
    <t>J500774400</t>
  </si>
  <si>
    <t>0424-8853175</t>
  </si>
  <si>
    <t>CALLE ESPERANZA LOCAL NRO 42-A SECTOR CENTRO PUERTO LA CRUZ. ANZOATEGUI</t>
  </si>
  <si>
    <t>31111.04</t>
  </si>
  <si>
    <t>02001</t>
  </si>
  <si>
    <t>DROGUERIA MEDIFARM MGTA, C.A</t>
  </si>
  <si>
    <t>J503433817</t>
  </si>
  <si>
    <t>CALLE MARCANO LOCAL NRO S/N SECTOR JUAN GRIEGO JUAN GRIEGO NUEVA ESPARTA</t>
  </si>
  <si>
    <t>515499.68</t>
  </si>
  <si>
    <t>02002</t>
  </si>
  <si>
    <t>GRAN FARMAVERDE, C.A</t>
  </si>
  <si>
    <t>J506299577</t>
  </si>
  <si>
    <t>PUNTA DE PIEDRAS</t>
  </si>
  <si>
    <t>CALLE COLON LOCAL NRO 1-119 ZONA PUNTA DE PIEDRAS PUNTA DE PIEDRAS NUEVA ESPARTA</t>
  </si>
  <si>
    <t>02003</t>
  </si>
  <si>
    <t>RAFAEL ORLANDO HIDALGO AGUILAR "HIDALGO FARMACIA DANCAR Y ALGO MAS , F.P."</t>
  </si>
  <si>
    <t>V111898380</t>
  </si>
  <si>
    <t>CAÑAVERALES - BARINAS</t>
  </si>
  <si>
    <t>0426-8743992</t>
  </si>
  <si>
    <t>8729</t>
  </si>
  <si>
    <t>CALLE 3 CON AV. SUCRE CASA NRO S/N SECTOR EL LICEO EL REGALO BARINAS</t>
  </si>
  <si>
    <t>159473.21</t>
  </si>
  <si>
    <t>02004</t>
  </si>
  <si>
    <t>FARMACIA Y ORTOPEDIA SANA SANA RINCON C.A</t>
  </si>
  <si>
    <t>J505516469</t>
  </si>
  <si>
    <t>CTRA RINCON SAN DIEGO LOCAL NRO S/N SECTOR PUTUCUAL PUERTO LA CRUZ ANZOATEGUI</t>
  </si>
  <si>
    <t>16189.35</t>
  </si>
  <si>
    <t>02005</t>
  </si>
  <si>
    <t>FARMACIA FUL C.A</t>
  </si>
  <si>
    <t>J310358915</t>
  </si>
  <si>
    <t>SAN PABLO - YARACUY</t>
  </si>
  <si>
    <t>0412-5618838</t>
  </si>
  <si>
    <t>8730</t>
  </si>
  <si>
    <t>AV. 1 ENTRE CALLES 8 Y 9 EDIFICIO AGUA DE PEÑA PISO S/N LOCAL S/N SECTOR CENTRO SAN PABLO. YARACUY</t>
  </si>
  <si>
    <t>137526.34</t>
  </si>
  <si>
    <t>0412-7283695</t>
  </si>
  <si>
    <t>CALLE CEDEÑO LOCAL CAJA DE AHORRO DE LA POLICIA DEL ESTADO NRO 1 SECTOR LA CAROLINA. BARINAS</t>
  </si>
  <si>
    <t>02007</t>
  </si>
  <si>
    <t>FSI BISCUCUY</t>
  </si>
  <si>
    <t>J505500902</t>
  </si>
  <si>
    <t>CR 2 BOLIVAR ESQUINA CON CALLE PAEZ EDIF MUNDO AZUL PISO PB LOCAL SN SECTOR CENTRO BISCUCUY</t>
  </si>
  <si>
    <t>1259252.69</t>
  </si>
  <si>
    <t>02008</t>
  </si>
  <si>
    <t>FARMACIA SAN RAFAEL CA</t>
  </si>
  <si>
    <t>J080087186</t>
  </si>
  <si>
    <t>CALLE BOLIVAR, N 33-1, FRENTE DE PLAZA BOLIVAR. Estado Anzoategui. Municipio Fernando de Peñalver. Parroquia Capital Fernando de Peñalver Puerto Piritu</t>
  </si>
  <si>
    <t>02009</t>
  </si>
  <si>
    <t>FARMACIA DEL VALLE 2021 C.A.</t>
  </si>
  <si>
    <t>J500906390</t>
  </si>
  <si>
    <t>0414-0404053</t>
  </si>
  <si>
    <t>AV BOLIVAR NORTE EDIF PB PISO 130-59 LOCAL 1 URB LOS SAUCES VALENCIA CARABOBO</t>
  </si>
  <si>
    <t>83773.38</t>
  </si>
  <si>
    <t>02010</t>
  </si>
  <si>
    <t>FARMACIA LOS COSPES C,A</t>
  </si>
  <si>
    <t>J085034692</t>
  </si>
  <si>
    <t>0424-5039223</t>
  </si>
  <si>
    <t>CARRERA 6 ESQUINA CALLE 11 LOCAL NRO S/N BARRIO LA ARENOSA. GUANARE PORTUGUESA</t>
  </si>
  <si>
    <t>6773.35</t>
  </si>
  <si>
    <t>02011</t>
  </si>
  <si>
    <t>CENTRO DE ESPECIALIDADES MEDICAS C.A.</t>
  </si>
  <si>
    <t>J080027710</t>
  </si>
  <si>
    <t>04249543861</t>
  </si>
  <si>
    <t>CALLE ANDRES ELOY BLANCO EDIF CEMCA PISO P/B LOCAL P/B SECTOR LAS AVENIDAS MATURIN MONAGAS</t>
  </si>
  <si>
    <t>385237.10</t>
  </si>
  <si>
    <t>02012</t>
  </si>
  <si>
    <t>FARMAGRAN, C.A.</t>
  </si>
  <si>
    <t>J501823880</t>
  </si>
  <si>
    <t>0412-4698523</t>
  </si>
  <si>
    <t>CALLE MONAGAS C/C  CALLE MONSEÑOR SOSA EDIF DON PEPE PISO P/B LOCAL NRO 4 SECTOR CENTRO TINACO - COJEDES</t>
  </si>
  <si>
    <t>119878.09</t>
  </si>
  <si>
    <t>02016</t>
  </si>
  <si>
    <t>FARMA DAILY, C.A</t>
  </si>
  <si>
    <t>J501391319</t>
  </si>
  <si>
    <t>0424-4066879.</t>
  </si>
  <si>
    <t>AV 190 LOCAL NRO 218 URB LA BEGOÑA NAGUANAGUA CARABOBO</t>
  </si>
  <si>
    <t>70783.14</t>
  </si>
  <si>
    <t>02017</t>
  </si>
  <si>
    <t>FARMACIA MERIDA, C.A.</t>
  </si>
  <si>
    <t>J085212876</t>
  </si>
  <si>
    <t>0424-8577492</t>
  </si>
  <si>
    <t>AV 27 ESQUINA CALLE 33, LOCAL 01 BARRIO ANDRES BELLO, PAEZ, ACARIGUA PORTUGUESA</t>
  </si>
  <si>
    <t>14540.10</t>
  </si>
  <si>
    <t>02018</t>
  </si>
  <si>
    <t>FARMACIA LA 50 C.A</t>
  </si>
  <si>
    <t>J306477888</t>
  </si>
  <si>
    <t>CARRETERA 16 ESQUINA CALLE 50 LOCAL NRO 49-94 SECTOR CENTRO DE BARQUISIMETO ESTADO LARA</t>
  </si>
  <si>
    <t>1949247.95</t>
  </si>
  <si>
    <t>02019</t>
  </si>
  <si>
    <t>FARMACIA FATIMA, C.A.</t>
  </si>
  <si>
    <t>J075882563</t>
  </si>
  <si>
    <t>414-4917215</t>
  </si>
  <si>
    <t>CALLE MARIÑO C/C BOLIVAR LOCAL NRO 06-01 ZONA CENTRO CAGUA. ARAGUA</t>
  </si>
  <si>
    <t>79568.67</t>
  </si>
  <si>
    <t>02020</t>
  </si>
  <si>
    <t>FARMA MERCADO, C.A.</t>
  </si>
  <si>
    <t>J304038623</t>
  </si>
  <si>
    <t>EL CERCADO - BARQUISIMETO</t>
  </si>
  <si>
    <t>8731</t>
  </si>
  <si>
    <t>AV PRINCIPAL DEL CERCADO DIAGONAL AL ESTADIO EDIF GOMEZ PISO PB LOCAL 2 SECTOR EL CERCADO BARQUISIMETO LARA</t>
  </si>
  <si>
    <t>1132177.03</t>
  </si>
  <si>
    <t>02021</t>
  </si>
  <si>
    <t>FARMACIA 3S PLUS, C.A.</t>
  </si>
  <si>
    <t>J500701381</t>
  </si>
  <si>
    <t>+58 412-1520640</t>
  </si>
  <si>
    <t>AV 5 DE DICIEMBRE ENTRE CALLES 22 Y AVENIDA LOS CAOBOS CC COLONIAL, C.A. NIVEL PB LOCAL 5B BARRIO LA CANAL ARARURE PORTUGUESA</t>
  </si>
  <si>
    <t>130304.36</t>
  </si>
  <si>
    <t>02023</t>
  </si>
  <si>
    <t>CENTRO CLINICO BLANCA NIEVES C.A</t>
  </si>
  <si>
    <t>J500521944</t>
  </si>
  <si>
    <t>AV PRINCIPAL EL BOLIVAR LOCAL NRO 1 BARRIO LA BATALLA BARQUISIMETO LARA</t>
  </si>
  <si>
    <t>265840.10</t>
  </si>
  <si>
    <t>02024</t>
  </si>
  <si>
    <t>FARMA CLUB, C.A.</t>
  </si>
  <si>
    <t>J310153370</t>
  </si>
  <si>
    <t>0414-4907879 /</t>
  </si>
  <si>
    <t>CALLE RAFAEL LONGORIA CC VICTORIA CENTER NIVEL P-B LOCAL 59 SECTOR CENTRO, LA VICTORIA, EDO. ARAGUA LA VICTORIA ARAGUA</t>
  </si>
  <si>
    <t>21842.41</t>
  </si>
  <si>
    <t>02025</t>
  </si>
  <si>
    <t>FARMACLUB AV.VICTORIA C.A</t>
  </si>
  <si>
    <t>J408046105</t>
  </si>
  <si>
    <t>AV VICTORIA EDIF RESIDENCIAS GRACIELA NRO. 20-04 PISO P.B. LOCAL 1 SECTOR CENTRO LA VICTORIA ARAGUA</t>
  </si>
  <si>
    <t>204745.85</t>
  </si>
  <si>
    <t>02026</t>
  </si>
  <si>
    <t>FARMACLUB COLON, C.A.</t>
  </si>
  <si>
    <t>J316248399</t>
  </si>
  <si>
    <t>0414-4907879 / 0414-4922679</t>
  </si>
  <si>
    <t>CALLE COLON C/C CARLOS BLANK LOCAL NRO 52 SECTOR CENTRO, LA VICTORIA, EDO. ARAGUA LA VICTORIA ARAGUA</t>
  </si>
  <si>
    <t>7488.02</t>
  </si>
  <si>
    <t>02027</t>
  </si>
  <si>
    <t>FARMACLUB LAS MERCEDES, C.A.</t>
  </si>
  <si>
    <t>J408447827</t>
  </si>
  <si>
    <t>0414-4907879</t>
  </si>
  <si>
    <t>FISCAL AV 1 C/C AVENIDA 2 CC VICTORIA NIVEL P.B. LOCAL 1 URB LAS MERCEDES, SECTOR 1 LA VICTORIA ARAGUA</t>
  </si>
  <si>
    <t>64269.21</t>
  </si>
  <si>
    <t>02028</t>
  </si>
  <si>
    <t>FARMACLUB TUCACAS, C.A</t>
  </si>
  <si>
    <t>J504748510</t>
  </si>
  <si>
    <t>TUCACAS - FALCON</t>
  </si>
  <si>
    <t>8732</t>
  </si>
  <si>
    <t>AV LIBERTADOR CC TURISTICO TUCACAS NIVEL PB LOCAL PB-1 SECTOR CENTRO TUCACAS FALCON</t>
  </si>
  <si>
    <t>25899.36</t>
  </si>
  <si>
    <t>02029</t>
  </si>
  <si>
    <t>FARMACIA TU FARMACIA PLUS C.A</t>
  </si>
  <si>
    <t>J501638624</t>
  </si>
  <si>
    <t>0414-5548420</t>
  </si>
  <si>
    <t>CARRERA 11 ENTRE CALLES 5 Y 6 LOCAL NRO 5-19 BARRIO ESMILTA CAMEJO. SOCOPO. BARINAS</t>
  </si>
  <si>
    <t>201645.03</t>
  </si>
  <si>
    <t>02030</t>
  </si>
  <si>
    <t>FARMACIA LA CONSTANCIA C.A</t>
  </si>
  <si>
    <t>J503327049</t>
  </si>
  <si>
    <t>CARRERA 6 Y LA CALLE 16 LOCAL S/N SECTOR CENTRO GUANARE PORTUGUESA.</t>
  </si>
  <si>
    <t>04121416450</t>
  </si>
  <si>
    <t>CALLE PRINCIPAL CC TIERRA DORADA NIVEL PLANTA BAJA LOCAL 8,9,10,11,12,13 Y 14 SECTOR BARINAS</t>
  </si>
  <si>
    <t>0412-0462667</t>
  </si>
  <si>
    <t>CALLE PLAZA CRUCE CON CALLE EL MERCADO LOCAL NRO 4 -7 ZONA CASCO CENTRAL  DE PUERTO CABELLO . CARABOBO</t>
  </si>
  <si>
    <t>02033</t>
  </si>
  <si>
    <t>FARMACLUB TIQUIRE, C.A</t>
  </si>
  <si>
    <t>J500332890</t>
  </si>
  <si>
    <t>0414-4591967</t>
  </si>
  <si>
    <t>CTRA NACIONAL LA VICTORIA EL CONSEJO LOTE 0 LOCAL NRO PB 10 URB SAN OMERO II EL CONSEJO ARAGUA</t>
  </si>
  <si>
    <t>7259.12</t>
  </si>
  <si>
    <t>02034</t>
  </si>
  <si>
    <t>FARMACLUB CENTRO, C.A.</t>
  </si>
  <si>
    <t>J298781548</t>
  </si>
  <si>
    <t>CALLE FRANCISCO LORETO EDIF ANIN PISO B LOCAL 5 SECTOR CENTRO, LA VICTORIA ARAGUA</t>
  </si>
  <si>
    <t>147700.31</t>
  </si>
  <si>
    <t>02035</t>
  </si>
  <si>
    <t>FARMACIA ESTADIO RS123, C.A</t>
  </si>
  <si>
    <t>J410864788</t>
  </si>
  <si>
    <t>OBISPOS - BARINAS</t>
  </si>
  <si>
    <t>0426-5711545</t>
  </si>
  <si>
    <t>8733</t>
  </si>
  <si>
    <t>CARRETERA BOLIVAR LOCAL S/N SECTOR CENTRO,  DETRAS DE LA IGLESIA CATOLICA OBISPOS. BARINAS</t>
  </si>
  <si>
    <t>36911.89</t>
  </si>
  <si>
    <t>0414-5196332</t>
  </si>
  <si>
    <t>CALLE SAN FELIPE, FRENTE A LA PLAZA BOLIVAR, LOCAL NRO 1 SECTOR CENTRO SARARE LARA</t>
  </si>
  <si>
    <t>02037</t>
  </si>
  <si>
    <t>FARMACTIVA C.A</t>
  </si>
  <si>
    <t>J501183031</t>
  </si>
  <si>
    <t>0424-7178692</t>
  </si>
  <si>
    <t>AV. COLOMBIA CON AV. LOS LLANOS CC LAS PALMAS NIVEL PLANTA BAJA LOCAL NRO 3 URB ALTO BARINAS NORTE. BARINAS</t>
  </si>
  <si>
    <t>56929.44</t>
  </si>
  <si>
    <t>02038</t>
  </si>
  <si>
    <t>POLICLINICA SAN JOSE C.A</t>
  </si>
  <si>
    <t>J404387331</t>
  </si>
  <si>
    <t>0424-8186549</t>
  </si>
  <si>
    <t>AV JORGE RODRIGUEZ ANTIGUA INTERCOMUNAL LOCAL NRO 605 SECTOR SIERRA MAESTRA PUERTO LA CRUZ ANZOATEGUI</t>
  </si>
  <si>
    <t>127909.37</t>
  </si>
  <si>
    <t>02039</t>
  </si>
  <si>
    <t>LUIS ANTONIO MENDOZA PRADO</t>
  </si>
  <si>
    <t>V13029937</t>
  </si>
  <si>
    <t>Calle 10 sur con segunda carrera.  Diagonal a ferretería zeta</t>
  </si>
  <si>
    <t>02040</t>
  </si>
  <si>
    <t>FARMACIA ABRAHAMNYS, C.A</t>
  </si>
  <si>
    <t>J506215632</t>
  </si>
  <si>
    <t>AV. BOLIVAR CC EL CASTILLO NIVEL SIN NUMERO LOCAL S/N SECTOR EL BOLSILLO CANTAURA ANZOATEGUI</t>
  </si>
  <si>
    <t>70873.06</t>
  </si>
  <si>
    <t>02041</t>
  </si>
  <si>
    <t>EXPENDIO DE MEDICINA E.M FARMARKET, C.A.</t>
  </si>
  <si>
    <t>J503390107</t>
  </si>
  <si>
    <t>0414-4225555</t>
  </si>
  <si>
    <t>CARRETERA TRONCAL 5 CARRETERA PRINCIPAL LOCAL NRO S/N CASERIO LAS TINAJITAS BOCONOITO PORTUGUESA</t>
  </si>
  <si>
    <t>02042</t>
  </si>
  <si>
    <t>FARMACIA FARMARKET, C.A</t>
  </si>
  <si>
    <t>J501183643</t>
  </si>
  <si>
    <t>BOCONOITO EDO PORTUGUESA</t>
  </si>
  <si>
    <t>CALLE PRINCIPAL LOCAL NRO S/N BARRIO BARRIO LA MANGA BOCONOITO PORTUGUESA</t>
  </si>
  <si>
    <t>85452.63</t>
  </si>
  <si>
    <t>02043</t>
  </si>
  <si>
    <t>FARMACIA SUPER AHORRO, C.A.</t>
  </si>
  <si>
    <t>J317199197</t>
  </si>
  <si>
    <t>CALLE CONSTITUCIÓN, EDIF FATIMA. PISO PLANTA BAJA, LOCAL 03. SECTOR CENTRO. PUERTO LA CRUZ, ANZOATEGUI</t>
  </si>
  <si>
    <t>170477.99</t>
  </si>
  <si>
    <t>02044</t>
  </si>
  <si>
    <t>PRODUCTORES ASOCIADOS DE CAFE CHABASQUEN, C.A. (PACCACHABASQUEN)</t>
  </si>
  <si>
    <t>J085073248</t>
  </si>
  <si>
    <t>0416-3916772</t>
  </si>
  <si>
    <t>AV SUCRE EDIF PACCA CHABASQUEN PISO 1 OF 1 SECTOR CENTRO CHABASQUEN PORTUGUESA</t>
  </si>
  <si>
    <t>230800.66</t>
  </si>
  <si>
    <t>02045</t>
  </si>
  <si>
    <t>FARMANIDDAL BARINAS C.A</t>
  </si>
  <si>
    <t>J506639513</t>
  </si>
  <si>
    <t>04127716230</t>
  </si>
  <si>
    <t>AV 23 DE ENERO CRUCE CON AVENIDA BACHILLER ELIAS CORDERO UZCATEGUI EDIF ALTAMIRA PISO PB LOCAL 02 SECTOR CENTRO BARINAS</t>
  </si>
  <si>
    <t>02048</t>
  </si>
  <si>
    <t>FARMA-ENERGIA, C.A</t>
  </si>
  <si>
    <t>J401976999</t>
  </si>
  <si>
    <t>CALLE 13 ENTRE CARRERAS 4 Y 5 LOCAL NRO S/N SECTOR CENTRO. GUANARE PORTUGESA</t>
  </si>
  <si>
    <t>639070.08</t>
  </si>
  <si>
    <t>02049</t>
  </si>
  <si>
    <t>VICTOR MANUEL GIL BERMUDEZ</t>
  </si>
  <si>
    <t>V22725281</t>
  </si>
  <si>
    <t>JUSEPIN. MONAGAS</t>
  </si>
  <si>
    <t>02050</t>
  </si>
  <si>
    <t>FARMACIA CUJI TAMACA I C.A.</t>
  </si>
  <si>
    <t>J309738160</t>
  </si>
  <si>
    <t>04245504777</t>
  </si>
  <si>
    <t>CTRA VALLE LINDO KM 9 LOCAL NRO 1 SECTOR VALLE LINDO BARQUISIMETO LARA</t>
  </si>
  <si>
    <t>56354.10</t>
  </si>
  <si>
    <t>02052</t>
  </si>
  <si>
    <t>(MATRIZ) FARMACIA MI FARMA P.F. II, C.A.</t>
  </si>
  <si>
    <t>02053</t>
  </si>
  <si>
    <t>FARMACIA MI FARMA P.F. II, C.A.  "PRINCIPAL"</t>
  </si>
  <si>
    <t>0424-6274115</t>
  </si>
  <si>
    <t>6555760.14</t>
  </si>
  <si>
    <t>+58 424-8226054</t>
  </si>
  <si>
    <t>CALLE 20 SUR CASA NRO 3 URB LOS RIOS EL TIGRE ANZOATEGUI</t>
  </si>
  <si>
    <t>02055</t>
  </si>
  <si>
    <t>FARMACODOSIS. C.A.</t>
  </si>
  <si>
    <t>J500252030</t>
  </si>
  <si>
    <t>0424-3077321 / 0424-3843093</t>
  </si>
  <si>
    <t>CALLE LAZO III LOCAL GALPON 25 NRO 25 ZONA INDUSTRIAL CORINSA CAGUA - ARAGUA</t>
  </si>
  <si>
    <t>165014.09</t>
  </si>
  <si>
    <t>0414-2799365 / 0414-2799365</t>
  </si>
  <si>
    <t>CALLE 4 ENTRE CARRERAS 2 Y 3  LOCAL NRO S/N  SECTOR CENTRO BISCUCUY - PORTUGUESA</t>
  </si>
  <si>
    <t>02057</t>
  </si>
  <si>
    <t>FARMACIA LUZ CRISTAL C.A</t>
  </si>
  <si>
    <t>J411949825</t>
  </si>
  <si>
    <t>0424-5188009</t>
  </si>
  <si>
    <t>AVENIDA SIMON BOLIVAR CON AVENIDA SUCRE LOCAL NRO 01 BARRIO CEMENTERIO GUANARE PORTUGUESA</t>
  </si>
  <si>
    <t>146142.10</t>
  </si>
  <si>
    <t>02058</t>
  </si>
  <si>
    <t>INTERMED GUAYANA</t>
  </si>
  <si>
    <t>V194727239</t>
  </si>
  <si>
    <t>0414-9858205</t>
  </si>
  <si>
    <t>CALLE VIA BRASIL CASA 01-20 URB VILLA ANTILLANA CIUDAD GUAYANA BOLIVAR</t>
  </si>
  <si>
    <t>37167.50</t>
  </si>
  <si>
    <t>02059</t>
  </si>
  <si>
    <t>FARMACIA FARMAITAL, C.A</t>
  </si>
  <si>
    <t>J312222409</t>
  </si>
  <si>
    <t>LOS CEDROS - CARACAS</t>
  </si>
  <si>
    <t>0414 1225719</t>
  </si>
  <si>
    <t>8734</t>
  </si>
  <si>
    <t>AV MATURIN CASA NRO 15 URB LOS CEDROS, CARACAS, DISTRITO CAPITAL</t>
  </si>
  <si>
    <t>CALLE FALCON LOCAL CASA NRO 97 NRO 3 SECTOR CASCO CENTRAL SANTA TERESA  DEL TUY, MIRANDA,</t>
  </si>
  <si>
    <t>02061</t>
  </si>
  <si>
    <t>DROGUERIA MEDICA LAS VICTORIAS, C.A.</t>
  </si>
  <si>
    <t>J408215055</t>
  </si>
  <si>
    <t>CALLE 1 CASA MANZANA N NRO /N URB LAS CAYENAS MATURIN MONAGAS</t>
  </si>
  <si>
    <t>0.20</t>
  </si>
  <si>
    <t>0424-5329614</t>
  </si>
  <si>
    <t>AV. RAUL BLOVAL LOPEZ  Nº 74 ENTRE AVENIDA VENEZUELA Y ADONAY PARRA EDIF MYL  CENTER PISO PLANTA BAJA LOCAL 06-07 SETOR ALTO BARINAS. SUR BARINAS</t>
  </si>
  <si>
    <t>0414-5238506</t>
  </si>
  <si>
    <t>8736</t>
  </si>
  <si>
    <t>AV. INTERCOMUNAL BARQUISIMETO ACARIGUA CC ROYAL PARK NIVEL PB LOCAL 10 SECTOR LOS RASTROJOS LARA</t>
  </si>
  <si>
    <t>LOS RASTROJOS - BARQUISIMETO</t>
  </si>
  <si>
    <t>02064</t>
  </si>
  <si>
    <t>FARMACIA SAN JORGE, C.A.</t>
  </si>
  <si>
    <t>J300279669</t>
  </si>
  <si>
    <t>0412-5048658 / 0412-1520640</t>
  </si>
  <si>
    <t>CALLE 34 CRUCE CON CALLE 33 EDIF CUMBOTO PISO PB LOCAL 1  SECTOR CENTRO ACARIGUA. PORTUGUESA</t>
  </si>
  <si>
    <t>02065</t>
  </si>
  <si>
    <t>FARMAMARKET 2022, C.A.</t>
  </si>
  <si>
    <t>J503200910</t>
  </si>
  <si>
    <t>0412-7696325</t>
  </si>
  <si>
    <t>CALLE BARBULA ENTRE CALLE MIRANDA Y URDANETA  LOCAL NRO 4 / 5 ZONA CENTRO PUERTO CABELLO</t>
  </si>
  <si>
    <t>02066</t>
  </si>
  <si>
    <t>FARMACIA CAFARDAY C.A</t>
  </si>
  <si>
    <t>J309256955</t>
  </si>
  <si>
    <t>0412-0891512</t>
  </si>
  <si>
    <t>CALLE MIRAFLORES CRUCE CON CARABOBO CASA NRO 14 SECTOR LAS DELICIAS PUERTO LA CRUZ. ANZOATEGUI</t>
  </si>
  <si>
    <t>02067</t>
  </si>
  <si>
    <t>FARMACIA MARIA DE SAN JOSE C.A.(CARABOBO)</t>
  </si>
  <si>
    <t>J302895227</t>
  </si>
  <si>
    <t>0412-7420289 / 0414-4298034</t>
  </si>
  <si>
    <t>CALLE BARBULA CRUCE CON CALLE RONDON LOCAL NRO 18-95 SECTOR CASCO CENTRAL PUERTO CABELLO, CARABOBO</t>
  </si>
  <si>
    <t>75040.84</t>
  </si>
  <si>
    <t>02068</t>
  </si>
  <si>
    <t>FARMACIA DR. JOSE GREGORIO HERNANDEZ- PEDRAZA, C.A.</t>
  </si>
  <si>
    <t>J500567588</t>
  </si>
  <si>
    <t>CIUDAD BOLIVIA - PEDRAZA</t>
  </si>
  <si>
    <t>0414-5708131</t>
  </si>
  <si>
    <t>AV 4TA. CON CALLE 13 Y 14 LOCAL NRO S/N SECTOR CENTRO CIUDAD BOLIVIA BARINAS</t>
  </si>
  <si>
    <t>7068.76</t>
  </si>
  <si>
    <t>02069</t>
  </si>
  <si>
    <t>GRUPO J.J.R FARMACIAS TEN 2021,C.A</t>
  </si>
  <si>
    <t>J500955243</t>
  </si>
  <si>
    <t>LOS TEQUES - ALTOS MIRANDINO</t>
  </si>
  <si>
    <t>0414-2162185</t>
  </si>
  <si>
    <t>CALLE AYACUCHO NRO 10 C.C MINICENTRO AZZANESE NIVEL PB LOCAL 02 SECTOR LA LUCHA LOS TEQUES MIRANDA</t>
  </si>
  <si>
    <t>29952.81</t>
  </si>
  <si>
    <t>02070</t>
  </si>
  <si>
    <t>FARMACIA DON TEO G.G, C.A</t>
  </si>
  <si>
    <t>J506662876</t>
  </si>
  <si>
    <t>SANTA ROSA - BARINAS</t>
  </si>
  <si>
    <t>0416-1536593</t>
  </si>
  <si>
    <t>8738</t>
  </si>
  <si>
    <t>CALLE LOS ILUSTRES CASA NRO S/N SECTOR EL TIGRE SANTA ROSA BARINAS</t>
  </si>
  <si>
    <t>35790.35</t>
  </si>
  <si>
    <t>02071</t>
  </si>
  <si>
    <t>MATRIZ FARMACIA CLINIFARMA, C.A</t>
  </si>
  <si>
    <t>J503753412</t>
  </si>
  <si>
    <t>02072</t>
  </si>
  <si>
    <t>FARMACIA CLINIFARMA, C.A (CABUDARE)</t>
  </si>
  <si>
    <t>FARMACIA CLINIFARMA, C.A</t>
  </si>
  <si>
    <t>0424-5924649</t>
  </si>
  <si>
    <t>AV INTERCOMUNAL BARQUISIMETO CABUDARE EDIF CLÍNICA IDB CABUDARE PISO 0 LOCAL 1 ZONA ENTRADA AVENIDA BOLIVAR CABUDARE LARA</t>
  </si>
  <si>
    <t>13245.75</t>
  </si>
  <si>
    <t>02073</t>
  </si>
  <si>
    <t>FARMACIA CLINIFARMA, C.A (CATEDRAL)</t>
  </si>
  <si>
    <t>IRIBARREN - BARQUISIMETO</t>
  </si>
  <si>
    <t>8717</t>
  </si>
  <si>
    <t>IRIBARREN - LARA</t>
  </si>
  <si>
    <t>AV INTERCOMUNAL BARQUISIMETO CABUDARE EDIF CLÍNICA IDB CABUDARE PISO 0 LOCAL 1 ZONA ENTRADA AVENIDA BOLIVAR CABUDARE. LARA</t>
  </si>
  <si>
    <t>02074</t>
  </si>
  <si>
    <t>FARMACIA CLINIFARMA, C.A (LA 51)</t>
  </si>
  <si>
    <t>02075</t>
  </si>
  <si>
    <t>FARMACIA CLINIFARMA, C.A (CHUCHO BRICEÑO)</t>
  </si>
  <si>
    <t>419.84</t>
  </si>
  <si>
    <t>02076</t>
  </si>
  <si>
    <t>FARMACIA CLINIFARMA, C.A (LA MONTAÑITA)</t>
  </si>
  <si>
    <t>9831.33</t>
  </si>
  <si>
    <t>02077</t>
  </si>
  <si>
    <t>FARMACIA CLINIFARMA, C.A (SAN BENITO)</t>
  </si>
  <si>
    <t>8739</t>
  </si>
  <si>
    <t>SAN BENITO - LARA</t>
  </si>
  <si>
    <t>SAN BENITO - BARQUISIMETO</t>
  </si>
  <si>
    <t>02078</t>
  </si>
  <si>
    <t>FARMACIA LA FUNDACIÓN C.A.</t>
  </si>
  <si>
    <t>J085019855</t>
  </si>
  <si>
    <t>AV MORAN CON CARRERA 28 LOCAL S/N SECTOR ESTE BARQUISIMETO BARQUISIMETO LARA</t>
  </si>
  <si>
    <t>02079</t>
  </si>
  <si>
    <t>FARMACIA FCV YARITAGUA, C.A</t>
  </si>
  <si>
    <t>J506013304</t>
  </si>
  <si>
    <t>8725</t>
  </si>
  <si>
    <t>AV TROCADÉRO ESQUINA CARRERA 13 LOCAL NRO 01 SECTOR CENTRO CAMPO ALEGRE YARITAGUA YARACUY</t>
  </si>
  <si>
    <t>46643.23</t>
  </si>
  <si>
    <t>02080</t>
  </si>
  <si>
    <t>EXPENDIO DE MEDICINAS VIRGEN DEL VALLE 2023</t>
  </si>
  <si>
    <t>J504175510</t>
  </si>
  <si>
    <t>0412-1188695</t>
  </si>
  <si>
    <t>CALLE PRINCIPAL EL RINCON LOCAL NRO 01 SECTOR EL RINCON PUERTO LA CRUZ ANZOATEGUI</t>
  </si>
  <si>
    <t>22852.17</t>
  </si>
  <si>
    <t>02081</t>
  </si>
  <si>
    <t>JOHAN ZERPA</t>
  </si>
  <si>
    <t>V30487791</t>
  </si>
  <si>
    <t>02082</t>
  </si>
  <si>
    <t>FARMACLIP EL CONSEJO, C.A.</t>
  </si>
  <si>
    <t>J506646544</t>
  </si>
  <si>
    <t>CALLE BOLIVAR LOCAL NRO 74 SECTOR - EL CONSEJO ARAGUA</t>
  </si>
  <si>
    <t>02083</t>
  </si>
  <si>
    <t>MATRIZ FARMA SHOP, C.A</t>
  </si>
  <si>
    <t>02084</t>
  </si>
  <si>
    <t>FARMA-SHOP C A  "SUCURSAL BOYACA"</t>
  </si>
  <si>
    <t>FARMA-SHOP C A</t>
  </si>
  <si>
    <t>BOULEVARD 5 DE JULIO, EDIF. SAN ANTONIO, LOCAL 1.. 
Estado Anzoategui. Municipio Simón Bolívar. Parroquia San Cristóbal. Barcelona</t>
  </si>
  <si>
    <t>88374.86</t>
  </si>
  <si>
    <t>CALLE LA ESPERANZA LOCAL K-1 SECTOR LAS GARZAS BARCELONA ANZOATEGUI</t>
  </si>
  <si>
    <t>02086</t>
  </si>
  <si>
    <t>FARMACIAS ACOSTA C.A</t>
  </si>
  <si>
    <t>J505790218</t>
  </si>
  <si>
    <t>0412-5213526</t>
  </si>
  <si>
    <t>CR 29 CON CALLE 27-A LOCAL NRO S/N ZONA CENTRO BARQUISIMETO LARA</t>
  </si>
  <si>
    <t>02087</t>
  </si>
  <si>
    <t>FARMACIA DON ALBINO C.A.</t>
  </si>
  <si>
    <t>J406692611</t>
  </si>
  <si>
    <t>0426-5755123/ 04245131042</t>
  </si>
  <si>
    <t>CARRERA 8 ENTRE CALLES  19 Y 20 CENTRO EMPRESARIAL SANTA FE LOCAL NRO 04 BARRIO EL CEMENTERIO SECTOR CENTRO GUANARE</t>
  </si>
  <si>
    <t>31997.79</t>
  </si>
  <si>
    <t>02088</t>
  </si>
  <si>
    <t>EXPENDIO DE MEDICINAS LA PLAZA</t>
  </si>
  <si>
    <t>J500976208</t>
  </si>
  <si>
    <t>0414-9555662</t>
  </si>
  <si>
    <t>AV. URDANETA CON ESQUINA CALLE 12 LOCAL NRO S/N SECTOR CENTRO EL PLAYON PORTUGUESA</t>
  </si>
  <si>
    <t>02089</t>
  </si>
  <si>
    <t>SUPERMERCADO Y DISTRIBUIDORA SANTA BARBARA, C.A</t>
  </si>
  <si>
    <t>J505142763</t>
  </si>
  <si>
    <t>MARACAIBO</t>
  </si>
  <si>
    <t>8624</t>
  </si>
  <si>
    <t>AV 13 ENTRE CALLE 75 Y 76 LOCAL NRO 75-25 SECTOR TIERRA NEGRA MARACAIBO ZULIA</t>
  </si>
  <si>
    <t>ZULIA</t>
  </si>
  <si>
    <t>BARALT</t>
  </si>
  <si>
    <t>122131.62</t>
  </si>
  <si>
    <t>02090</t>
  </si>
  <si>
    <t>FARMACIA CENTRAL TURMERO, C.A.</t>
  </si>
  <si>
    <t>J504604259</t>
  </si>
  <si>
    <t>0412-9932540.</t>
  </si>
  <si>
    <t>CALLE MIRANDA EDIF VERRELLI PISO P/B LOCAL 63 - B SECTOR CENTRO TURMERO ARAGUA</t>
  </si>
  <si>
    <t>23897.59</t>
  </si>
  <si>
    <t>02091</t>
  </si>
  <si>
    <t>FARMACIA FARTINA</t>
  </si>
  <si>
    <t>J502502947</t>
  </si>
  <si>
    <t>0412-9932540</t>
  </si>
  <si>
    <t>CALLE ESTE II LOCAL NRO 3 URB ARTURO MICHELENA TURMERO ARAGUA</t>
  </si>
  <si>
    <t>139390.89</t>
  </si>
  <si>
    <t>02092</t>
  </si>
  <si>
    <t>FARMACIA CENTRAL 19, C.A.</t>
  </si>
  <si>
    <t>J075757904</t>
  </si>
  <si>
    <t>CALLE MARIÑO C/SUCRE SECTOR 19 DE ABRIL INTERCOMUNAL MARACAY TURMERO-ARAGUA. 
Estado Aragua. Municipio Santiago Mariño</t>
  </si>
  <si>
    <t>379663.42</t>
  </si>
  <si>
    <t>02093</t>
  </si>
  <si>
    <t>FARMACIA SAMAN DE GUERE C.A</t>
  </si>
  <si>
    <t>J302864534</t>
  </si>
  <si>
    <t>AV INTERCOMUNAL MARACAY-TURMERO CC ARAGUANEY NIVEL PB LOCAL 6 SECTOR SAMAN DE GUERE TURMERO ARAGUA</t>
  </si>
  <si>
    <t>938502.44</t>
  </si>
  <si>
    <t>02094</t>
  </si>
  <si>
    <t>GRUPO MEDICAL 1996, C.A.</t>
  </si>
  <si>
    <t>J500519362</t>
  </si>
  <si>
    <t>04143013110 /</t>
  </si>
  <si>
    <t>AV. SEXTA QTA. LOS CAMPITOS, N° 4. URB. LA CASTELLANA CARACAS CHACAO MIRANDA</t>
  </si>
  <si>
    <t>02095</t>
  </si>
  <si>
    <t>MATRIZ FARMA ORINOCO CA, C.A</t>
  </si>
  <si>
    <t>02096</t>
  </si>
  <si>
    <t>FARMA ORINOCO CA, C.A (SUCURSAL CANTAURA)</t>
  </si>
  <si>
    <t>02825118540 /04248975452</t>
  </si>
  <si>
    <t>1187.58</t>
  </si>
  <si>
    <t>02097</t>
  </si>
  <si>
    <t>CASA VITAL PHARMACY, C.A</t>
  </si>
  <si>
    <t>J505968319</t>
  </si>
  <si>
    <t>SANTA ANA NUEVA ESPARTA</t>
  </si>
  <si>
    <t>CALLE CARABOBO LOCAL NRO SIN NUMERO SECTOR SANTA ANA SANTA ANA NUEVA ESPARTA</t>
  </si>
  <si>
    <t>761047.24</t>
  </si>
  <si>
    <t>02098</t>
  </si>
  <si>
    <t>FARMANORTE TINAQUILLO, C.A.</t>
  </si>
  <si>
    <t>J501997527</t>
  </si>
  <si>
    <t>0414-0445991</t>
  </si>
  <si>
    <t>AV JOSE ANTONIO PAEZ CRUCE CON PROLONGACION CALLE COLINA LOCAL NRO 12-04 SECTOR BUENOS AIRES TINAQUILLO COJEDES</t>
  </si>
  <si>
    <t>02099</t>
  </si>
  <si>
    <t>FARMACIA FARMA SALUD VIRGEN DEL VALLE C.A</t>
  </si>
  <si>
    <t>J501854963</t>
  </si>
  <si>
    <t>0412-1845585</t>
  </si>
  <si>
    <t>CALLE PRINCIPAL CASA NRO SN SECTOR MORRO DE PUERTO SANTO. EL MORRO DE PUERTO SANTO. SUCRE</t>
  </si>
  <si>
    <t>246160.34</t>
  </si>
  <si>
    <t>0414-2568844</t>
  </si>
  <si>
    <t>AV PRINCIPAL LOS SAMANES CC LA MULERA NIVEL P/B LOCAL 02 URB LOS SAMANES, MARACAY MARACAY ARAGUA</t>
  </si>
  <si>
    <t>02105</t>
  </si>
  <si>
    <t>FARMACIA FARMAENERGIA COMUNIDAD C.A.</t>
  </si>
  <si>
    <t>J503229977</t>
  </si>
  <si>
    <t>0412-3332806</t>
  </si>
  <si>
    <t>CR 6 BIS EDIF LA ORQUIDEA PISO PB LOCAL 01 SECTOR LA COMUNIDAD GUANARE PORTUGUESA</t>
  </si>
  <si>
    <t>274684.83</t>
  </si>
  <si>
    <t>02106</t>
  </si>
  <si>
    <t>FARMACIA LA BOTICA +, C.A. (SUC PUNTA DEL ESTE)</t>
  </si>
  <si>
    <t>AV BERMUDEZ LOCAL NRO 153 SECTOR CENTRO CUMANA - SUCRE</t>
  </si>
  <si>
    <t>275441.29</t>
  </si>
  <si>
    <t>04125325714</t>
  </si>
  <si>
    <t>CALLE ANDRES BELLO CC LA CASONA NIVEL PB LOCAL 4 SECTOR JUAN VICENTE BOLIVAR LA VICTORIA ARAGUA</t>
  </si>
  <si>
    <t>02108</t>
  </si>
  <si>
    <t>GRUPO FARMAVEN, C.A. (BARINAS)</t>
  </si>
  <si>
    <t>04245424695</t>
  </si>
  <si>
    <t>AV CRUZ PAREDES ENTRE AV GARGUERA  Y AV ANDRES VARELA LOCAL NRO 14-33 ZONA CASCO CENTRAL. BARINAS</t>
  </si>
  <si>
    <t>02109</t>
  </si>
  <si>
    <t>FARMA FRANK, C.A.</t>
  </si>
  <si>
    <t>J502327738</t>
  </si>
  <si>
    <t>VILLANUEVA - LARA</t>
  </si>
  <si>
    <t>8741</t>
  </si>
  <si>
    <t>CALLE PRINCIPAL LOCAL NRO S/N SECTOR LAS CUATRO ESQUINA VILLANUEVA. VILLA NUEVA LARA.</t>
  </si>
  <si>
    <t>02110</t>
  </si>
  <si>
    <t>MI FARMACIA EXPRESS F.C, C.A.</t>
  </si>
  <si>
    <t>J501785791</t>
  </si>
  <si>
    <t>0412-1753646</t>
  </si>
  <si>
    <t>CALLE COMERCIO LOCAL PLANTA BAJA NRO 73 SECTOR CENTRO VILLA DE CURA ARAGUA</t>
  </si>
  <si>
    <t>559188.65</t>
  </si>
  <si>
    <t>02115</t>
  </si>
  <si>
    <t>CRISTOBAL ALEJANDRO MARIN FERRER</t>
  </si>
  <si>
    <t>V26061022</t>
  </si>
  <si>
    <t>5064.95</t>
  </si>
  <si>
    <t>02116</t>
  </si>
  <si>
    <t>FARMACIA AHINOA 2010 C.A.</t>
  </si>
  <si>
    <t>J299112623</t>
  </si>
  <si>
    <t>FILA DE MARICHES - MIRANDA</t>
  </si>
  <si>
    <t>0424-1283385</t>
  </si>
  <si>
    <t>8743</t>
  </si>
  <si>
    <t>FILA DE MARICHE - MIRANDA</t>
  </si>
  <si>
    <t>CTRA PETARE SANTA LUCIA KM 15 LOCAL NRO 7 URB VALLE FRESCO, FILAS DE MARICHE, MIRANDA</t>
  </si>
  <si>
    <t>9399.68</t>
  </si>
  <si>
    <t>02117</t>
  </si>
  <si>
    <t>FARMACIA VICTORIA PLAZA, C.A.</t>
  </si>
  <si>
    <t>J297209816</t>
  </si>
  <si>
    <t>0244 – 3222937</t>
  </si>
  <si>
    <t>AV FRANCISCO DE LORETO EDIF DON PERUCHO PISO PB LOCAL 01 SECTOR SECTOR CENTRO LA VICTORIA ARAGUA</t>
  </si>
  <si>
    <t>02118</t>
  </si>
  <si>
    <t>GRUPO FARMA EXITO C.A.</t>
  </si>
  <si>
    <t>J504934682</t>
  </si>
  <si>
    <t>0414-5332176</t>
  </si>
  <si>
    <t>AV AV LOS LLANOS CC CENTRO COMERCIAL PALMA DE ORO NIVEL 1 LOCAL LOCAL N° 7 SECTOR ALTO BARINAS SUR BARINAS BARINAS</t>
  </si>
  <si>
    <t>99416.15</t>
  </si>
  <si>
    <t>02119</t>
  </si>
  <si>
    <t>EXPENDIO DE MEDICINAS ZAI J.I, C.A.</t>
  </si>
  <si>
    <t>J501324077</t>
  </si>
  <si>
    <t>QUEBRADA ARRIBA - LARA</t>
  </si>
  <si>
    <t>04264503011</t>
  </si>
  <si>
    <t>8744</t>
  </si>
  <si>
    <t>CALLE PRINCIPAL LOCAL NRO S/N SECTOR STADIUM QUEBRADA ARRIBA LARA</t>
  </si>
  <si>
    <t>686680.66</t>
  </si>
  <si>
    <t>02120</t>
  </si>
  <si>
    <t>FARMACIA LA AVENIDA, C.A.</t>
  </si>
  <si>
    <t>23/09/2025</t>
  </si>
  <si>
    <t>J296696381</t>
  </si>
  <si>
    <t>0412-7372071</t>
  </si>
  <si>
    <t>AV BOLIVAR LOCAL NRO S/N SECTOR CENTRO LAS MERCEDES GUARICO</t>
  </si>
  <si>
    <t>02121</t>
  </si>
  <si>
    <t>(MATRIZ) FARMACIA BENDICION, C.A.</t>
  </si>
  <si>
    <t>J504082813</t>
  </si>
  <si>
    <t>02122</t>
  </si>
  <si>
    <t>FARMACIA BENDICION, C.A. (CORINSA)</t>
  </si>
  <si>
    <t>CAGUA - ARAGUA</t>
  </si>
  <si>
    <t>0412-8490469</t>
  </si>
  <si>
    <t>CALLE VENTAURI LOCAL NRO 13 SECTOR CORINSA CAGUA - ARAGUA</t>
  </si>
  <si>
    <t>16034.86</t>
  </si>
  <si>
    <t>02123</t>
  </si>
  <si>
    <t>FARMACIA BENDICION, C.A. (PLAZA SUCRE)</t>
  </si>
  <si>
    <t>0416-6430952</t>
  </si>
  <si>
    <t>42848.41</t>
  </si>
  <si>
    <t>02124</t>
  </si>
  <si>
    <t>BIONEXUS GROUP, C.A</t>
  </si>
  <si>
    <t>J506370832</t>
  </si>
  <si>
    <t>AV EL SAMAN CC VALLE ALTO CENTER NIVEL PB LOCAL L-PB 13 SECTOR EL SAMAN BARCELONA ANZOATEGUI</t>
  </si>
  <si>
    <t>02125</t>
  </si>
  <si>
    <t>BIOLAB-LABORATORIO DE BIOANALISIS NARVAEZ ALVAREZ, F.P</t>
  </si>
  <si>
    <t>V038691534</t>
  </si>
  <si>
    <t>AV LUIZ RAZETTI CASA NRO SN SECTOR VISTA ALTA BARCELONA ANZOATEGUI</t>
  </si>
  <si>
    <t>13477.67</t>
  </si>
  <si>
    <t>02126</t>
  </si>
  <si>
    <t>FARMACIA LA 37, C.A.</t>
  </si>
  <si>
    <t>J316888428</t>
  </si>
  <si>
    <t>CALLE 37 ENTRE CARRERA 23 Y 24 EDIF PARAMACONI PISO SN LOCAL 01 SECTOR CENTRO BARQUISIMETO LARA</t>
  </si>
  <si>
    <t>1778855.08</t>
  </si>
  <si>
    <t>02127</t>
  </si>
  <si>
    <t>FARMACIA SAN IGNACIO DE CHIVACOA C.A</t>
  </si>
  <si>
    <t>J503355514</t>
  </si>
  <si>
    <t>CALLE 9 ESQUINA DE LA AV 6 LOCAL NRO 6 Y 7 SECTOR CENTRO CHIVACOA YARACUY</t>
  </si>
  <si>
    <t>3319517.99</t>
  </si>
  <si>
    <t>02128</t>
  </si>
  <si>
    <t>FARMACIA FARMA MARKET 2011,C.A</t>
  </si>
  <si>
    <t>J400279240</t>
  </si>
  <si>
    <t>CABUDARE ESTADO LARA</t>
  </si>
  <si>
    <t>AV INTERCOMUNAL CABUDARE-ACARIGUA CC GRANADA NIVEL PB LOCAL 8 Y 9 SECTOR LA MORA, CABUDARE LOS RASTROJOS LARA</t>
  </si>
  <si>
    <t>2308635.06</t>
  </si>
  <si>
    <t>02129</t>
  </si>
  <si>
    <t>FARMACIA EL RECREO C.A.</t>
  </si>
  <si>
    <t>J085103309</t>
  </si>
  <si>
    <t>CALLE 61 ESQUINA CARRERA 12 LOCAL NRO S/N SECTOR OESTE BARQUISIMETO LARA</t>
  </si>
  <si>
    <t>1429714.06</t>
  </si>
  <si>
    <t>02130</t>
  </si>
  <si>
    <t>FARMACIA LA 19 C.A</t>
  </si>
  <si>
    <t>J085127127</t>
  </si>
  <si>
    <t>CR CARRERA 19 ESQUINA CALLE 50 CC VENROL NIVEL PB LOCAL PB18 ZONA BARQUISIMETO BARQUISIMETO LARA</t>
  </si>
  <si>
    <t>3016634.64</t>
  </si>
  <si>
    <t>02131</t>
  </si>
  <si>
    <t>FARMACIA METROPOLIS DE LARA, C.A.</t>
  </si>
  <si>
    <t>J501019479</t>
  </si>
  <si>
    <t>AV FLORENCIO JIMENEZ CON AVENIDA LA SALLE CC METROPOLIS NIVEL AGUA LOCAL 93 SECTOR OESTE BARQUISIMETO LARA</t>
  </si>
  <si>
    <t>1152846.64</t>
  </si>
  <si>
    <t>02132</t>
  </si>
  <si>
    <t>FARMACIA DEL NORTE, C.A</t>
  </si>
  <si>
    <t>J303578888</t>
  </si>
  <si>
    <t>IRIBARREN ESTADO LARA</t>
  </si>
  <si>
    <t>AV CARABOBO CON LIBERTADOR LOCAL NRO 36-103 SECTOR PATE E'PALO BARQUISIMETO LARA</t>
  </si>
  <si>
    <t>853815.43</t>
  </si>
  <si>
    <t>02133</t>
  </si>
  <si>
    <t>FARMACIA LAS MERCEDES DE CABUDARE , C.A</t>
  </si>
  <si>
    <t>J503043784</t>
  </si>
  <si>
    <t>CALLE 7 LOTE 10 LOCAL NRO 10-92 URB LAS MERCEDES CABUDARE LARA ZONA POSTAL</t>
  </si>
  <si>
    <t>1970546.18</t>
  </si>
  <si>
    <t>02134</t>
  </si>
  <si>
    <t>FARMACIA SAN IGNACIO DE LOYOLA II, C.A</t>
  </si>
  <si>
    <t>J500772963</t>
  </si>
  <si>
    <t>AV 7 ENTRE CALLES 13 Y 14 LOCAL NRO S/N SECTOR - QUIBOR LARA</t>
  </si>
  <si>
    <t>1421435.63</t>
  </si>
  <si>
    <t>02135</t>
  </si>
  <si>
    <t>SUPERFARMA LA FLORESTA, C.A.</t>
  </si>
  <si>
    <t>J304693109</t>
  </si>
  <si>
    <t>AV INTERCOMUNAL BARQUISIMETO-ACARIGUA CC LA ESTANCIA NIVEL P.B. LOCAL 8A URB LA PIEDAD NORTE LOS RASTROJOS LARA</t>
  </si>
  <si>
    <t>1701209.75</t>
  </si>
  <si>
    <t>02136</t>
  </si>
  <si>
    <t>FARMAIGNACIO LA 12 C.A</t>
  </si>
  <si>
    <t>J500052634</t>
  </si>
  <si>
    <t>CR 19 ENTRE CALLES 12 Y 13 EDIF RODUAR I PISO PB LOCAL S/N SECTOR CENTRO BARQUISIMETO LARA</t>
  </si>
  <si>
    <t>1605308.83</t>
  </si>
  <si>
    <t>02137</t>
  </si>
  <si>
    <t>FARMACIA SAN VALENTIN EL OESTE C.A</t>
  </si>
  <si>
    <t>J501570442</t>
  </si>
  <si>
    <t>AV FLORENCIO JIMENEZ CON CALLE 4 Y 5 CASA NRO S/N BARRIO SAN FRANCISCO BARQUISIMETO LARA</t>
  </si>
  <si>
    <t>698251.53</t>
  </si>
  <si>
    <t>02138</t>
  </si>
  <si>
    <t>FARMACIA PRINCIPAL PIRITU C.A.</t>
  </si>
  <si>
    <t>J305726302</t>
  </si>
  <si>
    <t>CALLE JUAN MANUEL CARMONA EDIF CENTRO EMPRESARIAL EL PARQUE PISO P.B. OF 06 URB EL PARQUE BARQUISIMETO LARA</t>
  </si>
  <si>
    <t>2433199.12</t>
  </si>
  <si>
    <t>02139</t>
  </si>
  <si>
    <t>FARMACIA SAN VALENTIN PAVIA C.A</t>
  </si>
  <si>
    <t>J501084742</t>
  </si>
  <si>
    <t>PAVIA ESTADO LARA</t>
  </si>
  <si>
    <t>AV ALI PRIMERA CC QUATRO ´S NIVEL - LOCAL Q-8 SECTOR  PAVIA KM 10 BARQUISIMETO LARA.</t>
  </si>
  <si>
    <t>2172909.81</t>
  </si>
  <si>
    <t>02140</t>
  </si>
  <si>
    <t>SUPERFARMA PORTUGUESA C.A.</t>
  </si>
  <si>
    <t>J306583645</t>
  </si>
  <si>
    <t>AV 20 ENTRE CALLES 10 Y 11 CC LEONARDO DA VINCI PISO 1 OFICINA 14 CUBILO NRO 2 BARQUISIMETO LARA</t>
  </si>
  <si>
    <t>1462585.71</t>
  </si>
  <si>
    <t>02141</t>
  </si>
  <si>
    <t>FARMACIA SAN IGNACIO CA</t>
  </si>
  <si>
    <t>J302002761</t>
  </si>
  <si>
    <t>CALLE 4 CON CARRERA 1 CASA NRO 4-12 SECTOR ANDRES ELOY BLANCO BARQUISIMETO BARQUISIMETO LARA</t>
  </si>
  <si>
    <t>2679397.37</t>
  </si>
  <si>
    <t>02142</t>
  </si>
  <si>
    <t>FARMACIA SAN VALENTIN CABUDARE CENTRO, C.A</t>
  </si>
  <si>
    <t>J501838321</t>
  </si>
  <si>
    <t>AV LIBERTADOR ENTRE CALLES JUAREZ Y ALVIZU CC LA MURALLA NIVEL P/B LOCAL 11-10 ZONA CENTRO CABUDARE LARA</t>
  </si>
  <si>
    <t>865834.59</t>
  </si>
  <si>
    <t>02143</t>
  </si>
  <si>
    <t>FARMACIA SAN VALENTIN FLORENCIO JIMENEZ, C.A</t>
  </si>
  <si>
    <t>J500443285</t>
  </si>
  <si>
    <t>AV FLORENCIO JIMENEZ KILOMETRO 8 LOCAL NRO S/N BARRIO NEGRO PRIMERO FRENTE A LA ESTACION DE SERVICIO TEXACO BARQUISIMETO LARA</t>
  </si>
  <si>
    <t>2271240.72</t>
  </si>
  <si>
    <t>02144</t>
  </si>
  <si>
    <t>SUPERFARMA SANARE, C.A.</t>
  </si>
  <si>
    <t>J305826080</t>
  </si>
  <si>
    <t>SANARE EDO LARA</t>
  </si>
  <si>
    <t>8747</t>
  </si>
  <si>
    <t>SANARE - LARA</t>
  </si>
  <si>
    <t>4347653.14</t>
  </si>
  <si>
    <t>02145</t>
  </si>
  <si>
    <t>FARMACIA NUEVA SEGOVIA DE BQTO, C.A.</t>
  </si>
  <si>
    <t>J500261268</t>
  </si>
  <si>
    <t>AV LARA Y CARRERA 1 ENTRE LAS CALLES 3 Y 4 CC CIUDAD LLANERO NIVEL PB LOCAL D-7 URB NUEVA SEGOVIA BARQUISIMETO LARA ZONA</t>
  </si>
  <si>
    <t>2118979.10</t>
  </si>
  <si>
    <t>02146</t>
  </si>
  <si>
    <t>MULTIFARMA 07 C.A</t>
  </si>
  <si>
    <t>J401726550</t>
  </si>
  <si>
    <t>CTRA VIA CUARA LOCAL NRO 1 Y 2  SECTOR LA CEIBA SUR. QUIBOR. LARA</t>
  </si>
  <si>
    <t>2621239.95</t>
  </si>
  <si>
    <t>02147</t>
  </si>
  <si>
    <t>FARMACIA EL CARMEN C.A</t>
  </si>
  <si>
    <t>J293921597</t>
  </si>
  <si>
    <t>0414-4996828</t>
  </si>
  <si>
    <t>AV. MIRANDA LOCAL  NRO 15-04 SECTOR CENTRO  TINAQUILLO, COJEDES</t>
  </si>
  <si>
    <t>0414-5074997</t>
  </si>
  <si>
    <t>CR 9 CRUCE CON CALLE 17 LOCAL NRO 16-52 BARRIO CEMENTERIO. GUANARE PORTUGUESA</t>
  </si>
  <si>
    <t>02149</t>
  </si>
  <si>
    <t>FARMACIA FARMA MEDICAL, C.A</t>
  </si>
  <si>
    <t>J500393580</t>
  </si>
  <si>
    <t>0424-4950185</t>
  </si>
  <si>
    <t>AV 102 C/C 71. CC BOULEVARD CENTER NIVEL 2 OF No OF-03, OF-04 Y No L-41 URB PARQUE COMERCIAL INDUSTRIAL CASTILLITO, PARCELAS EM-27 Y EM-28 VALENCIA CARABOBO</t>
  </si>
  <si>
    <t>02150</t>
  </si>
  <si>
    <t>FARMAESPERANZA 2022, C.A</t>
  </si>
  <si>
    <t>J502000879</t>
  </si>
  <si>
    <t>04143587935</t>
  </si>
  <si>
    <t>CALLE JOSE RAFAEL POCATERRA, CRUCE CON BUENOS AIRES, LOCAL 4, SECTOR YAGUA, GUACARA, EDO. CARABOBO.</t>
  </si>
  <si>
    <t>79762.39</t>
  </si>
  <si>
    <t>02151</t>
  </si>
  <si>
    <t>FARMACIA FARMAESPERANZA 2024, C.A</t>
  </si>
  <si>
    <t>J505348000</t>
  </si>
  <si>
    <t>0414-3587935</t>
  </si>
  <si>
    <t>CALLE JOSE RAFAEL POCATERRA PARCELA NRO 130 LOCAL NRO N/I SECTOR LA PRIMAVERA, MUNICIPIO GUACARA</t>
  </si>
  <si>
    <t>181124.90</t>
  </si>
  <si>
    <t>02152</t>
  </si>
  <si>
    <t>FARMACIA FARMA IDEAL CA</t>
  </si>
  <si>
    <t>J500065108</t>
  </si>
  <si>
    <t>VALENCIA / CARABOBO</t>
  </si>
  <si>
    <t>0414-5848054</t>
  </si>
  <si>
    <t>AV 105 CARABOBO  MANZANA Y PARCELA 735 CASA NRO 144 - 20 URB LA VIÑA VALENCIA CARABOBO</t>
  </si>
  <si>
    <t>681.70</t>
  </si>
  <si>
    <t>02153</t>
  </si>
  <si>
    <t>FARMALYDO, C.A.</t>
  </si>
  <si>
    <t>J501438285</t>
  </si>
  <si>
    <t>0424-5242969</t>
  </si>
  <si>
    <t>AV 5 DE DICIEMBRE ESQUINA  AV 17 LOCAL SIN NUMERO SECTOR CENTRO ARAURE PORTUGUESA</t>
  </si>
  <si>
    <t>257363.14</t>
  </si>
  <si>
    <t>02154</t>
  </si>
  <si>
    <t>FARMACIA VED BIENESTAR C.A</t>
  </si>
  <si>
    <t>J505635760</t>
  </si>
  <si>
    <t>0414-5599501</t>
  </si>
  <si>
    <t>CALLE 8 ENTRE AVENIDAS 3 Y 4 CASA NRO 21-54 URB LA MATA CABUDARE LARA</t>
  </si>
  <si>
    <t>0424.899.67.38  / 0424.891.9</t>
  </si>
  <si>
    <t>AV JORGE RODRIGUEZ CC BATYCA NIVEL PB LOCAL 1 SECTOR LAS GARZAS LECHERIAS ANZOATEGUI</t>
  </si>
  <si>
    <t>02157</t>
  </si>
  <si>
    <t>FARMACIA CENTRO TEATRO, C.A</t>
  </si>
  <si>
    <t>J506023474</t>
  </si>
  <si>
    <t>AV CARABOBO CRUCE CON LA CALLE COLOMBIA, CENTRO COMERCIAL TEATRO LOCAL NRO 2 SECTOR NO INDICA VALENCIA CARABOBO</t>
  </si>
  <si>
    <t>02159</t>
  </si>
  <si>
    <t>KAREMIS YANETH MORA CARDOZA "MORA FARMACIA LAS REBAJAS, F.P"</t>
  </si>
  <si>
    <t>V124633415</t>
  </si>
  <si>
    <t>CALLE 3 ENTRE CARRERA 8 Y 9 CC DON VICENTE NIVEL 1 LOCAL S N SECTOR CENTRO SOCOPÒ SOCOPO BARINAS</t>
  </si>
  <si>
    <t>32821.64</t>
  </si>
  <si>
    <t>02160</t>
  </si>
  <si>
    <t>"FARMACIA SIEGERT C.A."</t>
  </si>
  <si>
    <t>J095079252</t>
  </si>
  <si>
    <t>0424-7587468</t>
  </si>
  <si>
    <t>AV SIEGERT EDIF CENTRO MEDICO ORINOCO PISO PB LOCAL No 2 SECTOR PLAZA PQUIA CATEDRAL MCPIO HERES CD BOLIVAR CIUDAD BOLIVAR BOLIVAR</t>
  </si>
  <si>
    <t>236879.60</t>
  </si>
  <si>
    <t>02161</t>
  </si>
  <si>
    <t>GRUPO FARMAVEN, C.A. (SUCURSAL)</t>
  </si>
  <si>
    <t>GRUPO FARMAVEN, C.A.</t>
  </si>
  <si>
    <t>0414-2389539</t>
  </si>
  <si>
    <t>AV. CRUZ PAREDES ENTRE AV GARGUERA Y AV. ANDRES VARELA, LOCAL NRO 14-33 ZONA CASCO CENTRAL BARINAS.</t>
  </si>
  <si>
    <t>49618.29</t>
  </si>
  <si>
    <t>02162</t>
  </si>
  <si>
    <t>FARMACIA NINA ROSA, C.A</t>
  </si>
  <si>
    <t>J299753912</t>
  </si>
  <si>
    <t>0414-0387577</t>
  </si>
  <si>
    <t>CALLE ATARRAYA ENTRE CALLE LAS FLORES Y CALLE BOLIVAR LOCAL NRO 52 SECTOR CASCO CENTRAL VALLE DE LA PASCUA GUARICO</t>
  </si>
  <si>
    <t>02163</t>
  </si>
  <si>
    <t>FARMACIA LEóN 04 C.A</t>
  </si>
  <si>
    <t>J505256076</t>
  </si>
  <si>
    <t>0412-7151792</t>
  </si>
  <si>
    <t>CTRA PETARE - SANTA LUCIA KM 9  LOCAL PETARE NRO S/N SECTOR LA 3J LA DOLORITA MIRANDA</t>
  </si>
  <si>
    <t>AV EL EJERCITO QTA SANAVI NRO 14 SECTOR FUNDEMOS MATURIN MATURIN MONAGAS</t>
  </si>
  <si>
    <t>0412-1973688</t>
  </si>
  <si>
    <t>AV LIBERTADOR SUR LOCAL NRO 45-1 SECTOR AVENIDA LIBERTADOR VALLE DE LA PASCUA GUARICO</t>
  </si>
  <si>
    <t>02166</t>
  </si>
  <si>
    <t>DROGUERIA DEL VALLE ,C.A</t>
  </si>
  <si>
    <t>J410388951</t>
  </si>
  <si>
    <t>0414477164</t>
  </si>
  <si>
    <t>AV LAS DELICIAS CASA NRO 61 SECTOR EL TORO MARACAY. ARAGUA</t>
  </si>
  <si>
    <t>02167</t>
  </si>
  <si>
    <t>ENIS BETH COIRAN JIMENEZ "COIRAN INVERSIONES FARMATODITO, F.P"</t>
  </si>
  <si>
    <t>V182913380</t>
  </si>
  <si>
    <t>8785</t>
  </si>
  <si>
    <t>VEGUITAS - BARINAS</t>
  </si>
  <si>
    <t>AV PRINCIPAL CASA NRO 60-2 SECTOR VEGUITAS VEGUITAS BARINAS</t>
  </si>
  <si>
    <t>5 meses</t>
  </si>
  <si>
    <t>02169</t>
  </si>
  <si>
    <t>INVERSIONES FARMATODITO M &amp; B, C.A (SUCURSAL III)</t>
  </si>
  <si>
    <t>ARAUQUITA  EDO BARINAS</t>
  </si>
  <si>
    <t>8786</t>
  </si>
  <si>
    <t>ARAUQUITA - BARINAS</t>
  </si>
  <si>
    <t>CALLE AYACUCHO  CON CALLE CORDOBA EDIFICIO POLICLINICO URDANETA PISO 1. PUERTO CABELLO.</t>
  </si>
  <si>
    <t>02171</t>
  </si>
  <si>
    <t>EMILY ANDREINA ACEVEDO DELGADO "ACEVEDO FARMACIA EQUIPOS Y SUMINISTROS MEDICOS TRINIDAD, F.P"</t>
  </si>
  <si>
    <t>V198014636</t>
  </si>
  <si>
    <t>0424-5430517</t>
  </si>
  <si>
    <t>AV CRUZ PAREDES ENTRE RICAURTE Y RONDON EDIF CHAMI PISO PB LOCAL 01 SECTOR CENTRO BARINAS BARINAS</t>
  </si>
  <si>
    <t>496140.81</t>
  </si>
  <si>
    <t>AV STADIUM CC JUDIBANA NIVEL PB LOCAL 32 SECTOR CASCO CENTRO PUERTO LA CRUZ ANZOATEGUI</t>
  </si>
  <si>
    <t>02173</t>
  </si>
  <si>
    <t>FARMACIA DIGENCA LA 37,C.A</t>
  </si>
  <si>
    <t>J501112070</t>
  </si>
  <si>
    <t>BARQUISIMETO - CENTRO</t>
  </si>
  <si>
    <t>0414-5238506 /  0412- 825635</t>
  </si>
  <si>
    <t>AV VENEZUELA CON CALLE 37 LOCAL NRO S/N SECTOR CENTRO BARQUISIMETO, LARA</t>
  </si>
  <si>
    <t>0424-5961088</t>
  </si>
  <si>
    <t>AV FRANCISCO DE MIRANDA ESQ. CALLE 21 (LISBOA) CC EDIF LILIMAR NIVEL PB. LOCAL 01 ZONA CENTRO, CARORA</t>
  </si>
  <si>
    <t>02175</t>
  </si>
  <si>
    <t>LUIS RAFAEL MARQUINA ADRIAN</t>
  </si>
  <si>
    <t>V27977408</t>
  </si>
  <si>
    <t>1450.92</t>
  </si>
  <si>
    <t>02176</t>
  </si>
  <si>
    <t>MEDIC HOME, C.A.</t>
  </si>
  <si>
    <t>J505877682</t>
  </si>
  <si>
    <t>CEMENTERIO - CARACAS</t>
  </si>
  <si>
    <t>AV. LAS PALMAS,MANZANA A, PARCELAMIENTO LA VEREDA LOCAL PARCELA DE TERRENO Y EDIFICACION Nº 3 SECTOR CEMENTERIO CARACAS DISTRITO CAPITAL</t>
  </si>
  <si>
    <t>02177</t>
  </si>
  <si>
    <t>FARMACIA JGH CENTRO CA</t>
  </si>
  <si>
    <t>J506518511</t>
  </si>
  <si>
    <t>0424-838-55-51 / 0412-114-61</t>
  </si>
  <si>
    <t>AV PEDRO MARIA FREITES LOCAL NRO 54 URB CAMINO NUEVO BARCELONA ANZOATEGUI</t>
  </si>
  <si>
    <t>113381.42</t>
  </si>
  <si>
    <t>02178</t>
  </si>
  <si>
    <t>CENTRO MEDICO, C.A.</t>
  </si>
  <si>
    <t>J080023528</t>
  </si>
  <si>
    <t>15/08/2025</t>
  </si>
  <si>
    <t>AV LUIS DEL VALLE GARCIA CON CALLE 2 EDIF CENTRO MEDICO PISO PB LOCAL EDIFICIO LAS AVENIDAS MATURIN MONAGAS</t>
  </si>
  <si>
    <t>02179</t>
  </si>
  <si>
    <t>FARMACIA MAELO C.A.</t>
  </si>
  <si>
    <t>J085075747</t>
  </si>
  <si>
    <t>0412-4824932</t>
  </si>
  <si>
    <t>AV PAEZ. EDIF MAELO PISO PB LOCAL 1 SECTOR ALGARROBO, ACARIGUA EDO PORTUGUESA</t>
  </si>
  <si>
    <t>02180</t>
  </si>
  <si>
    <t>FARMACIA DULCE MIEL C.A.</t>
  </si>
  <si>
    <t>J299897019</t>
  </si>
  <si>
    <t>AV BOLIVAR EDIF SAN PABLO PISO PB LOCAL Na 4 SECTOR CENTRO VILLA DE CURA ARAGUA</t>
  </si>
  <si>
    <t>157530.67</t>
  </si>
  <si>
    <t>02181</t>
  </si>
  <si>
    <t>FARMACIA GENESIS CENTRO, C.A.</t>
  </si>
  <si>
    <t>J402578490</t>
  </si>
  <si>
    <t>04124666588</t>
  </si>
  <si>
    <t>CALLE COMERCIO CASA NRO 26 SECTOR CENTRO, CAGUA EDO ARAGUA CAGUA ARAGUA</t>
  </si>
  <si>
    <t>02182</t>
  </si>
  <si>
    <t>FARMASUR 1221, C.A</t>
  </si>
  <si>
    <t>J502198652</t>
  </si>
  <si>
    <t>AV EL DORADO CALLE PRINCIPAL LOCAL NRO S/N SECTOR TRONCAL 10 TUMEREMO BOLIVAR</t>
  </si>
  <si>
    <t>389235.19</t>
  </si>
  <si>
    <t>02183</t>
  </si>
  <si>
    <t>EXPENDIO DE MEDICINAS LA POPULAR, C.A</t>
  </si>
  <si>
    <t>J306507329</t>
  </si>
  <si>
    <t>0414-5644510</t>
  </si>
  <si>
    <t>AV. 04 CON CALLE 4 Y 5 CASA Nº 03-21, SECTOR CENTRO SAN RAFAEL DE ONOTO ESTADO PORTUGUESA. SAN RAFAEL DE ONOTO PORTUGUESA</t>
  </si>
  <si>
    <t>7604.23</t>
  </si>
  <si>
    <t>02184</t>
  </si>
  <si>
    <t>MATRIZ FARMACIA LA CIRCUNVALACION C.A.</t>
  </si>
  <si>
    <t>J501817502</t>
  </si>
  <si>
    <t>02185</t>
  </si>
  <si>
    <t>FARMACIA LA CIRCUNVALACION C.A.</t>
  </si>
  <si>
    <t>04145595263 / 04145595263</t>
  </si>
  <si>
    <t>AV CIRCUNVALACION ENTRE AVENIDAS 5 Y 6 LOCAL NRO 1 BARRIO BOLIVAR ACARIGUA PORTUGUESA</t>
  </si>
  <si>
    <t>51680.66</t>
  </si>
  <si>
    <t>02186</t>
  </si>
  <si>
    <t>FARMACIA LA CIRCUNVALACION C.A. (SUCURSAL II)</t>
  </si>
  <si>
    <t>AGUA BLANCA EDO PORTUGUESA</t>
  </si>
  <si>
    <t>8742</t>
  </si>
  <si>
    <t>AGUA BLANCA - PORTUGUESA</t>
  </si>
  <si>
    <t>10719.41</t>
  </si>
  <si>
    <t>02187</t>
  </si>
  <si>
    <t>EXPENDIO DE MEDICINAS 2024, C.A.</t>
  </si>
  <si>
    <t>J506366320</t>
  </si>
  <si>
    <t>+58 412-9627948</t>
  </si>
  <si>
    <t>AVENIDA 3 BOLIVAR ENTRE CALLES 1 Y 2 CASA S/N  SECTOR BANCO OBRERO SAN RAFAEL DE ONOTO  PORTUGUESA.</t>
  </si>
  <si>
    <t>02188</t>
  </si>
  <si>
    <t>FARMA EL ANGEL C.A.</t>
  </si>
  <si>
    <t>J505892991</t>
  </si>
  <si>
    <t>NARANJALES EDO TACHIRA</t>
  </si>
  <si>
    <t>+58 426-4734078</t>
  </si>
  <si>
    <t>8774</t>
  </si>
  <si>
    <t>NARANJALES - TACHIRA</t>
  </si>
  <si>
    <t>06</t>
  </si>
  <si>
    <t>ISAAC LOPEZ (TACHIRA)</t>
  </si>
  <si>
    <t>CALLE 11 ENTRE CARRERA 1 Y 2 MANZANA 7 LOCAL NRO 1-55 SECTOR NARANJALES PUERTO TETEO NARANJALES TACHIRA ZONA POSTAL 5032. 
Estado Tachira. Municipio Fernández</t>
  </si>
  <si>
    <t>1803637.27</t>
  </si>
  <si>
    <t>02189</t>
  </si>
  <si>
    <t>J315463180</t>
  </si>
  <si>
    <t>04145008515</t>
  </si>
  <si>
    <t>AV. BOLIVAR ENTRE CALLE 2 Y 3 CASA NRO S/N SECTOR SAN ISIDRO. SANARE LARA</t>
  </si>
  <si>
    <t>44471.03</t>
  </si>
  <si>
    <t>02190</t>
  </si>
  <si>
    <t>FARMACIA 360 LA GRITA C.A</t>
  </si>
  <si>
    <t>J505567152</t>
  </si>
  <si>
    <t>LA GRITA - TACHIRA</t>
  </si>
  <si>
    <t>8750</t>
  </si>
  <si>
    <t>CALLE 2 LOCAL 9 NRO 33 SECTOR CASCO CENTRAL LA GRITA TACHIRA</t>
  </si>
  <si>
    <t>118766.83</t>
  </si>
  <si>
    <t>02191</t>
  </si>
  <si>
    <t>JOSE ALIRIO VARGAS DUQUE "VARGAS FARMACIA FARMA VIDA"</t>
  </si>
  <si>
    <t>V113707611</t>
  </si>
  <si>
    <t>SANTA BARBARA DE BARINAS</t>
  </si>
  <si>
    <t>0426-1713913</t>
  </si>
  <si>
    <t>CR 5 ESQUINA DE CALLE 10 CC EL ANGEL NIVEL PB LOCAL S/N SECTOR PUEBLO VIEJO SANTA BARBARA BARINAS</t>
  </si>
  <si>
    <t>02192</t>
  </si>
  <si>
    <t>FARMACIA RP 2023 C.A</t>
  </si>
  <si>
    <t>J503922737</t>
  </si>
  <si>
    <t>SEBORUCO EDO TACHIRA</t>
  </si>
  <si>
    <t>calle 1 con carrera 8 y 9 casa nro 24. sector casco central seboruco municipio seboruco estado tachira. 
Estado Tachira. Municipio Seboruco. Parroquia Seboruco</t>
  </si>
  <si>
    <t>0414-4420239</t>
  </si>
  <si>
    <t>CTRA TRONCAL N°5 LOCAL NRO S/N SECTOR SECTOR LA CEIBA CAPITANEJO CAPITANEJO BARINAS</t>
  </si>
  <si>
    <t>02194</t>
  </si>
  <si>
    <t>FARMACIA IMPROMECEN,C.A</t>
  </si>
  <si>
    <t>J310440557</t>
  </si>
  <si>
    <t>LA CONCORDIA EDO TACHIRA</t>
  </si>
  <si>
    <t>0424-7043852</t>
  </si>
  <si>
    <t>8749</t>
  </si>
  <si>
    <t>EL MILAGRO - TACHIRA</t>
  </si>
  <si>
    <t>AVENIDA LUCIO OQUENDO QUINTA FRANCIA Nº 5-106 LA CONCORDIA FRENTE AL HOSPITAL CENTRAL DE SAN CRISTOBAL EDO.TACHIRA. 
Estado Tachira. Municipio San Cristóbal. P</t>
  </si>
  <si>
    <t>LA CONCORDIA - TACHIRA</t>
  </si>
  <si>
    <t>02195</t>
  </si>
  <si>
    <t>KILEMBERG FRANCISCO PARRA URIBE "LA ORTOPEDIA KILEMBERG PARRA,F.P"</t>
  </si>
  <si>
    <t>V204274866</t>
  </si>
  <si>
    <t>AV. AVENIDA LUCIO OQUENDO CASA NRO 5 - 106 SECTOR LA CONCORDIA. SAN CRISTOBAL TACHIRA</t>
  </si>
  <si>
    <t>02196</t>
  </si>
  <si>
    <t>FARMASALUDLG PLUS, C.A</t>
  </si>
  <si>
    <t>J506254832</t>
  </si>
  <si>
    <t>0414-7116361</t>
  </si>
  <si>
    <t>Calle principal Pasaje Las Quebraditas, Casa N° 11 -230, La Grita, Municipio Jáuregui, Estado Táchira. 
Estado Tachira. Municipio Jáuregui. Parroquia Emilio Co</t>
  </si>
  <si>
    <t>1550545.61</t>
  </si>
  <si>
    <t>SAN CRISTOBAL EDO TACHIRA</t>
  </si>
  <si>
    <t>0414-7514591</t>
  </si>
  <si>
    <t>Calle 3 numero 6-30 local # PB-1 Urb Santa Ines San Cristobal Estado Tachira. 
Estado Tachira. Municipio San Cristóbal. Parroquia San Juan Bautista. San Cristo</t>
  </si>
  <si>
    <t>02198</t>
  </si>
  <si>
    <t>FARMACIA SAN JUAN NEPOMUCENO C.A.</t>
  </si>
  <si>
    <t>J412911473</t>
  </si>
  <si>
    <t>MICHELENA EDO TACHIRA</t>
  </si>
  <si>
    <t>0424-7716102</t>
  </si>
  <si>
    <t>8751</t>
  </si>
  <si>
    <t>MICHELENA - TACHIRA</t>
  </si>
  <si>
    <t>ESQUINA CARRERA 2 CALLE 6 NUMERO 5-84 CASCO CENTRAL MICHELENA ESTADO TACHIRA. 
Estado Tachira. Municipio Michelena. Parroquia Michelena. Michelena</t>
  </si>
  <si>
    <t>02199</t>
  </si>
  <si>
    <t>FULLFARMA GROUP, C.A.</t>
  </si>
  <si>
    <t>J503319801</t>
  </si>
  <si>
    <t>TARIBA - TACHIRA</t>
  </si>
  <si>
    <t>0424-7685298</t>
  </si>
  <si>
    <t>8752</t>
  </si>
  <si>
    <t>CALLE 6 CARRERA 4, CENTRO COMERCIAL PLAZA REAL NIVEL B LOCAL 1,2,3,4 SECTOR TARIBA . 
Estado Tachira. Municipio Cárdenas. Parroquia Cárdenas . Tariba</t>
  </si>
  <si>
    <t>283360.00</t>
  </si>
  <si>
    <t>02200</t>
  </si>
  <si>
    <t>FARMACIA LUCIA¨S</t>
  </si>
  <si>
    <t>J505517457</t>
  </si>
  <si>
    <t>SABANA DE MENDOZA - TRUJILLO</t>
  </si>
  <si>
    <t>0424-7446028 /  04246069577</t>
  </si>
  <si>
    <t>8753</t>
  </si>
  <si>
    <t>ctra panamericana local Nro S/N sector san alejo de sabana de mendoza valmorez Rodriguez Trujillo zona postal 3110 . 
Estado Trujillo. Municipio Sucre. Parroqu</t>
  </si>
  <si>
    <t>TRUJILLO</t>
  </si>
  <si>
    <t>RAFAEL RANGEL</t>
  </si>
  <si>
    <t>2380625.10</t>
  </si>
  <si>
    <t>02201</t>
  </si>
  <si>
    <t>FARMACIA DOÑA PASTORA, C.A</t>
  </si>
  <si>
    <t>J505874594</t>
  </si>
  <si>
    <t>0412-0537551</t>
  </si>
  <si>
    <t>CALLE 10, CASA Nº 56, URBANIZACION BARAURE 2, SECTOR 7 ARAURE, PORTUGUESA</t>
  </si>
  <si>
    <t>68612.44</t>
  </si>
  <si>
    <t>02202</t>
  </si>
  <si>
    <t>FARMA SALUD M&amp;J, C.A.</t>
  </si>
  <si>
    <t>J504896322</t>
  </si>
  <si>
    <t>0412-6838687</t>
  </si>
  <si>
    <t>CALLE BOLIVAR LOCAL NRO S/N SECTOR CENTRO PUERTO CUMAREBO FALCON</t>
  </si>
  <si>
    <t>255470.96</t>
  </si>
  <si>
    <t>02203</t>
  </si>
  <si>
    <t>EXPENDIO DE MEDICAMENTOS SAN NICOLAS DE BARI C.A</t>
  </si>
  <si>
    <t>J501380074</t>
  </si>
  <si>
    <t>SAN NICOLAS - PORTUGUESA</t>
  </si>
  <si>
    <t>0426-3517627</t>
  </si>
  <si>
    <t>8754</t>
  </si>
  <si>
    <t>CALLE TRANSVERSAL 2 LOCAL NRO S/N CASERIO SAN NICOLAS SAN NICOLAS PORTUGUESA</t>
  </si>
  <si>
    <t>747709.46</t>
  </si>
  <si>
    <t>02204</t>
  </si>
  <si>
    <t>FARMACIA VILMA DEL CARMEN, C.A</t>
  </si>
  <si>
    <t>J409899136</t>
  </si>
  <si>
    <t>0424-7098220</t>
  </si>
  <si>
    <t>AV BOLIVAR LOCAL 76 SECTOR CENTRO SABANA DE MENDOZA TRUJILLO . 
Estado Trujillo. Municipio Andrés Bello . Parroquia Araguaney . Batatal</t>
  </si>
  <si>
    <t>486720.11</t>
  </si>
  <si>
    <t>02206</t>
  </si>
  <si>
    <t>ALIMENTOS ESSAGUA, C.A.</t>
  </si>
  <si>
    <t>J298640804</t>
  </si>
  <si>
    <t>0426-2478948</t>
  </si>
  <si>
    <t>AV LAS INDUSTRIAS EDIF HERMANOS SOLANO ORTEGA PISO SEGUNDA PL OF UNICO SECTOR ESTE VALLE DE LA PASCUA GUARICO</t>
  </si>
  <si>
    <t>86334.53</t>
  </si>
  <si>
    <t>02207</t>
  </si>
  <si>
    <t>LUIS FERNANDO MARQUEZ VARGAS</t>
  </si>
  <si>
    <t>V29642889</t>
  </si>
  <si>
    <t>04128788621</t>
  </si>
  <si>
    <t>02208</t>
  </si>
  <si>
    <t>FARMACIA PARTYSTIL, C.A.</t>
  </si>
  <si>
    <t>J297250409</t>
  </si>
  <si>
    <t>0414-8099314</t>
  </si>
  <si>
    <t>AV COSTANERA CC PUENTE REAL NIVEL PB LOCAL PB A-2 SECTOR NUEVA BARCELONA BARCELONA ANZOAETGUI.</t>
  </si>
  <si>
    <t>02209</t>
  </si>
  <si>
    <t>SGP FARMACIA C.A</t>
  </si>
  <si>
    <t>J500685130</t>
  </si>
  <si>
    <t>COLONCITO - TACHIRA</t>
  </si>
  <si>
    <t>0414-7130265</t>
  </si>
  <si>
    <t>8755</t>
  </si>
  <si>
    <t>CARRERA 5 CASA LOCAL Nª 2 NRO 7-70 SECTOR CASCO CENTRAL, COLONCITO. 
Estado Tachira. Municipio Panamericano. Parroquia Panamericano . Coloncito</t>
  </si>
  <si>
    <t>33829.33</t>
  </si>
  <si>
    <t>02210</t>
  </si>
  <si>
    <t>FARMACIA ROISALUD C.A</t>
  </si>
  <si>
    <t>J500248628</t>
  </si>
  <si>
    <t>0414-5484615</t>
  </si>
  <si>
    <t>3305</t>
  </si>
  <si>
    <t>PIRITU - PORTUGUESA</t>
  </si>
  <si>
    <t>CALLE PRINCIPAL, C.C. LAS VEGAS DE TARIBA NIVEL PB LOCAL S/N SECTOR LAS VEGAS DE TARIBA. TARIBA EDO TACHIRA</t>
  </si>
  <si>
    <t>72119.84</t>
  </si>
  <si>
    <t>0412-4564258</t>
  </si>
  <si>
    <t>AV. 100 (LAS FERIAS) CASA NRO 66-50 SECTOR SANTA ROSA, VALENCIA, CARABOBO</t>
  </si>
  <si>
    <t>02212</t>
  </si>
  <si>
    <t>EXPENDIO DE MEDICINAS JOSEMARIA C.A</t>
  </si>
  <si>
    <t>J500666462</t>
  </si>
  <si>
    <t>0412-6770205</t>
  </si>
  <si>
    <t>AV PRINCIPAL LOCAL NRO 1 SECTOR PAYARA ACARIGUA PORTUGUESA</t>
  </si>
  <si>
    <t>104439.70</t>
  </si>
  <si>
    <t>02213</t>
  </si>
  <si>
    <t>FARMAALIANZA RW, C.A.</t>
  </si>
  <si>
    <t>J505497561</t>
  </si>
  <si>
    <t>0412-6934168</t>
  </si>
  <si>
    <t>3370</t>
  </si>
  <si>
    <t>PALMITA-TACHIRA</t>
  </si>
  <si>
    <t>VIA PRINCIPAL DE LA POBLACION DE LA PALMITA,SECTOR CAÑO CUCHARON CALLE 1 EDIF. DON SIXTO ,LOCAL N°1 MUNICIPIO ESTADO TACHIRA ZONA POSTAL 5038. 
Estado Tachira.</t>
  </si>
  <si>
    <t>8782</t>
  </si>
  <si>
    <t>PALMITA - TACHIRA</t>
  </si>
  <si>
    <t>172894.56</t>
  </si>
  <si>
    <t>02214</t>
  </si>
  <si>
    <t>FARMACIA VELAVIDA, C.A</t>
  </si>
  <si>
    <t>J503402393</t>
  </si>
  <si>
    <t>0276-3415476</t>
  </si>
  <si>
    <t>AVENIDA QUINTA ENTRE CALLES 9-79 SECTOR CENTRO, MUNICIPIO SAN CRISTOBAL, ESTADO TACHIRA.. 
Estado Tachira. Municipio San Cristóbal. Parroquia San Juan Bautista</t>
  </si>
  <si>
    <t>222269.95</t>
  </si>
  <si>
    <t>02215</t>
  </si>
  <si>
    <t>(MATRIZ) FARMACIA VELAVIDA C.A</t>
  </si>
  <si>
    <t>02216</t>
  </si>
  <si>
    <t>FARMACIA VELAVIDA C.A (SUCURSAL)</t>
  </si>
  <si>
    <t>FARMACIA VELAVIDA C.A</t>
  </si>
  <si>
    <t>8776</t>
  </si>
  <si>
    <t>CORDERO - TACHIRA</t>
  </si>
  <si>
    <t>02217</t>
  </si>
  <si>
    <t>COSTO SUPERMERCADOS, C.A</t>
  </si>
  <si>
    <t>J502678689</t>
  </si>
  <si>
    <t>AV ARISTIDES ROJAS CON CALLE BERMUDEZ CC PERMAGAS NIVEL PLANTA BAJA LOCAL I SECTOR CENTRO CUMANA SUCRE</t>
  </si>
  <si>
    <t>6232.43</t>
  </si>
  <si>
    <t>02218</t>
  </si>
  <si>
    <t>FARMACIA MI ESPERANZA 2424 C.A.</t>
  </si>
  <si>
    <t>J506718987</t>
  </si>
  <si>
    <t>0414-9474793 / 0424-3528000</t>
  </si>
  <si>
    <t>AV BOLÍVAR OESTE ENTRE CALLE VARGAS Y BOULEVARD PÉREZ ALMARZA EDIF EL PRECIO FIJO PISO PB LOCAL 02 SECTOR CENTRO MARACAY ARAGUA</t>
  </si>
  <si>
    <t>254191.37</t>
  </si>
  <si>
    <t>02219</t>
  </si>
  <si>
    <t>FARMACIA SANTA TERESA 1, C. A.</t>
  </si>
  <si>
    <t>J505039040</t>
  </si>
  <si>
    <t>0414-3425520</t>
  </si>
  <si>
    <t>Av.Pricipal con carrera 4 casa Nº2-79 sector Santa Teresa . . 
Estado Tachira. Municipio San Cristóbal. Parroquia San Juan Bautista. San Cristobal</t>
  </si>
  <si>
    <t>97619.15</t>
  </si>
  <si>
    <t>02220</t>
  </si>
  <si>
    <t>FARMA ROCA 2023, C.A.</t>
  </si>
  <si>
    <t>J503633735</t>
  </si>
  <si>
    <t>04125433733</t>
  </si>
  <si>
    <t>CALLE COMERCIO ENTRE CALLES RICAUTER Y CALLE CALVARIO LOCAL NRO S/N SECTOR CENTRO GUARICO. PARROQUIA GUARICO. MUNICIPIO MORAN. ESTADO LARA</t>
  </si>
  <si>
    <t>02221</t>
  </si>
  <si>
    <t>FARMACIA MIRAFLORES DEL TOCUYO, C.A.</t>
  </si>
  <si>
    <t>J310005826</t>
  </si>
  <si>
    <t>AV FRATERNIDAD ESQUINA CALLE 10 LOCAL S/N ZONA EL TOCUYO EL TOCUYO LARA</t>
  </si>
  <si>
    <t>02222</t>
  </si>
  <si>
    <t>FARMACIA DARSAR, C.A.</t>
  </si>
  <si>
    <t>J402303637</t>
  </si>
  <si>
    <t>AV LISANDRO ALVARADO ESQUINA CALLE 15 LOCAL NRO S/N SECTOR CENTRO EL TOCUYO LARA</t>
  </si>
  <si>
    <t>02223</t>
  </si>
  <si>
    <t>FARMACIA EL ROSARIO DEL TOCUYO, C.A.</t>
  </si>
  <si>
    <t>J305910200</t>
  </si>
  <si>
    <t>AV FRATERNIDAD ENTRE CALLES 17 Y 18 LOCAL S/N SECTOR CENTRO EL TOCUYO LARA</t>
  </si>
  <si>
    <t>02225</t>
  </si>
  <si>
    <t>FARMASHOP CIUDAD JARDIN, C.A.</t>
  </si>
  <si>
    <t>J506547880</t>
  </si>
  <si>
    <t>0414 4598955 /</t>
  </si>
  <si>
    <t>CALLE GUARICO CC LOS JARDINES NIVEL PLANTA BAJA LOCAL 04 Y 05 URB SAN IGNACIO MARACAY. ARAGUA</t>
  </si>
  <si>
    <t>49684.11</t>
  </si>
  <si>
    <t>02226</t>
  </si>
  <si>
    <t>FARMACIA FARMA CAGUA, C.A.</t>
  </si>
  <si>
    <t>J503036435</t>
  </si>
  <si>
    <t>04144598955 / 04243633673</t>
  </si>
  <si>
    <t>CALLE LAS FLORES C/C CALLE CAJIGAL EDIF SAN NICOLAS DE BARI PISO PB LOCAL 3 Y 4 SECTOR AGUIRRE CAGUA ARAGUA</t>
  </si>
  <si>
    <t>18708.94</t>
  </si>
  <si>
    <t>02227</t>
  </si>
  <si>
    <t>FARMACIA LA HACIENDA C.A.</t>
  </si>
  <si>
    <t>J075264266</t>
  </si>
  <si>
    <t>04128804545</t>
  </si>
  <si>
    <t>CALLE FROILAN CORREA LOCAL NRO 104-28-20 SECTOR CENTRO, CAGUA EDO. ARAGUA CAGUA ARAGUA</t>
  </si>
  <si>
    <t>02228</t>
  </si>
  <si>
    <t>FARMACHIVEN, C.A.</t>
  </si>
  <si>
    <t>J506359200</t>
  </si>
  <si>
    <t>0424-3533853</t>
  </si>
  <si>
    <t>AV. PRINCIPAL DEL BARRIO JOSE FELIX RIBAS LOCAL NRO 08 SECTOR 03 EL LIMON, ARAGUA</t>
  </si>
  <si>
    <t>02229</t>
  </si>
  <si>
    <t>FARMACIA CALIFORNIA 888, C.A.</t>
  </si>
  <si>
    <t>J412913344</t>
  </si>
  <si>
    <t>AV BOLIVAR LOCAL NRO 10 SECTOR CENTRO MARACAY ARAGUA</t>
  </si>
  <si>
    <t>02230</t>
  </si>
  <si>
    <t>FARMAAMIGA 2021, C.A.</t>
  </si>
  <si>
    <t>J501334994</t>
  </si>
  <si>
    <t>AV. HUGO CHAVEZ FRIAS, CASA PARCELA Nº 15, NRO S/N SECTOR LOS SAMANES, SAN JOSE, COJEDES</t>
  </si>
  <si>
    <t>02231</t>
  </si>
  <si>
    <t>FARMACIA EL SAN CARLOS, C.A.</t>
  </si>
  <si>
    <t>J502301569</t>
  </si>
  <si>
    <t>0414-4098954</t>
  </si>
  <si>
    <t>AV JOSE LAURENCIO SILVA EDIF ITALO PISO PB LOCAL 02 SECTOR CENTRO SAN CARLOS COJEDES</t>
  </si>
  <si>
    <t>42684.07</t>
  </si>
  <si>
    <t>02232</t>
  </si>
  <si>
    <t>FV FARMACIA II, C.A.</t>
  </si>
  <si>
    <t>J504878030</t>
  </si>
  <si>
    <t>0424-5872032</t>
  </si>
  <si>
    <t>CALLE 31 CON AV 39 Y 40 LOCAL NRO S/N SECTOR EL PALITO ACARIGUA PORTUGUESA</t>
  </si>
  <si>
    <t>02233</t>
  </si>
  <si>
    <t>FARMACIA BETHEL FARMAX, C.A</t>
  </si>
  <si>
    <t>J504424170</t>
  </si>
  <si>
    <t>AV. LISANDRO ALVARADO ENTRE CALLES 13 Y 15 LOCAL NRO S/N SECTOR EL TOCUYO LARA</t>
  </si>
  <si>
    <t>3608.04</t>
  </si>
  <si>
    <t>02234</t>
  </si>
  <si>
    <t>FARMACIA JIREH CENTER, C.A.,</t>
  </si>
  <si>
    <t>J506596067</t>
  </si>
  <si>
    <t>SAN RAFAEL DEL PIÑAL EDO TAC</t>
  </si>
  <si>
    <t>04147997028</t>
  </si>
  <si>
    <t>8763</t>
  </si>
  <si>
    <t>SAN RAFAEL DEL PIÑAL - TACHIRA</t>
  </si>
  <si>
    <t>CALLE PRINCIPAL CC EL IMPERIO DEL REGALO NIVEL 1 LOCAL N°4 SECTOR EL PIÑAL SAN RAFAEL DEL PIÑAL TACHIRA ZONA POSTAL 5032. 
Estado Tachira. Municipio Fernández</t>
  </si>
  <si>
    <t>698570.12</t>
  </si>
  <si>
    <t>02235</t>
  </si>
  <si>
    <t>FARMACIA JIREH PLUS C.A</t>
  </si>
  <si>
    <t>J506317010</t>
  </si>
  <si>
    <t>SAN JOSECITO - TACHIRA</t>
  </si>
  <si>
    <t>0412-7997028</t>
  </si>
  <si>
    <t>8564</t>
  </si>
  <si>
    <t>calle principal cc graciano nivel 1 local nro 1 sector san josecito san josecito tachira zona postal 5001. 
Estado Tachira. Municipio Torbes . Parroquia Torbes</t>
  </si>
  <si>
    <t>480045.04</t>
  </si>
  <si>
    <t>02236</t>
  </si>
  <si>
    <t>FARMACIA JIREH C.A</t>
  </si>
  <si>
    <t>J501076707</t>
  </si>
  <si>
    <t>0412-2232543</t>
  </si>
  <si>
    <t>calle 4 entre carrera 10 y 11 casa Nro 10-111 sector naranjales san rafael del piñal tachira zona postal 5032 . 
Estado Tachira. Municipio Fernández Feo. Parro</t>
  </si>
  <si>
    <t>963988.34</t>
  </si>
  <si>
    <t>EL NULA - TACHIRA</t>
  </si>
  <si>
    <t>8778</t>
  </si>
  <si>
    <t>CALLE PRINCIPAL VIA CHIRICOA LOCAL s\N SECTOR EL NULA. 
Estado Apure. Municipio Páez. Parroquia San Camilo. El Nula</t>
  </si>
  <si>
    <t>02239</t>
  </si>
  <si>
    <t>SERVICIOS FARMACEUTICOS SERVIFARMA C.A</t>
  </si>
  <si>
    <t>J501258457</t>
  </si>
  <si>
    <t>0414-9795598</t>
  </si>
  <si>
    <t>AV PRINCIPAL DE PUEBLO NUEVO LOCAL NRO 18374 SECTOR LAS PILAS SAN CRISTOBAL ESTADO TACHIRA ZONA POSTAL 5001. 
Estado Tachira. Municipio San Cristóbal. Parroqui</t>
  </si>
  <si>
    <t>311006.67</t>
  </si>
  <si>
    <t>02240</t>
  </si>
  <si>
    <t>(MATRIZ) SERVICIOS FARMACEUTICOS SERVIFARMA C.A</t>
  </si>
  <si>
    <t>02241</t>
  </si>
  <si>
    <t>SERVICIOS FARMACEUTICOS SERVIFARMA C.A. (CAPACHO)</t>
  </si>
  <si>
    <t>8779</t>
  </si>
  <si>
    <t>CAPACHO - TACHIRA</t>
  </si>
  <si>
    <t>404749.18</t>
  </si>
  <si>
    <t>02242</t>
  </si>
  <si>
    <t>SERVICIOS FARMACEUTICOS SERVIFARMA C.A  (FERRERO TAMAYO)</t>
  </si>
  <si>
    <t>02243</t>
  </si>
  <si>
    <t>FARMACIA CLINIFARMA, C.A (LA 21)</t>
  </si>
  <si>
    <t>04245924649</t>
  </si>
  <si>
    <t>2708.71</t>
  </si>
  <si>
    <t>02244</t>
  </si>
  <si>
    <t>FARMACIA MAGNETICA, C.A.</t>
  </si>
  <si>
    <t>J307637935</t>
  </si>
  <si>
    <t>0424-3189635</t>
  </si>
  <si>
    <t>CALLE SUCRE ENTRE BARRET Y SAN RAFAEL CC COMERCIAL LA CARIDAD NIVEL P/B LOCAL 04 SECTOR CENTRO SANTA CRUZ ARAGUA</t>
  </si>
  <si>
    <t>132734.91</t>
  </si>
  <si>
    <t>02245</t>
  </si>
  <si>
    <t>FARMACIA LA MAGNIFICA 2017, C.A.</t>
  </si>
  <si>
    <t>J410413662</t>
  </si>
  <si>
    <t>0412-4446424 /</t>
  </si>
  <si>
    <t>CALLE CAMPO ELIAS CASA NRO 52 BARRIO LA DEMOCRACIA MARACAY, ARAGUA</t>
  </si>
  <si>
    <t>51190.25</t>
  </si>
  <si>
    <t>SOCOPO - BARINAS</t>
  </si>
  <si>
    <t>0414-3548640</t>
  </si>
  <si>
    <t>CR 7 LA KIMIL CON CALLE 5 Y 6 CASA NRO S/N BARRIO LIBERTADOR SOCOPO BARINAS</t>
  </si>
  <si>
    <t>02248</t>
  </si>
  <si>
    <t>FARMACIA PUERTO SALUD, C.A.</t>
  </si>
  <si>
    <t>J501027315</t>
  </si>
  <si>
    <t>0414-5822508</t>
  </si>
  <si>
    <t>AV. PRINCIPAL LOCAL PARCELA  NRO 68-B URB CUMBOTO II SECTOR 2 PUERTO CABELLO CARABOBO</t>
  </si>
  <si>
    <t>02249</t>
  </si>
  <si>
    <t>FARMASALUD 1, C.A.</t>
  </si>
  <si>
    <t>J505159437</t>
  </si>
  <si>
    <t>0424-7019277</t>
  </si>
  <si>
    <t>CALLE 5 LOCAL #4-25 BARRIO LIBERTADOR PARTE ALTA . 
Estado Tachira. Municipio San Cristóbal. Parroquia Pedro María Morantes. San Cristobal</t>
  </si>
  <si>
    <t>397008.85</t>
  </si>
  <si>
    <t>0426-1520764</t>
  </si>
  <si>
    <t>CR 13 ESQUINA CALLE 7 CORREDOR VIAL EDIF CAPRELLANOS PISO 1 LOCAL S/N  SECTOR MATURIN, GUANARE, PORTUGUESA</t>
  </si>
  <si>
    <t>02251</t>
  </si>
  <si>
    <t>EXPENDIO DE MEDICINAS LA COROMOTO BENDITA 2019, C A</t>
  </si>
  <si>
    <t>J412956060</t>
  </si>
  <si>
    <t>0426-7552535</t>
  </si>
  <si>
    <t>CALLE PRINCIPAL QTA NRO S/N CASERIO QUEBRADA ARRIBA QUEBRADA ARRIBA LARA</t>
  </si>
  <si>
    <t>02252</t>
  </si>
  <si>
    <t>FARMACIA QUENIYORK, C.A</t>
  </si>
  <si>
    <t>J500965079</t>
  </si>
  <si>
    <t>0414-0790124</t>
  </si>
  <si>
    <t>CTRA 5 CON CALLE 10 CASA NRO 9-78 SECTOR MONSEÑOR BRICEÑO TARIBA TACHIRA. 
Estado Tachira. Municipio Andrés Bello. Parroquia Andres Bello. Abejales</t>
  </si>
  <si>
    <t>245749.01</t>
  </si>
  <si>
    <t>02253</t>
  </si>
  <si>
    <t>FARMACIA LA BOTICA + GM, C.A</t>
  </si>
  <si>
    <t>J506725339</t>
  </si>
  <si>
    <t>AV GRAN MARISCAL CC GRAN AVENIDA NIVEL PLANTA BAJA LOCAL PB-4 ZONA VELA DE CORO CON AVENIDA GENERAL CORDOVA CUMANA SUCRE</t>
  </si>
  <si>
    <t>408991.18</t>
  </si>
  <si>
    <t>02254</t>
  </si>
  <si>
    <t>DISTRIBUIDORA MAXI HEALTH, C.A</t>
  </si>
  <si>
    <t>J502580387</t>
  </si>
  <si>
    <t>+58 426-5952283</t>
  </si>
  <si>
    <t>CALLE PRINCIAPL CASA NRO C-08 SECTOR SANTA ELENA DE LAS PIÑAS PARQUE RESIDENCIAL MARIAN MATURIN MONAGAS</t>
  </si>
  <si>
    <t>3113.89</t>
  </si>
  <si>
    <t>02255</t>
  </si>
  <si>
    <t>FARMACIA LA MILAGROSA 2, C.A</t>
  </si>
  <si>
    <t>J504418722</t>
  </si>
  <si>
    <t>YARITAGUA - YARACUY</t>
  </si>
  <si>
    <t>+58 412-5675191</t>
  </si>
  <si>
    <t>8758</t>
  </si>
  <si>
    <t>AV EL TROCADERO Y/O CALLE 4 ENTRE CARRERAS 10 Y 11 LOCAL NRO S/N SECTOR EL TROCADERO YARITAGUA YARACUY</t>
  </si>
  <si>
    <t>02256</t>
  </si>
  <si>
    <t>MARIA DE LOURDES GALINDEZ AGUIRRE "FARMACIA LA MILAGROSA GALINDEZ"</t>
  </si>
  <si>
    <t>V108487247</t>
  </si>
  <si>
    <t>0412-5675191</t>
  </si>
  <si>
    <t>AV PADRE TORRES EDIF DOÑA LOLA PISO 1 LOCAL 1 SECTOR CENTRO YARITAGUA EDO YARACUY YARITAGUA YARACUY</t>
  </si>
  <si>
    <t>02257</t>
  </si>
  <si>
    <t>FARMAKOOX CIUDAD CREPUSCULAR C,A</t>
  </si>
  <si>
    <t>J500578520</t>
  </si>
  <si>
    <t>CR 19 ENTRE CALLES 35 Y 36 EDIF LAURA PISO PB LOCAL Nº 2 SECTOR CENTRO BARQUISIMETO LARA</t>
  </si>
  <si>
    <t>02258</t>
  </si>
  <si>
    <t>MAXI FARMACIA, C.A.</t>
  </si>
  <si>
    <t>J506360209</t>
  </si>
  <si>
    <t>0412 8826004</t>
  </si>
  <si>
    <t>AV BOLIVAR CON CALLE HERMOGENES LOPEZ C.C. YRESIDENCIAL BG NIVEL PB LOCAL LC-4 SECTOR FLOR AMARILLO VALENCIA EDO CARABOBO</t>
  </si>
  <si>
    <t>136355.19</t>
  </si>
  <si>
    <t>02259</t>
  </si>
  <si>
    <t>SERVISALUD LAS MESAS, C.A.</t>
  </si>
  <si>
    <t>J500924046</t>
  </si>
  <si>
    <t>LAS MESAS - TACHIRA</t>
  </si>
  <si>
    <t>0424-7210496 /</t>
  </si>
  <si>
    <t>8759</t>
  </si>
  <si>
    <t>Calle 04 casa N°86 Sector Colinas del Santo Cristo, Las Mesas-Estado Tachira. 
Estado Tachira. Municipio Antonio Rómulo Costa. Parroquia Antonio Rómulo Costa.</t>
  </si>
  <si>
    <t>713374.66</t>
  </si>
  <si>
    <t>02260</t>
  </si>
  <si>
    <t>FARMACIA LACOR C.A.</t>
  </si>
  <si>
    <t>J401966110</t>
  </si>
  <si>
    <t>0414-7130343 / 0414-1400001</t>
  </si>
  <si>
    <t>AV. 5TA AVENIDA ENTRE CALLES 11 Y 12 EDIF LACOR PISO P/B LOCAL PLANTA BAJA SECTOR ESQUINA DE LA CALLE 12, CENTRO, SAN CRISTOBAL, TACHIRA</t>
  </si>
  <si>
    <t>02261</t>
  </si>
  <si>
    <t>FARMACIA FARMAX, C.A</t>
  </si>
  <si>
    <t>J298667702</t>
  </si>
  <si>
    <t>AV 7 ENTRE CALLES 12 Y 13 EDIF QUIBURE PISO PB LOCAL L- 31 SECTOR CENTRO, QUIBOR, ESTADO LARA QUIBOR LARA</t>
  </si>
  <si>
    <t>2786.36</t>
  </si>
  <si>
    <t>02262</t>
  </si>
  <si>
    <t>FARMACIA SANA SANA EL JUNQUITO C.A</t>
  </si>
  <si>
    <t>J505995154</t>
  </si>
  <si>
    <t>0414-8173216</t>
  </si>
  <si>
    <t>CALLE SILENCIO LOCAL NRO 91 BARRIO LAS CHARAS PUERTO LA CRUZ ANZOATEGUI</t>
  </si>
  <si>
    <t>82075.84</t>
  </si>
  <si>
    <t>02263</t>
  </si>
  <si>
    <t>CENTRO DE ESPECIALIDADES MEDICAS GLOBAL MED, C.A</t>
  </si>
  <si>
    <t>J506208296</t>
  </si>
  <si>
    <t>0412-8395702</t>
  </si>
  <si>
    <t>CALLE 6 VEREDA 29 LOCAL NRO 01 SECTOR 01 ANEXO A LA CASA 31 URBANIZACION BRISAS DEL MAR BARCELONA ANZOATEGUI</t>
  </si>
  <si>
    <t>3210.12</t>
  </si>
  <si>
    <t>02264</t>
  </si>
  <si>
    <t>FARMACIA LAS FLORES I, C.A.</t>
  </si>
  <si>
    <t>J413211688</t>
  </si>
  <si>
    <t>0412-6639207</t>
  </si>
  <si>
    <t>CALLE PRINCIPAL EDIF RESIDENCIAS FLORIDA SUITE PISO PB LOCAL 2 BARRIO LAS FLORES SAN CRISTOBAL TACHIRA ZONA POSTAL 5001. 
Estado Tachira. Municipio San Cristób</t>
  </si>
  <si>
    <t>239457.88</t>
  </si>
  <si>
    <t>02265</t>
  </si>
  <si>
    <t>FARMACIA SALUD VITAL C.A</t>
  </si>
  <si>
    <t>J503152095</t>
  </si>
  <si>
    <t>0412-7998290</t>
  </si>
  <si>
    <t>CALLE 12 CASA NRO 6-28 SECTOR BARRIO MONSEÑOR BRICEÑO TARIBA, TACHIRA</t>
  </si>
  <si>
    <t>104433.62</t>
  </si>
  <si>
    <t>02266</t>
  </si>
  <si>
    <t>FARMA VIDA -VITAL, C.A.</t>
  </si>
  <si>
    <t>J506674440</t>
  </si>
  <si>
    <t>0412-8803850</t>
  </si>
  <si>
    <t>8780</t>
  </si>
  <si>
    <t>SANTO DOMINGO - TACHIRA</t>
  </si>
  <si>
    <t>chururu calle principal casa s-n sector canta ranas. 
Estado Tachira. Municipio Fernández Feo. Parroquia Santo Domingo. El Piñal</t>
  </si>
  <si>
    <t>1577767.78</t>
  </si>
  <si>
    <t>AV UNIVERSIDAD, N° CIVICO 188-85 LOCAL NRO B SECTOR S/N NAGUANAGUA CARABOBO</t>
  </si>
  <si>
    <t>02268</t>
  </si>
  <si>
    <t>MAGYALIDES OSCARINA MEDINA</t>
  </si>
  <si>
    <t>V14110174</t>
  </si>
  <si>
    <t>MAURIN</t>
  </si>
  <si>
    <t>02269</t>
  </si>
  <si>
    <t>MARIA ALEXANDRA ALVAREZ</t>
  </si>
  <si>
    <t>V10849419</t>
  </si>
  <si>
    <t>04245161805</t>
  </si>
  <si>
    <t>Urb Prados del Golf 4ta etapa calle 4-13. Cabudare Edo Lara</t>
  </si>
  <si>
    <t>02270</t>
  </si>
  <si>
    <t>(MATRIZ) FARMANATURA C.A.</t>
  </si>
  <si>
    <t>0424-5480553</t>
  </si>
  <si>
    <t>AV 10 DIAGONAL A INAVI EDIF CADEBA PISO B LOCAL S/N BARRIO EL CAMBIO BARINAS BARINAS</t>
  </si>
  <si>
    <t>02272</t>
  </si>
  <si>
    <t>CENTRO MEDICO QUIRURGICO SAN FRANCISCO, C.A</t>
  </si>
  <si>
    <t>J500959087</t>
  </si>
  <si>
    <t>CALLE MIRANDA NRO 35 EDIF CENTRO ART PROFESIONAL PISO 1 LOCAL P1-1, P1-2, P1-3, P1-4 SECTOR PUERTO LA CRUZ PUERTO LA CRUZ. ANZOATEGUI</t>
  </si>
  <si>
    <t>02273</t>
  </si>
  <si>
    <t>LABORATORIO MEDABEL, C.A</t>
  </si>
  <si>
    <t>J411234141</t>
  </si>
  <si>
    <t>0412-7277184</t>
  </si>
  <si>
    <t>CALLE DEMOCRACIA ENTRE CALLE BUENOS AIRES Y MANEIRO CASA NRO 38 SECTOR CENTRO PUERTO LA CRUZ ANZOATEGUI</t>
  </si>
  <si>
    <t>02274</t>
  </si>
  <si>
    <t>FARMACIA MIS ANGELES 2724 C.A.</t>
  </si>
  <si>
    <t>J506247879</t>
  </si>
  <si>
    <t>0424-352-8000  / 0424-324-15</t>
  </si>
  <si>
    <t>CALLE VARGAS SUR EDIF RESIDENCIAS GALIL III PISO PB LOCAL N°2 SECTOR CENTRO MARACAY ARAGUA</t>
  </si>
  <si>
    <t>449328.78</t>
  </si>
  <si>
    <t>02275</t>
  </si>
  <si>
    <t>FARMACIA LA GUADALUPE 2020, C.A</t>
  </si>
  <si>
    <t>J500332211</t>
  </si>
  <si>
    <t>0424-352-8000 / 0424-324-159</t>
  </si>
  <si>
    <t>AV UNIVERSIDAD LOCAL NRO 54 SECTOR EL LIMON EL LIMON ARAGUA</t>
  </si>
  <si>
    <t>471592.35</t>
  </si>
  <si>
    <t>02276</t>
  </si>
  <si>
    <t>FULLFARMA, C.A</t>
  </si>
  <si>
    <t>J500783973</t>
  </si>
  <si>
    <t>BOCA DE RIO EDO NUEVA ESPART</t>
  </si>
  <si>
    <t>0416-198.68.01</t>
  </si>
  <si>
    <t>CALLE REAL CARACAS LOCAL NRO S/N SECTOR CARACAS BOCA DE RIO NUEVA ESPARTA</t>
  </si>
  <si>
    <t>410288.36</t>
  </si>
  <si>
    <t>02277</t>
  </si>
  <si>
    <t>CAJA DE AHORRO Y PRESTAMO NACIONAL DE LOS TRABAJADORES AGROPECUARIOS (CANAOBRE)</t>
  </si>
  <si>
    <t>J075113896</t>
  </si>
  <si>
    <t>AV MIRANDA OESTE EDIF CANAOBRE PISO PB LOCAL 149 SECTOR CENTRO MARACAY ARAGUA</t>
  </si>
  <si>
    <t>02278</t>
  </si>
  <si>
    <t>MI NUEVA FARMACIA C.A</t>
  </si>
  <si>
    <t>J295633688</t>
  </si>
  <si>
    <t>+58 424-4206772</t>
  </si>
  <si>
    <t>AV RICAURTE CRUCE CON CALLE DEMOCRACIA EDIF CARONI PISO PB OF 1 SECTOR CENTRO SAN CARLOS COJEDES</t>
  </si>
  <si>
    <t>86408.10</t>
  </si>
  <si>
    <t>02279</t>
  </si>
  <si>
    <t>FARMACIA SAN JOSE G.H, C.A.</t>
  </si>
  <si>
    <t>J501099758</t>
  </si>
  <si>
    <t>CALLE SOUBLETTE NORTE EDIF SOUBLETTE PISO PB LOCAL 8-5 SECTOR CENTRO MARACAY ARAGUA</t>
  </si>
  <si>
    <t>109176.31</t>
  </si>
  <si>
    <t>02280</t>
  </si>
  <si>
    <t>FARMACIA FARMASOL VALERA, C.A.</t>
  </si>
  <si>
    <t>J504749966</t>
  </si>
  <si>
    <t>BOCONO - TRUJILLO</t>
  </si>
  <si>
    <t>0424-7002917</t>
  </si>
  <si>
    <t>8760</t>
  </si>
  <si>
    <t>CALLE 7 ENTRE AVENIDAS 9 Y 10 LOCAL NRO 02 SECTOR CENTRO PQUIA MERCEDEZ DIAZ MCPIO VALERA TRUJILLO ZONA POSTAL 3101. 
Estado Trujillo. Municipio Valera. Parroq</t>
  </si>
  <si>
    <t>02281</t>
  </si>
  <si>
    <t>(MATRIZ) FARMACIA FARMASOL VALERA, C.A</t>
  </si>
  <si>
    <t>VALERA - TRUJILLO</t>
  </si>
  <si>
    <t>8761</t>
  </si>
  <si>
    <t>02282</t>
  </si>
  <si>
    <t>FARMACIA FARMASOL VALERA, C.A (SUCURSAL 2)</t>
  </si>
  <si>
    <t>FARMACIA FARMASOL VALERA, C.A</t>
  </si>
  <si>
    <t>VALERA ESTADO TRUJILLO</t>
  </si>
  <si>
    <t>02284</t>
  </si>
  <si>
    <t>FARMACIA FARMASOL VALERA, C.A  (SUCURSAL 3)</t>
  </si>
  <si>
    <t>02285</t>
  </si>
  <si>
    <t>FARMACIA FARMASOL VALERA, C.A (SUC TIMOTES)</t>
  </si>
  <si>
    <t>8762</t>
  </si>
  <si>
    <t>TIMOTES - MERIDA</t>
  </si>
  <si>
    <t>02286</t>
  </si>
  <si>
    <t>FARMACIA FARMASOLG, C.A.</t>
  </si>
  <si>
    <t>J406420069</t>
  </si>
  <si>
    <t>SECTOR CENTRO CALLE PAEZ CASA NRO 0-231 LOCAL NRO 01 . 
Estado Trujillo. Municipio Boconó. Parroquia Boconó. Bocono</t>
  </si>
  <si>
    <t>02287</t>
  </si>
  <si>
    <t>FARMAKOOX C.A</t>
  </si>
  <si>
    <t>J405013443</t>
  </si>
  <si>
    <t>AV LISANDRO ALVARADO ENTRE CALLES 19 Y 20 LOCAL NRO S/N SECTOR CENTRO EL TOCUYO LARA</t>
  </si>
  <si>
    <t>02288</t>
  </si>
  <si>
    <t>NATHALY DE LOS ANGELES RIVERA CASTILLO</t>
  </si>
  <si>
    <t>V13540647</t>
  </si>
  <si>
    <t>04265864744</t>
  </si>
  <si>
    <t>02289</t>
  </si>
  <si>
    <t>SOCIAL MEDICAL C.A</t>
  </si>
  <si>
    <t>J402109261</t>
  </si>
  <si>
    <t>0412-8486115</t>
  </si>
  <si>
    <t>AV BOLIVAR LOCAL CRUCE CON CALLE MEDINA ANGARITA NRO 3 SECTOR CENTRO VILLA DE CURA ARAGUA</t>
  </si>
  <si>
    <t>204866.01</t>
  </si>
  <si>
    <t>02290</t>
  </si>
  <si>
    <t>FARMACIA LA SUPERIOR, C.A</t>
  </si>
  <si>
    <t>J501489068</t>
  </si>
  <si>
    <t>CR 11 ENTRE CALLES 5 Y 6 CASA NRO 5-19 BARRIO ESMILTA CAMEJO SOCOPO BARINAS</t>
  </si>
  <si>
    <t>7788.97</t>
  </si>
  <si>
    <t>02291</t>
  </si>
  <si>
    <t>FARMACIA FARMASOL MAMA TERESA C.A.</t>
  </si>
  <si>
    <t>J504765023</t>
  </si>
  <si>
    <t>Carretera Nacional Local 2 Sector Los Pantanos el Carmen (Bocono) Trujillo Zona Postal 3103. 
Estado Trujillo. Municipio Boconó. Parroquia Boconó. Bocono</t>
  </si>
  <si>
    <t>02292</t>
  </si>
  <si>
    <t>FARMACIA FARMABOCONO, C.A.</t>
  </si>
  <si>
    <t>J314873938</t>
  </si>
  <si>
    <t>AV RAFAEL MARIA HERNANDEZ EDIF EL MOLINO PISO PB LOCAL 01 SECTOR EL BARZALITO BOCONO TRUJILLO</t>
  </si>
  <si>
    <t>02293</t>
  </si>
  <si>
    <t>FUNDACION AYUDANDO A VIVIR</t>
  </si>
  <si>
    <t>J411624853</t>
  </si>
  <si>
    <t>AV LIBERTADOR LOCAL NRO S/N SECTOR GUARAPICHE II MATURIN MONAGAS</t>
  </si>
  <si>
    <t>0.33</t>
  </si>
  <si>
    <t>02294</t>
  </si>
  <si>
    <t>FARMACIA BOCONO PLAZA, C.A</t>
  </si>
  <si>
    <t>J401865852</t>
  </si>
  <si>
    <t>424-7002917</t>
  </si>
  <si>
    <t>AV 4 INDEPENDENCIA ENTRE CALLES BOLIVAR Y MONSEÑOR JAUREGUI LOCAL NRO 5-49 SECTOR CENTRO DE BOCONO ESTADO TRUJILLO BOCONO TRUJILLO</t>
  </si>
  <si>
    <t>02295</t>
  </si>
  <si>
    <t>FARMACIA FARMACENTRO BOCONO C.A.</t>
  </si>
  <si>
    <t>J500342039</t>
  </si>
  <si>
    <t>AV MIRANDA ENTRE CALLES BOLIBAR Y JOSE MARIA VARGAS LOCAL NRO 4-58 SECTOR CENTRO BOCONO TRUJILLO</t>
  </si>
  <si>
    <t>02296</t>
  </si>
  <si>
    <t>FARMADESCUENTOS EL PIÑAL C.A.</t>
  </si>
  <si>
    <t>J404608486</t>
  </si>
  <si>
    <t>SAN RAFAEL DEL PIÑAL - TACHI</t>
  </si>
  <si>
    <t>0424-7737061</t>
  </si>
  <si>
    <t>Calle 2 entre Carreras 1 y 2 Sector Los Leones Local 6 el Piñal. . 
Estado Tachira. Municipio Fernández Feo. Parroquia Fernández Feo . El Piñal</t>
  </si>
  <si>
    <t>197730.62</t>
  </si>
  <si>
    <t>02297</t>
  </si>
  <si>
    <t>FAR+CIA, C.A.</t>
  </si>
  <si>
    <t>J293607604</t>
  </si>
  <si>
    <t>0414-7364381</t>
  </si>
  <si>
    <t>AV MIRANDA CC LAS TEJAS NIVEL 1 LOCAL 6 SECTOR CENTRO TINAQUILLO, TINAQUILLO COJEDES</t>
  </si>
  <si>
    <t>9634.06</t>
  </si>
  <si>
    <t>02298</t>
  </si>
  <si>
    <t>INVERSIONES CINESIO, C.A</t>
  </si>
  <si>
    <t>J411830453</t>
  </si>
  <si>
    <t>0424-9340805</t>
  </si>
  <si>
    <t>CALLE BOLIVAR CASCO CENTRAL LOCAL NRO S/N SECTOR SUCRE MUNICIPIO PIAR EL MANTECO BOLIVAR</t>
  </si>
  <si>
    <t>02299</t>
  </si>
  <si>
    <t>VITALAB LABORATORIO, C.A.</t>
  </si>
  <si>
    <t>J502035656</t>
  </si>
  <si>
    <t>0412-9858248</t>
  </si>
  <si>
    <t>CALLE LOS APAMATES LOCAL COMERCIAL NRO A-03-01 URB VISTA ALTA BARCELONA ANZOATEGUI</t>
  </si>
  <si>
    <t>02300</t>
  </si>
  <si>
    <t>FARMASOL 1, C.A</t>
  </si>
  <si>
    <t>J506260824</t>
  </si>
  <si>
    <t>0424- 5451406</t>
  </si>
  <si>
    <t>AV CIRCUNVALACION ENTRE CALLE 01 Y CALLE 03 LOCAL NRO S/N BARRIO ANTONIO JOSE DE SUCRE ACARIGUA</t>
  </si>
  <si>
    <t>421631.42</t>
  </si>
  <si>
    <t>AV FUERZAS ARMADAS, CRUCE CON CALLE 2 EDIF POLICLINICAS HELOIM PISO PB LOCAL PB-1 SECTOR LAS AVENIDAS - MATURIN MATURIN MONAGAS</t>
  </si>
  <si>
    <t>02303</t>
  </si>
  <si>
    <t>DARWIN JOSE ALCALA FEBRES</t>
  </si>
  <si>
    <t>V24503943</t>
  </si>
  <si>
    <t>02304</t>
  </si>
  <si>
    <t>KEVIN MENESES</t>
  </si>
  <si>
    <t>V29589511</t>
  </si>
  <si>
    <t>1840.75</t>
  </si>
  <si>
    <t>02305</t>
  </si>
  <si>
    <t>FARMACIA FARMANACO HH,C.A</t>
  </si>
  <si>
    <t>J407568841</t>
  </si>
  <si>
    <t>AV AEROPUERTO ESQUINA CON AV ZULIA CC AV AEROPUERTO NIVEL PLANTA BAJA LOCAL NRO 4 SECTOR CENTRO ANACO, ANZOATEGUI</t>
  </si>
  <si>
    <t>02306</t>
  </si>
  <si>
    <t>FARMAMEDICO, C.A</t>
  </si>
  <si>
    <t>J501722277</t>
  </si>
  <si>
    <t>SABANETA - BARINAS</t>
  </si>
  <si>
    <t>0414-5719187</t>
  </si>
  <si>
    <t>AV LIBERTADOR ENTRE CALLES 5 Y 6 LOCAL NRO S/N SECTOR CENTRO SABANETA BARINAS</t>
  </si>
  <si>
    <t>2721.72</t>
  </si>
  <si>
    <t>02307</t>
  </si>
  <si>
    <t>FARMACIA SUBLIME, C.A.</t>
  </si>
  <si>
    <t>J501904871</t>
  </si>
  <si>
    <t>04141587243</t>
  </si>
  <si>
    <t>CALLE 6 ARISMENDI ESQUINA AVENIDA LEONARDO RUIZ PINEDA EDIF GABY PISO PB LOCAL S/NO. SECTOR CENTRO BISCUCUY PORTUGUESA</t>
  </si>
  <si>
    <t>02308</t>
  </si>
  <si>
    <t>FARMACIA NUEVA AMADA C.A.</t>
  </si>
  <si>
    <t>J305364109</t>
  </si>
  <si>
    <t>AV 2 CON CALLE 5 LOCAL LOCAL NO. 4-66 SECTOR CENTRO URACHICHE EDO YARACUY URACHICHE YARACUY</t>
  </si>
  <si>
    <t>02309</t>
  </si>
  <si>
    <t>FARMACIA NIRGUA C.A.</t>
  </si>
  <si>
    <t>J085113371</t>
  </si>
  <si>
    <t>NIRGUA - YARACUY</t>
  </si>
  <si>
    <t>0412-7419929</t>
  </si>
  <si>
    <t>8765</t>
  </si>
  <si>
    <t>CALLE 4 CRUCE CON AVENIDAD 9 LOCAL NRO S/N SECTOR NIRGUA NIRGUA YARACUY</t>
  </si>
  <si>
    <t>02310</t>
  </si>
  <si>
    <t>FARMACIA HOSPITAL DE CLINICAS LAS DELICIAS, C.A.</t>
  </si>
  <si>
    <t>J316664449</t>
  </si>
  <si>
    <t>MARACAY - ARAGUA</t>
  </si>
  <si>
    <t>0414-5872023</t>
  </si>
  <si>
    <t>AV LAS DELICIAS EDIF HOSPITAL CLINICO LAS DELICIAS PISO PB S/N ZONA NORTE MARACAY EDO ARAGUA.</t>
  </si>
  <si>
    <t>02311</t>
  </si>
  <si>
    <t>TCONIN CAMAGUAN, C.A</t>
  </si>
  <si>
    <t>J502342540</t>
  </si>
  <si>
    <t>0424-3165339 /  0414-5435412</t>
  </si>
  <si>
    <t>AV JUAN VICENTE TORREALBA EDIF TCONIN PISO PB LOCAL S/N SECTOR VILLA HERMOSA CAMAGUAN GUARICO</t>
  </si>
  <si>
    <t>02312</t>
  </si>
  <si>
    <t>BAMBU VITALITY, C.A.</t>
  </si>
  <si>
    <t>J506873141</t>
  </si>
  <si>
    <t>0414-7442337</t>
  </si>
  <si>
    <t>AV FRANCIA CC MINI CENTRO COMERCIAL NRO 17-A PARCELAMIENTO "SAGECO DIECIOCHO MF" NIVEL 1 LOCAL 4 Y 5 URB ALTO BARINAS NORTE SECTOR MF BARINAS BARINAS</t>
  </si>
  <si>
    <t>02313</t>
  </si>
  <si>
    <t>URAFARMA C.A</t>
  </si>
  <si>
    <t>J403967172</t>
  </si>
  <si>
    <t>CARRERA NRO 3 ESQUINA CALLE NRO 5 EDIF HERMANOS NAIME. URACHICHE. YARACUY</t>
  </si>
  <si>
    <t>02314</t>
  </si>
  <si>
    <t>FARMACIA KAIROS C.A</t>
  </si>
  <si>
    <t>J404517197</t>
  </si>
  <si>
    <t>0426-2384887</t>
  </si>
  <si>
    <t>AV LIBERTADOR C/C GUASCO CASA PB NRO 1 SECTOR CENTRO VALLE DE LA PASCUA. GUARICO</t>
  </si>
  <si>
    <t>23736.49</t>
  </si>
  <si>
    <t>02315</t>
  </si>
  <si>
    <t>ONIFARMACIA C.A.</t>
  </si>
  <si>
    <t>J404827625</t>
  </si>
  <si>
    <t>0414-5416043</t>
  </si>
  <si>
    <t>ector La trinidad, edecio la Riva I, calle 01, vereda 02.. 
Estado Merida. Municipio Caracciolo Parra Olmedo . Parroquia Capital Caracciolo Parra Olmedo 1/. Tu</t>
  </si>
  <si>
    <t>813.21</t>
  </si>
  <si>
    <t>02316</t>
  </si>
  <si>
    <t>FARMACIA LOS CERRITOS 2022 CA</t>
  </si>
  <si>
    <t>J502786198</t>
  </si>
  <si>
    <t>LOS GUAYOS - CARABOBO</t>
  </si>
  <si>
    <t>04244224702 -</t>
  </si>
  <si>
    <t>AV PRINCIPAL CC LOS CERRITOS PARCELA CA NIVEL PB LOCAL PB03 Y PB04 URB LOS CERRITOS LOS GUAYOS CARABOBO</t>
  </si>
  <si>
    <t>659026.06</t>
  </si>
  <si>
    <t>02317</t>
  </si>
  <si>
    <t>FARMACIA MEDEX, C.A.</t>
  </si>
  <si>
    <t>J500318170</t>
  </si>
  <si>
    <t>0424-3188535 / 0414-4778178</t>
  </si>
  <si>
    <t>AV PRINCIPAL PASAJE 14 LOCAL 21-B - 21-C BARRIO SAN JOSE MARACAY ARAGUA</t>
  </si>
  <si>
    <t>50.90</t>
  </si>
  <si>
    <t>02318</t>
  </si>
  <si>
    <t>CASA FARMACIAS C.A</t>
  </si>
  <si>
    <t>J412703749</t>
  </si>
  <si>
    <t>0414-5325533</t>
  </si>
  <si>
    <t>CALLE 12 CON CARRERA 20 CASA VICTOR 4 NRO 11-65 SECTOR BARRIO OBRERO SAN CRISTOBAL</t>
  </si>
  <si>
    <t>48106.39</t>
  </si>
  <si>
    <t>02319</t>
  </si>
  <si>
    <t>FARMACIA DANIVAN III, C.A.</t>
  </si>
  <si>
    <t>J306769552</t>
  </si>
  <si>
    <t>LA GUARDIA EDO NUEVA ESPARTA</t>
  </si>
  <si>
    <t>8766</t>
  </si>
  <si>
    <t>LA GUARDIA - NUEVA ESPARTA</t>
  </si>
  <si>
    <t>CALLE FRATERNIDAD CRUCE CON CALLE SUCRE CASA LOCAL COMERCIAL FRENTE DISPENSARIO NRO 1 SECTOR LA GUARDIA, MUNICIPIO DIAZ, ESTADO NUEVA ESPARTA.</t>
  </si>
  <si>
    <t>327038.09</t>
  </si>
  <si>
    <t>0424-5977826</t>
  </si>
  <si>
    <t>CR 25 ENTRE CALLES 12 Y 13 LOCAL NRO 12-27 SECTOR CENTRO BARQUISIMETO</t>
  </si>
  <si>
    <t>02321</t>
  </si>
  <si>
    <t>FARMACIA MI PREFERIDA, C.A.</t>
  </si>
  <si>
    <t>J316332578</t>
  </si>
  <si>
    <t>CR 25 ESQUINA CALLE 22 CASA NRO S/N ZONA CENTRO BARQUISIMETO LARA</t>
  </si>
  <si>
    <t>CR CARRERA 21 ENTRE AV. VARGAS Y CALLE 19 LOCAL NRO 1 SECTOR CENTRO BARQUISIMETO LARA</t>
  </si>
  <si>
    <t>02323</t>
  </si>
  <si>
    <t>FARMACIA GALENICA 1721 C.A</t>
  </si>
  <si>
    <t>J504995720</t>
  </si>
  <si>
    <t>PALMIRA EDO TACHIRA</t>
  </si>
  <si>
    <t>0424-7404818</t>
  </si>
  <si>
    <t>8781</t>
  </si>
  <si>
    <t>PALMIRA - TACHIRA</t>
  </si>
  <si>
    <t>CALLE 3 LOCAL NRO 3-50 SECTOR PALMIRA PALMIRA TACHIRA. Estado Tachira. Municipio Guásimos. Parroquia Guásimos. Palmira</t>
  </si>
  <si>
    <t>412017.79</t>
  </si>
  <si>
    <t>02324</t>
  </si>
  <si>
    <t>(MATRIZ) FARMACIA LIDER, C.A.</t>
  </si>
  <si>
    <t>J313766259</t>
  </si>
  <si>
    <t>02325</t>
  </si>
  <si>
    <t>FARMACIA LIDER, C.A.</t>
  </si>
  <si>
    <t>MARIARA - CARABOBO</t>
  </si>
  <si>
    <t>04141450000</t>
  </si>
  <si>
    <t>AV. DIEGO TOVAR LOCAL NRO 21-3 SECTOR PUEBLO NUEVO MARIARA CARABOBO</t>
  </si>
  <si>
    <t>44223.58</t>
  </si>
  <si>
    <t>02326</t>
  </si>
  <si>
    <t>FARMACIA LIDER, C.A (SUCURSAL LA HACIENDITA)</t>
  </si>
  <si>
    <t>0414-1450000</t>
  </si>
  <si>
    <t>02327</t>
  </si>
  <si>
    <t>FARMACIA DIOS ES PANA, C.A</t>
  </si>
  <si>
    <t>J506833425</t>
  </si>
  <si>
    <t>AV 19 CASA NRO 02 URB RICARDO URRIERA, SECTOR 3 VALENCIA CARABOBO</t>
  </si>
  <si>
    <t>02328</t>
  </si>
  <si>
    <t>FARMAIGNACIO CAMORUCO, C.A.</t>
  </si>
  <si>
    <t>J501163154</t>
  </si>
  <si>
    <t>AV 100 (BOLIVAR NORTE) 137- 241 MANZANA 14 PARCELA 2 3 Y 4 LOCAL 1 Y 2 CENTRO COMERCIAL LAS DELICIAS URB EL VIÑEDO VALENCIA CARABOBO</t>
  </si>
  <si>
    <t>2212011.37</t>
  </si>
  <si>
    <t>02329</t>
  </si>
  <si>
    <t>FARMAIGNACIO LA SALUD, C.A (CEDEÑO)</t>
  </si>
  <si>
    <t>J413082004</t>
  </si>
  <si>
    <t>AV CEDEÑO (105) EDIF LOCALES COMERCIALES CEDEÑO 1, NRO 105-20 PISO PB LOCAL NRO 1 SECTOR CASCO HISTORICO VALENCIA  CARABOBO</t>
  </si>
  <si>
    <t>1626383.79</t>
  </si>
  <si>
    <t>02330</t>
  </si>
  <si>
    <t>FARMAIGNACIO NAGUANAGUA, C.A.</t>
  </si>
  <si>
    <t>J501923175</t>
  </si>
  <si>
    <t>CALLE 190 EDIF EL SOL, NRO CIVICO 100-107 Y 100-109 PISO PB LOCAL 1 BARRIO TARAPIO NAGUANAGUA CARABOBO</t>
  </si>
  <si>
    <t>1596832.25</t>
  </si>
  <si>
    <t>02331</t>
  </si>
  <si>
    <t>FARMACIA LA LLANERITA DE GUANARITO, C.A.</t>
  </si>
  <si>
    <t>J296958017</t>
  </si>
  <si>
    <t>0426-6353864</t>
  </si>
  <si>
    <t>CR 9 ENTRE CALLES 4 Y 5 LOCAL NRO S/N SECTOR LA PLAZA GUANARITO EDO PORTUGUESA GUANARITO PORTUGUESA</t>
  </si>
  <si>
    <t>02332</t>
  </si>
  <si>
    <t>FARMACIA LIDER CAGUA, C.A.</t>
  </si>
  <si>
    <t>J312654694</t>
  </si>
  <si>
    <t>0412-8461733  /  0412-754150</t>
  </si>
  <si>
    <t>CALLE VARGAS NORTE NO 27 LOCAL NRO 1 SECTOR CENTRO MARACAY ARAGUA</t>
  </si>
  <si>
    <t>17118.20</t>
  </si>
  <si>
    <t>02333</t>
  </si>
  <si>
    <t>FARMACIA LA ENCRUCIJADA, C.A.</t>
  </si>
  <si>
    <t>J302849675</t>
  </si>
  <si>
    <t>LA ENCRUCIJADA - TURMERO</t>
  </si>
  <si>
    <t>0414-0463082  /</t>
  </si>
  <si>
    <t>8767</t>
  </si>
  <si>
    <t>CTRA NACIONAL LA ENCRUCIJADA CC BELLO HORIZONTE NIVEL PB LOCAL 5 ZONA LA ENCRUCIJADA TURMERO ARAGUA</t>
  </si>
  <si>
    <t>475375.63</t>
  </si>
  <si>
    <t>02334</t>
  </si>
  <si>
    <t>FARMACIA NUEVA VENECIA C.A</t>
  </si>
  <si>
    <t>J403509310</t>
  </si>
  <si>
    <t>0412-2900157</t>
  </si>
  <si>
    <t>Carrera 3 ,Nº 1-70 ,Sector Casco Central La Grita. . 
Estado Tachira. Municipio Jáuregui. Parroquia Jáuregui . La Grita</t>
  </si>
  <si>
    <t>1006552.27</t>
  </si>
  <si>
    <t>02335</t>
  </si>
  <si>
    <t>FARMACIA MAJESTIC II, C.A.</t>
  </si>
  <si>
    <t>J501471592</t>
  </si>
  <si>
    <t>0412-4489548</t>
  </si>
  <si>
    <t>AV SECTOR 01, AVENIDA 01, N. 67 URBANIZACION LAS AGUITAS LOS GUAYOS, ESTADO CARABOBO</t>
  </si>
  <si>
    <t>65088.62</t>
  </si>
  <si>
    <t>02336</t>
  </si>
  <si>
    <t>FARMA MILAN LA MORITA, C.A.</t>
  </si>
  <si>
    <t>J506672189</t>
  </si>
  <si>
    <t>AV VENEZUELA CRUCE CON AVENIDA COROPO CASA NRO 145 SECTOR LA MORITA II SANTA RITA ARAGUA</t>
  </si>
  <si>
    <t>02337</t>
  </si>
  <si>
    <t>FARMACIA AMERICANA, C.A.</t>
  </si>
  <si>
    <t>J501577846</t>
  </si>
  <si>
    <t>0414-7051431  /</t>
  </si>
  <si>
    <t>Quinta Avenida edificio San Sebastian Piso P.B local 2-35 San Cristobal Estado Tachira . 
Estado Tachira. Municipio San Cristóbal. Parroquia San Juan Bautista.</t>
  </si>
  <si>
    <t>141530.14</t>
  </si>
  <si>
    <t>02338</t>
  </si>
  <si>
    <t>(MATRIZ) FARMACIA PAEZ EL MERCADO CA</t>
  </si>
  <si>
    <t>02339</t>
  </si>
  <si>
    <t>FARMACIA PAEZ EL MERCADO C.A</t>
  </si>
  <si>
    <t>AV CRUZ PAREDES ENTRE AVENIDA GARQUERA Y AV ANDRE VARELA LOCAL COMERCIAL NRO 14-33 SECTOR CASCO CENTRAL BARINAS</t>
  </si>
  <si>
    <t>15494.09</t>
  </si>
  <si>
    <t>02340</t>
  </si>
  <si>
    <t>FARMACIA EL TRIANGULO DE TURMERO, C.A.</t>
  </si>
  <si>
    <t>J500486057</t>
  </si>
  <si>
    <t>0412-0499246 /</t>
  </si>
  <si>
    <t>CALLE MARIÑO LOCAL NRO 63-A SECTOR CENTRO TURMERO ARAGUA</t>
  </si>
  <si>
    <t>15200.56</t>
  </si>
  <si>
    <t>02341</t>
  </si>
  <si>
    <t>FARMACIA LA PLAZA, C.A.</t>
  </si>
  <si>
    <t>J303951678</t>
  </si>
  <si>
    <t>0424-3432135 / 0412-7541503</t>
  </si>
  <si>
    <t>CALLE MIRANDA C.C NONO LORENZO PB LOCAL NRO 1 SECTOR CENTRO TURMERO ARAGUA</t>
  </si>
  <si>
    <t>60543.82</t>
  </si>
  <si>
    <t>02342</t>
  </si>
  <si>
    <t>FARMAGANGA 2020 C. A</t>
  </si>
  <si>
    <t>J500683650</t>
  </si>
  <si>
    <t>04243103640 / 04120935954</t>
  </si>
  <si>
    <t>CALLE COMERCIO 34-0 CASA NRO SN URB CASCO CENTRAL EL SOMBRERO GUARICO</t>
  </si>
  <si>
    <t>17085.47</t>
  </si>
  <si>
    <t>02343</t>
  </si>
  <si>
    <t>FARMACIA MEDEX III, C.A</t>
  </si>
  <si>
    <t>J502011390</t>
  </si>
  <si>
    <t>0424-3363685</t>
  </si>
  <si>
    <t>AV CIRCUNVALACION C/C AVENIDA AGUSTIN CODAZZI CASA NRO 138 BARRIO PIÑONAL III MARACAY ARAGUA</t>
  </si>
  <si>
    <t>2223.94</t>
  </si>
  <si>
    <t>02345</t>
  </si>
  <si>
    <t>FARMACIA FARMA SERVICIOS LOS RUICES, C.A</t>
  </si>
  <si>
    <t>J503814195</t>
  </si>
  <si>
    <t>LOS RUICES - MIRANDA</t>
  </si>
  <si>
    <t>8768</t>
  </si>
  <si>
    <t>CALLE 92A ESQUINA AVENIDA 3 Y 3 EDIF LA BORIQUEÑA PISO B APT 1 SECTOR SANTA LUCIA MARACAIBO ZULIA</t>
  </si>
  <si>
    <t>251172.62</t>
  </si>
  <si>
    <t>02346</t>
  </si>
  <si>
    <t>FARMACIAS SAN MANUEL, CA.</t>
  </si>
  <si>
    <t>J502840982</t>
  </si>
  <si>
    <t>0412-480.46.87</t>
  </si>
  <si>
    <t>AV. PRINCIPAL LOCAL NRO 53 URB SANTA INES SECTOR 5 VALENCIA CARABOBO</t>
  </si>
  <si>
    <t>259998.84</t>
  </si>
  <si>
    <t>02347</t>
  </si>
  <si>
    <t>MATRIZ FARMACIA TARIBA C.A</t>
  </si>
  <si>
    <t>J303665942</t>
  </si>
  <si>
    <t>CALLE CAMEJO CASA NRO 16-166 SECTOR CENTRO BARINAS</t>
  </si>
  <si>
    <t>02348</t>
  </si>
  <si>
    <t>MATRIZ FARMADETODO 2024, C.A.</t>
  </si>
  <si>
    <t>BARCELONA / ANZOATEGUI</t>
  </si>
  <si>
    <t>04248870201</t>
  </si>
  <si>
    <t>02350</t>
  </si>
  <si>
    <t>FARMACLINICA DEL SUR, C.A.</t>
  </si>
  <si>
    <t>J404900837</t>
  </si>
  <si>
    <t>0414-4856701</t>
  </si>
  <si>
    <t>AV. SESQUINCENTENARIA LOCAL NRO 24 SECTOR RUIZ PINEDA II VALENCIA CARABOBO</t>
  </si>
  <si>
    <t>46316.34</t>
  </si>
  <si>
    <t>02351</t>
  </si>
  <si>
    <t>FARMACIA FARMIA C.A.</t>
  </si>
  <si>
    <t>J295774265</t>
  </si>
  <si>
    <t>0414-7055499 /</t>
  </si>
  <si>
    <t>Ubicado calle 14 carrera 22 y 23 casa N°22-70 Sector Barrio Obrero del Municipio San Cristóbal . 
Estado Tachira. Municipio San Cristóbal. Parroquia Pedro Marí</t>
  </si>
  <si>
    <t>121710.69</t>
  </si>
  <si>
    <t>02352</t>
  </si>
  <si>
    <t>FARMACIA CRUZ DE MAYO, C.A</t>
  </si>
  <si>
    <t>J505899333</t>
  </si>
  <si>
    <t>GUATIRE - MIRANDA</t>
  </si>
  <si>
    <t>04120764907</t>
  </si>
  <si>
    <t>CALLE SANTA ROSALIA LOCAL NRO - LOCAL 40-1 ZONA CASCO CENTRAL GUATIRE MIRANDA</t>
  </si>
  <si>
    <t>52852.58</t>
  </si>
  <si>
    <t>02353</t>
  </si>
  <si>
    <t>EXPENDIO DE MEDICINAS F.VIDA, C.A</t>
  </si>
  <si>
    <t>J506032155</t>
  </si>
  <si>
    <t>04245482835</t>
  </si>
  <si>
    <t>AV COMERCIO ENTRE CALLE 3 Y 4 LOCAL NRO 1 SECTOR CENTRO EL PLAYON PORTUGUESA</t>
  </si>
  <si>
    <t>96098.12</t>
  </si>
  <si>
    <t>02354</t>
  </si>
  <si>
    <t>FARMACIA DON JOSE. C.A</t>
  </si>
  <si>
    <t>J312041404</t>
  </si>
  <si>
    <t>AV 5 E/ CALLE 9 Y 10 EDIF DNUNZIO PISO P/B LOCAL N.-2 SECTOR CENTRO, TUREN EDO PORTUGUESA</t>
  </si>
  <si>
    <t>106493.66</t>
  </si>
  <si>
    <t>02355</t>
  </si>
  <si>
    <t>FARMACIA SAN LUIS C. A.</t>
  </si>
  <si>
    <t>J305380180</t>
  </si>
  <si>
    <t>AV 6 ENTRE CALLES 3 Y 4 LOCAL NRO S/N SECTOR CENTRO VILLA BRUZUAL PORTUGUESA</t>
  </si>
  <si>
    <t>107366.88</t>
  </si>
  <si>
    <t>02356</t>
  </si>
  <si>
    <t>FARMACIA FARMALIFE C.A</t>
  </si>
  <si>
    <t>J502358293</t>
  </si>
  <si>
    <t>AVENIDA 6 CON CALLE 11  EDIFICIO EL DORANDO PISO P/B LOCAL 4 SECTOR CENTRO. TUREN</t>
  </si>
  <si>
    <t>818396.03</t>
  </si>
  <si>
    <t>02357</t>
  </si>
  <si>
    <t>FARMAVIDA TUREN, C.A.</t>
  </si>
  <si>
    <t>J500591365</t>
  </si>
  <si>
    <t>CALLE 12 ESQUINA AV 6 EDIF VENEZUELA, PISO P/B LOCAL 2 SECTOR CENTRO, TUREN, VILLA BRUZUAL PORTUGUESA</t>
  </si>
  <si>
    <t>131918.89</t>
  </si>
  <si>
    <t>02358</t>
  </si>
  <si>
    <t>FARMACIA COPA DE ORO S.A</t>
  </si>
  <si>
    <t>J502325018</t>
  </si>
  <si>
    <t>GUASIMOS-TACHIRA</t>
  </si>
  <si>
    <t>0424-7282683</t>
  </si>
  <si>
    <t>3367</t>
  </si>
  <si>
    <t>CTRA PANAMERICANA LOCAL NRO P-01 SECTOR COPA DE ORO PALMIRA TACHIRA</t>
  </si>
  <si>
    <t>53056.59</t>
  </si>
  <si>
    <t>02359</t>
  </si>
  <si>
    <t>(MATRIZ) FARMACIA FARMACARONI C.A.</t>
  </si>
  <si>
    <t>CIUDAD GUAYANA</t>
  </si>
  <si>
    <t>8522</t>
  </si>
  <si>
    <t>JUDIBANA - FALCON</t>
  </si>
  <si>
    <t>02360</t>
  </si>
  <si>
    <t>FARMACIA FARMACARONI C.A. (SUCURSAL 1)</t>
  </si>
  <si>
    <t>PUERTO ORDAZ BOLIVAR</t>
  </si>
  <si>
    <t>CALLE CAURA CON CALLE CUCHIVERO CC CIUDAD ALTA VISTA I NIVEL PB LOCAL 88 SECTOR ALTA VISTA CIUDAD GUAYANA BOLIVAR</t>
  </si>
  <si>
    <t>249622.77</t>
  </si>
  <si>
    <t>02361</t>
  </si>
  <si>
    <t>FARMACIA 24/7 CANTARRANA, C.A.</t>
  </si>
  <si>
    <t>J505403648</t>
  </si>
  <si>
    <t>CALLE PRINCIPAL DE CANTARRANA LOCAL NRO SIN NUMERO SECTOR LOS ALMENDRONES CUMANA</t>
  </si>
  <si>
    <t>02362</t>
  </si>
  <si>
    <t>FARMACIA ALOANDRA II, C.A</t>
  </si>
  <si>
    <t>J412769499</t>
  </si>
  <si>
    <t>CALLE MARIÑO LOCAL NRO 48  SECTOR EL CENTRO CUMANA SUCRE</t>
  </si>
  <si>
    <t>02363</t>
  </si>
  <si>
    <t>FARMACIA 100% FARMA DESCUENTO,C.A.</t>
  </si>
  <si>
    <t>J401976174</t>
  </si>
  <si>
    <t>CALLE CAJIGAL LOCAL NRO 113-B SECTOR CE NTRO CUMANA SUCRE</t>
  </si>
  <si>
    <t>02364</t>
  </si>
  <si>
    <t>FARMACIA VIDA &amp; SALUD, C.A.</t>
  </si>
  <si>
    <t>J298311258</t>
  </si>
  <si>
    <t>CALLE CARABOBO CC MANZANARES NIVEL P.B LOCAL 16-A SECTOR CENTRO CUMANA</t>
  </si>
  <si>
    <t>02365</t>
  </si>
  <si>
    <t>(MATRIZ) FARMACIA LOS LLANOS 2021, C.A</t>
  </si>
  <si>
    <t>J501100390</t>
  </si>
  <si>
    <t>AV MIRANDA C/C BERMUDEZ LOCAL NRO 9-2 SECTOR CENTRO TINAQUILLO COJEDES ZONA</t>
  </si>
  <si>
    <t>02366</t>
  </si>
  <si>
    <t>FARMACIA LOS LLANOS 2021, C.A</t>
  </si>
  <si>
    <t>0424-4158533</t>
  </si>
  <si>
    <t>861525.80</t>
  </si>
  <si>
    <t>02367</t>
  </si>
  <si>
    <t>FARMACIA LOS LLANOS 2021, C.A (SUCURSAL)</t>
  </si>
  <si>
    <t>AV MIRANDA C/C BERMUDEZ LOCAL NRO 9-2 SECTOR CENTRO TINAQUILLO COJEDES</t>
  </si>
  <si>
    <t>842062.10</t>
  </si>
  <si>
    <t>02368</t>
  </si>
  <si>
    <t>FARMACIA MACARAO 2025, C.A</t>
  </si>
  <si>
    <t>J505420550</t>
  </si>
  <si>
    <t>MACARAO - CARACAS</t>
  </si>
  <si>
    <t>AV PRINCIPAL DE MACARAO LOCAL INDUSTRIAL EL GATICO, PLANTA BAJA URB MACARAO CARACAS DISTRITO CAPITAL</t>
  </si>
  <si>
    <t>0424-4244910</t>
  </si>
  <si>
    <t>AV LUISA CACERES DE ARISMENDI CASA NRO 82 BARRIO 23 DE ENERO MARACAY ARAGUA</t>
  </si>
  <si>
    <t>02370</t>
  </si>
  <si>
    <t>UNIDAD QUIRÚRGICA ANZOÁTEGUI C. A</t>
  </si>
  <si>
    <t>J401800440</t>
  </si>
  <si>
    <t>0414-1929172</t>
  </si>
  <si>
    <t>CALLE PRIMERA NORTE CRUCE CON CARRERA 11 EDIF CEMMI PISO PB OF S/N SECTOR PUEBLO NUEVO NORTE EL TIGRE ANZOATEGUI</t>
  </si>
  <si>
    <t>02371</t>
  </si>
  <si>
    <t>CRISANNY CAROLINA URQUIA VALDIVIEZO</t>
  </si>
  <si>
    <t>V17712454</t>
  </si>
  <si>
    <t>97.85</t>
  </si>
  <si>
    <t>02372</t>
  </si>
  <si>
    <t>(MATRIZ) FARMACAPSULA CA</t>
  </si>
  <si>
    <t>CALLE GUAYANA EDIF BLUE HILL PISO PB LOCAL 1 Y 4 SECTOR CASCO CENTRAL MUNICIPIO SIMON RODRIGUEZ. 
Estado Anzoategui. Municipio Simón Rodríguez. Parroquia Edmun</t>
  </si>
  <si>
    <t>02373</t>
  </si>
  <si>
    <t>FARMACAPSULA C.A (GUATIRE)</t>
  </si>
  <si>
    <t>0426-4823049 / 0424-8096000</t>
  </si>
  <si>
    <t>388556.83</t>
  </si>
  <si>
    <t>02374</t>
  </si>
  <si>
    <t>FARMACAPSULA C.A (GUARENAS)</t>
  </si>
  <si>
    <t>CALLE GUAYANA EDIF BLUE HILL PISO PB LOCAL 1 Y 4 SECTOR CASCO CENTRAL EL TIGRE ANZOATEGUI</t>
  </si>
  <si>
    <t>494186.34</t>
  </si>
  <si>
    <t>0414-5455922</t>
  </si>
  <si>
    <t>CR 11 ESQUINA CALLE 14 EDIF MOLISER LL PISO P/B LOCAL L-3 BARRIO LA ARENOSA GUANARE PORTUGUESA</t>
  </si>
  <si>
    <t>02376</t>
  </si>
  <si>
    <t>FARMACIA FARMAVIDA PIRITU,C.A</t>
  </si>
  <si>
    <t>J503932392</t>
  </si>
  <si>
    <t>CR 9 ENTRE CALLE 7 Y 8 LOCAL NRO 1 SECTOR CENTRO CIUDAD PIRITU PIRITU PORTUGUESA</t>
  </si>
  <si>
    <t>327456.72</t>
  </si>
  <si>
    <t>CALLE CALLEJON NEGRO PRIMERO CASA NRO S/N SECTOR EL CAMPO</t>
  </si>
  <si>
    <t>0424-3306460</t>
  </si>
  <si>
    <t>CALLE COROMOTO C/C 2DA TRANSV LOCAL EDIFICIO CLINICA GUADALUPE URB CALICANTO, MARACAY EDO.ARAGUA MARACAY ARAGUA</t>
  </si>
  <si>
    <t>02380</t>
  </si>
  <si>
    <t>FARMACIAS TREBOL LOS CERRITOS C.A</t>
  </si>
  <si>
    <t>J506812363</t>
  </si>
  <si>
    <t>AV PRINCIPAL, MINI CENTRO COMERCIAL LA VICTORIA LOCAL NRO 1 PLANTA BAJA SECTOR PARAPARAL LOS GUAYOS CARABOBO</t>
  </si>
  <si>
    <t>397555.22</t>
  </si>
  <si>
    <t>02381</t>
  </si>
  <si>
    <t>FARMACIAS TREBOL C.A</t>
  </si>
  <si>
    <t>J506808277</t>
  </si>
  <si>
    <t>CTRA NACIONAL, CENTRO COMERCIAL LOS INDUSTRIALES RINCON CONTRY, LOCAL 05, LOS GUAYOS ESTADO CARABOBO.</t>
  </si>
  <si>
    <t>476365.62</t>
  </si>
  <si>
    <t>02382</t>
  </si>
  <si>
    <t>CLINICA DR. AMAURI RENGEL, C.A</t>
  </si>
  <si>
    <t>J075905709</t>
  </si>
  <si>
    <t>0424-4953319</t>
  </si>
  <si>
    <t>CALLE LÓPEZ LATOUCHE LOCAL NRO. 100-157 URB LAS ACACIAS VALENCIA CARABOBO</t>
  </si>
  <si>
    <t>02383</t>
  </si>
  <si>
    <t>FARMACENTER C A</t>
  </si>
  <si>
    <t>J305725551</t>
  </si>
  <si>
    <t>+58 414-8220289</t>
  </si>
  <si>
    <t>AV 5 DE JULIO LOCAL 6-60 SECTOR LA CHICA BARCELONA ANZOATEGUI</t>
  </si>
  <si>
    <t>02384</t>
  </si>
  <si>
    <t>FARMACIA DOñA GOYA Y,C.A</t>
  </si>
  <si>
    <t>J405532602</t>
  </si>
  <si>
    <t>AV ANTONIO MARIA BAYON ENTRE CALLE 5 Y 6 LOCAL NRO 1 SECTRO CENTRO SABANETA BARINAS</t>
  </si>
  <si>
    <t>0414-5712776</t>
  </si>
  <si>
    <t>AV SIMON BOLIVAR CC RUSINCA NIVEL 2 LOCAL 11 BARRIO EL CAMBIO GUANARE PORTUGUESA</t>
  </si>
  <si>
    <t>02386</t>
  </si>
  <si>
    <t>MATERNIDAD LA FLORESTA C.A.</t>
  </si>
  <si>
    <t>J075590007</t>
  </si>
  <si>
    <t>CALLE COMERCIO LOCAL NRO 1 URB LA FLORESTA MARACAY EDO ARAGUA MARACAY ARAGUA</t>
  </si>
  <si>
    <t>632.38</t>
  </si>
  <si>
    <t>02387</t>
  </si>
  <si>
    <t>FARMACIA E W, C.A</t>
  </si>
  <si>
    <t>J501335877</t>
  </si>
  <si>
    <t>0412-2149218</t>
  </si>
  <si>
    <t>CTRA NACIONAL VALENCIA GUACARA LOCAL NRO C194 3526 URB LAS GARCITAS LOS GUAYOS CARABOBO</t>
  </si>
  <si>
    <t>747938.13</t>
  </si>
  <si>
    <t>02388</t>
  </si>
  <si>
    <t>FARMACIA HUMBOLDT, C.A</t>
  </si>
  <si>
    <t>J301809890</t>
  </si>
  <si>
    <t>0426-6410206</t>
  </si>
  <si>
    <t>AV ROMULO GALLEGOS LOCAL NRO 154 SECTOR COCA COLA VALLE DE LA PASCUA GUARICO</t>
  </si>
  <si>
    <t>92.63</t>
  </si>
  <si>
    <t>02389</t>
  </si>
  <si>
    <t>FARMACIA FARMALLANO 2015, C.A.</t>
  </si>
  <si>
    <t>J404912843</t>
  </si>
  <si>
    <t>ALTO BARINAS - BARINAS</t>
  </si>
  <si>
    <t>0424-5411600</t>
  </si>
  <si>
    <t>AV LOS TOROS LOCAL NRO C01 Y C02 URB ALTO BARINAS NORTE. BARINAS</t>
  </si>
  <si>
    <t>77504.04</t>
  </si>
  <si>
    <t>04243159464 / 04128459605</t>
  </si>
  <si>
    <t>CALLE 15 CASA NRO SN BARRIO SAN JOSE MARACAY ARAGUA</t>
  </si>
  <si>
    <t>02391</t>
  </si>
  <si>
    <t>FARMACIA FARMASOL C.A</t>
  </si>
  <si>
    <t>J080314220</t>
  </si>
  <si>
    <t>0416.8731883</t>
  </si>
  <si>
    <t>CALLE PAEZ LOCAL CENTRO COMERCIAL IECA NRO 107 URB BOLIVAR NORTE LA VICTORIA ARAGUA</t>
  </si>
  <si>
    <t>30965.31</t>
  </si>
  <si>
    <t>02392</t>
  </si>
  <si>
    <t>ALCIDES ALBERTO TOVAR APONTE</t>
  </si>
  <si>
    <t>V14224220</t>
  </si>
  <si>
    <t>02393</t>
  </si>
  <si>
    <t>EMPRENDIMIENTO VISNEIBYS GONZALEZ</t>
  </si>
  <si>
    <t>J506616890</t>
  </si>
  <si>
    <t>COCOLLAR EDO SUCRE</t>
  </si>
  <si>
    <t>+58 424-9747330</t>
  </si>
  <si>
    <t>CALLE PRINCIPAL CASA CASA NRO SN SECTOR COCOLLAR LAS PIEDRAS - (COCOLLAR) SUCRE</t>
  </si>
  <si>
    <t>52999.81</t>
  </si>
  <si>
    <t>02394</t>
  </si>
  <si>
    <t>FARMA GROUP 3N C.A</t>
  </si>
  <si>
    <t>J506703548</t>
  </si>
  <si>
    <t>0414-8113348</t>
  </si>
  <si>
    <t>CALLE COMERCIO CC PEDRO II NIVEL PB LOCAL A-1 SECTOR CENTRO PARIAGUAN ANZOATEGUI</t>
  </si>
  <si>
    <t>02395</t>
  </si>
  <si>
    <t>FARMACIA VIRGEN DE FATIMA PALMA C, C.A.</t>
  </si>
  <si>
    <t>J315802716</t>
  </si>
  <si>
    <t>04125260697</t>
  </si>
  <si>
    <t>AV SOCO CC PALMA CENTER NIVEL 1 LOCAL LC-10, LCS-11, LCS-12 SECTOR CENTRO LA VICTORIA LA VICTORIA ARAGUA</t>
  </si>
  <si>
    <t>02396</t>
  </si>
  <si>
    <t>CARLOS ENRIQUE BARONE PADRON</t>
  </si>
  <si>
    <t>V21347079</t>
  </si>
  <si>
    <t>02397</t>
  </si>
  <si>
    <t>FARMACIA JE MEDICAL C.A</t>
  </si>
  <si>
    <t>J500970919</t>
  </si>
  <si>
    <t>04149121116 / 0212/2329920 /</t>
  </si>
  <si>
    <t>AV FRANCISCO DE MIRANDA EDIF CENTRO, SEGUROS LA PAZ PISO PB LOCAL PB-13 PB-14 URB CALIFORNIA NORTE CARACAS MIRANDA</t>
  </si>
  <si>
    <t>25672.05</t>
  </si>
  <si>
    <t>02398</t>
  </si>
  <si>
    <t>FARMA SHOP SOLIDARIA AYACUCHO, C.A.</t>
  </si>
  <si>
    <t>J297734643</t>
  </si>
  <si>
    <t>04144598955 /</t>
  </si>
  <si>
    <t>AV AYACUCHO NORTE LOCAL NRO 55 SECTOR LA DEMOCRACIA MARACAY ARAGUA</t>
  </si>
  <si>
    <t>198.80</t>
  </si>
  <si>
    <t>02399</t>
  </si>
  <si>
    <t>FARMACIA SAN JUAN LEONARDI, C.A.</t>
  </si>
  <si>
    <t>J503340770</t>
  </si>
  <si>
    <t>0416-6720616</t>
  </si>
  <si>
    <t>CALLE URDANETA LOCAL MANZANA 002, PARCELA 001 URB. UD 103 MORENO DE MENDOZA CIUDAD GUAYANA BOLIVAR</t>
  </si>
  <si>
    <t>20982.96</t>
  </si>
  <si>
    <t>02400</t>
  </si>
  <si>
    <t>FARMACIA FARMAIDEAL, C.A</t>
  </si>
  <si>
    <t>J501165050</t>
  </si>
  <si>
    <t>AV 07 LOCAL 292-015-060(A) SECTOR II UNARE II UD 292 PARCELA 32 PTO ORDAZ CIUDAD GUAYANA BOLIVAR</t>
  </si>
  <si>
    <t>9139.56</t>
  </si>
  <si>
    <t>02401</t>
  </si>
  <si>
    <t>GRUPO DE FARMACIAS DROMEQFARMA, C.A.</t>
  </si>
  <si>
    <t>J413261421</t>
  </si>
  <si>
    <t>0424-3072191</t>
  </si>
  <si>
    <t>AV BOLIVAR CC CIUDAD JARDIN NIVEL PB LOCAL 12 URB SAN JACINTO MARACAY ARAGUA ZONA</t>
  </si>
  <si>
    <t>02402</t>
  </si>
  <si>
    <t>FARMACIA GUADALUPANA C.A</t>
  </si>
  <si>
    <t>J506719150</t>
  </si>
  <si>
    <t>SAN ANTONIO DEL GOLFO - SUCR</t>
  </si>
  <si>
    <t>8770</t>
  </si>
  <si>
    <t>AV LA MARINA SAN ANTONIO DEL GOLFO LOCAL NRO 17 SECTOR CENTRO SAN ANTONIO DEL GOLFO SUCRE</t>
  </si>
  <si>
    <t>02403</t>
  </si>
  <si>
    <t>FARMALISTO, C.A</t>
  </si>
  <si>
    <t>J500881711</t>
  </si>
  <si>
    <t>0414-4006770</t>
  </si>
  <si>
    <t>CALLE AVILA, ENTRE AVENIDA BOLIVAR Y AVENIDA MIRANDA, NUMERO CIVICO 26-A LOCAL NRO 01 SECTOR CENTRO GUIGUE CARABOBO</t>
  </si>
  <si>
    <t>255921.48</t>
  </si>
  <si>
    <t>02404</t>
  </si>
  <si>
    <t>FARMACIA LOS ROQUE.C.A</t>
  </si>
  <si>
    <t>J506643553</t>
  </si>
  <si>
    <t>EL PILAR - SUCRE</t>
  </si>
  <si>
    <t>0414-8031359</t>
  </si>
  <si>
    <t>CALLE BOLIVAR LOCAL NRO S/N  SECTOR CENTRO EL PILAR, SUCRE</t>
  </si>
  <si>
    <t>397427.98</t>
  </si>
  <si>
    <t>02405</t>
  </si>
  <si>
    <t>FARMACIA UNITAS NORTE, C.A.</t>
  </si>
  <si>
    <t>J298120886</t>
  </si>
  <si>
    <t>0424-7661794</t>
  </si>
  <si>
    <t>CALLE 5 ENTRE CARRERAS 11 Y 12, LOCAL Nro. 11-40, SECTOR LA CONCORDIA, SAN CRISTÓBAL. 
Estado Tachira. Municipio San Cristóbal. Parroquia La Concordia. San Cri</t>
  </si>
  <si>
    <t>1057168.29</t>
  </si>
  <si>
    <t>02407</t>
  </si>
  <si>
    <t>FARMAIGNACIO SAN JOAQUIN, C.A.</t>
  </si>
  <si>
    <t>J506842564</t>
  </si>
  <si>
    <t>CTRA NACIONAL SAN JOAQUIN GUACARA LOCAL NRO 8, SECTOR EL CARMEN, SAN JOAQUIN, CARABOBO</t>
  </si>
  <si>
    <t>1485776.53</t>
  </si>
  <si>
    <t>02408</t>
  </si>
  <si>
    <t>FARMA ALKOSTO1, C.A.</t>
  </si>
  <si>
    <t>J505293133</t>
  </si>
  <si>
    <t>0412-3006172</t>
  </si>
  <si>
    <t>CALLE 7 ENTRE SEPTIMA AVENIDA Y CARRERA 6 LOCAL NRO 6-48 SECTOR CENTRO SAN CRISTOBAL TACHIRA</t>
  </si>
  <si>
    <t>195494.82</t>
  </si>
  <si>
    <t>02409</t>
  </si>
  <si>
    <t>(MATRIZ) FARMA ALKOSTO1, C.A.</t>
  </si>
  <si>
    <t>CALLE 7 ENTRE SEPTIMA AVENIDA Y CARRERA 6 LOCAL NRO 6-48 SECTOR CENTRO SAN CRISTOBAL TACHIRA ZONA POSTAL 5001. 
Estado Tachira. Municipio San Cristóbal. Parroq</t>
  </si>
  <si>
    <t>02410</t>
  </si>
  <si>
    <t>FARMA ALKOSTO1, C.A. (SUCURSAL)</t>
  </si>
  <si>
    <t>176972.66</t>
  </si>
  <si>
    <t>02411</t>
  </si>
  <si>
    <t>FARMACIA CENTRO CASA BLANCA, C.A</t>
  </si>
  <si>
    <t>J506454440</t>
  </si>
  <si>
    <t>0414.3160091</t>
  </si>
  <si>
    <t>CALLE CAMPO ELIAS EDIF EL CESAR PISO PB LOCAL 01 SECTOR CENTRO SAN SEBASTIAN ARAGUA</t>
  </si>
  <si>
    <t>90471.05</t>
  </si>
  <si>
    <t>02412</t>
  </si>
  <si>
    <t>MATRIZ FARMACIA FARMAEXPRESS 2024, C.A</t>
  </si>
  <si>
    <t>02413</t>
  </si>
  <si>
    <t>FARMACIA FARMAEXPRESS 2024, C.A  "SUCURSAL"</t>
  </si>
  <si>
    <t>FARMACIA FARMAEXPRESS 2024, C.A</t>
  </si>
  <si>
    <t>284484.60</t>
  </si>
  <si>
    <t>02414</t>
  </si>
  <si>
    <t>MATRIZ FARMACIA VIDA Y SALUD CARUPANO C.A</t>
  </si>
  <si>
    <t>02415</t>
  </si>
  <si>
    <t>FARMACIA VIDA Y SALUD CARUPANO C.A (SUCURSAL)</t>
  </si>
  <si>
    <t>02416</t>
  </si>
  <si>
    <t>MATRIZ FARMAVIDA 2024, C.A</t>
  </si>
  <si>
    <t>02417</t>
  </si>
  <si>
    <t>FARMAVIDA 2024, C.A (SUCURSAL)</t>
  </si>
  <si>
    <t>SAN SEBASTIAN DE LOS REYES</t>
  </si>
  <si>
    <t>144798.96</t>
  </si>
  <si>
    <t>02418</t>
  </si>
  <si>
    <t>FARMACIA FARMAREAL 2, C.A</t>
  </si>
  <si>
    <t>J502389229</t>
  </si>
  <si>
    <t>0424-9526205</t>
  </si>
  <si>
    <t>CALLE MIRANDA LOCAL NRO S/N SECTOR CASCO CENTRAL UPATA BOLIVAR</t>
  </si>
  <si>
    <t>407020.26</t>
  </si>
  <si>
    <t>02419</t>
  </si>
  <si>
    <t>FARMACIA FARMAREAL 3, C.A</t>
  </si>
  <si>
    <t>J504218898</t>
  </si>
  <si>
    <t>CALLE INDEPENDENCIA CON CALLE LIBERTAD LOCAL NRO 3 ZONA UPATA UPATA BOLIVAR</t>
  </si>
  <si>
    <t>70892.38</t>
  </si>
  <si>
    <t>02420</t>
  </si>
  <si>
    <t>FARMACIA FARMAREAL 4, C.A</t>
  </si>
  <si>
    <t>J506053110</t>
  </si>
  <si>
    <t>AV VALMORE RODRÍGUEZ LOCAL NRO S/N SECTOR BELLA VISTA UPATA BOLIVAR</t>
  </si>
  <si>
    <t>129368.12</t>
  </si>
  <si>
    <t>02421</t>
  </si>
  <si>
    <t>FARMACIA FARMA CENTRO 2025, C.A</t>
  </si>
  <si>
    <t>J506587220</t>
  </si>
  <si>
    <t>02422</t>
  </si>
  <si>
    <t>FARMACIA FARMAVIT 20-24, CA</t>
  </si>
  <si>
    <t>J505233556</t>
  </si>
  <si>
    <t>AV AVENIDA EL TENIS ENTRE CALLE PROVIDENCIA Y CALLEJON 25 DE DICIEMBRE LOCAL SIN NOMBRE SECTOR CURAZAITO SANTA ANA DE CORO FALCON</t>
  </si>
  <si>
    <t>293862.16</t>
  </si>
  <si>
    <t>02423</t>
  </si>
  <si>
    <t>FARMACIA PANACEA 2021, C.A</t>
  </si>
  <si>
    <t>J504475785</t>
  </si>
  <si>
    <t>0412-1409056 / 0412-7206627</t>
  </si>
  <si>
    <t>CALLE URDANETA NRO 113 CC FAMILY NIVEL PLANTA BAJA LOCAL S/N SECTOR S/N  PUERTO CABELLO CARABOBO</t>
  </si>
  <si>
    <t>298379.00</t>
  </si>
  <si>
    <t>02424</t>
  </si>
  <si>
    <t>GISVER GIOVANNY GONZALEZ ARRIECHE</t>
  </si>
  <si>
    <t>V19528784</t>
  </si>
  <si>
    <t>04245476335</t>
  </si>
  <si>
    <t>8510</t>
  </si>
  <si>
    <t>URB LA GRANJA GUANARE</t>
  </si>
  <si>
    <t>21934.08</t>
  </si>
  <si>
    <t>02425</t>
  </si>
  <si>
    <t>FARMACIA LA CANDELARIA JCY, C.A.</t>
  </si>
  <si>
    <t>J501121141</t>
  </si>
  <si>
    <t>0414-3453065</t>
  </si>
  <si>
    <t>CALLE BOLIVAR CRUCE CON CALLE LOS CHAGUARAMOS LOCAL NRO 28 URB LA CANDELARIA EL LIMON ARAGUA</t>
  </si>
  <si>
    <t>1750.38</t>
  </si>
  <si>
    <t>AV PRINCIPAL DE LECHERÍA CC GREY PLAZA NIVEL PB LOCAL PB-2 SECTOR CASCO CENTRAL DE LECHERÍA LECHERIAS ANZOATEGUI</t>
  </si>
  <si>
    <t>02427</t>
  </si>
  <si>
    <t>FARMACIA MIKEL C.A.</t>
  </si>
  <si>
    <t>J401536662</t>
  </si>
  <si>
    <t>0414-7055499 / 04147381201</t>
  </si>
  <si>
    <t>Septima Avenida con calle 7 Esquina Centro Nº 7-16 .
Estado Tachira. Municipio San Cristóbal. Parroquia San Sebastián. San Cristobal</t>
  </si>
  <si>
    <t>152955.69</t>
  </si>
  <si>
    <t>02428</t>
  </si>
  <si>
    <t>FARMACTUAL PIRITU C.A.</t>
  </si>
  <si>
    <t>J500761325</t>
  </si>
  <si>
    <t>0424-7317038</t>
  </si>
  <si>
    <t>CALLE 10 ENTRE CARRERAS 11 Y 12 LOCAL NRO S/N SECTOR CENTRO PIRITU PORTUGUESA</t>
  </si>
  <si>
    <t>150907.77</t>
  </si>
  <si>
    <t>02429</t>
  </si>
  <si>
    <t>FARMACIA ESTACION TARIBA C.A.</t>
  </si>
  <si>
    <t>J309459430</t>
  </si>
  <si>
    <t>0424-7494369</t>
  </si>
  <si>
    <t>Carrera 7 Calle 13 Urbanizacion Monseñor Briceño Tariba . 
Estado Tachira. Municipio Cárdenas. Parroquia Cárdenas . Tariba</t>
  </si>
  <si>
    <t>170347.05</t>
  </si>
  <si>
    <t>02430</t>
  </si>
  <si>
    <t>FARMACIA TU ESPERANZA, C.A</t>
  </si>
  <si>
    <t>J500332734</t>
  </si>
  <si>
    <t>JUDIBANA EDO FALCON</t>
  </si>
  <si>
    <t>0412-1030423</t>
  </si>
  <si>
    <t>AV JUAN CRISOSTOMO FALCON EDIF HOTEL JARDIN PISO /B LOCAL M URB JUDIBANA JUDIBANA FALCON</t>
  </si>
  <si>
    <t>121719.71</t>
  </si>
  <si>
    <t>02431</t>
  </si>
  <si>
    <t>FARMACIA GRUPO FAMILIA, C.A.</t>
  </si>
  <si>
    <t>J506646994</t>
  </si>
  <si>
    <t>04129924319</t>
  </si>
  <si>
    <t>AV 20 ESQUINA CALLE 30-C LOCAL NRO S/N BARRIO ALGARROBO ACARIGUA PORTUGUESA</t>
  </si>
  <si>
    <t>40811.29</t>
  </si>
  <si>
    <t>02432</t>
  </si>
  <si>
    <t>SILRAMI C.A</t>
  </si>
  <si>
    <t>J310216975</t>
  </si>
  <si>
    <t>TINACO EDO COJEDES</t>
  </si>
  <si>
    <t>0424-4333836</t>
  </si>
  <si>
    <t>AV 5 DE JULIO CON AV. BOLIVAR LOCAL NRO 1 SECTOR BUENOS AIRES TINACO COJEDES</t>
  </si>
  <si>
    <t>541256.25</t>
  </si>
  <si>
    <t>02433</t>
  </si>
  <si>
    <t>CORPORACION TECNOLOGICA CRT 2010 C.A</t>
  </si>
  <si>
    <t>J500677782</t>
  </si>
  <si>
    <t>02123837612</t>
  </si>
  <si>
    <t>AV CHAID EDIF INDUSTRIAL CAMPESTRE, PISO P.B LOCAL COMERCIAL INDUSTRIAL SECTOR LAS MINAS SAN ANTONIO DE LOS ALTOS MIRANDA</t>
  </si>
  <si>
    <t>02434</t>
  </si>
  <si>
    <t>FARMACIA ERMITA DE LOURDES C.A.</t>
  </si>
  <si>
    <t>J308463043</t>
  </si>
  <si>
    <t>0414-7055499 / 04147133097</t>
  </si>
  <si>
    <t>Carrera 3 esquina calle 13 Edificio barrientos planta baja. . 
Estado Tachira. Municipio San Cristóbal. Parroquia San Juan Bautista. San Cristobal</t>
  </si>
  <si>
    <t>115017.78</t>
  </si>
  <si>
    <t>02435</t>
  </si>
  <si>
    <t>FARMACIA LAS AMERICAS C.A.</t>
  </si>
  <si>
    <t>J090169121</t>
  </si>
  <si>
    <t>av lucio oquendo, esquina calle 5 casa numero 5-28 sector la concordia san cristobal. 
Estado Tachira. Municipio San Cristóbal. Parroquia La Concordia. San Cri</t>
  </si>
  <si>
    <t>74027.75</t>
  </si>
  <si>
    <t>02436</t>
  </si>
  <si>
    <t>FARMACIA SOLUCSALUD, C.A.</t>
  </si>
  <si>
    <t>21/09/2025</t>
  </si>
  <si>
    <t>J504363014</t>
  </si>
  <si>
    <t>0424 - 4329627</t>
  </si>
  <si>
    <t>AV. PRINCIPAL DE PARAPARAL LOCAL NRO 03 URB PARQUE MIDEV, MANZANA H LOS GUAYOS, CARABOBO</t>
  </si>
  <si>
    <t>02437</t>
  </si>
  <si>
    <t>JOSUE QUIJADA</t>
  </si>
  <si>
    <t>V27783089</t>
  </si>
  <si>
    <t>02438</t>
  </si>
  <si>
    <t>FAR MA DE SALUD, C.A</t>
  </si>
  <si>
    <t>J502128093</t>
  </si>
  <si>
    <t>0414-6373629</t>
  </si>
  <si>
    <t>AV PRINCIPAL VIA LA ARENOSA ENTRE CALLE CHAGUARAMARO Y ARAGUANEY LOCAL NRO S/N SECTOR EL OASIS TOCUYITO CARABOBO</t>
  </si>
  <si>
    <t>629435.44</t>
  </si>
  <si>
    <t>02440</t>
  </si>
  <si>
    <t>FARMACIA EL GUERRERO DE DIOS 2021 CA</t>
  </si>
  <si>
    <t>J501538972</t>
  </si>
  <si>
    <t>0424-4010764</t>
  </si>
  <si>
    <t>CALLE LIBERTADOR, CRUCE AVENIDA SAN JUAN, SECTOR F04 EDIF EL LUCERO PISO N/A LOCAL Nº CIVICO 63-72, BARRIO VENEZUELA VALENCIA CARABOBO</t>
  </si>
  <si>
    <t>207550.25</t>
  </si>
  <si>
    <t>02441</t>
  </si>
  <si>
    <t>FARMACIA SANTO NIÑO JESUS, C.A</t>
  </si>
  <si>
    <t>J312234156</t>
  </si>
  <si>
    <t>ALTAGRACIA EDO NUEVA ESPARTA</t>
  </si>
  <si>
    <t>04147804172</t>
  </si>
  <si>
    <t>8771</t>
  </si>
  <si>
    <t>ALTAGRACIA - NUEVA ESPARTA</t>
  </si>
  <si>
    <t>CALLE INDEPENDENCIA CASA NRO S/N URB ALTAGRACIA ALTAGRACIA NUEVA ESPARTA</t>
  </si>
  <si>
    <t>0414-8301690</t>
  </si>
  <si>
    <t>02443</t>
  </si>
  <si>
    <t>FARMAMELANI C.A.</t>
  </si>
  <si>
    <t>J409195872</t>
  </si>
  <si>
    <t>0424-5824769</t>
  </si>
  <si>
    <t>5003</t>
  </si>
  <si>
    <t>COLON - TACHIRA</t>
  </si>
  <si>
    <t>Carrera 7 N 7-86 esquina calle 8 San Juan de Colon Tachira. 
Estado Tachira. Municipio Ayacucho. Parroquia Ayacucho . Colon</t>
  </si>
  <si>
    <t>02444</t>
  </si>
  <si>
    <t>MARIO ALEJANDRO ROJAS TIAPA</t>
  </si>
  <si>
    <t>V24864437</t>
  </si>
  <si>
    <t>02445</t>
  </si>
  <si>
    <t>DANIEL JOSE CARRERA AMAIZ</t>
  </si>
  <si>
    <t>V19875825</t>
  </si>
  <si>
    <t>02446</t>
  </si>
  <si>
    <t>OMAR JOSE RODRIGUEZ MARCANO</t>
  </si>
  <si>
    <t>V23534300</t>
  </si>
  <si>
    <t>02447</t>
  </si>
  <si>
    <t>JOSE GREGORIO ZARAGOZA ZARAGOZA</t>
  </si>
  <si>
    <t>V24125376</t>
  </si>
  <si>
    <t>1866.25</t>
  </si>
  <si>
    <t>02448</t>
  </si>
  <si>
    <t>(MATRIZ) FARMACIA ROISALUD CA</t>
  </si>
  <si>
    <t>CALLE PRINCIPAL CC LAS VEGAS DE TARIBA NIVEL P/B LOCAL S/N SECTOR LAS VEGASDE TARIBA TARIBA TACHIRA ZONA POSTAL5017. 
Estado Tachira. Municipio Cárdenas. Parro</t>
  </si>
  <si>
    <t>02449</t>
  </si>
  <si>
    <t>FARMACIA ROISALUD C.A (TACHIRA)</t>
  </si>
  <si>
    <t>0414-6531230</t>
  </si>
  <si>
    <t>321098.97</t>
  </si>
  <si>
    <t>02450</t>
  </si>
  <si>
    <t>FARMACIA ROISALUD,C.A. (SUCURSAL)</t>
  </si>
  <si>
    <t>222962.93</t>
  </si>
  <si>
    <t>02451</t>
  </si>
  <si>
    <t>EXPENDIO DE MEDICINAS SANTA ANA DEL VALLE, C.A</t>
  </si>
  <si>
    <t>J506537699</t>
  </si>
  <si>
    <t>EL COBRE - TACHIRA</t>
  </si>
  <si>
    <t>8783</t>
  </si>
  <si>
    <t>CRTA PRINCIPAL CASA NRO S/N SECTOR EL COCUBAL, ALDEA MANGARIA EL COBRE TACHIRA</t>
  </si>
  <si>
    <t>27537.01</t>
  </si>
  <si>
    <t>02452</t>
  </si>
  <si>
    <t>FARMACIA AVIL&amp;ROS, CA</t>
  </si>
  <si>
    <t>J503784156</t>
  </si>
  <si>
    <t>CHABASQUEN - PORTUGUESA</t>
  </si>
  <si>
    <t>0426-6595958</t>
  </si>
  <si>
    <t>AV NEGRO SUCRE ENTRE CALLE ARISMENDI Y RICAUTER LOCAL NRO S/N SECTOR CENTRO CHABASQUEN PORTUGUESA</t>
  </si>
  <si>
    <t>768911.90</t>
  </si>
  <si>
    <t>02453</t>
  </si>
  <si>
    <t>FARMASIGLO, C.A</t>
  </si>
  <si>
    <t>J503537019</t>
  </si>
  <si>
    <t>AV BOLIVAR ENTRE CALLE RICAURTE Y CALLE ARVELO EDIFICIO BOLIVAR LOCAL NRO 03 SECTOR CENTRO GUIGUE CARABOBO</t>
  </si>
  <si>
    <t>143944.51</t>
  </si>
  <si>
    <t>02455</t>
  </si>
  <si>
    <t>JOSE JAVIER CADENAS NIETO "CADENAS FARMACIA LAS REBAJAS 2, F.P"</t>
  </si>
  <si>
    <t>0414-5360030</t>
  </si>
  <si>
    <t>325112.08</t>
  </si>
  <si>
    <t>02456</t>
  </si>
  <si>
    <t>MIGUEL ALEJANDRO GUTIERREZ SANGRONIS "GUTIERREZ FARMACIA PROSALUD, F.P"</t>
  </si>
  <si>
    <t>V275601795</t>
  </si>
  <si>
    <t>CIUDAD DE NUTRIAS EDO BARINA</t>
  </si>
  <si>
    <t>0414-5064385</t>
  </si>
  <si>
    <t>8788</t>
  </si>
  <si>
    <t>CIUDAD DE NUTRIAS - BARINAS</t>
  </si>
  <si>
    <t>AV RODRIGUEZ DOMINGUEZ CON CALLE FRANCISCO LAZO MARTI CASA NRO S/N SECTOR LA ESPERANZA DIAGONAL AL GRUPO ESCOLAR SOSA CIUDAD DE NUTRIAS BARINAS</t>
  </si>
  <si>
    <t>2015508.65</t>
  </si>
  <si>
    <t>02457</t>
  </si>
  <si>
    <t>FARMACIA MARIA DE SAN JOSE, C.A.</t>
  </si>
  <si>
    <t>J302947502</t>
  </si>
  <si>
    <t>CALLE URDANETA SUR LOCAL NRO 2-B SECTOR CENTRO VILLA DE CURA EDO ARAGUA</t>
  </si>
  <si>
    <t>64729.40</t>
  </si>
  <si>
    <t>02458</t>
  </si>
  <si>
    <t>"INVERSIONES 2001,C.A "</t>
  </si>
  <si>
    <t>J310692602</t>
  </si>
  <si>
    <t>AV CASACOIMA CASA S/N URB DELFIN MENDOZA -ARGIMIRO - GARCIA-TUCUPITA- DELTA AMACURO URB DELFIN MENDOZA (TUCUPITA) DELTA AMACURO</t>
  </si>
  <si>
    <t>02459</t>
  </si>
  <si>
    <t>FARMACIA SAN BENITO C.A</t>
  </si>
  <si>
    <t>J301766407</t>
  </si>
  <si>
    <t>BARRIO EL LOBO, CALLE 3, LOCAL 01, CASA 0-159, SAN CRISTOBAL ESTADO TACHIRA.. 
Estado Tachira. Municipio San Cristóbal. Parroquia San Juan Bautista. San Cristo</t>
  </si>
  <si>
    <t>119804.48</t>
  </si>
  <si>
    <t>02460</t>
  </si>
  <si>
    <t>FARMACIA LA VICTORIA CBO C.A</t>
  </si>
  <si>
    <t>J506408562</t>
  </si>
  <si>
    <t>CALLE COLON Y LAS FLORES LOCAL S/N SECTOR LA SABANITA MUNICIPIO ANGOSTURA DEL ORINOCO CIUDAD BOLIVAR BOLIVAR</t>
  </si>
  <si>
    <t>29314.00</t>
  </si>
  <si>
    <t>02461</t>
  </si>
  <si>
    <t>CLINICA LA ESMERALDA, C.A</t>
  </si>
  <si>
    <t>J308118273</t>
  </si>
  <si>
    <t>0424-4181081</t>
  </si>
  <si>
    <t>AV PPAL, MANZANA A-1 CASA NRO 9 Y 10 URB LA ESMERALDA SAN DIEGO VALENCIA CARABOBO</t>
  </si>
  <si>
    <t>02462</t>
  </si>
  <si>
    <t>FARMACIA LOS CANALES C.A.</t>
  </si>
  <si>
    <t>J002035722</t>
  </si>
  <si>
    <t>0414-4217829</t>
  </si>
  <si>
    <t>CALLE NUEVA C/C LAS MERCEDES CASA NRO S/N SECTOR RIO CHICO MCPIO PAEZ RIO CHICO MIRANDA</t>
  </si>
  <si>
    <t>02463</t>
  </si>
  <si>
    <t>FARMACIA FLORINEY, C.A</t>
  </si>
  <si>
    <t>J506945207</t>
  </si>
  <si>
    <t>0414-9164175</t>
  </si>
  <si>
    <t>CALLE EL CENTRO CASA S/N SECTOR CENTRO EL MILAGRO.. 
Estado Tachira. Municipio Libertador. Parroquia Doradas. El Piñal</t>
  </si>
  <si>
    <t>43318.84</t>
  </si>
  <si>
    <t>02464</t>
  </si>
  <si>
    <t>TODOFARMA25, C.A</t>
  </si>
  <si>
    <t>J506828049</t>
  </si>
  <si>
    <t>0424-4380655</t>
  </si>
  <si>
    <t>AV 50 CASA NRO 9-70 URB POPULAR EL SOCORRO, BELLA VISTA SECTOR 1 VALENCIA CARABOBO</t>
  </si>
  <si>
    <t>237898.28</t>
  </si>
  <si>
    <t>02465</t>
  </si>
  <si>
    <t>ESTACION SALUD, C.A.</t>
  </si>
  <si>
    <t>J506240262</t>
  </si>
  <si>
    <t>04161902100 / 0426-6003095</t>
  </si>
  <si>
    <t>CALLE LUCAS FERNANDEZ PE#A LOCAL NRO S/N SECTOR LOS APAMATES SANTA ELENA DE UAIREN BOLIVAR</t>
  </si>
  <si>
    <t>35535.49</t>
  </si>
  <si>
    <t>02466</t>
  </si>
  <si>
    <t>FARMACIA NUEVA CASARAPA,C.A</t>
  </si>
  <si>
    <t>J304631898</t>
  </si>
  <si>
    <t>AV INTERCOMUNAL GUARENAS GUATIRE CC SAN NICOLAS DE BARI NIVEL PB LOCAL 2 URB NUEVA CASARAPA GUARENAS - MIRANDA</t>
  </si>
  <si>
    <t>52002.69</t>
  </si>
  <si>
    <t>02467</t>
  </si>
  <si>
    <t>JHON DANIEL MATA ARAY</t>
  </si>
  <si>
    <t>V31134019</t>
  </si>
  <si>
    <t>19237.46</t>
  </si>
  <si>
    <t>02468</t>
  </si>
  <si>
    <t>FARMACIA NUEVA LAGUNETICA S R L</t>
  </si>
  <si>
    <t>J303168540</t>
  </si>
  <si>
    <t>LOS TEQUES - MIRANDA</t>
  </si>
  <si>
    <t>CTRA AGUA FRIA VIA LAGUNETICA KM 7 LOCAL ADAMO NRO 10 SECTOR LAGUNETICA LOS TEQUES MIRANDA</t>
  </si>
  <si>
    <t>147746.77</t>
  </si>
  <si>
    <t>02469</t>
  </si>
  <si>
    <t>FARMACIA FARMA ACTIVE, C.A.</t>
  </si>
  <si>
    <t>J501178631</t>
  </si>
  <si>
    <t>0414-7088017</t>
  </si>
  <si>
    <t>CR 3 CASCO CENTRAL DE MICHELENA LOCAL NRO 5-27 ZONA MICHELENA MICHELENA TACHIRA</t>
  </si>
  <si>
    <t>511516.74</t>
  </si>
  <si>
    <t>02470</t>
  </si>
  <si>
    <t>FARMA ACTIVE MARKET, C.A.</t>
  </si>
  <si>
    <t>J505109715</t>
  </si>
  <si>
    <t>04147088017</t>
  </si>
  <si>
    <t>CR 4 ENTRE CALLE5 Y 6 CASA NRO 5-83 SECTOR PLAZA VENEZUELA SAN CRISTOBAL</t>
  </si>
  <si>
    <t>460328.66</t>
  </si>
  <si>
    <t>02471</t>
  </si>
  <si>
    <t>FARMACIA EL RINCON DE LOS TEQUES, C.A.</t>
  </si>
  <si>
    <t>J296969868</t>
  </si>
  <si>
    <t>04141326147</t>
  </si>
  <si>
    <t>8790</t>
  </si>
  <si>
    <t>CALLE ESMERALDA ENTRE CALLE VARGS Y CALLEJON NEGRIN EDIF LA VILLA PISO PB LOCAL B SECTOR EL RINCON EL PANADERO DE LOS TEQUES MIRANDA</t>
  </si>
  <si>
    <t>61918.34</t>
  </si>
  <si>
    <t>02472</t>
  </si>
  <si>
    <t>FARMACIA CHAARANI, C.A</t>
  </si>
  <si>
    <t>J412812939</t>
  </si>
  <si>
    <t>CALLE JUNCAL LOCAL NRO 19-2 SECTOR CENTRO PUERTO LA CRUZ ANZOATEGUI</t>
  </si>
  <si>
    <t>02473</t>
  </si>
  <si>
    <t>FARMACIA ACTIVA 24H/7D, C.A</t>
  </si>
  <si>
    <t>J506928884</t>
  </si>
  <si>
    <t>0424-7332925</t>
  </si>
  <si>
    <t>CALLE VIA PRINCIPAL CASA NRO S/N SECTOR EL MILAGRO TRONCAL 5, ABEJALES TACHIRA</t>
  </si>
  <si>
    <t>41279.16</t>
  </si>
  <si>
    <t>02474</t>
  </si>
  <si>
    <t>(MATRIZ) FARMACIA FARMASALUD VITAL, C.A.</t>
  </si>
  <si>
    <t>21/06/2025</t>
  </si>
  <si>
    <t>02475</t>
  </si>
  <si>
    <t>FARMACIA FARMASALUD VITAL, C.A.(SUCURSAL)</t>
  </si>
  <si>
    <t>0424 3672263</t>
  </si>
  <si>
    <t>AV LIBERTADOR CRUCE CON CALLE PARAISO CASA NRO 89 SECTOR CENTRO VALLE DE LA PASCUA GUARICO</t>
  </si>
  <si>
    <t>02476</t>
  </si>
  <si>
    <t>FARMACIA FARMAVIT 20-23, CA</t>
  </si>
  <si>
    <t>J505185837</t>
  </si>
  <si>
    <t>AV MANAURE ESQUINA CALLE LIBERTAD EDIFICIO LOPEZ LILO PISO PB LOCAL 02 SECTOR CENTRO SANTA ANA DE CORO FALCON</t>
  </si>
  <si>
    <t>283823.82</t>
  </si>
  <si>
    <t>02477</t>
  </si>
  <si>
    <t>FARMACIAS PAEZ NUEVA SEGOVIA, C.A.</t>
  </si>
  <si>
    <t>J506390388</t>
  </si>
  <si>
    <t>0412-6775112</t>
  </si>
  <si>
    <t>CR 19 CRUCE CON CALLE 9 LOCAL NRO S/N SECTOR CENTRO BARQUISIMETO LARA</t>
  </si>
  <si>
    <t>55403.22</t>
  </si>
  <si>
    <t>02478</t>
  </si>
  <si>
    <t>FARMACIA TRANSALUD, C.A</t>
  </si>
  <si>
    <t>J504344257</t>
  </si>
  <si>
    <t>+58 414-7653313</t>
  </si>
  <si>
    <t>AV LIBERTADOR EDIF TERMINAL PISO PB LOCAL S/N SECTOR LA MURALLA MATURIN MONAGAS</t>
  </si>
  <si>
    <t>47071.86</t>
  </si>
  <si>
    <t>02479</t>
  </si>
  <si>
    <t>JOSE REINALDO ACEVEDO GUZMAN</t>
  </si>
  <si>
    <t>V19875137</t>
  </si>
  <si>
    <t>04126892883</t>
  </si>
  <si>
    <t>URB LAS CAROLINAS CALLE 5 SECTOR LAS MARIAS I</t>
  </si>
  <si>
    <t>02480</t>
  </si>
  <si>
    <t>FARMACIA CRISTO DEL BUEN VIAJE,C.A</t>
  </si>
  <si>
    <t>J317393368</t>
  </si>
  <si>
    <t>CALLE SAN NICOLAS, ENTRE CALLE MARIÑO Y ARISMENDI LOCAL NRO 16-24 SECTOR CENTRO DE PORLAMAR PORLAMAR NUEVA ESPARTA</t>
  </si>
  <si>
    <t>02481</t>
  </si>
  <si>
    <t>FARMACIA MEDICAL DEL ESTE C.A</t>
  </si>
  <si>
    <t>J500981040</t>
  </si>
  <si>
    <t>04125277692</t>
  </si>
  <si>
    <t>CALLE 20 ENTRE CARRERAS 32 Y 33 CC CENTRO PROFESIONAL ARCA NIVEL PB LOCAL 3 Y 4 SECTOR CENTRO BARQUISIMETO LARA</t>
  </si>
  <si>
    <t>12792.65</t>
  </si>
  <si>
    <t>02482</t>
  </si>
  <si>
    <t>PETROMONAGAS, S.A.</t>
  </si>
  <si>
    <t>J295562233</t>
  </si>
  <si>
    <t>Maturin</t>
  </si>
  <si>
    <t>Calle el Empalme Edif. Petróleos de Venezuela, Piso 1 OF Piso 7, Urb. La Campiña. Caracas - Distrito Capital</t>
  </si>
  <si>
    <t>02483</t>
  </si>
  <si>
    <t>COMERCIALIZADORA LIMPIA TODO C.A.</t>
  </si>
  <si>
    <t>J303615600</t>
  </si>
  <si>
    <t>+58 414-7866467</t>
  </si>
  <si>
    <t>CALLE LIBERTAD , CRUCE CON CALLE MANEIRO, LOCAL N°41-A CASCO CENTRAL PUERTO LA CRUZ</t>
  </si>
  <si>
    <t>02484</t>
  </si>
  <si>
    <t>FARMACIA LA VILLA DE LOS NIÑOS C.A</t>
  </si>
  <si>
    <t>J317293819</t>
  </si>
  <si>
    <t>0414-3383030</t>
  </si>
  <si>
    <t>CARRERA. 17 ENTRE CALLES 9 Y 10 CASA NRO 9-101 SECTOR BARRIO OBRERO, SAN CRISTOBAL MUNICIPIO SAN CRISTOBAL.. 
Estado Tachira. Municipio San Cristóbal. Parroqui</t>
  </si>
  <si>
    <t>68320.37</t>
  </si>
  <si>
    <t>02485</t>
  </si>
  <si>
    <t>(MATRIZ) FARMACIA LA VILLA DE LOS NIÑOS C.A</t>
  </si>
  <si>
    <t>02486</t>
  </si>
  <si>
    <t>FARMACIA LA VILLA DE LOS NIÑOS C.A (SUCURSAL)</t>
  </si>
  <si>
    <t>120947.16</t>
  </si>
  <si>
    <t>CALLE LOPEZ AVELEDO NORTE LOCAL EDIFICIO NRO 9 URB CALICANTO MARACAY, ARAGUA</t>
  </si>
  <si>
    <t>02488</t>
  </si>
  <si>
    <t>FARMACIA B12 C.A.</t>
  </si>
  <si>
    <t>J500980892</t>
  </si>
  <si>
    <t>AV BUCHIVACOA ENTRE CALLE JURADO Y CALLE BORREGALES LOCAL NRO 41 SECTOR BOBARES SANTA ANA DE CORO FALCON</t>
  </si>
  <si>
    <t>02489</t>
  </si>
  <si>
    <t>(MATRIZ) MONTE SACRO 2021 CA</t>
  </si>
  <si>
    <t>J409067386</t>
  </si>
  <si>
    <t>PARAGUACHI - NVA ESPARTA</t>
  </si>
  <si>
    <t>02490</t>
  </si>
  <si>
    <t>MONTE SACRO 2021 CA</t>
  </si>
  <si>
    <t>AV 31 DE JULIO LOCAL SN NRO SN SECTOR EL SALADO PLAZA PARAGUACHI NUEVA ESPARTA</t>
  </si>
  <si>
    <t>02491</t>
  </si>
  <si>
    <t>MONTE SACRO 2021 C,A  (CHARALLAVE)</t>
  </si>
  <si>
    <t>02492</t>
  </si>
  <si>
    <t>FARMASOL VARGAS, C.A</t>
  </si>
  <si>
    <t>J505647598</t>
  </si>
  <si>
    <t>0414-3452740 /  0424-7665152</t>
  </si>
  <si>
    <t>CALLE VARGAS SUR EDIF SANTA CRUZ PISO PB LOCAL N-01 SECTOR CENTRO MARACAY ARAGUA</t>
  </si>
  <si>
    <t>29514.07</t>
  </si>
  <si>
    <t>02493</t>
  </si>
  <si>
    <t>FARMACIA TARIBA C.A (PPAL)</t>
  </si>
  <si>
    <t>0416-0562882</t>
  </si>
  <si>
    <t>CALLE CAMEJO CASA NRO 16-166 SECTOR CENTRO BARINAS BARINAS</t>
  </si>
  <si>
    <t>169627.77</t>
  </si>
  <si>
    <t>02494</t>
  </si>
  <si>
    <t>FARMACIA TARIBA C.A (SUCURSAL)</t>
  </si>
  <si>
    <t>100943.73</t>
  </si>
  <si>
    <t>02495</t>
  </si>
  <si>
    <t>FARMACIA TARIBA C.A (SUCURSAL 2)</t>
  </si>
  <si>
    <t>96748.03</t>
  </si>
  <si>
    <t>02496</t>
  </si>
  <si>
    <t>FARMACIA ELISHEBA C.A</t>
  </si>
  <si>
    <t>J500637403</t>
  </si>
  <si>
    <t>0424-5178966</t>
  </si>
  <si>
    <t>CALLE 5 URDANETA CON CARRERA 6 ARISMENDI EDIF ARIANNY PISO PB LOCAL SN SECTOR CENTRO BISCUCUY PORTUGUESA</t>
  </si>
  <si>
    <t>918581.53</t>
  </si>
  <si>
    <t>02497</t>
  </si>
  <si>
    <t>FARMACIA ANIER C.A</t>
  </si>
  <si>
    <t>J307057378</t>
  </si>
  <si>
    <t>0424-4334651</t>
  </si>
  <si>
    <t>AV MATIAS SALAZAR C/C JUNIN CASA NRO S/N SECTOR CENTRO TINAQUILLO COJEDES</t>
  </si>
  <si>
    <t>4750.71</t>
  </si>
  <si>
    <t>02499</t>
  </si>
  <si>
    <t>ARGENIS RODRIGUEZ</t>
  </si>
  <si>
    <t>30/07/2025</t>
  </si>
  <si>
    <t>V29642741</t>
  </si>
  <si>
    <t>02500</t>
  </si>
  <si>
    <t>MATRIZ FARMACIA HOSPI-SALUD EL TIGRE, C.A</t>
  </si>
  <si>
    <t>02501</t>
  </si>
  <si>
    <t>FARMACIA HOSPI-SALUD EL TIGRE, C.A (SUCURSAL)</t>
  </si>
  <si>
    <t>EL TIGRE ESTADO ANZOATEGUI</t>
  </si>
  <si>
    <t>340072.11</t>
  </si>
  <si>
    <t>02502</t>
  </si>
  <si>
    <t>GRUPO MILENIUM FARMA GM, C.A</t>
  </si>
  <si>
    <t>J504846139</t>
  </si>
  <si>
    <t>SAN JOAQUIN - CARABOBO</t>
  </si>
  <si>
    <t>0412-5023065</t>
  </si>
  <si>
    <t>8772</t>
  </si>
  <si>
    <t>AV SUCRE Y  BOLIVAR LOCAL NRO 40 SECTOR CENTRO DE SAN JOAQUIN CARABOBO</t>
  </si>
  <si>
    <t>02503</t>
  </si>
  <si>
    <t>FARMACIAS MIGUEL ANGEL, C.A</t>
  </si>
  <si>
    <t>J506424894</t>
  </si>
  <si>
    <t>0414.7327349 / 0414-4476732</t>
  </si>
  <si>
    <t>AV PRINCIPAL DE COLINAS DE PARQUE VALENCIA LOCAL NRO A  NRO 176 SECTOR - VALENCIA CARABOBO</t>
  </si>
  <si>
    <t>200851.04</t>
  </si>
  <si>
    <t>02504</t>
  </si>
  <si>
    <t>FARMACIA GUANARE C.A</t>
  </si>
  <si>
    <t>J305801630</t>
  </si>
  <si>
    <t>CR 5TA C/ESQ CALLE 17 LOCAL NRO S/N SECTOR CENTRO GUANARE EDO PORTUGUESA</t>
  </si>
  <si>
    <t>1905850.53</t>
  </si>
  <si>
    <t>02505</t>
  </si>
  <si>
    <t>FARMACIA LA FAMILIA,C.A.</t>
  </si>
  <si>
    <t>J085566767</t>
  </si>
  <si>
    <t>BARRIO UNION EDO LARA</t>
  </si>
  <si>
    <t>04120581605 / 04125618838</t>
  </si>
  <si>
    <t>CR 11 ESQUINA CALLE 16 CASA NRO S/N SECTOR NUEVO BARRIO BARQUISIMETO LARA</t>
  </si>
  <si>
    <t>190662.35</t>
  </si>
  <si>
    <t>02506</t>
  </si>
  <si>
    <t>GABRIELA DEL CARMEN ZAPATA RAMIREZ</t>
  </si>
  <si>
    <t>V29700823</t>
  </si>
  <si>
    <t>0212-2620114</t>
  </si>
  <si>
    <t>CALLE SEXTA TRANSVERSAL CON AVENIDA SAN JUAN BOSCO EDIF CLINICA EL AVILA PISO 9 OF CONSULTORIO 907 URB ALTAMIRA CARACAS (CHACAO) MIRANDA</t>
  </si>
  <si>
    <t>02508</t>
  </si>
  <si>
    <t>FARMACIA LA TUYA, C.A.</t>
  </si>
  <si>
    <t>J506500299</t>
  </si>
  <si>
    <t>0412-4449583</t>
  </si>
  <si>
    <t>AV LIBERTADOR AVENIDA 31 ENTRE CALLES 29 Y 30 CC CASA DE ALTO NIVEL PB LOCAL 16 SECTOR CENTRO ACARIGUA PORTUGUESA</t>
  </si>
  <si>
    <t>1628356.97</t>
  </si>
  <si>
    <t>02509</t>
  </si>
  <si>
    <t>FARMATOWN C.A.</t>
  </si>
  <si>
    <t>J500280629</t>
  </si>
  <si>
    <t>AV MONAGAS CC EL TINACO NIVEL P/B LOCAL 5 SECTOR CENTRO TINACO COJEDES</t>
  </si>
  <si>
    <t>962445.65</t>
  </si>
  <si>
    <t>02510</t>
  </si>
  <si>
    <t>FARMALEAL C.A</t>
  </si>
  <si>
    <t>J501642036</t>
  </si>
  <si>
    <t>COLON EDO TACHIRA</t>
  </si>
  <si>
    <t>0414-7420818</t>
  </si>
  <si>
    <t>CR 6 ENTRE CALLES 4 Y 5 CASA NRO 4-64 SECTOR CENTRO COLON TACHIRA. 
Estado Tachira. Municipio Ayacucho. Parroquia Ayacucho . Colon</t>
  </si>
  <si>
    <t>65933.19</t>
  </si>
  <si>
    <t>02511</t>
  </si>
  <si>
    <t>FARMACIA NIÑO JESUS C.A.</t>
  </si>
  <si>
    <t>J301106288</t>
  </si>
  <si>
    <t>0414-7851483</t>
  </si>
  <si>
    <t>AV FRANCISCO DE MIRANDA EDIF SAN ONOFRE PISO PB LOCAL N°1 SECTOR PUEBLO NUEVO SUR EL TIGRE ANZOATEGUI</t>
  </si>
  <si>
    <t>17898.34</t>
  </si>
  <si>
    <t>02512</t>
  </si>
  <si>
    <t>FARMACIA MUNDO SALUD 58 CENTRO, CA</t>
  </si>
  <si>
    <t>J506222086</t>
  </si>
  <si>
    <t>0424-3190239</t>
  </si>
  <si>
    <t>CALLE BERMUDEZ CRUCE CON CALLE VILLACASTIN LOCAL NRO 02 SECTOR CENTRO TURMERO ARAGUA</t>
  </si>
  <si>
    <t>02513</t>
  </si>
  <si>
    <t>FARMACIA MIGUEL NIEVES, C.A</t>
  </si>
  <si>
    <t>J506789868</t>
  </si>
  <si>
    <t>AV CASANOVA EDIF RUPI PISO PB LOCAL 2-A SECTOR SABANA GRANDE CARACAS DISTRITO CAPITAL</t>
  </si>
  <si>
    <t>515774.94</t>
  </si>
  <si>
    <t>02514</t>
  </si>
  <si>
    <t>FARMACIA SAMAN DE ARAIRA, C.A</t>
  </si>
  <si>
    <t>J500164696</t>
  </si>
  <si>
    <t>ARAIRA - MIRANDA</t>
  </si>
  <si>
    <t>0412-5432762 /</t>
  </si>
  <si>
    <t>8773</t>
  </si>
  <si>
    <t>CALLE BOLIVAR, CALLE SANTA ROSALIA Y CALLE PEDRO CAMEJO LOCAL PLATA BAJA NRO B SECTOR ARAIRA ARAIRA MIRANDA</t>
  </si>
  <si>
    <t>1585.23</t>
  </si>
  <si>
    <t>02515</t>
  </si>
  <si>
    <t>FARMACIA MENDEZ FARMAMENDEZ C.A</t>
  </si>
  <si>
    <t>J306845828</t>
  </si>
  <si>
    <t>CIUDAD BOLIVIA - BARINAS</t>
  </si>
  <si>
    <t>0424-5214782</t>
  </si>
  <si>
    <t>AV 5 CON CALLE 17 EDIF SAN JOSE PISO PB LOCAL PLANTA BAJA ZONA CIUDAD BOLIVIA CIUDAD BOLIVIA BARINAS</t>
  </si>
  <si>
    <t>02516</t>
  </si>
  <si>
    <t>FARMAEXPRESS EL CENTRO 3, C.A</t>
  </si>
  <si>
    <t>J506481600</t>
  </si>
  <si>
    <t>CALLE PRINCIPAL LOCAL COMERCIAL ANEXO A LA CASA NRO 5 URB VILLA ROSA VILLA ROSA NUEVA ESPARTA</t>
  </si>
  <si>
    <t>270707.43</t>
  </si>
  <si>
    <t>02517</t>
  </si>
  <si>
    <t>FARMACIA GENERICA, C.A   (FARMA TAWIL)</t>
  </si>
  <si>
    <t>J313334162</t>
  </si>
  <si>
    <t>PORLAMAR / NUEVA ESPARTA</t>
  </si>
  <si>
    <t>CALLE IGUALDAD ENTRE CALLE MARTINEZ Y LIBERTAD LOCAL NRO S/N SECTOR CENTRO PORLAMAR NUEVA ESPARTA</t>
  </si>
  <si>
    <t>02518</t>
  </si>
  <si>
    <t>FARMACIA LA MODERNA, C.A.</t>
  </si>
  <si>
    <t>J305984379</t>
  </si>
  <si>
    <t>TUNAPUY - SUCRE</t>
  </si>
  <si>
    <t>0426-8843753</t>
  </si>
  <si>
    <t>CALLE BOLIVAR C/C SAN JUAN CASA NRO 90 ZONA CENTRO TUNAPUY SUCRE</t>
  </si>
  <si>
    <t>02519</t>
  </si>
  <si>
    <t>FARMACIA FARMAFULL 2023, C.A</t>
  </si>
  <si>
    <t>J504420727</t>
  </si>
  <si>
    <t>04245241059</t>
  </si>
  <si>
    <t>AV 34 ENTRE CALLES D Y E LOCAL NRO 42 URB LA GOAJIRA ACARIGUA PORTUGUESA</t>
  </si>
  <si>
    <t>317236.98</t>
  </si>
  <si>
    <t>02520</t>
  </si>
  <si>
    <t>FARMACIA FARMA FULL 2021, C.A</t>
  </si>
  <si>
    <t>J500703759</t>
  </si>
  <si>
    <t>0424-5241059</t>
  </si>
  <si>
    <t>CALLE 32 CON AV. 39 CC CIUDAD ACARIGUA NIVEL PB LOCAL 2 SECTOR EL PALITO ACARIGUA PORTUGUESA</t>
  </si>
  <si>
    <t>503676.88</t>
  </si>
  <si>
    <t>02521</t>
  </si>
  <si>
    <t>FARMACIA FARMAFULL 2022, C.A.</t>
  </si>
  <si>
    <t>J502274170</t>
  </si>
  <si>
    <t>ACARIGUA EDO PORUGUESA</t>
  </si>
  <si>
    <t>CALLE 28 CON AVENIDA 33 CASA NRO S/NO. SECTOR CENTRO ACARIGUA PORTUGUESA</t>
  </si>
  <si>
    <t>307552.47</t>
  </si>
  <si>
    <t>02522</t>
  </si>
  <si>
    <t>FARMACIA DON FERNANDO, C.A.</t>
  </si>
  <si>
    <t>J400434246</t>
  </si>
  <si>
    <t>CALLE 31 E/AV 29 Y 30 EDIF DON EDUARDO PISO PB LOCAL PB SECTOR CENTRO, ACARIGUA EDO PORTUGUESA ACARIGUA PORTUGUESA</t>
  </si>
  <si>
    <t>0.49</t>
  </si>
  <si>
    <t>CALLE 22 LOCAL NRO 60-A OF Nº 8 Y 9 SECTOR CAMPO GULF PUERTO LA CRUZ ANZOATEGUI</t>
  </si>
  <si>
    <t>02524</t>
  </si>
  <si>
    <t>FARMAGREEN AV LARA C.A</t>
  </si>
  <si>
    <t>J502324925</t>
  </si>
  <si>
    <t>AV LARA ENTRE AV LAS FERIAS Y AV DIAZ MORENO, C.C PEDRO GASPAR NIVEL S/N LOCAL 13 SECTOR S/N VALENCIA CARABOBO.</t>
  </si>
  <si>
    <t>406130.39</t>
  </si>
  <si>
    <t>02525</t>
  </si>
  <si>
    <t>FARMACIAS PANACEA, CA.</t>
  </si>
  <si>
    <t>02/11/2025</t>
  </si>
  <si>
    <t>J504024775</t>
  </si>
  <si>
    <t>AV RÓMULO BETANCOURT CASA NRO 2 URB LA HERREREÑA C/CALLE 3, SECTOR 2 SAN CARLOS COJEDES</t>
  </si>
  <si>
    <t>43438.24</t>
  </si>
  <si>
    <t>02526</t>
  </si>
  <si>
    <t>FARMACIA VIRGEN LA CARIDAD DEL COBRE, C.A</t>
  </si>
  <si>
    <t>J506337746</t>
  </si>
  <si>
    <t>(0424) 334 42 77 / (0412) 49</t>
  </si>
  <si>
    <t>CALLE BOLIVAR CRUCE CON CALLE AYACUCHO LOCAL PARCELA NRO 46 SECTOR 19 DE ABRIL 19 DE ABRIL ARAGUA</t>
  </si>
  <si>
    <t>15524.35</t>
  </si>
  <si>
    <t>02527</t>
  </si>
  <si>
    <t>FARMACIA FARMAEDEN 2, C.A.</t>
  </si>
  <si>
    <t>J506123878</t>
  </si>
  <si>
    <t>EL CALLAO / BOLIVAR</t>
  </si>
  <si>
    <t>0424-3437667 / Nataly Dueña:</t>
  </si>
  <si>
    <t>CALLE PRINCIPAL CON CALLE ARAGUANEY LOCAL NRO S/N SECTOR LA GASOLINA, EL CALLAO BOLIVAR</t>
  </si>
  <si>
    <t>109386.78</t>
  </si>
  <si>
    <t>02528</t>
  </si>
  <si>
    <t>FARMACIA FARMAIA, C.A</t>
  </si>
  <si>
    <t>J501602948</t>
  </si>
  <si>
    <t>0424-8141551</t>
  </si>
  <si>
    <t>CALLE 133, CALLEJON LOPEZ LATOUCHE LOCAL 100-119 SECTOR SAN JOSE VALENCIA CARABOBO</t>
  </si>
  <si>
    <t>44717.78</t>
  </si>
  <si>
    <t>02529</t>
  </si>
  <si>
    <t>FARMACIA DARSALUD LA VARGAS C.A</t>
  </si>
  <si>
    <t>J504356425</t>
  </si>
  <si>
    <t>BARQUISIMETO CENTRO - EDO LA</t>
  </si>
  <si>
    <t>0424-5587300</t>
  </si>
  <si>
    <t>AV  VARGAS CRUCE CON CARRERA 25 LOCAL N6 ZONA CENTRO BARQUISIMETO LARA</t>
  </si>
  <si>
    <t>02530</t>
  </si>
  <si>
    <t>FARMACIA DARSALUD C.A (ACARIGUA)</t>
  </si>
  <si>
    <t>J501340463</t>
  </si>
  <si>
    <t>CALLE 31 ENTRE AVENIDAS 34 Y 35 LOCAL NRO 01 SECTOR CENTRO ACARIGUA PORTUGUESA</t>
  </si>
  <si>
    <t>02531</t>
  </si>
  <si>
    <t>FARMACIA ´S J.K, C.A</t>
  </si>
  <si>
    <t>J503478373</t>
  </si>
  <si>
    <t>0412-8472000</t>
  </si>
  <si>
    <t>CALLE PARAMACONI CRUCE CON CALLE ARISMENDI EDIF OCUMARITO PISO PB LOCAL 28 BARRIO OCUMARITO PALO NEGRO ARAGUA</t>
  </si>
  <si>
    <t>02532</t>
  </si>
  <si>
    <t>FARMACIA CENTRO ANDINA C.A</t>
  </si>
  <si>
    <t>J296980802</t>
  </si>
  <si>
    <t>0414-7313401</t>
  </si>
  <si>
    <t>Carrera 5 Nº 3-16,Edificio Anaypa La Grita. . 
Estado Tachira. Municipio Jáuregui. Parroquia Jáuregui . La Grita</t>
  </si>
  <si>
    <t>355339.28</t>
  </si>
  <si>
    <t>02533</t>
  </si>
  <si>
    <t>JHERLYN DEL VALLE GUATARASMA GOMEZ</t>
  </si>
  <si>
    <t>V27810990</t>
  </si>
  <si>
    <t>02534</t>
  </si>
  <si>
    <t>FARMACIA SAN ANTOÑITO DE PADUA, C.A.</t>
  </si>
  <si>
    <t>J504130222</t>
  </si>
  <si>
    <t>0414-1756068</t>
  </si>
  <si>
    <t>VIA PANAMERICANA LAS MESAS SECTOR EL ABUELO (CAMPO ALEGRE) LOCAL N 0-21 LAS MESAS MUNICIPIO ANTONIO ROMULO CONSTA . 
Estado Tachira. Municipio Antonio Rómulo C</t>
  </si>
  <si>
    <t>24642.29</t>
  </si>
  <si>
    <t>02535</t>
  </si>
  <si>
    <t>YAMXIRETH JOSE RODRIGUEZ ZAMBRANO</t>
  </si>
  <si>
    <t>V27701760</t>
  </si>
  <si>
    <t>2.36</t>
  </si>
  <si>
    <t>02536</t>
  </si>
  <si>
    <t>FARMACIAS LIAH 25, C.A.</t>
  </si>
  <si>
    <t>J506590654</t>
  </si>
  <si>
    <t>0412-4433064</t>
  </si>
  <si>
    <t>CR 1 CON CALLE 5 LOCAL NRO 5 Y 6 SECTOR CASCO CENTRAL CALABOZO GUARICO</t>
  </si>
  <si>
    <t>352061.33</t>
  </si>
  <si>
    <t>02537</t>
  </si>
  <si>
    <t>FARMACIAS 5TA AVENIDA, C.A.</t>
  </si>
  <si>
    <t>J506755696</t>
  </si>
  <si>
    <t>CALLE 5TA AVENIDA QTA S/N SECTOR CENTRO ADMINISTRATIVO CALABOZO GUARICO</t>
  </si>
  <si>
    <t>459231.74</t>
  </si>
  <si>
    <t>02538</t>
  </si>
  <si>
    <t>ALENIS FIGUEROA BARRETO</t>
  </si>
  <si>
    <t>V19782076</t>
  </si>
  <si>
    <t>02539</t>
  </si>
  <si>
    <t>DIEGO ALBERTO ALVAREZ RODRIGUEZ</t>
  </si>
  <si>
    <t>V25265556</t>
  </si>
  <si>
    <t>249.45</t>
  </si>
  <si>
    <t>02540</t>
  </si>
  <si>
    <t>FARMAMEDIC SERVICS, C.A</t>
  </si>
  <si>
    <t>J502444610</t>
  </si>
  <si>
    <t>0424-5039172</t>
  </si>
  <si>
    <t>CALLE 14 CASA NRO 54 URB JOSE ANTONIO PAEZ, SECTOR III,ETAPA II BARINAS BARINAS</t>
  </si>
  <si>
    <t>52637.10</t>
  </si>
  <si>
    <t>04248263323</t>
  </si>
  <si>
    <t>PALMA REAL TIPURO</t>
  </si>
  <si>
    <t>02542</t>
  </si>
  <si>
    <t>PHARMA LA ROSA VARINA, C.A</t>
  </si>
  <si>
    <t>J506900319</t>
  </si>
  <si>
    <t>CALLE 6 CRUCE CON CALLE 01 LOCAL CASA NRO 143, PRIMER NIVEL NRO SN BARRIO PRIMERO DE DICIEMBRE BARINAS BARINAS</t>
  </si>
  <si>
    <t>13613.99</t>
  </si>
  <si>
    <t>02543</t>
  </si>
  <si>
    <t>MATRIZ FARMACIA SAN LUIS C.A.</t>
  </si>
  <si>
    <t>3309</t>
  </si>
  <si>
    <t>VILLA BRUZUAL - PORTUGUESA</t>
  </si>
  <si>
    <t>02544</t>
  </si>
  <si>
    <t>FARMACIA SAN LUIS C. A. (SUCURSAL)</t>
  </si>
  <si>
    <t>39471.43</t>
  </si>
  <si>
    <t>02545</t>
  </si>
  <si>
    <t>FARMACIA ORGANICA,C.A.</t>
  </si>
  <si>
    <t>J060005990</t>
  </si>
  <si>
    <t>+58 412-4617078</t>
  </si>
  <si>
    <t>CALLE INTERSECCION DE LAS CALLES EL MARTILLO Y GONZALEZ PADRON EDIF DOÑA OFELIA PISO PB LOCAL 01 SECTOR CENTRO VALLE DE LA PASCUA GUARICO</t>
  </si>
  <si>
    <t>130262.43</t>
  </si>
  <si>
    <t>02546</t>
  </si>
  <si>
    <t>FARMACIA FULL OFERTAS, C.A</t>
  </si>
  <si>
    <t>J316411389</t>
  </si>
  <si>
    <t>AV ROMULO GALLEGOS C/C AV LIBERTADOR EDIF DESIREE PISO PB LOCAL Nº 1 SECTOR AVENIDA ROMULO GALLEGOS VALLE DE LA PASCUA GUARICO</t>
  </si>
  <si>
    <t>02547</t>
  </si>
  <si>
    <t>FARMA DESCUENTO AYACUCHO PLUS, C.A.</t>
  </si>
  <si>
    <t>J503344830</t>
  </si>
  <si>
    <t>0416-6857492</t>
  </si>
  <si>
    <t>AV PRINCIPAL CASA S/N URB ANDRES ELOY BLANCO PUERTO AYACUCHO AMAZONAS</t>
  </si>
  <si>
    <t>307355.32</t>
  </si>
  <si>
    <t>02548</t>
  </si>
  <si>
    <t>FARMASALUD LA PROVIDENCIA, C.A</t>
  </si>
  <si>
    <t>J406384178</t>
  </si>
  <si>
    <t>AV ROMULO GALLEGOS OESTE ENTRE LA C. ORINOCO Y ESPERANZA LOCAL MAR Y LLANO NRO S/N SECTOR CENTRO VALLE DE LA PASCUA GUARICO</t>
  </si>
  <si>
    <t>CALLE ESPERANZA CASA NRO 63 SECTOR CENTRO PUERTO LA CRUZ ANZOATEGUI</t>
  </si>
  <si>
    <t>02550</t>
  </si>
  <si>
    <t>GRUPO FARMA EMERGENCIA, C.A</t>
  </si>
  <si>
    <t>J503245905</t>
  </si>
  <si>
    <t>0412-3104728 / 0412-9669468</t>
  </si>
  <si>
    <t>AV PRINCIPAL, FUNDO LOS MANIRES CC METROPOLIS SHOPPING CENTER, MALL 1 NIVEL GUA LOCAL NRO. M1-133,134,135 SECTOR MUNICIPIO SAN DIEGO VALENCIA CARABOBO</t>
  </si>
  <si>
    <t>02551</t>
  </si>
  <si>
    <t>FARMACIAS SUPER FARMA, C.A.</t>
  </si>
  <si>
    <t>J507039706</t>
  </si>
  <si>
    <t>04248253888</t>
  </si>
  <si>
    <t>VDA 29 CASA NRO 01 SECTOR 2 URBANIZACION BOYACA III BARCELONA ANZOATEGUI</t>
  </si>
  <si>
    <t>64204.40</t>
  </si>
  <si>
    <t>02552</t>
  </si>
  <si>
    <t>FARMACIA FAMILIA Y HOGAR C,A</t>
  </si>
  <si>
    <t>J504162310</t>
  </si>
  <si>
    <t>+58 412-1000216</t>
  </si>
  <si>
    <t>CALLE JUNCAL LOCAL NRO 0-52 BARRIO GUAMACHITO BARCELONA ANZOATEGUI</t>
  </si>
  <si>
    <t>CR VIA PRINCIPAL EL CIERRE CASA NRO S/N CASERIO PALOMA PALOMA DELTA AMACURO</t>
  </si>
  <si>
    <t>0212 5753150  5765473/0414-3</t>
  </si>
  <si>
    <t>CALLE OESTE O ESQUINA PARADEDO A VENUS LOCAL 14 EDIF INA NRO PB SECTOR LOS CAOBOS CARACAS DISTRITO CAPITAL</t>
  </si>
  <si>
    <t>02555</t>
  </si>
  <si>
    <t>VALENTINA SINAI SERRANO TORREYES "SERRANO FARMACIA LA GRAN REBAJA F.P"</t>
  </si>
  <si>
    <t>V312615300</t>
  </si>
  <si>
    <t>PEDRAZA EDO BARINAS</t>
  </si>
  <si>
    <t>0412-6789469</t>
  </si>
  <si>
    <t>AVENIDA 4 CON CALLE 5, EDIF SANTA ISABEL LOCAL NRO 06 SECTOR JOSE ANTONIO PAEZ, PEDRAZA BARINAS</t>
  </si>
  <si>
    <t>02556</t>
  </si>
  <si>
    <t>FARMACIA MAJESTIC, C.A</t>
  </si>
  <si>
    <t>J413123703</t>
  </si>
  <si>
    <t>LOS GUAYOS CARABOBO</t>
  </si>
  <si>
    <t>CALLE ANDRES BELLO CASA MANZANA (L) NRO 11 BARRIO NEGRO PRIMERO LOS GUAYOS CARABOBO</t>
  </si>
  <si>
    <t>640893.87</t>
  </si>
  <si>
    <t>02557</t>
  </si>
  <si>
    <t>FARMAGREEN CENTRO, C.A</t>
  </si>
  <si>
    <t>J501738319</t>
  </si>
  <si>
    <t>VALENCIA CARABOBO</t>
  </si>
  <si>
    <t>0414-4233186</t>
  </si>
  <si>
    <t>AV CONSTITUCION, ENTRE CALLE RONDON Y CALLE VARGAS CC TITA VALLE NIVEL S/N LOCAL 13, 14 Y 15 SECTOR S/N VALENCIA CARABOBO</t>
  </si>
  <si>
    <t>393720.19</t>
  </si>
  <si>
    <t>02558</t>
  </si>
  <si>
    <t>FARMACIA CORIMAR, C.A.</t>
  </si>
  <si>
    <t>J304662939</t>
  </si>
  <si>
    <t>GUANARITO ESTADO PORTUGUESA</t>
  </si>
  <si>
    <t>0424-4029804</t>
  </si>
  <si>
    <t>CR 12 ENTRE CALLES 3 Y 4 LOCAL NRO S/N BARRIO EL RIO GUANARITO PORTUGUESA</t>
  </si>
  <si>
    <t>13152.00</t>
  </si>
  <si>
    <t>02559</t>
  </si>
  <si>
    <t>FARMACIA MULTIFARMACIA LEVITAS C.A.</t>
  </si>
  <si>
    <t>J502237771</t>
  </si>
  <si>
    <t>IRAPA SUCRE</t>
  </si>
  <si>
    <t>0412-8376334</t>
  </si>
  <si>
    <t>CALLE BOLIVAR CASA NRO 76 SECTOR CENTRO IRAPA SUCRE</t>
  </si>
  <si>
    <t>327296.11</t>
  </si>
  <si>
    <t>02560</t>
  </si>
  <si>
    <t>FARMAGREEN PUERTO CABELLO, C.A</t>
  </si>
  <si>
    <t>J506350238</t>
  </si>
  <si>
    <t>0424-4197987</t>
  </si>
  <si>
    <t>CALLE SANTA BARBARA, CALLE CON CRUCE URDANETA, EDIFICIO JOLIMIRA LOCAL, NRO - SECTOR - PUERTO CABELLO CARABOBO</t>
  </si>
  <si>
    <t>490102.02</t>
  </si>
  <si>
    <t>02561</t>
  </si>
  <si>
    <t>FARMACIA FARMAGREEN SANTA ROSA, C.A.</t>
  </si>
  <si>
    <t>J504354651</t>
  </si>
  <si>
    <t>0414-4415651</t>
  </si>
  <si>
    <t>AV 100 (BOLIVAR SUR) CASA NRO 21 URB PALOTAL SECTOR A VALENCIA CARABOBO</t>
  </si>
  <si>
    <t>58414.49</t>
  </si>
  <si>
    <t>02562</t>
  </si>
  <si>
    <t>FARMA MOTO 2, C.A</t>
  </si>
  <si>
    <t>J507124673</t>
  </si>
  <si>
    <t>0426-2492644</t>
  </si>
  <si>
    <t>AV CASA DE ZINC, CRUCE CON AV REVOLUCION LOCAL NRO SN SECTOR CENTRO SAN FERNANDO DE APURE APURE</t>
  </si>
  <si>
    <t>191423.83</t>
  </si>
  <si>
    <t>02563</t>
  </si>
  <si>
    <t>FARMACIA BETHEL 3515, C.A.</t>
  </si>
  <si>
    <t>J505488597</t>
  </si>
  <si>
    <t>04241268891</t>
  </si>
  <si>
    <t>CALLE SAN ANTONIO LOCAL NRO 3 SECTOR CENTRO SAN CASIMIRO ARAGUA</t>
  </si>
  <si>
    <t>196519.64</t>
  </si>
  <si>
    <t>02564</t>
  </si>
  <si>
    <t>FUNDACION FRANCESCHI FREITES ( FUNDAFARMACOS)</t>
  </si>
  <si>
    <t>J309491970</t>
  </si>
  <si>
    <t>04228011323</t>
  </si>
  <si>
    <t>AV LUISA CASERES DE ARISMENDI C/C MIRANDA LOCAL 3-23-A SECTOR 23 DE ENERO MARACAY ARAGUA</t>
  </si>
  <si>
    <t>15494.34</t>
  </si>
  <si>
    <t>02565</t>
  </si>
  <si>
    <t>(MATRIZ) FARMABOX.C.A</t>
  </si>
  <si>
    <t>SAN JUAN CARACAS</t>
  </si>
  <si>
    <t>AV SAN MARTIN ESQUINA DE PALO GRANDE EDF SAN JUAN PISO P/B LOCAL 02 URB SAN JUAN CARACAS DISTRITO CAPITAL</t>
  </si>
  <si>
    <t>02566</t>
  </si>
  <si>
    <t>FARMABOX, C.A</t>
  </si>
  <si>
    <t>146158.20</t>
  </si>
  <si>
    <t>02567</t>
  </si>
  <si>
    <t>FARMAGREEN LAS FERIAS, C.A</t>
  </si>
  <si>
    <t>J503817240</t>
  </si>
  <si>
    <t>0424-4321542</t>
  </si>
  <si>
    <t>AV 100 (LAS FERIAS), NUMERO CIVICO 70-27 EDIF ERCOLE PISO PB LOCAL S/N SECTOR S/N VALENCIA CARABOBO</t>
  </si>
  <si>
    <t>404521.98</t>
  </si>
  <si>
    <t>02568</t>
  </si>
  <si>
    <t>FARMAGREEN RODENAS, C.A</t>
  </si>
  <si>
    <t>J506347946</t>
  </si>
  <si>
    <t>0424-4600202</t>
  </si>
  <si>
    <t>CALLE 95-A (AV. LARA) NRO CIVICO 98-19 LOCAL 10, EDIFICIO EUR SECTOR VALENCIA CARABOBO</t>
  </si>
  <si>
    <t>95293.35</t>
  </si>
  <si>
    <t>02569</t>
  </si>
  <si>
    <t>FARMAGREEN LOS GUAYOS, C.A</t>
  </si>
  <si>
    <t>J505195930</t>
  </si>
  <si>
    <t>0414-4415638</t>
  </si>
  <si>
    <t>AV. BOLIVAR C/C ZAMORA PARCELA 56-026 LOCAL NRO N/I SECTOR CENTRO LOS GUAYOS, LOS GUAYOS CARABOBO</t>
  </si>
  <si>
    <t>196810.20</t>
  </si>
  <si>
    <t>02571</t>
  </si>
  <si>
    <t>FARMAGREEN MIRANDA, C.A</t>
  </si>
  <si>
    <t>J504352527</t>
  </si>
  <si>
    <t>0414-9417419</t>
  </si>
  <si>
    <t>CALLE 95-A (AV. LARA) NUMERO CIVICO 103-50 CC GRAN BAZAR VAELNCIA NIVEL PB LOCAL NRO 11 SECTOR S/N VALENCIA CARABOBO</t>
  </si>
  <si>
    <t>168405.12</t>
  </si>
  <si>
    <t>02572</t>
  </si>
  <si>
    <t>FARMACIA FARMAUNO PLUS, C. A.</t>
  </si>
  <si>
    <t>J316874605</t>
  </si>
  <si>
    <t>LA COROMOTO MARACAY</t>
  </si>
  <si>
    <t>0424 3442149</t>
  </si>
  <si>
    <t>CALLE LOS JABILLOS CASA NRO 105 SECTOR LA COROMOTO MARACAY</t>
  </si>
  <si>
    <t>02573</t>
  </si>
  <si>
    <t>FARMACIA FARMACAEJERB C.A (HOSPITAL MILITAR)</t>
  </si>
  <si>
    <t>J411145297</t>
  </si>
  <si>
    <t>0412-9857718</t>
  </si>
  <si>
    <t>AV SAN JOSE LAMAS EDIF HOSPITAL MILITAR DOCTOR CARLOS ARVELO PISO PB OF FARMACIA URB SAN MARTIN CARACAS DISTRITO CAPITAL</t>
  </si>
  <si>
    <t>4729.78</t>
  </si>
  <si>
    <t>02574</t>
  </si>
  <si>
    <t>INVERSIONES FARMAZITA, C.A</t>
  </si>
  <si>
    <t>J501274860</t>
  </si>
  <si>
    <t>BARUTA EDO MIRANDA</t>
  </si>
  <si>
    <t>AV PRINCIPAL DE SAN LUIS CC SAN LUIS NIVEL PB LOCAL 3 URB SAN LUIS LAS MINAS DE BARUTA MIRANDA</t>
  </si>
  <si>
    <t>39540.67</t>
  </si>
  <si>
    <t>02575</t>
  </si>
  <si>
    <t>INVERSIONES FARMAZITA ALTAGRACIA, C.A.</t>
  </si>
  <si>
    <t>J503792361</t>
  </si>
  <si>
    <t>AV NORTE ENTRE ESQUINA DE PROVIDENCIA Y SAN SIMON TERRENO CASA NRO 127 LOCAL COMERCIAL SECTOR LA PASTORA CARACAS DISTRITO CAPITAL</t>
  </si>
  <si>
    <t>69618.01</t>
  </si>
  <si>
    <t>02576</t>
  </si>
  <si>
    <t>FARMA LA HACIENDA II, C.A.</t>
  </si>
  <si>
    <t>J502172637</t>
  </si>
  <si>
    <t>+58 424-3344313</t>
  </si>
  <si>
    <t>CALLE RONDON CRUCE CON OLIVEROS LOCAL NRO 2-2 SECTOR CENTRO CAGUA ARAGUA</t>
  </si>
  <si>
    <t>3610.73</t>
  </si>
  <si>
    <t>02577</t>
  </si>
  <si>
    <t>FARMACIA 24 HORAS, C.A.</t>
  </si>
  <si>
    <t>J307655283</t>
  </si>
  <si>
    <t>+57 300 3015959</t>
  </si>
  <si>
    <t>CALLE CAURA LOCAL UD-264 NRO S/N URB ALTA VISTA, PARCELA 11 CIUDAD GUAYANA BOLIVAR</t>
  </si>
  <si>
    <t>473647.11</t>
  </si>
  <si>
    <t>02578</t>
  </si>
  <si>
    <t>FARMACIA HUMANA C.A.</t>
  </si>
  <si>
    <t>J503781319</t>
  </si>
  <si>
    <t>0414-1852005 (DUEÑO) / 04148</t>
  </si>
  <si>
    <t>AV GUAYANA CRUCE CON AVENIDA GUMILLA EDIF CENTRO HOSPITALARIO GUAYANA PISO PB LOCAL S/N URB UD 101, SAN FELIX  CIUDAD GUAYANA BOLIVAR</t>
  </si>
  <si>
    <t>02579</t>
  </si>
  <si>
    <t>JESUS ALBERTO PEREZ OLIMPIO</t>
  </si>
  <si>
    <t>V29642940</t>
  </si>
  <si>
    <t>02580</t>
  </si>
  <si>
    <t>FARMACIA SAN PABLO, C.A.</t>
  </si>
  <si>
    <t>J000444269</t>
  </si>
  <si>
    <t>04126107609</t>
  </si>
  <si>
    <t>AV PRESIDENTE MEDINA EDIF RAFAEL PISO PB LOCAL A B URB LAS ACACIAS CARACAS DISTRITO CAPITAL</t>
  </si>
  <si>
    <t>53966.95</t>
  </si>
  <si>
    <t>02581</t>
  </si>
  <si>
    <t>MIRIAN LAUDELINA PRISCO NUñEZ "FARMACIA EL MILAGRO"</t>
  </si>
  <si>
    <t>V042394625</t>
  </si>
  <si>
    <t>0414-5616702</t>
  </si>
  <si>
    <t>CR 5TA CASA NRO 4-10 BARRIO COROMOTO GUANARE EDO PORTUGUESA, GUANARE PORTUGUESA</t>
  </si>
  <si>
    <t>02582</t>
  </si>
  <si>
    <t>BOTICA VARGAS C.A</t>
  </si>
  <si>
    <t>J001332073</t>
  </si>
  <si>
    <t>CHARALLAVE EDO  MIRANDA</t>
  </si>
  <si>
    <t>AV BOLIVAR 122 CASA NRO 122 SECTOR PUEBLO ARRIBA CHARALLAVE MIRANDA</t>
  </si>
  <si>
    <t>02583</t>
  </si>
  <si>
    <t>RAPID FARMA 2024, C.A</t>
  </si>
  <si>
    <t>J505822608</t>
  </si>
  <si>
    <t>0414-7407405</t>
  </si>
  <si>
    <t>AV PRINCIPAL LOCAL NRO 76 SECTOR SAN AGUSTIN DEL SUR ENTRE PASAJE 4 Y 5 CARACAS DISTRITO CAPITAL</t>
  </si>
  <si>
    <t>20119.76</t>
  </si>
  <si>
    <t>02584</t>
  </si>
  <si>
    <t>FARMAMIRAL, C.A.</t>
  </si>
  <si>
    <t>J505556584</t>
  </si>
  <si>
    <t>04148861545</t>
  </si>
  <si>
    <t>CALLE LICCIONI LOCAL NRO 01 SECTOR CASCO CENTRAL EL CALLAO BOLIVAR</t>
  </si>
  <si>
    <t>235090.19</t>
  </si>
  <si>
    <t>02586</t>
  </si>
  <si>
    <t>PHARMA GROUP PEREZ, C.A</t>
  </si>
  <si>
    <t>J500049420</t>
  </si>
  <si>
    <t>PUNTO FIJO FALCON</t>
  </si>
  <si>
    <t>04125140578</t>
  </si>
  <si>
    <t>CALLE COMERCIO ENTRE CALLE BOLIVIA Y CALLEJON BERMUDEZ EDIF CARIBE PISO P/B LOCAL S/N SECTOR CENTRO PUNTO FIJO FALCON</t>
  </si>
  <si>
    <t>1868544.22</t>
  </si>
  <si>
    <t>02587</t>
  </si>
  <si>
    <t>FARMACIA FARMARATO, C.A.</t>
  </si>
  <si>
    <t>J309173936</t>
  </si>
  <si>
    <t>0424-1345843</t>
  </si>
  <si>
    <t>CALLE SAN JOSE CERCA DE LA CALLE SAN ANTONIO LOCAL No08-16/01-23 NRO 23 URB LA VEGAS- LOS PINOS CARACAS DISTRITO CAPITAL</t>
  </si>
  <si>
    <t>32177.43</t>
  </si>
  <si>
    <t>02588</t>
  </si>
  <si>
    <t>SANTIAGO DAVID NAVARRO GASCON</t>
  </si>
  <si>
    <t>V27964478</t>
  </si>
  <si>
    <t>4303.81</t>
  </si>
  <si>
    <t>02589</t>
  </si>
  <si>
    <t>FARMACIA DIMAWORLD ADICORA CA</t>
  </si>
  <si>
    <t>J506968690</t>
  </si>
  <si>
    <t>ADICORA EDO FALCON</t>
  </si>
  <si>
    <t>04121606877</t>
  </si>
  <si>
    <t>4101</t>
  </si>
  <si>
    <t>ADICORA - FALCON</t>
  </si>
  <si>
    <t>CALLE SANTA ANA CALLE AEROPUERTO Y CALLE RAMON WELMAN CASA S/N NRO S/N S/N SECTOR ADICORA ADICORA FALCON ZONA</t>
  </si>
  <si>
    <t>137426.13</t>
  </si>
  <si>
    <t>02590</t>
  </si>
  <si>
    <t>CAPITALFARMA, C.A.</t>
  </si>
  <si>
    <t>J504678520</t>
  </si>
  <si>
    <t>0424-3133793</t>
  </si>
  <si>
    <t>CALLE COLOMBIA CON AV ESPAÑA LOCAL NRO 24 Y 173 URB NUEVA CARACAS CARACAS DISTRITO CAPITAL</t>
  </si>
  <si>
    <t>02591</t>
  </si>
  <si>
    <t>FARMACIA CAJIGAL C.A.</t>
  </si>
  <si>
    <t>J000801037</t>
  </si>
  <si>
    <t>04122842106</t>
  </si>
  <si>
    <t>AV ALTAMIRA EDIF AKADIA PISO PB LOCAL S/N URB SAN BERNARDINO CARACAS DISTRITO CAPITAL</t>
  </si>
  <si>
    <t>02592</t>
  </si>
  <si>
    <t>FARMACIA MULTI DESCUENTO II, C.A</t>
  </si>
  <si>
    <t>J406932558</t>
  </si>
  <si>
    <t>CALLE JUNCAL LOCAL NRO 77 SECTOR CENTRO CARUPANO SUCRE</t>
  </si>
  <si>
    <t>155000.05</t>
  </si>
  <si>
    <t>02593</t>
  </si>
  <si>
    <t>JHENSY MIRJANA ROMERO RODRIGUEZ</t>
  </si>
  <si>
    <t>V20228598</t>
  </si>
  <si>
    <t>02594</t>
  </si>
  <si>
    <t>FARMACIA TIERRA ADENTRO I, C.A</t>
  </si>
  <si>
    <t>J506820633</t>
  </si>
  <si>
    <t>CALLE RIVERO EDIF EL TUNEL PISO LOCAL PB-2 LOCAL LOCAL PB-2 BARRIO BARRIO LA CARAQUEÑA POZUELOS ANZOATEGUI</t>
  </si>
  <si>
    <t>33036.83</t>
  </si>
  <si>
    <t>0414-0294885</t>
  </si>
  <si>
    <t>FISCAL CALLE LAS FLORES CON NEGRIN EDIF TORRE PROFESIONAL NEGRIN PISO 1 OF 1A URB LAS DELICIA DE SABANA GRANDE CARACAS DISTRITO CAPITAL</t>
  </si>
  <si>
    <t>04141396500</t>
  </si>
  <si>
    <t>CALLE 2 DE LA UD4 LOCAL COMERCIAL NRO 12 CONJUNTO RESIDENCIAL ARAUCA CARACAS DISTRITO CAPITAL</t>
  </si>
  <si>
    <t>+58 424-8596638</t>
  </si>
  <si>
    <t>CALLE PRINCIPAL BRISAS DEL NEVERIS LOCAL NRO 2-1 URB BRISAS DEL NEVERIS BARCELONA ANZOATEGUI</t>
  </si>
  <si>
    <t>02598</t>
  </si>
  <si>
    <t>FARMACIA Y LABORATORIO TIUNA GLOBAL, C.A.</t>
  </si>
  <si>
    <t>J505105191</t>
  </si>
  <si>
    <t>0414-0199069</t>
  </si>
  <si>
    <t>CALLE NEGRO  PRIMERO LOCAL 1 URB CIUDAD TIUNA CARACAS DISTRITO CAPITAL</t>
  </si>
  <si>
    <t>02599</t>
  </si>
  <si>
    <t>FARMACIA FARMA JERB, C.A ( FUERTE TIUNA)</t>
  </si>
  <si>
    <t>J407939734</t>
  </si>
  <si>
    <t>04145355069</t>
  </si>
  <si>
    <t>AV. LAS ESCUELAS EDF CAJA DE AHORRO DEL EJERCITO BOLIVARIANO PISO PB OF FARMACIA FARMAEJERB ZONA FUERTE TIUNA CARACAS DISTRITO CAPITAL</t>
  </si>
  <si>
    <t>207941.37</t>
  </si>
  <si>
    <t>02600</t>
  </si>
  <si>
    <t>INVERSIONES AZIZI FASHION 2019, C.A</t>
  </si>
  <si>
    <t>J412797646</t>
  </si>
  <si>
    <t>04241576125</t>
  </si>
  <si>
    <t>RESIDENCIAS MIRACIELO, LOCAL 4, PB.. SECTOR EL CABOTAJE. LOS TEQUES, ESTADO MIRANDA</t>
  </si>
  <si>
    <t>95526.07</t>
  </si>
  <si>
    <t>02601</t>
  </si>
  <si>
    <t>SUPER AHORRO NORTE, C.A</t>
  </si>
  <si>
    <t>J412807633</t>
  </si>
  <si>
    <t>04166863555</t>
  </si>
  <si>
    <t>AV. SANTA ROSA 5TA TRANSVERSAL EDIF INVERSIONES CUMANA NORTE PISO /B LOCAL PRINCIPAL SECTOR AV SANTA ROSA CUMANA SUCRE.</t>
  </si>
  <si>
    <t>162963.98</t>
  </si>
  <si>
    <t>02602</t>
  </si>
  <si>
    <t>FARMACIA SUPER AHORRO II, C.A</t>
  </si>
  <si>
    <t>J405802022</t>
  </si>
  <si>
    <t>CALLE CARABOBO C/C SAN FELIX EDIF SAHARA PISO PB LOCAL 01 ZONA CENTRO CARUPANO SUCRE</t>
  </si>
  <si>
    <t>163528.40</t>
  </si>
  <si>
    <t>02603</t>
  </si>
  <si>
    <t>FARMACIA MULTI DESCUENTO, C.A.</t>
  </si>
  <si>
    <t>J406717207</t>
  </si>
  <si>
    <t>0416-6863555</t>
  </si>
  <si>
    <t>CALLE PRINCIPAL LOCAL NRO S/N SECTOR LAS VEGAS RIO CARIBE SUCRE</t>
  </si>
  <si>
    <t>36061.93</t>
  </si>
  <si>
    <t>02604</t>
  </si>
  <si>
    <t>FARMACIA MIFARMA, C.A</t>
  </si>
  <si>
    <t>J312022612</t>
  </si>
  <si>
    <t>0412 1842891</t>
  </si>
  <si>
    <t>CALLE BERMUDEZ,CRUCE CON CALLE ANGEL MARIA ARCIA,CARIACO,MUNICIPIO RIBERO, EDO. SUCRE.  Municipio Andrés Eloy Blanco. Parroquia Mariño. Araya</t>
  </si>
  <si>
    <t>163583.98</t>
  </si>
  <si>
    <t>02605</t>
  </si>
  <si>
    <t>FARMACIA SANTA MARIA, C.A</t>
  </si>
  <si>
    <t>J304669160</t>
  </si>
  <si>
    <t>CALLE ROMULO GALLEGOS N#.27, CARIACO, MUNICIPIO RIBERO, EDO. SUCRE.  Parroquia Rendón. Cariaco</t>
  </si>
  <si>
    <t>283820.53</t>
  </si>
  <si>
    <t>02606</t>
  </si>
  <si>
    <t>FARMACIA DANFRA 2301, C.A.</t>
  </si>
  <si>
    <t>J412978969</t>
  </si>
  <si>
    <t>04127280932</t>
  </si>
  <si>
    <t>CALLE STADIUM, PARCELAMIENTO ALTA VISTA, PARCELA LOCAL NRO 4/B, URB ALTA VISTA, CARACAS, DISTRITO CAPITAL</t>
  </si>
  <si>
    <t>02607</t>
  </si>
  <si>
    <t>FARMACIA LA BOTICA S.R.L (SUCURSAL GUASIMAL)</t>
  </si>
  <si>
    <t>J075402979</t>
  </si>
  <si>
    <t>MARACAY  EDO ARAGUA</t>
  </si>
  <si>
    <t>0412-4110569</t>
  </si>
  <si>
    <t>AV AVENIDA CARACAS LOCAL  NRO 79 SECTOR NIÑO JESUS EL LIMON ARAGUA</t>
  </si>
  <si>
    <t>706975.54</t>
  </si>
  <si>
    <t>02608</t>
  </si>
  <si>
    <t>FARMACIA FARMACOS ACARIGUA,C.A (SUCURSAL II)</t>
  </si>
  <si>
    <t>J406259195</t>
  </si>
  <si>
    <t>0424 5241059</t>
  </si>
  <si>
    <t>CALLE 30 ENTRE AVENIDA 27 Y 28 LOCAL NRO 04 SECTOR CENTRO ACARIGUA PORTUGUESA</t>
  </si>
  <si>
    <t>02609</t>
  </si>
  <si>
    <t>FARMACIA FARMAUNDA, C.A</t>
  </si>
  <si>
    <t>J295981562</t>
  </si>
  <si>
    <t>04244103331</t>
  </si>
  <si>
    <t>AV SUCRE E/C COROMOTO Y CORDOBA LOCAL NRO 07-53 SECTOR MONSENOR JOSE VICENTE DE UNDA CHABASQUEN EDO PORTUGUESA</t>
  </si>
  <si>
    <t>1933191.61</t>
  </si>
  <si>
    <t>02610</t>
  </si>
  <si>
    <t>GRUPO NIX 2019, C.A</t>
  </si>
  <si>
    <t>J412607014</t>
  </si>
  <si>
    <t>0414-9042760</t>
  </si>
  <si>
    <t>CALLE LAS FLORES LOCAL LOCAL NRO D-82 URB UD-1 GARCIA CARBALLO CARACAS DISTRITO CAPITAL</t>
  </si>
  <si>
    <t>02611</t>
  </si>
  <si>
    <t>FARMACIA LA COOPERATIVA DEL NORTE,C.A</t>
  </si>
  <si>
    <t>J314606620</t>
  </si>
  <si>
    <t>0424-3579014</t>
  </si>
  <si>
    <t>CALLE EL DELEITE LOCAL NRO 13-A BARRIO LA COOPERATIVA MARACAY ARAGUA</t>
  </si>
  <si>
    <t>239253.58</t>
  </si>
  <si>
    <t>02612</t>
  </si>
  <si>
    <t>BIOVITAL LABORATORIO, C.A</t>
  </si>
  <si>
    <t>J507102556</t>
  </si>
  <si>
    <t>0412-3364985</t>
  </si>
  <si>
    <t>AV PORTUGUESA EDIF VERZELLINO PISO N/A LOCAL 1-6 SECTOR ANACO ANACO ANZOATEGU</t>
  </si>
  <si>
    <t>0412-6011345</t>
  </si>
  <si>
    <t>CARRERA 6 PRINCIPAL ENTRE CALLES 8 Y 9 EDIFICIO CALDEREÑO PISO 1 LOCAL S/N SECTOR MACARENA BARINITAS BARINAS</t>
  </si>
  <si>
    <t>02614</t>
  </si>
  <si>
    <t>FARMACIA SIRIVEN J&amp;S, C.A</t>
  </si>
  <si>
    <t>J500185774</t>
  </si>
  <si>
    <t>CAJA SECA EDO ZULIA</t>
  </si>
  <si>
    <t>0412-1272671- 0412-5107803</t>
  </si>
  <si>
    <t>8787</t>
  </si>
  <si>
    <t>CAJA SECA - ZULIA</t>
  </si>
  <si>
    <t>CALLE ANTONIO JOSE DE SUCRE CON CALLE FELIPE RAMOS CC WAEL NIVEL P/B LOCAL 01 SECTOR CAJA SECA  ZULIA</t>
  </si>
  <si>
    <t>355747.55</t>
  </si>
  <si>
    <t>02615</t>
  </si>
  <si>
    <t>FARMACIA SANA SANA POZUELO C.A</t>
  </si>
  <si>
    <t>J506877066</t>
  </si>
  <si>
    <t>+58 414-0911009</t>
  </si>
  <si>
    <t>CALLE 23 DE ENERO ENTRE CALLE LA LINEA Y CALLE EL SILENCIO LOCAL NRO S/N BARRIO LA CARQUEÑA PUERTO LA CRUZ ANZOATEGUI</t>
  </si>
  <si>
    <t>596583.37</t>
  </si>
  <si>
    <t>02616</t>
  </si>
  <si>
    <t>FARMACIA LEDESALUD, C.A</t>
  </si>
  <si>
    <t>J505434764</t>
  </si>
  <si>
    <t>0412-8715259</t>
  </si>
  <si>
    <t>CALLE 1 LOCAL NRO 12-A URB PADRE SERRANO CAICARA MONAGAS</t>
  </si>
  <si>
    <t>28812.01</t>
  </si>
  <si>
    <t>02617</t>
  </si>
  <si>
    <t>CENTRO DE ATENCION MEDICO QUIRURGICA VIDAMED C.A</t>
  </si>
  <si>
    <t>J302296730</t>
  </si>
  <si>
    <t>0424-2023059</t>
  </si>
  <si>
    <t>FISCAL AV FRANCISCO SOLANO LOPEZ EDIF MADRID PISO PB OF PB SECTOR SABANA GRANDE CARACAS DISTRITO CAPITAL</t>
  </si>
  <si>
    <t>02618</t>
  </si>
  <si>
    <t>FARMACIA EL COLONIAL ALBAN C.A.</t>
  </si>
  <si>
    <t>09/11/2025</t>
  </si>
  <si>
    <t>J302156890</t>
  </si>
  <si>
    <t>0416 623 72 88</t>
  </si>
  <si>
    <t>CALLE MONSEÑOR PELLIN C.C EL COLONIAL NIVEL PB LOCAL 32 Y 33 URB SANTA ROSA CUA MIRANDA</t>
  </si>
  <si>
    <t>02619</t>
  </si>
  <si>
    <t>FARMACIA ANIMAS BENDITAS 1 C.A</t>
  </si>
  <si>
    <t>J505445170</t>
  </si>
  <si>
    <t>0424-7014756</t>
  </si>
  <si>
    <t>CTRA PANAMERICANA CASA NRO B-69 SECTOR EL ABEJAL DE PALMIRA TACHIRA</t>
  </si>
  <si>
    <t>164088.67</t>
  </si>
  <si>
    <t>02620</t>
  </si>
  <si>
    <t>FARMAORIENTE 24, C.A</t>
  </si>
  <si>
    <t>J501307202</t>
  </si>
  <si>
    <t>AV. BOLIVAR LOCAL LOCAL NRO S/N SECTOR CASCO CENTRAL CANTAURA ANZOATEGUI</t>
  </si>
  <si>
    <t>591756.67</t>
  </si>
  <si>
    <t>02621</t>
  </si>
  <si>
    <t>FARMACIA ROISALUD CA (SUC SAN AGUSTINOS)</t>
  </si>
  <si>
    <t>268605.45</t>
  </si>
  <si>
    <t>02622</t>
  </si>
  <si>
    <t>FARMACIA SUPER AHORRO III, C.A</t>
  </si>
  <si>
    <t>J502183531</t>
  </si>
  <si>
    <t>CALLE ACOSTA CRUCE CON AVENIDA NORTE-SUR, LOCAL S/N SECTO EL MERCADO CARUPANO SUCRER</t>
  </si>
  <si>
    <t>167418.13</t>
  </si>
  <si>
    <t>02623</t>
  </si>
  <si>
    <t>FARMACIA VITALMEDICA C.A</t>
  </si>
  <si>
    <t>J503212055</t>
  </si>
  <si>
    <t>0414-7037095</t>
  </si>
  <si>
    <t>5ta avenida entre calles 4 y 5, frente a la Policía Nacional. 
Estado Tachira. Municipio San Cristóbal. Parroquia San Sebastián. San Cristobal</t>
  </si>
  <si>
    <t>1976499.96</t>
  </si>
  <si>
    <t>02625</t>
  </si>
  <si>
    <t>FARMA NELSITA C.A</t>
  </si>
  <si>
    <t>J502482326</t>
  </si>
  <si>
    <t>0426-5788739</t>
  </si>
  <si>
    <t>CR 13 CON CALLE 9 LOCAL NRO 4 SECTOR CENTRO SAN CRISTOBAL TACHIRA 5001</t>
  </si>
  <si>
    <t>179038.03</t>
  </si>
  <si>
    <t>02626</t>
  </si>
  <si>
    <t>CENTRO MEDICO DOCENTE LOS ALTOS MEDO C.A.</t>
  </si>
  <si>
    <t>J300592847</t>
  </si>
  <si>
    <t>LOS TEQUES EDO MIRANDA</t>
  </si>
  <si>
    <t>AV PPAL COLINA DE CARRIZAL EDIF CTRO MEDICO DOCENTE LOS ALTOS PISO PB OF S/N SECTOR MONTAÑA ALTA CARRIZAL MIRANDA</t>
  </si>
  <si>
    <t>02628</t>
  </si>
  <si>
    <t>JOSE CAMILO CAPAZZI NARVAEZ</t>
  </si>
  <si>
    <t>V24580309</t>
  </si>
  <si>
    <t>02631</t>
  </si>
  <si>
    <t>FARMACIA RIO, C.A.</t>
  </si>
  <si>
    <t>J310083088</t>
  </si>
  <si>
    <t>0424-1524300 /</t>
  </si>
  <si>
    <t>CALLE DOS DE VISTA ALEGRE EDIF SAN JOSE PISO PB LOCAL NRO 01 URB VISTA ALEGRE CARACAS DISTRITO CAPITAL</t>
  </si>
  <si>
    <t>68934.20</t>
  </si>
  <si>
    <t>02632</t>
  </si>
  <si>
    <t>FARMACIA FARMACHABAS C.A</t>
  </si>
  <si>
    <t>J502401083</t>
  </si>
  <si>
    <t>0412-6729234</t>
  </si>
  <si>
    <t>AV 24 DE JULIO CON CALLE RICAUTER Y ARISMENDI CASA NRO S/N SECTOR CENTRO CHABASQUEN PORTUGUESA</t>
  </si>
  <si>
    <t>31027.88</t>
  </si>
  <si>
    <t>02633</t>
  </si>
  <si>
    <t>FARMACIA FARMATONYS 1, C.A. (PUERTO ORDAZ)</t>
  </si>
  <si>
    <t>FARMACIA FARMATONYS 1, C.A.</t>
  </si>
  <si>
    <t>J506665999</t>
  </si>
  <si>
    <t>0424-9386273</t>
  </si>
  <si>
    <t>AV NORTE SUR 3 (ANTES AV. PPAL DE UNARE) CRUCE CON AVENIDA PASEO CARONI LOCAL S/N SECTOR ZONA INDUSTRIAL DE UNARE II CIUDAD GUAYANA BOLIVAR</t>
  </si>
  <si>
    <t>290204.54</t>
  </si>
  <si>
    <t>02634</t>
  </si>
  <si>
    <t>SHOPYFARMA, C.A.</t>
  </si>
  <si>
    <t>J505910965</t>
  </si>
  <si>
    <t>+57 300 3015959/</t>
  </si>
  <si>
    <t>CALLE CAURA EDIF TORRE CASA PISO PB LOCAL 02 SECTOR ALTA VISTA CIUDAD GUAYANA BOLIVAR</t>
  </si>
  <si>
    <t>16944.20</t>
  </si>
  <si>
    <t>02635</t>
  </si>
  <si>
    <t>FARMACIA LIBERTADOR A.M. 2006 C.A</t>
  </si>
  <si>
    <t>J316703053</t>
  </si>
  <si>
    <t>TOCUYITO ESTADO CARABOBO</t>
  </si>
  <si>
    <t>CALLE MORILLO C/C URDANETA LOCAL NRO13-A , 13B SECTOR LAS MANZANAS II CAMPO DE CARABOBO TOCUYITO CARABOBO</t>
  </si>
  <si>
    <t>161246.30</t>
  </si>
  <si>
    <t>02636</t>
  </si>
  <si>
    <t>FARMACIA VALLES DEL TUY C.A</t>
  </si>
  <si>
    <t>J002013770</t>
  </si>
  <si>
    <t>0414-3274182</t>
  </si>
  <si>
    <t>CALLE TAMANACO CON MIRANDA CC TAHAY NIVEL C LOCAL COMERCIAL PB SECTOR LA VAQUERA SANTA TERESA DEL TUY MIRANDA</t>
  </si>
  <si>
    <t>26399.13</t>
  </si>
  <si>
    <t>02639</t>
  </si>
  <si>
    <t>POLICLINICA PUERTO LA CRUZ C A</t>
  </si>
  <si>
    <t>J080200861</t>
  </si>
  <si>
    <t>0424-8519219</t>
  </si>
  <si>
    <t>AV 5 DE JULIO CRUCE CON CALLE ARISMENDI LOCAL NRO 40 SECTOR CENTRO PUERTO LA CRUZ ANZOATEGUI</t>
  </si>
  <si>
    <t>02640</t>
  </si>
  <si>
    <t>FARMAS TRINIDAD EXPRESS, C.A</t>
  </si>
  <si>
    <t>J406475181</t>
  </si>
  <si>
    <t>SABANETA BARINAS</t>
  </si>
  <si>
    <t>0424-5040855 /</t>
  </si>
  <si>
    <t>AV ANTONIO MARIA BAYON CON CALLE 05 LOCAL NRO 03 SECTOR CENTRO SABANETA BARINAS</t>
  </si>
  <si>
    <t>6838193.75</t>
  </si>
  <si>
    <t>02641</t>
  </si>
  <si>
    <t>FARMACAPSULA,C.A. (SUCURSAL)</t>
  </si>
  <si>
    <t>FARMACAPSULA,C.A.</t>
  </si>
  <si>
    <t>CALLE GUAYANA EDIF BLUE HILL PISO P, B LOCAL 1 Y 4 CASCO CENTRAL EL TIGRE ANZOATEGUI</t>
  </si>
  <si>
    <t>385785.69</t>
  </si>
  <si>
    <t>02642</t>
  </si>
  <si>
    <t>FARMACIA FARMAPRO PLUS, C.A</t>
  </si>
  <si>
    <t>J505720228</t>
  </si>
  <si>
    <t>0424-1355688</t>
  </si>
  <si>
    <t>AV. BOLIVAR, ENTRE LA 5TA Y 6TA AVINA CALLE VILLA LAIN NRO 4A URBANIZACION CARACAS DISTRITO CAPITAL CARACAS</t>
  </si>
  <si>
    <t>02643</t>
  </si>
  <si>
    <t>FARMACIA GALA VIII LOS GUAYOS, C.A</t>
  </si>
  <si>
    <t>J501241996</t>
  </si>
  <si>
    <t>04144388735</t>
  </si>
  <si>
    <t>CALLE SUCRE, CON CALLE MONTILLA LOCAL NRO 1 SECTOR CASCO CENTRAL DE LOS GUAYOS, FRENTE A LA PLAZA BOLIVAR LOS GUAYOS CARABOBO</t>
  </si>
  <si>
    <t>02644</t>
  </si>
  <si>
    <t>FARMACIA SAN AGUSTIN S.A (FARSANGU, S.A)</t>
  </si>
  <si>
    <t>J000475164</t>
  </si>
  <si>
    <t>04166302297</t>
  </si>
  <si>
    <t>CALLE ESTE ESQ 2 EDIF SALTO ANGEL PISO PB LOCAL B URB LA CANDELARIA CARACAS DISTRITO CAPITAL</t>
  </si>
  <si>
    <t>28750.92</t>
  </si>
  <si>
    <t>02645</t>
  </si>
  <si>
    <t>MATRIZ FARMACIA LA CEIBA, C.A</t>
  </si>
  <si>
    <t>EL CUJI EDO LARA</t>
  </si>
  <si>
    <t>02646</t>
  </si>
  <si>
    <t>FARMACIA LA CEIBA, C.A. (SUCURSAL)</t>
  </si>
  <si>
    <t>28760.51</t>
  </si>
  <si>
    <t>02647</t>
  </si>
  <si>
    <t>FARMACIA FARMACARONI C.A. (SUCURSAL 2)</t>
  </si>
  <si>
    <t>04148953914</t>
  </si>
  <si>
    <t>418671.19</t>
  </si>
  <si>
    <t>02648</t>
  </si>
  <si>
    <t>FARMA VIDA 2021, C.A.</t>
  </si>
  <si>
    <t>J500434340</t>
  </si>
  <si>
    <t>CAÑA DE AZUCAR- ARAGUA</t>
  </si>
  <si>
    <t>0412-5955454</t>
  </si>
  <si>
    <t>AVENIDA 03 CASA No. 05, URBANIZACIÓN JOSE FELIX RIVAS SECTOR 5. CAÑA DE AZUCAR ARAGUA</t>
  </si>
  <si>
    <t>21121.13</t>
  </si>
  <si>
    <t>02649</t>
  </si>
  <si>
    <t>FARMABAMBU C.A</t>
  </si>
  <si>
    <t>J506043904</t>
  </si>
  <si>
    <t>0416-6127496</t>
  </si>
  <si>
    <t>CALLE TRANSVERSAL 4TA ENTRE CALLE 2 Y CALLE 1 EDIF CATATUMBO PISO PB LOCAL 5 URB RUPERTO LUGO CARACAS DISTRITO CAPITAL</t>
  </si>
  <si>
    <t>12909.70</t>
  </si>
  <si>
    <t>02650</t>
  </si>
  <si>
    <t>BARBARA GUERRERO DE ROJAS "FARMACIA LAS TRES DIVINAS PERSONAS DE BARBARA GUERRERO DE ROJAS"</t>
  </si>
  <si>
    <t>V232123555</t>
  </si>
  <si>
    <t>0414-5001974</t>
  </si>
  <si>
    <t>AV BOLIVAR CASA NRO 4 SECTOR CASCO CENTRAL LAGUNILLAS MERIDA</t>
  </si>
  <si>
    <t>02651</t>
  </si>
  <si>
    <t>FARMACIA FARMATORRE NAGUANAGUA, C.A (SUCURSAL LA CANDELARIA)</t>
  </si>
  <si>
    <t>CALLE CEMENTERIO C/C NORTE NIVEL PB LOCAL 181-22 SECTOR NAGUANAGUA.
ESTADO CARABOBO. MUNICIPIO NAGUNAGUA. PARROQUIA URBANA NAGUANAGUA . VALENCIA</t>
  </si>
  <si>
    <t>452558.74</t>
  </si>
  <si>
    <t>02653</t>
  </si>
  <si>
    <t>FARMACIA GALA VI, AV. LARA II, C.A</t>
  </si>
  <si>
    <t>J500519516</t>
  </si>
  <si>
    <t>0412-4803173</t>
  </si>
  <si>
    <t>CALLE 95-A AVENIDA LARA, ENTRE AVENIDA FARRIAR Y PROLONGACION MANRIQUE, NUMERO CIVICO 96-47 LOCAL NRO 1 SECTOR S/N VALENCIA CARABOBO</t>
  </si>
  <si>
    <t>02654</t>
  </si>
  <si>
    <t>FARMACIA RIBERO C.A.</t>
  </si>
  <si>
    <t>J403366470</t>
  </si>
  <si>
    <t>024-8912578</t>
  </si>
  <si>
    <t>CALLE LA PLAZA C/C ROMULO GALLEGOS LOCAL S/N SECTOR CENTRO CARIACO SUCRE</t>
  </si>
  <si>
    <t>36781.94</t>
  </si>
  <si>
    <t>02655</t>
  </si>
  <si>
    <t>FARMACIA DIVINA MISERICORDIA S/C, C.A</t>
  </si>
  <si>
    <t>J504587516</t>
  </si>
  <si>
    <t>0414-7131146</t>
  </si>
  <si>
    <t>CR 12 ENTRE CALLES 4 Y 5 CASA NRO 4-68 SECTOR CONCORDIA, SAN CRISTOBAL TACHIRA</t>
  </si>
  <si>
    <t>30971.79</t>
  </si>
  <si>
    <t>02656</t>
  </si>
  <si>
    <t>FARMACIA ORINOCO II, C.A.</t>
  </si>
  <si>
    <t>J412281399</t>
  </si>
  <si>
    <t>04248612062</t>
  </si>
  <si>
    <t>CALLE SUCRE LOCAL NRO 8-108 SECTOR LAS PARCELAS ANACO ANZOATEGUI</t>
  </si>
  <si>
    <t>145729.05</t>
  </si>
  <si>
    <t>02657</t>
  </si>
  <si>
    <t>RIO SUMINISTROS MEDICOS A.M., C.A (RIO SUMINISTROS MEDICOS A.M., C.A)</t>
  </si>
  <si>
    <t>RIO SUMINISTROS MEDICOS A.M., C.A</t>
  </si>
  <si>
    <t>J504813940</t>
  </si>
  <si>
    <t>0424-2801217</t>
  </si>
  <si>
    <t>CALLE NRO 2 VISTA ALEGRE LOCAL SAN JOSE NUMERO 1, URB VISTA ALEGRIA , CARACAS CARACAS DISTRITO CAPITAL</t>
  </si>
  <si>
    <t>9473.48</t>
  </si>
  <si>
    <t>02660</t>
  </si>
  <si>
    <t>FARMACIA ROISALUD I C.A</t>
  </si>
  <si>
    <t>23/11/2025</t>
  </si>
  <si>
    <t>J500729618</t>
  </si>
  <si>
    <t>0414-0813774/</t>
  </si>
  <si>
    <t>AV LUCIO OQUENDO CON CARRERA 12 CASA NRO 12-66, SECTOR LA CONCORDIA SAN CRISTOBAL TACHIRA</t>
  </si>
  <si>
    <t>167198.89</t>
  </si>
  <si>
    <t>02661</t>
  </si>
  <si>
    <t>FARMACIA DEL SUR C.A.</t>
  </si>
  <si>
    <t>J001693971</t>
  </si>
  <si>
    <t>0424-1851363</t>
  </si>
  <si>
    <t>CALLE LA PROVIDENCIA EDIF MANTONI PISO PB LOCAL UNICO SECTOR EL CEMENTERIO CARACAS DISTRITO CAPITAL</t>
  </si>
  <si>
    <t>7166.45</t>
  </si>
  <si>
    <t>02662</t>
  </si>
  <si>
    <t>FARMACIA FARMA-SHOP, C.A. "SUCURSAL TRONCONAL"</t>
  </si>
  <si>
    <t>AV BOULEVARD 5 DE JULIO EDIF SAN ANTONIO PISO PB LOCAL LOCAL 1 SECTOR CASCO CENTRAL BARCELONA ANZOATEGUI</t>
  </si>
  <si>
    <t>8976.55</t>
  </si>
  <si>
    <t>02663</t>
  </si>
  <si>
    <t>TAILA JANEIDY DUGARTE GUERRERO "FARMACIA LA PRINCIPAL F.P"</t>
  </si>
  <si>
    <t>V205172218</t>
  </si>
  <si>
    <t>0424-5090122</t>
  </si>
  <si>
    <t>CALLE 0 CON CARRERA 10 Y 11 CASA 10-55 SECTOR CENTRO SOCOPO EDO BARINAS PARROQUIA TICOPORO MUNICIPIO ANTONIO JOSE DE SUCRE</t>
  </si>
  <si>
    <t>29567.31</t>
  </si>
  <si>
    <t>02664</t>
  </si>
  <si>
    <t>ORLANDO ENRIQUE MARQUEZ ROSALES "CADENAS FARMACIA LA NUEVA REBAJA F.P."</t>
  </si>
  <si>
    <t>V167774810</t>
  </si>
  <si>
    <t>SOCOPO BARINAS</t>
  </si>
  <si>
    <t>0414-5295209</t>
  </si>
  <si>
    <t>CR 9 ESQUINA DE LA CALLE 4 CASA NRO S/N SECTOR CENTRO SOCOPO BARINAS</t>
  </si>
  <si>
    <t>02665</t>
  </si>
  <si>
    <t>FARMACIA ORINOCO CA</t>
  </si>
  <si>
    <t>J301751981</t>
  </si>
  <si>
    <t>0414-9953714</t>
  </si>
  <si>
    <t>AV BOLIVAR LOCAL PB NRO 4-56 URB LAS PARCELAS ANACO ANZOATEGUI</t>
  </si>
  <si>
    <t>41701.78</t>
  </si>
  <si>
    <t>02666</t>
  </si>
  <si>
    <t>FARMACIA BRUSELAS C.A.</t>
  </si>
  <si>
    <t>J317256042</t>
  </si>
  <si>
    <t>MOCOTIES EDO MERIDA</t>
  </si>
  <si>
    <t>0414 1791093/ 0274 2662687</t>
  </si>
  <si>
    <t>8789</t>
  </si>
  <si>
    <t>MOCOTIES - MERIDA</t>
  </si>
  <si>
    <t>AV LOS PROCERES CC CENTRO PLAZA LOS PROCERES NIVEL PB LOCAL 3 ZONA SANTA BARBARA VELLA VISTA MOCOTIES I MERIDA</t>
  </si>
  <si>
    <t>13630.62</t>
  </si>
  <si>
    <t>02667</t>
  </si>
  <si>
    <t>FARMART 286, C.A</t>
  </si>
  <si>
    <t>J502576711</t>
  </si>
  <si>
    <t>04148974949 / 04249363639</t>
  </si>
  <si>
    <t>AV ESTADOS UNIDOS CC VILLA ALIANZA NIVEL 1 LOCAL 31 Y 32 URB VILLA ALIANZA PUERTO ORDAZ CIUDAD GUAYANA BOLIVAR</t>
  </si>
  <si>
    <t>02668</t>
  </si>
  <si>
    <t>FARMACIA INKAFARMA, C.A</t>
  </si>
  <si>
    <t>J500012624</t>
  </si>
  <si>
    <t>MARACAIBO EDO ZULIA</t>
  </si>
  <si>
    <t>0414-6444993</t>
  </si>
  <si>
    <t>AV 58 CIRCUNVALACION NRO 2 LOCAL 1 Y LOCAL 2 NRO 92-80 URB CUMBRE DE MARACAIBO MARACAIBO ZULIA</t>
  </si>
  <si>
    <t>04125669652</t>
  </si>
  <si>
    <t>AV AV. BOLIVAR BOULEVAR ALBERTO RAMOS LOCAL NRO S/N SECTOR PLAZA BOLIVAR CHARALLAVE MIRANDA</t>
  </si>
  <si>
    <t>02670</t>
  </si>
  <si>
    <t>EXPENDIO DE MEDICINAS LOS ANDES C.A</t>
  </si>
  <si>
    <t>J505727079</t>
  </si>
  <si>
    <t>0414-7147743</t>
  </si>
  <si>
    <t>CALLE PRINCIPAL DE PUEBLO HONDO LOCAL NUMERO S/N SECTOR LA PLAZA, LA GRITA TACHIRA</t>
  </si>
  <si>
    <t>101557.19</t>
  </si>
  <si>
    <t>02671</t>
  </si>
  <si>
    <t>FARMACIA LA CURVA, COMPAÑIA ANONIMA</t>
  </si>
  <si>
    <t>J501090424</t>
  </si>
  <si>
    <t>0424-7260920</t>
  </si>
  <si>
    <t>5148</t>
  </si>
  <si>
    <t>SANTA BARBARA DEL ZULIA</t>
  </si>
  <si>
    <t>CALLE 5 CASA 1D NRO 10 SECTOR CARLOS ANDRES PEREZ SANTA BARBARA ZULIA</t>
  </si>
  <si>
    <t>1191.99</t>
  </si>
  <si>
    <t>02672</t>
  </si>
  <si>
    <t>FARMATLANTICO I, C.A.</t>
  </si>
  <si>
    <t>J506300311</t>
  </si>
  <si>
    <t>0412-9477286</t>
  </si>
  <si>
    <t>CALLE S/N LOCAL NRO S/N URB VILLA BOLIVIA, SECTOR 004, MANZANA 005, PARCELA 001, EN PUERTO ORDAZ CIUDAD GUAYANA BOLIVAR</t>
  </si>
  <si>
    <t>6543.23</t>
  </si>
  <si>
    <t>02673</t>
  </si>
  <si>
    <t>FARMACIA ADAN DE VENEZUELA,C.A</t>
  </si>
  <si>
    <t>J500594313</t>
  </si>
  <si>
    <t>0421898476</t>
  </si>
  <si>
    <t>CALLE VARGAS EDIF RUSEGAL PISO PB LOCAL PB SECTOR BOLEITA NORTE CARACAS MIRANDA</t>
  </si>
  <si>
    <t>45592.52</t>
  </si>
  <si>
    <t>02674</t>
  </si>
  <si>
    <t>FARMACIA TIAMO PUERTO ORDAZ C.A</t>
  </si>
  <si>
    <t>J500816340</t>
  </si>
  <si>
    <t>0424-9249166</t>
  </si>
  <si>
    <t>AV ATLANTICO  CC EL TIAMO NIVEL PLANTA BAJA LOCAL14 SECTOR EL TIAMO CIUDAD GUAYANA BOLIVAR</t>
  </si>
  <si>
    <t>02675</t>
  </si>
  <si>
    <t>EUROMERCADO, C.A.</t>
  </si>
  <si>
    <t>J300712737</t>
  </si>
  <si>
    <t>0414-4476076</t>
  </si>
  <si>
    <t>AV INTERCOMUNAL MARACAY-TURMERO LOCAL PARCELA NRO 8 SECTOR LA MORITA I, TURMERO EDO ARAGUA  TURMERO ARAGUA</t>
  </si>
  <si>
    <t>02676</t>
  </si>
  <si>
    <t>FARMA OFERTAS TIERRA SANTA,C.A. (SUC 5 SAN FELIX)</t>
  </si>
  <si>
    <t>04249152410</t>
  </si>
  <si>
    <t>CALLE SAN FELIX CASA NRO 11 SECTOR MERCADO PERIFERICO, PARROQUIA CATEDRAL, MUNICIPIO ANGOSTURA DEL ORINOCO CIUDAD BOLIVAR BOLIVAR</t>
  </si>
  <si>
    <t>02677</t>
  </si>
  <si>
    <t>FARMACIA MIRANKARIN CA</t>
  </si>
  <si>
    <t>J501082731</t>
  </si>
  <si>
    <t>04242832292</t>
  </si>
  <si>
    <t>AV.BICENTENARIO LOCAL S/N PB. INSTALACIONES DEL HOSPITAL GENERAL DR. VICTORINO SANTAELLA RUIZ, SECTOR LOS TEQUES. . 
Estado Miranda. Municipio Guaicaipuro. Par</t>
  </si>
  <si>
    <t>82389.71</t>
  </si>
  <si>
    <t>02678</t>
  </si>
  <si>
    <t>FARMACIA PLENIFARMA, C.A.</t>
  </si>
  <si>
    <t>J401304311</t>
  </si>
  <si>
    <t>04143150773</t>
  </si>
  <si>
    <t>CALLE 1 DE BELLO MONTE CON BOULEVARD DE SABANA GRANDE EDIF AMAPOLA PISO PB LOCAL 1 SECTOR SABANA GRANDE CARACAS DISTRITO CAPITAL</t>
  </si>
  <si>
    <t>02680</t>
  </si>
  <si>
    <t>INVERSIONES EGAMAR C.A.</t>
  </si>
  <si>
    <t>J310216967</t>
  </si>
  <si>
    <t>0414-1717320 /</t>
  </si>
  <si>
    <t>CALLE REAL DE ANTIMANO EDIF TOSTA MEDEZ PISO PB LOCAL 11 URB ANTIMANO CARACAS  DISTRITO CAPITAL</t>
  </si>
  <si>
    <t>10358.06</t>
  </si>
  <si>
    <t>02681</t>
  </si>
  <si>
    <t>EXPENDIO DE MEDICINAS ISALUD, C.A.</t>
  </si>
  <si>
    <t>J501916454</t>
  </si>
  <si>
    <t>04245024127</t>
  </si>
  <si>
    <t>CR 1 ENTRE CALLE 1  Y 2 SECTOR 1 LOCAL NRO S/NO. CASERIO LAS CRUCES LAS CRUCES PORTUGUESA</t>
  </si>
  <si>
    <t>78317.29</t>
  </si>
  <si>
    <t>02683</t>
  </si>
  <si>
    <t>FARMACIA HIPER AHORROS, C.A (SUCURSAL NUEVA BARCELONA)</t>
  </si>
  <si>
    <t>AVENIDA 5 DE JULIO EDIF DA VINCI P.B, LOCAL C SECTOR CENTRO PUERTO LA CRUZ ANZOATEGUI
Estado Anzoategui. Municipio Juan Antonio Sotillo. Parroquia Capital Puer</t>
  </si>
  <si>
    <t>884887.84</t>
  </si>
  <si>
    <t>02684</t>
  </si>
  <si>
    <t>FARMACIA HIPER AHORROS, C.A (SUCURSAL INVERSIONES BARCELONA ORIENTE 20.21)</t>
  </si>
  <si>
    <t>AVENIDA 5 DE JULIO EDIF. DA VINCI PB, LOCAL C. 
Estado Anzoategui. Municipio Juan Antonio Sotillo. Parroquia Capital Puerto La Cruz 1/. Puerto La Cruz</t>
  </si>
  <si>
    <t>135491.32</t>
  </si>
  <si>
    <t>02685</t>
  </si>
  <si>
    <t>FARMACIA HIPER AHORROS, C.A (SUCURSAL PUEBLO NUEVO)</t>
  </si>
  <si>
    <t>AVENIDA 5 DE JULIO EDIF DA VINCI P.B, LOCAL C SECTOR CENTRO PUERTO LA CRUZ ANZOATEGUI</t>
  </si>
  <si>
    <t>150944.85</t>
  </si>
  <si>
    <t>02686</t>
  </si>
  <si>
    <t>FARMACIA HIPER AHORROS, C.A (SUCURSAL VENECIA)</t>
  </si>
  <si>
    <t>62550.20</t>
  </si>
  <si>
    <t>02687</t>
  </si>
  <si>
    <t>FARMACIA HIPER AHORROS, C.A (SUCURSAL NRO 9)</t>
  </si>
  <si>
    <t>38852.08</t>
  </si>
  <si>
    <t>02688</t>
  </si>
  <si>
    <t>FARMACIA HIPER AHORROS, C.A (SUCURSAL MUNDO HOGAR)</t>
  </si>
  <si>
    <t>128934.86</t>
  </si>
  <si>
    <t>02689</t>
  </si>
  <si>
    <t>FARMACIA HIPER AHORROS, C.A (AV BOLIVAR, MAS X MENOS)</t>
  </si>
  <si>
    <t>53412.50</t>
  </si>
  <si>
    <t>MARACAY ESTADO ARAGUA</t>
  </si>
  <si>
    <t>0424-3239139</t>
  </si>
  <si>
    <t>02691</t>
  </si>
  <si>
    <t>FARMACIA HIPER AHORROS, C.A (SUC ECOCENTER)</t>
  </si>
  <si>
    <t>112140.44</t>
  </si>
  <si>
    <t>02692</t>
  </si>
  <si>
    <t>FARMACLINICO C.A.</t>
  </si>
  <si>
    <t>J317003659</t>
  </si>
  <si>
    <t>04247383249 / 0276-3406403 /</t>
  </si>
  <si>
    <t>AV LAS PILAS EDIF CENTRO CLINICO PISO 1 LOCAL FARMACLINICO URB SAN INES SAN CRISTOBAL TACHIRA</t>
  </si>
  <si>
    <t>2346.41</t>
  </si>
  <si>
    <t>02693</t>
  </si>
  <si>
    <t>FARMACIA FARMASOL VALERA (SUCURSAL 5)</t>
  </si>
  <si>
    <t>02694</t>
  </si>
  <si>
    <t>(MATRIZ) FARMACIA CALIFORNIA 888, C.A.</t>
  </si>
  <si>
    <t>02695</t>
  </si>
  <si>
    <t>FARMACIA HIPER AHORROS, C.A (SUCURSAL GUARAGUAO)</t>
  </si>
  <si>
    <t>37601.25</t>
  </si>
  <si>
    <t>02696</t>
  </si>
  <si>
    <t>FARMACIA HIPER AHORROS, C.A (SUCURSAL NRO 4)</t>
  </si>
  <si>
    <t>48559.63</t>
  </si>
  <si>
    <t>02697</t>
  </si>
  <si>
    <t>FARMACIA HIPER AHORROS, C.A (SUCURSAL INVERSIONES ORIENTE 2021 HAD)</t>
  </si>
  <si>
    <t>26952.25</t>
  </si>
  <si>
    <t>02698</t>
  </si>
  <si>
    <t>FARMACIA HIPER AHORROS, C.A (SUCURSAL NRO 10)</t>
  </si>
  <si>
    <t>66398.75</t>
  </si>
  <si>
    <t>02699</t>
  </si>
  <si>
    <t>FARMACIA HIPER AHORROS, C.A (SUCURSAL PETRUCCI)</t>
  </si>
  <si>
    <t>02700</t>
  </si>
  <si>
    <t>FARMACIA HIPER AHORROS, C.A (SUCURSAL NUMERO 15)</t>
  </si>
  <si>
    <t>151051.85</t>
  </si>
  <si>
    <t>02701</t>
  </si>
  <si>
    <t>FARMACIA HIPER AHORROS, C.A (SUCURSAL NUMERO 17)</t>
  </si>
  <si>
    <t>94316.69</t>
  </si>
  <si>
    <t>02707</t>
  </si>
  <si>
    <t>MUNDO FARMATOTAL PLUS, C.A</t>
  </si>
  <si>
    <t>J505934708</t>
  </si>
  <si>
    <t>0414-1005692</t>
  </si>
  <si>
    <t>AV ROMULO GALLEGOS CC MILLENNIUM COMERCIO "3" LOCAL C3-39 URB LOS DOS CAMINOS CARACAS (PETARE) MIRANDA</t>
  </si>
  <si>
    <t>85049.13</t>
  </si>
  <si>
    <t>02708</t>
  </si>
  <si>
    <t>FARMACIA LA PAZ 2011, C.A.</t>
  </si>
  <si>
    <t>J315909260</t>
  </si>
  <si>
    <t>ACARIGUA ESTADO PORTUGUESA</t>
  </si>
  <si>
    <t>0414-5414546</t>
  </si>
  <si>
    <t>AV 35 ESQUINA CALLE 23 Y 24 CC DON GIACOMO NIVEL PB LOCAL 5 SECTOR CENTRO ACARIGUA PORTUGUESA</t>
  </si>
  <si>
    <t>53398.09</t>
  </si>
  <si>
    <t>02709</t>
  </si>
  <si>
    <t>VEN MEDICAL GLOBAL, C.A.</t>
  </si>
  <si>
    <t>J410867655</t>
  </si>
  <si>
    <t>0424-5718777/</t>
  </si>
  <si>
    <t>AV CIUDAD VARYNA CASA NRO G200 URB CIUDAD VARYNA SECTOR CEIBA BARINAS BARINAS</t>
  </si>
  <si>
    <t>02710</t>
  </si>
  <si>
    <t>FARMACIA CASA MEDICA NILDIAS, C.A</t>
  </si>
  <si>
    <t>J412346091</t>
  </si>
  <si>
    <t>0414-9547167</t>
  </si>
  <si>
    <t>CALLE CALLE 5 CON AV. GUAICAIPURO CC LA FLORESTA NIVEL PB LOCAL 05 BARRIO LA FLORESTA BARINAS BARINAS ZONA</t>
  </si>
  <si>
    <t>5220</t>
  </si>
  <si>
    <t>LIBERTAD - BARINAS</t>
  </si>
  <si>
    <t>915592.43</t>
  </si>
  <si>
    <t>02711</t>
  </si>
  <si>
    <t>FARMACIA FARMATOLAN, C.A.</t>
  </si>
  <si>
    <t>J412712918</t>
  </si>
  <si>
    <t>SANTA RITA- ARAGUA</t>
  </si>
  <si>
    <t>0424-3616440</t>
  </si>
  <si>
    <t>AV GENERALÍSIMO FRANCISCO DE MIRANDA LOCAL NRO 209 SECTOR SANTA RITA SANTA RITA ARAGUA</t>
  </si>
  <si>
    <t>82950.49</t>
  </si>
  <si>
    <t>02712</t>
  </si>
  <si>
    <t>FARMACIA A-B-C COMPAÑIA ANONIMA</t>
  </si>
  <si>
    <t>J411070769</t>
  </si>
  <si>
    <t>04149786400 / 02742511031</t>
  </si>
  <si>
    <t>AV 1 EDIF DOÑA AMINTA PISO PB LOCAL 9-6 SECTOR MILLA  MERIDA MÉRIDA</t>
  </si>
  <si>
    <t>101684.72</t>
  </si>
  <si>
    <t>02713</t>
  </si>
  <si>
    <t>FARMACIA MODERNA, C.A.</t>
  </si>
  <si>
    <t>J000134847</t>
  </si>
  <si>
    <t>04129655114</t>
  </si>
  <si>
    <t>CALLE COLOMBIA EDIF FARMO PISO 1 LOCAL COMERCIAL SECTOR CATEDRAL VALENCIA CARABOBO</t>
  </si>
  <si>
    <t>494276.55</t>
  </si>
  <si>
    <t>02715</t>
  </si>
  <si>
    <t>FARMACIA LA AVENIDA 3 C.A</t>
  </si>
  <si>
    <t>J402203349</t>
  </si>
  <si>
    <t>414-9721036</t>
  </si>
  <si>
    <t>AV 3 C ON CALLE 30 EDIF "LA VIZCAINA PISO PB LOCAL 1 SECTOR EL LLANO MERIDA MERIDA</t>
  </si>
  <si>
    <t>232944.99</t>
  </si>
  <si>
    <t>02716</t>
  </si>
  <si>
    <t>FARMACIA VITTA D.G,C.A</t>
  </si>
  <si>
    <t>J504747971</t>
  </si>
  <si>
    <t>LA VICTORIA-ARAGUA</t>
  </si>
  <si>
    <t>0412 8678798</t>
  </si>
  <si>
    <t>CALLE DOCTOR CARIAS CC QUINIMARI NIVEL PLANTA BAJA LOCAL UNO SECTOR CENTRO LA VICTORIA ARAGUA</t>
  </si>
  <si>
    <t>21650.54</t>
  </si>
  <si>
    <t>02717</t>
  </si>
  <si>
    <t>FARMACIA FARMAYESSI C A</t>
  </si>
  <si>
    <t>J311769161</t>
  </si>
  <si>
    <t>EL TIGRE / EDO ANZOATEGUI</t>
  </si>
  <si>
    <t>04129080190</t>
  </si>
  <si>
    <t>FISCAL CALLE 24 SUR LOCAL DE FREITAS NRO 1 SECTOR PUEBLO NUEVO SUR EL TIGRE ANZOATEGUI</t>
  </si>
  <si>
    <t>02718</t>
  </si>
  <si>
    <t>FARMADESCUENTO CATIA C.A.</t>
  </si>
  <si>
    <t>J507026817</t>
  </si>
  <si>
    <t>0426-4344766</t>
  </si>
  <si>
    <t>AV ESPANA CON 6TA DE PEREZ BONALDE LOCAL CENTRO INDUSTRIAL DON SALOMON NRO PB LOCAL 02 URB CATIA CARACAS DISTRITO CAPITAL</t>
  </si>
  <si>
    <t>725820.98</t>
  </si>
  <si>
    <t>02719</t>
  </si>
  <si>
    <t>PHARMAKARDEC, C.A</t>
  </si>
  <si>
    <t>J505753266</t>
  </si>
  <si>
    <t>CAPITANEJOS- BARINAS</t>
  </si>
  <si>
    <t>0416-4900496</t>
  </si>
  <si>
    <t>CTRA FRENTE A LA TRONCAL 005 SECTOR SAN JOSE PARTE ALTA CAPITANEJO BARINAS</t>
  </si>
  <si>
    <t>02720</t>
  </si>
  <si>
    <t>FARMAGREEN NORTE C.A.</t>
  </si>
  <si>
    <t>J502952004</t>
  </si>
  <si>
    <t>04244252007</t>
  </si>
  <si>
    <t>AV 100 (BOLIVAR) NORTE, NUMERO CIVICO 128-A -195  LOCAL NUMERO S/N SECTOR S/N VALENCIA CARABOBO</t>
  </si>
  <si>
    <t>422518.04</t>
  </si>
  <si>
    <t>02722</t>
  </si>
  <si>
    <t>FARMACIA LA CAMPIÑA, C.A.</t>
  </si>
  <si>
    <t>J300184234</t>
  </si>
  <si>
    <t>0412-0632640</t>
  </si>
  <si>
    <t>AV PRINCIPAL DE AGUAS CALIENTES CASA PLANTA BAJA NRO S/N  URB LA CAMPIÑA CONJUNTO RESINDENCIAL A EJIDO MERIDA</t>
  </si>
  <si>
    <t>47352.70</t>
  </si>
  <si>
    <t>02724</t>
  </si>
  <si>
    <t>FARMACIA YLISSS26 C.A</t>
  </si>
  <si>
    <t>J504711780</t>
  </si>
  <si>
    <t>0424-1845493</t>
  </si>
  <si>
    <t>ESQ DE NATIVIDAD A SAN PASCUAL CASA NRO 177 SECTOR LA PASTORA CARACAS DISTRITO CAPITAL</t>
  </si>
  <si>
    <t>22266.41</t>
  </si>
  <si>
    <t>02725</t>
  </si>
  <si>
    <t>FARMASANCARLOS, C.A</t>
  </si>
  <si>
    <t>J503483750</t>
  </si>
  <si>
    <t>04144242415</t>
  </si>
  <si>
    <t>AV RICAURTE CASA EDIFICIO NRO 7-60 SECTOR CENTRO SAN CARLOS COJEDES</t>
  </si>
  <si>
    <t>654123.69</t>
  </si>
  <si>
    <t>02728</t>
  </si>
  <si>
    <t>FARMACIA LA PLAZA 2024 C.A</t>
  </si>
  <si>
    <t>J506407710</t>
  </si>
  <si>
    <t>04124500077</t>
  </si>
  <si>
    <t>AV BOLIVAR CRUCE CON CALLE VARGAS, LOTE NRO 2 LOCAL NRO, SECTOR - SAN JOAQUIN CARABOBO</t>
  </si>
  <si>
    <t>372279.78</t>
  </si>
  <si>
    <t>02729</t>
  </si>
  <si>
    <t>FARMA VIDA Y SALUD 25, C.A.</t>
  </si>
  <si>
    <t>J506482703</t>
  </si>
  <si>
    <t>0412-3211283</t>
  </si>
  <si>
    <t>AV 23 DE ENERO LOCAL YARCAROL BARRIO LAS DINAMITAS CALABOZO GUARICO</t>
  </si>
  <si>
    <t>493667.61</t>
  </si>
  <si>
    <t>02730</t>
  </si>
  <si>
    <t>FARMACIA LA CURVA, SUCURSAL NUMERO 1</t>
  </si>
  <si>
    <t>424-7260920</t>
  </si>
  <si>
    <t>Calle 5 Casa 1D NRO 10 Carlos Andres Pérez Santa Barbara de Zulia</t>
  </si>
  <si>
    <t>11921.90</t>
  </si>
  <si>
    <t>02731</t>
  </si>
  <si>
    <t>FARMACIA LA CURVA PLUS C.A</t>
  </si>
  <si>
    <t>J504814342</t>
  </si>
  <si>
    <t>Av 7 con calle 10 Centro Comercial Avenida Nivel Planta Baja Locales 3 y 4, Sector Av. Bolivar Santa Barbara Zulia.</t>
  </si>
  <si>
    <t>10429.57</t>
  </si>
  <si>
    <t>02732</t>
  </si>
  <si>
    <t>FARMACIA J.R. C.A</t>
  </si>
  <si>
    <t>J401308929</t>
  </si>
  <si>
    <t>04122372550</t>
  </si>
  <si>
    <t>CTRA CARRETERA NACIONAL N° 10 LOCAL NRO PB SECTOR LA INDIANA SAN JOAQUIN CARABOBO</t>
  </si>
  <si>
    <t>143520.38</t>
  </si>
  <si>
    <t>02733</t>
  </si>
  <si>
    <t>FARMACIA LA TRINITA, C.A.</t>
  </si>
  <si>
    <t>J316545261</t>
  </si>
  <si>
    <t>SAN JOAQUIN- CARABOBO</t>
  </si>
  <si>
    <t>0412-2372550</t>
  </si>
  <si>
    <t>CALLE CALLE SUCRE, CRUCE CON CALLE COLOMBIA LOCAL NRO 9-3 ZONA CASCO CENTRAL SAN JOAQUIN CARABOBO</t>
  </si>
  <si>
    <t>387470.76</t>
  </si>
  <si>
    <t>02734</t>
  </si>
  <si>
    <t>FARMACIA SAN LUIS C A (PUERTO LA CRUZ)</t>
  </si>
  <si>
    <t>FARMACIA SAN LUIS C A</t>
  </si>
  <si>
    <t>J080050754</t>
  </si>
  <si>
    <t>AV CONSTITUCION LOCAL HERMANOS FIGUEROA NRO 74-A SECTOR CASCO CENTRAL PUERTO LA CRUZ ANZOATEGUI</t>
  </si>
  <si>
    <t>02735</t>
  </si>
  <si>
    <t>FARMACIA AMERICANA C A</t>
  </si>
  <si>
    <t>J008376238</t>
  </si>
  <si>
    <t>0414-7051431</t>
  </si>
  <si>
    <t>CALLE 1 LOCAL EDF AVILA NRO 2 URB SANTA TERESA CARACAS DISTRITO CAPITAL</t>
  </si>
  <si>
    <t>37537.47</t>
  </si>
  <si>
    <t>02736</t>
  </si>
  <si>
    <t>METROFARMA SOCIAL C.A</t>
  </si>
  <si>
    <t>J296786526</t>
  </si>
  <si>
    <t>0412-7210394</t>
  </si>
  <si>
    <t>AV. BICENTENARIO CC CECAP NIVEL PB LOCAL PB-5 SECTOR EL TAMBOR LOS TEQUES MIRANDA</t>
  </si>
  <si>
    <t>5095.15</t>
  </si>
  <si>
    <t>02737</t>
  </si>
  <si>
    <t>FARMA STOP C.A.</t>
  </si>
  <si>
    <t>J299951870</t>
  </si>
  <si>
    <t>AV VICTOR BAPTISTA CC MODELO NIVEL AVENIDA LOCAL AUTOMERCADO  SECTOR PUNTA BRAVA LOS TEQUES MIRANDA</t>
  </si>
  <si>
    <t>83015.00</t>
  </si>
  <si>
    <t>02738</t>
  </si>
  <si>
    <t>FARMACIA EL SHADDAI, C.A</t>
  </si>
  <si>
    <t>J312835052</t>
  </si>
  <si>
    <t>416-7500319</t>
  </si>
  <si>
    <t>CR 7 ENTRE CALLES 18 Y 19 LOCAL COMERCIAL NRO 18-85 SECTOR CENTRO GUANARE PORTUGUESA</t>
  </si>
  <si>
    <t>02739</t>
  </si>
  <si>
    <t>FARMEDICAL TUCANI C.A</t>
  </si>
  <si>
    <t>J502830235</t>
  </si>
  <si>
    <t>0424-7673932</t>
  </si>
  <si>
    <t>CTRA PARAMERICANA LOCAL NRO S/N EL CARMEN TUCANI MERIDA</t>
  </si>
  <si>
    <t>02740</t>
  </si>
  <si>
    <t>FARMA BAHIA EXPRESS, C.A.</t>
  </si>
  <si>
    <t>J501790647</t>
  </si>
  <si>
    <t>04241268694</t>
  </si>
  <si>
    <t>AV SOUBLETTE EDIF PARCELA 95-96 PISO MESANINA LOCAL MESANINA SECTOR MAIQUETIA MAIQUETIA LA GUAIRA</t>
  </si>
  <si>
    <t>02741</t>
  </si>
  <si>
    <t>MUNDOFARMA PLUS GRE C.A</t>
  </si>
  <si>
    <t>J506970562</t>
  </si>
  <si>
    <t>426-9595326</t>
  </si>
  <si>
    <t>AV UNDA ENTRE CARRERAS 6 Y 7 LOCAL NRO S/N BARRIO MATURIN  GUANARE PORTUGUESA</t>
  </si>
  <si>
    <t>301571.89</t>
  </si>
  <si>
    <t>02743</t>
  </si>
  <si>
    <t>FARMACIA DANIVAN II C.A</t>
  </si>
  <si>
    <t>J303373291</t>
  </si>
  <si>
    <t>0416-0967449</t>
  </si>
  <si>
    <t>CALLE IGUALDAD ENTRE CALLE DIAZ Y CALLE SAN RAFAEL LOCAL NRO A SECTOR CENTRO DE PORLAMAR PORLAMAR NUEVA ESPARTA</t>
  </si>
  <si>
    <t>41663.94</t>
  </si>
  <si>
    <t>02744</t>
  </si>
  <si>
    <t>FARMACIA VIRGEN DEL CARMEN 24, C.A.</t>
  </si>
  <si>
    <t>J506784890</t>
  </si>
  <si>
    <t>LA FRIA- TACHIRA</t>
  </si>
  <si>
    <t>0424-7849134</t>
  </si>
  <si>
    <t>CALLE 1 ENTRE CARRERA 15 Y 16 LOCAL NRO 2-36 BARRIO EL CARMEN LA FRIA TACHIRA</t>
  </si>
  <si>
    <t>650070.73</t>
  </si>
  <si>
    <t>02746</t>
  </si>
  <si>
    <t>FARMACIA EL LLANITO, C.A.</t>
  </si>
  <si>
    <t>J000543003</t>
  </si>
  <si>
    <t>04125855884</t>
  </si>
  <si>
    <t>AV TAMANACO QTA CANDIDE PB URB EL LLANITO CARACAS (PETARE) MIRANDA</t>
  </si>
  <si>
    <t>299442.86</t>
  </si>
  <si>
    <t>02747</t>
  </si>
  <si>
    <t>RUIZ FARMAD¨TODITO PLUS CURBATI, F.P</t>
  </si>
  <si>
    <t>V230073615</t>
  </si>
  <si>
    <t>04248770208</t>
  </si>
  <si>
    <t>CTRA NACIONAL  TRONCAL 005 VIA SAN CRISTOBAL LOCAL NRO S/N BUENOS AIRES CURBATI BARINAS</t>
  </si>
  <si>
    <t>15579.90</t>
  </si>
  <si>
    <t>02748</t>
  </si>
  <si>
    <t>FARMACIA LOS CEDROS LF C.A.</t>
  </si>
  <si>
    <t>J503500271</t>
  </si>
  <si>
    <t>04145556025</t>
  </si>
  <si>
    <t>FISCAL CALLE 4 CON CARRETERA PANAMERICANA LOCAL NRO 0-292 SECTOR LOS CEDROS LA FRIA TACHIRA</t>
  </si>
  <si>
    <t>169508.04</t>
  </si>
  <si>
    <t>02749</t>
  </si>
  <si>
    <t>CRUZFARMA, C.A.</t>
  </si>
  <si>
    <t>J503901225</t>
  </si>
  <si>
    <t>04121622845</t>
  </si>
  <si>
    <t>CALLE 19 ENTRE AVENIDA 2 Y 3 LOCAL PB NRO 2-58 SECTOR CENTRO MERIDA MÉRIDA</t>
  </si>
  <si>
    <t>284977.17</t>
  </si>
  <si>
    <t>02750</t>
  </si>
  <si>
    <t>MEDISALUD 2050, C.A.</t>
  </si>
  <si>
    <t>J503196882</t>
  </si>
  <si>
    <t>04241766189</t>
  </si>
  <si>
    <t>CALLE ALTO HATILLO EDIF TORRE Q PISO 6 OF 601-B URB EL HATILLO CARACAS (EL HATILLO MIRANDA</t>
  </si>
  <si>
    <t>02751</t>
  </si>
  <si>
    <t>VINTILA VICTORIA FLORES DE RONDON "FARMACIA EL DIOS APOLO"</t>
  </si>
  <si>
    <t>V037677597</t>
  </si>
  <si>
    <t>04245683543</t>
  </si>
  <si>
    <t>AV AV. 2 LOCA CON CALLE 18 CASA NRO 18-04 NRO 18-04 SECTOR CENTRO MERIDA MERIDA</t>
  </si>
  <si>
    <t>02752</t>
  </si>
  <si>
    <t>JOSE ALBERTO GIGLIO PRADA  "MUNDO S.P"</t>
  </si>
  <si>
    <t>JOSE ALBERTO GIGLIO PRADA  "FARMACIA MUNDO SALUD PLUS"</t>
  </si>
  <si>
    <t>V126554032</t>
  </si>
  <si>
    <t>04147377146</t>
  </si>
  <si>
    <t>ESQUE 2 CON CARRERA 3RA LOCAL NRO S/N SECTOR BELTRAN ARIAS TUCANI MERIDA</t>
  </si>
  <si>
    <t>22465.14</t>
  </si>
  <si>
    <t>02753</t>
  </si>
  <si>
    <t>INVERSIONES GASANROD C.A</t>
  </si>
  <si>
    <t>J412726536</t>
  </si>
  <si>
    <t>04122594988</t>
  </si>
  <si>
    <t>CALLE RAUL LEONI LOCAL N 01, PB SECTOR LOS TEQUES LOS TEQUES MIRANDA</t>
  </si>
  <si>
    <t>73430.82</t>
  </si>
  <si>
    <t>02754</t>
  </si>
  <si>
    <t>DROLUGO, C.A.</t>
  </si>
  <si>
    <t>J500255713</t>
  </si>
  <si>
    <t>0412-9445677</t>
  </si>
  <si>
    <t>CALLE PRINCIPAL, SEGUNDA TRANSVERSAL DE LA AVENIDA BELLA VISTA CASA NRO SN SECTOR LA CRUZ MATURIN</t>
  </si>
  <si>
    <t>1.78</t>
  </si>
  <si>
    <t>02756</t>
  </si>
  <si>
    <t>FARMACIA MAMANICO OSPINO, C.A (SUCURSAL)</t>
  </si>
  <si>
    <t>AV ROTARIA EDIF MAMANICO PISO P/B LOCAL 4 SECTOR MAMANICO ACARIGUA PORTUGUESA</t>
  </si>
  <si>
    <t>0.41</t>
  </si>
  <si>
    <t>02757</t>
  </si>
  <si>
    <t>CARLOS OSWALDO RAMOS SANDOVAL RAMOS SANDOVAL</t>
  </si>
  <si>
    <t>V21123356</t>
  </si>
  <si>
    <t>0412.658.2336</t>
  </si>
  <si>
    <t>MATURIN MONAGAS</t>
  </si>
  <si>
    <t>02758</t>
  </si>
  <si>
    <t>MARLENNY ROSA LAPALMA LIMA</t>
  </si>
  <si>
    <t>V26341569</t>
  </si>
  <si>
    <t>0414-896-36-98</t>
  </si>
  <si>
    <t>02759</t>
  </si>
  <si>
    <t>JOSE LUIS GALLARDO LOPEZ</t>
  </si>
  <si>
    <t>V26061440</t>
  </si>
  <si>
    <t>0412-987-45-96</t>
  </si>
  <si>
    <t>02764</t>
  </si>
  <si>
    <t>CENTRALFARMA C.A.</t>
  </si>
  <si>
    <t>J503530553</t>
  </si>
  <si>
    <t>0424-8130567</t>
  </si>
  <si>
    <t>CALLE SUCRE LOCAL NRO SN SECTOR MERCADO
YAGUARAPARO SUCRE ZONA POSTAL 6155</t>
  </si>
  <si>
    <t>483983.50</t>
  </si>
  <si>
    <t>02765</t>
  </si>
  <si>
    <t>FARMACIA SANTOS MARQUINA, C.A.</t>
  </si>
  <si>
    <t>J298955007</t>
  </si>
  <si>
    <t>04140810190</t>
  </si>
  <si>
    <t>AV SUCRE CON ESQUINA CALLE BENITO MARIN LOCAL NRO 4
-2 SECTOR TABAY TABAY MÉRIDA ZONA POSTAL 5116</t>
  </si>
  <si>
    <t>33495.11</t>
  </si>
  <si>
    <t>02766</t>
  </si>
  <si>
    <t>FARMATLANTICO II, C.A</t>
  </si>
  <si>
    <t>J506292599</t>
  </si>
  <si>
    <t>0424-973-11-12</t>
  </si>
  <si>
    <t>AV PASEO MENESES LOCAL NRO 50 ZONA URBANA DE
CIUDAD BOLIVAR CIUDAD BOLIVAR BOLIVAR ZONA POSTAL 8011</t>
  </si>
  <si>
    <t>02767</t>
  </si>
  <si>
    <t>FARMAEXPRESS FARMACIA C.A</t>
  </si>
  <si>
    <t>J506821982</t>
  </si>
  <si>
    <t>0426-7936527</t>
  </si>
  <si>
    <t>CALLE MIRANDA LOCAL NRO S/N SECTOR CENTRO URACOA ESTADO MONAGAS. ZONA POTAL 6223</t>
  </si>
  <si>
    <t>27072.67</t>
  </si>
  <si>
    <t>02768</t>
  </si>
  <si>
    <t>INVERSIONES BARCELONA ORIENTE 20.25,C.A</t>
  </si>
  <si>
    <t>J503677147</t>
  </si>
  <si>
    <t>AV PRINCIPAL DE LECHERIA C/C CALLE LEONARDO RUIZ PIDENA EDFI RIBADEO PISO 4 LOCAL 4-7 ZONA LECHERIA LECHERIAS ANZOATEGUI ZONA POSTAL 6016</t>
  </si>
  <si>
    <t>02769</t>
  </si>
  <si>
    <t>INVERSIONES BARCELONA ORIENTE 20.25,C.A SUC A</t>
  </si>
  <si>
    <t>58377.82</t>
  </si>
  <si>
    <t>02770</t>
  </si>
  <si>
    <t>INVERSIONES BARCELONA ORIENTE 20.25,C.A SUC T</t>
  </si>
  <si>
    <t>98296.98</t>
  </si>
  <si>
    <t>02771</t>
  </si>
  <si>
    <t>CLINICA LUGO C A</t>
  </si>
  <si>
    <t>J075067150</t>
  </si>
  <si>
    <t>0412-5339080</t>
  </si>
  <si>
    <t>AV 19 DE ABRIL OESTE LOCAL EDIFICIO CLINICA LUGO NRO
84 SECTOR 19 DE ABRIL, MARACAY MARACAY ARAGUA ZONA POSTAL 2101</t>
  </si>
  <si>
    <t>02772</t>
  </si>
  <si>
    <t>FARMACIA TOVAR, C.A.</t>
  </si>
  <si>
    <t>J501024324</t>
  </si>
  <si>
    <t>0412-7503273</t>
  </si>
  <si>
    <t>CR CARRERA 4TA ESQUINA CON CALLE 8 LOCAL CENTRO
COMERCIAL EL ALTILLO NRO PLANTA BAJA SECTOR EL COROZO TOVAR MÉRIDA
ZONA POSTAL 5143</t>
  </si>
  <si>
    <t>479236.10</t>
  </si>
  <si>
    <t>02773</t>
  </si>
  <si>
    <t>DISTRIBUIDORA TRANSFARMED CA</t>
  </si>
  <si>
    <t>J500605382</t>
  </si>
  <si>
    <t>0412-2594988</t>
  </si>
  <si>
    <t>CTRA PARAMERICANA KM 21 EDIF CENTRO PROFESIONAL LA CASCADA PISO PB LOCAL N PB-L7 SECTOR COLINAS DE CARRIZAL CARRIZAL MIRANDA ZONA POSTAL 1203</t>
  </si>
  <si>
    <t>39501.02</t>
  </si>
  <si>
    <t>02774</t>
  </si>
  <si>
    <t>CORPORACION LIFE GREEN, C.A.</t>
  </si>
  <si>
    <t>J502325077</t>
  </si>
  <si>
    <t>AV LAS DELICIAS CC Y EMPRESARIAL EUROPA NIVEL 3 OF 304
URB LA FLORESTA MARACAY ARAGUA ZONA POSTAL 2101</t>
  </si>
  <si>
    <t>90633.23</t>
  </si>
  <si>
    <t>02775</t>
  </si>
  <si>
    <t>FARMAROSALITO, C.A.</t>
  </si>
  <si>
    <t>J500205678</t>
  </si>
  <si>
    <t>0412-5693159</t>
  </si>
  <si>
    <t>AV PERIMETRAL CC SAN ANTONIO PLAZA NIVEL 2 LOCAL L-72. 
Estado Miranda. Municipio Los Salias. Parroquia San Antonio de Los Altos. San Antonio De Los Altos</t>
  </si>
  <si>
    <t>6983.22</t>
  </si>
  <si>
    <t>02776</t>
  </si>
  <si>
    <t>INVERSIONES ORIENTE 20.34 LA BARRACA, C.A</t>
  </si>
  <si>
    <t>J504633070</t>
  </si>
  <si>
    <t>AV PRINCIPAL DE LECHERIA CRUCE CON CALLE LEONARDO RUIZ PIDENA LOCAL RIBADEO NRO B-1 SECTOR LECHERIA LECHERIAS ANZOATEGUI ZONA POSTAL 6016</t>
  </si>
  <si>
    <t>51181.09</t>
  </si>
  <si>
    <t>02777</t>
  </si>
  <si>
    <t>INVERSIONES ORIENTE 20.38 MARACAY PLAZA, C.A.</t>
  </si>
  <si>
    <t>J504492434</t>
  </si>
  <si>
    <t>02778</t>
  </si>
  <si>
    <t>CENTRO MEDICO ORIENTAL DE SALUD CEMOS, C.A.</t>
  </si>
  <si>
    <t>J313811777</t>
  </si>
  <si>
    <t>0414-7653686</t>
  </si>
  <si>
    <t>AV LUIS DELVALLE GARCIA CASA CEMOS NRO 90 SECTOR LAS AVENIDAS MATURIN MONAGAS ZONA POSTAL 6201</t>
  </si>
  <si>
    <t>02779</t>
  </si>
  <si>
    <t>FARMACIA LA 15 2024,C.A.</t>
  </si>
  <si>
    <t>J504970000</t>
  </si>
  <si>
    <t>0424-728662448</t>
  </si>
  <si>
    <t>AV FINAL AV 15 LOCAL GALPOL NRO 6-43 BARRIO BUBUQUI EL VIGIA MERIDA ZONA POSTAL 5145</t>
  </si>
  <si>
    <t>375449.09</t>
  </si>
  <si>
    <t>02780</t>
  </si>
  <si>
    <t>FARMACIA EL CLUB C.A</t>
  </si>
  <si>
    <t>J404751513</t>
  </si>
  <si>
    <t>+58 414-7458383</t>
  </si>
  <si>
    <t>AV LAS AMERICAS CC RODEO PLAZA  NIVEL 1 LOCAL 1-4 SECTOR EL RODEO MERIDA MERIDA ZONA POSTAL 5101</t>
  </si>
  <si>
    <t>107457.86</t>
  </si>
  <si>
    <t>02781</t>
  </si>
  <si>
    <t>PHARMACY CARUPANO C.A</t>
  </si>
  <si>
    <t>J507132137</t>
  </si>
  <si>
    <t>04269375524</t>
  </si>
  <si>
    <t>CALLE SAN FELIX, ENTRE CALLE INDEPENDENCIA Y CALE  JUNCAL EDIF LAS PALMERAS PISO 1 LOCAL 07 SECTOR  CENTRO CARUPANO SUCRE ZONA POSTAL 6150</t>
  </si>
  <si>
    <t>81515.77</t>
  </si>
  <si>
    <t>02782</t>
  </si>
  <si>
    <t>FARMACIA FARMA MIME, C.A</t>
  </si>
  <si>
    <t>FARMACIA FARMA MIME CA</t>
  </si>
  <si>
    <t>J502821570</t>
  </si>
  <si>
    <t>AV CASCO CENTRAL , CALLE 5, CON AVENIDA 6 CASA N 5-105 SECTOR SIERRA MAESTRA SANTA BARBARA ZULIA ZONA POSTAL 5148</t>
  </si>
  <si>
    <t>131186.57</t>
  </si>
  <si>
    <t>02783</t>
  </si>
  <si>
    <t>FARMACIA VIDASANA C.A</t>
  </si>
  <si>
    <t>J505072412</t>
  </si>
  <si>
    <t>0412-2999751</t>
  </si>
  <si>
    <t>AV CENTENARIO CC NUCLEO SUR NIVEL 2 LOCAL N 20  SECTOR CENTANARIO EJIDO MERIDA ZONA POSTAL 5111</t>
  </si>
  <si>
    <t>02784</t>
  </si>
  <si>
    <t>ALIMENTOS VIRGEN DE FATIMA, C.A</t>
  </si>
  <si>
    <t>J506319594</t>
  </si>
  <si>
    <t>AV COSTANERA  LOCAL COMERCIAL, FRENTE AL CC PUENTE REAL SECTOR NUEVA BARCELONA BARCELONA  ANZOATEGUI  ZONA POSTAL 6001</t>
  </si>
  <si>
    <t>8445.46</t>
  </si>
  <si>
    <t>02785</t>
  </si>
  <si>
    <t>FARMACIA FARMA PUNTO, C.A.,</t>
  </si>
  <si>
    <t>J506951061</t>
  </si>
  <si>
    <t>0414-6946284</t>
  </si>
  <si>
    <t>AV BLANCO FOMBONA  CC EL INDIO NIVEL P/B LOCAL 04 SECTOR CENTRO CUMANA SUCRE ZONA POSTAL 6101</t>
  </si>
  <si>
    <t>02786</t>
  </si>
  <si>
    <t>FARMACIA MA`S C.A.</t>
  </si>
  <si>
    <t>J293555353</t>
  </si>
  <si>
    <t>CAPACHO - SAN CRISTOBAL</t>
  </si>
  <si>
    <t>+58 414-1764325</t>
  </si>
  <si>
    <t>CR 5 CON CALLE 7 CASA NRO 7-6 SECTOR CAPACHO NUEVO
CAPACHO NUEVO TACHIRA ZONA POSTAL 5009</t>
  </si>
  <si>
    <t>108634.16</t>
  </si>
  <si>
    <t>02787</t>
  </si>
  <si>
    <t>FARMACIA LA IGUALDAD, C.A. (SUC VELASQUEZ)</t>
  </si>
  <si>
    <t>FARMACIA LA IGUALDAD, C.A. (SUCURSAL VELASQUEZ)</t>
  </si>
  <si>
    <t>02788</t>
  </si>
  <si>
    <t>FARMACIA LA IGUALDAD, C.A. (SUC VILLA ROSA)</t>
  </si>
  <si>
    <t>FARMACIA LA IGUALDAD, C.A. (SUCURSAL II)</t>
  </si>
  <si>
    <t>02789</t>
  </si>
  <si>
    <t>FARMACIA SANTA ROSALIA, C.A</t>
  </si>
  <si>
    <t>J309913719</t>
  </si>
  <si>
    <t>0212-543.09.41</t>
  </si>
  <si>
    <t>AV ESTE 12 PINTO A SANTA ROSALIA EDIF RES CENTRO CINCO PISO PB LOCAL N 6 URB SANTA ROSALIA CARACAS DISTRITO CAPITAL ZONA POSTAL 1010</t>
  </si>
  <si>
    <t>37.27</t>
  </si>
  <si>
    <t>02790</t>
  </si>
  <si>
    <t>MI FARMACIA, C.A.</t>
  </si>
  <si>
    <t>J504716464</t>
  </si>
  <si>
    <t>CALLE PRINCIPAL MANZANA E CASA NRO 22 URB JUAN PABLO
II BARINAS BARINAS ZONA POSTAL 5201</t>
  </si>
  <si>
    <t>74991.01</t>
  </si>
  <si>
    <t>02791</t>
  </si>
  <si>
    <t>FARMACIA FARMANILDIAS, C.A.</t>
  </si>
  <si>
    <t>J501491283</t>
  </si>
  <si>
    <t>LIBERTAD EDO BARINAS</t>
  </si>
  <si>
    <t>414-9547167</t>
  </si>
  <si>
    <t>CALLE MANUEL ROJAS CON GUZMAN BLANCO EDIF LA
LIBERTAD Y PAZ PISO PB LOCAL 10 BARRIO EL PLAYON LIBERTAD BARINAS ZONA POSTAL 5220</t>
  </si>
  <si>
    <t>679764.56</t>
  </si>
  <si>
    <t>02792</t>
  </si>
  <si>
    <t>DROGUERIA SUPLIMEDIC 501, C.A</t>
  </si>
  <si>
    <t>J501457557</t>
  </si>
  <si>
    <t>0424-4570473</t>
  </si>
  <si>
    <t>AV UNIVERSIDAD CON CALLE PASEO CARABOBO CC
FREEMARKET NIVEL MEZANINA LOCAL X50 URB LA GRANJA NAGUANAGUA
CARABOBO ZONA POSTAL 2005</t>
  </si>
  <si>
    <t>108920.24</t>
  </si>
  <si>
    <t>02793</t>
  </si>
  <si>
    <t>FARMACIA LA GRAN VIA C.A</t>
  </si>
  <si>
    <t>J075097203</t>
  </si>
  <si>
    <t>04141479994</t>
  </si>
  <si>
    <t>AV MIRANDA ESTE EDIF GRAN VIA PISO 1 LOCAL 70 SECTOR
CENTRO MARACAY ARAGUA ZONA POSTAL 2101</t>
  </si>
  <si>
    <t>02794</t>
  </si>
  <si>
    <t>ROXANA PULGAR RAMIREZ "FARMACIA VENEZUELA"</t>
  </si>
  <si>
    <t>V045539560</t>
  </si>
  <si>
    <t>0416-550682</t>
  </si>
  <si>
    <t>AV PRINCIPAL LOCAL NRO 115 SECTOR LA COOPERATIVA
MARACAY ARAGUA ZONA POSTAL 2101</t>
  </si>
  <si>
    <t>28003.22</t>
  </si>
  <si>
    <t>02795</t>
  </si>
  <si>
    <t>FARMACIA FARMACOS C.A</t>
  </si>
  <si>
    <t>J500369166</t>
  </si>
  <si>
    <t>0424-5068507</t>
  </si>
  <si>
    <t>AV 24 ESQUINA CALLE 5 LOCAL 4-69 02 SECTOR ARAURE ARARURE  POSTUGUESA ZONA POSTAL 3303</t>
  </si>
  <si>
    <t>216072.25</t>
  </si>
  <si>
    <t>02796</t>
  </si>
  <si>
    <t>FARMACIA SANTA ROSA EL LLANO, C.A.</t>
  </si>
  <si>
    <t>J405553049</t>
  </si>
  <si>
    <t>0424-5833805</t>
  </si>
  <si>
    <t>AV RICAURTE CRUCE CON LA CALLE ARAMENDI LOCAL NRO
10-63 SECTOR CENTRO BARINAS BARINAS ZONA POSTAL 5201</t>
  </si>
  <si>
    <t>02797</t>
  </si>
  <si>
    <t>FARMACIA POPULAR PLUS, C.A</t>
  </si>
  <si>
    <t>J507084132</t>
  </si>
  <si>
    <t>0414 0875311</t>
  </si>
  <si>
    <t>AV AVENIDA MIRANDA LOCAL EDIFICIO EDUARDO, PLANTA
BAJA NRO No 03 SECTOR SECTOR SANTA ROSA CUMANA SUCRE ZONA POSTAL
6101</t>
  </si>
  <si>
    <t>64468.19</t>
  </si>
  <si>
    <t>02798</t>
  </si>
  <si>
    <t>FARMACIA KADOSH FARMAX, C.A.</t>
  </si>
  <si>
    <t>J506768488</t>
  </si>
  <si>
    <t>04121762944</t>
  </si>
  <si>
    <t>FISCAL AV 6 CON CALLE 12 LOCAL NRO 53 SECTOR CENTRO QUIBOR
LARA ZONA POSTAL 3061</t>
  </si>
  <si>
    <t>02799</t>
  </si>
  <si>
    <t>EXPENDIO DE MEDICINA JTOLEDO, C.A.</t>
  </si>
  <si>
    <t>J505028430</t>
  </si>
  <si>
    <t>+58 414-4281667</t>
  </si>
  <si>
    <t>CALLE 24 DE JUNIO LOCAL NRO S/N SECTOR EL CORRONCHO ARISMENDI BARINAS ZONA POSTAL 5201</t>
  </si>
  <si>
    <t>02800</t>
  </si>
  <si>
    <t>TECNIMEDICAL.VE,C.A</t>
  </si>
  <si>
    <t>J505063766</t>
  </si>
  <si>
    <t>+584147148895</t>
  </si>
  <si>
    <t>CALLE PRINCIPAL DE SANTA TERESA CON VEREDA 3 CC
SANTA TERESA NIVEL S/N LOCAL 13 SECTOR SANTA TERESA SAN CRISTOBAL
TACHIRA ZONA POSTAL 5001</t>
  </si>
  <si>
    <t>110704.68</t>
  </si>
  <si>
    <t>02801</t>
  </si>
  <si>
    <t>FARMACIA RIGGIÓ, C.A.</t>
  </si>
  <si>
    <t>FARMACIA RIGGIO, C.A.</t>
  </si>
  <si>
    <t>J501413070</t>
  </si>
  <si>
    <t>04247356693</t>
  </si>
  <si>
    <t>AV BOLIVAR LOCAL NRO 222 SECTOR EJIDO EJIDO MÉRIDA
ZONA POSTAL 5111</t>
  </si>
  <si>
    <t>40378.00</t>
  </si>
  <si>
    <t>02802</t>
  </si>
  <si>
    <t>FARMACIA RIGGIO SUCURSAL C.A.</t>
  </si>
  <si>
    <t>02803</t>
  </si>
  <si>
    <t>FARMACIA CLINIFARMA-AV LARA</t>
  </si>
  <si>
    <t>AV INTERCOMUNAL BARQUISIMETO CABUDARE EDIF CLÍNICA
IDB CABUDARE PISO 0 LOCAL 1 ZONA ENTRADA AVENIDA BOLIVAR CABUDARE
LARA ZONA POSTAL 3023</t>
  </si>
  <si>
    <t>26928.41</t>
  </si>
  <si>
    <t>02804</t>
  </si>
  <si>
    <t>FARMACIA HIPERAHORRO, C.A</t>
  </si>
  <si>
    <t>J299290629</t>
  </si>
  <si>
    <t>AV BOLIVAR CON CALLE EL PARQUE LOCAL NRO 36 SECTOR CARRIZAL CARRIZAL MIRANDA ZONA POSTAL 1203</t>
  </si>
  <si>
    <t>32134.14</t>
  </si>
  <si>
    <t>02805</t>
  </si>
  <si>
    <t>FARMACIA MARKET EXPRESS, C.A.</t>
  </si>
  <si>
    <t>J501336270</t>
  </si>
  <si>
    <t>0412-4134068</t>
  </si>
  <si>
    <t>CALLE FARRIAR C/C CALLE BOLIVAR CASA NRO S/N BARRIO BUENO VALENCIA CARABOBO ZONA POSTAL 2001</t>
  </si>
  <si>
    <t>02806</t>
  </si>
  <si>
    <t>FARMA SALUD RR,C.A.</t>
  </si>
  <si>
    <t>J413248913</t>
  </si>
  <si>
    <t>0424-7026276</t>
  </si>
  <si>
    <t>CTRA PANAMERICA LOCAL CC ABUL  NRO LOCAL 5 SECTOR EL LATINO NUEVO  BOLIVIA MERIDA ZONA POSTAL 5101</t>
  </si>
  <si>
    <t>81461.31</t>
  </si>
  <si>
    <t>02807</t>
  </si>
  <si>
    <t>FARMACIA MAGNIFICA SALUD, C.A</t>
  </si>
  <si>
    <t>J294544398</t>
  </si>
  <si>
    <t>0412-4446424</t>
  </si>
  <si>
    <t>CALLE MIQUILEN LOCAL NRO 71-73 SECTOR EL SABOTAJE LOS TEQUES MIRANDA  ZONA POSTAL 1201</t>
  </si>
  <si>
    <t>02808</t>
  </si>
  <si>
    <t>FARMACIA LA GRAN SANTA MARIA, C.A</t>
  </si>
  <si>
    <t>J412175408</t>
  </si>
  <si>
    <t>424-5482835</t>
  </si>
  <si>
    <t>CR 5TA ENTRE CALLES 20 Y 21 LOCAL NRO S/N SECTOR CENTRO GUANARE PORTUGUESA ZONA POSTAL 3350</t>
  </si>
  <si>
    <t>411478.34</t>
  </si>
  <si>
    <t>02809</t>
  </si>
  <si>
    <t>DROGUERIA HOSPITALARIA SSP C.A.</t>
  </si>
  <si>
    <t>J298134151</t>
  </si>
  <si>
    <t>0414-0246435</t>
  </si>
  <si>
    <t>CALLE AYACUCHO EDIF 27 PISO PB LOCAL 40 SECTOR EL PUEBLO LOS TEQUES MIRANDA ZONA POSTAL 1201</t>
  </si>
  <si>
    <t>02810</t>
  </si>
  <si>
    <t>FARMACIA PAEZ TACHIRA C.A</t>
  </si>
  <si>
    <t>J090261222</t>
  </si>
  <si>
    <t>0424-7086332</t>
  </si>
  <si>
    <t>AV AVENIDA PRINCIPAL DE BARRIO BOLIVAR CASA CASA NRO
NRO 5-30 BARRIO SECTOR BARRIO BOLIVAR SAN CRISTOBAL TACHIRA ZONA
POSTAL 5001</t>
  </si>
  <si>
    <t>304731.87</t>
  </si>
  <si>
    <t>02811</t>
  </si>
  <si>
    <t>FARMACIA JAZMIN, C.A.</t>
  </si>
  <si>
    <t>J402257341</t>
  </si>
  <si>
    <t>0414-7464110</t>
  </si>
  <si>
    <t>CTRA PANAMERICANA FRENTE A LA PLAZA BOLIVAR LOCAL
NRO 1-141 SECTOR TUCANI TUCANI MÉRIDA ZONA POSTAL 5141</t>
  </si>
  <si>
    <t>77862.86</t>
  </si>
  <si>
    <t>02812</t>
  </si>
  <si>
    <t>INVERSIONES D`TODO FARMA MARKET, C.A</t>
  </si>
  <si>
    <t>J500117990</t>
  </si>
  <si>
    <t>CALLE AYACUCHO CC GUAICAIPURO NIVEL  PB LOCAL A SECTOR LOS TEQUES MIRANDA ZONA POSTAL 1201</t>
  </si>
  <si>
    <t>85140.74</t>
  </si>
  <si>
    <t>02813</t>
  </si>
  <si>
    <t>FARMACIA FARMATONYS 2, C.A</t>
  </si>
  <si>
    <t>J506515350</t>
  </si>
  <si>
    <t>AV GUARAPICHE, UNIAD DE DESARROLLO 291 (UD291), LOCAL PARCELA 26, NRO 83-24S SECTOR UNIRE I CIUDAD  GUAYANA BOLIVAR ZONA POSTAL 8050</t>
  </si>
  <si>
    <t>181804.46</t>
  </si>
  <si>
    <t>02814</t>
  </si>
  <si>
    <t>FARMACIAS FARMAHOGAR, C.A.</t>
  </si>
  <si>
    <t>J315429730</t>
  </si>
  <si>
    <t>02934672137</t>
  </si>
  <si>
    <t>CTRA CUMANA -SAN JUAN DE MACARAPANA CASA MANZANA "A" NRO S/N SECTOR PARCELAMIENTO "LAS MARIAS" CUMANA SUCRE ZONA POSTAL 6101</t>
  </si>
  <si>
    <t>264241.76</t>
  </si>
  <si>
    <t>02815</t>
  </si>
  <si>
    <t>SUPERMERCADO HATO GRILL LICO, C.A</t>
  </si>
  <si>
    <t>J402171625</t>
  </si>
  <si>
    <t>04248543288</t>
  </si>
  <si>
    <t>AV FERNANDEZ DE ZERPA EDIF LA MARAVILLA PISO P.B LOCAL COMERCIAL S/N SECTOR LA COPITA CUMANA SUCRE ZONA POSTAL 6101</t>
  </si>
  <si>
    <t>54950.47</t>
  </si>
  <si>
    <t>02816</t>
  </si>
  <si>
    <t>FARMACIA OROZVILL, C.A.</t>
  </si>
  <si>
    <t>J409031373</t>
  </si>
  <si>
    <t>04120183478</t>
  </si>
  <si>
    <t>CALLE PRINCIPAL CC SECTOR MONTE BELLO PLAZA NIVEL 1
LOCAL L-15 SECTOR LLANO ALTO CARRIZAL MIRANDA ZONA POSTAL 1203</t>
  </si>
  <si>
    <t>240119.32</t>
  </si>
  <si>
    <t>02817</t>
  </si>
  <si>
    <t>FARMACIA FARMAMIGO C.A.</t>
  </si>
  <si>
    <t>J304549121</t>
  </si>
  <si>
    <t>0412.265.73.67</t>
  </si>
  <si>
    <t>CALLE MIQUILEN EDIF FARMAMIGO PISO PB LOCAL 36-A URB
EL LLANO LOS TEQUES MIRANDA ZONA POSTAL 1201</t>
  </si>
  <si>
    <t>411469.35</t>
  </si>
  <si>
    <t>02818</t>
  </si>
  <si>
    <t>INVERSIONES MIPHARMA, S.A</t>
  </si>
  <si>
    <t>J500635621</t>
  </si>
  <si>
    <t>0424-1147732</t>
  </si>
  <si>
    <t>CALLE SAN RAFAEL EDIF CENTRO MAGNO PISO P.B LOCAL 118 SECTOR SANTA TERESA DEL TUY SANTA TERESA DEL MIRANDA ZONA POSTAL 1215</t>
  </si>
  <si>
    <t>02819</t>
  </si>
  <si>
    <t>FARMA FE, C.A.</t>
  </si>
  <si>
    <t>J501206554</t>
  </si>
  <si>
    <t>0424-4607826</t>
  </si>
  <si>
    <t>AV PRINCIPAL, URBANISMO BUCARAL SUR, LOCAL S/N SECTOR FLOR AMARILLO VALENCIA CARABOBO ZONA POSTAL 2003</t>
  </si>
  <si>
    <t>498961.85</t>
  </si>
  <si>
    <t>02820</t>
  </si>
  <si>
    <t>GLADYS INDIRA PEREZ MOLINA "S.B"</t>
  </si>
  <si>
    <t>GLADYS INDIRA PEREZ MOLINA "SUMINISTROS MEDICOS BLESSING G.P, F.P"</t>
  </si>
  <si>
    <t>V129732268</t>
  </si>
  <si>
    <t>+58 424-7041404</t>
  </si>
  <si>
    <t>CALLE LAS MOROCHAS CON VEREDA 2; CASA NRO 6 SECTOR
LOMA LINDA; MATA DE GUADUA SAN CRISTOBAL TACHIRA ZONA POSTAL 5001</t>
  </si>
  <si>
    <t>02821</t>
  </si>
  <si>
    <t>FARMACIA FARMAMIGO II C.A.</t>
  </si>
  <si>
    <t>J304549253</t>
  </si>
  <si>
    <t>0412 576.05.25</t>
  </si>
  <si>
    <t>CALLE CARABOBO EDIF EL CARMEN PISO PB LOCAL 02 URB
EL LLANO LOS TEQUES MIRANDA ZONA POSTAL 1201</t>
  </si>
  <si>
    <t>320126.05</t>
  </si>
  <si>
    <t>02822</t>
  </si>
  <si>
    <t>MORA FARMACIA SAN ROMAN C.A (SUCURSAL)</t>
  </si>
  <si>
    <t>CTRA TRONCAL 5,DESPUÉS DE LA ALCABALA POLICIAL CASA
NRO S/N SECTOR SAN JOSE CAPITANEJO BARINAS ZONA POSTAL 5210</t>
  </si>
  <si>
    <t>02823</t>
  </si>
  <si>
    <t>FARMASALUD PLUS C.A</t>
  </si>
  <si>
    <t>J408355833</t>
  </si>
  <si>
    <t>0424-7284148</t>
  </si>
  <si>
    <t>CTRA PANAMERICANA LOCAL NRO S/N SECTOR EDECIO LA RIVA I TUCANI MERIDA ZONA POSTAL 5141</t>
  </si>
  <si>
    <t>637251.01</t>
  </si>
  <si>
    <t>02825</t>
  </si>
  <si>
    <t>FARMACIA LA ENTRADA RIO ARRIBA, C.A.</t>
  </si>
  <si>
    <t>J501216010</t>
  </si>
  <si>
    <t>0424-458724</t>
  </si>
  <si>
    <t>CALLE PARQUE COMERCIAL RIO ARRIBA LOCAL LOCAL COMERCAIL NRO 1-B SECTOR YUMA I VALENCIA CARABOBO ZONA POSTAL 2006</t>
  </si>
  <si>
    <t>631930.68</t>
  </si>
  <si>
    <t>02826</t>
  </si>
  <si>
    <t>FARMACIA LA ENTRADA EL PORTAL DE SAN DIEGO</t>
  </si>
  <si>
    <t>J500406193</t>
  </si>
  <si>
    <t>AN DON JULIO CENTENO CC EL PORTAL DE SAN DIEGO NIVEL PB LOCAL PB 7 SECTOR MUNICIPIO SAN DIEGO VALENCIA CARABOBO ZONA POSTAL 2006</t>
  </si>
  <si>
    <t>1904383.49</t>
  </si>
  <si>
    <t>02827</t>
  </si>
  <si>
    <t>INVERSIONES FARMAXPRESS FB , C.A</t>
  </si>
  <si>
    <t>J502600752</t>
  </si>
  <si>
    <t>0412-0243110</t>
  </si>
  <si>
    <t>AV PRINCIPAL LOCAL NRO SN UBR SANTA CRUZ PUERTO CABELLO CARABOBO ZONA POSTAL 2050</t>
  </si>
  <si>
    <t>02828</t>
  </si>
  <si>
    <t>FARMACIA HIPER AHORROS, C.A (SUC AIKOZ AB)</t>
  </si>
  <si>
    <t>127085.42</t>
  </si>
  <si>
    <t>02829</t>
  </si>
  <si>
    <t>FARMA KEILY C.A.</t>
  </si>
  <si>
    <t>J298364122</t>
  </si>
  <si>
    <t>04247801074</t>
  </si>
  <si>
    <t>CALLE 15 ENTRE CARRERAS 18 Y 19 NRO 18-69 EDIF MORCA PISO P/B LOCAL 1 Y 2 BARRIO OBRERO SAN CRISTOBAL TACHIRA ZONA POSTAL 5001</t>
  </si>
  <si>
    <t>131162.58</t>
  </si>
  <si>
    <t>02830</t>
  </si>
  <si>
    <t>FARMACIA LA VENCEDORA, C.A.</t>
  </si>
  <si>
    <t>J090036717</t>
  </si>
  <si>
    <t>0414-7440660</t>
  </si>
  <si>
    <t>FISCAL AV 3 CON CALLE 20 EDIF LA VENCEDORA PISO PB LOCAL 1 Y
2 SECTOR EL SAGRAGIO MERIDA MÉRIDA ZONA POSTAL 5101</t>
  </si>
  <si>
    <t>02831</t>
  </si>
  <si>
    <t>FARMACIA FARMAECONOMIA SAN ELIAS, C.A. (S.C1)</t>
  </si>
  <si>
    <t>CR EL PALMAR CRUCE C/CRA GUASIPATI EDIF BERCEMA PISO
PB LOCAL 01 SECTOR CENTRO DE PUERTO ORDAZ CIUDAD GUAYANA BOLIVAR
ZONA POSTAL 8050</t>
  </si>
  <si>
    <t>1096248.19</t>
  </si>
  <si>
    <t>02832</t>
  </si>
  <si>
    <t>FARMACIA ADRENALINA Y SALUD, C.A</t>
  </si>
  <si>
    <t>J500526830</t>
  </si>
  <si>
    <t>+58 412-1623319</t>
  </si>
  <si>
    <t>AV BOLIVAR CON CALLE EL PROGRESO N° 2 LOCAL LOCAL
NRO A-2 SECTOR S/N CENTRAL TACARIGUA CARABOBO ZONA POSTAL 2010</t>
  </si>
  <si>
    <t>122066.49</t>
  </si>
  <si>
    <t>02833</t>
  </si>
  <si>
    <t>EMPRENDIMIENTO LAURA LISTA</t>
  </si>
  <si>
    <t>J507304523</t>
  </si>
  <si>
    <t>412-4270703</t>
  </si>
  <si>
    <t>8791</t>
  </si>
  <si>
    <t>EL RINCON EDO SUCRE</t>
  </si>
  <si>
    <t>CALLE PRINCIPAL CASA N/A NRO S/N ZONA EL RINCON EL RINCON - GUASIMAL SUCRE ZONA POSTAL 6150</t>
  </si>
  <si>
    <t>02834</t>
  </si>
  <si>
    <t>FARMACIA UNIFARMA C.A. (LOS TEQUES)</t>
  </si>
  <si>
    <t>FARMACIA UNIFARMA C.A.</t>
  </si>
  <si>
    <t>J311461264</t>
  </si>
  <si>
    <t>0416-6069589</t>
  </si>
  <si>
    <t>AV BERMUDEZ EDIF CRISTO REY PISO PB LOCAL B URB EL LLANO LOS TEQUES MIRANDA</t>
  </si>
  <si>
    <t>639428.75</t>
  </si>
  <si>
    <t>02835</t>
  </si>
  <si>
    <t>FARMACIA CARDENAS PLUS, C.A.</t>
  </si>
  <si>
    <t>J500763468</t>
  </si>
  <si>
    <t>414-3755873</t>
  </si>
  <si>
    <t>CR 5 ENTRE CALLES 8 Y 9 LOCAL NRO 8-135 SECTOR CENTRO-TARIBA TACHIRA ZONA POSTAL 5017</t>
  </si>
  <si>
    <t>303408.56</t>
  </si>
  <si>
    <t>02836</t>
  </si>
  <si>
    <t>SERVI FARMA 12, C.A</t>
  </si>
  <si>
    <t>J502335145</t>
  </si>
  <si>
    <t>0426-2046809</t>
  </si>
  <si>
    <t>CALLE GUAICAIPURO, ENTRE AV BOLIVAR Y CALLE BRISAS EDIF LA ESTRELLA PISO PB LOCAL PLANTA BAJA SECTOR EL PUEBLO LOS TEQUES MIRANDA ZONA POSTAL 1201</t>
  </si>
  <si>
    <t>46769.37</t>
  </si>
  <si>
    <t>02837</t>
  </si>
  <si>
    <t>SAVIA FARMACIAS C.A</t>
  </si>
  <si>
    <t>J404321918</t>
  </si>
  <si>
    <t>0414-2985704</t>
  </si>
  <si>
    <t>AV PRINCIPAL DE EL BOSQUE EDIF TORRE CREDICARD PISO
PB LOCAL 8 URB EL BOSQUE CARACAS (CHACAO) MIRANDA ZONA POSTAL 1050</t>
  </si>
  <si>
    <t>02838</t>
  </si>
  <si>
    <t>FARMACIA SINAI I C.A.</t>
  </si>
  <si>
    <t>J408201666</t>
  </si>
  <si>
    <t>0424-8113469</t>
  </si>
  <si>
    <t>CALLE VICTORIA EDIF W.A.H PISO PB LOCAL 11 SECTOR
CENTRO CARUPANO SUCRE ZONA POSTAL 6150</t>
  </si>
  <si>
    <t>02839</t>
  </si>
  <si>
    <t>FARMACIA MACUTO RY 22-03 C.A.</t>
  </si>
  <si>
    <t>J505842331</t>
  </si>
  <si>
    <t>0412-8252690</t>
  </si>
  <si>
    <t>AV PRINCIPAL DE EL TEREFERICO NIVEL DE CALLE LOCA NRO S/N ZONA MACUTO MACUTO LA GUAIRA ZONA POSTAL 1160</t>
  </si>
  <si>
    <t>262560.76</t>
  </si>
  <si>
    <t>02840</t>
  </si>
  <si>
    <t>FARMACIA HIPER AHORROS C.A, (SUC JORGE COLL)</t>
  </si>
  <si>
    <t>FARMACIA HIPER AHORROS C.A</t>
  </si>
  <si>
    <t>Urbanizacion Jorge Coll, centro comercial Jorge Coll, Pampatar Municipio Maneiro , Estado Nueva Esparta.</t>
  </si>
  <si>
    <t>61443.10</t>
  </si>
  <si>
    <t>02841</t>
  </si>
  <si>
    <t>FARMACIA BODEGON PETARE1 C.A</t>
  </si>
  <si>
    <t>J507014592</t>
  </si>
  <si>
    <t>424-1625789</t>
  </si>
  <si>
    <t>CALLE FEDERACION FINAL AV FRANCISCO DE MIRANDA CC PLAZA PETARE NIVEL 2 LOCAL PISO 2 FARMACIA SECTOR EL CERRITO PETARE CARACAS (PETARE) MIRANDA ZONA POSTAL 1073</t>
  </si>
  <si>
    <t>57966.93</t>
  </si>
  <si>
    <t>02842</t>
  </si>
  <si>
    <t>FARMACOS ARAGUA C.A.</t>
  </si>
  <si>
    <t>J298349719</t>
  </si>
  <si>
    <t>426-5743869</t>
  </si>
  <si>
    <t>AV GENRALISIMO FRANCISCO DE MIRANDA CC C.C. LA ENTRADA NIVEL PB LOCAL NRO 121-1 SECTOR 18 DE MAYO SANTA RITA ARAGUA ZONA POSTAL 2103</t>
  </si>
  <si>
    <t>124176.78</t>
  </si>
  <si>
    <t>02843</t>
  </si>
  <si>
    <t>FUNDACION FRANCESCHI FREITES (SUCURSAL)</t>
  </si>
  <si>
    <t>FUNDACION FRANCESCHI FREITES</t>
  </si>
  <si>
    <t>AV LUISA CASERES DE ARISMENDI C/C MIRANDA LOCAL 3-23-A SECTOR 23 DE ENERO MARACAY ARAGUA ZONA POSTAL 2104</t>
  </si>
  <si>
    <t>162911.95</t>
  </si>
  <si>
    <t>02844</t>
  </si>
  <si>
    <t>FARMACIA ANDRÉS BELLO C.A.</t>
  </si>
  <si>
    <t>J501685053</t>
  </si>
  <si>
    <t>CORDERO EDO TACHIRA</t>
  </si>
  <si>
    <t>0412-6751128</t>
  </si>
  <si>
    <t>AV ELEUTERIO CHACON LOCAL NRO 8-07 SECTOR CENTRO
POBLADO CORDERO TACHIRA ZONA POSTAL 5012</t>
  </si>
  <si>
    <t>446636.24</t>
  </si>
  <si>
    <t>02845</t>
  </si>
  <si>
    <t>YIMME MONTENEGRO RAMIREZ (F.M)</t>
  </si>
  <si>
    <t>YIMME MONTENEGRO RAMIREZ (FARMACIA JESUS DE LA MISERICORDIA PLUS DE YIMME MONTENEGRO RAMIREZ)</t>
  </si>
  <si>
    <t>V132826265</t>
  </si>
  <si>
    <t>0424-7482167</t>
  </si>
  <si>
    <t>AV 15 No 13-218 EDIF EL CEJO PISO P/BAJA LOCAL No 2 ZONA
PARROQUIA PRESIDENTE PAEZ EL VIGIA MÉRIDA ZONA POSTAL 5145</t>
  </si>
  <si>
    <t>02846</t>
  </si>
  <si>
    <t>DAYANA CAROLINA TRENO CANELONES (T.F)</t>
  </si>
  <si>
    <t>DAYANA CAROLINA TRENO CANELONES(TRENO FARMACIA FARMADTODITOPLUS BARINAS, F.P)</t>
  </si>
  <si>
    <t>V200112292</t>
  </si>
  <si>
    <t>04245899134</t>
  </si>
  <si>
    <t>AV PRINCIPAL CASA NRO 56 URB DOMINGO ORTIZ DE PAEZ
CON CALLE 17, SECTOR RAUL LEONI BARINAS BARINAS ZONA POSTAL 5201</t>
  </si>
  <si>
    <t>221541.49</t>
  </si>
  <si>
    <t>02847</t>
  </si>
  <si>
    <t>LOURDES COROMOTO GRATEROL DE PARADA (E.G)</t>
  </si>
  <si>
    <t>LOURDES COROMOTO GRATEROL DE PARADA(EXPENDIO DE MEDICINAS LA POPULAR BATATAL DE LOURDES GRATERO</t>
  </si>
  <si>
    <t>V037819383</t>
  </si>
  <si>
    <t>424-7145997</t>
  </si>
  <si>
    <t>CALLE SAN ISIDRO CASA NRO 10-017 SECTOR BATATAL BOCONO ESTADO TRUJILLO BATATAL TRUJILLO ZONA POSTAL 3103</t>
  </si>
  <si>
    <t>02849</t>
  </si>
  <si>
    <t>MARIA DEL VALLE ROCA HERRERA ESPACIO NATURAL</t>
  </si>
  <si>
    <t>MARIA DEL VALLE ROCA HERRERA (MARIA ROCA ESPACIO NATURAL)</t>
  </si>
  <si>
    <t>V196000174</t>
  </si>
  <si>
    <t>0412 0916082</t>
  </si>
  <si>
    <t>CR 12 ENTRE CALLE 13 Y AV FRANCISCO DE MIRANDA LOCAL NRO 1 SECTOR CASCO CENTRAL CALABOZO GUARICO ZONA POSTAL 2312</t>
  </si>
  <si>
    <t>98983.19</t>
  </si>
  <si>
    <t>02850</t>
  </si>
  <si>
    <t>SUPERMERCADO SLEDO, C.A.</t>
  </si>
  <si>
    <t>J000835390</t>
  </si>
  <si>
    <t>CALLE 1ERA CON 3RA AVENIDA BELLA VISTA QTA 21 NRO
ANEXO URB BELLA VISTA CARACAS DISTRITO CAPITAL ZONA POSTAL 1020</t>
  </si>
  <si>
    <t>49822.81</t>
  </si>
  <si>
    <t>02851</t>
  </si>
  <si>
    <t>FARMASOLUCION (SUCURSAL PETARE), C.A.</t>
  </si>
  <si>
    <t>FARMASOLUCION, C.A.</t>
  </si>
  <si>
    <t>J506169665</t>
  </si>
  <si>
    <t>Avenida Francisco de Miranda, Torre A, Nivel PB, Local D Urbanización Buena Vista.. 
Estado Miranda. Municipio Sucre. Parroquia Petare. Caracas</t>
  </si>
  <si>
    <t>270311.41</t>
  </si>
  <si>
    <t>02852</t>
  </si>
  <si>
    <t>FARMACIA UNITAS TARIBA C.A.</t>
  </si>
  <si>
    <t>J294850669</t>
  </si>
  <si>
    <t>+58 424-7638551</t>
  </si>
  <si>
    <t>CR 7 ENTRE CALLES 12 Y 13 CASA NRO 12-16 BARRIO MONSEÑOR BRICEÑO TARIBA TACHIRA ZONA POSTAL 5017</t>
  </si>
  <si>
    <t>26557.19</t>
  </si>
  <si>
    <t>02853</t>
  </si>
  <si>
    <t>FARMACIA FARMALUX C.A.</t>
  </si>
  <si>
    <t>J504923559</t>
  </si>
  <si>
    <t>0414-0810061</t>
  </si>
  <si>
    <t>AV BOLIVAR CON ESQUINA AVENIDA 11 EDIF HELIO PISO PB LOCAL 01 SECTOR  CENTRO EL CARMEN VIGIA MERIDA ZONA POSTAL 5145</t>
  </si>
  <si>
    <t>319086.37</t>
  </si>
  <si>
    <t>02854</t>
  </si>
  <si>
    <t>FARMA OSHE 305, C.A.</t>
  </si>
  <si>
    <t>J401052398</t>
  </si>
  <si>
    <t>0212-6906098</t>
  </si>
  <si>
    <t>AV INTERCOMUNAL EL VALLE CC EL VALLE SERVICIOS GALERIAS MILENIUM PASILLO H NIVEL PISO 07 LOCAL 108, 109 Y 110 SECTOR EL VALLE CARACAS DISTRITO CAPITAL ZONA POS</t>
  </si>
  <si>
    <t>02855</t>
  </si>
  <si>
    <t>DROGUERIA SEBAOT 2018, C.A</t>
  </si>
  <si>
    <t>J411437050</t>
  </si>
  <si>
    <t>AV H CRUCE CON CALLE D CASA NRO 89-10 URB LA QUIZANDA
VALENCIA CARABOBO ZONA POSTAL 2003</t>
  </si>
  <si>
    <t>02856</t>
  </si>
  <si>
    <t>FARMACIA 100% VITAL, C.A.</t>
  </si>
  <si>
    <t>J500035268</t>
  </si>
  <si>
    <t>58 412-1363711</t>
  </si>
  <si>
    <t>AV FUERZAS ARMADAS CRUCE CON CALLE NEGRO 1 CASA NRO SN SECTOR SAN SILVESTRE BARINAS ZONA POSTAL 2503</t>
  </si>
  <si>
    <t>181602.73</t>
  </si>
  <si>
    <t>02857</t>
  </si>
  <si>
    <t>FARMACIA QUIROFANOS ANACO LOS PILONES, C.A</t>
  </si>
  <si>
    <t>J504786616</t>
  </si>
  <si>
    <t>0412-1937049</t>
  </si>
  <si>
    <t>AV AEROPUERTO LOCAL DISTINGUIDO CON EL NRO 5-A
SECTOR CASCO CENTRAL ANACO ANZOATEGUI ZONA POSTAL 6003</t>
  </si>
  <si>
    <t>3029.88</t>
  </si>
  <si>
    <t>02858</t>
  </si>
  <si>
    <t>FARMACIA SANTO NIÑO DE ATOCHA CA</t>
  </si>
  <si>
    <t>J293612594</t>
  </si>
  <si>
    <t>RUBIO EDO TACHIRA</t>
  </si>
  <si>
    <t>58 412-6649017</t>
  </si>
  <si>
    <t>8792</t>
  </si>
  <si>
    <t>AV 11 ENTRE CALLES 14 Y 15 LOCAL NRO 1 SECTOR CENTRO RUBIO RUBIO TACHIRA ZONA POSTAL 5030</t>
  </si>
  <si>
    <t>51063.36</t>
  </si>
  <si>
    <t>02859</t>
  </si>
  <si>
    <t>SERVIFARMA LA BOTIQUERIA C.A.</t>
  </si>
  <si>
    <t>J501608768</t>
  </si>
  <si>
    <t>04122280575</t>
  </si>
  <si>
    <t>CALLE 13 CON AVENIDA 4 ESQUINA CASA NRO S/N URB SU RUBIO TACHIRA</t>
  </si>
  <si>
    <t>1309744.85</t>
  </si>
  <si>
    <t>02860</t>
  </si>
  <si>
    <t>SERVIFARMA LA BOTIQUERIA 2.0, C.A (SUCURSAL)</t>
  </si>
  <si>
    <t>SERVIFARMA LA BOTIQUERIA 2.0, C.A</t>
  </si>
  <si>
    <t>J503795999</t>
  </si>
  <si>
    <t>+58 412-3024130</t>
  </si>
  <si>
    <t>CALLE 17 LOCAL NRO 14-58 BARRIO SAN DIEGO PUERTO
SANTO TACHIRA ZONA POSTAL 5030</t>
  </si>
  <si>
    <t>911908.68</t>
  </si>
  <si>
    <t>02861</t>
  </si>
  <si>
    <t>FARMACIA LAZARO CA</t>
  </si>
  <si>
    <t>J500692633</t>
  </si>
  <si>
    <t>0414-2170247</t>
  </si>
  <si>
    <t>CALLE PRINCIPAL CC CHACAITO NIVEL CHACAITO BLOQUE C LOCAL NRO 169 URB CHACAO CARACAS (CHACAO) MIRANDA ZONA POSTAL 1060</t>
  </si>
  <si>
    <t>37989.18</t>
  </si>
  <si>
    <t>02862</t>
  </si>
  <si>
    <t>FARMACIA VENFARMA TUCANI C.A</t>
  </si>
  <si>
    <t>J503520094</t>
  </si>
  <si>
    <t>+58 412-1260201</t>
  </si>
  <si>
    <t>CALLE 2, ENTRE CARRERA 2-3 Y CARRERA 3 CC ALEJANDRIA
NIVEL PLANTA BAJA LOCAL B-1 SECTOR LA INMACULADA TUCANI MÉRIDA ZONA POSTAL 5101</t>
  </si>
  <si>
    <t>238183.01</t>
  </si>
  <si>
    <t>02863</t>
  </si>
  <si>
    <t>FARMACIA LA ESPERANZA, C.A SUCURSAL</t>
  </si>
  <si>
    <t>FARMACIA LA ESPERANZA, C.A</t>
  </si>
  <si>
    <t>AV. ESQUINA CALLE 22 CASA NRO. 22-6 PEDRAZA BARINAS</t>
  </si>
  <si>
    <t>662313.93</t>
  </si>
  <si>
    <t>02864</t>
  </si>
  <si>
    <t>FARMACIA FULL FARMA SANTA BARBARA, C.A (ZULIA</t>
  </si>
  <si>
    <t>FARMACIA FULL FARMA SANTA BARBARA, C.A</t>
  </si>
  <si>
    <t>J503183390</t>
  </si>
  <si>
    <t>58 424-7094021</t>
  </si>
  <si>
    <t>CALLE 11 CON AVENIDA 6 EDIF RUPERCA PISO PLANTA BAJA LOCAL NOS. 5 Y 6 SECTOR 18 DE OCTUBRE SANTA BARBARA ZULIA ZONA POSTAL 5148</t>
  </si>
  <si>
    <t>496177.41</t>
  </si>
  <si>
    <t>02865</t>
  </si>
  <si>
    <t>FARMACIA ITALO, C.A.</t>
  </si>
  <si>
    <t>J501121222</t>
  </si>
  <si>
    <t>CTRA PANAMERICANA LOCAL NRO 4 SECTOR ANDRES BELLO
TUCANI MÉRIDA ZONA POSTAL 5102</t>
  </si>
  <si>
    <t>02866</t>
  </si>
  <si>
    <t>FARMACIA FULL FARMA, C.A.</t>
  </si>
  <si>
    <t>J501271569</t>
  </si>
  <si>
    <t>58 424-7451184</t>
  </si>
  <si>
    <t>CALLE PASAJE BURGUERA CASA PLANTA BAJA Y PLANTA ALTA
NRO 4 SECTOR EL AÑIL TOVAR MÉRIDA ZONA POSTAL</t>
  </si>
  <si>
    <t>533197.81</t>
  </si>
  <si>
    <t>02867</t>
  </si>
  <si>
    <t>FARMASOLUCION C.A (SUCURSAL CATIA)</t>
  </si>
  <si>
    <t>FARMASOLUCION C.A</t>
  </si>
  <si>
    <t>412-6146211</t>
  </si>
  <si>
    <t>AV ENTRE CRISTO Y PARAMERICANA LOCAL COMERCIAL S/N, PB. NRO 25-01 URB MAGALLANES DE CAITA, SECTOR NUEVA CARACAS CARACAS DISTRITO CAPITAL ZONA POSTAL 1030</t>
  </si>
  <si>
    <t>440451.89</t>
  </si>
  <si>
    <t>02868</t>
  </si>
  <si>
    <t>FARMACIA RENNY&amp;ROS . C.A</t>
  </si>
  <si>
    <t>J506472295</t>
  </si>
  <si>
    <t>+58 424-5496955</t>
  </si>
  <si>
    <t>AV ANTONIO MARIA BAYON ESQUINA CALLE 14 CC ILIRIA NIVEL 1 LOCAL 1 SECTOR CAMORUTO SABANETA BARINAS ZONA POSTAL 5224</t>
  </si>
  <si>
    <t>58089.13</t>
  </si>
  <si>
    <t>02869</t>
  </si>
  <si>
    <t>FARMACIA LA IGUALDAD,C.A.(SUCURSAL 4 DE MAYO)</t>
  </si>
  <si>
    <t>Av. 4 de Mayo con Calle Jesus Maria Patiño, Edificio los 4 Hermanos. Porlamar.. 
Estado Nueva Esparta. Municipio Mariño. Parroquia Santiago Mariño. Porlamar</t>
  </si>
  <si>
    <t>02870</t>
  </si>
  <si>
    <t>FARMACIA EL ROSARIO, S.R.L</t>
  </si>
  <si>
    <t>J065090111</t>
  </si>
  <si>
    <t>GUAMACHE - NVA ESPARTA</t>
  </si>
  <si>
    <t>8793</t>
  </si>
  <si>
    <t>CALLE EL ROSARIO CASA CASA COMERCIAL NRO S.N SECTOR EL GUAMACHE GUAMACHE (LA BLANQUILLA) NUEVA ESPARTA ZONA POSTAL 6328</t>
  </si>
  <si>
    <t>02871</t>
  </si>
  <si>
    <t>SUMEQUI, C.A</t>
  </si>
  <si>
    <t>J306052410</t>
  </si>
  <si>
    <t>0414-8654072</t>
  </si>
  <si>
    <t>AV GERMANIA EDIF DON MARCO PISO PB LOCAL 2-3 SECTOR JESUS SOTO PARROQUIA CATEDRAL MUNICIO ANGOSTURA DEL ORINOCO CIUDAD BOLIVAR BOLIVAR ZONA POSTAL 8001</t>
  </si>
  <si>
    <t>02872</t>
  </si>
  <si>
    <t>FARMACIA LA IGUALDAD, C.A. (SUCURSAL PLAZA)</t>
  </si>
  <si>
    <t>CALLE IGUALDAD, FRENTE AL PARQUE FRAY ELIAS, PORLAMAR.. 
Estado Nueva Esparta. Municipio Mariño. Parroquia Santiago Mariño. Porlamar</t>
  </si>
  <si>
    <t>02873</t>
  </si>
  <si>
    <t>FARMASOLUCION SUCURSAL PROPATRIA</t>
  </si>
  <si>
    <t>Calle Propatria, Edificio Propatria, Local PB 4E.Parroquia sucre. 
Estado Distrito Capital. Municipio Libertador. Parroquia Altagracia. Caracas</t>
  </si>
  <si>
    <t>137821.01</t>
  </si>
  <si>
    <t>02874</t>
  </si>
  <si>
    <t>FARMACIA SAN MARTIN, C.A.</t>
  </si>
  <si>
    <t>J002062380</t>
  </si>
  <si>
    <t>0424-1130769</t>
  </si>
  <si>
    <t>CALLE BERNANRDO SLIMAR AV. SAN MARTIN EDIF
RESIDENCIAS ARTIGAS PISO P.B LOCAL 2 URB PALO GRANDE CARACAS
DISTRITO CAPITAL ZONA POSTAL 1020</t>
  </si>
  <si>
    <t>02875</t>
  </si>
  <si>
    <t>FARMACIA LOS MEDANOS C,A</t>
  </si>
  <si>
    <t>J001091319</t>
  </si>
  <si>
    <t>414-3336175</t>
  </si>
  <si>
    <t>AV FUERZAS ARMADAS EDIF AYACUCHO PISO PB LOCAL 01 SECTOR SAN JOSE CARACAS DISTRITO CAPITAL ZONA POSTAL 1010</t>
  </si>
  <si>
    <t>02876</t>
  </si>
  <si>
    <t>FARMA LIFE CENTRAL LBA, C.A</t>
  </si>
  <si>
    <t>J503298553</t>
  </si>
  <si>
    <t>+58 424-4328610</t>
  </si>
  <si>
    <t>AV BOLIVAR CON CALLE DELIRIO LOCAL NRO 27 SECTOR CASCO DE TACARIGUA CENTRAL TACARIGUA CARABOBO ZONA POSTAL 2010</t>
  </si>
  <si>
    <t>02877</t>
  </si>
  <si>
    <t>SOMOS TU FARMACIA, C.A</t>
  </si>
  <si>
    <t>J506647508</t>
  </si>
  <si>
    <t>04243350342</t>
  </si>
  <si>
    <t>CALLE APAMATE CRUCE CON CALLE PIAR LOCAL NRO 10 LOCAL 10 URB LA ORQUIDEA SAN JOAQUIN DE TURMERO ARAGUA ZONA POSTAL 2115</t>
  </si>
  <si>
    <t>154550.98</t>
  </si>
  <si>
    <t>02878</t>
  </si>
  <si>
    <t>J301545532</t>
  </si>
  <si>
    <t>04243107740</t>
  </si>
  <si>
    <t>CALLE COLOMBIA LOCAL NRO 22-A SECTOR CENTRO SAN MATEO SAN MATEO ARAGUA ZONA POSTAL 2120</t>
  </si>
  <si>
    <t>24810.47</t>
  </si>
  <si>
    <t>02879</t>
  </si>
  <si>
    <t>FARMACIA MEDIMARKET CARABOBO, C.A</t>
  </si>
  <si>
    <t>J503119853</t>
  </si>
  <si>
    <t>04244404250</t>
  </si>
  <si>
    <t>CALLE S/N, CASA PARCELA NRO 014-015, LOCAL N° 1, SECTOR
LAS GAVIOTAS, UBICADO EN LA VIA DE SERVICIO DE LA URBANIZACION YUMA I, MUNICIPIO SAN DIEGO, VALENCIA CA</t>
  </si>
  <si>
    <t>20901.48</t>
  </si>
  <si>
    <t>02880</t>
  </si>
  <si>
    <t>FARMACIA PEPEFARMA, C.A</t>
  </si>
  <si>
    <t>J506303310</t>
  </si>
  <si>
    <t>CALLE ZAMORA C/C PÁEZ LOCAL NRO 1 SECTOR LOS GUAYOS
LOS GUAYOS CARABOBO ZONA POSTAL 2010</t>
  </si>
  <si>
    <t>02881</t>
  </si>
  <si>
    <t>FARMACIA PERLA DEL CARIBE C.A</t>
  </si>
  <si>
    <t>J506450569</t>
  </si>
  <si>
    <t>0414-1549544</t>
  </si>
  <si>
    <t>CALLE ANTONIO DIAZ LOCAL NRO S/N SECTOR ORIENTAL
PAMPATAR NUEVA ESPARTA ZONA POSTAL 6316</t>
  </si>
  <si>
    <t>02882</t>
  </si>
  <si>
    <t>FARMACIA TU BIENESTAR+PLUS, C.A</t>
  </si>
  <si>
    <t>J504655791</t>
  </si>
  <si>
    <t>AV INTERCOMUNAL TURMERO MACARAY, VIA DE PENETRACION PARCELA NO 10 LOCAL NRO S.N SECTOR ASENTAMIENTO LA CONCEPCION TURMERO ARAGUA</t>
  </si>
  <si>
    <t>100298.59</t>
  </si>
  <si>
    <t>02883</t>
  </si>
  <si>
    <t>NOVAFARMA 2021 C.A</t>
  </si>
  <si>
    <t>J501105626</t>
  </si>
  <si>
    <t>04268666373</t>
  </si>
  <si>
    <t>CALLE 10 ESQUINA CARRERA 15 LOCAL NRO S/N BARRIO CORAZAL SOCOPO BARINAS ZONA POSTAL 5216</t>
  </si>
  <si>
    <t>02884</t>
  </si>
  <si>
    <t>FARMACIA FARMALLANO, C.A</t>
  </si>
  <si>
    <t>J408527235</t>
  </si>
  <si>
    <t>+58 424-4330778</t>
  </si>
  <si>
    <t>CALLE 24 DE JUNIO ENTRE AV, PAEZ Y AV SUCRE CASA NRO SN SECTOR EL CORRONCHO  ARISMENDI BARINAS ZONA POSTAL 2201</t>
  </si>
  <si>
    <t>464124.65</t>
  </si>
  <si>
    <t>02885</t>
  </si>
  <si>
    <t>FARMACIA FULL FARMA PLUS C.A</t>
  </si>
  <si>
    <t>J504811653</t>
  </si>
  <si>
    <t>0414-7412229</t>
  </si>
  <si>
    <t>AV BOLIVAR EDIF DON GILBERTO PISO PLANTA BAJA LOCAL 16 -113 SECTOR SAN ISIDRO EL VIGIA MERIDA ZONA POSTAL 5145</t>
  </si>
  <si>
    <t>587752.05</t>
  </si>
  <si>
    <t>02886</t>
  </si>
  <si>
    <t>SANFARMA1, C.A</t>
  </si>
  <si>
    <t>J507253066</t>
  </si>
  <si>
    <t>04248611772</t>
  </si>
  <si>
    <t>CALLE BOLIVAR CC CENTRO SAN NIVEL PB LOCAL NRO 2 SECTOR PUERTO PIRITU PUERTO PIRITU ANZOATEGUI ZONA POSTAL 6022</t>
  </si>
  <si>
    <t>02887</t>
  </si>
  <si>
    <t>FARMACIA SAN CRISTOBAL CENTRO, C.A.</t>
  </si>
  <si>
    <t>J505491237</t>
  </si>
  <si>
    <t>+58 414-7069661</t>
  </si>
  <si>
    <t>AV 7MA AVENIDA ENTRE CALLES 9 Y 10 EDIF FATIMA PISO PLANTA BAJO LOCAL 2 SECTOR CENTRO SAN CRISTOBAL TACHIRA ZONA POSTAL 5001</t>
  </si>
  <si>
    <t>22502.44</t>
  </si>
  <si>
    <t>02888</t>
  </si>
  <si>
    <t>FARMACIA EL CANTACLARO C.A</t>
  </si>
  <si>
    <t>J294034730</t>
  </si>
  <si>
    <t>AV CONSTITUCION EDIF CONJ RES CANTACLARO PISO PB
LOCAL A SECTOR CENTRO MARACAY ARAGUA ZONA POSTAL 2101</t>
  </si>
  <si>
    <t>30466.38</t>
  </si>
  <si>
    <t>02889</t>
  </si>
  <si>
    <t>FARMADG CATIA, C.A (SUCURSAL)</t>
  </si>
  <si>
    <t>FARMADG CATIA, C.A</t>
  </si>
  <si>
    <t>414-2763087</t>
  </si>
  <si>
    <t>CALLE OESTE 2 ENTRE ESQ . PADRE SIERRA Y MUÑOZ, EDIF Y TERRENO 16, PARROQUIA CATEDRAL , MUNICIPIO LIBERTADOR, CARACAS, DISTRITO CAPITAL</t>
  </si>
  <si>
    <t>80404.88</t>
  </si>
  <si>
    <t>02890</t>
  </si>
  <si>
    <t>FARMACIA SANA SANA PUTUCUAL C.A</t>
  </si>
  <si>
    <t>J507169065</t>
  </si>
  <si>
    <t>CTRA VIA PRINCIPAL EL RINCON SAN DIEGO LOCAL NRO.32
NRO A1 SECTOR PUTUCUAL EL RINCON ANZOATEGUI</t>
  </si>
  <si>
    <t>30644.84</t>
  </si>
  <si>
    <t>02891</t>
  </si>
  <si>
    <t>FARMASERVICIOS DE VENEZUELA C.A</t>
  </si>
  <si>
    <t>J298800593</t>
  </si>
  <si>
    <t>+58 424-7147108</t>
  </si>
  <si>
    <t>CALLE 11 LOCAL 19-75 BARRIO SAN CARLOS SAN CRISTOBAL TACHIRA ZONA POSTAL 5001</t>
  </si>
  <si>
    <t>29/08/2025</t>
  </si>
  <si>
    <t>47484.97</t>
  </si>
  <si>
    <t>02892</t>
  </si>
  <si>
    <t>CFD FARMACIA, C.A</t>
  </si>
  <si>
    <t>J506783606</t>
  </si>
  <si>
    <t>+58 424-7070941</t>
  </si>
  <si>
    <t>AV 19 DE ABRIL LOCAL NRO 4 SECTOR LA BERMEJA FRENTE
CLINICA DE OJOS SAN CRISTOBAL TACHIRA ZONA POSTAL 5001</t>
  </si>
  <si>
    <t>287583.43</t>
  </si>
  <si>
    <t>02893</t>
  </si>
  <si>
    <t>CENTRO DE ESPECIALIDADES MEDICAS SANTA CECILI</t>
  </si>
  <si>
    <t>CENTRO DE ESPECIALIDADES MEDICAS SANTA CECILIA, C. A.</t>
  </si>
  <si>
    <t>J080271696</t>
  </si>
  <si>
    <t>+58 424-8772249</t>
  </si>
  <si>
    <t>AV NORTE CASA 50 SECTOR CENTRO - PARIAGUAN PARIAGUAN ANZOATEGUI ZONA POSTAL 6050</t>
  </si>
  <si>
    <t>02894</t>
  </si>
  <si>
    <t>FARMACIA EL PIÑONAL, CA</t>
  </si>
  <si>
    <t>J075896114</t>
  </si>
  <si>
    <t>04145905389</t>
  </si>
  <si>
    <t>AV LOS CHAGUARAMOS LOCAL NRO 83 SECTOR EL PIÑONAL MARACAY ARAGUA ZONA POSTAL 2103</t>
  </si>
  <si>
    <t>02895</t>
  </si>
  <si>
    <t>FARMACIA EL SAMAN DE TUREN C.A.</t>
  </si>
  <si>
    <t>J305726310</t>
  </si>
  <si>
    <t>CALLE JUAN MANUEL CARMONA EDIF CENTRO EMPRESARIAL
EL PARQUE PISO P.B. OF 06 URB EL PARQUE BARQUISIMETO LARA ZONA POSTAL 3001</t>
  </si>
  <si>
    <t>2703596.46</t>
  </si>
  <si>
    <t>02896</t>
  </si>
  <si>
    <t>FARMA FE, C.A. ( SUCURSAL SEIS 06)</t>
  </si>
  <si>
    <t>AVENIDA 5 DE JULIO CRUCE CON ARISMENDI EDIFICIO SALOMONE LOCAL N 1 SECTOR CENTRO, PUERTO LA CRUZ ESTADO ANZOATEGUI. 
Estado Anzoategui. Municipio Juan Antonio</t>
  </si>
  <si>
    <t>255177.30</t>
  </si>
  <si>
    <t>02897</t>
  </si>
  <si>
    <t>FARMACIA PANACEA FLOR AMARILLO C.A</t>
  </si>
  <si>
    <t>J507220273</t>
  </si>
  <si>
    <t>04128888220</t>
  </si>
  <si>
    <t>AV BOLIVAR DE FLOR AMARRILLO LOCAL COMERCIAL  DE UN LOTE DE TERRENO QUE ES PARTE DE MAYOR EXTENSION NRO - SECTOR - VALENCIA CARABOBO ZONA POSTAL 2003</t>
  </si>
  <si>
    <t>619855.28</t>
  </si>
  <si>
    <t>02898</t>
  </si>
  <si>
    <t>FARMACIAS FARMAPIU, C.A</t>
  </si>
  <si>
    <t>18/09/2025</t>
  </si>
  <si>
    <t>J505502921</t>
  </si>
  <si>
    <t>414-3087933</t>
  </si>
  <si>
    <t>CTRA PARAMERICANA  KM 14 EDIF CENTRO EMPRESARIAL PARAMERICANA CEPAN PISO MEZZANINA LOCAL C ZONA INDUSTRIAL LAS MINAS SAN ANTONIO DE LOS ALTOS MIRANDA ZONA POST</t>
  </si>
  <si>
    <t>02899</t>
  </si>
  <si>
    <t>BIOCENTER SERVICIO INTEGRAL DE SALUD ,C.A</t>
  </si>
  <si>
    <t>J501445664</t>
  </si>
  <si>
    <t>+58 424-2467258</t>
  </si>
  <si>
    <t>AV FERNANDEZ PADILLA ENTRE CALLE ARISMENDI Y CALLE
YARACUY LOCAL NRO S/N SECTOR VISTA AL SOL I SAN JOSE DE GUANIPA (EL TIGRITO) ANZOATEGUI ZONA POSTAL 6054</t>
  </si>
  <si>
    <t>02900</t>
  </si>
  <si>
    <t>DISTRIBUIDORA LUEPA 147 C.A.</t>
  </si>
  <si>
    <t>J294541470</t>
  </si>
  <si>
    <t>CARRIZAL MIRANDA</t>
  </si>
  <si>
    <t>424-8011396</t>
  </si>
  <si>
    <t>8645</t>
  </si>
  <si>
    <t>CARRIZAL</t>
  </si>
  <si>
    <t>CTRA PANAMERICANA KM 16 CC MULTI CENTRO EMPRESARIAL
COLISEO NIVEL 4 LOCAL 181 SECTOR LA ROSALEDA CARRIZAL MIRANDA ZONA POSTAL 1203</t>
  </si>
  <si>
    <t>02901</t>
  </si>
  <si>
    <t>CASA FARMACIA HOSPITAL, C.A</t>
  </si>
  <si>
    <t>J501339090</t>
  </si>
  <si>
    <t>0426-3071307</t>
  </si>
  <si>
    <t>CALLE 12 LOCAL NRO 5-32 SECTOR LA CONCORDIA SAN
CRISTOBAL TACHIRA ZONA POSTAL 5001</t>
  </si>
  <si>
    <t>300890.79</t>
  </si>
  <si>
    <t>02902</t>
  </si>
  <si>
    <t>CASA FARMACIA HOSPITAL, C.A SUC SEGURO SOCIAL</t>
  </si>
  <si>
    <t>CALLE 12 LOCAL NRO 5-32 SECTOR LA CONCORDIA SAN CRISTOBAL TACHIRA</t>
  </si>
  <si>
    <t>347661.08</t>
  </si>
  <si>
    <t>02903</t>
  </si>
  <si>
    <t>FARMACIA ARIAN (FARMARIAN) C.A</t>
  </si>
  <si>
    <t>J501143510</t>
  </si>
  <si>
    <t>0271 2220720</t>
  </si>
  <si>
    <t>FISCAL AV 13 ENTRE CALLE 6 Y 7 LOCAL NRO 6-50 . SECTOR CENTRO
PQUIA MERCEDES DIAZ MCPIO VALERA TRUJILLO ZONA POSTAL 3101</t>
  </si>
  <si>
    <t>79065.37</t>
  </si>
  <si>
    <t>02904</t>
  </si>
  <si>
    <t>FARMA PLUS LOS PEDROS, C.A</t>
  </si>
  <si>
    <t>J504830402</t>
  </si>
  <si>
    <t>CASIGUA FALCON</t>
  </si>
  <si>
    <t>8794</t>
  </si>
  <si>
    <t>CASIGUA - FALCON</t>
  </si>
  <si>
    <t>CTRA FALCON ZULIA CASA NRO S/N SECTOR LOS PEDROS
FRENTE A LA PARADA DE LINEAS DE TRANSITO CASIGUA FALCON ZONA POSTAL 4117</t>
  </si>
  <si>
    <t>02905</t>
  </si>
  <si>
    <t>MIGUEL TINEO RODRIGUEZ</t>
  </si>
  <si>
    <t>MATRURIN EDO MONAGAS</t>
  </si>
  <si>
    <t>V32035872</t>
  </si>
  <si>
    <t>02906</t>
  </si>
  <si>
    <t>DIEGO TINEO RODRIGUEZ</t>
  </si>
  <si>
    <t>V32287886</t>
  </si>
  <si>
    <t>02907</t>
  </si>
  <si>
    <t>FARMACIA MIRLOUR, C.A.</t>
  </si>
  <si>
    <t>J075827970</t>
  </si>
  <si>
    <t>0245 5520625</t>
  </si>
  <si>
    <t>AV SUCRE ENTRE CALLES MARIÑO Y MIRANDA CASA NRO 17
SECTOR CENTRO SAN JOAQUIN CARABOBO ZONA POSTAL 2018</t>
  </si>
  <si>
    <t>182663.76</t>
  </si>
  <si>
    <t>02908</t>
  </si>
  <si>
    <t>DANIELA TINEO RODRIGUEZ</t>
  </si>
  <si>
    <t>V33470608</t>
  </si>
  <si>
    <t>5996.04</t>
  </si>
  <si>
    <t>02909</t>
  </si>
  <si>
    <t>FARMACIA FARMA PRIMERO, C.A.</t>
  </si>
  <si>
    <t>J307031492</t>
  </si>
  <si>
    <t>04146887037 / 0414-9651525</t>
  </si>
  <si>
    <t>CALLE ANDRES BELLO ENTRE RIVAS Y LUIS RODRIGUEZ OTERO LOCAL NRO A SECTOR PUNTA CARDON PUNTA CARDON FALCON ZONA POSTAL 4102</t>
  </si>
  <si>
    <t>106336.16</t>
  </si>
  <si>
    <t>02910</t>
  </si>
  <si>
    <t>FARMACIA ORINOCO C.A</t>
  </si>
  <si>
    <t>J075481640</t>
  </si>
  <si>
    <t>AV PRINCIPAL SAN JOSE CC FARMACIA NIVEL PLANTA BAJ LOCAL 8 SECTOR SAN JOSE MARACAY ARAGUA ZONA POSTAL 2103</t>
  </si>
  <si>
    <t>31281.24</t>
  </si>
  <si>
    <t>02911</t>
  </si>
  <si>
    <t>SERVIFARMA LA BOTIQUERIA 3.0, C.A.</t>
  </si>
  <si>
    <t>J504564494</t>
  </si>
  <si>
    <t>BRAMON TACHIRA</t>
  </si>
  <si>
    <t>+58 424-7629535</t>
  </si>
  <si>
    <t>8795</t>
  </si>
  <si>
    <t>BRAMON - TACHIRA</t>
  </si>
  <si>
    <t>AV 1 VIA PRINCIPAL CASA NRO S/N SECTOR PLAZA MUNICIPAL BRAMON TACHIRA ZONA POSTAL 5029. 
Estado Tachira. Municipio Junín. Parroquia Bramón. Rubio</t>
  </si>
  <si>
    <t>346091.21</t>
  </si>
  <si>
    <t>02912</t>
  </si>
  <si>
    <t>CENTRO QUIRURGICO SAN JOSE C.A.</t>
  </si>
  <si>
    <t>J404103856</t>
  </si>
  <si>
    <t>0412-8852302</t>
  </si>
  <si>
    <t>AV 1RA AVENIDA CRUCE CON CALLE ATAMAICA CC FARMACIA NIVEL PB LOCAL 07 URB LA MARACAYA MARACAY ARAGUA</t>
  </si>
  <si>
    <t>02913</t>
  </si>
  <si>
    <t>FARMA DON ORIENTE , C.A. (SUC 1 GOBERNACION)</t>
  </si>
  <si>
    <t>02914</t>
  </si>
  <si>
    <t>FARMA DON ORIENTE , C.A. (SUC 2 EXPRESS)</t>
  </si>
  <si>
    <t>02915</t>
  </si>
  <si>
    <t>FARMA DON ORIENTE , C.A (SUC 3  JUNCAL)</t>
  </si>
  <si>
    <t>FARMA DON ORIENTE , C.A</t>
  </si>
  <si>
    <t>02916</t>
  </si>
  <si>
    <t>FARMA DON ORIENTE , C.A. (SUC 4 MERCADO)</t>
  </si>
  <si>
    <t>02917</t>
  </si>
  <si>
    <t>FARMA DON ORIENTE , C.A. (SUC 5 LA FLORESTA)</t>
  </si>
  <si>
    <t>02918</t>
  </si>
  <si>
    <t>FARMA DON ORIENTE , C.A. (SUC 6 PODEROSO)</t>
  </si>
  <si>
    <t>02919</t>
  </si>
  <si>
    <t>FARMA DON ORIENTE , C.A. (SUC 7 TIPURO)</t>
  </si>
  <si>
    <t>02920</t>
  </si>
  <si>
    <t>FARMA DON ORIENTE , C.A. (SUC 8 SAMANES)</t>
  </si>
  <si>
    <t>02921</t>
  </si>
  <si>
    <t>FARMA DON ORIENTE , C.A. (SUC 9 LA CRUZ)</t>
  </si>
  <si>
    <t>02922</t>
  </si>
  <si>
    <t>FARMA DON ORIENTE , C.A. (SUC 10 BOQUERON)</t>
  </si>
  <si>
    <t>02923</t>
  </si>
  <si>
    <t>FARMA DON ORIENTE , C.A. (SUC 11PODEROSO HOS)</t>
  </si>
  <si>
    <t>02924</t>
  </si>
  <si>
    <t>FARMA DON ORIENTE , C.A. (SUC 12 SERVIMAS)</t>
  </si>
  <si>
    <t>02925</t>
  </si>
  <si>
    <t>FARMA DON ORIENTE , C.A. (SUC 13 HOSPITAL)</t>
  </si>
  <si>
    <t>02926</t>
  </si>
  <si>
    <t>FARMA DON ORIENTE , C.A. (SUC 14 TIPURO EXPR)</t>
  </si>
  <si>
    <t>02927</t>
  </si>
  <si>
    <t>FARMACIA EXITO SOCOPO C.A</t>
  </si>
  <si>
    <t>J293742498</t>
  </si>
  <si>
    <t>0412-2897944</t>
  </si>
  <si>
    <t>CR 8 E/C 2 Y 3 EDIF DR. JOSE G. HERNANDEZ PISO PB LOCAL 13 SECTOR CENTRO, SOCOPO EDO BARINAS SOCOPO BARINAS ZONA POSTAL 5216</t>
  </si>
  <si>
    <t>32147.22</t>
  </si>
  <si>
    <t>02928</t>
  </si>
  <si>
    <t>FARMA DON ORIENTE , C.A. (SUC 15 GUARITOS)</t>
  </si>
  <si>
    <t>02929</t>
  </si>
  <si>
    <t>FARMA DON ORIENTE , C.A. (SUC 16 FURRIAL)</t>
  </si>
  <si>
    <t>02930</t>
  </si>
  <si>
    <t>FARMA DON ORIENTE , C.A. (SUC 19 CORTIJOS)</t>
  </si>
  <si>
    <t>130495.36</t>
  </si>
  <si>
    <t>02931</t>
  </si>
  <si>
    <t>FARMA DON ORIENTE , C.A. (SUC 20 PLAZA PIAR)</t>
  </si>
  <si>
    <t>02932</t>
  </si>
  <si>
    <t>FARMA DON ORIENTE , C.A. (SUC 22 PLAZA SIETE)</t>
  </si>
  <si>
    <t>02933</t>
  </si>
  <si>
    <t>FARMA DON ORIENTE , C.A. (SUC 24 AV BOLIVAR)</t>
  </si>
  <si>
    <t>02934</t>
  </si>
  <si>
    <t>FARMA DON ORIENTE , C.A. (SUC 23 EL EJERCITO)</t>
  </si>
  <si>
    <t>02935</t>
  </si>
  <si>
    <t>FARMASERVICIOS MIAFARMA C.A.</t>
  </si>
  <si>
    <t>J506255626</t>
  </si>
  <si>
    <t>0426-5652763</t>
  </si>
  <si>
    <t>AV CARABOBO LOCAL NRO 18-17 SECTOR LA ROMERA SAN CRISTOBAL TACHIRA ZONA POSTAL</t>
  </si>
  <si>
    <t>34831.33</t>
  </si>
  <si>
    <t>02936</t>
  </si>
  <si>
    <t>SURTISALUD MEDICAL, C.A</t>
  </si>
  <si>
    <t>J506502976</t>
  </si>
  <si>
    <t>UMUQUENA-TACHIRA</t>
  </si>
  <si>
    <t>+58 412-6805527</t>
  </si>
  <si>
    <t>8796</t>
  </si>
  <si>
    <t>UMUQUENA - TACHIRA</t>
  </si>
  <si>
    <t>CTRA VIA PRINCIPAL LOCAL NRO S/N SECTOR ALDELA LA HOJITA PARTE BAJA UMUQUENA TACHIRA ZONA POSTAL 5044</t>
  </si>
  <si>
    <t>359821.64</t>
  </si>
  <si>
    <t>02937</t>
  </si>
  <si>
    <t>FARMACIA VILLAGELVES C.A</t>
  </si>
  <si>
    <t>J503708956</t>
  </si>
  <si>
    <t>0412-7991665</t>
  </si>
  <si>
    <t>CR 6 CON CALLE 2 LOCAL NRO 2-14 SECTOR. SAN RAFAEL DEL PIÑAL TACHIRA ZONA POSTAL 5032</t>
  </si>
  <si>
    <t>34144.32</t>
  </si>
  <si>
    <t>02938</t>
  </si>
  <si>
    <t>DROGUERIA MARIBLAN, C.A.</t>
  </si>
  <si>
    <t>J403788707</t>
  </si>
  <si>
    <t>0414-429.39.30</t>
  </si>
  <si>
    <t>AV VALENCIA CC PROFESIONAL Y RESIDENCIAL BAYONA
NIVEL PB LOCAL 03 ZONA . NAGUANAGUA CARABOBO ZONA POSTAL 2005</t>
  </si>
  <si>
    <t>02939</t>
  </si>
  <si>
    <t>FARMALUZ PARIAGUAN, C.A</t>
  </si>
  <si>
    <t>J507344975</t>
  </si>
  <si>
    <t>CALLE BOLIVAR CC MANGOS NIVEL PB LOCAL 3 SECTOR CENTRO PARIAGUAN ANZOATEGUI ZONA POSTAL 6052</t>
  </si>
  <si>
    <t>1633475.05</t>
  </si>
  <si>
    <t>02940</t>
  </si>
  <si>
    <t>FARMACIA DE GOUVEIA SOCIEDAD ANONIMA</t>
  </si>
  <si>
    <t>J312367946</t>
  </si>
  <si>
    <t>04243049272</t>
  </si>
  <si>
    <t>AV VICTORIA CC UNICENTRO NIVEL 1 LOCAL A-6 SECTOR
CENTRO LA VICTORIA ARAGUA ZONA POSTAL 2121</t>
  </si>
  <si>
    <t>02941</t>
  </si>
  <si>
    <t>FARMACIA POLICLINICO C.A</t>
  </si>
  <si>
    <t>J305114250</t>
  </si>
  <si>
    <t>BEJUMA-CARABOBO</t>
  </si>
  <si>
    <t>0414 - 431.69.66</t>
  </si>
  <si>
    <t>CALLE AGUSTIN BETANCOURT EDIF POLICLINICO BEJUMA
PISO PB LOCAL PLANTA BAJA URB EL ROCIO LA UNIÓN CARABOBO ZONA POSTAL 2040</t>
  </si>
  <si>
    <t>02942</t>
  </si>
  <si>
    <t>FARMACIA SAN MARTIN C.A</t>
  </si>
  <si>
    <t>J293499267</t>
  </si>
  <si>
    <t>0424 - 401.15.46</t>
  </si>
  <si>
    <t>AV BOLIVAR LOCAL NRO 11-71 SECTOR CENTRO BEJUMA
CARABOBO ZONA POSTAL 2040</t>
  </si>
  <si>
    <t>02943</t>
  </si>
  <si>
    <t>FARMACIA SAN VALENTIN ACARIGUA CENTRO, C.A.</t>
  </si>
  <si>
    <t>J502536531</t>
  </si>
  <si>
    <t>04125902406</t>
  </si>
  <si>
    <t>AV ALIANZA E/CALLES 29 Y 30 LOCAL PAPALAO, NRO B SECTOR CENTRO, PAEZ, ACARIGUA PORTUGUESA ZONA POSTAL 3301</t>
  </si>
  <si>
    <t>2863129.37</t>
  </si>
  <si>
    <t>02944</t>
  </si>
  <si>
    <t>INVERSIONES TUTTIE R.M, C.A</t>
  </si>
  <si>
    <t>J306408223</t>
  </si>
  <si>
    <t>PUNTA DE MATA ESTADO MONAGAS</t>
  </si>
  <si>
    <t>02945</t>
  </si>
  <si>
    <t>FARMACIA LA ARBOLEDA 2025, C.A</t>
  </si>
  <si>
    <t>J506676168</t>
  </si>
  <si>
    <t>0414-5634039</t>
  </si>
  <si>
    <t>AV CANCAMURE CC LA ARBOLEDA COUNTRY NIVEL PB LOCAL 04 SECTOR LA ARBOLEDA CUMANA SUCRE ZONA POSTAL 6101</t>
  </si>
  <si>
    <t>50459.47</t>
  </si>
  <si>
    <t>02946</t>
  </si>
  <si>
    <t>FARMACIA JIREH MEDIC C.A</t>
  </si>
  <si>
    <t>J507040364</t>
  </si>
  <si>
    <t>04127797028</t>
  </si>
  <si>
    <t>CALLE PRINCIPAL VIA A LA CHIRICORA LOCAL NRO S/N BARRIO LA HORMIGA EL NULA APURE ZONA POSTAL 5063</t>
  </si>
  <si>
    <t>470450.26</t>
  </si>
  <si>
    <t>02947</t>
  </si>
  <si>
    <t>FARMAVENTURA, C.A</t>
  </si>
  <si>
    <t>J409239179</t>
  </si>
  <si>
    <t>042464102917</t>
  </si>
  <si>
    <t>CALLE PRINCIPAL CC BUENAVENTURA C21 NIVEL S/N LOCAL
C21-09-A C21-10-A C21-11-A C21-12-A MODULO A SECTOR PARAPARAL LOS GUAYOS CARABOBO ZONA POSTAL 2003</t>
  </si>
  <si>
    <t>155955.20</t>
  </si>
  <si>
    <t>02948</t>
  </si>
  <si>
    <t>CITYFARMA CA (SUCURSAL HOSPITAL)</t>
  </si>
  <si>
    <t>CALLE ATARRAYA C/C REAL LOCAL NRO 10 SECTOR CASCO CENTRAL VALLE DE LA PASCUA GUARICO</t>
  </si>
  <si>
    <t>104067.41</t>
  </si>
  <si>
    <t>02949</t>
  </si>
  <si>
    <t>FARMACIA RANCHO GRANDE, C.A.</t>
  </si>
  <si>
    <t>J306723064</t>
  </si>
  <si>
    <t>0424-3402178</t>
  </si>
  <si>
    <t>AV UNIVERSIDAD, EDIFICIO SANTO DOMINGO N° 50 SECTOR ARIAS BLANCO, MARACAY ARAGUA ZONA POSTAL 2105</t>
  </si>
  <si>
    <t>31050.37</t>
  </si>
  <si>
    <t>02950</t>
  </si>
  <si>
    <t>FARMACIA J.B. DEL VALLE, C.A.</t>
  </si>
  <si>
    <t>J298888970</t>
  </si>
  <si>
    <t>0414-4025967</t>
  </si>
  <si>
    <t>CALLE ANDRES BELLO CASA NRO S/N SECTOR CENTRO MONTALBAN MONTALBAN CARABOBO ZONA POSTAL 2042</t>
  </si>
  <si>
    <t>02951</t>
  </si>
  <si>
    <t>FARMACIA SUCRE CAGUA C.A</t>
  </si>
  <si>
    <t>J317670272</t>
  </si>
  <si>
    <t>0412-4342332</t>
  </si>
  <si>
    <t>CALLE BOLIVAR C/C CALLE BOYACA CC EMPRESARIAL CASA GRANDE NIVEL P.B LOCAL 3-A SECTOR CENTRO CAGUA EDO ARAGUA CAGUA ARAGUA ZONA POSTAL 2122</t>
  </si>
  <si>
    <t>02952</t>
  </si>
  <si>
    <t>FARMACIA GALA II, C.A</t>
  </si>
  <si>
    <t>J412067621</t>
  </si>
  <si>
    <t>04127550178</t>
  </si>
  <si>
    <t>CALLE AREVALO GONZALEZ LOCAL NRO 123 SECTOR NEGRO
PRIMERO GUACARA CARABOBO ZONA POSTAL 2015</t>
  </si>
  <si>
    <t>02953</t>
  </si>
  <si>
    <t>FARMACITY 07, C.A</t>
  </si>
  <si>
    <t>J503864796</t>
  </si>
  <si>
    <t>0412-0832886</t>
  </si>
  <si>
    <t>AV BEETHOVEN CON CALLE OXFORD EDIF CENTRO RORAIMA
PISO PB LOCAL LOCAL 9 URB COLINAS DE BELLO MONTE CARACAS MIRANDA ZONA POSTAL 1050</t>
  </si>
  <si>
    <t>02954</t>
  </si>
  <si>
    <t>FARMACIA GUARICO FSI, C.A</t>
  </si>
  <si>
    <t>J505729470</t>
  </si>
  <si>
    <t>MORAN-LARA</t>
  </si>
  <si>
    <t>8797</t>
  </si>
  <si>
    <t>MORAN ESTADO LARA</t>
  </si>
  <si>
    <t>CALLE TRASANDINA, FRENTE A LA PLAZA BOLÍVAR LOCAL
NRO S/N ZONA CENTRO GUARICO LARA ZONA POSTAL 3057</t>
  </si>
  <si>
    <t>MORAN - LARA</t>
  </si>
  <si>
    <t>1758519.45</t>
  </si>
  <si>
    <t>02955</t>
  </si>
  <si>
    <t>CORPORACION MAS SALUD ARAGUA, C.A</t>
  </si>
  <si>
    <t>J504453773</t>
  </si>
  <si>
    <t>0424-7321908</t>
  </si>
  <si>
    <t>CALLE PASAJE PERU LOCAL NRO 260 URB LA MARACAYA MARACAY ARAGUA ZONA POSTAL 2101</t>
  </si>
  <si>
    <t>02956</t>
  </si>
  <si>
    <t>FARMA PUNTO LG, C.A.</t>
  </si>
  <si>
    <t>J506922878</t>
  </si>
  <si>
    <t>0414 742.57.47</t>
  </si>
  <si>
    <t>CALLE 2 CON CARRERA 5 EDIF PRINCIPAL PISO S/N LOCAL 5-1
SECTOR CENTRO LA GRITA TACHIRA ZONA POSTAL 5022</t>
  </si>
  <si>
    <t>87344.27</t>
  </si>
  <si>
    <t>02957</t>
  </si>
  <si>
    <t>FARMACIA SAN RAFAEL, C.A.</t>
  </si>
  <si>
    <t>J307720646</t>
  </si>
  <si>
    <t>0243-2351154</t>
  </si>
  <si>
    <t>CALLE ANDRES ELOY BLANCO LOCAL NRO 53 URB EL
PIÑONAL MARACAY MARACAY ARAGUA ZONA POSTAL 2101</t>
  </si>
  <si>
    <t>36210.96</t>
  </si>
  <si>
    <t>02958</t>
  </si>
  <si>
    <t>FARMACIA FARMARKET SANTA PAULA, C.A.</t>
  </si>
  <si>
    <t>J410913800</t>
  </si>
  <si>
    <t>CARACAS/MIRANDA</t>
  </si>
  <si>
    <t>0424-1278555</t>
  </si>
  <si>
    <t>CALLE ACUARIO CENTRO COMERCIAL  SANTA PAULA NIVEL PB, LOCAL 1,2,3, URBANIZACION SANTA PAULA, ESTADO MIRANDA MUNICIPO BARUTA, EL CAFETAL, CARACAS.</t>
  </si>
  <si>
    <t>02959</t>
  </si>
  <si>
    <t>CENTRO DE DIAGNOSTICO RORAIMA, C.A.</t>
  </si>
  <si>
    <t>J505555073</t>
  </si>
  <si>
    <t>0426-0365040</t>
  </si>
  <si>
    <t>CALLE PRINCIPAL, TRONCAL 10, KM 88 LOCAL SN SECTOR LAS CLARITAS. BOLIVAR</t>
  </si>
  <si>
    <t>02960</t>
  </si>
  <si>
    <t>FARMACIA HNOS SABU C.A.</t>
  </si>
  <si>
    <t>J315742527</t>
  </si>
  <si>
    <t>04142597692</t>
  </si>
  <si>
    <t>CALLE NUEVA ENT, AV. SOUBLETTE Y DOS CERRITOS LOCAL NRO S/N BARRIO AQUI ESTA MAIQUETIA LA GUARICHA ZONA POSTAL 1160</t>
  </si>
  <si>
    <t>02961</t>
  </si>
  <si>
    <t>FARMACIAS MULTIMED, C.A</t>
  </si>
  <si>
    <t>J503668385</t>
  </si>
  <si>
    <t>04243706335</t>
  </si>
  <si>
    <t>AV 19 DE ABRIL LOCAL NRO 50-B SECTOR CENTRO ESTE
MARACAY ARAGUA ZONA POSTAL 2103</t>
  </si>
  <si>
    <t>148715.19</t>
  </si>
  <si>
    <t>02962</t>
  </si>
  <si>
    <t>J308681458</t>
  </si>
  <si>
    <t>0414-3463701</t>
  </si>
  <si>
    <t>AV UNIVERSIDAD EDIF RESIDENCIAS AMERICA No26 PISO PB
LOCAL 01 Y 02 SECTOR EL LIMON EL LIMON ARAGUA ZONA POSTAL 2105</t>
  </si>
  <si>
    <t>02963</t>
  </si>
  <si>
    <t>FARMATEL,C.A</t>
  </si>
  <si>
    <t>J501227985</t>
  </si>
  <si>
    <t>0424-4210904</t>
  </si>
  <si>
    <t>AV UNIVERSIDAD , NRO. 190-175 LOCAL NRO 2 SECTOR NAGUANAGUA NAGUANAGUA CARABOBO ZONA POSTAL 2005</t>
  </si>
  <si>
    <t>16771.33</t>
  </si>
  <si>
    <t>02964</t>
  </si>
  <si>
    <t>MUNDO FARMATOTAL PLUS, C.A (SUCURSAL CARACAS)</t>
  </si>
  <si>
    <t>AV ROMULO GALLEGOS CC MILLENIUM NIVEL COMERCIO "3" LOCAL C3-39 URB LOS DOS CAMINOS CARACAS (PETARE) MIRANDA</t>
  </si>
  <si>
    <t>02965</t>
  </si>
  <si>
    <t>PLANSUAREZ, C.A.</t>
  </si>
  <si>
    <t>J305065616</t>
  </si>
  <si>
    <t>(0212) 942.26.76</t>
  </si>
  <si>
    <t>CALLE LAS PIEDRITAS, EDIF. SOLY 5, ZONA INDUSTRIAL DE LA TRINIDAD. FARMACIA UBICADA: DENTRO DE LAS ÁREAS DEL SUPERMERCADO PLANSUAREZ LA URBINA, SITUADO EN EL E</t>
  </si>
  <si>
    <t>26215.00</t>
  </si>
  <si>
    <t>02966</t>
  </si>
  <si>
    <t>FARMA VITAL TURMERO, C.A</t>
  </si>
  <si>
    <t>J506556596</t>
  </si>
  <si>
    <t>CALLE MIRANDA CRUCE CON CALLE CARREÑO LOCAL NRO
16 SECTOR CENTRO TURMERO ARAGUA ZONA POSTAL 2115</t>
  </si>
  <si>
    <t>17581.38</t>
  </si>
  <si>
    <t>02967</t>
  </si>
  <si>
    <t>SUPERMERCADO LOS ROQUES, C.A.</t>
  </si>
  <si>
    <t>J506765284</t>
  </si>
  <si>
    <t>04248299868</t>
  </si>
  <si>
    <t>CALLE JUNCAL C/C CANTAURA LOCA NRO 41 SECTOR CENTRO CARUPANO SUCRE ZONA POSTAL 6150</t>
  </si>
  <si>
    <t>16/09/2025</t>
  </si>
  <si>
    <t>02968</t>
  </si>
  <si>
    <t>SALUDVITAL PHARMA C.A</t>
  </si>
  <si>
    <t>J507175111</t>
  </si>
  <si>
    <t>04143956464</t>
  </si>
  <si>
    <t>CALLE PROLONGACION CALLE ARISMENDI EDIF SENIAT PISO MEZZANINA LOCAL S/N SECTOR LECHERIA LECHERIAS ANZOATEGUI</t>
  </si>
  <si>
    <t>02969</t>
  </si>
  <si>
    <t>FARMACIA LA GRAN AVENIDA, C.A</t>
  </si>
  <si>
    <t>J501628394</t>
  </si>
  <si>
    <t>0412 5556157</t>
  </si>
  <si>
    <t>CALLE 05 CASA NRO 50, PLANTA BAJA URB SAN ESTEBAN,
SECTOR 01 PUERTO CABELLO CARABOBO ZONA POSTAL 2050</t>
  </si>
  <si>
    <t>02970</t>
  </si>
  <si>
    <t>FARMA DON ORIENTE , C.A. (SUC.18 AVENIDAS)</t>
  </si>
  <si>
    <t>CALLE 02 CON CARRERA 9-A, EDIFICIO VAPLECA, PB LOCAL N° 7 MATURIN ESTADO MONAGAS</t>
  </si>
  <si>
    <t>02971</t>
  </si>
  <si>
    <t>FARMACIA VICTORIA FARMAVIC C.A</t>
  </si>
  <si>
    <t>J505307673</t>
  </si>
  <si>
    <t>PREGONERO-TACHIRA</t>
  </si>
  <si>
    <t>+58 424-7561155</t>
  </si>
  <si>
    <t>8798</t>
  </si>
  <si>
    <t>PREGONERO  - TACHIRA</t>
  </si>
  <si>
    <t>AV JOSE RAMON TORRES CASA NRO 0-174 SECTOR CASCO CENTRAL PREGONERO TACHIRA ZONA POSTAL 5058</t>
  </si>
  <si>
    <t>100857.92</t>
  </si>
  <si>
    <t>02972</t>
  </si>
  <si>
    <t>FARMACIA SANTA BARBARA, C.A.</t>
  </si>
  <si>
    <t>J306722955</t>
  </si>
  <si>
    <t>0414-5353647</t>
  </si>
  <si>
    <t>CALLE 32 ENTRE AV 26 Y 27 LOCAL 26-29 SECTOR ANDRES
BELLO ACARIGUA PORTUGUESA ZONA POSTAL</t>
  </si>
  <si>
    <t>27806.95</t>
  </si>
  <si>
    <t>02973</t>
  </si>
  <si>
    <t>FARMASIETE C.A</t>
  </si>
  <si>
    <t>J500212623</t>
  </si>
  <si>
    <t>0412-7880341</t>
  </si>
  <si>
    <t>CALLE 11 ENTRE CARRERA 3 Y 4 LOCAL NRO 13 SECTOR MANZANA 5 PUERTO TETEO NARANJALES TACHIRA ZONA POSTAL 5032</t>
  </si>
  <si>
    <t>3737030.83</t>
  </si>
  <si>
    <t>02974</t>
  </si>
  <si>
    <t>FARMACIA SAN JOSE, C.A SUCURSAL</t>
  </si>
  <si>
    <t>AV.UNIVERSITARIA EDIFICIO SINA P/B LOCAL S/N CARUPANO EDO SUCRE. 
Estado Sucre. Municipio Bermúdez. Parroquia Santa Catalina. Carupano</t>
  </si>
  <si>
    <t>510466.41</t>
  </si>
  <si>
    <t>02975</t>
  </si>
  <si>
    <t>BOTIQUERIA FARMAVIDA, C.A. (SUCURSAL I)</t>
  </si>
  <si>
    <t>BOTIQUERIA FARMAVIDA, C.A.</t>
  </si>
  <si>
    <t>0424-9159347</t>
  </si>
  <si>
    <t>CALLE MARIÑO C/C PATIVILCA LOCAL S/N SECTOR CENTRO  TUCUPITA DELTA AMACURO</t>
  </si>
  <si>
    <t>127962.40</t>
  </si>
  <si>
    <t>02976</t>
  </si>
  <si>
    <t>FARMACIA LA ENTRADA NAGUANAGUA, C.A</t>
  </si>
  <si>
    <t>J504754161</t>
  </si>
  <si>
    <t>AV UNIVERSIDAD ,INSTITUTO AUTONOMO CIRCULO MILITAR DE LAS FUERZAS ARMADAS SUCURSAL VALENCIA LOCAL N. L02 SECTOR GRANJA NAGUANAGUA  CARABOBO</t>
  </si>
  <si>
    <t>196686.36</t>
  </si>
  <si>
    <t>02977</t>
  </si>
  <si>
    <t>FARMA EXTRA, C.A</t>
  </si>
  <si>
    <t>J501506841</t>
  </si>
  <si>
    <t>SANTA ELENA DE ARENALES -MER</t>
  </si>
  <si>
    <t>CALLE PRINCIPAL LOCAL NRO 1-17 LOCAL LOCAL SECTOR CALLE COMERCIO SANTA E. DE ARENALES  - CANO Z. MERIDA</t>
  </si>
  <si>
    <t>278261.34</t>
  </si>
  <si>
    <t>02978</t>
  </si>
  <si>
    <t>"EXPENDIO DE MEDICINA J.R" C.A</t>
  </si>
  <si>
    <t>J507039188</t>
  </si>
  <si>
    <t>AV EZEQUIEL ZAMORA LOCAL NRO S/N SECTOR NEGRO PRIMERO ARISMENDI BARINAS ZONA POSTAL 5201</t>
  </si>
  <si>
    <t>144904.52</t>
  </si>
  <si>
    <t>02979</t>
  </si>
  <si>
    <t>FARMACIA FARMACARONI, C.A ( SUCURSAL 3)</t>
  </si>
  <si>
    <t>CALLE CAURA CON CALLE CUCHIVERO CC CIUDAD ALTA VISTA I NIVEL PB LOCAL 88 SECTOR ALTA VISTA CIUDAD BOLIVAR</t>
  </si>
  <si>
    <t>143913.71</t>
  </si>
  <si>
    <t>02980</t>
  </si>
  <si>
    <t>FARMA VITAL I, C.A.</t>
  </si>
  <si>
    <t>J295221479</t>
  </si>
  <si>
    <t>AV 5 CON CALLE 9 LOCAL NRO 11 URB CAÑA DE AZUCAR MARACAY ,EDO .ARAGUA EL LIMON ARAGUA</t>
  </si>
  <si>
    <t>02981</t>
  </si>
  <si>
    <t>TU FARMA LA PORTEÑA, C.A</t>
  </si>
  <si>
    <t>J507350070</t>
  </si>
  <si>
    <t>0412-8181950</t>
  </si>
  <si>
    <t>AV MUNICIPAL LOCAL LOTE B NUMERO 242 NRO B242-1 ZONA PUERTO LA CRUZ PUERTO LA CRUZ ANZOATEGUI POSTAL 6023</t>
  </si>
  <si>
    <t>14212.47</t>
  </si>
  <si>
    <t>02982</t>
  </si>
  <si>
    <t>FARMACIA CAMILA VII C.A</t>
  </si>
  <si>
    <t>J407707345</t>
  </si>
  <si>
    <t>AV CIRILO AGELVIS CASA LOCAL 2 NRO 200-2502 SECTOR CASCO CENTRAL DE EL NULA EL NULA APURE</t>
  </si>
  <si>
    <t>1231878.27</t>
  </si>
  <si>
    <t>02983</t>
  </si>
  <si>
    <t>FARMACIA VAZQUEZ X 4,C.A.</t>
  </si>
  <si>
    <t>J316266451</t>
  </si>
  <si>
    <t>04121752850</t>
  </si>
  <si>
    <t>AV SAN FRANCISCO CC CADA MACARACUAY NIVEL 2 LOCAL PM-19 URB MACARACUAY CARACAS (PETARE) MIRANDA</t>
  </si>
  <si>
    <t>16140.77</t>
  </si>
  <si>
    <t>02984</t>
  </si>
  <si>
    <t>FARMACIA COELHO C.A</t>
  </si>
  <si>
    <t>J297267131</t>
  </si>
  <si>
    <t>CALLE MIQUILEN LOCAL NRO 38 URB EL LLANO LOS TEQUES LOS TEQUES MIRANDA ZONA POSTAL 1201</t>
  </si>
  <si>
    <t>02985</t>
  </si>
  <si>
    <t>FARMA DON ORIENTE , C.A. (SUC. 27 AV LA PAZ)</t>
  </si>
  <si>
    <t>DIRECCIÓN DE OFICINA
CR 14 A EDIF CENTRO DE DISTRIBUCION FARMADON (CDF) PISO PB LOCAL 99 URB LAS BRISAS DEL ORINOCO MATURIN MONAGAS</t>
  </si>
  <si>
    <t>02986</t>
  </si>
  <si>
    <t>FARMACIA LOS LLANOS DE SANTA BARBARA CA.</t>
  </si>
  <si>
    <t>J405341599</t>
  </si>
  <si>
    <t>0412-6807850</t>
  </si>
  <si>
    <t>AV MANUEL MANRIQUE LOCAL NRO 4-106A SECTOR II LAS VEGAS COJEDES</t>
  </si>
  <si>
    <t>20355.92</t>
  </si>
  <si>
    <t>02987</t>
  </si>
  <si>
    <t>FARMACIA LOS EXPERTOS EN MEDICAMENTOS, C.A.</t>
  </si>
  <si>
    <t>J413253240</t>
  </si>
  <si>
    <t>58 4243677578</t>
  </si>
  <si>
    <t>AV VENEZUEL LOCAL NRO 158 SECTOR SANTA RITA SANTA RITA ARAGUA</t>
  </si>
  <si>
    <t>690000.98</t>
  </si>
  <si>
    <t>02988</t>
  </si>
  <si>
    <t>ROMERO INVERSIONES FARMATODITO B&amp;M. F.P</t>
  </si>
  <si>
    <t>YISMERDY SUGEIDYS ROMERO MOTA(ROMERO INVERSIONES FARMATODITO B&amp;M. F.P)</t>
  </si>
  <si>
    <t>V197843914</t>
  </si>
  <si>
    <t>CTRA PPAL CASA NRO S/N* SECTOR EL TOREÑO EL REAL BARINAS</t>
  </si>
  <si>
    <t>02989</t>
  </si>
  <si>
    <t>FARMACIA FARMA ASISTENCIA C.A.</t>
  </si>
  <si>
    <t>J304125089</t>
  </si>
  <si>
    <t>AV SIMON BOLIVAR ENTRE CALLE 12 Y 13 EDIF FARMA ASISTENCIA PISO PB LOCAL S/N SECTOR LA PASTORA GUANARE PORTUGUESA</t>
  </si>
  <si>
    <t>338515.35</t>
  </si>
  <si>
    <t>02990</t>
  </si>
  <si>
    <t>FARMACIA LA ECONÓMICA DE PROPATRIA C.A</t>
  </si>
  <si>
    <t>J505204696</t>
  </si>
  <si>
    <t>CALLE 3 DE PROPATRIA QTA NRO1 CLL CIRCUNVALACION URB PROPATRIA CARACAS DISTRITO CAPITAL ZONA POSTAL 1030</t>
  </si>
  <si>
    <t>3509.39</t>
  </si>
  <si>
    <t>02991</t>
  </si>
  <si>
    <t>COMERCIALIZADORA TANI 35 CA</t>
  </si>
  <si>
    <t>J311246835</t>
  </si>
  <si>
    <t>AV LECUNA EDIF BOYACA PISO PB LOCAL A URB SANTA ROSALIA CARACAS DISTRITO CAPITAL</t>
  </si>
  <si>
    <t>5532.22</t>
  </si>
  <si>
    <t>02992</t>
  </si>
  <si>
    <t>FARMACIA GRUPO BENJAMIN CHARLES, C.A</t>
  </si>
  <si>
    <t>J405799552</t>
  </si>
  <si>
    <t>04245205684</t>
  </si>
  <si>
    <t>AV 4 CALLE 14 LOCAL NRO 4-18 SECTOR LA VICTORIA PARTE BAJA RUBIO TACHIRA ZONA POSTAL 5030</t>
  </si>
  <si>
    <t>34211.54</t>
  </si>
  <si>
    <t>02993</t>
  </si>
  <si>
    <t>FARMACIA MKB 1508 C.A</t>
  </si>
  <si>
    <t>FARMACIA MKB 1508 C.A(FALTA DOCUMENTACION )</t>
  </si>
  <si>
    <t>J308329983</t>
  </si>
  <si>
    <t>8799</t>
  </si>
  <si>
    <t>EL CAFETAL -MIRANDA</t>
  </si>
  <si>
    <t>AV PPAL EL CAFETAL QTA SUSAN S/N URB CHUAO EL CAFETAL CARACAS (EL CAFETAL )MIRADA</t>
  </si>
  <si>
    <t>EL CAFETAL-MIRANDA</t>
  </si>
  <si>
    <t>02994</t>
  </si>
  <si>
    <t>FARMACIA PUENTE GUILLERMINA C.A</t>
  </si>
  <si>
    <t>J305208441</t>
  </si>
  <si>
    <t>04120825523</t>
  </si>
  <si>
    <t>CALLE JUNCAL CASA NRO 02 SECTOR LA ENTRADA GUIRIA SUCRE</t>
  </si>
  <si>
    <t>02995</t>
  </si>
  <si>
    <t>BIOFARMA CENTRAL, C.A (SUCURSAL I)</t>
  </si>
  <si>
    <t>J503203323</t>
  </si>
  <si>
    <t>0424-421.01.10</t>
  </si>
  <si>
    <t>CALLE 5 CON CARRERA 3 LOCAL N°5-9 EDIFICIO SARAHI BARRIO URDANETA COLON TACHIRA</t>
  </si>
  <si>
    <t>143243.29</t>
  </si>
  <si>
    <t>02996</t>
  </si>
  <si>
    <t>FARMACIA BIOCENTRAL COLONCITO, C.A.</t>
  </si>
  <si>
    <t>J505773747</t>
  </si>
  <si>
    <t>CALLE 5 CON CARRERA 5 LOCAL NRO ESQUINA BARRIO LIBERTADOR COLONCITO TACHIRA</t>
  </si>
  <si>
    <t>783660.45</t>
  </si>
  <si>
    <t>02997</t>
  </si>
  <si>
    <t>ANDIFARMA LA FRIA, C.A</t>
  </si>
  <si>
    <t>J507055833</t>
  </si>
  <si>
    <t>0414-0796837</t>
  </si>
  <si>
    <t>CALLE 2 CON CARRERA 8, ESQUINA LOCAL EDIFICIO SAN JOSE UNICO SECTOR CENTRO LA FRIA TACHIRA</t>
  </si>
  <si>
    <t>646941.72</t>
  </si>
  <si>
    <t>02998</t>
  </si>
  <si>
    <t>BIOFARMA CENTRAL ,C.A (SUCURSAL 2)</t>
  </si>
  <si>
    <t>CALLE 5 CON CARRERA 3 LOCAL N°5-9 EDIFICIO SARAHI
BARRIO URDANETA COLON TACHIRA ZONA POSTAL 50003</t>
  </si>
  <si>
    <t>750729.66</t>
  </si>
  <si>
    <t>02999</t>
  </si>
  <si>
    <t>BIOFARMA CENTRAL, C.A (PRINCIPAL)</t>
  </si>
  <si>
    <t>CALLE 5 CON CARRERA 3 LOCAL N°5-9 EDIFICIO SARAHI
BARRIO URDANETA COLON TACHIRA ZONA POSTAL 5003</t>
  </si>
  <si>
    <t>305241.16</t>
  </si>
  <si>
    <t>03000</t>
  </si>
  <si>
    <t>FARMACIA MIA 2025, C.A(GRUPO PANACEA)</t>
  </si>
  <si>
    <t>FARMACIA MIA 2025, C.A</t>
  </si>
  <si>
    <t>J507117545</t>
  </si>
  <si>
    <t>AV CIRCUNVALACION LOS SAMANES CALLE 86 LOCAL NRO S/N BARRIO LOS SAMANES NORTE VALENCIA CARABOBO</t>
  </si>
  <si>
    <t>132237.10</t>
  </si>
  <si>
    <t>03001</t>
  </si>
  <si>
    <t>CITYFARMA 2025, C.A</t>
  </si>
  <si>
    <t>J507374491</t>
  </si>
  <si>
    <t>AV 8, N°109-346 LOCAL NRO S/N BARRIO MONSEÑOR AROCHA VALENCIA CARABOBO ZONA POSTAL 2001</t>
  </si>
  <si>
    <t>20325.44</t>
  </si>
  <si>
    <t>03002</t>
  </si>
  <si>
    <t>FARMACIA CIUDAD JARDIN C A</t>
  </si>
  <si>
    <t>J075482140</t>
  </si>
  <si>
    <t>04129277147</t>
  </si>
  <si>
    <t>AV MIRANDA ESTE CC GRAVINA II NIVEL PB LOCAL 01 ZONA SAN AGUSTIN MARACAY ARAGUA</t>
  </si>
  <si>
    <t>18033.17</t>
  </si>
  <si>
    <t>03003</t>
  </si>
  <si>
    <t>FARMACIA URIBANTE, C.A</t>
  </si>
  <si>
    <t>J310757577</t>
  </si>
  <si>
    <t>0424-7587366</t>
  </si>
  <si>
    <t>AV 5 TA EDIF CENTRO COMERCIAL PROFESIONAL Y RESIDENCIAL URIBANTE PISO P/B LOCAL 5-20 SECTOR CENTRO SAN CRISTOBAL TACHIRA</t>
  </si>
  <si>
    <t>929918.97</t>
  </si>
  <si>
    <t>03004</t>
  </si>
  <si>
    <t>FARMACIA ATRIO II C.A</t>
  </si>
  <si>
    <t>J500787111</t>
  </si>
  <si>
    <t>0424-7439747</t>
  </si>
  <si>
    <t>CALLE 2 CASA NRO 0-12 BARRIO BARRIO SUCRE SAN CRISTOBAL TACHIRA ZONA POSTAL 5001</t>
  </si>
  <si>
    <t>55502.37</t>
  </si>
  <si>
    <t>03005</t>
  </si>
  <si>
    <t>"FARMACIA ACQUA C.A."</t>
  </si>
  <si>
    <t>J296998370</t>
  </si>
  <si>
    <t>04247439747</t>
  </si>
  <si>
    <t>AV GUAYANA EDIF EDIFICIO VICMARY PISO 1 LOCAL 2 SECTOR LA GUAYANA SAN CRISTOBAL TACHIRA ZONA POSTAL 5001</t>
  </si>
  <si>
    <t>03006</t>
  </si>
  <si>
    <t>FARMACIA EL TRANVIA, C.A</t>
  </si>
  <si>
    <t>J401700691</t>
  </si>
  <si>
    <t>0414-7376272</t>
  </si>
  <si>
    <t>CALLE 2 CON CARRERA 14N° 13-81 EDIF JE PISO PB LOCAL A-1 Y A-2 URB JAUREGUI LA FRIA TACHIRA ZONA POSTAL 5020</t>
  </si>
  <si>
    <t>03007</t>
  </si>
  <si>
    <t>FARMACIA MERIDA TURISTICA C.A</t>
  </si>
  <si>
    <t>J315515725</t>
  </si>
  <si>
    <t>0414-1211012</t>
  </si>
  <si>
    <t>AV LOS PROCERES CASA S/N SECTOR LA PEDREGOSA MERIDA MERIDA ZONA POSTAL 5101</t>
  </si>
  <si>
    <t>41482.50</t>
  </si>
  <si>
    <t>03008</t>
  </si>
  <si>
    <t>FARMACIA LA PASTORA FARMAX, C.A.</t>
  </si>
  <si>
    <t>J506885972</t>
  </si>
  <si>
    <t>0412-2371253</t>
  </si>
  <si>
    <t>CR 19 ENTRE CALLES 41 Y 42 EDIF KAER PISO PB LOCAL MEZANINA ZONA CENTRO BARQUISIMETO LARA</t>
  </si>
  <si>
    <t>03009</t>
  </si>
  <si>
    <t>FARMACIA ATRIO, C.A</t>
  </si>
  <si>
    <t>J409674266</t>
  </si>
  <si>
    <t>CALLE 2 ESQUINA CARRERA 16 EDIF BERARDUCCI PISO PB LOCAL 1 SECTOR CASCO CENTRAL LA FRIA TACHIRA</t>
  </si>
  <si>
    <t>7889.03</t>
  </si>
  <si>
    <t>03010</t>
  </si>
  <si>
    <t>FARMA PLAZA LIBERTAD C.A</t>
  </si>
  <si>
    <t>J408022095</t>
  </si>
  <si>
    <t>0412-7907263</t>
  </si>
  <si>
    <t>5221</t>
  </si>
  <si>
    <t>LIBERTAD-TACHIRA</t>
  </si>
  <si>
    <t>CR2 ENTRE CALLE 3 Y 4 CASA NRO S/N BARRIO EL CENTRO DE LIBERTAD SAN ISIDRO TACHIRA</t>
  </si>
  <si>
    <t>38290.25</t>
  </si>
  <si>
    <t>03011</t>
  </si>
  <si>
    <t>FARMACIA KROMI, C.A. (SUCURSAL PREBO)</t>
  </si>
  <si>
    <t>FARMACIA KROMI, C.A.</t>
  </si>
  <si>
    <t>J307273178</t>
  </si>
  <si>
    <t>0414-4382708</t>
  </si>
  <si>
    <t>CALLE 137 N° 114-40 LOCAL C.C AVENIDA #30 NIVEL PB LOCAL PB 1 URB PREBO VALENCIA CARABOBO</t>
  </si>
  <si>
    <t>440757.22</t>
  </si>
  <si>
    <t>03012</t>
  </si>
  <si>
    <t>FARMACIA KROMI, C.A (CIUDAD JARDIN MAÑONGO)</t>
  </si>
  <si>
    <t>5222</t>
  </si>
  <si>
    <t>264611.49</t>
  </si>
  <si>
    <t>03013</t>
  </si>
  <si>
    <t>FARMACIA KROMI, C.A.(AGENCIA TRIGAL NORTE )</t>
  </si>
  <si>
    <t>135726.44</t>
  </si>
  <si>
    <t>03014</t>
  </si>
  <si>
    <t>FARMACIA KROMI, C.A (SUCURSAL EL TRIGAL SUR)</t>
  </si>
  <si>
    <t>FARMACIA KROMI, C.A</t>
  </si>
  <si>
    <t>108236.28</t>
  </si>
  <si>
    <t>03015</t>
  </si>
  <si>
    <t>EXPENDIO DE MEDICINAS CONITO ROJO, C.A.</t>
  </si>
  <si>
    <t>J505901281</t>
  </si>
  <si>
    <t>0414-1576114</t>
  </si>
  <si>
    <t>CALLE 8,AVENIDA PRINICIPAL LOCAL NRO SN SECTOR LOS MANGOS SAN RAFAEL DE ONOTO PORTUGUESA</t>
  </si>
  <si>
    <t>03016</t>
  </si>
  <si>
    <t>FARMACIA MIL REMEDIOS C.A</t>
  </si>
  <si>
    <t>J412795040</t>
  </si>
  <si>
    <t>0424-7547335</t>
  </si>
  <si>
    <t>CALLE 8 CON ENTRE CARRERAS 19 Y 20 CASA NRO 19-100 SECTOR BARTIO OBRERO SAN CRISTOBAL TACHIRA</t>
  </si>
  <si>
    <t>573685.81</t>
  </si>
  <si>
    <t>03017</t>
  </si>
  <si>
    <t>FARMACIA MEDEPHARMA, C.A.</t>
  </si>
  <si>
    <t>J404753702</t>
  </si>
  <si>
    <t>0424-7726041</t>
  </si>
  <si>
    <t>AV 4 BOLIVAR ENTRE CALLES 30 Y 31 LOCAL 30-31-1 NRO PB SECTOR EL LLANO MERIDA</t>
  </si>
  <si>
    <t>110398.00</t>
  </si>
  <si>
    <t>03018</t>
  </si>
  <si>
    <t>EN FARMA PADI., C.A</t>
  </si>
  <si>
    <t>J506887665</t>
  </si>
  <si>
    <t>0424-8081004</t>
  </si>
  <si>
    <t>CALLE BOLIVIA QTA N/A NRO SN SECTOR MERCADO CASANAY SUCRE</t>
  </si>
  <si>
    <t>811498.25</t>
  </si>
  <si>
    <t>03019</t>
  </si>
  <si>
    <t>FARMACIA URIBANTE C.A (SUCURSAL 6TA AVENIDA)</t>
  </si>
  <si>
    <t>FARMACIA URIBANTE C.A</t>
  </si>
  <si>
    <t>0422-7170872</t>
  </si>
  <si>
    <t>AV 5 TA EDIF CENTRO COMERCIAL PROFESIONAL RESIDENCIAL URIBANTE PISO PB LOCAL 5-20 SECTOR CENTRO SAN CRISTOBAL TACHIRA</t>
  </si>
  <si>
    <t>43165.36</t>
  </si>
  <si>
    <t>03020</t>
  </si>
  <si>
    <t>FARMA ESTACION 888, C. A. (LA MORITA)</t>
  </si>
  <si>
    <t>FARMA ESTACION 888, C. A.</t>
  </si>
  <si>
    <t>J506976790</t>
  </si>
  <si>
    <t>0424-3277548</t>
  </si>
  <si>
    <t>CALLE ENTRE LAS CALLES 27 Y 100 LOCAL NRO 17 SECTOR LA MORITA II SANTA RITA ARAGUA</t>
  </si>
  <si>
    <t>150960.83</t>
  </si>
  <si>
    <t>03021</t>
  </si>
  <si>
    <t>FARMAFER</t>
  </si>
  <si>
    <t>V24029470</t>
  </si>
  <si>
    <t>0416-1867007</t>
  </si>
  <si>
    <t>CALLE PRINCIPAL ,CASA NRO 08, SECTOR 25 DE MARZO EL DORADO BOLIVAR</t>
  </si>
  <si>
    <t>03022</t>
  </si>
  <si>
    <t>FARMACIAS Y ALIMENTOS FARMAYOR, C.A.</t>
  </si>
  <si>
    <t>J412028944</t>
  </si>
  <si>
    <t>0243-2456197</t>
  </si>
  <si>
    <t>CALLE PAEZ LOCAL NRO 18 SECTOR CENTRO MARACAY ARAGUA</t>
  </si>
  <si>
    <t>03023</t>
  </si>
  <si>
    <t>JESUS MIGUEL SILVA"FARMACENTRO 21 CAMINOS"</t>
  </si>
  <si>
    <t>V301219225</t>
  </si>
  <si>
    <t>0416-5131870</t>
  </si>
  <si>
    <t>CR 3 LOCAL NRO S/N SECTOR CENTRO ,A 50 METROS DEL HOSPITAL DR MARTIN LUCENA MANTECAL APURE</t>
  </si>
  <si>
    <t>03024</t>
  </si>
  <si>
    <t>FARMACIA LA SOLUCION CBO, C.A.</t>
  </si>
  <si>
    <t>J507112047</t>
  </si>
  <si>
    <t>0414-1924477</t>
  </si>
  <si>
    <t>CALLE COLUMBO SILVA BOLIVAR LOCAL 04 NRO PB CONJUNTO RESIDENCIAL COMERCIAL CIUDAD BOLIVAR BOLIVAR</t>
  </si>
  <si>
    <t>03025</t>
  </si>
  <si>
    <t>FARMACIA CONTIGO, C.A</t>
  </si>
  <si>
    <t>J500068824</t>
  </si>
  <si>
    <t>0424-7819579</t>
  </si>
  <si>
    <t>AV 3 INDEPENDENCIA ENTRE CALLE 28 Y 29 CASA NRO 28-57 SECTOR FRENTE  A LA IGLESIA SAN MIGUEL ,EL LLANO MERIDA MERIDA</t>
  </si>
  <si>
    <t>267250.42</t>
  </si>
  <si>
    <t>03026</t>
  </si>
  <si>
    <t>FARMACIA MONAGAS IX, C.A.</t>
  </si>
  <si>
    <t>J507441970</t>
  </si>
  <si>
    <t>AV INTERCOMUNAL LOS CENTAUROS-BIRUACA CON AV LOPEZ MENDEZ LOCAL NRO S/N SECTOR PARQUE DE FERIAS  SAN FERNANDO DE APURE APURE</t>
  </si>
  <si>
    <t>1396346.75</t>
  </si>
  <si>
    <t>03027</t>
  </si>
  <si>
    <t>FARMACIA SERVIFARMED, C.A.</t>
  </si>
  <si>
    <t>J405568348</t>
  </si>
  <si>
    <t>0414-0765304</t>
  </si>
  <si>
    <t>AV 16 DE SEPTIEMBRE EDIF N° 42-97 PISO PB SECTOR SANTA ELENA MERIDA</t>
  </si>
  <si>
    <t>03028</t>
  </si>
  <si>
    <t>FARMADESCUENTO BULEVAR CA</t>
  </si>
  <si>
    <t>J507511995</t>
  </si>
  <si>
    <t>AV PASEO LIBERTADOR EDIF D PEPINO PISO PB LOCAL 1-A SECTOR CENTRO SAN FERNANDO DE APURE APURE</t>
  </si>
  <si>
    <t>234929.07</t>
  </si>
  <si>
    <t>03029</t>
  </si>
  <si>
    <t>FARMAVITAL S23:6, C.A</t>
  </si>
  <si>
    <t>J507507220</t>
  </si>
  <si>
    <t>0422-6345555</t>
  </si>
  <si>
    <t>CALLE JOSE MARIA VARGAS ENTRE INDEPENDENCIA Y MIRANDA LOCAL S/N SECTOR BOCONO TRUJILLO</t>
  </si>
  <si>
    <t>03030</t>
  </si>
  <si>
    <t>INVERSIONES FARMAX 2032, C.A.</t>
  </si>
  <si>
    <t>J503088893</t>
  </si>
  <si>
    <t>0414-8349991</t>
  </si>
  <si>
    <t>AV MANZANA A ,XONA C-25 EDIF RESIDENCIAS EUREKA PISO PB LOCAL N° 2 URB EL LLANITO CARACAS (PETARE) MIRANDA</t>
  </si>
  <si>
    <t>153954.71</t>
  </si>
  <si>
    <t>03031</t>
  </si>
  <si>
    <t>SERVICIOS INTEGRALES DE SALUD ENMANUEL 2224,</t>
  </si>
  <si>
    <t>SERVICIOS INTEGRALES DE SALUD ENMANUEL 2224, C.A</t>
  </si>
  <si>
    <t>J502135472</t>
  </si>
  <si>
    <t>0412-8560704</t>
  </si>
  <si>
    <t>CALLE LOS APAMATES CON AVENIDA ALFARAGUA LOCAL LOTE B NRO -1-A BARRIOS LOS CHAGUARAMOS SANTA RITA ARAGUA</t>
  </si>
  <si>
    <t>69859.68</t>
  </si>
  <si>
    <t>03032</t>
  </si>
  <si>
    <t>SATELNET FARMACIA, C. A.</t>
  </si>
  <si>
    <t>J500348746</t>
  </si>
  <si>
    <t>0412-5289015</t>
  </si>
  <si>
    <t>CALLE BOLIVAR ENTRE CALLE CRUZ ROJA Y CALLEJON SANTA TERESITA EDIF SATELNET PISO 1 LOCAL 01 CENTRO AROA YARACUY</t>
  </si>
  <si>
    <t>03033</t>
  </si>
  <si>
    <t>FARMACIA LA PRIMOGENITA, C.A.</t>
  </si>
  <si>
    <t>J507145697</t>
  </si>
  <si>
    <t>0412-8774000</t>
  </si>
  <si>
    <t>CALLE CARABOBO 12 LOCAL NRO S/N SECTOR CENTRO CUMANA SUCRE</t>
  </si>
  <si>
    <t>03034</t>
  </si>
  <si>
    <t>FARMAIMPULSO CA</t>
  </si>
  <si>
    <t>J411982660</t>
  </si>
  <si>
    <t>AV LUCIO OQUENDO LOCAL NRO 7-42 NRO 3 SECTOR LA CONCORDIA SAN CRISTOBAL TACHIRA</t>
  </si>
  <si>
    <t>31220.25</t>
  </si>
  <si>
    <t>03035</t>
  </si>
  <si>
    <t>FARMACIA BIOVITAL, C.A.</t>
  </si>
  <si>
    <t>J507089800</t>
  </si>
  <si>
    <t>0424-7761397</t>
  </si>
  <si>
    <t>CALLE 7 ENTRE CARRERAS 3 Y 4 CASA NRO 07 SECTOR CENTRO DE LA POBLACION DE TARIBA TACHIRA</t>
  </si>
  <si>
    <t>112901.55</t>
  </si>
  <si>
    <t>03036</t>
  </si>
  <si>
    <t>MI FARMACIA EXPRESS M.C, C.A</t>
  </si>
  <si>
    <t>J506861372</t>
  </si>
  <si>
    <t>0424-3765488</t>
  </si>
  <si>
    <t>CALLE PARADISI EDIF PARADISE PISO B LOCAL 5 SECTOR CENTRO VILLA DE CURA ARAGUA</t>
  </si>
  <si>
    <t>271008.84</t>
  </si>
  <si>
    <t>03037</t>
  </si>
  <si>
    <t>FARMA GUARIBE, C.A</t>
  </si>
  <si>
    <t>J403979570</t>
  </si>
  <si>
    <t>SAN JOSE /GUARICO</t>
  </si>
  <si>
    <t>0424-8298499</t>
  </si>
  <si>
    <t>2301</t>
  </si>
  <si>
    <t>CALLE SUCRE C/C CALLE BOLIVAR LOCAL NRO S/N SECTOR EL CENTRO SAN JOSE DE GUARIBE GUARICO</t>
  </si>
  <si>
    <t>29207.98</t>
  </si>
  <si>
    <t>03038</t>
  </si>
  <si>
    <t>FARMA JUMBO TURMERO, C.A</t>
  </si>
  <si>
    <t>J505989880</t>
  </si>
  <si>
    <t>0424-3152054</t>
  </si>
  <si>
    <t>CALLE CARREÑO CC CONCEPCION NIVEL PB LOCAL PB 04 Y PB 05 SECTOR TURMERO ARAGUA</t>
  </si>
  <si>
    <t>24167.22</t>
  </si>
  <si>
    <t>03039</t>
  </si>
  <si>
    <t>FARMACIA STEVEN, C.A</t>
  </si>
  <si>
    <t>J501899045</t>
  </si>
  <si>
    <t>0412-7885933</t>
  </si>
  <si>
    <t>35</t>
  </si>
  <si>
    <t>AV 13 CON CALLE 9 LOCAL NRO S/N SECTOR CENTRO ,PQUIA MERCEDES DIAZ ,MCIPIO VALERA TRUJILLO</t>
  </si>
  <si>
    <t>48786.83</t>
  </si>
  <si>
    <t>03040</t>
  </si>
  <si>
    <t>FARMAVEN, C.A</t>
  </si>
  <si>
    <t>J500854137</t>
  </si>
  <si>
    <t>0414-2661095</t>
  </si>
  <si>
    <t>ESQ CHUPULUN EDIF RESIDENCUAS FULVIA PISO PB LOCAL N°3 ZONA PETARE CARACAS (PETARE) MIRANDA</t>
  </si>
  <si>
    <t>37190.45</t>
  </si>
  <si>
    <t>03041</t>
  </si>
  <si>
    <t>ZORCA SALUD 1 C.A.</t>
  </si>
  <si>
    <t>J507074412</t>
  </si>
  <si>
    <t>0424-7195507</t>
  </si>
  <si>
    <t>CALLE 4 PRINCIPAL LOCAL NRO LC -01 SECTOR LAS ORQUIDEAS PALO GORDO TACHIRA</t>
  </si>
  <si>
    <t>68851.36</t>
  </si>
  <si>
    <t>03042</t>
  </si>
  <si>
    <t>FARMASOLUCION, C.A.(SUCURSAL PETARE 2)</t>
  </si>
  <si>
    <t>PETARE ESTADO MIRANDA</t>
  </si>
  <si>
    <t>0412-6146211</t>
  </si>
  <si>
    <t>AV ENTRE CRISTO Y PANAMERICANA LOCAL COMERCIAL S/N PB NRO 25-1 URB MAGALLANES DE CATIA ,SECTOR NUEVA CARACAS CARACAS DISTRITO CAPITAL</t>
  </si>
  <si>
    <t>273276.86</t>
  </si>
  <si>
    <t>03043</t>
  </si>
  <si>
    <t>FARMACIA INSUMEDIC C.A</t>
  </si>
  <si>
    <t>J505587382</t>
  </si>
  <si>
    <t>0412-6654455</t>
  </si>
  <si>
    <t>CALLE 6 LOCAL NRO 1 SECTOR CENTRO ,PQUIA MERCEDES DIAZ ,MCIPIO VALERA TRUJILLO</t>
  </si>
  <si>
    <t>03044</t>
  </si>
  <si>
    <t>CENTRO DIAGNOSTICO INTEGRAL LECHERIA II, C.A.</t>
  </si>
  <si>
    <t>J317047850</t>
  </si>
  <si>
    <t>0424-8557653</t>
  </si>
  <si>
    <t>AV PRINCIPAL DE LECHERIA ,ANTIGUO CENTRO COMERCIAL CEUTA LOCAL NRO 7 SECTOR CRUCERO LECHERIAS ANZOATEGUI</t>
  </si>
  <si>
    <t>03045</t>
  </si>
  <si>
    <t>FARMAUS NORTE, C.A</t>
  </si>
  <si>
    <t>J507013650</t>
  </si>
  <si>
    <t>0424-3475957</t>
  </si>
  <si>
    <t>AV PRICIPAL DE LA COOPERATIRA LOCAL NRO 72-C SECTOR LA COOPERATIVA MARACAY ARAGUA</t>
  </si>
  <si>
    <t>21307.59</t>
  </si>
  <si>
    <t>03046</t>
  </si>
  <si>
    <t>FARMACIA SAN IGNACIO 2021, C.A</t>
  </si>
  <si>
    <t>J501353654</t>
  </si>
  <si>
    <t>0412-8317105</t>
  </si>
  <si>
    <t>AV LA PATRIA CON AVENIDA 7 Y 8 EDIF VALLFORTORE PISO PB LOCAL 3 ZONA CENTRO SAN FELIPE YARACUY</t>
  </si>
  <si>
    <t>1253133.54</t>
  </si>
  <si>
    <t>03047</t>
  </si>
  <si>
    <t>FARMACIA LA 5TA AVENIDA, C.A</t>
  </si>
  <si>
    <t>J502173986</t>
  </si>
  <si>
    <t>AV LIBERTADOR ESQUINA CALLE 20 LOCAL NRO A-8 SECTOR SAN FELIPE SAN FELIPE YARACUY</t>
  </si>
  <si>
    <t>1027990.63</t>
  </si>
  <si>
    <t>03048</t>
  </si>
  <si>
    <t>FARMACIA FARMAIGNACIO ESTE, C.A</t>
  </si>
  <si>
    <t>J500523432</t>
  </si>
  <si>
    <t>0412-1542349</t>
  </si>
  <si>
    <t>AV TROCADERO ENTRE CARRERA 7 Y 8 LOCAL NRO S/N ZONA CENTRO YARITAGUA</t>
  </si>
  <si>
    <t>596324.39</t>
  </si>
  <si>
    <t>03049</t>
  </si>
  <si>
    <t>FARMACIA LA VICTORIA 2023 WPM, C.A.</t>
  </si>
  <si>
    <t>J504704610</t>
  </si>
  <si>
    <t>CALLE RIVAS DAVILA C/C  CALLE LIBETADOR LOCAL NRO 1 SECTOR CENTRO LA VICTORIA ARAGUA</t>
  </si>
  <si>
    <t>571539.02</t>
  </si>
  <si>
    <t>03050</t>
  </si>
  <si>
    <t>FARMACIA DIVINA PASTORA WPM, C.A.</t>
  </si>
  <si>
    <t>J505036602</t>
  </si>
  <si>
    <t>AV VICTORIA N° 20-07 LOCAL NRO 05 SECTOR CENTRO LA VICTORIA ARAGUA</t>
  </si>
  <si>
    <t>882855.20</t>
  </si>
  <si>
    <t>03051</t>
  </si>
  <si>
    <t>FARMACIA GUACARA WPM C.A.</t>
  </si>
  <si>
    <t>J505798308</t>
  </si>
  <si>
    <t>CALLE AREVALO GONZALEZ N°101 LOCAL NRO 4 SECTOR CASCO CENTRAL GUACARA CARABOBO</t>
  </si>
  <si>
    <t>248.23</t>
  </si>
  <si>
    <t>03052</t>
  </si>
  <si>
    <t>FARMACIA ALIANZA 2020, C.A.</t>
  </si>
  <si>
    <t>J500601620</t>
  </si>
  <si>
    <t>AV PRINCIPAL KM 12 LOCAL NRO S/N SECTOR TAMACA BARQUISIMETO (TAMACA ) LARA</t>
  </si>
  <si>
    <t>950027.88</t>
  </si>
  <si>
    <t>03053</t>
  </si>
  <si>
    <t>FARMACIA EL ESFUERZO, C.A</t>
  </si>
  <si>
    <t>J305906068</t>
  </si>
  <si>
    <t>CTRA CARRETERA VIA DUACA KM 10  CASA NRO S/N SECTOR SABANA GRANDE BARQUISIMETO LARA</t>
  </si>
  <si>
    <t>1348075.58</t>
  </si>
  <si>
    <t>03054</t>
  </si>
  <si>
    <t>FARMACIA NUEVA ALIANZA H&amp;G, C.A</t>
  </si>
  <si>
    <t>J504099686</t>
  </si>
  <si>
    <t>AV PADRE TORRES CO ESQUINA LA CARRERA 12 EDIF SAN MATEO PISO P/B LOCAL 2 SECTOR CENTRO YARITAGUA YARACUY</t>
  </si>
  <si>
    <t>535365.29</t>
  </si>
  <si>
    <t>03055</t>
  </si>
  <si>
    <t>ARMONIA DENTAL, C.A</t>
  </si>
  <si>
    <t>J407831240</t>
  </si>
  <si>
    <t>TRUJILLO-TRUJILLO</t>
  </si>
  <si>
    <t>0424-7785612</t>
  </si>
  <si>
    <t>5224</t>
  </si>
  <si>
    <t>CALLE PRINCIPAL CASA NRO 43 URB LA RAYA RESIDENCIAS VILLA HERMOSA TRUJILLO TRUJILLO</t>
  </si>
  <si>
    <t>343703.89</t>
  </si>
  <si>
    <t>03056</t>
  </si>
  <si>
    <t>FARMACIA FENIX VALERA, C.A.</t>
  </si>
  <si>
    <t>J501700036</t>
  </si>
  <si>
    <t>0424-7045701</t>
  </si>
  <si>
    <t>CALLE 6 CON AVENIDA BOLIVAR Y 9 CC PERGIOVA NIVEL P/B LOCAL 3 SECTOR CENTRO PQUIA MERCEDES DIAZ MCPIO VALERA TRUJILLO</t>
  </si>
  <si>
    <t>03057</t>
  </si>
  <si>
    <t>FARMACIA FARMAURORA, COMPAÑIA ANONIMA</t>
  </si>
  <si>
    <t>J503552182</t>
  </si>
  <si>
    <t>0414-0799047</t>
  </si>
  <si>
    <t>AV BOLIVAR LOCAL NRO 1 SECTOR CENTRO SANTA BARBARA ZULIA</t>
  </si>
  <si>
    <t>870752.67</t>
  </si>
  <si>
    <t>03058</t>
  </si>
  <si>
    <t>FARMACIA FARMA EXITO LA FE ,C.A</t>
  </si>
  <si>
    <t>J506289130</t>
  </si>
  <si>
    <t>0414-7401117</t>
  </si>
  <si>
    <t>CTA SANTA BARBARA -EL VIGIA ,PROLONGACION CALLE 6, CASA CASCO CENTRAL NRO 1-16 SECTOR AMILCAR MEJIAS EL MORALITO ZULA</t>
  </si>
  <si>
    <t>429465.71</t>
  </si>
  <si>
    <t>03059</t>
  </si>
  <si>
    <t>EXPENDIO DE MEDICINAS EL SHADDAI C.A</t>
  </si>
  <si>
    <t>J507078825</t>
  </si>
  <si>
    <t>0416-5631490</t>
  </si>
  <si>
    <t>5225</t>
  </si>
  <si>
    <t>CALLE PRINCIPAL LOCAL NRO S/N SECTOR LA MILAGROSA PURURECHE FALCON</t>
  </si>
  <si>
    <t>1202</t>
  </si>
  <si>
    <t>03060</t>
  </si>
  <si>
    <t>FARMACIA FARMA EXITO PLUS, C.A.</t>
  </si>
  <si>
    <t>J504397652</t>
  </si>
  <si>
    <t>CALLE 7 CASA NRO 1F-151 BARRIOS CARLOS ANDRES PEREZ SANTA BARBARA ZULIA</t>
  </si>
  <si>
    <t>1064114.05</t>
  </si>
  <si>
    <t>03061</t>
  </si>
  <si>
    <t>FARMACIA CLINIFARMA, C.A(SUC CERRITO BLANCO)</t>
  </si>
  <si>
    <t>AV INTERCOMUNAL BARQUISIMETO CABUDARE EDIF CLINICA IDB CABUDARE PISO 0 LOCAL 1 ZONA ENTRADA AVENIDA BOLIVAR CABUDARE LARA</t>
  </si>
  <si>
    <t>13358.40</t>
  </si>
  <si>
    <t>03062</t>
  </si>
  <si>
    <t>FARMACIA SERVIFARME3 C.A</t>
  </si>
  <si>
    <t>J409982084</t>
  </si>
  <si>
    <t>AV 16 DE SEPTIEMBRE EDIF BEATRIZ PISO PB LOCAL LOCAL NO 42-15 SECTOR ENTRADA AL IAHULA MERIDA MERIDA</t>
  </si>
  <si>
    <t>03063</t>
  </si>
  <si>
    <t>FARMACIA FARMAGANGA 286, C.A</t>
  </si>
  <si>
    <t>J505324624</t>
  </si>
  <si>
    <t>CALLE S/N LOCAL NRO P-37 CONJUNTO RESIDENCIAL CAURA - ALTA VISTA UD-261 CIUDAD GUAYANA BOLIVAR</t>
  </si>
  <si>
    <t>11464.83</t>
  </si>
  <si>
    <t>03064</t>
  </si>
  <si>
    <t>ZULAY MARITZA SALAS"FARMACIA DON RUPER"</t>
  </si>
  <si>
    <t>V081706480</t>
  </si>
  <si>
    <t>0412-7730185</t>
  </si>
  <si>
    <t>AV SUCRE CON CALLE EL SAMAN CASA NRO 126 SECTOR 2 DE DICICIEMBRE DE BARRANCAS EDO BARINAS BARRANCAS BARINAS</t>
  </si>
  <si>
    <t>03065</t>
  </si>
  <si>
    <t>FARMARAGUA, S.A. LA VICTORIA</t>
  </si>
  <si>
    <t>FARMARAGUA, S.A.</t>
  </si>
  <si>
    <t>G200097434</t>
  </si>
  <si>
    <t>0424-3434432</t>
  </si>
  <si>
    <t>AV JOSE MARIA VARGAS C/C SUCRE EDIF HOSPITAL CENTRAL DE MARACAY PISO PB LOCAL S/N URB LA FLORESTA MARACAY ARAGUA</t>
  </si>
  <si>
    <t>03066</t>
  </si>
  <si>
    <t>FARMARAGUA, S.A."HOSPITAL CENTRAL DE MARACAY"</t>
  </si>
  <si>
    <t>0424-3077272</t>
  </si>
  <si>
    <t>AV JOSE MARIA VARGAS C/C SUCRE EDIF HOSPITAL CENTRAL DE MARACAY PISO PB LOCAL S/N URB LA FLORESTA MARACAY</t>
  </si>
  <si>
    <t>03067</t>
  </si>
  <si>
    <t>FARMARAGUA, S.A. OCUMARE</t>
  </si>
  <si>
    <t>OCUMARE DE LA COSTA</t>
  </si>
  <si>
    <t>0412-4152028</t>
  </si>
  <si>
    <t>5226</t>
  </si>
  <si>
    <t>03068</t>
  </si>
  <si>
    <t>FARMARAGUA, S.A. AMBULATORIO DEL NORTE</t>
  </si>
  <si>
    <t>0414-0518496</t>
  </si>
  <si>
    <t>03069</t>
  </si>
  <si>
    <t>FARMACIA EL CARMEN I, C.A</t>
  </si>
  <si>
    <t>J090330771</t>
  </si>
  <si>
    <t>0414-6029466</t>
  </si>
  <si>
    <t>CALLE PADILLA VIA EL HOSPITAL CC CENTRO MEDICO NANCY BEATRIZ NIVEL P/BAJA LOCAL 01 SECTOR PALO AMARILLO SABANA DE MENDOZA TRUJILLO</t>
  </si>
  <si>
    <t>78349.94</t>
  </si>
  <si>
    <t>03070</t>
  </si>
  <si>
    <t>MULTI-FARMACIA FARMA VIDA, C.A</t>
  </si>
  <si>
    <t>J506312808</t>
  </si>
  <si>
    <t>0424-7776185</t>
  </si>
  <si>
    <t>CR 2 ESQUINA DE CALLE 13 CASA NRO S/N SECTOR CENTRO SANTA BARBARA BARINAS</t>
  </si>
  <si>
    <t>467528.43</t>
  </si>
  <si>
    <t>03071</t>
  </si>
  <si>
    <t>FARMACIA LA UNICA, C.A.</t>
  </si>
  <si>
    <t>J303573967</t>
  </si>
  <si>
    <t>0424-5490182</t>
  </si>
  <si>
    <t>AV 36/ CALLES 32 Y 33 EDIF CIUDAD ACARIGUA PISO PB LOCAL 4 SECTOR BELLA VISTA ACARIGUA PORTUGUESA</t>
  </si>
  <si>
    <t>03072</t>
  </si>
  <si>
    <t>FANY MARIA ARAUJO "FARMACIA MI BIENESTAR"</t>
  </si>
  <si>
    <t>V107136890</t>
  </si>
  <si>
    <t>0412-4917354</t>
  </si>
  <si>
    <t>AV PRINCIPAL CAS NRO S/N SECTOR CENTRO MONAY MONAY TRUJILLO</t>
  </si>
  <si>
    <t>118304.83</t>
  </si>
  <si>
    <t>03073</t>
  </si>
  <si>
    <t>FARMAORO 88, C.A</t>
  </si>
  <si>
    <t>J507310353</t>
  </si>
  <si>
    <t>0414868-1663</t>
  </si>
  <si>
    <t>CALLE PRINCIPAL TRONCAL 10 CASA S/N NRO 0 SECTOR CIUDAD BOLIVAR LAS CLARITAS BOLIVAR</t>
  </si>
  <si>
    <t>03074</t>
  </si>
  <si>
    <t>FARMACIA ANGELY, C.A</t>
  </si>
  <si>
    <t>J313874060</t>
  </si>
  <si>
    <t>CR 16 ESQUINA CALLE 38 EDIF LA FLORIDA PISO PB LOCAL 38-11 SECTOR CENTRO BARQUISIMETO LARA</t>
  </si>
  <si>
    <t>498730.45</t>
  </si>
  <si>
    <t>03075</t>
  </si>
  <si>
    <t>FARMACIA SANTA ISABEL DEL OESTE CA</t>
  </si>
  <si>
    <t>J294139086</t>
  </si>
  <si>
    <t>CR 2 ENTRE CALLES 7 Y 8 LOCAL NRO 4 URB SANTA ISABEL BARQUISIMETO LARA</t>
  </si>
  <si>
    <t>448009.82</t>
  </si>
  <si>
    <t>03076</t>
  </si>
  <si>
    <t>MIL REMEDIOS SAN JOSECITO FARMACIA C.A.</t>
  </si>
  <si>
    <t>J503544490</t>
  </si>
  <si>
    <t>0424-7370333</t>
  </si>
  <si>
    <t>VDA 17 CASA NRO  1 OF ADMINISTRATIVA ;NIVEL SOTANO NRO 3-80 SECTOR SAN JOSECITO ,CENTRO DE COMPRAS SAN JOSE SAN JOSECITO TACHIRA</t>
  </si>
  <si>
    <t>649655.40</t>
  </si>
  <si>
    <t>03077</t>
  </si>
  <si>
    <t>GNO FARMACEUTICA, CA</t>
  </si>
  <si>
    <t>J500019874</t>
  </si>
  <si>
    <t>0212-9930023</t>
  </si>
  <si>
    <t>5227</t>
  </si>
  <si>
    <t>BARUTA-MIRANDA</t>
  </si>
  <si>
    <t>CALLE HERRRA TORO ENTRE CALLE MAURY Y AUTOPISTA CARACAS -BARUTA QTA BUBU URB LOS NARANJOS DE LAS MERDECES CARACAS MIRANDA</t>
  </si>
  <si>
    <t>129875.14</t>
  </si>
  <si>
    <t>03078</t>
  </si>
  <si>
    <t>FARMACIA CRISTAL 1, C.A</t>
  </si>
  <si>
    <t>J506378442</t>
  </si>
  <si>
    <t>0424-7570352</t>
  </si>
  <si>
    <t>CALLE 13 CON CARRERA 4 LOCAL CARRERA 4 LOCAL NRO 13-8- LOCAL PB-LC 01 SECTOR EL 70 COLONCITO TACHIRA</t>
  </si>
  <si>
    <t>22679.46</t>
  </si>
  <si>
    <t>03079</t>
  </si>
  <si>
    <t>FARMACIA GADSA 44, CA(FALTA DOCUMENTACION)</t>
  </si>
  <si>
    <t>FARMACIA GADSA 44, CA</t>
  </si>
  <si>
    <t>J316523870</t>
  </si>
  <si>
    <t>AV PRINCIPAL CC PASEO LAS MERCEDES NIVEL PB LOCAL 44 URB LAS MERCEDES MUN.BARUTA CARACAS MIRANDA</t>
  </si>
  <si>
    <t>03080</t>
  </si>
  <si>
    <t>PHARMANOVA,C.A (FALTA DOCUMENTACION )</t>
  </si>
  <si>
    <t>PHARMANOVA,C.A</t>
  </si>
  <si>
    <t>J411370371</t>
  </si>
  <si>
    <t>AV PRINCIPAL LOCAL CENTRO MARITIMO DE VENEZUELA NRO S/N URB TURUMO CAUCAGUITA MIRANDA</t>
  </si>
  <si>
    <t>03081</t>
  </si>
  <si>
    <t>I FARMACIA ROSA BLANCA CA</t>
  </si>
  <si>
    <t>J502543058</t>
  </si>
  <si>
    <t>0424-7422981</t>
  </si>
  <si>
    <t>CALLE 12 ENTRE AV 11 Y 12 CASA NRO 10 CENTRO SECTOR CENTRO RUBIO TACHIRA</t>
  </si>
  <si>
    <t>03082</t>
  </si>
  <si>
    <t>FARMACIA ENLACE C.A.</t>
  </si>
  <si>
    <t>J502617060</t>
  </si>
  <si>
    <t>0424-1182828</t>
  </si>
  <si>
    <t>CALLE ENLACE VIAL OMAIRA CANDELA DE QUINTERO CC DE ANDRADE NIVEL PLANTA BAJA LOCAL PB-8,PB-9 Y NIVEL DEL PRIMER PISO LOCAL P1-5 BARRIO SUR AMERICA EL VIGIA MER</t>
  </si>
  <si>
    <t>03083</t>
  </si>
  <si>
    <t>FARMACIA MI ANGEL, C.A.</t>
  </si>
  <si>
    <t>J314020374</t>
  </si>
  <si>
    <t>0414-6548284</t>
  </si>
  <si>
    <t>AV PPAL DE CAMPO ALEGRE LOCAL FARMACIA MI ANGEL NRO S/N SECTOR LA HORQUETA CARVAJAL EDO TRUJILLO VALERA TRUJILLO</t>
  </si>
  <si>
    <t>10836.58</t>
  </si>
  <si>
    <t>03084</t>
  </si>
  <si>
    <t>FARMACIA MESVOL, C.A.</t>
  </si>
  <si>
    <t>J501713839</t>
  </si>
  <si>
    <t>0412-2124320</t>
  </si>
  <si>
    <t>AV INTERCOMUNAL DE GUARENAS-CUATIRE LOCAL LOTE A,PISO UNO SECTOR EL MARQUEZ GUATIRE MIRANDA</t>
  </si>
  <si>
    <t>109597.20</t>
  </si>
  <si>
    <t>03085</t>
  </si>
  <si>
    <t>FARMACIA LAS ACACIAS, C.A</t>
  </si>
  <si>
    <t>J075231554</t>
  </si>
  <si>
    <t>0424-3216408</t>
  </si>
  <si>
    <t>AV FUERZAS AEREAS CC LA MARACAYA NIVEL PB LOCAL 69-1 URB LA MARACAYA MARACAY ARAGUA</t>
  </si>
  <si>
    <t>3936.26</t>
  </si>
  <si>
    <t>03086</t>
  </si>
  <si>
    <t>FARMACIA WOLGREENS, C.A</t>
  </si>
  <si>
    <t>J501017611</t>
  </si>
  <si>
    <t>0412-1234944</t>
  </si>
  <si>
    <t>AV ANDRES BELLO LOCAL NRO S/N URB ALTO CHAMA UBICADO DENTRO DE LA ESTACION SERVICIO ALTO CHAMA MERIDA MERIDA</t>
  </si>
  <si>
    <t>559296.50</t>
  </si>
  <si>
    <t>03087</t>
  </si>
  <si>
    <t>FARMACIA LA CASTELLANA, C.A.</t>
  </si>
  <si>
    <t>J314363352</t>
  </si>
  <si>
    <t>0414-7478755</t>
  </si>
  <si>
    <t>CALLE CARABOBO CC CARABOBO NIVEL PB LOCAL 2 URB EJIDO CENTRO EJIDO MERIDA</t>
  </si>
  <si>
    <t>29988.33</t>
  </si>
  <si>
    <t>03088</t>
  </si>
  <si>
    <t>JESSICA CAROLINA RINCON "MI FARMACIA F.P"</t>
  </si>
  <si>
    <t>V212553375</t>
  </si>
  <si>
    <t>0412-6700708</t>
  </si>
  <si>
    <t>CALLE 5 NEGRO PRIMERO,ENTRE CARRERAS 4 Y 5 CASA NRO 50 SECTOR CENTRO BISCUCUY PORTUGUESA</t>
  </si>
  <si>
    <t>62018.14</t>
  </si>
  <si>
    <t>03089</t>
  </si>
  <si>
    <t>ZORCA SALUD, C.A.</t>
  </si>
  <si>
    <t>J505996240</t>
  </si>
  <si>
    <t>CR DE ZORCA CASA NRO S/N SECTOR SAN ISIDRO TARIBA TACHIRA</t>
  </si>
  <si>
    <t>62093.36</t>
  </si>
  <si>
    <t>03090</t>
  </si>
  <si>
    <t>DROGUERIA DENARIOS, C.A.</t>
  </si>
  <si>
    <t>J502744681</t>
  </si>
  <si>
    <t>0412-1390794</t>
  </si>
  <si>
    <t>CALLE 2 ENTRE CARRERAS 4 Y 5 LOCAL NRO 3-09 SECTOR CENTRO PALMIRA TACHIRA</t>
  </si>
  <si>
    <t>03091</t>
  </si>
  <si>
    <t>FARMACIA FARMA EXPRES 24H, C.A</t>
  </si>
  <si>
    <t>J501829985</t>
  </si>
  <si>
    <t>0414-3766121</t>
  </si>
  <si>
    <t>AV 12 ESQUINA CALLE 6 EDIF RESIDENCIAS LISBOA PISO PB LOCAL 2 SECTOR CENTRO VALERA TRUJILLO</t>
  </si>
  <si>
    <t>03092</t>
  </si>
  <si>
    <t>INVER-TORRES, C.A.</t>
  </si>
  <si>
    <t>J501027285</t>
  </si>
  <si>
    <t>0414-7243334</t>
  </si>
  <si>
    <t>AV 9 CON CALLE 5 LOCAL NRO 3 SECTOR CENTRO PARROQUIA MERCEDES DIAZ MUNICIPIO VALERA TRUJILLO</t>
  </si>
  <si>
    <t>162980.87</t>
  </si>
  <si>
    <t>03093</t>
  </si>
  <si>
    <t>MULTIFARMA FULL, C.A</t>
  </si>
  <si>
    <t>J507451690</t>
  </si>
  <si>
    <t>0424-8910840</t>
  </si>
  <si>
    <t>AV MIRANDA EDIF CREACIONES BRITO PISO P/B LOCAL S/N SECTOR LAS PARCELAS ANZOATEGUI</t>
  </si>
  <si>
    <t>235711.62</t>
  </si>
  <si>
    <t>03094</t>
  </si>
  <si>
    <t>FARMACIA ASAV, C.A</t>
  </si>
  <si>
    <t>J400853370</t>
  </si>
  <si>
    <t>0414-5286810</t>
  </si>
  <si>
    <t>CALLE 13 CON AVENIDA 4 Y 5 LOCAL NRO 13 SECTOR LA PLAZUELA AGUA BLANCA PORTUGUESA</t>
  </si>
  <si>
    <t>274821.83</t>
  </si>
  <si>
    <t>03095</t>
  </si>
  <si>
    <t>FARMACIA LUCIA`S, C.A. SUCURSAL</t>
  </si>
  <si>
    <t>FARMACIA LUCIA`S, C.A.</t>
  </si>
  <si>
    <t>0424-7446028</t>
  </si>
  <si>
    <t>CTRA PANAMERICANA LOCAL NRO S/N SECTOR SAN ALEJO DE SABANA DE MENDOZA VALMORE RODRIGUEZ TRUJILLO</t>
  </si>
  <si>
    <t>1661851.30</t>
  </si>
  <si>
    <t>03096</t>
  </si>
  <si>
    <t>STA. LUCIA FARMACIA, C. A.</t>
  </si>
  <si>
    <t>J507370488</t>
  </si>
  <si>
    <t>0424-8695197</t>
  </si>
  <si>
    <t>CALLE TOMAS ALFARO CALATRAVA CAS NRO S/N SECTOR CENTRO PARQUE EL CHAPARRO (CAPITAL) ANZOATEGUI</t>
  </si>
  <si>
    <t>264701.38</t>
  </si>
  <si>
    <t>03097</t>
  </si>
  <si>
    <t>FARMA EXPERTO LA PASTILLITA, C.A</t>
  </si>
  <si>
    <t>J507049280</t>
  </si>
  <si>
    <t>0424-3677578</t>
  </si>
  <si>
    <t>CALLE INDEPENDENCIA CRUCE CON CALLE URDANETA LOCAL NRO 14-A Y 14-F SECTOR CAMPO ALEGRE MARACAY ARAGUA</t>
  </si>
  <si>
    <t>144514.22</t>
  </si>
  <si>
    <t>03098</t>
  </si>
  <si>
    <t>EXPENDIO DE MEDICINAS MUNDO NUEVO. A.F,C.A</t>
  </si>
  <si>
    <t>J505104233</t>
  </si>
  <si>
    <t>0424-9327590</t>
  </si>
  <si>
    <t>CALLE VIA LOS CASTILLOS DE GAUYANA LOCAL NRO SN CASERIO PUGA EL AMPARO EL TRIUNFO DELTA AMACURO</t>
  </si>
  <si>
    <t>03099</t>
  </si>
  <si>
    <t>FARMACIA PAEZ HOSPITAL C.A.</t>
  </si>
  <si>
    <t>J307528460</t>
  </si>
  <si>
    <t>CALLE CEDEÑO LOCAL 3 NRO 23-237 SECTOR LA CANDELARIA BARINAS BARINAS</t>
  </si>
  <si>
    <t>03100</t>
  </si>
  <si>
    <t>FARMATUYA, C.A.(PETARE)</t>
  </si>
  <si>
    <t>FARMATUYA, C.A.</t>
  </si>
  <si>
    <t>J500231458</t>
  </si>
  <si>
    <t>0412-5043399</t>
  </si>
  <si>
    <t>AV AV PRINICPAL LA URBINA CC SUPER CENTRO PETARE NIVEL B LOCAL A-2 SECTOR TRAPICHITO CARACAS (PETARE ) MIRANDA</t>
  </si>
  <si>
    <t>5429783.87</t>
  </si>
  <si>
    <t>03101</t>
  </si>
  <si>
    <t>FARMA FE, C.A (SUCURSAL FLORIDA)</t>
  </si>
  <si>
    <t>166325.37</t>
  </si>
  <si>
    <t>03102</t>
  </si>
  <si>
    <t>FARMACIA FARMAREAL 2, C.A (SUCURSAL 1)</t>
  </si>
  <si>
    <t>0414-9885157</t>
  </si>
  <si>
    <t>623710.17</t>
  </si>
  <si>
    <t>03103</t>
  </si>
  <si>
    <t>FARMACIA PAEZ C.A.(CENTRO)</t>
  </si>
  <si>
    <t>FARMACIA PAEZ C.A.</t>
  </si>
  <si>
    <t>J306554394</t>
  </si>
  <si>
    <t>AV PAEZ ENTRE CALLE CAMEJO Y CARVAJAL LOCAL S/N SECTOR CENTRO BARINAS BARINAS</t>
  </si>
  <si>
    <t>03104</t>
  </si>
  <si>
    <t>EXPENDIO DE MEDICAMENTOS LA FE CENTRAL , C.A.</t>
  </si>
  <si>
    <t>J503538490</t>
  </si>
  <si>
    <t>CALLE PRINCIPAL LOCAL NRO S/N SECTOR BAJADA EL SANTO DOMINGO LAS CLARITAS BOLIVAR</t>
  </si>
  <si>
    <t>762822.91</t>
  </si>
  <si>
    <t>03105</t>
  </si>
  <si>
    <t>FARMACIA FARMAPLAZA HOSPITAL C.A</t>
  </si>
  <si>
    <t>J297546596</t>
  </si>
  <si>
    <t>0416-6751530</t>
  </si>
  <si>
    <t>CALLE 4 ESQUINA AV 12 CC ADRIATICO NIVEL P/B LOCAL N°1 SECTOR CENTRO VALERA EDO TRUJILLO VALERA TRUJILLO</t>
  </si>
  <si>
    <t>41022.81</t>
  </si>
  <si>
    <t>03106</t>
  </si>
  <si>
    <t>FARMACIA ROTARIA COMPAÑIA ANONIMA</t>
  </si>
  <si>
    <t>J314455281</t>
  </si>
  <si>
    <t>0414-7448282</t>
  </si>
  <si>
    <t>AV ROTARIA EDIF HIPERMERCADO PISO PB LOCAL FARMACIA SECTOR LA CASTRA SAN CRISTOBAL TACHIRA</t>
  </si>
  <si>
    <t>69369.37</t>
  </si>
  <si>
    <t>03107</t>
  </si>
  <si>
    <t>FARMACIA LAS MALVINAS, C.A.</t>
  </si>
  <si>
    <t>J412273515</t>
  </si>
  <si>
    <t>0412-5252542</t>
  </si>
  <si>
    <t>CALLE 5 ENTRE CARRERAS 11 Y 12 LOCAL NRO S/N SECTOR CENTRO SOCOPO BARINAS</t>
  </si>
  <si>
    <t>03108</t>
  </si>
  <si>
    <t>FARMACIA LAS FLORES, C.A</t>
  </si>
  <si>
    <t>J295640226</t>
  </si>
  <si>
    <t>0424-7187638</t>
  </si>
  <si>
    <t>AV 8 CON CALLE 12 EDIF VILORIA PISO P/B LOCAL 12-17 SECTOR CENTRO PQUIA MERCEDES DIAZ MCIPIO VALERA TRUJILLO</t>
  </si>
  <si>
    <t>37083.50</t>
  </si>
  <si>
    <t>03109</t>
  </si>
  <si>
    <t>FARMACIA VIRGINIA C.A.</t>
  </si>
  <si>
    <t>J504396702</t>
  </si>
  <si>
    <t>0412-4837212</t>
  </si>
  <si>
    <t>AV 7 ESQUINA DE LA CALLE 16 CASA LOS MENDOZA NRO S/N SECTOR BELEN MERIDA MERIDA</t>
  </si>
  <si>
    <t>229685.79</t>
  </si>
  <si>
    <t>03110</t>
  </si>
  <si>
    <t>CADENA DE FARMACIAS SOYFARMA,C.A (CHARALLAVE)</t>
  </si>
  <si>
    <t>CADENA DE FARMACIAS SOYFARMA, C.A.</t>
  </si>
  <si>
    <t>22944.88</t>
  </si>
  <si>
    <t>03111</t>
  </si>
  <si>
    <t>CADENA DE FARMACIAS SOY(SAN FRANCISCO DE YARE</t>
  </si>
  <si>
    <t>199301.70</t>
  </si>
  <si>
    <t>03112</t>
  </si>
  <si>
    <t>CADENA DE FARMACIAS SOYFARMA(OCUMARE DEL TUY)</t>
  </si>
  <si>
    <t>0412-245002</t>
  </si>
  <si>
    <t>30942.43</t>
  </si>
  <si>
    <t>03113</t>
  </si>
  <si>
    <t>FARMACIA PAEZ C.A.(SUCURSAL)</t>
  </si>
  <si>
    <t>105077.41</t>
  </si>
  <si>
    <t>03114</t>
  </si>
  <si>
    <t>FARMACHUCHO, C.A. (CANTAURA)</t>
  </si>
  <si>
    <t>FARMACHUCHO, C.A.</t>
  </si>
  <si>
    <t>0426-5670553</t>
  </si>
  <si>
    <t>AV MIRANDA EDIF DON JORGE PISO .LOCAL 5-134B SECTOR LAS PARCELAS ANACO ANZOATEGUI</t>
  </si>
  <si>
    <t>272317.20</t>
  </si>
  <si>
    <t>03115</t>
  </si>
  <si>
    <t>FARMA MEDIC 2025,C.A</t>
  </si>
  <si>
    <t>J507583511</t>
  </si>
  <si>
    <t>0422-6359473</t>
  </si>
  <si>
    <t>AV 32 CON ESQUINA 32 CC LA LUZ DE ALBA NIVEL PB LOCAL NRO 2 SECTOR ACARIGUA PORTUGUESA</t>
  </si>
  <si>
    <t>99829.46</t>
  </si>
  <si>
    <t>03116</t>
  </si>
  <si>
    <t>FARMACIA SANTIAGO EL APOSTOL, C.A.</t>
  </si>
  <si>
    <t>J412932756</t>
  </si>
  <si>
    <t>0416-5028466</t>
  </si>
  <si>
    <t>CALLE 3 SAN MARTIN CASA NRO 17 LOCAL 2B SECTOR LUCHA BOLIVARIANA EL VIGIA MERIDA</t>
  </si>
  <si>
    <t>896825.84</t>
  </si>
  <si>
    <t>03117</t>
  </si>
  <si>
    <t>FARMACIA SANTIAGO EL APOSTOL, C.A.(SUCURSAL)</t>
  </si>
  <si>
    <t>846459.06</t>
  </si>
  <si>
    <t>03118</t>
  </si>
  <si>
    <t>FARMACIA SANTIAGO EL APOSTOL R.S.N, C.A</t>
  </si>
  <si>
    <t>J501563527</t>
  </si>
  <si>
    <t>AV 3 CASA NRO 25 LOCAL 25-36 SECTOR CAÑO SECO II LA BLANCA MERIDA</t>
  </si>
  <si>
    <t>1402582.70</t>
  </si>
  <si>
    <t>03119</t>
  </si>
  <si>
    <t>FARMACIA K SALUD EL PUNTO, C.A.</t>
  </si>
  <si>
    <t>J506640996</t>
  </si>
  <si>
    <t>0414-7335908</t>
  </si>
  <si>
    <t>CALLE 8 ENTRE AVENIDAS 4 Y 5 LOCAL 4-51SECTOR PUNTO DE MERIDA PQUIA JUAN IGNACIO MONTILLA MCPIO VALERA TRUJILLO</t>
  </si>
  <si>
    <t>51580.48</t>
  </si>
  <si>
    <t>03120</t>
  </si>
  <si>
    <t>FARMACIA AVENIDA C.A</t>
  </si>
  <si>
    <t>J090207198</t>
  </si>
  <si>
    <t>0424-7213405</t>
  </si>
  <si>
    <t>AV MENDOZA LOCAL LOCAL NRO-3-47 SECTOR SANTA ROSA MCPIO Y ESTADO TRUJILLO TRUJILLO</t>
  </si>
  <si>
    <t>206610.49</t>
  </si>
  <si>
    <t>03121</t>
  </si>
  <si>
    <t>FARMAVIDA06, C.A.</t>
  </si>
  <si>
    <t>J507260763</t>
  </si>
  <si>
    <t>0424-9157227</t>
  </si>
  <si>
    <t>CALLE LA CORINA,LOCAL NRO S/N SECTOR NACUPAY EL CALLAO BOLIVAR</t>
  </si>
  <si>
    <t>03122</t>
  </si>
  <si>
    <t>FARMACIA FARMAURORA 2, C.A.</t>
  </si>
  <si>
    <t>J505059408</t>
  </si>
  <si>
    <t>8509</t>
  </si>
  <si>
    <t>CALLE CON AV.7 CASA N 7-11 LOCAL 6 SECTOR CASCO CENTRAL EL MORALITO ZULIA</t>
  </si>
  <si>
    <t>1577954.77</t>
  </si>
  <si>
    <t>03123</t>
  </si>
  <si>
    <t>FARMACIA FARMAURORA CARACOLI, C.A.</t>
  </si>
  <si>
    <t>J506492784</t>
  </si>
  <si>
    <t>AV 8 ENTRE CALLE 1 CASA NRO 8-13 Y 8-27 SECTOR MARTIN VILLEGAS II CARACOLI ZULIA</t>
  </si>
  <si>
    <t>735859.65</t>
  </si>
  <si>
    <t>03124</t>
  </si>
  <si>
    <t>FARMACIA BUENA VISTA RR, C.A.</t>
  </si>
  <si>
    <t>J306407138</t>
  </si>
  <si>
    <t>MONTE CARMELO</t>
  </si>
  <si>
    <t>0416-6620652</t>
  </si>
  <si>
    <t>3351</t>
  </si>
  <si>
    <t>MONTE CARMELO-TRUJILLO</t>
  </si>
  <si>
    <t>AV PRINCIPAL CC MINI C.C PERDOMO NIVEL UNICO LOCAL 1 Y 2 SECTOR BUENA VISTA MCPIO MONTE CARMELO PQUIA BUENA VISTA TRUJILLO</t>
  </si>
  <si>
    <t>391196.01</t>
  </si>
  <si>
    <t>03125</t>
  </si>
  <si>
    <t>FARMACIA FARMASANTOS, C.A.</t>
  </si>
  <si>
    <t>J504425222</t>
  </si>
  <si>
    <t>AV PRINCIPAL LOCAL NRO S/N URB VALMORE RODRIGUEZ VALMORE RODRIGUEZ TRUJILLO</t>
  </si>
  <si>
    <t>139445.22</t>
  </si>
  <si>
    <t>03126</t>
  </si>
  <si>
    <t>FARMACIA DR.JOSE GREGORIO SOTO, C.A</t>
  </si>
  <si>
    <t>J507134164</t>
  </si>
  <si>
    <t>SANTA CRUZ DEL ZULIA</t>
  </si>
  <si>
    <t>4045</t>
  </si>
  <si>
    <t>AV 3 LOCAL NRO 3-12 SECTOR SANTA CRUZ SANTA CRUZ DEL ZULIA ZULIA</t>
  </si>
  <si>
    <t>660116.65</t>
  </si>
  <si>
    <t>03127</t>
  </si>
  <si>
    <t>FARMACIA BOLIVAR.C.A.</t>
  </si>
  <si>
    <t>J306637265</t>
  </si>
  <si>
    <t>0412-2456606</t>
  </si>
  <si>
    <t>AV BOLIVAR EDIF DON JORGE PISO 1 LOCAL 1 SECTOR EL CENTRO PARROQUIA MERCEDES DIAZ VALERA TRUJILLO</t>
  </si>
  <si>
    <t>179220.72</t>
  </si>
  <si>
    <t>03128</t>
  </si>
  <si>
    <t>FARMACIA FARMACTUAL SANTA BARBARA C.A</t>
  </si>
  <si>
    <t>J411228257</t>
  </si>
  <si>
    <t>0424-7404777</t>
  </si>
  <si>
    <t>AV BOLIVAR DEL CASCO CENTRAL CC MAZZEO NIVEL P/B LOCAL 1 SECTOR AV BOLIVAR SANTA BARBARA ZULIA</t>
  </si>
  <si>
    <t>03129</t>
  </si>
  <si>
    <t>FARMACIA MAR AZUL C.A.</t>
  </si>
  <si>
    <t>J297334556</t>
  </si>
  <si>
    <t>0412-4450866</t>
  </si>
  <si>
    <t>AV JUAN JOSE FLORES CRUCE CON FALCON EDIF SAN VALENTIN PISO PB LOCAL 05 ZONA CENTRO PTO CABELLO PUERTO CABELLO CARABOBO</t>
  </si>
  <si>
    <t>03130</t>
  </si>
  <si>
    <t>UROFARMA, C.A.</t>
  </si>
  <si>
    <t>J500688431</t>
  </si>
  <si>
    <t>0414-7429292</t>
  </si>
  <si>
    <t>CALLE 11 ENTRE CARRERAS 19 Y 20 CASA NRO 19-50 BARRIO OBRERO SAN CRISTOBAL TACHIRA</t>
  </si>
  <si>
    <t>180734.15</t>
  </si>
  <si>
    <t>03131</t>
  </si>
  <si>
    <t>FARMACIA CANAAN MONAY C.A.</t>
  </si>
  <si>
    <t>J295256035</t>
  </si>
  <si>
    <t>PAMPAN-TRUJILLO</t>
  </si>
  <si>
    <t>0412-2764144</t>
  </si>
  <si>
    <t>3352</t>
  </si>
  <si>
    <t>CALLE EL CEMENTERIO C/LIBERTADOR CASA NRO S/N SECTOR MONAY MCPIO PAMPAN EDO TRUJILLO MONAY TRUJILLO</t>
  </si>
  <si>
    <t>PAMPAM - TRUJILLO</t>
  </si>
  <si>
    <t>1961331.73</t>
  </si>
  <si>
    <t>03132</t>
  </si>
  <si>
    <t>FARMACOS GUARICO 0324, C.A.</t>
  </si>
  <si>
    <t>J405019131</t>
  </si>
  <si>
    <t>GUARIBE-GUARICO</t>
  </si>
  <si>
    <t>0424-8496679</t>
  </si>
  <si>
    <t>3353</t>
  </si>
  <si>
    <t>CALLE GUZMAN BLANCO LOCAL NRO 1 SECTOR CASCO CENTRAL SAN JOSE DE GUARIBE GUARICO</t>
  </si>
  <si>
    <t>03133</t>
  </si>
  <si>
    <t>EXPENDIO DE MEDICINA LA VICTORIA, C.A</t>
  </si>
  <si>
    <t>J504611875</t>
  </si>
  <si>
    <t>MOTATAN-TRUJILLO</t>
  </si>
  <si>
    <t>0422-6354833</t>
  </si>
  <si>
    <t>3354</t>
  </si>
  <si>
    <t>AV 5 LOCAL NRO 01 SECTOR CALLE NUEVA MOTATAN TRUJILLO</t>
  </si>
  <si>
    <t>173847.96</t>
  </si>
  <si>
    <t>03134</t>
  </si>
  <si>
    <t>FARMACIA FULL FARMA, C.A.SUCURSAL BAILADORES</t>
  </si>
  <si>
    <t>BAILADORES-MERIDA</t>
  </si>
  <si>
    <t>0414-9797660</t>
  </si>
  <si>
    <t>3355</t>
  </si>
  <si>
    <t>CALLE 9 (PASAJE BURGUERA )LOCAL NRO 4 SECTOR EL AÑIL TOVAR MERIDA</t>
  </si>
  <si>
    <t>119745.35</t>
  </si>
  <si>
    <t>03135</t>
  </si>
  <si>
    <t>FARMACIA DEL AHORRO LAS VEGAS, C.A.</t>
  </si>
  <si>
    <t>J411776998</t>
  </si>
  <si>
    <t>0414-1765221</t>
  </si>
  <si>
    <t>CALLE 0,VIA PRINCIPAL N°1-57 EDIF COMPLEJO COMERCIAL LAS VEGAS DE TARIBA PB LOCAL 01 SECTOR LAS VEGAS DE TARIBA TARIBA TACHIRA</t>
  </si>
  <si>
    <t>169275.92</t>
  </si>
  <si>
    <t>03136</t>
  </si>
  <si>
    <t>FARMACIA BOTANIKAL´S C.A</t>
  </si>
  <si>
    <t>J502907408</t>
  </si>
  <si>
    <t>CALLE 5 ENTRE CARRERAS 11 Y 12 CASA NRO 11-18 SECTOR LA CONCORDIA SAN CRISTOBAL TACHIRA</t>
  </si>
  <si>
    <t>183557.52</t>
  </si>
  <si>
    <t>03137</t>
  </si>
  <si>
    <t>FARMACIA LA CONCORDIA, C.A.</t>
  </si>
  <si>
    <t>J500799691</t>
  </si>
  <si>
    <t>CALLE 7 ENTRE CARRERAS 6 Y 7 CASA NRO S/N SECTOR SAN PEDRO COLONCITO TACHIRA</t>
  </si>
  <si>
    <t>30758.19</t>
  </si>
  <si>
    <t>03138</t>
  </si>
  <si>
    <t>FARMACIA BOTANIKAL´S C.A(SUCURSAL CENTRO)</t>
  </si>
  <si>
    <t>84560.65</t>
  </si>
  <si>
    <t>03139</t>
  </si>
  <si>
    <t>FARMACIA SAN JUDAS OESTE CA</t>
  </si>
  <si>
    <t>J314828339</t>
  </si>
  <si>
    <t>AV FLORENCIO JIMENEZ CON CALLEJON MARGARITA LOCAL NRO S/N SECTOR OESTE BARQUISIMETO LARA</t>
  </si>
  <si>
    <t>1095896.77</t>
  </si>
  <si>
    <t>03140</t>
  </si>
  <si>
    <t>FARMACIA SUMIFAR CA</t>
  </si>
  <si>
    <t>J500905696</t>
  </si>
  <si>
    <t>0414-7365198</t>
  </si>
  <si>
    <t>CALLE 16 ENTRE CARRERAS 19 Y 20 LOCAL 19-30 SECTOR LA ROMERO SAN CRISTOBAL TACHIRA</t>
  </si>
  <si>
    <t>03141</t>
  </si>
  <si>
    <t>FARMACIA LA INMACULADA C A</t>
  </si>
  <si>
    <t>J304588704</t>
  </si>
  <si>
    <t>0414-7205120</t>
  </si>
  <si>
    <t>CALLE 4 CON CARRERA 5 ESQUINA EDIF LA CORDIALIDAD PISO P/B 1 SECTOR LA CONCORDIA SAN CRISTOBAL TACHIRA</t>
  </si>
  <si>
    <t>03142</t>
  </si>
  <si>
    <t>TACHIRA IV, C.A</t>
  </si>
  <si>
    <t>J299157180</t>
  </si>
  <si>
    <t>0424-7180181</t>
  </si>
  <si>
    <t>AV LUCIO OQUENDO EDIF GRANADA SUITES PISO P/B LOCAL L-1 SECTOR LA CONCORDIA SAN CRISTOBAL TACHIRA</t>
  </si>
  <si>
    <t>03143</t>
  </si>
  <si>
    <t>FARMACIA FARMACARONI, C.A (SUCURSAL 4)</t>
  </si>
  <si>
    <t>116347.45</t>
  </si>
  <si>
    <t>03144</t>
  </si>
  <si>
    <t>FARMACIA EL CARMEN II, C.A.</t>
  </si>
  <si>
    <t>J409555518</t>
  </si>
  <si>
    <t>CTRA PANAMERICANA CON AVENIDA BOLIVAR LCOAL NRO 47 SECTOR CENTRO SABANA DE MENDOZA TRUJILLO</t>
  </si>
  <si>
    <t>03145</t>
  </si>
  <si>
    <t>INVERSIONES FARMAX 2032,C.A(SUCURSAL LA VEGA)</t>
  </si>
  <si>
    <t>AV MANZANA A,XONA C-2 EDIF RESIDENCIAS EUREKA PISO PB LOCAL N°2 URB EL LLANERITO CARACAS (PETARE) MIRANDA</t>
  </si>
  <si>
    <t>54653.72</t>
  </si>
  <si>
    <t>03146</t>
  </si>
  <si>
    <t>FARMACIA XAVIER I, C.A</t>
  </si>
  <si>
    <t>J505853473</t>
  </si>
  <si>
    <t>ESCUQUE-TRUJILLO</t>
  </si>
  <si>
    <t>0414-6589624</t>
  </si>
  <si>
    <t>3356</t>
  </si>
  <si>
    <t>CALLE BOLIVAR LOCAL NRO S/N SECTOR CENTRO MCPIO Y PQUIA ESCUQUE TRUJILLO</t>
  </si>
  <si>
    <t>ESCUQUE - TRUJILLO</t>
  </si>
  <si>
    <t>255514.26</t>
  </si>
  <si>
    <t>03147</t>
  </si>
  <si>
    <t>FARMACIA CINCO ORIENTE C.A</t>
  </si>
  <si>
    <t>J507615626</t>
  </si>
  <si>
    <t>0424-8159652</t>
  </si>
  <si>
    <t>VDA 51 CASA NRO 2 LOCAL 2-B SECTOR III BOYACA II BARCELONA ANZOATEGUI</t>
  </si>
  <si>
    <t>49112.49</t>
  </si>
  <si>
    <t>03148</t>
  </si>
  <si>
    <t>VITALFARMA 1 C.A</t>
  </si>
  <si>
    <t>J507544079</t>
  </si>
  <si>
    <t>3358</t>
  </si>
  <si>
    <t>ABEJALES -TACHIRA</t>
  </si>
  <si>
    <t>CALLE 4 LOCAL NRO S/N SECTOR BARRIO EL CENTRO ABEJALES TACHIRA</t>
  </si>
  <si>
    <t>ABAJALES-TACHIRA</t>
  </si>
  <si>
    <t>225730.05</t>
  </si>
  <si>
    <t>03149</t>
  </si>
  <si>
    <t>H. J. INVERSORES MARACAY, C.A.</t>
  </si>
  <si>
    <t>J505952412</t>
  </si>
  <si>
    <t>0424-8156126</t>
  </si>
  <si>
    <t>AV GRAN MARISCAL CRUCE CON CALLE ESEQUIBO CC CAHIUA NIVEL PB LOCAL 106 URB CORINSA CAGUA ARAGUA</t>
  </si>
  <si>
    <t>19512.43</t>
  </si>
  <si>
    <t>03150</t>
  </si>
  <si>
    <t>FARMACIA GLORIASALUD, C.A.</t>
  </si>
  <si>
    <t>J403247277</t>
  </si>
  <si>
    <t>CALLE 9 ENTRE AVENIDAS 10 Y 11 EDIF FRANCISCO JAVIER PISO P/B LOCAL 01 SECTOR CASCO CENTRAL DE LA CIUDAD DE VALERA PARROQUIA MERCEDES DIAZ MUNICIPIO VALERA TRU</t>
  </si>
  <si>
    <t>03151</t>
  </si>
  <si>
    <t>FARMACIA EL VALLE 0235, C.A.</t>
  </si>
  <si>
    <t>J507625770</t>
  </si>
  <si>
    <t>CALLE SAN RAFAEL CC BELLA VISTA NIVEL P/B N°3 SECTOR GENOVES PORLAMAR NUEVA ESPARTA</t>
  </si>
  <si>
    <t>145347.69</t>
  </si>
  <si>
    <t>03152</t>
  </si>
  <si>
    <t>FARMACIA CRUZ VERDE EL PIÑAL, C.A.</t>
  </si>
  <si>
    <t>J500995440</t>
  </si>
  <si>
    <t>0424-7251057</t>
  </si>
  <si>
    <t>CALLE 3 CASA NRO 1-52 SECTOR EL PIÑAL SAN RAFAEL DEL PIÑAL TACHIRA</t>
  </si>
  <si>
    <t>298106.14</t>
  </si>
  <si>
    <t>03153</t>
  </si>
  <si>
    <t>FARMACIA URIBANTE C.A SUCURSAL</t>
  </si>
  <si>
    <t>160566.19</t>
  </si>
  <si>
    <t>03154</t>
  </si>
  <si>
    <t>FARMACIA VALLE ALTO LA GRITA, C.A.</t>
  </si>
  <si>
    <t>J401743374</t>
  </si>
  <si>
    <t>0424-7043224</t>
  </si>
  <si>
    <t>CALLE 3 CASA NRO 1 URB VALLE ALTO LA GRITA TACHIRA</t>
  </si>
  <si>
    <t>28643.22</t>
  </si>
  <si>
    <t>03155</t>
  </si>
  <si>
    <t>FARMACIA LA CONCORDIA, C.A.SUC PORLAMAR</t>
  </si>
  <si>
    <t>0424-72510</t>
  </si>
  <si>
    <t>169776.97</t>
  </si>
  <si>
    <t>03156</t>
  </si>
  <si>
    <t>FARMACIA FIN DE SIGLO ACARIGUA - ARAURE C.A</t>
  </si>
  <si>
    <t>J315348330</t>
  </si>
  <si>
    <t>0424-5482835</t>
  </si>
  <si>
    <t>AV 30 ESQUINA CALLE  30 EDIF HOTEL PARIGUA PISO PB LOCAL 1 SECTOR CENTRO ACARIGUA PORTUGUESA</t>
  </si>
  <si>
    <t>148426.71</t>
  </si>
  <si>
    <t>03157</t>
  </si>
  <si>
    <t>FARMACIA RRP, C.A.(SUCURSAL LA GONZALERA)</t>
  </si>
  <si>
    <t>FARMACIA RRP, C.A.</t>
  </si>
  <si>
    <t>J500176597</t>
  </si>
  <si>
    <t>0414-2551404</t>
  </si>
  <si>
    <t>CALLE PRINCIPAL CC LLANO ALTO NIVEL LANTA ALTA NIVEL 1 LOCAL 16 SECTOR CARRIZAL CARRIZAL MIRANDA</t>
  </si>
  <si>
    <t>81061.98</t>
  </si>
  <si>
    <t>03158</t>
  </si>
  <si>
    <t>EXPENDIO DE MEDICAMENTO DR JOSE GREGORIO HERN</t>
  </si>
  <si>
    <t>EXPENDIO DE MEDICAMENTOS DR. JOSÉ GREGORIO HERNÁNDEZ, F.P.</t>
  </si>
  <si>
    <t>V127980388</t>
  </si>
  <si>
    <t>ISNOTU-TRUJILLO</t>
  </si>
  <si>
    <t>0414-7321199</t>
  </si>
  <si>
    <t>3360</t>
  </si>
  <si>
    <t>AV 2 CALLE EL ROSARIO CASA NRO 59 SECTOR CENTRO ISNOTU TRUJILLO</t>
  </si>
  <si>
    <t>03159</t>
  </si>
  <si>
    <t>FARMACIA ROSEMI, C.A.</t>
  </si>
  <si>
    <t>J296586420</t>
  </si>
  <si>
    <t>CARACHE-TRUJILLO</t>
  </si>
  <si>
    <t>0422-7988204</t>
  </si>
  <si>
    <t>3361</t>
  </si>
  <si>
    <t>AV 2 SAN JUAN ENTRE CALLES CARRILLO Y VARGAS CASA NRO 3-56 SECTOR CENTRO ,MCPIO CARACHE-EDO TRUJILLO CARACHE TRUJILLO</t>
  </si>
  <si>
    <t>52321.63</t>
  </si>
  <si>
    <t>03160</t>
  </si>
  <si>
    <t>FARMACIA RICARDO URRIERA, C.A</t>
  </si>
  <si>
    <t>J507430740</t>
  </si>
  <si>
    <t>0424-4965890</t>
  </si>
  <si>
    <t>AV AVENIDA 06 CASA NRO 91 URB RICARDO URRIERA SECTOR 1 VALENCIA CARABOBO</t>
  </si>
  <si>
    <t>381153.80</t>
  </si>
  <si>
    <t>03161</t>
  </si>
  <si>
    <t>FARMACIA MI FARMACIA LA PEDREGOSA C.A.</t>
  </si>
  <si>
    <t>J502112766</t>
  </si>
  <si>
    <t>LA GRAN PARADA-MERIDA</t>
  </si>
  <si>
    <t>0414-7155012</t>
  </si>
  <si>
    <t>3362</t>
  </si>
  <si>
    <t>AV PRINCIPAL DE LA PEDREGOSA MEDIA EDIF RIVAS PISO PB LOCAL NRO 2 SECTOR LA GRAN PARADA MERIDA MERIDA</t>
  </si>
  <si>
    <t>39287.03</t>
  </si>
  <si>
    <t>03162</t>
  </si>
  <si>
    <t>FARMACIA MAS PLUS, C.A</t>
  </si>
  <si>
    <t>J507579000</t>
  </si>
  <si>
    <t>0416-7077475</t>
  </si>
  <si>
    <t>CALLE SUCRE LOCAL NRO S/N SECTOR LA LOMA ESCUQUE TRUJILLO</t>
  </si>
  <si>
    <t>1341769.02</t>
  </si>
  <si>
    <t>03163</t>
  </si>
  <si>
    <t>FARMACIA SALUD GLOBAL, C.A</t>
  </si>
  <si>
    <t>J296762376</t>
  </si>
  <si>
    <t>0414-7422798</t>
  </si>
  <si>
    <t>CR 17 ENTRE CALLES 11 Y 12 ESQUINA CASA NRO 11-7 SECTOR BARRIO SAN CARLOS SAN CRISTOBAL TACHIRA</t>
  </si>
  <si>
    <t>227351.97</t>
  </si>
  <si>
    <t>03164</t>
  </si>
  <si>
    <t>FARMACIA NUEVA ROJAS, C.A</t>
  </si>
  <si>
    <t>J507229823</t>
  </si>
  <si>
    <t>AV 113(N56) NRO CIVICO 55-240 LOCAL NRO - URB PARQUE RESIDENCIAL LA FLORIDA CONJUNTO RESIDENCIAL LA FLORIDA PARCELA 05 VALENCIA CARABOBO</t>
  </si>
  <si>
    <t>1131450.46</t>
  </si>
  <si>
    <t>03165</t>
  </si>
  <si>
    <t>FARMACIA LOS ROQUE ,C.A. (SUCURSAL TUNAPUY)</t>
  </si>
  <si>
    <t>FARMACIA LOS ROQUE ,C.A.</t>
  </si>
  <si>
    <t>CALLE BOLIVAR LOCAL NRO S/N SECTOR CENTRO EL PILAR SUCRE</t>
  </si>
  <si>
    <t>03166</t>
  </si>
  <si>
    <t>FARMACIA FARMA FE PAMPANITO, C.A</t>
  </si>
  <si>
    <t>J506070758</t>
  </si>
  <si>
    <t>PAMPANITO-TRUJILLO</t>
  </si>
  <si>
    <t>0426-5711003</t>
  </si>
  <si>
    <t>3364</t>
  </si>
  <si>
    <t>AV COMERCIO CON CALLE COLO LOCAL NRO SIN NUMERO SECTOR PAMPANITO PARROQUIA PAMPANITO TRUJILLO</t>
  </si>
  <si>
    <t>03167</t>
  </si>
  <si>
    <t>FARMACIA FARMA FE III VALERA, C.A.</t>
  </si>
  <si>
    <t>J504203386</t>
  </si>
  <si>
    <t>0416-4786189</t>
  </si>
  <si>
    <t>AV 12 CON CALLE 04 LOCAL ADRIATICO NRO 2 SECTOR CENTRO VALERA TRUJILLO</t>
  </si>
  <si>
    <t>03168</t>
  </si>
  <si>
    <t>FARMACIA FARMA FE, C.A</t>
  </si>
  <si>
    <t>J413010313</t>
  </si>
  <si>
    <t>CALLE SUCRE EDIF DOÑA BARABRITA PISO 00 LOCAL 01 SECTOR CALLE SUCRE EDIFICIO DOÑA BARBARITA LOCAL N°01 FRENTE A LA PLAZA BOLIVAR SABANA DE MENDOZA TRUJILLO</t>
  </si>
  <si>
    <t>03169</t>
  </si>
  <si>
    <t>FARMACIA FARMA FE CENTRO, C.A</t>
  </si>
  <si>
    <t>J507010970</t>
  </si>
  <si>
    <t>0414-7175638</t>
  </si>
  <si>
    <t>AV BOLIVAR ENTRE CALLES 12 Y 11 LOCAL C.C COLONIAL SECTOR CENTRO PARROQUIA JUAN IGNACIO MONTILLA MUNICIPIO VALERA TRUJILLO</t>
  </si>
  <si>
    <t>03170</t>
  </si>
  <si>
    <t>FARMACIA FARMA FE II, C.A</t>
  </si>
  <si>
    <t>J502702504</t>
  </si>
  <si>
    <t>BETIJOQUE-TRUJILLO</t>
  </si>
  <si>
    <t>0426-3687896</t>
  </si>
  <si>
    <t>3365</t>
  </si>
  <si>
    <t>CALLE 12 ENTRE AVENIDAS 4 Y 5 EDIFICIO EL CARMEN LOCAL NRO D SECTOR CENTRO BETIJOQUE MUNICIPIO RAFAEL RANGEL BETIJOQUE TRUJILLO</t>
  </si>
  <si>
    <t>03171</t>
  </si>
  <si>
    <t>FARMACLUB MIRANDA, C.A.</t>
  </si>
  <si>
    <t>J507581667</t>
  </si>
  <si>
    <t>AV MIRANDA OESTE ENTRE AV MARIÑO Y SOUBLETTE LOCAL NRO 2 SECTOR CENTRO MARACAY ARAGUA</t>
  </si>
  <si>
    <t>392364.17</t>
  </si>
  <si>
    <t>03172</t>
  </si>
  <si>
    <t>FARMACIA EL MURACHI, C.A.</t>
  </si>
  <si>
    <t>J401899706</t>
  </si>
  <si>
    <t>0424-7688745</t>
  </si>
  <si>
    <t>AV AV 6 ENTRE CALLE 6 Y 7 LOCAL NULL LOCAL S/N SECTOR EL CENTRO MERCEDES DIAZ TRUJILLO</t>
  </si>
  <si>
    <t>48699.28</t>
  </si>
  <si>
    <t>03173</t>
  </si>
  <si>
    <t>J308360139</t>
  </si>
  <si>
    <t>0414-9713997</t>
  </si>
  <si>
    <t>AV CALLE 11 ENTRE AVENIDA BOLIVAR Y AVENIDA 9 EDIF NAVA PISO PB LOCAL LOCAL 03 SECTOR CENTRO MERCEDES DIAZ TRUJILLO</t>
  </si>
  <si>
    <t>24434.97</t>
  </si>
  <si>
    <t>03174</t>
  </si>
  <si>
    <t>FARMACIA MIRANDA 2025, C.A</t>
  </si>
  <si>
    <t>J506427303</t>
  </si>
  <si>
    <t>0414-3409247</t>
  </si>
  <si>
    <t>CALLE JUNCAL ENTRE ESCALONA Y GIRARDOT CC PACHAMAMA NIVEL-LOCAL 15 SECTOR MATADERO MIRANDA CARABOBO</t>
  </si>
  <si>
    <t>108723.66</t>
  </si>
  <si>
    <t>03175</t>
  </si>
  <si>
    <t>GLOBAL FARMA MED, C. A.</t>
  </si>
  <si>
    <t>J507613399</t>
  </si>
  <si>
    <t>0412-1818889</t>
  </si>
  <si>
    <t>CALLE CALLE 23 DE ENERO LOCAL NRO 40A SECTOR SECTOR LA CARAQUEÑA PUERTO LA CRUZ ANZOATEGUI</t>
  </si>
  <si>
    <t>180353.48</t>
  </si>
  <si>
    <t>03176</t>
  </si>
  <si>
    <t>FARMAHOGAR, C.A( SUCURSAL)</t>
  </si>
  <si>
    <t>FARMAHOGAR, C.A</t>
  </si>
  <si>
    <t>J500463812</t>
  </si>
  <si>
    <t>0416-1944828</t>
  </si>
  <si>
    <t>CALLE CEDEÑO LOCAL S/N SECTOR CENTRO GUASDUALITO APURE</t>
  </si>
  <si>
    <t>72578.54</t>
  </si>
  <si>
    <t>03178</t>
  </si>
  <si>
    <t>CENTRO MEDICO ACLAB,, C.A</t>
  </si>
  <si>
    <t>J506199327</t>
  </si>
  <si>
    <t>0414-8300944</t>
  </si>
  <si>
    <t>AV EL KM 30,TRONCAL 10 VIA SANTA ELENA DE UAIREN LOCAL NRO S/N SECTOR SANTA TERESITA DE GUAYANA EL DORADO BOLIVAR</t>
  </si>
  <si>
    <t>120.05</t>
  </si>
  <si>
    <t>03179</t>
  </si>
  <si>
    <t>FARMACIA SAN BENITO PLC,C.A</t>
  </si>
  <si>
    <t>J507719359</t>
  </si>
  <si>
    <t>0412-8690304</t>
  </si>
  <si>
    <t>CALLE SUCRE CC CRISTAL CENTER NIVEL 1 LOCAL 82 SECTOR CENTRO PUERTO LA CRUZ ANZOATEGUI</t>
  </si>
  <si>
    <t>26667.30</t>
  </si>
  <si>
    <t>03180</t>
  </si>
  <si>
    <t>FARMACIA PLAZA SAN PEDRO, C.A.</t>
  </si>
  <si>
    <t>J404209182</t>
  </si>
  <si>
    <t>0412-0147934</t>
  </si>
  <si>
    <t>CALLE 11 ENTRE AVENIDAS 5 Y 6 CC DON CARLOS NIVEL PB LOCAL 2 SECTOR CENTRO DE VALERA PARRQ JUAN IGNACIO MONTILLA MCPIO.VALERA TRUJILLO</t>
  </si>
  <si>
    <t>24989.04</t>
  </si>
  <si>
    <t>03181</t>
  </si>
  <si>
    <t>EXPENDIO DE MEDICINA MAS SALUD DE DEIVI CHACO</t>
  </si>
  <si>
    <t>DEIVI ALFONSO CHACON LIENDO "EXPENDIO DE MEDICINA MAS SALUD DE DEIVI CHACON, F.P"</t>
  </si>
  <si>
    <t>V210634815</t>
  </si>
  <si>
    <t>AV PRINCIPAL LOCAL NRO S/N SECTOR MONTE CARMELO MONTE CARMELO TRUJILLO</t>
  </si>
  <si>
    <t>03182</t>
  </si>
  <si>
    <t>FARMACIA FARMA JIRETH, C.A.</t>
  </si>
  <si>
    <t>J503625708</t>
  </si>
  <si>
    <t>CHIVO-ZULIA</t>
  </si>
  <si>
    <t>0424-7007432</t>
  </si>
  <si>
    <t>3366</t>
  </si>
  <si>
    <t>AV PRINCIPAL LOCAL NRO S/N SECTOR LAS RURALES CASCO CENTRAL EL CHIVO I ZULIA</t>
  </si>
  <si>
    <t>38303.51</t>
  </si>
  <si>
    <t>03183</t>
  </si>
  <si>
    <t>FARMACIA DE LA CRUZ C.A.</t>
  </si>
  <si>
    <t>J404318232</t>
  </si>
  <si>
    <t>0414-7170271</t>
  </si>
  <si>
    <t>CALLE VIA PRINCIPAL CUESTA DEL TRAPICHE CASA NRO 2 SECTOR CUESTA DEL TRAPICHE LA CONCORDIA SAN CRISTOBAL TACHIRA</t>
  </si>
  <si>
    <t>65686.03</t>
  </si>
  <si>
    <t>03184</t>
  </si>
  <si>
    <t>FARMACIA SOCIAL EL GRAN DESCUENTO C.A.</t>
  </si>
  <si>
    <t>J311306480</t>
  </si>
  <si>
    <t>0424-3691888</t>
  </si>
  <si>
    <t>CALLE 5 DE JULIO C/C LAS AMERICAS LOCAL NRO 110-08-01 SECTOR LOS MEREGOTOS CAGUA ARAGUA</t>
  </si>
  <si>
    <t>03185</t>
  </si>
  <si>
    <t>FARMACIA CASTILLA 2024, C.A</t>
  </si>
  <si>
    <t>J505923668</t>
  </si>
  <si>
    <t>0414-7292680</t>
  </si>
  <si>
    <t>AV PRINCIPAL LOCAL NRO 01 SECTOR CUBITA PQUIA CAMPO ALEGRE MPCIO SAN RAFAEL DE CARVAJAL VALERA TRUJILLO</t>
  </si>
  <si>
    <t>03186</t>
  </si>
  <si>
    <t>FARMACIA + MEDICA CARVAJAL, C.A.</t>
  </si>
  <si>
    <t>J503918349</t>
  </si>
  <si>
    <t>0414-7420753</t>
  </si>
  <si>
    <t>AV PRINCIPAL DE EL AMPARO LOCAL GALPON NRO 01 SECTOR COLON PQUIA CAMPO ALEGRE MCPIO SAN RAFAEL DE CARVAJAL VALERA TRUJILLO</t>
  </si>
  <si>
    <t>175824.71</t>
  </si>
  <si>
    <t>03187</t>
  </si>
  <si>
    <t>FARMACIA + MEDICA CENTRO, C.A</t>
  </si>
  <si>
    <t>J502641181</t>
  </si>
  <si>
    <t>CALLE CALLE 6 CON AVENIDA 9 LOCAL NRO 6-4 LOCAL 6-4 SECTOR CENTRO VALERA TRUJILLO</t>
  </si>
  <si>
    <t>186135.48</t>
  </si>
  <si>
    <t>03188</t>
  </si>
  <si>
    <t>FARMACIA+MEDICA HOSPITAL, C.A.</t>
  </si>
  <si>
    <t>J507111555</t>
  </si>
  <si>
    <t>AV 12 ENTRE CALLE 4 Y 5 CC ALCE NIVEL P.B LOCAL 7 SECTOR CENTRO PQUIA MERCEDES DIAZ MCPIO VALERA TRUJILLO</t>
  </si>
  <si>
    <t>161898.71</t>
  </si>
  <si>
    <t>03189</t>
  </si>
  <si>
    <t>EXPENDIO DE MEDICINAS DON JESUS, C.A</t>
  </si>
  <si>
    <t>J507381307</t>
  </si>
  <si>
    <t>0424-5115296</t>
  </si>
  <si>
    <t>AV INICIO BOLIVAR EDIF MERCANTIL ALEXIS PISO P/B LOCAL S/N SECTOR CAÑO AMARILLO SAN RAFAEL DE ONOTO PORTUGUESA</t>
  </si>
  <si>
    <t>77190.57</t>
  </si>
  <si>
    <t>03190</t>
  </si>
  <si>
    <t>FCIA DR. JOSE GREGORIO HERNANDEZ, C.A.</t>
  </si>
  <si>
    <t>J507460657</t>
  </si>
  <si>
    <t>0412-6442597</t>
  </si>
  <si>
    <t>AV BOLIVAR ENTRE CALLE CARABOBO Y FIGUEREDO LOCAL NRO 9-31 SECTOR CENTRO SAN CARLOS COJEDES</t>
  </si>
  <si>
    <t>03192</t>
  </si>
  <si>
    <t>FARMACIA SERVIFARMED, C.A.(SUCURSAL)</t>
  </si>
  <si>
    <t>PICON SALAS-MERIDA</t>
  </si>
  <si>
    <t>3368</t>
  </si>
  <si>
    <t>AV 16 DE SEPTIEMBRE EDIF N°42-97 PISO PB SECTOR SANTA ELENA MERIDA MERIDA</t>
  </si>
  <si>
    <t>03193</t>
  </si>
  <si>
    <t>FARMA DON ORIENTE , C.A SUC.17 PUNTA DE MATA</t>
  </si>
  <si>
    <t>03194</t>
  </si>
  <si>
    <t>FARMA DON ORIENTE , C.A. SUC 29 LAS COCUIZAS</t>
  </si>
  <si>
    <t>03195</t>
  </si>
  <si>
    <t>FARMACIA SAN JUAN NEPOMUCENO C.A. SUCURSAL</t>
  </si>
  <si>
    <t>0412-0628782</t>
  </si>
  <si>
    <t>CALLE 6 ESQUINA CARRERA 2 CASA NRO 5-84 SECTOR CASCO CENTRAL MICHELENA TACHIRA</t>
  </si>
  <si>
    <t>03196</t>
  </si>
  <si>
    <t>CASA FARMACIAS C.A. SUC VALERA</t>
  </si>
  <si>
    <t>CASA FARMACIAS C.A.</t>
  </si>
  <si>
    <t>CALLE 12 CON CARRERA 20 CASA VICTOR 4 NRO 11-65 SECTOR BARRIO OBRERO SAN CRISTOBAL TACHIRA</t>
  </si>
  <si>
    <t>03197</t>
  </si>
  <si>
    <t>EL GRAN KALIMAN,C.A.</t>
  </si>
  <si>
    <t>J308558150</t>
  </si>
  <si>
    <t>CALLE SAN NICOLAS C/C LIBERTAD LOCAL GLASCOM G1,G2,G3,G4,65 NRO PB ZONA CENTRAL PORLAMAR PORLAMAR NUEVA ESPARTA</t>
  </si>
  <si>
    <t>1160223.71</t>
  </si>
  <si>
    <t>03198</t>
  </si>
  <si>
    <t>MAQUIMEDICS, C.A.</t>
  </si>
  <si>
    <t>J501678472</t>
  </si>
  <si>
    <t>0414-9742076</t>
  </si>
  <si>
    <t>AV PRINCIPAL DE LA URBANIZACION LA BEATRIZ LOCAL NRO S/N LOCAL S/N URB LA BEATRIZ VALERA TRUJILLO</t>
  </si>
  <si>
    <t>03199</t>
  </si>
  <si>
    <t>FARMA SIN LIMITES, CA</t>
  </si>
  <si>
    <t>J507662578</t>
  </si>
  <si>
    <t>0424-5230042</t>
  </si>
  <si>
    <t>CALLE CEDEÑO ENTRE AVENIDA CHUPA CHUPA Y AVENIDA MIJAGUA LOCAL NRO A LOCAL A ZONA CALLE CEDEÑO ENTRE AVENIDA CHUPA CHUPA Y AVENIDA MIJAGUA BARINAS</t>
  </si>
  <si>
    <t>202431.40</t>
  </si>
  <si>
    <t>03200</t>
  </si>
  <si>
    <t>FARMACIA PUERTO CONCHA, C.A</t>
  </si>
  <si>
    <t>J500795564</t>
  </si>
  <si>
    <t>COLON-ZULIA</t>
  </si>
  <si>
    <t>3369</t>
  </si>
  <si>
    <t>CALLE PRINCIPAL CASA NRO DDT-117 SECTOR PUERTO CONCHA CONCHA ZULIA</t>
  </si>
  <si>
    <t>03201</t>
  </si>
  <si>
    <t>FARMACIA DIMAWORLD CORO, C.A</t>
  </si>
  <si>
    <t>J507567494</t>
  </si>
  <si>
    <t>0426-6324202</t>
  </si>
  <si>
    <t>AV ROMULO O COLINA CENTRO COMERCIAL LOS BALCONES NRO 03 SECTOR CABUDARE SANTA ANA DE CORO FALCON</t>
  </si>
  <si>
    <t>03202</t>
  </si>
  <si>
    <t>FARMACIA CASA MEDICA, C.A. SUC 4</t>
  </si>
  <si>
    <t>FARMACIA CASA MEDICA, C.A.</t>
  </si>
  <si>
    <t>J501770174</t>
  </si>
  <si>
    <t>0416-3713137</t>
  </si>
  <si>
    <t>3371</t>
  </si>
  <si>
    <t>LIBERTADOR-MERIDA</t>
  </si>
  <si>
    <t>AV ANDRES BELLO URBANIZACION ALTO CHAMA EDIF B PISO PLANTA UNICA LOCAL B URB ALTO CHAMA MERIDA MERIDA</t>
  </si>
  <si>
    <t>03203</t>
  </si>
  <si>
    <t>SUMIN.MEDICOS Y ODONT SUC LAS MERCEDES SAN G</t>
  </si>
  <si>
    <t>SUMINISTROS MEDICOS Y ODONTOLOGICOS C.A. - "FARMACIA SAN GERONIMO", C.A.</t>
  </si>
  <si>
    <t>0424-8740074</t>
  </si>
  <si>
    <t>CALLE 23 DE ENERO C/C CALLE LAS FLORES Y BOLIVAR EDIF DIVINO NIÑO JESUS PISO 1 LOCAL 1 SECTOR CENTRO VALLE DE LA PASCUA GUARICO</t>
  </si>
  <si>
    <t>03204</t>
  </si>
  <si>
    <t>FARMACIA QUINTAMAR, C.A</t>
  </si>
  <si>
    <t>J505744216</t>
  </si>
  <si>
    <t>0412-2361475</t>
  </si>
  <si>
    <t>AV PRINCIPAL EL PORTUARIO LOCAL MINI CENTRO COMERCIAL LA PLAYOLA NRO 05 URB LA PLAYOLA PUERTO CABELLO CARABOBO</t>
  </si>
  <si>
    <t>03205</t>
  </si>
  <si>
    <t>FARMACIA GARCIA, C.A.</t>
  </si>
  <si>
    <t>J504211222</t>
  </si>
  <si>
    <t>0412-8788965</t>
  </si>
  <si>
    <t>CALLE PRINCIPAL LOCAL NRO S/N° SECTOR GUACA CARUPANO (PLAYA GRANDE-CARUPANO) SUCRE</t>
  </si>
  <si>
    <t>03206</t>
  </si>
  <si>
    <t>FARMACIA LEIDYCAR S.A.(SUCURSAL)</t>
  </si>
  <si>
    <t>FARMACIA LEIDYCAR S.A.</t>
  </si>
  <si>
    <t>J306551190</t>
  </si>
  <si>
    <t>0412-3295793</t>
  </si>
  <si>
    <t>CALLE 11 ENTRE AVENIDA SUCRE Y PAEZ CASA NRO 6.50 URB LA PRADERA CORDERO TACHIRA</t>
  </si>
  <si>
    <t>03207</t>
  </si>
  <si>
    <t>FARMACIA S.K.I, C.A</t>
  </si>
  <si>
    <t>J500506210</t>
  </si>
  <si>
    <t>0424-7375971</t>
  </si>
  <si>
    <t>3372</t>
  </si>
  <si>
    <t>EL LLANO-MERIDA</t>
  </si>
  <si>
    <t>AV 3(INDEPENDENCIA) CALLE 32 ENTRE AV 3 Y 4 CASA NRO 31-75 SECTOR CENTRO MERIDA MERIDA</t>
  </si>
  <si>
    <t>03208</t>
  </si>
  <si>
    <t>CONTUFARMA, C.A.</t>
  </si>
  <si>
    <t>J500710712</t>
  </si>
  <si>
    <t>EJIDO-MERIDA</t>
  </si>
  <si>
    <t>0414-7164168</t>
  </si>
  <si>
    <t>3363</t>
  </si>
  <si>
    <t>CALLE PRINCIPAL LOCAL NRO B-1 SECTOR BELLA VISTA EJIDO MERIDA</t>
  </si>
  <si>
    <t>Listado de Clientes :: ProteoERP</t>
  </si>
  <si>
    <t>ISMAIRA TAYZ BERMUDEZ DE NATERA JIKCA BOTICA BERMUDEZ, F.P (SUCURSAL MATURíN)</t>
  </si>
  <si>
    <t>CIRA MARINA PEREZ DE SILVA FARMACIA DON MIGUEL</t>
  </si>
  <si>
    <t>FARMACIA CENTRAL C.A. FARMACENTER</t>
  </si>
  <si>
    <t>MEDICOS Y ODONTOLOGICOS C.A. - FARMACIA SAN GERONIMO, C.A.</t>
  </si>
  <si>
    <t>FARMACIA CARUPANO, C.A.</t>
  </si>
  <si>
    <t>ELVIRA DEL CARMEN BRACHO FARMACIA FARMAELORZA, F.P</t>
  </si>
  <si>
    <t>FARMACIA MEDITOTAL C A CIUDAD REAL</t>
  </si>
  <si>
    <t>FARMA SALUD PLUS 1 C. A  SUCURSAL 1</t>
  </si>
  <si>
    <t>FULGENCIO GERMAN TORREALBA RODRIGUEZ  EXPENDIO DE MEDICINAS EL ROCIO, FP</t>
  </si>
  <si>
    <t>FARMACIA FARMATORRE NAGUANAGUA, C.A PPAL</t>
  </si>
  <si>
    <t>FARMACIA FARMATORRE NAGUANAGUA, C.A AV BOLIVAR</t>
  </si>
  <si>
    <t>FARMACIA FARMATORRE NAGUANAGUA, C.A SUCURSAL MAÑONGO</t>
  </si>
  <si>
    <t>ALBA MARINA GONZALEZ LIMA FARMACIA CRISTO DE LA SALUD GONZALEZ</t>
  </si>
  <si>
    <t>FARMACIA Y COSMETICOS YESIMAR II COMPAÑIA ANONIMA</t>
  </si>
  <si>
    <t>FARMACIA LA AVENIDA C.A. PRINCIPAL</t>
  </si>
  <si>
    <t>INVERSIONES BUENO 1268, C.A. FARMACIA DAPRIX 1268</t>
  </si>
  <si>
    <t>FORTUNATO ZEIDEN GUTIERREZ  FARMA - DESCUENTOS SANTA ANA</t>
  </si>
  <si>
    <t>FARMA SALUD PLUS 1 C. A SUCURSAL 2 VILLA BAHIA</t>
  </si>
  <si>
    <t>FARMACIA MARKET CBL,C.A SUCURSAL 1</t>
  </si>
  <si>
    <t>FARMACIA FARMASALUD 17 DE DICIEMBRE, C.A SUCURSAL 2 AV ESPAÑA</t>
  </si>
  <si>
    <t>OTILIO RAFAEL CONDE NAHR FARMACIA NUEVA LOS GUAYOS</t>
  </si>
  <si>
    <t>DIVERFARMA ARN, COMPAÑIA ANONIMA</t>
  </si>
  <si>
    <t>FARMACIA M&amp;R FRONTERA, C.A. PRINCIPAL</t>
  </si>
  <si>
    <t>MARIA NORMARINA CALZADILLA GARCIA FARMACIA RIO ARAUCA</t>
  </si>
  <si>
    <t>FARMACIA FARMATORRE NAGUANAGUA, C.A SUCURSAL LAS FERIAS</t>
  </si>
  <si>
    <t>NANCY NOHEMI SMITH DE ORTEGA FARMACIA 19 DE ABRIL FP</t>
  </si>
  <si>
    <t>JHONNY HAKANI BECERENI  FARMACIA FARMA VIDA</t>
  </si>
  <si>
    <t>FARMACIA SAN SHARBEL, C.A  SUCURSAL</t>
  </si>
  <si>
    <t>ROSA AMERICA CORREA SANDOVAL FARMACIA LA PASCUA, FP</t>
  </si>
  <si>
    <t>BASSAM KHODARI FARMACIA SANTA INES F.P</t>
  </si>
  <si>
    <t>COMERCIAL ROMAR C. A.</t>
  </si>
  <si>
    <t>FLOR EVEDIA MARIN SANTORIO FARMACIA TARI TARI, FP</t>
  </si>
  <si>
    <t>FARMAIGNACIO BARARIDA C.A. SUCURSAL</t>
  </si>
  <si>
    <t>EDILIO ANTONIO TORRES ALVAREZ EXPENDIO DE MEDICINAS DON RAFAEL TORRES, F.P</t>
  </si>
  <si>
    <t>FELIPE ROBERTO JIMENEZ OCHOA FARMACIA VIRGEN DEL CARMEN</t>
  </si>
  <si>
    <t>EGLIS MERCEDES GONZALEZ DE TORREALBA EXPENDIO DE MEDICINAS GONZALEZ F.P.</t>
  </si>
  <si>
    <t>YENDRIMAR MENDEZ VALERO MENDEZ INVERSIONES FARMA-GOURMET EXPRESS</t>
  </si>
  <si>
    <t>YAMILYS MARBELLA MOLINA RONDON MOLINA FARMA HOGAR F.P</t>
  </si>
  <si>
    <t>MILAGRO COROMOTO SANCHEZ DE ROJAS FARMACIA MILA F.P.</t>
  </si>
  <si>
    <t>EBA PASTORA LEAL ROMERO EXPENDIO DE MEDICINA LEAL 2022, F.P.</t>
  </si>
  <si>
    <t>EUSTACIO RINCON RUBIO FARMACIA MI FARMACIA</t>
  </si>
  <si>
    <t>JUAN JOSE PARRA CASTAÑEZ  EXPENDIO DE MEDICINAS VIRGEN DE LA PAZ IRENA</t>
  </si>
  <si>
    <t>ANGEL VICENTE PITRUZZELLA HERNANDEZ FARMACIA RAZETTI, F.P</t>
  </si>
  <si>
    <t>NESTOR GREGORIO DUGARTE EXPENDIO DE MEDICINA LOS DUGARTE</t>
  </si>
  <si>
    <t>FARMACIA MI FARMA P.F. II C.A.  SUCURSAL</t>
  </si>
  <si>
    <t>YDELFONSO ANTONIO LINAREZ TOCHEZ EXPENDIO DE MEDICINA SAN JOSE EL BAUL</t>
  </si>
  <si>
    <t>JOSE JAVIER CADENAS NIETO CADENAS FARMACIA LAS REBAJAS, F.P</t>
  </si>
  <si>
    <t>EDICTA DEL CARMEN ARAQUE DURAN ARAQUE INSUMOS MEDICOS F.P.</t>
  </si>
  <si>
    <t>RAFAEL DAVID ROMERO RIVAS FARMA LIDER SR, F.P.</t>
  </si>
  <si>
    <t>RAFAEL ORLANDO HIDALGO AGUILAR HIDALGO FARMACIA DANCAR Y ALGO MAS , F.P.</t>
  </si>
  <si>
    <t>FARMACIA MI FARMA P.F. II, C.A.  PRINCIPAL</t>
  </si>
  <si>
    <t>FARMA-SHOP C A  SUCURSAL BOYACA</t>
  </si>
  <si>
    <t>KAREMIS YANETH MORA CARDOZA MORA FARMACIA LAS REBAJAS, F.P</t>
  </si>
  <si>
    <t>FARMACIA SIEGERT C.A.</t>
  </si>
  <si>
    <t>ENIS BETH COIRAN JIMENEZ COIRAN INVERSIONES FARMATODITO, F.P</t>
  </si>
  <si>
    <t>EMILY ANDREINA ACEVEDO DELGADO ACEVEDO FARMACIA EQUIPOS Y SUMINISTROS MEDICOS TRINIDAD, F.P</t>
  </si>
  <si>
    <t>JOSE ALIRIO VARGAS DUQUE VARGAS FARMACIA FARMA VIDA</t>
  </si>
  <si>
    <t>KILEMBERG FRANCISCO PARRA URIBE LA ORTOPEDIA KILEMBERG PARRA,F.P</t>
  </si>
  <si>
    <t>FARMACIA FARMAEXPRESS 2024, C.A  SUCURSAL</t>
  </si>
  <si>
    <t>JOSE JAVIER CADENAS NIETO CADENAS FARMACIA LAS REBAJAS 2, F.P</t>
  </si>
  <si>
    <t>MIGUEL ALEJANDRO GUTIERREZ SANGRONIS GUTIERREZ FARMACIA PROSALUD, F.P</t>
  </si>
  <si>
    <t xml:space="preserve">INVERSIONES 2001,C.A </t>
  </si>
  <si>
    <t>BARBARA GUERRERO DE ROJAS FARMACIA LAS TRES DIVINAS PERSONAS DE BARBARA GUERRERO DE ROJAS</t>
  </si>
  <si>
    <t>FARMACIA FARMA-SHOP, C.A. SUCURSAL TRONCONAL</t>
  </si>
  <si>
    <t>TAILA JANEIDY DUGARTE GUERRERO FARMACIA LA PRINCIPAL F.P</t>
  </si>
  <si>
    <t>ORLANDO ENRIQUE MARQUEZ ROSALES CADENAS FARMACIA LA NUEVA REBAJA F.P.</t>
  </si>
  <si>
    <t>JOSE ALBERTO GIGLIO PRADA  MUNDO S.P</t>
  </si>
  <si>
    <t>ROXANA PULGAR RAMIREZ FARMACIA VENEZUELA</t>
  </si>
  <si>
    <t>EXPENDIO DE MEDICINA J.R C.A</t>
  </si>
  <si>
    <t>FARMACIA ACQUA C.A.</t>
  </si>
  <si>
    <t>JESUS MIGUEL SILVAFARMACENTRO 21 CAMINOS</t>
  </si>
  <si>
    <t>FANY MARIA ARAUJO FARMACIA MI BIENESTAR</t>
  </si>
  <si>
    <t>JESSICA CAROLINA RINCON MI FARMACIA F.P</t>
  </si>
  <si>
    <t>NOMBRE O RAZON SOCIAL</t>
  </si>
  <si>
    <t>RIF</t>
  </si>
  <si>
    <t>TELEFONO</t>
  </si>
  <si>
    <t>CODIGO POSTAL</t>
  </si>
  <si>
    <t>CIUDAD</t>
  </si>
  <si>
    <t xml:space="preserve">ESTADO </t>
  </si>
  <si>
    <t>SICM</t>
  </si>
  <si>
    <t>Columna1</t>
  </si>
  <si>
    <t>DIRECCION FISCAL</t>
  </si>
  <si>
    <t>DIRECCION DE ENVIO</t>
  </si>
  <si>
    <t xml:space="preserve">MONAGAS </t>
  </si>
  <si>
    <t>CALLE PRINCIPAL DE GUASIMAL, CRUCE CON CALLE LOS LIRIOS,LOCAL N 3 MARACAY EDO ARAGUA</t>
  </si>
  <si>
    <t xml:space="preserve">NUEVA ESPARTA </t>
  </si>
  <si>
    <t>AV. JUNCAL CON CALLE PIAR LOCAL N 03 FRENTE A LA PLAZA AYACUCHO</t>
  </si>
  <si>
    <t>CR 8-A, CALLE Nº 17, ANTIGUA PIAR, EDIF LA CHINITA. PISO  P.B., LOCAL Nº 01,  SECTOR CENTRO.</t>
  </si>
  <si>
    <t>CALLE MIRANDA LOCAL NRO. S/N, SECTOR CENTRO</t>
  </si>
  <si>
    <t xml:space="preserve">BOLiVAR </t>
  </si>
  <si>
    <t>CALLE JUNIN, LOCAL S/N, SECTOR EL ROBLE , PARROQUIA  CAPITAL ROSCIO</t>
  </si>
  <si>
    <t>CALLE ROSCIO, LOCAL NRO S/N, SECTOR LAS PIEDRITAS</t>
  </si>
  <si>
    <t>Calle Paraíso. Casa S/N a pocos metros de la Plaza Bolívar.  Estado Monagas. Municipio Ezequiel Zamora. Parroquia El Tejero. Punta De Mata</t>
  </si>
  <si>
    <t>0424-8299194 / 02934331202 / 04148402119</t>
  </si>
  <si>
    <t xml:space="preserve">SUCRE </t>
  </si>
  <si>
    <t>SAN FERNANDO DE APURE EDO APURE</t>
  </si>
  <si>
    <t xml:space="preserve">DELTA AMACURO </t>
  </si>
  <si>
    <t>AV. CARABOBO, EDIF 1700, PISO PB, LOCAL 02, ZONA CENTRO CARUPANO SUCRE</t>
  </si>
  <si>
    <t>ARAGUA DE MATURIN  EDO MONAGAS</t>
  </si>
  <si>
    <t>AV. WISTON CHURCHILL, LOCAL NRO 02, SECTOR SUR, URB FRANCISCO DE MIRANDA .</t>
  </si>
  <si>
    <t>0412-7726563 /  02877213437 / 04265900038</t>
  </si>
  <si>
    <t>AV GUAYANA CON CALLE CARUACHI CC 303 NIVEL PB LOCAL 12 SECTOR ALTA VISTA CIUDAD GUAYANA BOLIVAR ZONA POSTAL 8050</t>
  </si>
  <si>
    <t>URB 293 GUAYNIA, SUR AEROPUERTO UNARE LOCAL 11, VEREDA 39, PUERTO ORDAZ EDO BOLIVAR</t>
  </si>
  <si>
    <t>CALLE LLANO ADENTRO, DIAGONAL  AL HOSPITAL DR LUIS ORTEGA, PORLAMAR</t>
  </si>
  <si>
    <t>PUNTA DE PIEDRA EDO NUEVA ESPARTA</t>
  </si>
  <si>
    <t>JUAN GRIEGO EDO NUEVA ESPARTA</t>
  </si>
  <si>
    <t>CALLE SUCRE LOCAL 20 SECTOR CASCO VIEJO.</t>
  </si>
  <si>
    <t>0424-3002347 / 04123399721 / 04243127709</t>
  </si>
  <si>
    <t>0416-1161377 / 02934332529 / 04140895206</t>
  </si>
  <si>
    <t>0412-0921024/ 0412-3524881 / 0295-8727540</t>
  </si>
  <si>
    <t>0414-8823631 / 02916351991 /  04147560701</t>
  </si>
  <si>
    <t>AV PRINCIPAL DE MARIPEREZ ENTRE AVENIDA 7 Y AUGUSTO SANDINO EDIF SEDE DE LA HERMANDAD GALLEGA DE VENEZUELA C.A PISO S/N LOCAL S/N URB MARIPEREZ CARACAS DISTRITO CAPITAL</t>
  </si>
  <si>
    <t xml:space="preserve">DISTRITO CAPITAL </t>
  </si>
  <si>
    <t>CALLE MIRANDA, C/C MUCURITAS, CASA NRO S/N, SECTOR CASCO CENTRAL CAMAGUAN.</t>
  </si>
  <si>
    <t>CALLE MONAGAS, ENTRE CALLE SUCRE Y CALLE PICHINCHA, LOCAL NRO 3-48, SECTOR LAS PARCELAS 1.</t>
  </si>
  <si>
    <t>CALLE VENEZUELA ENTRE CALLE UNION Y CALLE ROCIO LOCAL NRO S/N SECTOR CENTRO SAN JOSE DE GUANIPA.</t>
  </si>
  <si>
    <t>SAN JUAN BAUTISTA EDO  NUEVA ESPARTA</t>
  </si>
  <si>
    <t>UBICADA EN CALLE PRINCIPAL LOCAL PLANTA BAJA SECTOR LOMAS VERDES PUERTO AYACUCHO ESTADO AMAZONAS</t>
  </si>
  <si>
    <t xml:space="preserve">AMAZONAS </t>
  </si>
  <si>
    <t>FARMACIA COMERCIAL. Estado Anzoategui. Municipio Simón Bolívar. Parroquia San Cristóbal. Barcelona</t>
  </si>
  <si>
    <t>+58 412-6498732 / +58 424-8672160</t>
  </si>
  <si>
    <t>AV ATLANTICO EDIF 1 CENTRO ATLANTICO UD-310 PISO PB LOCAL 1 SECTOR YARA-YARA CIUDAD GUAYANA</t>
  </si>
  <si>
    <t>AV BOLIVAR CON CALLE ZAMORA, CENTRO COMERCIAL PREMA LOCAL NRO 2 SECTOR S/N LOS GUAYOS CARABOBO</t>
  </si>
  <si>
    <t>COMP: 0424-4021015 / PAG: 0412-8888220 ADM: 0424-4393215</t>
  </si>
  <si>
    <t xml:space="preserve">VARGAS </t>
  </si>
  <si>
    <t>CALLE 5 DE JULIO DIAGONAL AL LABORATORIO CARIPE HERNANDEZ</t>
  </si>
  <si>
    <t>CALLE ANZOATEGUI., LOCAL NRO 57, SECTOR EL ARROYO ARACUA.</t>
  </si>
  <si>
    <t>AV MARISCAL DE SUCRE LOCAL NRO S/N SECTOR CASCO CENTRAL. SANTA ELENA DE UAIREN BOLIVAR ZONA POSTAL</t>
  </si>
  <si>
    <t>CALLE AYACUCHO, EDF LA LIBANESA N-38, SECTOR CENTRO DE PUNTA DE MATA</t>
  </si>
  <si>
    <t>0414-3818853 / 02946461028 / 04248126298</t>
  </si>
  <si>
    <t>AV PRINCIPAL LOCAL NRO 03, SECTOR VISTA ALEGRE, Nº 29 MARIARA CAABOBO</t>
  </si>
  <si>
    <t>PUERTO LA CRUZ EDO ANZOATEGUI</t>
  </si>
  <si>
    <t>0412-3622200 / 02812697891 / 04148182764</t>
  </si>
  <si>
    <t>CALLE VENEZUELA LOCAL NRO S/N SECTOR MERCADO MUNICIPIO SAN JOSE DE GUANIPA</t>
  </si>
  <si>
    <t>AV BOLIVAR CC MANGO NIVEL PB, LOCAL NRO 5 SECTOR EL CENTRO PARIAGUAN</t>
  </si>
  <si>
    <t>CALLE VIA LA RAMORA CASA S/NRO SECTOR LA GASOLINA</t>
  </si>
  <si>
    <t>CALLE COMERCIO LOCAL NRO 01 SECTOR CENTRO MANTECAL APURE ZONA POSTAL 7013</t>
  </si>
  <si>
    <t>Avenida Dalla Costa, cruce con Avenida Libertador (cruce de la UD. 145), número uno (01), San Félix, Municipio Autónomo caroni del Estado Bolívar.  Estado Bolivar. Municipio Caroní. Parroquia Vista al Sol . San Felix (Ciudad Guayana)</t>
  </si>
  <si>
    <t>0414-2961187  / 04142963490 /</t>
  </si>
  <si>
    <t>0414-1948764 / 02943310285 /  04147990178</t>
  </si>
  <si>
    <t>CALLE JUNCAL ZONA CENTRO DE CARUPANO LOCALES 5Y6 ESTADO SUCRE.  Estado Sucre. Municipio Bermúdez. Parroquia Santa Catalina. Carupano</t>
  </si>
  <si>
    <t>0426-1278794 / 02943313047 / 04248575796</t>
  </si>
  <si>
    <t>CALLE ACOSTA. CRUCE CON PANAMA CASA NRO 114. ZONA CENTRO CARUPANO. CARUPANO SUCRE</t>
  </si>
  <si>
    <t>CALLE CARABOBO LOCAL NRO 38 SECTOR LAS PARCELAS I ANACO</t>
  </si>
  <si>
    <t>AV CARACAS EDIF.VILLAMED PISO PB LOCAL S/N SECTOR CENTRO. Estado Apure. Municipio San Fernando. Parroquia Urbana San Fernando. San Fernando De Apure</t>
  </si>
  <si>
    <t>0424-7474533 / 02126336326 04242233373</t>
  </si>
  <si>
    <t>AVENIDA ANTONIO JOSÉ DE SUCRE. SECTOR PINTO SALINAS. LOCAL COMERCIAL S/N. CALABOZO ESTADO GUÁRICO.</t>
  </si>
  <si>
    <t>AV FRANCISCO DE MIRANDA ENTRE CARRERA 10 Y 11 LOCAL NRO S/N SECTOR CASCO CENTRAL CALABOZO GUARICO ZONA POSTAL 2312</t>
  </si>
  <si>
    <t>AVENIDA OCTAVIO VIANA CRUCE CON CARRERA 11. CALABOZO, ESTADO GUARICO. VENEZUELA. Estado Guarico.</t>
  </si>
  <si>
    <t>CALLE 20 SUR Nº 8 PUEBLO NUEVO SUR. EL TIGRE. ANZOATEGUI</t>
  </si>
  <si>
    <t>VALLE DE LA PASCUA EDO GUARICO</t>
  </si>
  <si>
    <t>CARRERA 11 ENTRE CALLES 5 Y 6 FRENTE AL SUPERMERCADO LA CRIOLLA. CALABOZO, ESTADO GUARICO. VENEZUELA.</t>
  </si>
  <si>
    <t>CALLE HERES LOCAL NRO 10 ZONA</t>
  </si>
  <si>
    <t>AV BELLA VISTA CRUCE CON CRUZ PERAZA EDIF HOSPITAL METROPOLITANO MATURIN PISO 04 OF PRESIDENCIA SECTOR BELLA VISTA</t>
  </si>
  <si>
    <t>AV FINAL AV 4 DE MAYO CC 4 DE MAYO LOCAL 03 NIVEL PB SECTOR  4 DE MAYO</t>
  </si>
  <si>
    <t>AV MANUELITA SAENZ EDIF OLIVARES V PISO P/B LOCAL 2 SECTOR BELLA VISTA PUNTO FIJO FALCON ZONA POSTAL 4102</t>
  </si>
  <si>
    <t xml:space="preserve">FALCON </t>
  </si>
  <si>
    <t>0424-8662141 /  02952646929 / 04140895206</t>
  </si>
  <si>
    <t>ubicada en la ubicada en la Avenida Antonio José de Sucre Local Numero 41, Sector India rosa, Calabozo Estado Guárico</t>
  </si>
  <si>
    <t>CR 3 LOCAL NRO S/N SECTOR CENTRO</t>
  </si>
  <si>
    <t>SAN JUAN DE LOS MORROS EDO GUARICO</t>
  </si>
  <si>
    <t>AV JOSE FELIX RIBAS EDIF ALBERT PISO PB LOCAL 2 SECTOR CENTRO</t>
  </si>
  <si>
    <t>AV NEGRO PRIMERO LOCAL NRO 4 SECTOR HOSPITAL</t>
  </si>
  <si>
    <t>AV PASEO LIBERTADOR EDIF. SAN FERNANDO PISO PB LOCAL S/N SECTOR CENTRO.</t>
  </si>
  <si>
    <t>0412-4549768 / 0424-4334615 / 02453412627 /</t>
  </si>
  <si>
    <t>AV GUAYANA LOCAL S/N SECTOR PERIFERICO</t>
  </si>
  <si>
    <t>AV INTERCOMUNAL, CRUCE CON CALLE TRECE DE SEPTIEMBRE LOCAL NRO 01 SECTOR CENTRO SAN FERNANDO DE APURE</t>
  </si>
  <si>
    <t>CALLE SUCRE CASA NRO 6-73 SECTOR LAS PARCELAS</t>
  </si>
  <si>
    <t>CALLE VALDEZ ESQUINA TRINCHERAS EDIFICIO VISTAMAR PISO PLANTA BAJA LOCAL 01 SECTOR CENTRO</t>
  </si>
  <si>
    <t>CALLE BOLIVAR C/C PIAR LOCAL S/N SECTOR CASCO CENTRAL EL SOCORRO ESTADO GUARICO</t>
  </si>
  <si>
    <t>0412-4658355/ 0412-4113224/ 0412-8497058 / 0412-3338399</t>
  </si>
  <si>
    <t>0424-3766915/0412-2516479 / 02387623722 /</t>
  </si>
  <si>
    <t>AV FRANCISCO DE MIRANDA LOCAL NRO 223 SECTOR PUEBLO NUEVO NORTE</t>
  </si>
  <si>
    <t>CALLE BOLIVAR NRO 103 SAN ANTONIO DE CAPAYACUAR EDO MONAGAS</t>
  </si>
  <si>
    <t>av. juncal edif. valera planta baja sector los bloques. Estado Monagas. Municipio Maturín. Parroquia Capital Maturín 1/. Maturin</t>
  </si>
  <si>
    <t>0424-916-3127 /  0414-1914501</t>
  </si>
  <si>
    <t>CARRETERA INTERCOMUNAL GUARENAS GUATIRE, CENTRO AUTOMOTRIZ GUATIRE PLAZA, LOCAL 2</t>
  </si>
  <si>
    <t>AVENIDA ROTARIA LOCAL N°19- VISTA HERMOSA.</t>
  </si>
  <si>
    <t>AVENIDA PRINCIPAL DE LA CRUZ,LOCAL N-50-45 MUNICIPIO MATURIN.</t>
  </si>
  <si>
    <t>0424-4963848 / 0241-8355101 /</t>
  </si>
  <si>
    <t>0412-4313175 / 0412-1595476 / 0241-8234533</t>
  </si>
  <si>
    <t>CR 3ERA SUR ENTRE CALLE 15 SUR Y AVENIDA WISTON CHURCHILL LOCAL NRO S/N SECTOR PUEBLO NUEVO SUR</t>
  </si>
  <si>
    <t>AV. FRANCISCO DE MIRANDA CRUCE CON CALLE 18 NORTE.  Estado Anzoategui. Municipio Simón Rodríguez. Parroquia Edmundo Barrios 3/. El Tigre</t>
  </si>
  <si>
    <t>AV FERNANDEZ PADILLA CRUCE CON MARIÑO CC MALAVER NIVEL PB LOCAL LC-PB-4-A SECTOR LA PAZ SAN JOSE DE GUANIPA</t>
  </si>
  <si>
    <t>AV JESUS SUBERO ENTRE CALLE 18 Y 19 SUR EDIF CENTRO EMPRESARIAL ROSADEIN PISO PB LOCAL 01 SECTOR PUEBLO NUEVO SUR</t>
  </si>
  <si>
    <t>0414-4025474 / 0241-8269534 / 0412-4313175</t>
  </si>
  <si>
    <t>AV GERMANIA REDOMA EL PSIQUIATRICO LOCAL S/N</t>
  </si>
  <si>
    <t>CALLE PIAR CC LIBERTAD LOCAL S/N SECTOR CENTRO</t>
  </si>
  <si>
    <t>AV PRINCIPAL GULF LOCAL NRO 15-A SECTOR CHUPARIN PUERTO LA CRUZ ANZOATEGUI ZONA POSTAL 6023.  Estado Anzoategui. Municipio Juan Antonio Sotillo. Parroquia Capital Puerto La Cruz 1/. Puerto La Cruz</t>
  </si>
  <si>
    <t>AV PRINCIPAL GULF LOCAL NRO SECTOR 49-C CHUPARIN PUERTO LA CRUZ ANZOATEGUI</t>
  </si>
  <si>
    <t>CALLE SUCRE EDIF CENTRO ANACO PISO PB LOCAL 54 SECTOR CENTRO</t>
  </si>
  <si>
    <t>AV MERIDA LOCAL NRO 12 SECTOR PUEBLO NUEVO</t>
  </si>
  <si>
    <t>CALLE ROSCIO N°9 ,EL CALLAO ESTADO BOLIVAR</t>
  </si>
  <si>
    <t>Avenida Bolívar con Calle Páez, Edificio Morreale, Piso PB, Local Nº 01, Sector Centro, Maturín Estado Monagas.</t>
  </si>
  <si>
    <t>0424-942.80.74 / 0424-9165916</t>
  </si>
  <si>
    <t>calle 1, casa nro 52, sector 2, urbanizacion boyaca 2.  Estado Anzoategui. Municipio Simón Bolívar. Parroquia El Carmen. Barcelona</t>
  </si>
  <si>
    <t>CALLE SUCRE LOCAL 03-27 A SECTOR BARRIO SUCRE BARCELONA ANZOATEGUI ZONA POSTAL 6023.  Estado Anzoategui. Municipio Simón Bolívar. Parroquia El Carmen. Barcelona</t>
  </si>
  <si>
    <t>av gulf local f-66 sector i, Urb guanire.  Estado Anzoategui. Municipio Juan Antonio Sotillo. Parroquia Capital Puerto La Cruz 1/. Puerto La Cruz</t>
  </si>
  <si>
    <t>0414-807-2460 / 02819965251 /</t>
  </si>
  <si>
    <t>FISCAL CALLE PRIMERO DE MAYO CRUCE CON CALLE CABALLERO SARMIENTO LOCAL MAMA LINA NRO 1 SECTOR 23 DE ENERO</t>
  </si>
  <si>
    <t>AV MENCA DE LEONI CRUCE CON CALLE BERMUDEZ LOCAL NRO 24-B SECTOR MENCA DE LEONI PARROQUIA LA SABANITA MUNICIPIO ANGOSTURA DEL ORINOCO CIUDAD BOLIVAR ESTADO BOLIVAR</t>
  </si>
  <si>
    <t>UD- 101- CARRERA 6, LOCAL S/N, CENTRO DE SAN FELIX .  Estado Bolivar. Municipio Caroní. Parroquia Dalla Costa . San Felix (Ciudad Guayana)</t>
  </si>
  <si>
    <t>0286-9670413 / 961.43.41/0414-8968526/0424-9091042/</t>
  </si>
  <si>
    <t>ALLE BOLIVAR ENTRE PAEZ Y COLON, DIAGONAL A LA FARMACIA ARAGUA Y BANCO DE VENEZUELA</t>
  </si>
  <si>
    <t>AV JOSE ANTONIO ANZOATEGUI CASA S/N SECTOR MONTAÑITA ARAGUA ANZOATEGUI ZONA POSTAL 6002</t>
  </si>
  <si>
    <t>ARAGUA DE BARCELONA  EDO ANZOATEGUI</t>
  </si>
  <si>
    <t>0414-8722823 / 0414-7604784 0286-9343865</t>
  </si>
  <si>
    <t>424-3365428 /416-7368034/02478820687 /</t>
  </si>
  <si>
    <t>CALLE ESPERANZA SECTOR MERCADO MUNICIPAL</t>
  </si>
  <si>
    <t>CALLE 6 LOCAL N 34- SECTOR 2 LAS CASITAS BARCELONA ESTADO ANZOATEGUI</t>
  </si>
  <si>
    <t>0424-9185597 / 0424-9512274 / 02866514463 /</t>
  </si>
  <si>
    <t>0424-9005744 / 02923371753 / 04249429825</t>
  </si>
  <si>
    <t>AV BOLIVAR LOCAL NRO 82 SECTOR CASCO CENTRAL</t>
  </si>
  <si>
    <t>0285-6328009 / 0285-6324148 /</t>
  </si>
  <si>
    <t>CALLE ROSCIO NRO. 3, LOCALES 7,8 Y 9, FRENTE A LA PLAZA BOLÍVAR</t>
  </si>
  <si>
    <t>CALLE SANTA TERESA LOCAL S/N SECTOR VALMORE RODRIGUEZ SAN JOSE DE GUANIPA</t>
  </si>
  <si>
    <t>AV JUAN DE URPIN DIAGONAL AL CENTRO INTEGRAL DEL NIÑO.  Estado Anzoategui. Municipio Simón Bolívar. Parroquia El Carmen. Barcelona</t>
  </si>
  <si>
    <t>AV. WINSTON CHUIRCHILL C/C 5TA CARRERA NORTE , EDIF. SUPERFARMA, LOCAL 1, PISO 1, SECTOR PUEBLO NUEVO NORTE.</t>
  </si>
  <si>
    <t>CUARTA CARRERA BIS SUR ENTRE CALLE 18 Y 19, CASA NRO S/N SECTOR PUEBLO NUEVO</t>
  </si>
  <si>
    <t>BOCA DE POZO EDO NUEVA ESPARTA</t>
  </si>
  <si>
    <t>AV CANCAMURE, EDIF ALDA, PB LOCAL NRO 03, SECTOR BARRIO SUCRE CUMANA SUCRE</t>
  </si>
  <si>
    <t>CALLE BUENOS AIRES LOCAL NRO 03 SECTOR CASCO VIEJO</t>
  </si>
  <si>
    <t xml:space="preserve">  </t>
  </si>
  <si>
    <t>CALLE BLANCO FONBONA EDIF SAN MARCOS PB LOCAL 2.  Estado Sucre. Municipio Sucre. Parroquia Altagracia. Cumana</t>
  </si>
  <si>
    <t>CALLE LAS CAMELIAS LOCAL LOCAL NRO 109 SECTOR PARAISO I</t>
  </si>
  <si>
    <t>LA ASUNCION EDO NUEVA ESPARTA</t>
  </si>
  <si>
    <t>CALLE PRINCIPAL LOCAL NRO 6 SECTOR 17 DE DICIEMBRE I</t>
  </si>
  <si>
    <t xml:space="preserve">      </t>
  </si>
  <si>
    <t>SANTA MARIA EDO NUEVA ESPARTA</t>
  </si>
  <si>
    <t>AV BICENTENARIO EDIF TORRE FEMA PISO P/B LOCAL 01 SECTOR ALBERTO RAVELL MATURIN EDO MONAGAS</t>
  </si>
  <si>
    <t>AV LUIS DEL VALLE GARCIA EDIF DOÑA MARIA PISO P.B LOCAL 1 Y 2 SECTOR LAS AVENIDAS MATURIN EDO MONAGAS</t>
  </si>
  <si>
    <t>AVENIDA LIBERTADOR P/B LOCAL N02.  Estado Bolivar. Municipio Heres. Parroquia Catedral. Ciudad Bolivar</t>
  </si>
  <si>
    <t>AV. SAN VICENTE DE PAUL URB. VILLA LA ESTANCIA, CASA NRO 02, Ciudad Bolívar – Estado Bolívar</t>
  </si>
  <si>
    <t>CAICARA DEL ORINOCO EDO BOLIVAR</t>
  </si>
  <si>
    <t>Urb Jose Felix Rivas, Avenida 3, sector 5, Nro 61.  Estado Aragua. Municipio Mario Briceño Iragorry. Parroquia Caña de Azúcar. Maracay</t>
  </si>
  <si>
    <t>CTRA EL TIGRE/CARIS SECTOR LAS CUATRO VIAS.  Estado Anzoategui. Municipio Simón Rodríguez. Parroquia Edmundo Barrios 3/. El Tigre</t>
  </si>
  <si>
    <t>CR Nº7 URBANIZACION LAS COCUIZAS LOCAL NRO. 133 SECTOR LAS COCUIZAS MATURIN MONAGAS ZONA POSTAL 6201.  Estado Monagas. Municipio Maturín. Parroquia Las Cocuizas. Maturin</t>
  </si>
  <si>
    <t>AV EL EJERCITO EDIF SAN JOSE PISO PB LOCAL 2 URB ALTO LOS GODOS MATURIN MONAGAS</t>
  </si>
  <si>
    <t>AV. JOSE ANTONIO ANZOATEGUI COMPLEJO CIUDAD REAL AUTOPISTA BARCELONA - CARACAS FRENTE A HIPER LIDER, BARCELONA ESTADO ANZOATEGUI</t>
  </si>
  <si>
    <t>CALLE SUCRE Nº 78, A 50 MTS DEL BANCO DE VENEZUELA, FRENTE AL BODEGÓN LA PARED. CARIACO - EDO, SUCRE</t>
  </si>
  <si>
    <t>AVENIDA PRINCIPAL CENTRO COMERCIAL CARACAS, NIVEL P.B. LOCAL 09, URB. MONTALBAN III, ZONA POSTAL 1020.  MUNICIPIO LIBERTADOR. PARROQUIA LA VEGA. ESATDO DISTRITO CAPITAL</t>
  </si>
  <si>
    <t>PROLONGACION ZULOAGA CASA Nº25 LOS ROSALES. Estado Distrito Capital. Municipio Libertador. Parroquia Santa Rosalía. Caracas</t>
  </si>
  <si>
    <t>CALLE CEMENTERIO C/C NORTE NIVEL PB LOCAL 181-22 SECTOR NAGUANAGUA.</t>
  </si>
  <si>
    <t>Av Bolivar 100 (Bolivar Norte) C.C. Paseo Las Acacias Locales 17 18 19 20 21, Valencia Edo. Carabobo</t>
  </si>
  <si>
    <t>Centro Comercial y Profesional Paseo Orquidea locales A1 y A2 Planta Baja Naguanagua Edo Carabobo.  Estado Carabobo. Municipio Naguanagua . Parroquia Urbana Naguanagua. Naguanagua</t>
  </si>
  <si>
    <t>CALLE COLOMBIA # 99-11. Estado Carabobo. Municipio Valencia. Parroquia Urbana Catedral. Valencia</t>
  </si>
  <si>
    <t>Avenida mariscal sucre local sin numero sector casco central santa elena de uairen. Estado Bolivar. Municipio Gran Sabana. Sección Capital Gran Sabana 1/. Santa Elena De Uairen</t>
  </si>
  <si>
    <t>CALLE INDEPENDENCIA SECTOR CENTRO. Estado Anzoategui. Municipio Sir Arthur Mc Gregor . Parroquia Capital Sir Arthur Mc Gregor 1/. El Chaparro</t>
  </si>
  <si>
    <t>CALLE BOLIVAR CON CALLE URDANETA, CASCO CENTRAL. Estado Bolivar. Municipio Gran Sabana. Sección Capital Gran Sabana 1/. Santa Elena De Uairen</t>
  </si>
  <si>
    <t>AV N/I CC BRISAS DEL VALLE NIVEL PB LOCAL 6-7 SECTOR MUNICIPIO SAN DIEGO VALENCIA CARABOBO ZONA POSTAL 2006. ESTADO CARABOBO. MUNICIPIO SAN DIEGO. PARROQUIA URBANA SAN DIEGO. VALENCIA</t>
  </si>
  <si>
    <t>AV. PERIMETRAL C.C.SAN ANTONIO LOCAL E SAN ANTONIO DE LOS ALTOS . ESTADO MIRANDA. MUNICIPIO LOS SALIAS. PARROQUIA SAN ANTONIO DE LOS ALTOS. LOS TEQUES</t>
  </si>
  <si>
    <t>SAN ANTONIO DE LOS ALTOS EDO MIRANDA</t>
  </si>
  <si>
    <t>Calle Comercio sector el centro local sin número, parroquia Tacarigua, Municipio Brion del Estado Miranda. Estado Miranda. Municipio Brión. Parroquia Tacarigua. Tacarigua De Mamporal</t>
  </si>
  <si>
    <t>CALLE HURTADO ASCANIO C/C AYACUCHO, FRENTE AL HOSPITAL. ALTAGRACIA DE ORITUCO EDO GUARICO..  . MUNICIPIO JOSE TADEO MONAGAS. PAROQUIA CAPITAL ALTAGRACIA DE ORITUCO 1/. ALTAGRACIA DE ORITUCO</t>
  </si>
  <si>
    <t>CALLE ILUSTRES PROCERES LOCAL NRO 1 SECTOR SALADILLO. AL LADO DE LA ALCABALA . ESTADO GUÁRICO. MUNICIPIO JOSE TADEO MONAGAS. PARROQUIA CAPITAL ALTAGRACIA DE ORITUCO 1/. ALTAGRACIA DE ORITUCO</t>
  </si>
  <si>
    <t>PASEO ORINOCO CENTRO COMERCIAL ABBOU CENTER.  PARROQUIA CATEDRAL. MUNICIPIO ANGOSTURA. ESTADO BOLIVAR</t>
  </si>
  <si>
    <t>AV LIBERTADOR, CRUCE CON CALLE PRINCIPAL DEL SECTOR MORICHAL CASA S/N, PARROQUIA ALTO DE LOS GODOS</t>
  </si>
  <si>
    <t>AV ANDRES BELLO ENTRE PRIMERA Y SEGUNDA TRANSVERSAL EDIF EVERI PISO PB LOCAL A URB LOS PALOS GRANDES CARACAS (CHACAO) MIRANDA ZONA POSTAL 1060. ESTADO MIRANDA. CARACAS. CHACAO</t>
  </si>
  <si>
    <t>AV ANDRES BELLO ENTRE PRIMERA Y SEGUNDA TRANSVERSAL EDIF EVERI PISO PB LOCAL A URB LOS PALOS GRANDES CARACAS (CHACAO) MIRANDA ZONA POSTAL 1060. Estado Miranda. Municipio Chacao. Parroquia Chacao. Caracas</t>
  </si>
  <si>
    <t>AVENIDA ESPAÑA CRUCE CON AVENIDA PERIMETRAL LOCAL NRO S/N BARRIO CUYUNI SECTOR CIUDAD BOLIVAR. ZONA POSTAL 8001. ESTADO BOLIVAR. MUNICIPIO HERES. PARROQUIA JOSE ANTONIO PAEZ . CIUDAD BOLIVAR</t>
  </si>
  <si>
    <t>ESQUINAS DE CONDE A PRINCIPAL. EDIF LA PREVISORA PB NO3. CARACAS. Estado Distrito Capital. Municipio Libertador. Parroquia Santa Teresa. Caracas</t>
  </si>
  <si>
    <t>AV.HENRY FORD. CENTRO COMERCIAL PASEO LAS INDUSTRIAS, 2DA ETAPA.MEZZANINA. LOCAL 118.SECTOR PASEO LAS INDUSTRIAS,PARROQUIA RAFAEL URDANETA.VALENCIA.EDO. CARABOBO.</t>
  </si>
  <si>
    <t>AVENIDA ESPAÑA,LOCAL 04,SECTOR EL MIRADOR LA SABANITA,CIUDAD BOLIVAR.  Estado Bolivar. Municipio Heres. Parroquia La Sabanita . Ciudad Bolivar</t>
  </si>
  <si>
    <t>CALLE 3. EDIF.LIBERTADOR.PB.LOCALES E Y F.URB.VISTA ALEGRE. CARACAS. ESTADO DISTRITO CAPITAL. MUNICIPIO LIBERTADOR. PARROQUIA LA VEGA. CARACAS</t>
  </si>
  <si>
    <t>Avenida Principal de la Zona Industrial Santa Rosalía y la Carretera Troncal La Encrucijada - Villa de Cura, Hipermercado Central Madeirense, municipio Sucre, estado Aragua. Estado Aragua. Municipio Sucre. Parroquia Sucre . Cagua</t>
  </si>
  <si>
    <t>CALLE FALCÓN, EDIF. JOSEFA, PLANTA BAJA, LOCAL N° 108, ZONA CENTRAL. SANTA TERESA DEL TUY..  Estado Miranda. Municipio Independencia. Parroquia Santa Teresa del Tuy. Santa Teresa</t>
  </si>
  <si>
    <t>CALLE BOYACA ENTRE AV BOLIVAR Y SUCRE LOCAL S/N SECTOR SURTIDOR LA UNION CARABOBO ESTADO CARABOBO. Estado Carabobo. Municipio Bejuma. Parroquia Urbana Bejuma. Bejuma</t>
  </si>
  <si>
    <t>calle h con calle real cc comercial las palmas nivel PB sector casco central de Guanta..   Estado Anzoategui. Municipio Guanta. Parroquia Capital Guanta 1/. Guanta</t>
  </si>
  <si>
    <t>Av Nueva Valencia, Distribuidor San Luis, Centro Comercial Cave, Nivel PB, Local Comercial Nº 3-3, Sector Mercado Mayorista Tocuyito Municipio Libertador Estado Carabobo. Estado Carabobo. Municipio Libertador . Parroquia Urbana Tocuyito. Tocuyito</t>
  </si>
  <si>
    <t>CALLE MARISCAL SUCRE LOCAL 3 SANTA RLNA ESTADO BOLÍVAR . Estado Bolivar. Municipio Gran Sabana. Sección Capital Gran Sabana 1/. Santa Elena De Uairen</t>
  </si>
  <si>
    <t>Calle Sucre entre Transversal 23 y 24. Estado Miranda. Municipio Paz Castillo. Parroquia Santa Lucía. Santa Lucia</t>
  </si>
  <si>
    <t>Av. San Francisco de Asís, Edif. Morella, Local 1. Urb. Andres Eloy Blanco. Diagonal Redoma del Rotary.. Estado Bolivar. Municipio Heres. Parroquia Vista Hermosa. Ciudad Bolivar</t>
  </si>
  <si>
    <t>Calle Bermúdez casa n 65 sector José Manuel Cova Aguasay, municipio Aguasay estado Monagas . Estado Monagas. Municipio Aguasay . Parroquia Aguasay. Aguasay</t>
  </si>
  <si>
    <t>CALLE NUMERO 3 CASA NRO 12 URB LOS TAMARINDOS SECTOR 01 SAN FERNANDO DE APURE.  Estado Apure. Municipio San Fernando. Parroquia Urbana San Fernando. San Fernando De Apure</t>
  </si>
  <si>
    <t>AV CARAMACATE, LOCAL PLANTA BAJA, NUM S/N. SECTOR LOS SILOS, SAN FERNANDO DE APURE. ZONA POSTAL 7001. Estado Apure. Municipio San Fernando. Parroquia Urbana San Fernando. San Fernando De Apure</t>
  </si>
  <si>
    <t>AV BOLIVAR EDIF. CENTRO COMERCIAL SAN CARLOS PISO P/B LOCAL 9 SECTOR CENTRO. Estado Cojedes. Municipio San Carlos. Parroquia San Carlos de Austria. San Carlos</t>
  </si>
  <si>
    <t>AV BOLÍVAR EDIFICO QUINTIN LOCAL 03 FRENTE PLAZA BOLÍVAR LOS GUAYOS.. Estado Carabobo. Municipio Los Guayos. Parroquia Urbana Los Guayos. Valenci</t>
  </si>
  <si>
    <t>0414-4254214 / ADM: 0414-4270648</t>
  </si>
  <si>
    <t>calle sucre,entre 4ta y 5ta transversal local, casa n-11,locales 1,9,10,11, zona central, santa lucia del tuy,miranda. Estado Miranda. Municipio Paz Castillo. Parroquia Santa Lucía. Santa Lucia</t>
  </si>
  <si>
    <t>AV. EL EJERCITO. LOCAL N° 3, SECTOR LOS GODOS, PARROQUIA ALTOS LOS GODOS. MUNICIPIO MATURIN, ESTADO MONAGAS..  Estado Monagas. Municipio Maturín. Parroquia San Simón. Maturin</t>
  </si>
  <si>
    <t>AV PRINCIPAL DEL VIÑEDO NUMERO 17 SECTOR AGUA CLARA, ELVIÑEDO MUNICIPIO SIMON BOLIVAR. Estado Anzoategui. Municipio Simón Bolívar. Parroquia El Carmen. Barcelona</t>
  </si>
  <si>
    <t>AV PRINCIPAL CASA N D-7 LOCAL A URBANIZACIÓN RUIZ PINEDA ZONA 1 GUARENAS MUNICIPIO PLAZA. Estado Miranda. Municipio Plaza. Parroquia Guarenas. Guarenas</t>
  </si>
  <si>
    <t>AVENIDA MARTIN TRAVIESO, MERCADO MUNICIPAL DE CIUDAD PIAR, LOCAL BOTIQUERIA. Estado Bolivar. Municipio Raúl Leoni. Sección Capital Raúl Leoni 1/. Ciudad Piar</t>
  </si>
  <si>
    <t>AVENIDA BOLIVAR, CALLE PRINCIPAL LOCAL NRO 618, 3-46 Y 3-15 BARRIO SUR AMERICA EL VIGIA, ESTADO MERIDA. Estado Merida. Municipio Alberto Adriani . Parroquia Presidente Páez . El Vigia</t>
  </si>
  <si>
    <t>AV. FRANCISCO DE MIRANDA C.C. SIGLO XXI NIVEL PB LOCAL 2 SECTOR EL CENTRO.  Estado Anzoategui. Municipio Simón Rodríguez. Parroquia Miguel Otero Silva 3/. El Tigr</t>
  </si>
  <si>
    <t>calle mediterraneo manzana 005,CC Costa Mediterraneo Nivel PB local 06 .   Estado Bolivar. Municipio Caroní. Parroquia Cachamay . Puerto Ordaz (Ciudad Guayana</t>
  </si>
  <si>
    <t>AV 15 LOCAL NRO S/N SECTOR SAN ISIDRO EL VIGIA MÉRIDA ZONA POSTAL 5145</t>
  </si>
  <si>
    <t>CALLE NARVAEZ,CRUCE CON CALLE CHARAIMA,CASA 20-19,SECTOR GENOVES, PORLAMAR, ESTADO NUEVA ESPARTA. Estado Nueva Esparta. Municipio Mariño. Parroquia Santiago Mariño. Porlamar</t>
  </si>
  <si>
    <t>AVENIDA BOLIVAR NO. 126-A EDIFICIO CANDELARIA PLANTA BAJA .  Estado Anzoategui. Municipio Pedro María Freites. Parroquia Capital Pedro María Freites 1/. Cantaura</t>
  </si>
  <si>
    <t>CENTRO COMERCIAL INDUSTRIAL LOS NARANJOS LOCALES 1- 18 P.B LOS NARANJOS GUARENAS. Estado Miranda. Municipio Plaza. Parroquia Guarenas. Guarenas</t>
  </si>
  <si>
    <t>AV. LOS CARMENES CON 7MA. TRANSVERSAL. LOS JABILLOS EL CEMENTERIO. Estado Distrito Capital. Municipio Libertador. Parroquia Altagracia. Caracas</t>
  </si>
  <si>
    <t>CALLE GUASCO CON DELEITE, SECTOR CENTRO.  Estado Guarico. Municipio Leonardo Infante. Parroquia Capital Valle de La Pascua 1/. Valle De La Pascua</t>
  </si>
  <si>
    <t>Av. Anauco y Panteón con calle Roraima, edif. Conjunto Residencial Pórtico del Ávila, piso pb, local 07. Urb. San Bernardino, Caracas Distrito Capital. Zona postal 1010. Estado Distrito Capital. Municipio Libertador. Parroquia San Bernardino. Caracas</t>
  </si>
  <si>
    <t>CALLE HERES CRUCE CON CALLE RICAUTER LOCAL S/N SECTOR POBLACION EL CALLAO. Estado Bolivar. Municipio El Callao. Parroquia El Callao. El Callao</t>
  </si>
  <si>
    <t>CALLE IGUALDAD ENTRE CALLE LIBERTAD Y ARISMENDI. Estado Nueva Esparta. Municipio Mariño. Parroquia Santiago Mariño. Porlamar</t>
  </si>
  <si>
    <t>Calle San Rafael S/N boca de Pozo. Estado Nueva Esparta. Municipio Península de Macanao. Parroquia San Francisco. Macanao</t>
  </si>
  <si>
    <t>av. caracas local nro s/n sector terron duro san fernando de apure . Estado Apure. Municipio San Fernando. Parroquia Urbana San Fernando. San Fernando De Apure</t>
  </si>
  <si>
    <t>AV JOVITO VILLALBA EDIF CHAGUARAMOS PISO PB PAMPATAR. Estado Nueva Esparta. Municipio Maneiro. Parroquia Capital Maneiro 1/. Pampatar</t>
  </si>
  <si>
    <t>AV PRINCIPAL DE LAS COCUIZAS. LOCAL S/N. DIAGONAL MERCADO MERCA MEGA. SECTOR LAS COCUIZAS. MUNICIPIO MATURIN. ESTADO MONAGAS</t>
  </si>
  <si>
    <t>CALLE ENTRE LA ULTIMA. CALLE HACIA EL SUR DE LA UTB. RAMOS. HOY CALLE EL CRISTO Y LA AVENIDA PANAMERICANA. FRENTE AL CAFÉ EL NEG. QTA VILLA LUISA. NRO S/N. URB NUEVA CARACAS. CARACAS. DISTRITO CAPITAL</t>
  </si>
  <si>
    <t>Urbanización Nueva Caracas, entre el Cristo y la Av. Panamericana de la nueva Caracas, Quinta Villa Luisa Pb, Catia. Municipio Libertador- Caracas. Estado Distrito Capital. Municipio Libertador. Parroquia Sucre. Caracas</t>
  </si>
  <si>
    <t>CALLE 09 CASA 4 URBANIZACION JOSE ANTONIO PAEZ . Estado Apure. Municipio Rómulo Gallegos. Parroquia Urbana Elorza. Elorza</t>
  </si>
  <si>
    <t>AV. 5 DE JULIO CON PASEO MORENO DE MENDOZA Nº14, PARROQ.CATEDRAL, CIUDAD BOLIVAR. Estado Bolivar. Municipio Heres. Parroquia Catedral. Ciudad Boliva</t>
  </si>
  <si>
    <t>CALLE VELASQUEZ LOCAL N # 3 SECTOR CENTRO DE PORLAMAR PORLAMAR NUEVA ESPARTA. Estado Nueva Esparta. Municipio Mariño. Parroquia Santiago Mariño. Porlamar</t>
  </si>
  <si>
    <t>AVENIDA BOLIVAR ENTRE CALLE JOSE ARCHILA Y REINA LUCERO SECTOR CENTRO ELORZA ESTADO APURE. Municipio Rómulo Gallegos. Parroquia Urbana Elorza.</t>
  </si>
  <si>
    <t>Av. Miranda Sector Centro Local 105 Municipio Maturín Estado Monagas. Estado Monagas. Municipio Maturín. Parroquia San Simón. Maturin</t>
  </si>
  <si>
    <t>AV 100 (LAS FERIAS) INMUEBLE NRO 70-30 LOCAL NRO 2 SANTA ROSA MUNICIPIO VALENCIA EDO CARABOBO.  Estado Carabobo. Municipio Valencia. Parroquia Urbana Santa Rosa. Valencia</t>
  </si>
  <si>
    <t>0414-0420557 / 0412-3554550 / 0414-4194292</t>
  </si>
  <si>
    <t>AV. BOLIVAR CON CALLE AYACUCHO C.C. SAN MIGUEL PB LOCAL 3 Y 4, SECTOR CENTRO, PUNTA DE MATA ESTADO MONAGAS</t>
  </si>
  <si>
    <t>CALLE ROSCIO, C.C. FONSECA PEREIRA, NIVEL PB, LOCAL 1, SECTOR CASCO CENTRAL, SANTA ELENA DE UAIREN, MUNICIPIO GRAN SABANA, ESTADO BOLIVAR.  Estado Bolivar. Municipio Gran Sabana. Sección Capital Gran Sabana 1/. Santa Elena De Uairen</t>
  </si>
  <si>
    <t>FISCAL AV LAS REPÚBLICAS CON AVENIDA AMÉRICA CC CENTRO COMERCIAL ASISTENCIAL TERRAS PLAZA NIVEL COMERCIO LOCAL PB-L7 URB TERRAZAS DEL CLUB HÍPICO CARACAS MIRANDA</t>
  </si>
  <si>
    <t>04126155638  / 04241566806  /</t>
  </si>
  <si>
    <t>CALLE MIRANDA CRUCE CON CALLE ANZOATEGUI, EDIF CORAZON DE JESUS, SECTOR CENTRO. PARIAGUAN. MUNICIPIO FRANCISCO DE MIRANDA EDO ANZOATEGUI.</t>
  </si>
  <si>
    <t>AV BOLIVAR EDIF RADIO MONAGAS PISO P/B LOCAL 04 SECTOR CENTRO MATURIN MONAGAS</t>
  </si>
  <si>
    <t>0412-871-7308 / 0426-899-4145</t>
  </si>
  <si>
    <t>AV MENCA DE LEONI LOCAL NRO 2 BARRIO BOLIVAR 2000 PARROQUIA LA SABANITA CIUDAD BOLIVAR BOLIVAR</t>
  </si>
  <si>
    <t xml:space="preserve">LARA </t>
  </si>
  <si>
    <t>EDIFICIO CLINICA ORIENTE CARRETERA CUMANA CUMANACOA. ESTADO SUCRE.</t>
  </si>
  <si>
    <t>FINAL AV LIBERTADOR CON AV CARLOS MANUEL PIAR, EDIF HOSPIFARMA, FRENTE REDOMA EL PSIQUIATRICO, CIUDAD BOLIVAR.  Estado Bolivar. Municipio Heres. Parroquia Catedral. Ciudad Bolivar</t>
  </si>
  <si>
    <t>CALLE LA CRUZ, CRUCE CON CALLE FEDERICO VILLENA, EDIFICIO RESIDENCIAS LA ENTRADA, LOCAL NRO. 04, CASCO CENTRAL, SANTA CRUZ, MUNICIPIO JOSE ANGEL LAMAS ESTADO ARAGUA.  Estado Aragua. Municipio José Angel Lamas. Parroquia José Angle Lamas. Santa Cruz De Aragua</t>
  </si>
  <si>
    <t>AVENIDA FLORENCIO JIMENEZ ENTRE CALLES 12 Y 14, LOCAL NRO 01, SECTOR PUEBLO NUEVO, BARQUISIMETO, PARROQUIA JUAN DE VILLEGAS, MUNICIPIO IRIBARREN, ESTADO LARA.</t>
  </si>
  <si>
    <t>AV FRANCISCO DE MIRANDA CC MIGUELINA SECTOR PUEBLO NUEVO NORTE MUNICIPIO SIMON RODRIGUEZ EL TIGRE EDO ANZOATEGUI</t>
  </si>
  <si>
    <t>avenida principal de lechería, centro comercial paulista, local numero 2 .  Estado Anzoategui. Municipio Diego Bautista Urbaneja. Parroquia El Morro. Lecherias</t>
  </si>
  <si>
    <t>AV CAJIGAL LOCAL17-52 BARCELONA EDO ANZOATEGUI.</t>
  </si>
  <si>
    <t>SAN FRANCISCO DE ASIS EDO ARAGUA</t>
  </si>
  <si>
    <t>AVENIDA BOLIVAR, CRUCE CON PASAJE MIRANDA, Nº 129, LOCAL 2, SAN FRANCISCO DE ASIS, MUNICIPIO ZAMORA, ESTADO ARAGUA.</t>
  </si>
  <si>
    <t>SAN FRACISCO DE ASIS EDO ARAGUA</t>
  </si>
  <si>
    <t>CALLE LOS PROCERES, LOCAL N° 5 SECTOR 19 DE DE ABRIL, INTERCOMUNAL TURMERO-MARACAY.</t>
  </si>
  <si>
    <t>CALLE HUGO OLIVEROS LOCAL COMERCIAL NRO 104-50-70 SECTOR CENTRO CAGUA EDO ARAGUA</t>
  </si>
  <si>
    <t>CALLE ATANACIO GIRARDOT LOCAL FUNDO GONZALITO NRO 69 SECTOR SOROCAIMA III TURMERO ARAGUA ZONA POSTAL 2115</t>
  </si>
  <si>
    <t>PROLONGACION AV. PASEO CARONI, C.C SIERRA PARIMA NIVEL 1 LOCAL S/N PUERTO ORDAZ MUNICIPIO CARONI ESTADO BOLIVAR</t>
  </si>
  <si>
    <t>Calle paul N 06-30 . Estado Aragua. Municipio San Sebastián. Parroquia San Sebastián. San Sebastian</t>
  </si>
  <si>
    <t>AVENIDA ARANZAZU LOCAL 12 M-55 NRO 12 SECTOR COMUNIDAD RUIZ PINEDA II MUNICIPIO VALENCIA ESTADO CARABOBO</t>
  </si>
  <si>
    <t>CR 4 ENTRE CALLES 20 Y 21 CC BAUL DE LA ABUELA NIVEL PB LOCAL SECTOR CENTRO SANTA BARBARA BARINA</t>
  </si>
  <si>
    <t>SANTA TERESA DEL TUY EDO MIRANDA</t>
  </si>
  <si>
    <t>AVENIDA LIBERTADOR ENTRE TRONCAL 19 Y CALLE EL ANILLO, SECTOR CENTRO MANTECAL ESTADO APURE</t>
  </si>
  <si>
    <t>SAN JUAN BAUTISTA  EDO NUEVA ESPARTA</t>
  </si>
  <si>
    <t>AV PRINCIPAL DE SAN VICENTE LOCAL NRO 43 CERCA DE LA CASA DE LA CULTURA MATURIN EDO MONAGAS</t>
  </si>
  <si>
    <t>AV. COMERCIO ENTRE CALLE 6 Y 7 LOCAL NRO 6-50 SECTOR CENTRO SIQUISIQUE LARA ZONA POSTAL 3032.</t>
  </si>
  <si>
    <t>UD-125,25 DE MARZO ,MANZANA S/N,LOCAL N° 68 SAN FELIX.  Estado Bolivar. Municipio Caroní. Parroquia Simón Bolívar. San Felix (Ciudad Guayana)</t>
  </si>
  <si>
    <t>PASEO MENESES LOCAL 55 CIUDAD BOLIVAR ESTADO BOLIVAR</t>
  </si>
  <si>
    <t>AV PRINCIPAL LOS GUARITOS LOCAL NRO L2 SECTOR LOS GUARITOS MATURIN MONAGAS ZONA</t>
  </si>
  <si>
    <t>CALLE EL CAMPO A 50 METROS DE LA CANCHA DEPORTIVA CASA NRO S/N SECTOR APURITO APURITO APURE ZONA POSTAL 7003</t>
  </si>
  <si>
    <t>Barrio san José, callejón 5 edificio 5 frente al terminal. Barinas</t>
  </si>
  <si>
    <t>CALLE 7 LOCAL NRO 26 SECTOR MERCADO VIEJO MATURIN MONAGAS ZONA POSTAL 620</t>
  </si>
  <si>
    <t>CALLE PRINCIPAL CASA NRO S/N SECTOR LA PUENTE MATURIN MONAGAS</t>
  </si>
  <si>
    <t>CALLE TUCUPITA EDIFICIO SANTA INES NRO 03 SECTOR CENTRO. TUCUPITA, ESTADO DELTA AMACURO</t>
  </si>
  <si>
    <t>MESA DE CAVACAS (GUANARE) EDO PORTUGUESA</t>
  </si>
  <si>
    <t>AVENIDA 23 DE ENERO CON AVENIDA SIMON BOLIVAR AL LADO DEL HOTEL PORTUGUESA GUANARE PORTUGUESA.</t>
  </si>
  <si>
    <t>CALLE 9, ENTRE AVENIDA 5 Y 6, SECTOR LA MATA, PARROQUIA CABUDARE MUNICIPIO PALAVECINO. CENTRO INDUSTRIA Y SERVICIO ROS_VEN, LOCAL C-12. CABUDARE</t>
  </si>
  <si>
    <t>0416-1052-181   /    0414-5569-211</t>
  </si>
  <si>
    <t>SAN RAFAEL DE ONOTO EDO PORTUGUESA</t>
  </si>
  <si>
    <t>BOCA DE UCHIRE EDO ANZOATEGUI</t>
  </si>
  <si>
    <t>AVENIDA 23 DE ENERO, CENTRO COMERCIAL VEMECA, LOCAL NRO 12. FRENTE A HOTEL BRISTOL DESPUES DEL ELEVADO DE LA AVENIDA 23 DE ENERO</t>
  </si>
  <si>
    <t>calle sucre sector el centro edificio damasco.  Estado Barinas. Municipio Rojas. Parroquia Dolores. Barinas</t>
  </si>
  <si>
    <t>AV PRINCIPAL CASA NRO S/N BARRIO LAS PALMAS PAYARA PORTUGUESA</t>
  </si>
  <si>
    <t>0424 - 5671107 ENCARGADO EN COMPRAS 0424-5671177 FINANZAS</t>
  </si>
  <si>
    <t>04244132036 YANELIS SANCHEZ (COMPRAS)</t>
  </si>
  <si>
    <t>AVENIDA LIBERTADOR Y CALLE LA MORITA VALLE DE LA PASCUA ESTADO GUARICO</t>
  </si>
  <si>
    <t>AVENIDA MIRANDA CRUCE CON VARGAS LOCAL 05-12 SECTOR CENTRO TINAQUILLO.  COJEDES.</t>
  </si>
  <si>
    <t>SAN JUAN BAUTISTA EDO NUEVA ESPARTA</t>
  </si>
  <si>
    <t>CALLE PRINCIPAL CASA N° S/N CASERIO CÓRDOBA, ESTADO PORTUGUESA Estado Portuguesa.</t>
  </si>
  <si>
    <t>ESQUINA DE ALCABALA A PUENTE ANAUCO. Estado Distrito Capital. Municipio Libertador. Parroquia Candelaria. Caracas</t>
  </si>
  <si>
    <t>Av. Principal del Cementerio, Edif. Bancenco, Piso PB, Local 1..  Estado Distrito Capital. Municipio Libertador. Parroquia Santa Rosalía. Caracas</t>
  </si>
  <si>
    <t>Calle Andres Bello, Local Comercial N33-A, PB, Sector Casco Central de Santa Teresa del Tuy.Estado Miranda.</t>
  </si>
  <si>
    <t>AV INTERCOMUNAL VEREDA 7 LOCAL N° 11 URB LA CORINA PUERTO CABELLO.  ESTADO CARABOBO</t>
  </si>
  <si>
    <t>MORON (SAN FELIPE) EDO CARABOBO</t>
  </si>
  <si>
    <t>Calle Monagas, Edificio Don Pepe, Piso Planta Baja, Local Nro 4, Sector Centro, Tinaco, Municipio Tinaco del Estado Cojedes.</t>
  </si>
  <si>
    <t>CIUDAD BOLIVIA ESTADO BARINAS</t>
  </si>
  <si>
    <t>CARIPE (SAN AGUSTIN) EDO MONAGAS</t>
  </si>
  <si>
    <t>0424-3454983    -   0414-0463012</t>
  </si>
  <si>
    <t>0424-3454983        -       0412-4237986</t>
  </si>
  <si>
    <t>+58 424-3454983        -          0424-3290331</t>
  </si>
  <si>
    <t>Av Pedro Perez Delgado Edif Hotel Restaurant Nicola Piso PB Local S/n Sector La Gran Parada Ospino Portuguesa. Estado Portuguesa</t>
  </si>
  <si>
    <t xml:space="preserve">AV PAEZ CASA NRO S/N SECTOR CENTRO LA APARICION. CERCA DE OSPINO. ESTADO PORTUGUESA  </t>
  </si>
  <si>
    <t>Avenida Monagas, Sector Tierra Santa, parroquia Santa Maria de Ipire. Estado Guarico.</t>
  </si>
  <si>
    <t>CALLE PETION CRUCE CON CALLE URDANETA CASA NRO PARCELA 1-1 SECTOR - TURMERO ARAGUA.  Estado Aragua.</t>
  </si>
  <si>
    <t>+58 412-4433064     0412-8309378</t>
  </si>
  <si>
    <t>0412-9120684     -   0412-4433064</t>
  </si>
  <si>
    <t>AVENIDA PRINCIPAL JOSE FELIX RIBAS, ENTRE CALLE UNION 4.LOS CEERAJONES .  Estado Lara. Municipio Iribarren.</t>
  </si>
  <si>
    <t>CALLE 5 NEGRO PRIMERO ENTRE CARR 4Y5 SECTOR CENTRO BISCUCUY, EDO PORTUGUESA.  Estado Portuguesa.</t>
  </si>
  <si>
    <t>Carretera via SAN CRISTOBAL SECTOR LA SEQUIA PICADERA 1 MUNICIPIO CIUDAD BOLIVIA PEDRAZA.  Estado Barinas.</t>
  </si>
  <si>
    <t>CIUDAD BOLIVIA (PEDRAZA LA VIEJA)</t>
  </si>
  <si>
    <t>CALLE GUAYANA EDIF BLUE HILL PISO PB LOCAL 1 Y 4 SECTOR CASCO CENTRAL MUNICIPIO SIMON RODRIGUEZ.  Estado Anzoategui.</t>
  </si>
  <si>
    <t>0424 5237531 CUENTAS POR PAGAR</t>
  </si>
  <si>
    <t>Av.Bolivar local n-2-10 sector centro el pao. Cojedes</t>
  </si>
  <si>
    <t>AV. BOLIVAR  CRUCE CON CALLEJON LAS BABAS LOCAL NRO 01 SECTOR LOS SAMANES, FRENTE A LA IGLESIA., SAN CARLOS, COJEDES</t>
  </si>
  <si>
    <t>CTRA 1 SECTOR EL CAMPITO PUNTA GORDA BARINAS</t>
  </si>
  <si>
    <t>0424-3252820      +58 424-3454983</t>
  </si>
  <si>
    <t>PB-1, PB-2 Y PB-3 SITUADO EN LA RESIDENCIA RAMI ENTRE CALLE COELLO Y GARCIA, URBANIZACION LA CAMPIÑA, PARROQUIA EL RECREO , MUNICIPIO LIBERTADOR, CARACAS DISTRITO CAPITAL .</t>
  </si>
  <si>
    <t>AV URDANETA (ESTE-UNO)ENTRE LAS ESQUINAS DE CANDILITO Y URAPAL EDIFICIO DILCAN PISO PB LOCAL S/N URB LA CANDELARIA</t>
  </si>
  <si>
    <t>AVENIDA ESTE 2 CON AV SYR EDIF KAPADARE PB LOCALES 5 Y 6 MUNICIPIO LIBERTADOR CARACAS.  Estado Distrito Capital. Municipio Libertador. Parroquia Candelaria. Caracas</t>
  </si>
  <si>
    <t>AV LOS PROCERES, PLANTA BAJA LOCAL S/N LOCAL 4 SECTOR TIPURO PARROQUIA BOQUERON, MUNICIPIO MATURIN</t>
  </si>
  <si>
    <t>AV. PRINCIPAL DE LA CRUZ LOCAL 1 Y 2 FRENTE A LA PLAZA, PARROQUIA LA CRUZ, MUNICIPIO MATURIN</t>
  </si>
  <si>
    <t>CALLE PRINCIPAL LOCAL NRO A -1 SECTOR 3 DE SABANA GRANDE, PARROQUIA LAS COCUIZAS</t>
  </si>
  <si>
    <t>CENTRAL DE TACARIGUA EDO CARABOBO</t>
  </si>
  <si>
    <t>Calle 2 entre carreras 7 y 8. Local Nro 7-50 Sector Casco Central La Fria.  Estado Tachira. Municipio García de Hevia. Parroquia García de Hevia . La Fria</t>
  </si>
  <si>
    <t xml:space="preserve">TACHIRA </t>
  </si>
  <si>
    <t>Calle Trompillo entre Ollarvides y Riera, Puerta Maraven, local S/N, Municipio Carirubana, Punto Fijo. Estado Falcon.</t>
  </si>
  <si>
    <t>CALLE MIRANDA LOCAL SAN JOSE NRO 1 SECTOR CENTRO ELBAUL COJEDES. Municipio Girardot. Parroquia El Baúl.</t>
  </si>
  <si>
    <t>Avenida jose antonio paez, carrera n° 11 local n°11 s/n barrio el liceo guanarito estado portuguesa. Municipio Guanarito. Parroquia Capital Guanarito</t>
  </si>
  <si>
    <t>ALLE 4 LOCAL NRO 2 URB JOSE ANTONIO PAEZ GUANARE PORTUGUESA</t>
  </si>
  <si>
    <t>Av. intercomunal cabudare-la piedad.urb el bosque, local nro 01, los rastrojos..  Estado Lara. Municipio Palavecino. Parroquia José Gregorio Bastidas. Cabudare</t>
  </si>
  <si>
    <t>Edificio longeira local planta baja calle machado zuoaga los magallanes de catia .  Estado Distrito Capital. Municipio Libertador. Parroquia Sucre. Caracas</t>
  </si>
  <si>
    <t xml:space="preserve">YARACUY </t>
  </si>
  <si>
    <t>Avenida Juan Vicente Torrealba, sector la Paraita, parroquia Camaguan, municipio Esteros de camaguan, Estado Guarico frente al terminal de pasajeros.</t>
  </si>
  <si>
    <t>AVENIDA 5 DE JULIO EDIF DA VINCI P.B, LOCAL C SECTOR CENTRO PUERTO LA CRUZ ANZOATEGUI Estado Anzoategui. Municipio Juan Antonio Sotillo. Parroquia Capital Puerto La Cruz 1/. Puerto La Cruz</t>
  </si>
  <si>
    <t>Carretera nacional vía puerto de nutrias, sector Cañaverales 800mts después de la escuela y la iglesia preguntar por la profe Carmen Alvarado</t>
  </si>
  <si>
    <t>Avenida principal de la Urbanizacion francisco de miranda local s/n, los proceres, sector los proceres. Estado Portuguesa. Municipio Guanare.</t>
  </si>
  <si>
    <t>AV. BOLIVAR CC EL CASTILLO NIVEL SIN NUMERO LOCAL S/N SECTOR EL BOLSILLO CANTAURA. ANZOATEGUI</t>
  </si>
  <si>
    <t>Av rafael gonzalez, esquina calle el paraiso local nro (A) urb santa irene punto fijo falcon .  Estado Falcon. Municipio Carirubana. Parroquia Carirubana. Punto Fijo</t>
  </si>
  <si>
    <t>0412-7420289 / 0414-4298034 / 0414-5920267</t>
  </si>
  <si>
    <t>AV CARABOBO CON CARERA 30 LOCALES 30-44 Y 30-52 PB CENTRO COMERCIAL DON JULIO, BARQUISIMETO .Estado Lara. Municipio Iribarren. Parroquia Concepción.</t>
  </si>
  <si>
    <t>Carrera 17 con calle 51 Edificio Santa Inés, Piso PB Local S/N Zona Oeste - Barquisimeto Parroquia Concepción Municipio Iribarren. Estado Lara .</t>
  </si>
  <si>
    <t>AV GENERAL PATIÑO CON CRUCE AV ORELLANA,C.C MARIA FRANCIA LOCAL N°04,PB, CABUDARE MUNICIPIO PALAVECINO, PARROQUIA CABUDARE LARA.</t>
  </si>
  <si>
    <t>AVENIDA LA MONTANITA CON CALLE 6 LOTE 21 CASA 21-25 URBANIZACION LAS MERCEDES LOS RASTROJOS. CABUDARE  Estado Lara</t>
  </si>
  <si>
    <t>AVENIDA INTERCOMUNAL VIA DUACA LOCAL S/N SAN BENITO BARQUISIMETO PARROQUIA CATEDRAL MUNICIPIO IRIBARREN ESTADO LARA.</t>
  </si>
  <si>
    <t>AVENIDA MORAN CON CARRERA 28; SECTOR ESTE BARQUISIMETO; LOCAL NRO SN; ; CERCA DEL CIRCULO MILITAR. Estado Lara.</t>
  </si>
  <si>
    <t>AVENIDA TROCADERO ESQUINA CALLE 13 LOCAL N° 1 SECTOR CENTRO CAMPO ALEGRE DE YARITAGUA. Estado Yaracuy. Municipio Peña. Parroquia Capital Peña. Yaritagua</t>
  </si>
  <si>
    <t>BOULEVARD 5 DE JULIO, EDIF. SAN ANTONIO, LOCAL 1..  Estado Anzoategui. Municipio Simón Bolívar. Parroquia San Cristóbal. Barcelona</t>
  </si>
  <si>
    <t>AV. PRINCIPAL DE BOYACA IV, CON VEREDA 48, URB. BOYACA IV, LOCAL 1C, MUNICIPIO SIMON BOLIVAR.  Estado Anzoategui. Municipio Simón Bolívar. Parroquia San Cristóbal. Barcelona</t>
  </si>
  <si>
    <t xml:space="preserve">ZULIA </t>
  </si>
  <si>
    <t>Calle Este II local nº3 Urb Arturo Michelena Turmero Estado Aragua.  Estado Aragua. Municipio Santiago Mariño. Parroquia No Urbana Samán de Guere.</t>
  </si>
  <si>
    <t>CALLE MARIÑO C/SUCRE SECTOR 19 DE ABRIL INTERCOMUNAL MARACAY TURMERO-ARAGUA.   Estado Aragua. Municipio Santiago Mariño</t>
  </si>
  <si>
    <t>AVENIDA BOLIVAR CRUCE CON CALLE RICAURTE LOCAL NUMERO 54 AL LADO DEL BANCO BANESCO CANTAURA EDO ANZOATEGUI.  Estado Anzoategui. Municipio Pedro María Freites. Parroquia Capital Pedro María Freites 1/. Cantaura</t>
  </si>
  <si>
    <t>CENTRO EMPRESARIAL PUNTA DEL ESTE, AVENIDA CARUPANO, LOCAL Nº 02. CUMANA ESTADO  SUCRE. Estado Sucre. Municipio Sucre. Parroquia Valentín Valiente. Cuman</t>
  </si>
  <si>
    <t>CTRA PETARE SANTA LUCIA KM 15 NRO 7 URB VALLE FRESCO, FILAS DE MARICHE.  Estado Miranda. Municipio Sucre. Parroquia Fila de Mariches. Caracas</t>
  </si>
  <si>
    <t>Calle Bolívar cruce con Calle Froilan Correa, Edificio Melean, Planta Baja, Local #01, Centro de Cagua, Edo Aragua.</t>
  </si>
  <si>
    <t>CALLE 61 ESQUINA CARRERA 12 LOCAL NRO S/N SECTOR OESTE BARQUISIMETO.  Estado Lara. Municipio Iribarren. Parroquia Juan de Villegas.</t>
  </si>
  <si>
    <t>AV FLORENCIO JIMENEZ CON AV LA SALLE CC METROPOLIS NIVEL AGUA LOCAL 93 SECTOR OESTE. BARQUISIMETO LARA</t>
  </si>
  <si>
    <t>AVENIDA LIBERTADOR CON AVENIDA CARABOBO, PARROQUIA CATEDRAL, MUNICIPIO IRIBARREN DEL ESTADO LARA</t>
  </si>
  <si>
    <t>AVENIDA 7 ENTRE CALLES 13 Y 14, LOCAL S/N, PARROQUIA JUAN BAUTISTA RODRIGUEZ, QUIBOR, MUNICIPIO JIMENEZ DEL ESTADO LARA..</t>
  </si>
  <si>
    <t>CENTRO COMERCIAL LA ESTANCIA, NIVEL P.B. LOCAL 8A, AV. INTERCOMUNAL BARQUISIMETO ACARIGUA, SECTOR LA PIEDAD NORTE, CABUDARE ESTADO LARA.</t>
  </si>
  <si>
    <t>CARRERA 19 ENTRE CALLES 12 Y 13 EDIF. RODUAR I PISO PB LOCAL S/N CENTRO BARQUISIMETO EDO. LARA .</t>
  </si>
  <si>
    <t>AV. FLORENCIO JIMENEZ CON CALLE 4 Y 5 CASA N°S/N BARRIO SAN FRANCISCO BQTO LARA.  Estado Lara. Municipio Iribarren. Parroquia Concepción. Barquisimeto</t>
  </si>
  <si>
    <t>CARRERA 8 ENTRE CALLES 6Y7, PIRITU, ESTADO PORTUGUESA. Estado Portuguesa. Municipio Agua Blanca. Parroquia Agua Blanca. Acarigua</t>
  </si>
  <si>
    <t>AV ALI PRIMERA CC QUATRO´S NIVEL - LOCAL Q-8 SECTOR PAVIA KM 10 BARQUISIMETO LARA ZONA POSTAL 3001.  Estado Lara.</t>
  </si>
  <si>
    <t>AVENIDA BOLIVAR ESQUINA CALLE 8, TUREN, ESTADO PORTUGUESA . Estado Portuguesa. Municipio Turén.</t>
  </si>
  <si>
    <t>CARRERA 1 CON CALLE 4 Nº: 4-12 BARRIO ANDRES ELOY BLANCO BARQUISIMETO ESTADO LARA .  Estado Lara. Municipio Iribarren.</t>
  </si>
  <si>
    <t>Avenida Florencio jimenez kilomentro 8 local S/N Barrio Negro primero frente a la estacion de servicio texaco barquisimeto edo. Lara.</t>
  </si>
  <si>
    <t>CALLE COMERCIO CON CALLE JUNIN. ESTADO LARA. MUNICIPIO ANDRÉS ELOY BLANCO. PARROQUIA PÍO TAMAYO. AGUADA GRANDE BARQUISIMETO</t>
  </si>
  <si>
    <t>CARRETERA VIA CUARA LOCALES 1 Y 2 SECTOR LA CEIBA SUR.  Estado Lara. Municipio Jiménez. Parroquia Juan Bautista Rodríguez. Quibor</t>
  </si>
  <si>
    <t>Avenida 105 Carabobo. Manzana Y. Parcela 735. Casa 144-20. Urb La Viña. Estado Carabobo. Municipio Valencia. Parroquia Urbana San José. Valencia</t>
  </si>
  <si>
    <t>Sector Mision Abajo, Calle 8, Entre Carreras 1 y 2. Estado Guarico. Municipio Francisco de Miranda. Parroquia Capital Calabozo 1/. Calabozo</t>
  </si>
  <si>
    <t>0414-5238506 /  0412- 8256355</t>
  </si>
  <si>
    <t>0424-838-55-51 / 0412-114-61-37</t>
  </si>
  <si>
    <t>CARRETERA NACIONAL VIA SAN CARLOS, ENTRE CALE 6 Y 7. S/N. SECTOR AGUA BLANCA . PORTUGUESA.</t>
  </si>
  <si>
    <t>CALLE 11 ENTRE CARRERA 1 Y 2 MANZANA 7 LOCAL NRO 1-55 SECTOR NARANJALES PUERTO TETEO NARANJALES TACHIRA ZONA POSTAL 5032.  Estado Tachira. Municipio Fernández Feo. Parroquia Fernández Feo . El Piñal</t>
  </si>
  <si>
    <t>L CALLE 11 ENTRE CARRERA 1 Y 2 MANZANA 7 LOCAL NRO 1-55 SECTOR NARANJALES PUERTO TETEO NARANJALES TACHIRA ZONA POSTAL 5032.  Estado Tachira. Municipio Fernández Feo. Parroquia Fernández Feo . El Piñal</t>
  </si>
  <si>
    <t>calle 1 con carrera 8 y 9 casa nro 24. sector casco central seboruco municipio seboruco estado tachira.  Estado Tachira. Municipio Seboruco. Parroquia Seboruco. Seboruco</t>
  </si>
  <si>
    <t>AVENIDA LUCIO OQUENDO QUINTA FRANCIA Nº 5-106 LA CONCORDIA FRENTE AL HOSPITAL CENTRAL DE SAN CRISTOBAL EDO.TACHIRA.  Estado Tachira. Municipio San Cristóbal. Parroquia La Concordia. San Cristobal</t>
  </si>
  <si>
    <t>Calle principal Pasaje Las Quebraditas, Casa N° 11 -230, La Grita, Municipio Jáuregui, Estado Táchira.  Estado Tachira. Municipio Jáuregui. Parroquia Emilio Constantino Guerrero. La Grita</t>
  </si>
  <si>
    <t>CALLE 6 CARRERA 4, CENTRO COMERCIAL PLAZA REAL NIVEL B LOCAL 1,2,3,4 SECTOR TARIBA .  Estado Tachira. Municipio Cárdenas. Parroquia Cárdenas . Tariba</t>
  </si>
  <si>
    <t>ctra panamericana local Nro S/N sector san alejo de sabana de mendoza valmorez Rodriguez Trujillo zona postal 3110 .  Estado Trujillo. Municipio Sucre. Parroquia Sabana de Mendoza. Sabana De Mendoza</t>
  </si>
  <si>
    <t xml:space="preserve">TRUJILLO </t>
  </si>
  <si>
    <t>CALLE 10, CASA N° 56, URBANIZACION BARAURE 2, SECTOR 7, ARAURE ESTADO PORTUGUESA</t>
  </si>
  <si>
    <t>CALLE BOLIVAR SECTOR CENTRO S/N C.C. LA PASTOREÑA.  Estado Falcon. Municipio Zamora. Parroquia La Ciénaga. Cumarebo</t>
  </si>
  <si>
    <t>AV BOLIVAR LOCAL 76 SECTOR CENTRO SABANA DE MENDOZA TRUJILLO .  Estado Trujillo. Municipio Andrés Bello . Parroquia Araguaney . Batatal</t>
  </si>
  <si>
    <t>Carretera nacional km1, detrás de los silos Essagua, el Socorro- Guarico</t>
  </si>
  <si>
    <t>AV 5 DE JULIO PUERTO LA CRUZ ANZOATEGUI</t>
  </si>
  <si>
    <t>CARRERA 5 CASA LOCAL Nª 2 NRO 7-70 SECTOR CASCO CENTRAL, COLONCITO.  Estado Tachira. Municipio Panamericano. Parroquia Panamericano . Coloncito</t>
  </si>
  <si>
    <t>CARRERA 8 ENTRE CALLES 4 Y 5 CASA S/N SECTOR CENTRO PIRITU ESTADO PORTUGUESA.  Estado Portuguesa. Municipio Esteller. Parroquia Capital Esteller</t>
  </si>
  <si>
    <t>VIA PRINCIPAL DE LA POBLACION DE LA PALMITA,SECTOR CAÑO CUCHARON CALLE 1 EDIF. DON SIXTO ,LOCAL N°1 MUNICIPIO ESTADO TACHIRA ZONA POSTAL 5038.  Estado Tachira. Municipio Panamericano. Parroquia La Palmita. Coloncito</t>
  </si>
  <si>
    <t>AVENIDA QUINTA ENTRE CALLES 9-79 SECTOR CENTRO, MUNICIPIO SAN CRISTOBAL, ESTADO TACHIRA..  Estado Tachira. Municipio San Cristóbal. Parroquia San Juan Bautista. San Cristobal</t>
  </si>
  <si>
    <t>AV 5TA ENTRE CALLES 9 Y 10 LOCAL NRO 9-79 SECTOR CENTRO SAN CRISTOBAL TACHIRA</t>
  </si>
  <si>
    <t>Av.Pricipal con carrera 4 casa Nº2-79 sector Santa Teresa . .  Estado Tachira. Municipio San Cristóbal. Parroquia San Juan Bautista. San Cristobal</t>
  </si>
  <si>
    <t>Av Bolivar oeste, sector centro norte, local n°10. parroquia Andres Eloy Blanco. municipio Girardot. Maracay - Edo Aragua.   Estado Aragua. Municipio Girardot . Parroquia Urbana Andrés Eloy Blanco. Maracay</t>
  </si>
  <si>
    <t>Av. José Laurencio Silva, Edf. Italo, piso PB, local N°2, sector Centro..  Estado Cojedes. Municipio San Carlos. Parroquia San Carlos de Austria. San Carlos</t>
  </si>
  <si>
    <t>CALLE PRINCIPAL CC EL IMPERIO DEL REGALO NIVEL 1 LOCAL N°4 SECTOR EL PIÑAL SAN RAFAEL DEL PIÑAL TACHIRA ZONA POSTAL 5032.  Estado Tachira. Municipio Fernández Feo. Parroquia Fernández Feo . El Piñal</t>
  </si>
  <si>
    <t>SAN RAFAEL DEL PIÑAL EDO TACHIRA</t>
  </si>
  <si>
    <t>calle principal cc graciano nivel 1 local nro 1 sector san josecito san josecito tachira zona postal 5001.  Estado Tachira. Municipio Torbes . Parroquia Torbes. San Josecito</t>
  </si>
  <si>
    <t>calle 4 entre carrera 10 y 11 casa Nro 10-111 sector naranjales san rafael del piñal tachira zona postal 5032 .  Estado Tachira. Municipio Fernández Feo. Parroquia Alberto Adriani. El Piñal</t>
  </si>
  <si>
    <t>AV PRINCIPAL DE PUEBLO NUEVO LOCAL NRO 18374 SECTOR LAS PILAS SAN CRISTOBAL ESTADO TACHIRA ZONA POSTAL 5001.  Estado Tachira. Municipio San Cristóbal. Parroquia San Juan Bautista. San Cristobal</t>
  </si>
  <si>
    <t>Carrera 5 Nº 011 sector Bella Vista capacho nuevo. .  Estado Tachira. Municipio Independencia. Parroquia Independencia . Independencia</t>
  </si>
  <si>
    <t>avenida ferrero tamayo con av principal de pueblo nuevo edificio bonsai piso pb local 2 .  Estado Tachira. Municipio San Cristóbal. Parroquia San Juan Bautista. San Cristobal</t>
  </si>
  <si>
    <t>CALLE 21, ENTRE AVENIDA 20 Y CARRERA 21, EDIFICIO SEVERINO, LOCAL 05, SECTOR CENTRO, BARQUISIMETO, ESTADO LARA, VENEZUELA.</t>
  </si>
  <si>
    <t>CALLE 5 LOCAL #4-25 BARRIO LIBERTADOR PARTE ALTA .  Estado Tachira. Municipio San Cristóbal. Parroquia Pedro María Morantes. San Cristobal</t>
  </si>
  <si>
    <t>Calle principal casa S/n quebrada arriba parroquia El Blanco, municipio Torres Estado Lara .  Estado Lara. Municipio Torres. Parroquia El Blanco. Carora</t>
  </si>
  <si>
    <t>CTRA 5 CON CALLE 10 CASA NRO 9-78 SECTOR MONSEÑOR BRICEÑO TARIBA TACHIRA.  Estado Tachira. Municipio Andrés Bello. Parroquia Andres Bello. Abejales</t>
  </si>
  <si>
    <t>Calle 04 casa N°86 Sector Colinas del Santo Cristo, Las Mesas-Estado Tachira.  Estado Tachira. Municipio Antonio Rómulo Costa. Parroquia Antonio Rómulo Costa. Seboruco</t>
  </si>
  <si>
    <t>CALLE PRINCIPAL EDIF RESIDENCIAS FLORIDA SUITE PISO PB LOCAL 2 BARRIO LAS FLORES SAN CRISTOBAL TACHIRA ZONA POSTAL 5001.  Estado Tachira. Municipio San Cristóbal. Parroquia La Concordia. San Cristobal</t>
  </si>
  <si>
    <t>chururu calle principal casa s-n sector canta ranas.  Estado Tachira. Municipio Fernández Feo. Parroquia Santo Domingo. El Piñal</t>
  </si>
  <si>
    <t>0424-352-8000  / 0424-324-1593</t>
  </si>
  <si>
    <t>0424-352-8000 / 0424-324-1593 / 0412-148-3243</t>
  </si>
  <si>
    <t>BOCA DE RIO EDO NUEVA ESPARTA</t>
  </si>
  <si>
    <t>0424-352-8000 / 0424-324-1593 /</t>
  </si>
  <si>
    <t>Calle 2 entre Carreras 1 y 2 Sector Los Leones Local 6 el Piñal. .  Estado Tachira. Municipio Fernández Feo. Parroquia Fernández Feo . El Piñal</t>
  </si>
  <si>
    <t xml:space="preserve">AV LIBERTADOR C/C GUASCO CASA PB NRO 1 SECTOR CENTRO VALLE DE LA PASCUA. GUARICO  </t>
  </si>
  <si>
    <t xml:space="preserve">Calle real cruce con 23 de enero sector la gran via. Estado Guarico. Municipio Leonardo Infante. Parroquia Capital Valle de La Pascua 1/. Valle De La Pascua   </t>
  </si>
  <si>
    <t>ector La trinidad, edecio la Riva I, calle 01, vereda 02..  Estado Merida. Municipio Caracciolo Parra Olmedo . Parroquia Capital Caracciolo Parra Olmedo 1/. Tucani</t>
  </si>
  <si>
    <t>sector La trinidad, edecio la Riva I, calle 01, vereda 02.. Estado Merida. Municipio Caracciolo Parra Olmedo . Parroquia Capital Caracciolo Parra Olmedo 1/. Tucani</t>
  </si>
  <si>
    <t>Av. Principal Pasaje 14 Local 21-B - 21-C. Barrio San José. Maracay Edo. Aragua.  Estado Aragua. Municipio Girardot . Parroquia Urbana Joaquín Crespo . Maracay</t>
  </si>
  <si>
    <t>CALLE 3 LOCAL NRO 3-50 SECTOR PALMIRA TACHIRA. Estado Tachira. Municipio Guásimos. Parroquia Guásimos. Palmira</t>
  </si>
  <si>
    <t>MARIARA SECTOR LA HACIENDITA LOCAL NUMERO 09 AV CARABOBO .  Estado Carabobo. Municipio Diego Ibarra. Parroquia Urbana Mariara. Mariara</t>
  </si>
  <si>
    <t>CALLE VARGAS NORTE NO 27 LOCAL NRO 1 SECTOR CENTRO MARACAY ARAGUA ZONA</t>
  </si>
  <si>
    <t>0412-8461733  /  0412-7541503</t>
  </si>
  <si>
    <t>Carrera 3 ,Nº 1-70 ,Sector Casco Central La Grita. .  Estado Tachira. Municipio Jáuregui. Parroquia Jáuregui . La Grita</t>
  </si>
  <si>
    <t>Quinta Avenida edificio San Sebastian Piso P.B local 2-35 San Cristobal Estado Tachira .  Estado Tachira. Municipio San Cristóbal. Parroquia San Juan Bautista. San Cristobal</t>
  </si>
  <si>
    <t xml:space="preserve">Av. Principal Francisco de Miranda con calle Los Laboratorios. Edf. Noel Motor. Piso Los Ruices. Edo. Miranda.   </t>
  </si>
  <si>
    <t>Ubicado calle 14 carrera 22 y 23 casa N°22-70 Sector Barrio Obrero del Municipio San Cristóbal .  Estado Tachira. Municipio San Cristóbal. Parroquia Pedro María Morantes. San Cristobal</t>
  </si>
  <si>
    <t>AV. GUARAPICHE, CRUCE CON CALLE VENTUARI, UD 291, CASA Nº 80-21, LOCAL Nº 1 PARCELARIO 291-07-02 MUNICIPIO CARONÍ, CIUDAD GUAYANA BOLIVAR ZONA .  Estado Bolivar. Municipio Caroní. Parroquia Unare . Puerto Ordaz (Ciudad Guayana)</t>
  </si>
  <si>
    <t>Av. Carabobo Calle c/c Vargas Edf. Samuel PB Locales N° 4,5,6 y 7 Tinaquillo Estado Cojedes.  Estado Cojedes. Municipio Falcón. Parroquia Tinaquillo. Tinaquillo</t>
  </si>
  <si>
    <t>AV VILLA HEROICA EDIF ERIMAR GUATIRE ESTADO BOLIVARIANO DE MIRANDA.  Estado Miranda. Municipio Zamora. Parroquia Bolívar. Guatire</t>
  </si>
  <si>
    <t>0426-4823049 / 0424-8096000 /  0424-8932247</t>
  </si>
  <si>
    <t>AV PPAL DE TRAPICHITO C.C SAMAN PLAZA URB MANUEL MARTINEZ MANUEL PISO PB LOCAL 09 SECTOR EL SAMAN. GUARENAS MIRANDA.</t>
  </si>
  <si>
    <t>0426-4823049 / 0424-8096000 / 0424-8932247</t>
  </si>
  <si>
    <t>V ANTONIO MARIA BAYON ENTRE CALLE 5 Y 6 LOCAL NRO 1 SECTRO CENTRO SABANETA BARINAS</t>
  </si>
  <si>
    <t>Calle Urdaneta Local Manzana 002, Parcela 001 Urb. UD 103 Moreno de Mendoza Ciudad Guayana Bolívar.</t>
  </si>
  <si>
    <t>SAN ANTONIO DEL GOLFO - SUCRE</t>
  </si>
  <si>
    <t>CALLE BOLIVAR LOCAL S/N EL PILAR MUNICIPIO BENITEZ ESTADO SUCRE</t>
  </si>
  <si>
    <t>CALLE 5 ENTRE CARRERAS 11 Y 12, LOCAL Nro. 11-40, SECTOR LA CONCORDIA, SAN CRISTÓBAL.  Estado Tachira. Municipio San Cristóbal. Parroquia La Concordia. San Cristobal</t>
  </si>
  <si>
    <t>CALLE 7 ENTRE SEPTIMA AVENIDA Y CARRERA 6 LOCAL NRO 6-48 SECTOR CENTRO SAN CRISTOBAL TACHIRA ZONA POSTAL 5001.  Estado Tachira. Municipio San Cristóbal. Parroquia San Sebastián. San Cristobal</t>
  </si>
  <si>
    <t>calle 9 con carrera 19, local nro 18-80, 18-82 y 18-84, sector casco central san cristobal tachira.  Estado Tachira. Municipio San Cristóbal. Parroquia Pedro María Morantes. San Cristobal</t>
  </si>
  <si>
    <t>AVENIDA LIBERTADOR CRUCE CON CALLE LOS CAOBOS, MANZANA 4, LOCAL 90, URBANIZACION OCV AGUA CLARITA, PARIAGUAN, ESTADO ANZOATEGUI.  Estado Anzoategui. Municipio Francisco de Miranda. Parroquia Capital Francisco de Miranda 1/. Pariaguan</t>
  </si>
  <si>
    <t>CALLE PAUL N 06-30 SAN SEBASTIAN DE LOS REYES</t>
  </si>
  <si>
    <t>Septima Avenida con calle 7 Esquina Centro Nº 7-16 . Estado Tachira. Municipio San Cristóbal. Parroquia San Sebastián. San Cristobal</t>
  </si>
  <si>
    <t>Septima Avenida con calle 7 Esquina Centro Nº 7-16  Estado Tachira. Municipio San Cristóbal. Parroquia San Sebastián. San Cristobal</t>
  </si>
  <si>
    <t>Carrera 7 Calle 13 Urbanizacion Monseñor Briceño Tariba .  Estado Tachira. Municipio Cárdenas. Parroquia Cárdenas . Tariba</t>
  </si>
  <si>
    <t>Carrera 3 esquina calle 13 Edificio barrientos planta baja. .  Estado Tachira. Municipio San Cristóbal. Parroquia San Juan Bautista. San Cristobal</t>
  </si>
  <si>
    <t>av lucio oquendo, esquina calle 5 casa numero 5-28 sector la concordia san cristobal.  Estado Tachira. Municipio San Cristóbal. Parroquia La Concordia. San Cristobal</t>
  </si>
  <si>
    <t>Carrera 7 N 7-86 esquina calle 8 San Juan de Colon Tachira.  Estado Tachira. Municipio Ayacucho. Parroquia Ayacucho . Colon</t>
  </si>
  <si>
    <t>CALLE PRINCIPAL CC LAS VEGAS DE TARIBA NIVEL P/B LOCAL S/N SECTOR LAS VEGASDE TARIBA TARIBA TACHIRA ZONA POSTAL5017.  Estado Tachira. Municipio Cárdenas. Parroquia Cárdenas . Tariba</t>
  </si>
  <si>
    <t>PUENTE REAL, PASAJE BARCELONA, NUM 09-20, MUNICIPIO SAN CRISTOBAL ESTADO TACHIRA..  Estado Tachira. Municipio San Cristóbal. Parroquia San Juan Bautista. San Cristobal</t>
  </si>
  <si>
    <t>CARRERA 4 CON CALLE 1, LOCAL S/N SECTOR LAS FLORES SOCOPÓ  Estado Barinas. Municipio Antonio José de Sucre. Parroquia Ticoporo. Barinas</t>
  </si>
  <si>
    <t>CIUDAD DE NUTRIAS EDO BARINAS</t>
  </si>
  <si>
    <t>BARRIO EL LOBO, CALLE 3, LOCAL 01, CASA 0-159, SAN CRISTOBAL ESTADO TACHIRA..  Estado Tachira. Municipio San Cristóbal. Parroquia San Juan Bautista. San Cristobal</t>
  </si>
  <si>
    <t>CALLE EL CENTRO CASA S/N SECTOR CENTRO EL MILAGRO..  Estado Tachira. Municipio Libertador. Parroquia Doradas. El Piñal</t>
  </si>
  <si>
    <t>CALLE 20 ENTRE CARRERAS 32 Y 33 CC CENTRO PROFESIONAL ARCA NIVEL PB LOCAL 3 Y 4 SECTOR CENTRO BARQUISIMETO</t>
  </si>
  <si>
    <t>CARRERA. 17 ENTRE CALLES 9 Y 10 CASA NRO 9-101 SECTOR BARRIO OBRERO, SAN CRISTOBAL MUNICIPIO SAN CRISTOBAL..  Estado Tachira. Municipio San Cristóbal. Parroquia Pedro María Morantes. San Cristobal</t>
  </si>
  <si>
    <t>calle 1 carrera 3 nro 3-17 y 1-8 sector barrio sucre san cristobal estado tachira .  Estado Tachira. Municipio San Cristóbal. Parroquia Pedro María Morantes. San Cristobal</t>
  </si>
  <si>
    <t>Av. Francia con Pie de Monte Casa Nro. 188-A Urbanizacion Alto Barinas Norte .  Estado Barinas. Municipio Barinas. Parroquia Alto Barinas . Barinas</t>
  </si>
  <si>
    <t>CALLE MERIDA ENTRE AVENIDAS PAEZ Y BRICEÑO MENDEZ SECTOR CENTRO AL LADO DEL RESTAURANT SIN ESPERA(sucursal 02).  Estado Barinas. Municipio Barinas. Parroquia Barinas. Barinas</t>
  </si>
  <si>
    <t>TERCERA CARRERA CON PRIMERA CALLE SUR LOCAL 5 FRENTE A LA PLAZA MARTI,SECTOR PUEBLO NUEVO SUR. EL TIGRE ANZOATEGUI</t>
  </si>
  <si>
    <t>CR 6 ENTRE CALLES 4 Y 5 CASA NRO 4-64 SECTOR CENTRO COLON TACHIRA.  Estado Tachira. Municipio Ayacucho. Parroquia Ayacucho . Colon</t>
  </si>
  <si>
    <t>AVENIDA FRANCISCO DE MIRANDA ENTRE CALLE 18 Y 19 EDIFICIO SAN ONOFRE PISO PB LOCAL SN SECTOR PUEBLO NUEVO SUR MUNICIPIO SIMON RODRIGUEZ EN LA CIUDAD DEL TIGRE ESTADO ANZOATEGUI</t>
  </si>
  <si>
    <t>(0424) 334 42 77 / (0412) 490 22 58</t>
  </si>
  <si>
    <t>0424-3437667 / Nataly Dueña: 0424-9453859</t>
  </si>
  <si>
    <t>BARQUISIMETO CENTRO - EDO LARA</t>
  </si>
  <si>
    <t>Carrera 5 Nº 3-16,Edificio Anaypa La Grita. .  Estado Tachira. Municipio Jáuregui. Parroquia Jáuregui . La Grita</t>
  </si>
  <si>
    <t>VIA PANAMERICANA LAS MESAS SECTOR EL ABUELO (CAMPO ALEGRE) LOCAL N 0-21 LAS MESAS MUNICIPIO ANTONIO ROMULO CONSTA .  Estado Tachira. Municipio Antonio Rómulo Costa. Parroquia Antonio Rómulo Costa. Seboruco</t>
  </si>
  <si>
    <t xml:space="preserve">AV. SANTA ROSA 5TA TRANSVERSAL EDIF INVERSIONES CUMANA NORTE PISO /B LOCAL PRINCIPAL SECTOR AV SANTA ROSA CUMANA SUCRE.     </t>
  </si>
  <si>
    <t>CALLE CARABOBO C/C SAN FELIX EDIF SAHARA PISO PB LOCAL 01 ZONA CENTRO CARUPANO  SUCRE</t>
  </si>
  <si>
    <t>CALLE PRINCIPAL LOCAL S/N SECTOR LAS VEGAS RIO CARIBE ESTADO SUCRE</t>
  </si>
  <si>
    <t xml:space="preserve">CALLE BERMUDEZ,CRUCE CON CALLE ANGEL MARIA ARCIA,CARIACO,MUNICIPIO RIBERO, EDO. SUCRE.  Municipio Andrés Eloy Blanco. Parroquia Mariño. Araya   </t>
  </si>
  <si>
    <t>CALLE ROMULO GALLEGOS N#.27, CARIACO, MUNICIPIO RIBERO, EDO. SUCRE. . Parroquia Rendón. Cariaco</t>
  </si>
  <si>
    <t>AVENIDA PRINCIPAL DE GUASIMAL, LOCAL41-39, MARACAY ESTADO ARAGUA.  Estado Aragua. Municipio Girardot . Parroquia Urbana Joaquín Crespo . Maracay</t>
  </si>
  <si>
    <t>AVENIDA SUCRE Nº 07-53, ENTRE CALLES COROMOTO Y CORDOBA, CHABASQUEN EDO. PORTUGUESA</t>
  </si>
  <si>
    <t>CALLE DELEITE LOCAL NRO 13-A BARRIO LA COOPERATIVA MARACAY ARAGUA</t>
  </si>
  <si>
    <t>CALLE ANTONIO JOSE DE SUCRE CON CALLE FELIPE RAMOS CC WAEL NIVEL P/B LOCAL 01 SECTOR CAJA SECA CAJA SECA ZULIA</t>
  </si>
  <si>
    <t>BARRIO SANTA CECILIA, AV. AGUSTINOS EDIF. SHAJIRA, SAN CRISTOBAL, ESTADO TACHIRA.  Estado Tachira. Municipio San Cristóbal. Parroquia San Juan Bautista. San Cristobal</t>
  </si>
  <si>
    <t>5ta avenida entre calles 4 y 5, frente a la Policía Nacional.  Estado Tachira. Municipio San Cristóbal. Parroquia San Sebastián. San Cristobal</t>
  </si>
  <si>
    <t>AV.WINSTON CHURCHILL EDIF LA LLOVIZNA LOCAL 1. EL TIGRE Estado Anzoategui.</t>
  </si>
  <si>
    <t>AVENIDA INTERCOMUNAL VIA DUACA SECTOR SAN BENITO CARRERA 1 CASA 1-97 GRANDE LOCAN S/N EL CUJI EDO LARA</t>
  </si>
  <si>
    <t>UD 122, av dalla costa , edificio alamary, pb local pb-01 san felix.  Estado Bolivar. Municipio Caroní. Parroquia Cachamay . San Felix (Ciudad Guayana)</t>
  </si>
  <si>
    <t>CALLE CEMENTERIO C/C NORTE NIVEL PB LOCAL 181-22 SECTOR NAGUANAGUA. ESTADO CARABOBO. MUNICIPIO NAGUNAGUA. PARROQUIA URBANA NAGUANAGUA . VALENCIA</t>
  </si>
  <si>
    <t>AVENIDA 58 CIRCUNVALACION N°2 , N° 92-80 LOCALES 1 Y 2 PARROQUIA FRANCISCO EUGENIO BUSTAMANTE MUNICIPIO MARACAIBO DEL ESTADO ZULIA</t>
  </si>
  <si>
    <t>AV MANUEL PIAR UD 126 BELLA VISTA MANZANA 34 PARCELA 03 LOCAL S/N SAN FELIX EDO BOLIVAR</t>
  </si>
  <si>
    <t>AV.BICENTENARIO LOCAL S/N PB. INSTALACIONES DEL HOSPITAL GENERAL DR. VICTORINO SANTAELLA RUIZ, SECTOR LOS TEQUES. .  Estado Miranda. Municipio Guaicaipuro. Parroquia Los Teques. Los Teques</t>
  </si>
  <si>
    <t>AV 5 DE JULIO CON AV CENTURIO C.C NUEVA BARCELONA NIVEL PB SECTOR BARCELONA MUNICIPIO SIMON BOLIVAR BARCELONA EDO ANZOATEGUI</t>
  </si>
  <si>
    <t>AVENIDA 5 DE JULIO EDIF. DA VINCI PB, LOCAL C.  Estado Anzoategui. Municipio Juan Antonio Sotillo. Parroquia Capital Puerto La Cruz 1/. Puerto La Cruz</t>
  </si>
  <si>
    <t>AVENIDA PRINICIPAL DE LECHERIA CON CALLE ANZOATEGUI AL LADO DE AREPERA MI TIA LOCAL NUMERO 01 MUNICIPIO URBANEJA EN LA CIUDAD DE LECHERIA EDO ANZOATEGUI</t>
  </si>
  <si>
    <t>DENTRO DE LAS INSTALACIONES DEL SUPERMERCADO AIKOS SITUADOS EN LA AVENIDA MUNICIPAL  C.C CENTRAL MADEIRENSE NIVEL 1 LOCAL 175 PUERTO LA CRUZ ANZOATEGUI</t>
  </si>
  <si>
    <t>DENTRO DE LAS INSTALACIONES DE INVERSIONES BARCELONA ORIENTE C.C AL LADO DEK BODEGON SITUADO EN LA AVENIDA NUEVA ESPARTA EDIF 4 PB LOCAL 4 URB NUEVA ESPARTA SECTOR VENECIA BARCELONA ANZOATEGUI LECHERIA</t>
  </si>
  <si>
    <t>Instalaciones del Establecimiento Comercial INVERSIONES ORIENTE 20.22, C.A, situada en la lNTERCEPCION DE LA CALLE cOMERCIo, AVENIDA VENEZUELA Y AVENIDA JOSE ANTONIO ANZOATEGUI, CENTRO COMERCIAL GAROFALO PLANTA ANACO EDO ANZOATEGUI</t>
  </si>
  <si>
    <t>CALLE BOLIVAR NUMERO 110, LOCAL MUNDO HOGAR  SECTOR CENTRO MUNICIPIO SOTILLO  PUERTO LA CRUZ ANZOATEGUI</t>
  </si>
  <si>
    <t>AV BOLIVAR CENTRO COMERCIAL MARGARITA, LOCAL S/N , PORLAMAR ESTADO NUEVA ESPARTA</t>
  </si>
  <si>
    <t>AV FRANCISCO FAJARDO, CENTRO COMERCIAL ECOCENTER LOCAL S/N PORLAMAR ESTADO NUEVA ESPARTA</t>
  </si>
  <si>
    <t>04247383249 / 0276-3406403 / 0414-7148899</t>
  </si>
  <si>
    <t>INTERSECCION DE LA CALLE GUARAGUAO  Y AVENIDA ALBERTO RAVELL MUNICIPIO SOTILLO PUERTO LA CRUZ ANZOATEGUI</t>
  </si>
  <si>
    <t>AV INTERCOMUNAL SECTOR EL MAGUEY FRENTE AL POLIDEPORTIVO  MUNICIPIO SIMON BOLIVAR BARCELONA ESTADO ANZOATEGUI</t>
  </si>
  <si>
    <t>AVENIDA PRINCIPAL DE LECHERIA CON CALLE 6 LOCAL COMERCIAL S/N MUNICIPIO URBANEJA LECHERIA ANZOATEGUI</t>
  </si>
  <si>
    <t>DENTRO DE LAS INSTALACIONES DE INVERSIONES 2022, AVENIDA INTERCOMUNAL EL TIGRE-SAN JOSE DE GUANIPA EDIF C.C  EL ROBLE PLANTA BAJA PARROQUIA EDMUNDO BARRIOS EL TIGRE ANZOATEGUI</t>
  </si>
  <si>
    <t>AV FRANCISCO DE MIRANDA CENTRO COMERCIAL PETRUCCI PARROQUIA EDMUNDO BARRIOS EL TIGRE EDO ANZOATEGUI</t>
  </si>
  <si>
    <t>INVERSIONES ORIENTE 2024 C.C PLAZA MAYOR LOCALES 7-SS1, 7PB-1 Y 7PB-2 UBICADO EN EL COMPLEJO TURISTICO EL MORRO LICENCIADO DIEGO BAUTISTA URBANEJA LECHERIA EDO ANZOATEGUI</t>
  </si>
  <si>
    <t>C.C LA COLINA, PASEO DE LOS ANGELES, LAS MINAS, SECTOR SAN ANTONIO DE LOS ALTOS, ESTADO BOLIVARIANO DE MIRANDA</t>
  </si>
  <si>
    <t>CALLE NUEVA LOS DOS CERRITOS PARROQUIA MAIQUETIA ESTADO LA GUAIRA</t>
  </si>
  <si>
    <t>Av. Santos Erminy, Edificio Park Side, Planta Baja, Local PB04, Las Delicias, Sabana Grande,.  Estado Distrito Capital. Municipio Libertador. Parroquia El Recreo. Caracas</t>
  </si>
  <si>
    <t>DIRECCIÓN DE OFICINA AV 100 (BOLIVAR) NORTE, NUMERO CIVICO 128-A -195 LOCAL NUMERO S/N SECTOR S/N VALENCIA CARABOBO</t>
  </si>
  <si>
    <t>AVENIDA 23 DE ENERO ,LOCAL YARCAROL BARRIO LAS DINAMITAS,PARROQUIA CALABOZO MUNICIPIO FRANCISCO DE MIRANDA ESTADO GUARICO</t>
  </si>
  <si>
    <t>UBICADA EN EL LOCAL N°183 AV 8,SECTOR SANTO DOMINGO,PARROQUIA SANTA BARBARA MUNICIPIO COLON DEL ESTADO ZULIA</t>
  </si>
  <si>
    <t>AV LIBERTADOR CON CALLE MANUEL PIAR .  Estado Portuguesa. Municipio Ospino. Parroquia Capital Ospino 1/. Ospino</t>
  </si>
  <si>
    <t>CALLE SUCRE LOCAL NRO SN SECTOR MERCADO YAGUARAPARO SUCRE ZONA POSTAL 6155</t>
  </si>
  <si>
    <t>AV SUCRE CON ESQUINA CALLE BENITO MARIN LOCAL NRO 4 -2 SECTOR TABAY TABAY MÉRIDA ZONA POSTAL 5116</t>
  </si>
  <si>
    <t>CENTRO COMERCIAL ANACO CENTRO NIVEL LOCAL L-CC, UBICADO EN LA AVENIDA JOSE ANTONIO ANZOATEGUI</t>
  </si>
  <si>
    <t>AVENIDA ROTARIA CRUCE CON AVENIDA SAN JESUS SUBERO CENTRO COMECIAL UNIMALL LOCAL CA-1-01</t>
  </si>
  <si>
    <t>CR CARRERA 4TA ESQUINA CON CALLE 8 LOCAL CENTRO COMERCIAL EL ALTILLO NRO PLANTA BAJA SECTOR EL COROZO TOVAR MÉRIDA ZONA POSTAL 5143</t>
  </si>
  <si>
    <t>CTRA PARAMERICANA KM 21 EDIF CENTRO PROFESIONAL LA CASCADA PISO PB LOCAL N PB-L7 SECTOR COLINAS DE CARRIZAL CARRIZAL MIRANDA ZONA POSTAL 1203 Estado Miranda. Municipio Carrizal . Parroquia Carrizal. Carrizales</t>
  </si>
  <si>
    <t>AV LAS DELICIAS CC Y EMPRESARIAL EUROPA NIVEL 3 OF 304 URB LA FLORESTA MARACAY ARAGUA ZONA POSTAL 2101</t>
  </si>
  <si>
    <t>AV TERESA DE LA PARRA, EDIF ORINOCO, PB LOCAL B URB SANTA MONICA MUNICIPIO LIBERTADOR CARACAS DISTRITO CAPITAL</t>
  </si>
  <si>
    <t>AV PERIMETRAL CC SAN ANTONIO PLAZA NIVEL 2 LOCAL L-72.  Estado Miranda. Municipio Los Salias. Parroquia San Antonio de Los Altos. San Antonio De Los Altos</t>
  </si>
  <si>
    <t>CENTRO COMERCIAL GLOBAL, PLANTA BAJA, LOCAL 118 SITUADO EN LA AVENIDA BOLIVAR SECTOR LA BARRACA MARACAY ESTADO ARAGUA</t>
  </si>
  <si>
    <t>CENTRO COMERCIAL MARACAY PLAZ, UBICADO ENTRE LAS AVENIDA BERMUDEZ Y ARAGUA DE LA CIUDAD DE MARACAY ESTADO ARAGUA</t>
  </si>
  <si>
    <t>CR 5 CON CALLE 7 CASA NRO 7-6 SECTOR CAPACHO NUEVO CAPACHO NUEVO TACHIRA ZONA POSTAL 5009</t>
  </si>
  <si>
    <t>CALLE VELASQUEZ, LOCAL D, PORLAMAR.  Estado Nueva Esparta. Municipio Mariño. Parroquia Santiago Mariño. Porlamar</t>
  </si>
  <si>
    <t>CALLE 01, CASA N°13 URBANIZACION VILLA ROSA.  Estado Nueva Esparta. Municipio García. Parroquia Capital García 1/. San Antonio</t>
  </si>
  <si>
    <t>CALLE PRINCIPAL MANZANA E CASA NRO 22 URB JUAN PABLO II BARINAS BARINAS ZONA POSTAL 5201</t>
  </si>
  <si>
    <t>CALLE MANUEL ROJAS CON GUZMAN BLANCO EDIF LA LIBERTAD Y PAZ PISO PB LOCAL 10 BARRIO EL PLAYON LIBERTAD BARINAS ZONA POSTAL 5220</t>
  </si>
  <si>
    <t>AV UNIVERSIDAD CON CALLE PASEO CARABOBO CC FREEMARKET NIVEL MEZANINA LOCAL X50 URB LA GRANJA NAGUANAGUA CARABOBO ZONA POSTAL 2005</t>
  </si>
  <si>
    <t>AV PRINCIPAL LOCAL NRO 115 SECTOR LA COOPERATIVA MARACAY ARAGUA ZONA POSTAL 2101</t>
  </si>
  <si>
    <t>AV AVENIDA MIRANDA LOCAL EDIFICIO EDUARDO, PLANTA BAJA NRO No 03 SECTOR SECTOR SANTA ROSA CUMANA SUCRE ZONA POSTAL 6101</t>
  </si>
  <si>
    <t>FISCAL AV 6 CON CALLE 12 LOCAL NRO 53 SECTOR CENTRO QUIBOR LARA ZONA POSTAL 3061</t>
  </si>
  <si>
    <t>CALLE PRINCIPAL DE SANTA TERESA CON VEREDA 3 CC SANTA TERESA NIVEL S/N LOCAL 13 SECTOR SANTA TERESA SAN CRISTOBAL TACHIRA ZONA POSTAL 5001</t>
  </si>
  <si>
    <t>AV BOLIVAR LOCAL NRO 222 SECTOR EJIDO EJIDO MÉRIDA ZONA POSTAL 5111</t>
  </si>
  <si>
    <t>AVENIDA GONZALO PICÓN FEBRES CON CALLE 39, URBANIZACIÓN LOS EUCALIPTOS, EDIFICIO OLIVER, PB, LOCAL NUMERO 1. MÉRIDA.  Estado Merida. Municipio Libertador . Parroquia El Llano. Mérida</t>
  </si>
  <si>
    <t>AV INTERCOMUNAL BARQUISIMETO CABUDARE EDIF CLÍNICA IDB CABUDARE PISO 0 LOCAL 1 ZONA ENTRADA AVENIDA BOLIVAR CABUDARE LARA ZONA POSTAL 3023</t>
  </si>
  <si>
    <t>AVENIDA LARA CENTRO COMERCIAL CRISSER PISO PB LOCALES PB 08 Y PB 09 ESQUINA DE CALLE CLUB HIPICO ZONA ESTE.  Estado Lara. Municipio Iribarren. Parroquia Santa Rosa. Barquisimeto</t>
  </si>
  <si>
    <t>AV AVENIDA PRINCIPAL DE BARRIO BOLIVAR CASA CASA NRO NRO 5-30 BARRIO SECTOR BARRIO BOLIVAR SAN CRISTOBAL TACHIRA ZONA POSTAL 5001</t>
  </si>
  <si>
    <t>CTRA PANAMERICANA FRENTE A LA PLAZA BOLIVAR LOCAL NRO 1-141 SECTOR TUCANI TUCANI MÉRIDA ZONA POSTAL 5141</t>
  </si>
  <si>
    <t>CALLE PRINCIPAL CC SECTOR MONTE BELLO PLAZA NIVEL 1 LOCAL L-15 SECTOR LLANO ALTO CARRIZAL MIRANDA ZONA POSTAL 1203</t>
  </si>
  <si>
    <t>CALLE MIQUILEN EDIF FARMAMIGO PISO PB LOCAL 36-A URB EL LLANO LOS TEQUES MIRANDA ZONA POSTAL 1201</t>
  </si>
  <si>
    <t>CALLE CARABOBO EDIF EL CARMEN PISO PB LOCAL 02 URB EL LLANO LOS TEQUES MIRANDA ZONA POSTAL 1201</t>
  </si>
  <si>
    <t>UBICADA EN CARRETERA PANAMERICANA LOCAL N°S/N SECTOR EDECIO LA RIVA ,TUCANI MUNICIPIO CARACCIOLO PARRA DE OLMEDO PARROQUIA TUCANI</t>
  </si>
  <si>
    <t>AV BOLIVAR CRUCE CON AV ALDONZA MANRIQUE CENTRO COMERCIAL AB, SEGUNDA ETAPA, URB EL ANGEL, PORLAMAR MUNICIPIO MARIÑO ESTADO NUEVA ESPARTA</t>
  </si>
  <si>
    <t>FISCAL AV 3 CON CALLE 20 EDIF LA VENCEDORA PISO PB LOCAL 1 Y 2 SECTOR EL SAGRAGIO MERIDA MÉRIDA ZONA POSTAL 5101</t>
  </si>
  <si>
    <t>AV BOLIVAR CON CALLE EL PROGRESO N° 2 LOCAL LOCAL NRO A-2 SECTOR S/N CENTRAL TACARIGUA CARABOBO ZONA POSTAL 2010</t>
  </si>
  <si>
    <t>AVENIDA BERMUDEZ EDIFICIO CRISTO REY PLANTA BAJA LOCAL B LOS TEQUES MIRANDA</t>
  </si>
  <si>
    <t>AV PRINCIPAL DE EL BOSQUE EDIF TORRE CREDICARD PISO PB LOCAL 8 URB EL BOSQUE CARACAS (CHACAO) MIRANDA ZONA POSTAL 1050</t>
  </si>
  <si>
    <t>CALLE VICTORIA EDIF W.A.H PISO PB LOCAL 11 SECTOR CENTRO CARUPANO SUCRE ZONA POSTAL 6150</t>
  </si>
  <si>
    <t>AV FUERZAS AEREAS CRUCE CON JOSE LUIS RAMOS, ANTIGUA SEDE DE FUNDAFAMILIA, URB LAS ACACIAS.  Estado Aragua. Municipio Girardot . Parroquia Urbana Joaquín Crespo . Maracay</t>
  </si>
  <si>
    <t>AV ELEUTERIO CHACON LOCAL NRO 8-07 SECTOR CENTRO POBLADO CORDERO TACHIRA ZONA POSTAL 5012</t>
  </si>
  <si>
    <t>AV 15 No 13-218 EDIF EL CEJO PISO P/BAJA LOCAL No 2 ZONA PARROQUIA PRESIDENTE PAEZ EL VIGIA MÉRIDA ZONA POSTAL 5145</t>
  </si>
  <si>
    <t>AV PRINCIPAL CASA NRO 56 URB DOMINGO ORTIZ DE PAEZ CON CALLE 17, SECTOR RAUL LEONI BARINAS BARINAS ZONA POSTAL 5201</t>
  </si>
  <si>
    <t>CALLE 1ERA CON 3RA AVENIDA BELLA VISTA QTA 21 NRO ANEXO URB BELLA VISTA CARACAS DISTRITO CAPITAL ZONA POSTAL 1020</t>
  </si>
  <si>
    <t>Avenida Francisco de Miranda, Torre A, Nivel PB, Local D Urbanización Buena Vista..  Estado Miranda. Municipio Sucre. Parroquia Petare. Caracas</t>
  </si>
  <si>
    <t>AV INTERCOMUNAL EL VALLE CC EL VALLE SERVICIOS GALERIAS MILENIUM PASILLO H NIVEL PISO 07 LOCAL 108, 109 Y 110 SECTOR EL VALLE CARACAS DISTRITO CAPITAL ZONA POSTAL 1090</t>
  </si>
  <si>
    <t>AV H CRUCE CON CALLE D CASA NRO 89-10 URB LA QUIZANDA VALENCIA CARABOBO ZONA POSTAL 2003</t>
  </si>
  <si>
    <t>AV AEROPUERTO LOCAL DISTINGUIDO CON EL NRO 5-A SECTOR CASCO CENTRAL ANACO ANZOATEGUI ZONA POSTAL 6003</t>
  </si>
  <si>
    <t>AV LOS LEONES CASA NRO 77-27 SECTOR POLIDEPORTIVO LA VICTORIA PARTE ALTA RUBIO TACHIRA ZONA POSTAL 5030</t>
  </si>
  <si>
    <t>CALLE 17 LOCAL NRO 14-58 BARRIO SAN DIEGO PUERTO SANTO TACHIRA ZONA POSTAL 5030</t>
  </si>
  <si>
    <t>CALLE 17 casa 516-2805 BARRIO SAN DIEGO rubio MUNICIPIO JUNIN.  Estado Tachira. Municipio Junín. Parroquia Junín . Rubio</t>
  </si>
  <si>
    <t>CALLE 2, ENTRE CARRERA 2-3 Y CARRERA 3 CC ALEJANDRIA NIVEL PLANTA BAJA LOCAL B-1 SECTOR LA INMACULADA TUCANI MÉRIDA ZONA POSTAL 5101</t>
  </si>
  <si>
    <t>CTRA PANAMERICANA LOCAL NRO 4 SECTOR ANDRES BELLO TUCANI MÉRIDA ZONA POSTAL 5102</t>
  </si>
  <si>
    <t>CALLE PASAJE BURGUERA CASA PLANTA BAJA Y PLANTA ALTA NRO 4 SECTOR EL AÑIL TOVAR MÉRIDA ZONA POSTAL</t>
  </si>
  <si>
    <t>Av. 4 de Mayo con Calle Jesus Maria Patiño, Edificio los 4 Hermanos. Porlamar..  Estado Nueva Esparta. Municipio Mariño. Parroquia Santiago Mariño. Porlamar</t>
  </si>
  <si>
    <t>CALLE IGUALDAD, FRENTE AL PARQUE FRAY ELIAS, PORLAMAR..  Estado Nueva Esparta. Municipio Mariño. Parroquia Santiago Mariño. Porlamar</t>
  </si>
  <si>
    <t>Calle Propatria, Edificio Propatria, Local PB 4E.Parroquia sucre.  Estado Distrito Capital. Municipio Libertador. Parroquia Altagracia. Caracas</t>
  </si>
  <si>
    <t>CALLE BERNANRDO SLIMAR AV. SAN MARTIN EDIF RESIDENCIAS ARTIGAS PISO P.B LOCAL 2 URB PALO GRANDE CARACAS DISTRITO CAPITAL ZONA POSTAL 1020</t>
  </si>
  <si>
    <t>CALLE S/N, CASA PARCELA NRO 014-015, LOCAL N° 1, SECTOR LAS GAVIOTAS, UBICADO EN LA VIA DE SERVICIO DE LA URBANIZACION YUMA I, MUNICIPIO SAN DIEGO, VALENCIA CARABOBO</t>
  </si>
  <si>
    <t>CALLE S/N, CASA PARCELA NRO 014-015, LOCAL N° 1, SECTOR LAS GAVIOTAS, UBICADO EN LA VIA DE SERVICIO DE LA URBANIZACION YUMA I, MUNICIPIO SAN DIEGO, VALENCIA CARABOBO ZONA POSTAL 2006</t>
  </si>
  <si>
    <t>CALLE ANTONIO DIAZ LOCAL NRO S/N SECTOR ORIENTAL PAMPATAR NUEVA ESPARTA ZONA POSTAL 6316</t>
  </si>
  <si>
    <t>AV INTERCOMUNAL TURMERO MACARAY, VIA DE PENETRACION PARCELA NO, 10 LOCAL NRO S.N SECTOR ASENTAMIENTO LA CONCEPCION TURMERO ARAGUA ZONA POSTAL 2115</t>
  </si>
  <si>
    <t>AV CONSTITUCION EDIF CONJ RES CANTACLARO PISO PB LOCAL A SECTOR CENTRO MARACAY ARAGUA ZONA POSTAL 2101</t>
  </si>
  <si>
    <t>CTRA VIA PRINCIPAL EL RINCON SAN DIEGO LOCAL NRO.32 NRO A1 SECTOR PUTUCUAL EL RINCON ANZOATEGUI</t>
  </si>
  <si>
    <t>AV 19 DE ABRIL LOCAL NRO 4 SECTOR LA BERMEJA FRENTE CLINICA DE OJOS SAN CRISTOBAL TACHIRA ZONA POSTAL 5001</t>
  </si>
  <si>
    <t>CALLE JUAN MANUEL CARMONA EDIF CENTRO EMPRESARIAL EL PARQUE PISO P.B. OF 06 URB EL PARQUE BARQUISIMETO LARA ZONA POSTAL 3001</t>
  </si>
  <si>
    <t>AV RICARDO PEREZ ZAMBRANO ZONA 8-10 TUREN ESTADO PORTUGUESA</t>
  </si>
  <si>
    <t>AVENIDA 5 DE JULIO CRUCE CON ARISMENDI EDIFICIO SALOMONE LOCAL N 1 SECTOR CENTRO, PUERTO LA CRUZ ESTADO ANZOATEGUI.  Estado Anzoategui. Municipio Juan Antonio Sotillo. Parroquia Capital Puerto La Cruz 1/. Puerto La Cruz</t>
  </si>
  <si>
    <t>CTRA PARAMERICANA  KM 14 EDIF CENTRO EMPRESARIAL PARAMERICANA CEPAN PISO MEZZANINA LOCAL C ZONA INDUSTRIAL LAS MINAS SAN ANTONIO DE LOS ALTOS MIRANDA ZONA POSTAL 1204</t>
  </si>
  <si>
    <t>CTRA PANAMERICANA KM 16 CC MULTI CENTRO EMPRESARIAL COLISEO NIVEL 4 LOCAL 181 SECTOR LA ROSALEDA CARRIZAL MIRANDA ZONA POSTAL 1203</t>
  </si>
  <si>
    <t>CALLE 12 LOCAL NRO 5-32 SECTOR LA CONCORDIA SAN CRISTOBAL TACHIRA ZONA POSTAL 5001</t>
  </si>
  <si>
    <t>CALLE 1 DEL BARRIO SANTA TERESA Nº 2-179 PARROQUIA SAN JUAN BAUTISTA. MUNICIPIO SAN CRISTOBAL ESTADO TACHIRA</t>
  </si>
  <si>
    <t>FISCAL AV 13 ENTRE CALLE 6 Y 7 LOCAL NRO 6-50 . SECTOR CENTRO PQUIA MERCEDES DIAZ MCPIO VALERA TRUJILLO ZONA POSTAL 3101</t>
  </si>
  <si>
    <t>AV SUCRE ENTRE CALLES MARIÑO Y MIRANDA CASA NRO 17 SECTOR CENTRO SAN JOAQUIN CARABOBO ZONA POSTAL 2018</t>
  </si>
  <si>
    <t>AV 1 VIA PRINCIPAL CASA NRO S/N SECTOR PLAZA MUNICIPAL BRAMON TACHIRA ZONA POSTAL 5029.  Estado Tachira. Municipio Junín. Parroquia Bramón. Rubio</t>
  </si>
  <si>
    <t>Avenida Bolívar con Calle Rojas, Edificio Benoriente, Local Nº 01, Sector Centro, Maturín Estado Monagas.</t>
  </si>
  <si>
    <t>Calle Chimborazo, Centro Comercial Galerías Mi Suerte, P.B., Local Nº 01, Sector Centro, Maturín Estado Monagas</t>
  </si>
  <si>
    <t>Avenida Bolívar cruce con Avenida Juncal, P.B., Local Nº 01, Sector Centro, Maturín Estado Monagas.</t>
  </si>
  <si>
    <t>Carrera 04 con Calle 07, Edificio Victoria P.B., Local Nº 04, Sector Mercado Viejo, Maturín Estado Monagas.</t>
  </si>
  <si>
    <t>Mini Centro Empresarial, Locales Nº 02 y 03, ubicado en la Prolongación Av. Rómulo Gallegos antigua Av. Casanova, Local S/N, Brisas del Aeropuerto, entre las Calles 3 y 4, Maturín Estado Monagas.</t>
  </si>
  <si>
    <t>Avenida Bolívar con Juncal, Edificio Pichel, Piso PB, Local Nº 04, Sector Centro, Maturín Estado Monagas.</t>
  </si>
  <si>
    <t>Avenida Principal Guanaguaney, Zona Industrial, Vía San Jaime, Centro Comercial Los Samanes, Local Nº 6, Planta Baja, Maturín Estado Monagas.</t>
  </si>
  <si>
    <t>Avenida Principal, de La Cruz de la Paloma, Centro Comercial Macarena Plaza, Local PB-11, PB-12 Nivel Planta Baja, Maturín Estado Monagas.</t>
  </si>
  <si>
    <t>Calle Principal de Boquerón, Local Nº 45, Maturín Estado Monagas.</t>
  </si>
  <si>
    <t>Avenida Bicentenario, Local Edificio Fema, Nº 1, Sector Centro, Maturín Estado Monagas.</t>
  </si>
  <si>
    <t>Centro Comercial Monterey, Local C1-01, Sector Tipuro y Caruno, Zona Norte, Municipio Maturín, Estado Monagas.</t>
  </si>
  <si>
    <t>Avenida Bicentenario, Edif. Comercial Lady, Local Nº 3, entre Calle 30 y Plaza El Indio, Frente al Hospital Manuel Nuñez Tovar, Sector Centro, Municipio Maturín, Estado Monagas.</t>
  </si>
  <si>
    <t>Avenida Alirio Ugarte Pelayo. Centro Comercial Paseo Tipuro, Local Nº 1, Parroquia Boquerón, Municipio Maturín, Estado Monagas.</t>
  </si>
  <si>
    <t>CR 8 E/C Y 3 EDIF DR. JOSE G. HERNANDEZ PISO PB LOCAL 13 SECTOR CENTRO, SOCOPO EDO BARINAS SOCOPO BARINAS ZONA POSTAL 5216</t>
  </si>
  <si>
    <t>Urbanización Los Guaritos III, Avenida 1, Cruce con Calle 7, nomenclatura municipal 36, Maturín del Estado Monagas</t>
  </si>
  <si>
    <t>Calle principal de El Furrial, Calle La Costa Casa S/N, Maturin estado Monagas</t>
  </si>
  <si>
    <t>Av. Jose Gregorio Monagas, entre las calles 1 y 2 de la Urbanizacion El Silencio de Campo Alegre Edif. N16 Local 02, Maturín Estado Monagas</t>
  </si>
  <si>
    <t>Av. Bicentenario, al frente de la estacion de Servicio Nueva Avenida, Maturin Estado Monagas.</t>
  </si>
  <si>
    <t>Local comercial S/N, entre Calle Ascue y Avenida Bolivar frente a la Plaza 7 de Diciembre, Maturin edo Monagas</t>
  </si>
  <si>
    <t>Av. El Ejercito antes calle sin nombre local comercial nro 1 via Fuerte Paramaconi , Maturin edo Monagas</t>
  </si>
  <si>
    <t>CALLE PRINCIPAL CC BUENAVENTURA C21 NIVEL S/N LOCAL C21-09-A C21-10-A C21-11-A C21-12-A MODULO A SECTOR PARAPARAL LOS GUAYOS CARABOBO ZONA POSTAL 2003</t>
  </si>
  <si>
    <t>CALLE 23 DE ENERO NUMERO 02 ENTRE CALLE LAS FLORES Y BOLIVAR PARROQUIA VALLE DE LA PASCUA MUNICIPIO LEONARDO INFANTE ESTADO GUARICO</t>
  </si>
  <si>
    <t>AV. URDANETA C/C CALLE ANDRES BELLO, CASA NRO S/N, SECTOR CENTRO MONTALBAN MONTALBAN CARABOBO ZONA POSTAL 2042</t>
  </si>
  <si>
    <t>CALLE TRASANDINA, FRENTE A LA PLAZA BOLÍVAR LOCAL NRO S/N ZONA CENTRO GUARICO LARA ZONA POSTAL 3057</t>
  </si>
  <si>
    <t>CALLE TRASANDINA, FRENTE A LA PLAZA BOLÍVAR LOCAL NRO S/N ZONA CENTRO MORAN ESTADO LARA</t>
  </si>
  <si>
    <t>CALLE 2 CON CARRERA 5 EDIF PRINCIPAL PISO S/N LOCAL 5-1 SECTOR CENTRO LA GRITA TACHIRA ZONA POSTAL 5022</t>
  </si>
  <si>
    <t>CALLE ANDRES ELOY BLANCO LOCAL NRO 53 URB EL PIÑONAL MARACAY MARACAY ARAGUA ZONA POSTAL 2101</t>
  </si>
  <si>
    <t>AV 19 DE ABRIL LOCAL NRO 50-B SECTOR CENTRO ESTE MARACAY ARAGUA ZONA POSTAL 2103</t>
  </si>
  <si>
    <t>AV UNIVERSIDAD EDIF RESIDENCIAS AMERICA No26 PISO PB LOCAL 01 Y 02 SECTOR EL LIMON EL LIMON ARAGUA ZONA POSTAL 2105</t>
  </si>
  <si>
    <t>CALLE LAS PIEDRITAS, EDIF. SOLY 5, ZONA INDUSTRIAL DE LA TRINIDAD. FARMACIA UBICADA: DENTRO DE LAS ÁREAS DEL SUPERMERCADO PLANSUAREZ LA URBINA, SITUADO EN EL EDIF. PLANSUAREZ, PLANTA BAJA, AV. PRINCIPAL DE LA URBINA, MUNICIPO SUCRE. EDO. MIRANDA..  Estado Miranda. Municipio Sucre. Parroquia Caucagüita. Caracas</t>
  </si>
  <si>
    <t>CALLE MIRANDA CRUCE CON CALLE CARREÑO LOCAL NRO 16 SECTOR CENTRO TURMERO ARAGUA ZONA POSTAL 2115</t>
  </si>
  <si>
    <t>CALLE 32 ENTRE AV 26 Y 27 LOCAL 26-29 SECTOR ANDRES BELLO ACARIGUA PORTUGUESA ZONA POSTAL</t>
  </si>
  <si>
    <t>AV.UNIVERSITARIA EDIFICIO SINA P/B LOCAL S/N CARUPANO EDO SUCRE.  Estado Sucre. Municipio Bermúdez. Parroquia Santa Catalina. Carupano</t>
  </si>
  <si>
    <t>CARRERA NACIONAL EL CIERRE SECTOR PALOMA CASA S/N MUNICIPIO TUCUPITA ESTADO DELTA AMACURO</t>
  </si>
  <si>
    <t>AV  UNIVERSIDAD INSTITUTO AUTONOMO CIRCULO MILITAR DE LAS FUERZAS ARMADAS SUCURSAL VALENCIA ,LOCAL NRO SECTOR LA GRANJA MUNICIPIO NAGUANAGUA ESTADO  CARABOBO</t>
  </si>
  <si>
    <t>SANTA ELENA DE ARENALES -MERIDA</t>
  </si>
  <si>
    <t>CC CIUDAD COMERCIAL ALTA VISTA PB LOVAL 87 CALLE CAURA CON CUCHIVERO ALTA VISTA ,PUERTO ORDAZ ,ESTADO BOLIVAR</t>
  </si>
  <si>
    <t>AV 5 CON CALLE 9 ,LOCAL 1 CAÑA DE AZUCAR MUNICIPIO MARIO BRICEÑO IRAGORRY ,ESTADO ARAGUA</t>
  </si>
  <si>
    <t>AV MUNICIPAL LOCAL LOTE B NUMERO242 NRO B242-1 ZONA PUERTO LA CRUZ MUNICIPIO SOTILLO EN LA CUIDAD DE PUERTO LA CRUZ EDO ANZOATEGUI</t>
  </si>
  <si>
    <t>AV CENTRAL DEL NULA , AV CIRRILO AGELVIS ,CASA LOCAL 2 NRO 200-2502 MUNICIPIO PAEZ ESTADO APURE</t>
  </si>
  <si>
    <t>DIRECCIÓN DE OFICINA CR 14 A EDIF CENTRO DE DISTRIBUCION FARMADON (CDF) PISO PB LOCAL 99 URB LAS BRISAS DEL ORINOCO MATURIN MONAGAS</t>
  </si>
  <si>
    <t>AV LA PAZ MUNICIPIO MATURIN EDO MONAGAS</t>
  </si>
  <si>
    <t>AV VENEZUEL LOCAL NRO 158 SECTOR SANTA RITA SANTA RITA ARA</t>
  </si>
  <si>
    <t>AV SIMON BOLIVAR ENTRE CARRERAS 12 Y 13 EDIFICIO FARMA ASISTENCIA DIAGONAL AL RESTAURANTE LOS TOLDOS ,GUANARE ,MUNICIPIO GUANARE DISTRITO GUANARE ESTADO PORTUGUESA</t>
  </si>
  <si>
    <t>AVENIDA LACUNA ESQUINA DE CURAMICHATE A ROSARIO EDIFICIO BOYACA LOCAL A PARROQUIA SANTA ROSALIA MUNICIPIO LIBERTADOR CARACAS DISTRITO CAPITAL</t>
  </si>
  <si>
    <t>AV 4 CALLE 14 LOCAL 4-18 SECTOR LA VICTORIA PARTE BAJA RUBIO MUNICIPIO JUNIN ESTADO TACHIRA</t>
  </si>
  <si>
    <t>AV SAN FRANCISCO DE CACERES ENTRE CALLE 11 Y 12 CASA N°11-128 SECTOR CENTRO LA GRITA MUNICIPIO JAUREGUI ESTADO TACHIRA</t>
  </si>
  <si>
    <t>CALLE 5 CON CARRERA 5 LOCAL NRO ESQUINA BARRIO LIBERTADOR COLONCITO MUNICIPIO PANAMERICANO ESTADO TACHIRA</t>
  </si>
  <si>
    <t>CALLE 2 CON CARRERA 8 ESQUINA LOCAL EDIFICIO SAN JOSE N° UNICO SECTOR CENTRO LA FRIA MUNICIPIO GARCIA DE HUEVA ESTADO TACHIRA</t>
  </si>
  <si>
    <t>CALLE 5 CON CARRERA 3 LOCAL N°5-9 EDIFICIO SARAHI BARRIO URDANETA COLON TACHIRA ZONA POSTAL 50003</t>
  </si>
  <si>
    <t>CALLE 6 CON CARRERA 6 ESQUINA N°5-87 EDIFICIO ISABEL TERESA PISO PLANTA BAJA LOCAL 1 SECTOR COLON MUNICIPIO AYACUCHO ESTADO TACHIRA</t>
  </si>
  <si>
    <t>CALLE 5 CON CARRERA 3 LOCAL N°5-9 EDIFICIO SARAHI BARRIO URDANETA COLON TACHIRA ZONA POSTAL 5003</t>
  </si>
  <si>
    <t>CALLE 5 CON CARRERA 3 LOCAL N°5-9 EDIFICIO SARAHI BARRIO URDANETA COLON MUNICIPIO AYACUCHO ESTADO TACHIRA</t>
  </si>
  <si>
    <t>AV CIRCUVALACION LOS SAMANES CALLE 86 LOCAL NRO S/N BARRIO LOS SAMANES NORTE VALENCIA MUNICIPIO ESTADO CARABOBO</t>
  </si>
  <si>
    <t>AV 8 N°109-346 LOCAL NRO S/N BARRIO MONSEÑOR AROCHA MUNICIPIO VALENCIA ESTADO CARABOBO</t>
  </si>
  <si>
    <t>AV MIRANDA ESTE CENTRO COMERCIAL GRAVINA II LOCAL N°1 PLANTA BAJA MARACAY ESTADO ARAGUA</t>
  </si>
  <si>
    <t>CALLE 2 CASA N°0-12 BARRIO SUCRE SAN CRISTOBAL MUNICIPIO SAN CRISTOBAL ESTADO TACHIRA</t>
  </si>
  <si>
    <t>AVENIDA PRINCIPAL DE LA GUAYANA EDIFICIO VICMARY PISO 1 LOCAL 2 SECTOR LÑA GUAYANA MUNICIPIO SAN CRISTOBAL ESTADO TACHIRA</t>
  </si>
  <si>
    <t>CALLE 2 CON CARRERA 14 NRO 13-81 EDIFICIO JE PISO PB LOCAL A-1 Y A-2 URBANIZACION JAUREGUI MUNICIPIO GARCIA DE HEVIA LA FRIA ESTADO TACHIRA</t>
  </si>
  <si>
    <t>AVENIDA LOS PROCERES CASA N° S/N SECTOR LA PEDREGOSA MUNICIPIO LIBERTADOR PARROQUIA LAZO DE LA VEGA ESTADO BOLIVARIANO DE MERIDA</t>
  </si>
  <si>
    <t>CALLE 2 ESQUINA 16 EDIF BERARDUCCI PISO PB LOCAL 1 SECTOR CASCO CENTRA LA FRIA MUNICIPIO GARCIA DE HEVIA ESTADO TACHIRA</t>
  </si>
  <si>
    <t>UBICADO EN CARRERA 2 ENTRE CALLE 3 Y 4 CASA S/N BARRIO EL CENTRO DE LIBERTAD CAPACHO NUEVO MUNICIPIO LIBERTAD  ESTADO TACHIRA</t>
  </si>
  <si>
    <t>UBICADO EN EL CENTRO COMERCIAL 5TA AVENIDA PLANTA BAJA URBANIZACION PREBO CALLE 137 C/C AVENIDA 114 VALENCIA ESTADO CARABOBO</t>
  </si>
  <si>
    <t>CALLE 01 PARCELA 1 Y 2 URB JARDIN MAÑONGO MUNICIPIO NAGUANAGUA ESTADO CARABOBO</t>
  </si>
  <si>
    <t>AV RPINCIPAL LAS CLAVELLINAS CENTRO COMERCIAL LAS CLAVELLINAS NIVEL PLANTA BAJA LOCAL PB-01,PB-02,PB-03 Y PB-04 ,MUNICIPIO VALENCIA ESTADO CARABOBO</t>
  </si>
  <si>
    <t>URBANIZACION EL TRIGAL CENTRO COMERCIAL TRIGAL SUR LOCAL SUPERMERCADO PLANTA BAJA VALENCIA ESTADO CARABOBO</t>
  </si>
  <si>
    <t>UBICADO EN LA CALLE 8 AVENIDA PRINCIPAL LOCAL S/N SECTOR LOS MANGOS SAN RAFAEL DE ONOTO ESTADO PORTUGUESA</t>
  </si>
  <si>
    <t>CALLE 8 CON ENTRE CARRERAS 19 Y 20 CASA N°19-100 SECTOR BARRIO OBRERO MUNICIPIO SAN CRISTOBAL ESTADO TACHIRA</t>
  </si>
  <si>
    <t>UBICADA EN LA AVENIDA 4 BOLIVAR ENTRE CALLES 30 Y 31 LOCAL NO 30-31-1,SECTOR EL LLANO MERIDA ESTADO MERIDA</t>
  </si>
  <si>
    <t>CALLE BOLIVIA QTA N/A SECTOR EL MERCADO CASANAY MUNICPIO ANDRES ELOY BLANCO ESTADO SUCRE</t>
  </si>
  <si>
    <t>CARRERA 6 CON CALLE 7 N°6-66 EDIFICIO RINCON SECTOR CENTRO MUNICIPIO SAN CRISTOBAL ESTADO TACHIRA</t>
  </si>
  <si>
    <t>ENTRE LAS CALLES 27 Y 100 N°17 ,LA MORITA II MUNICIPIO SANTIAGO MARIÑO ESTADO ARAGUA</t>
  </si>
  <si>
    <t>CR 3 LOCAL NRO S/N SECTOR CENTRO A 50 METROS DEL HOSPITAL DR MARTIN LUCENA MANTECAL ESTADO APURE</t>
  </si>
  <si>
    <t>CALLE COLUMBO SILVA BOLIVAR ,PB ,LOCAL 04 N,CIUDAD BOLIVAR ESTADO BOLIVAR</t>
  </si>
  <si>
    <t>UBICADA EN LA AVENIDA 3 INDEPENDENCIA ENTRE CALLES 28 Y 29 CASA N° 28-57 SECTOR FRENTE IGLESIA SAN MIGUEL EL LLANO</t>
  </si>
  <si>
    <t>AVENIDA 16 DE SEPTIEMBRE EDIFICIO N°42-97 PB SECTOR SANTA ELENA MUNICIPIO LIBERTADOR PARROQUIA DOMINGO PEÑA ESTADO BOLIVARIANO DE MERIDA</t>
  </si>
  <si>
    <t>AV FRANCISCO DE MIRANDA ,CALLE LEBRUN ,EDIFICIO LEBRUN PB LOCAL N°11 , PETARE MUNICIPIO SUCRE ESTADO BOLIVARIANO DE MIRANDA</t>
  </si>
  <si>
    <t>UBICADA EN LA CALLE LOS APAMATES CON AVENIDA ALFARAGUA N° 1-1-A, LOTE B BARRIO LOS CHAGUARAMOS SANTA RITA ESTADO ARAGUA</t>
  </si>
  <si>
    <t>CALLE CARABOBO LOCAL N°12 SECTOR CENTRO CUMANA MUNICIPIO SUCRE ESTADO SUCRE</t>
  </si>
  <si>
    <t>UBICADA AV LUCIO OQUENDO N°7-42 SECTOR LA CONCORDIA MUNICIPIO SAN CRISTOBAL ESTADO TACHIRA</t>
  </si>
  <si>
    <t>CALLE 7 ENTRE CARRERAS 3 Y 4 CASA N°07 SECTOR CENTRO DE LA POBLACION DE TARIBA MUNICIPIO CARDENAS -ESTADO TACHIRA</t>
  </si>
  <si>
    <t>CALLE PARADISI EDIFICIO PARADISE PISO B LOCAL SECTOR CENTRO VILLA DE CURA ESTADO ARAGUA</t>
  </si>
  <si>
    <t>CALLE SUCRE ,CRUCE CON CALLE BOLIVAR ,LOCAL S/N SECTOR CENTRO SAN JOSE DE GUARIBE ESTADO GUARICO ESTADO GUARICO</t>
  </si>
  <si>
    <t>UBICADA EN EL CENTRO COMERCIAL CONCEPCION CALLE CARREÑO LOCAL PB 04 Y PB 05 TURMERO ESTADO ARAGUA</t>
  </si>
  <si>
    <t>AV 13 CON CALLE 9 LOCAL S/N SECTOR CENTRO PARROQUIA MERCEDES DIAS MUNICIPIO VALERA ESTADO TRUJILLO</t>
  </si>
  <si>
    <t>AVENIDA FRANCISCO DE MIRANDA ,ESQUINA CHUPULUN EDIFICIO RESIDENCIAS FLUVIA PLANTA BAJA LOCAL N°3 MUNICIPIO SUCRE ESTADO BOLIVARIANO DE MIRANDA</t>
  </si>
  <si>
    <t>CALLE 4 PRINCIPAL LOCAL N° LC -01 SECTOR LAS ORQUIDEAS  PALO GORDO MUNICOPIO CARDENAS ESTADO TACHIRA</t>
  </si>
  <si>
    <t>COMUNIDAD CARUTO ,SECTOR CARUTO CALLE LA LINEA LOCAL 20 MUNICIPIO SUCRE ESTADO BOLIVARIANO DE MIRANDA</t>
  </si>
  <si>
    <t>AVENIDA PRINCIPAL DE LA COOPERATIVA LOCLA N°72-C ,SECTOR LA COOPERATIVA MARACAY ESTADO ARAGUA</t>
  </si>
  <si>
    <t>UBICADA EN LA AVENIDA LA PATRIA ENTRE AVENIDA 7 Y 8 ,DEL EDIFICIO VALLFORTORE PLANTA PB LOCAL N°3 SECTOR CENTRO DE SAN FELIPE MUNICIPIO SAN FELIPE JURISDICCION DEL ESTADO YARACUY</t>
  </si>
  <si>
    <t>UBICADA EN LA AVENIDA LIBERTADOR ESQUINA CALLE 20 LOCAL N° A-8 PARROQUIA O SECTOR SAN FELIPE MUNICIPIO SAN FELIPE DEL ESTADO YARACUY</t>
  </si>
  <si>
    <t>AVENIDA TROCADERO ENTRE LAS CARRERAS 7  Y 8 LOCAL N° S/N ZONA CENTRO DE YARITAGUA MUNICIPIO PENA DEL ESTADO YARACUY</t>
  </si>
  <si>
    <t>CALLE RIVAS DAVILA CRUCE CON CALLE LIBERTADOR LOCAL N°1 SCETOR CENTRO LA VICTORIA ESTADO ARAGUA</t>
  </si>
  <si>
    <t>AVENIDA VICTORIA N° 20-07 ,LOCAL N°05 ,SECTOR CENTRO LA VICTORIA ESTADO ARAGUA</t>
  </si>
  <si>
    <t>CALLE AREVALO GONZALEZ N°101 LOCAL N°4 SECTOR CASCO CENTRAL MUNICIPIO GUACARA ESTADO CARABOBO</t>
  </si>
  <si>
    <t>CARRERA VIA DUACA LOCAL S/N SECTOR TAMACA BARQUISIMETO PARROQUIA TAMACA MUNICIPIO IRIBARREN ESTADO LARA</t>
  </si>
  <si>
    <t>AVENIDA INTERCOMUNAL VIA DUACA K 10 SECTOR SABANA GRANDE BARQUISIMETO PARROQUIA EL CUJI MUNICIPIO IRIBARREN ESTADO LARA</t>
  </si>
  <si>
    <t>UBICADA EN LA AVENIDA PADRE TORRES CON ESQUINA DE LA CARRERA 12 , EDIFICIO SAN MATEO PLANTA BAJA LOCAL N°2 DE YARITAGUA JURISDICCION DEL MUNICIPIO PEÑA ESTADO YARACUY</t>
  </si>
  <si>
    <t>SECTOR SANTA ROSA AVENIDA MENDOZA DIAGONAL AL HOSPITAL JOSE GREGORIO HERNANDEZ MUNICIPIO TRUJILLO ESTADO TRUJILLO</t>
  </si>
  <si>
    <t>CALLE 6 CON AVENIDA BOLIVAR Y 9 C.C  PERGIOVA NIVEL PLANTA BAJA LOCAL N°3 SECTOR CENTRO VALERA MUNICIPIO VALERA ESTADO TRUJILLO</t>
  </si>
  <si>
    <t>UBICADA EN LA BOLIVAR EDIFICIO ANA MIX ,NIVEL P.B LOCAL 1 PARROQUIA SANTA BARBARA MUNICIPIO COLON DEL ESTADO ZULIA</t>
  </si>
  <si>
    <t>UBICADA EN LA CARRETERA SANTA BARBARA EL VIGIA ,CALLE 6,CASCO CENTRAL LOCAL N° 1-16 SECTOR AMILCAR MEJIAS PARROQUIA EL MORALITO MUNICIPIO COLON DEL ESTADO ZULIA</t>
  </si>
  <si>
    <t>LA CALLE 1F-151 BARRIOS CARLOS ANDRES PEREZ PARROQUIA SANTA BARBARA MUNICIPIO COLON DEL ESTADO ZULIA</t>
  </si>
  <si>
    <t>UBICADA EN LA CALLE 3 ENTRE LA VEREDA 1 Y 2 N°27 ,LOCAL 01 ,CERRITOS BLANCO BARQUISIMETO PARROQUIA JUAN DE VILLEGAS (HOY ANA SOTO)-MUNICIPIO IRRIBARREN ESTADO LARA</t>
  </si>
  <si>
    <t>UBICADA EN LA AVENIDA 16 DE SEPTIEMBRE EDIFICIO BEATRIZ PISO PB LOCAL N°42-15 SECTOR ENTRADA AL IAHULA ,MUNICIPIO LIBERTADOR PARROQUIA DOMINGO PEÑA ESTADO BOLIVARIANO DE MERIDA</t>
  </si>
  <si>
    <t>CALLE S/N LOCAL P-B7 CONJUNTO RESIDENCIAL CAURA ALTA VISTA UD -261 CALLE CAURA CON CUCHIVERO ALTA VISTA ,PUERTO ORDAZ ESTADO BOLIVAR</t>
  </si>
  <si>
    <t>UBICADO EN CALLE PADILLA CENTRO MEDICO NANCY BEATRIZ ,PLANTA BAJA LOCAL 1 ,SABANA DE MENDOZA PARROQUIA SABANA DE MENDOZA MUNICIPIO SUCRE ESTADO TRUJILLO</t>
  </si>
  <si>
    <t>CARRERA 2 ESQUINA CALLE 13,CASA NRO S/N SECTOR CENTRO SANTA BARBARA ESTADO BARINAS</t>
  </si>
  <si>
    <t>UBICADA PRINCIPAL ESQUINA CALLE LA PASTORA MUNICIPIO PAMPAN CASA S/N MONAY ESTADO TRUJILLO</t>
  </si>
  <si>
    <t>CARRERA 16 ESQUINA CALLE 38 LOCAL N°38-11 BARQUISIMETO ,PARROQUIA CONCEPCION MUNICIPIO IRIBARREN ESTADO LARA</t>
  </si>
  <si>
    <t>CR 2 ENTRE CALLES 7 Y 8 LOCAL NRO 4 URB SANTA ISABEL BARQUISIMETO PARROQUIA ANA SOTO JUAN DE VILLEGAS MUNICIPIO IRIBARREN LARA</t>
  </si>
  <si>
    <t>VDA 17 CASA N°1 OD ADMINISTRATIVA ;NIVEL SOTANO °3-80 SECTOR SAN JOSECITO CENTRO DE COMPRAS SAN JOSE MUNICIPIO TORBES ESTADO TACHIRA</t>
  </si>
  <si>
    <t>CALLE HERRERA TORO ENTRE CALLE MAURY QUINTA BUBU URB LOS NARANJOS DE LAS MERCEDES MUNICIPIO BARUTA ESTADO BOLIVARIANO DE MIRANDA</t>
  </si>
  <si>
    <t>CALLE 13 CON CARRERA 4 LOCAL N°13-8 LOCAL PB-LC 01 SECTOR EL 70 COLONCITO MUNICIPIO PANAMERICANO ESTADO TACHIRA</t>
  </si>
  <si>
    <t>AVENIDA PRINCIPAL EL AMPARO ,AL LADO DE CDI MUNICIPIO SAN RAFAEL DE CARVAJAL ESTADO TRUJILLO</t>
  </si>
  <si>
    <t>AV PRINCIPAL DE LA URBINA COMERCIO SUPER CENTRO PETARE NIVEL PB LOCALES A-4, A-5 ,ESTADO BOLIVARIANO DE MIRANDA</t>
  </si>
  <si>
    <t>AVENIDA FUERZAS AEREAS C/C CALLE LOS CEDROS EDIFICIO LA MARACAYA N°69-1 LOCAL 7, LA MARACAYA ESTADO ARAGUA</t>
  </si>
  <si>
    <t>AVENIDA ANDRES BELLO LOCAL C/N .URBANIZACION ALTO CHAMA UBICADO DENTRO DE LA ESTACION DE SERVICIO ALTO CHAMA MUNICIPIO LIBERTADOR PARROQUIA JUAN RODRIGUEZ SUAREZ ESTADO BOLIVARIANO DE MERIDA</t>
  </si>
  <si>
    <t>UBICADA EN LA CALLE CARABOBO CENTRO COMERCIAL CARABOBO NIVEL PLANTA BAJA LOCAL 2 URBANIZACION EJIDO MUNICIPIO CAMPO ELIAS PARROQUIA MATRIZ ESTADO BOLIVARIANO DE MERIDA</t>
  </si>
  <si>
    <t>CALLE NEGRO PRIMERO CASA N°50 SECTOR CENTRO BISCUCUY MUNICIPIO SUCRE ESTADO PORTUGUESA</t>
  </si>
  <si>
    <t>CR 1 DE ZORCA CASA N° S/N SECTOR SAN ISIDRO TARIBA MUNICIPIO CARDENAS ESTADO TACHIRA</t>
  </si>
  <si>
    <t>ESQUINA CALLE 8 NRO S/N CIUDAD BOLIVIA PEDRAZA</t>
  </si>
  <si>
    <t>AVENIDA 12 ESQUINA CALLE 6 EDIIFICIO RESIDENCIAS LISBOA PISO P.B LOCAL 2 SECTOR CENTRO VALERA ESTADO TRUJILLO</t>
  </si>
  <si>
    <t>AVENIDA 9 CON CALLE 5 LOCAL N°3 SECTOR CENTRO PARROQUIA MERCEDES DIAZ MUNICIPIO VALERA ESTADO TRUJILLO</t>
  </si>
  <si>
    <t>AV MIRANDA EDIF CREACIONES BRITO PISO P/B LOCAL S/N SECTOR LAS PARCELAS MUNICIPIO ANACO PARROQUIA ANACO CIUDAD ANACO DEL ESTADO ANZOATEGUI</t>
  </si>
  <si>
    <t>CALLE 13 CON AVENIDA 4 Y 5 N°13 SECTOR LA PLAZUELA AGUA BLANCA ESTADO PORTUGUESA</t>
  </si>
  <si>
    <t>AV BOLIVAR DE SABANA DE MENDOZA LOCAL N° 70 AL LADO DEL PALACIO DEL BLUMER SECTOR CENTRO PARROQUIA SABANA DE MENDOZA MUNICIPIO SUCRE DEL ESTADO TRUJILLO</t>
  </si>
  <si>
    <t>CALLE TOMAS ALFARO CALATRAVIA CASA NRO S/N SECTOR CENTRO PARQUE EL CHAPARRO MUNICIPIO MGGREGOR DE LA CIUDAD DE EL CHAPARRO DEL ESTADO ANZOATEGUI</t>
  </si>
  <si>
    <t>UBICADA EN LA CALLE INDEPENDENCIA CRUCE CON CALLE URDANETA LOCAL N°14-A Y 14-F ,SECTOR CAMPO ALEGRE MARACAY ESTADO ARAGUA</t>
  </si>
  <si>
    <t>CALLE VIA LOS CASTILLOS DE GUAYANALOCAL NRO S/N , CASERIO PUGA EL AMPARO DEL TRIUNFO MUNICIPIO  CASACOIMA ESTADO DELTA AMACURO</t>
  </si>
  <si>
    <t>Calle Los Ángeles entre la Avda. Libertador y autopista Francisco Fajardo, Edif. Nº 11 piso P.B. Chacao, bajando por el estacionamiento del Sambil.</t>
  </si>
  <si>
    <t>CALLE BOLIVAR CRUCE CON CALLE AMPARAN MUNICIPIO ARAGUA DE BARCELONA ESTADO ANZOATEGUI</t>
  </si>
  <si>
    <t>CALLE BOLIVAR CRUCE CON CALLE MATURIN LOCAL NRO 5-3 QUE FORMA PARTE DEL LOTE A-1 ,SECTOR CASCO HISTORICO MUNICIPIO SIMON BOLIVAR PARROQUIA SAN CRISTOBAL EN LA CIUDAD DE BARCELONA DEL ESTADO ANZOATEGUI</t>
  </si>
  <si>
    <t>TRONCAL 10,KM 27,LOCAL S/N SECTOR LA BAJADA DE SANTO DOMINGO ,LAS CLARITAS MUNICIPIO SIFONTE ESTADO BOLIVAR</t>
  </si>
  <si>
    <t>CALLE 4 ESQUINA AVENIDA 12,CENTRO COMERCIAL ADRIATICO NIVEL P.B LOCAL N°01,SECTOR CENTRO MUNICIPIO VALERA ESTADO TRUJILLO</t>
  </si>
  <si>
    <t>AV ROTARIA EDIFICIO HIPER GAZCON PLANTA BAJA MUNICIPIO SAN CRISTOBAL ESTADO TACHITA</t>
  </si>
  <si>
    <t>AVENIDA 8 CON CALLE 12 EDIFICIO VILORIA PISO P/B LOCAL 12-17 SECTOR CENTRO,PARROQUIA MERCEDES DIAZ MUNICIPIO VALERA ESTADO TRUJILLO</t>
  </si>
  <si>
    <t>AVENIDA 7 ESQUINA DE LA CALLE 16 CASA LOS MENDOZA N° S/N° SECTOR BELEN MUNICIPIO LIBERTADOR PARROQUIA AIRAS ESTADO BOLIVARIANO DE MERIDA</t>
  </si>
  <si>
    <t>CALLE 11 .DR JOSE RAMON FINQUERA ,CRUCE CON AVENIDA 3 TOSTA GARCIA LOCAL 10-04 CHARALLAVE MUNICIPIO CRISTOBAL ROJAS ESTADO BOLIVARIANO DE MIRANDA</t>
  </si>
  <si>
    <t>CALLE LOS MAMONES ,LOCAL NUMERO SEIS (6) PARROQUIA SAN FRANCISCO DE YARE MUNICIPIO SIMON BOLIVAR ESTADO BOLIVARIANO DE MIRANDA</t>
  </si>
  <si>
    <t>AVENIDA MIRANDA EDIFICIO DON FABIO PB, CASCO CENTRAL PARROQUIA OCUMARE DEL TUY MUNICIPIO TOMAS LANDER ESTADO BOLIVARIANO DE MIRANDA</t>
  </si>
  <si>
    <t>AV 23 DE ENERO C/C CALLE NICOLAS BRICEÑO BARINAS ESTADO BARINAS</t>
  </si>
  <si>
    <t>CALLE FREITES FRENTE AL MERCADO MUNICIPIO PEDRO MARIA FREITES EN LA CIUDAD DE CANTAURA DEL ESTADO ANZOATEGUI</t>
  </si>
  <si>
    <t>UBICADA EN LA AVENIDA 32 CON CALLE 32 CC LA LIZ DEL ALBA NIVEL PB LOCAL N°2 SECTOR CENTRO ACARIGUA MUNICIPIO PAEZ ESTADO PORTUGUESA</t>
  </si>
  <si>
    <t>UBICADA EN LA CALLE 3 SAN MARTIN ,CASA N°17 LOCAL 2B SECTOR LA LUCHA BOLIVARIANA EL VIGIA MUNICIPIO ALBERTO ADRIANI PARROQUIA PRESIDENTE APEZ ESTADO MERIDA</t>
  </si>
  <si>
    <t>UBICADA EN LA AVENIDA 15 CENTRO COMERCIAL EL PLATEADO NIVEL PLANTA BAJA LOCAL 16-138 SECTOR LA PAEZ EL VIGIA MUNICIPIO ALBERTO ADRIANI PARROQUIA PRESIDENTE PAEZ ESTADO MERIDA</t>
  </si>
  <si>
    <t>AVENIDA 3 CASA N°25 LOCAL 25-3 SECTOR CAÑO SECO II LA BLANCA MUNICIPIO ALBERTO ADRIANI PARROQUIA PULIDO MENDEZ ESTADO BOLIVARINO DE MERIDA</t>
  </si>
  <si>
    <t>CALLE 8 AVENIDA 4 Y 5 LOCAL N°4-51,SECTOR PUNTO MERIDA,PARROQUIA JUAN IGNACIO MONTILLA MUNICIPIO VALERA ESTADO TRUJILLO</t>
  </si>
  <si>
    <t>AVENIDA MENDOZA LOCAL 3-47 SECTOR SANTA ROSA ,LOCAL S/N ,TRUJILLO ESTADO TRUJILLO</t>
  </si>
  <si>
    <t>CALLE 4 CON AVENIDA 7 N°7-11 LOCAL N°6 SECTOR EL MORALITO PARROQUIA MORALITO MUNICIPIO COLON DEL ESTADO ZULIA</t>
  </si>
  <si>
    <t>UBICADA EN CARRETERA SANTA BARBARA EL VIGIA KM 38, ESQUINA DE LA AV 8, ENTRE CALLE 1,LOCAL 8-13,SECTOR MARTIN VILLEGAS II,ETAPA CARACOLI PARROQUIA MORALITO ,MUNICIPIO COLON DEL ESTADO ZULIA</t>
  </si>
  <si>
    <t>CARRETERA PANAMERICANA SECTOR BUENA VISTA AVENIDA PRINCIPAL FRENTE AL AMBULATORIO MINI CENTRO COMERCIAL LOCAL 1 Y 2 PARROQUIA BUENA VISTA MUNICIPIO MONTE CARMELO ESTADO TRUJILLO</t>
  </si>
  <si>
    <t>AV 3 SECTOR SANTA CRUZ LOCAL N°3-12 PARROQUIA SANTA CRUZ MUNICIPIO COLON DEL ESTADO ZULIA</t>
  </si>
  <si>
    <t>AVENIDA BOLIVAR SECTOR EL CENTRO EDIFICIO DON GEORGE PLANTA BAJA LOCAL N°1 MUNICIPIO VALERA ESTADO TRUJILLO</t>
  </si>
  <si>
    <t>CALLE 11 ENTRE CARRERAS 19 Y 20 CASA N°19-50 BARRIO OBRERO MUNICIPIO SAN CRISTOBAL ESTADO TACHIRA</t>
  </si>
  <si>
    <t>CALLE EL CEMENTERIO SECTOR EL CENTRO MONAY PARROQUIA LA PAZ MUNICIPIO PAMPAN ESTADO TRUJILLO</t>
  </si>
  <si>
    <t>AVENIDA 5 LOCAL N°1,SECTOR CALLE NUEVA PARROQUIA MOTATAN MUNICIPIO MOTATAN ESTADO TRUJILLO</t>
  </si>
  <si>
    <t>AVENIDA BOLIVAR SECTOR LA CRUZ DE LA MISION ,FRENTE AL COMANDO DE LA GUARDIA NACIONAL BOLIVARIANA,50 METROS MAS ARRIBA DE LA ESTACION DE SERVICIO,LOCAL S/N BAILADORES MUNICIPIO RIVAS DAVILA</t>
  </si>
  <si>
    <t>CALLE 0 VIA PRINCIPAL N°1-57 EDIFICIO COMPLEJO COMERCIAL LAS VEGAS DE TARIBA PISO PB LOCAL 01 SECTOR LAS VEGAS DE TARIBA</t>
  </si>
  <si>
    <t>CALLE 5 ENTRE CARRERAS 11 Y 12 CASA N°11-18 SECTOR LA CONCORDIA MUNICIPIO SAN CRISTOBAL ESTADO TACHIRA</t>
  </si>
  <si>
    <t>CARRERA 11 ENTRE CARRERAS 6 Y 7 CASA N° S/N SECTOR SAN PEDRO COLONCITO PARROQUIA COLONCITO MUNICIPIO PANAMERICANO ESTADO TACHIRA</t>
  </si>
  <si>
    <t>CALLE 5 ENTRE SEPTIMA AVENIDA Y CARRERA 8 CENTRO COMERCIAL CIUDAD CENTRO NIVEL SOTANO LOCAL 01,MUNICIPIO SAN CRISTOBAL ESTADO TACHIRA</t>
  </si>
  <si>
    <t>AVENIDA FLORENCIO JIMENEZ CON CALLEJON MARGARITA LOCAL S/N SECTOR PASARELA PARROQUIA JUAN DE VILLEGAS(HOY ANA SOTO)MUNICIPIO IRIBARREN ESTADO LARA</t>
  </si>
  <si>
    <t>URB VISTA ALEGRE, AV LIBERTADOR VIA I.N.O.S SAN FELIX MUNICIPIO CARONI ESTADO BOLIVAR</t>
  </si>
  <si>
    <t>CALLE 1ERA TRANSVERSAL CON CALLE SAN JOSE LOCAL 0721 LA VEGA DTO CAPITAL</t>
  </si>
  <si>
    <t>EN LA VDA 51 CASA NRO 2 LOCAL 2-B SECTOR III BOYACA II MUNICIPIO SIMON BOLIVAR PARROQUIA  EL CARMEN EN LA CIUDAD DE BARCELONA EDO ANZOATEGUI</t>
  </si>
  <si>
    <t>CALLE 4 LOCAL NRO S/N SECTOR BARRIO EL CENTRO ABEJALES MUNICIPIO LIBERTADOR ESTADO TACHIRA</t>
  </si>
  <si>
    <t>AVENIDA CAJIGAL CENTRO COMERCIAL STAR CENTER PLANTA BAJA LOCAL UNICO PB-02,CAGUA ESTADO ARAGUA</t>
  </si>
  <si>
    <t>CALLE 9 ENTRE AVENIDAS 10 Y 11 EDIF FRANCISCO JAVIER PISO P/B LOCAL 01 SECTOR CASCO CENTRAL DE LA CIUDAD DE VALERA PARROQUIA MERCEDES DIAZ MUNICIPIO VALERA TRUJILLO</t>
  </si>
  <si>
    <t>CALLE 9 ENTRE AVENIDA 10 Y 11 EDIFICIO FRANCISCO JAVIER PB LOCAL 1 FRENTE A DORSAY CASCO CENTRAL PARROQUIA MERCEDES DIAZ MUNICIPIO VALERA ESTADO TRUJILLO</t>
  </si>
  <si>
    <t>CALLE SAN RAFAEL C.C BELLA VISTA NIVEL PB LOCAL N°3 SECTOR GENOVES PORLAMAR MUNICIPIO MARIÑO ESTADO NUEVA ESPARTA</t>
  </si>
  <si>
    <t>CALLE PRINCIPAL LOS ALMEDROS LOCAL N°02 LCOAL PLANTA BAJA SECTOR EL PIÑAL MUNICIPIO FERNANDEZ FEO ESTADO TACHIRA</t>
  </si>
  <si>
    <t>SEPTIMA AVENIDA ENTRE CALLE 5 Y 6 LOCAL A SECTOR CENTRO MUNICIPIO SAN CRISTOBAL ESTADO TACHIRA</t>
  </si>
  <si>
    <t>CALLE 3 CASA N°1 URB VALLE ALTO LA GRITA MUNICIPIO JAUREGUI ESTADO TACHIRA</t>
  </si>
  <si>
    <t>CARRETERA NACIONAL SAN JUAN BAUTISTA SECTOR EL ESPINAL FRENTE A LA URBANIZACION CERROMAR MUNICIPIO DIAZ ESTADO NUEVA ESPARTA</t>
  </si>
  <si>
    <t>AVENIDA 30 ESQUINA CALLE 30 EDIFICIO HOTEL PARIGUA PISO PB LCOAL 1 SECTOR CENTRO ACARIGUA MUNICIPIO PAEZ ESTADO PORTUGUESA</t>
  </si>
  <si>
    <t>LOCAL UBICADO EN SECTOR LA GONZALERA CTRA SAN ANTONIO DE LOS ALTOS CARRIZAL LOCAL PB-1 CC LA GONZALERA MUNICIPIO LOS SALIAS ESTADO BOLIVARIANO DE MIRANDA</t>
  </si>
  <si>
    <t>AVENIDA 2 SAN JUAN ,ENTRE CALLES CARRILLO Y VARGAS N°3-56 PARROQUIA CARACHE MUNICIPIO CARACHE ESTADO TRUJILLO</t>
  </si>
  <si>
    <t>AVENIDA 06 CASA NRO 91 URB RICARDO URRIERA SECTOR 1 MUNICIPIO VALENCIA ESTADO CARABOBO</t>
  </si>
  <si>
    <t>AVENIDA PRINCIPAL DE LA PEDREGOSA MEDIA EDIFICIO RIVAS PISO PB LOCAL N°2 SECTOR LA GRAN PARADA MUNICIPIO LIBERTADOR PARROQUIA LASSO DE LA VEGA EDO MERIDA</t>
  </si>
  <si>
    <t>CALLE SUCRE LOCAL S/N SECTOR LA LOMA PARROQUIA ESCUQUE MUNICIPIO ESCUQUE ESTADO TRUJILLO</t>
  </si>
  <si>
    <t>CARRERAS 17 ENTRE CALLES 11 Y 12 ESQUINA CASA NRO 11-7 SECTOR BARRIO SAN CARLOS MUNICIPIO SAN CRISTOBAL ESTADO TACHIRA</t>
  </si>
  <si>
    <t>AV.113(N56) NRO CIVICO 55-240 LOCAL NRO-URB PARQUE RESIDENCIAL LA FLORIDA CONJUNTO RESIDENCIAL LA FLORIDA PARCELA 05 MUNICIPIO VALENCIA ESTADO CARABOBO</t>
  </si>
  <si>
    <t>CALLE BOLIVAR SECTOR CENTRO TUNAPUY MUNICIPIO LIBERTADOR ESTADO SUCRE</t>
  </si>
  <si>
    <t>AVENIDA MIRANDAN OESTE ENTRE AVENIDA MARIÑO Y SOUBLETTE LOCAL N°2,SECTOR CENTRO MARACAY ESTADO ARAGUA</t>
  </si>
  <si>
    <t>AVENIDA 6 ENTRE CALLE 6 Y 7 LOCAL S/N SECTOR CENTRO PARROQUIA MERCEDES DIAZ  MUNICIPIO VALERA ESTADO TRUJILLO</t>
  </si>
  <si>
    <t>AV CALLE 11 ENTRE AVENIDA BOLIVAR Y AVENIDA 9 EDIFICIO NAVA PISO PB LOCAL 03, SECTOR CENTRO PARROQUIA MERCEDES DIAZ MUNICIPIO VALERA ESTADO TRUJILLO</t>
  </si>
  <si>
    <t>CALLE JUNCAL ENTRE ESCALONA Y GIRARDOT CC PACHAMAMA NIVEL-LOCAL 15 SECTOR MATADERO,MUNICIPICIO MIRANDA ESTADO CARABOBO</t>
  </si>
  <si>
    <t>CALLE 23 DE ENERO NRO 40A SECTOR LA CARAQUEÑA MUNICIPIO SOTILLO PARROQUIA PUERTO LA CRUZ EN LA CIUDAD DE PUERTO LA CRUZ EDO ANZOATEGUI</t>
  </si>
  <si>
    <t>CALLE DAMASO FIGUEREDO VIA EL HOSPITAL CON AVENIDA BOLIVAR LOCAL NRO 1 MUNICIPIO ROMULO GALLEGOS ESTADO APURE</t>
  </si>
  <si>
    <t>EL KM 30,TRONCAL 10 VIA SANTA ELENA DE UAIREN SECTOR SANTA TERESITA MUNICIPIO SIFONTE ESTADO BOLIVAR</t>
  </si>
  <si>
    <t>CALLE SUCRE CC CRISTAL CENTER NIVEL 1 LOCAL 82 SECTOR CENTRO MUNICIPIO SOTILLO PARROQUIA PUERTO LA CRUZ EN LA CIUDAD DE PUERTO LA CRUZ DEL ESTADO ANZOATDGUI</t>
  </si>
  <si>
    <t>CALLE 11 ENTRE AVENIDA 5 Y 6 ,CENTRO COMERCIAL DON CARLOS NIVEL PLANTA BAJA, LOCAL N°2,SECTOR CENTRO VALERA MUNICIPIO VALERA ESTADO TRUJILLO</t>
  </si>
  <si>
    <t>LA VIA PRINCIPAL HACIA LAS RURALES ,SECTOR CASCO CENTRAL LOCAL S/N,PUEBLO NUEVO EL CHIVO PARROQUIA SIMON RODRIGUEZ MUNICIPIO FRANCISCO JAVIER PULGAR DEL ESTADO ZULIA</t>
  </si>
  <si>
    <t>VIA PRINCIPAL CUESTA DEL TRAPICHE CASA N°2 LA CONCORDIA MUNICIPIO SAN CRISTOBAL ESTADO TACHIRA</t>
  </si>
  <si>
    <t>AV PRINCIPAL EL AMPARO LOCAL GALPON NRO S/N SECTOR COLON PARROQUIA CAMPO ALEGRE MUNICIPIO SAN RAFAEL DE CARVAJAL ESTADO TRUJILLO</t>
  </si>
  <si>
    <t>CALLE 6 CON AV 9,LOCAL N°6-4 SECTOR CENTRO VALERA ESTADO TRUJILLO</t>
  </si>
  <si>
    <t>AV 12 ENTRE CALLES 4 Y 5 CC ALCE NIVEL P.B LOCAL 7 SECTOR CENTRO PARROQUIA MERCEDES DIAZ MUNICIPIO VALERA ESTADO TRUJILLO</t>
  </si>
  <si>
    <t>AVENIDA INICIO BOLIVAR EDIFICIO MERCANTIL ALEXIS PISO PB LOCAL S/N SECTOR CAÑO AMARILLO SAN RAFAEL DE ONOTO,MUNICIPIO SAN RAFAEL ONOTO ESTADO PORTUGUESA</t>
  </si>
  <si>
    <t>CALLE CEDEÑO ENTRE AV CHUPA CHUPA Y AV MIJAGUA LOCAL NRO A LOCAL A ZONA CALLE CEDEÑO ENTRE AV CHUPA CHUPA Y AV MIJAGUA BARINAS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</si>
</sst>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8" x14ac:knownFonts="1">
    <font>
      <sz val="11"/>
      <color rgb="FF000000"/>
      <name val="Calibri"/>
    </font>
    <font>
      <b/>
      <sz val="10"/>
      <color rgb="FF000000"/>
      <name val="Verdana"/>
    </font>
    <font>
      <i/>
      <sz val="7"/>
      <color rgb="FF000000"/>
      <name val="Calibri"/>
    </font>
    <font>
      <b/>
      <sz val="14"/>
      <color rgb="FF000000"/>
      <name val="Verdana"/>
    </font>
    <font>
      <b/>
      <sz val="11"/>
      <color rgb="FFFFFFFF"/>
      <name val="Calibri"/>
    </font>
    <font>
      <sz val="8"/>
      <color rgb="FF000000"/>
      <name val="Calibri"/>
    </font>
    <font>
      <sz val="10"/>
      <name val="Arial"/>
    </font>
    <font>
      <b/>
      <sz val="8"/>
      <name val="Tahoma"/>
      <family val="2"/>
    </font>
  </fonts>
  <fills count="7">
    <fill>
      <patternFill patternType="none"/>
    </fill>
    <fill>
      <patternFill patternType="gray125"/>
    </fill>
    <fill>
      <patternFill patternType="solid">
        <fgColor rgb="FF2066B2"/>
        <bgColor rgb="FF000000"/>
      </patternFill>
    </fill>
    <fill>
      <patternFill patternType="solid">
        <fgColor rgb="FF2066B2"/>
        <bgColor rgb="FF000000"/>
      </patternFill>
    </fill>
    <fill>
      <patternFill patternType="solid">
        <fgColor theme="9" tint="0.39997558519241921"/>
        <bgColor indexed="64"/>
      </patternFill>
    </fill>
    <fill>
      <patternFill patternType="solid">
        <fgColor rgb="FF92D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21">
    <xf numFmtId="0" fontId="0" fillId="0" borderId="0" xfId="0"/>
    <xf numFmtId="0" fontId="4" fillId="2" borderId="0" xfId="0" applyFont="1" applyFill="1" applyAlignment="1">
      <alignment horizontal="center"/>
    </xf>
    <xf numFmtId="164" fontId="0" fillId="0" borderId="0" xfId="0" applyNumberFormat="1"/>
    <xf numFmtId="0" fontId="0" fillId="3" borderId="0" xfId="0" applyFill="1"/>
    <xf numFmtId="0" fontId="1" fillId="0" borderId="0" xfId="0" applyFont="1"/>
    <xf numFmtId="0" fontId="0" fillId="0" borderId="0" xfId="0"/>
    <xf numFmtId="0" fontId="2" fillId="0" borderId="0" xfId="0" applyFont="1"/>
    <xf numFmtId="0" fontId="3"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0" fillId="4" borderId="0" xfId="0" applyFill="1"/>
    <xf numFmtId="0" fontId="0" fillId="5" borderId="0" xfId="0" applyFill="1"/>
    <xf numFmtId="164" fontId="0" fillId="5" borderId="0" xfId="0" applyNumberFormat="1" applyFill="1"/>
    <xf numFmtId="0" fontId="0" fillId="0" borderId="0" xfId="0" applyFill="1"/>
    <xf numFmtId="164" fontId="0" fillId="0" borderId="0" xfId="0" applyNumberFormat="1" applyFill="1"/>
    <xf numFmtId="0" fontId="0" fillId="6" borderId="0" xfId="0" applyFill="1"/>
    <xf numFmtId="164" fontId="0" fillId="6" borderId="0" xfId="0" applyNumberFormat="1" applyFill="1"/>
    <xf numFmtId="0" fontId="7" fillId="0" borderId="1" xfId="1" applyNumberFormat="1" applyFont="1" applyFill="1" applyBorder="1" applyAlignment="1" applyProtection="1">
      <alignment horizontal="left" vertical="center" wrapText="1"/>
    </xf>
    <xf numFmtId="0" fontId="7" fillId="0" borderId="1" xfId="1" applyNumberFormat="1" applyFont="1" applyFill="1" applyBorder="1" applyAlignment="1" applyProtection="1">
      <alignment horizontal="center" vertical="center" wrapText="1"/>
    </xf>
    <xf numFmtId="0" fontId="4" fillId="3" borderId="0" xfId="0" applyFont="1" applyFill="1" applyAlignment="1">
      <alignment horizontal="center"/>
    </xf>
    <xf numFmtId="3" fontId="0" fillId="0" borderId="0" xfId="0" applyNumberFormat="1"/>
  </cellXfs>
  <cellStyles count="2">
    <cellStyle name="Normal" xfId="0" builtinId="0"/>
    <cellStyle name="Normal 2" xfId="1" xr:uid="{ACE193D0-79FF-4AD9-8984-752C2FF684E5}"/>
  </cellStyles>
  <dxfs count="3">
    <dxf>
      <numFmt numFmtId="0" formatCode="General"/>
    </dxf>
    <dxf>
      <font>
        <b/>
        <i val="0"/>
        <strike val="0"/>
        <condense val="0"/>
        <extend val="0"/>
        <outline val="0"/>
        <shadow val="0"/>
        <u val="none"/>
        <vertAlign val="baseline"/>
        <sz val="11"/>
        <color rgb="FFFFFFFF"/>
        <name val="Calibri"/>
        <scheme val="none"/>
      </font>
      <fill>
        <patternFill patternType="solid">
          <fgColor rgb="FF000000"/>
          <bgColor rgb="FF2066B2"/>
        </patternFill>
      </fill>
      <alignment horizontal="center" vertical="bottom" textRotation="0" wrapText="0" indent="0" justifyLastLine="0" shrinkToFit="0" readingOrder="0"/>
    </dxf>
    <dxf>
      <numFmt numFmtId="164" formatCode="###,###,##0.00"/>
    </dxf>
  </dxfs>
  <tableStyles count="1" defaultTableStyle="TableStyleMedium9">
    <tableStyle name="Invisible" pivot="0" table="0" count="0" xr9:uid="{FB27816B-3FE9-415D-98D7-567FDD60680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18290C-09E3-4A8A-956B-AB42B5765ECF}" name="Tabla1" displayName="Tabla1" ref="A2:P2085" totalsRowShown="0" headerRowDxfId="1">
  <autoFilter ref="A2:P2085" xr:uid="{6718290C-09E3-4A8A-956B-AB42B5765ECF}"/>
  <tableColumns count="16">
    <tableColumn id="1" xr3:uid="{DB525A4C-786F-497C-B5FA-605A656F9106}" name="Codigo"/>
    <tableColumn id="2" xr3:uid="{91BEFF7B-9A3A-4105-914A-2ED78BC29906}" name="Nombre"/>
    <tableColumn id="3" xr3:uid="{1B524FD7-2671-46F9-A108-530B714524AF}" name="Razon Social"/>
    <tableColumn id="4" xr3:uid="{C2FC5681-3882-4963-8131-87FB76704FFC}" name="Ultima Compra"/>
    <tableColumn id="5" xr3:uid="{633F4B4E-A63A-424E-8C47-27D8BF94DF41}" name="Tiempo sin Comprar"/>
    <tableColumn id="6" xr3:uid="{B2BB17A3-96EA-4A4E-9ED3-8EC326CA3A10}" name="Rif"/>
    <tableColumn id="7" xr3:uid="{1E745460-662C-489D-B849-5E13D1D4C591}" name="Ciudad"/>
    <tableColumn id="8" xr3:uid="{7DB3826D-DB37-43E2-A47D-DD83219F1872}" name="CodZona"/>
    <tableColumn id="9" xr3:uid="{D7DEE71D-19CF-4DA9-84A6-208F1E6BBD2D}" name="Zona"/>
    <tableColumn id="10" xr3:uid="{3EF5D4F6-5CA2-4457-83AA-F22CA96C7EE2}" name="Codven"/>
    <tableColumn id="11" xr3:uid="{F0426713-4EA6-4E29-BA26-07DBB599D3AD}" name="Vendedor"/>
    <tableColumn id="12" xr3:uid="{F1CF8481-A571-4AFB-9501-059B3FD92E79}" name="Status"/>
    <tableColumn id="13" xr3:uid="{7E235921-8739-4E10-B63C-2F95216720E2}" name="Cred Disp" dataDxfId="2"/>
    <tableColumn id="14" xr3:uid="{D5EEC1B5-E75D-4845-A59B-D61A39FD4C10}" name="Saldo Deudor"/>
    <tableColumn id="15" xr3:uid="{6D6809C1-9368-4C77-8A1C-581F2969F2DF}" name="Morosidad"/>
    <tableColumn id="16" xr3:uid="{DA5C851F-4190-4942-A862-892E536C3C29}" name="Columna1" dataDxfId="0">
      <calculatedColumnFormula>CONCATENATE("'",Tabla1[[#This Row],[Codigo]],"',")</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3120"/>
  <sheetViews>
    <sheetView workbookViewId="0">
      <pane ySplit="6" topLeftCell="A3060" activePane="bottomLeft" state="frozen"/>
      <selection pane="bottomLeft" activeCell="A6" sqref="A6:AE3107"/>
    </sheetView>
  </sheetViews>
  <sheetFormatPr baseColWidth="10" defaultColWidth="9.140625" defaultRowHeight="15" x14ac:dyDescent="0.25"/>
  <cols>
    <col min="1" max="1" width="10" bestFit="1" customWidth="1"/>
    <col min="2" max="2" width="46.5703125" customWidth="1"/>
    <col min="3" max="3" width="43.5703125" customWidth="1"/>
    <col min="4" max="4" width="12.5703125" customWidth="1"/>
    <col min="5" max="5" width="12.42578125" customWidth="1"/>
    <col min="6" max="6" width="3.7109375" customWidth="1"/>
    <col min="7" max="7" width="12.85546875" hidden="1" customWidth="1"/>
    <col min="8" max="8" width="33.85546875" customWidth="1"/>
    <col min="9" max="9" width="9.140625" hidden="1" customWidth="1"/>
    <col min="10" max="10" width="11.28515625" hidden="1" customWidth="1"/>
    <col min="11" max="13" width="9.140625" hidden="1" customWidth="1"/>
    <col min="14" max="14" width="6" customWidth="1"/>
    <col min="15" max="15" width="13" customWidth="1"/>
    <col min="16" max="16" width="6" customWidth="1"/>
    <col min="17" max="17" width="18.28515625" customWidth="1"/>
    <col min="18" max="27" width="9.140625" hidden="1" customWidth="1"/>
    <col min="29" max="29" width="13.7109375" customWidth="1"/>
    <col min="30" max="30" width="13.85546875" customWidth="1"/>
  </cols>
  <sheetData>
    <row r="1" spans="1:31" x14ac:dyDescent="0.25">
      <c r="A1" s="4"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row>
    <row r="2" spans="1:31" x14ac:dyDescent="0.25">
      <c r="A2" s="6"/>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spans="1:31" ht="18" x14ac:dyDescent="0.25">
      <c r="A3" s="7" t="s">
        <v>1</v>
      </c>
      <c r="B3" s="5"/>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1" x14ac:dyDescent="0.25">
      <c r="A4" s="8"/>
      <c r="B4" s="5"/>
      <c r="C4" s="5"/>
      <c r="D4" s="5"/>
      <c r="E4" s="5"/>
      <c r="F4" s="5"/>
      <c r="G4" s="5"/>
      <c r="H4" s="5"/>
      <c r="I4" s="5"/>
      <c r="J4" s="5"/>
      <c r="K4" s="5"/>
      <c r="L4" s="5"/>
      <c r="M4" s="5"/>
      <c r="N4" s="5"/>
      <c r="O4" s="5"/>
      <c r="P4" s="5"/>
      <c r="Q4" s="5"/>
      <c r="R4" s="5"/>
      <c r="S4" s="5"/>
      <c r="T4" s="5"/>
      <c r="U4" s="5"/>
      <c r="V4" s="5"/>
      <c r="W4" s="5"/>
      <c r="X4" s="5"/>
      <c r="Y4" s="5"/>
      <c r="Z4" s="5"/>
      <c r="AA4" s="5"/>
      <c r="AB4" s="5"/>
      <c r="AC4" s="5"/>
      <c r="AD4" s="5"/>
      <c r="AE4" s="5"/>
    </row>
    <row r="5" spans="1:3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row>
    <row r="6" spans="1:31" x14ac:dyDescent="0.25">
      <c r="A6" s="1" t="s">
        <v>2</v>
      </c>
      <c r="B6" s="1" t="s">
        <v>3</v>
      </c>
      <c r="C6" s="1" t="s">
        <v>4</v>
      </c>
      <c r="D6" s="1" t="s">
        <v>5</v>
      </c>
      <c r="E6" s="1" t="s">
        <v>6</v>
      </c>
      <c r="F6" s="1" t="s">
        <v>7</v>
      </c>
      <c r="G6" s="1" t="s">
        <v>8</v>
      </c>
      <c r="H6" s="1" t="s">
        <v>9</v>
      </c>
      <c r="I6" s="1" t="s">
        <v>10</v>
      </c>
      <c r="J6" s="1" t="s">
        <v>11</v>
      </c>
      <c r="K6" s="1" t="s">
        <v>12</v>
      </c>
      <c r="L6" s="1" t="s">
        <v>13</v>
      </c>
      <c r="M6" s="1" t="s">
        <v>14</v>
      </c>
      <c r="N6" s="1" t="s">
        <v>15</v>
      </c>
      <c r="O6" s="1" t="s">
        <v>16</v>
      </c>
      <c r="P6" s="1" t="s">
        <v>17</v>
      </c>
      <c r="Q6" s="1" t="s">
        <v>18</v>
      </c>
      <c r="R6" s="1" t="s">
        <v>19</v>
      </c>
      <c r="S6" s="1" t="s">
        <v>20</v>
      </c>
      <c r="T6" s="1" t="s">
        <v>21</v>
      </c>
      <c r="U6" s="1" t="s">
        <v>22</v>
      </c>
      <c r="V6" s="1" t="s">
        <v>23</v>
      </c>
      <c r="W6" s="1" t="s">
        <v>24</v>
      </c>
      <c r="X6" s="1" t="s">
        <v>25</v>
      </c>
      <c r="Y6" s="1" t="s">
        <v>26</v>
      </c>
      <c r="Z6" s="1" t="s">
        <v>27</v>
      </c>
      <c r="AA6" s="1" t="s">
        <v>28</v>
      </c>
      <c r="AB6" s="1" t="s">
        <v>29</v>
      </c>
      <c r="AC6" s="1" t="s">
        <v>30</v>
      </c>
      <c r="AD6" s="1" t="s">
        <v>31</v>
      </c>
      <c r="AE6" s="1" t="s">
        <v>32</v>
      </c>
    </row>
    <row r="7" spans="1:31" x14ac:dyDescent="0.25">
      <c r="A7" t="s">
        <v>33</v>
      </c>
      <c r="B7" t="s">
        <v>34</v>
      </c>
      <c r="C7" t="s">
        <v>34</v>
      </c>
      <c r="D7" t="s">
        <v>35</v>
      </c>
      <c r="E7" t="s">
        <v>36</v>
      </c>
      <c r="F7" t="s">
        <v>37</v>
      </c>
      <c r="G7" t="s">
        <v>35</v>
      </c>
      <c r="H7" t="s">
        <v>38</v>
      </c>
      <c r="I7" t="s">
        <v>39</v>
      </c>
      <c r="J7" s="2">
        <v>528704</v>
      </c>
      <c r="K7" s="2">
        <v>2200</v>
      </c>
      <c r="L7" s="2">
        <v>30</v>
      </c>
      <c r="M7" s="2">
        <v>0</v>
      </c>
      <c r="N7" t="s">
        <v>40</v>
      </c>
      <c r="O7" t="s">
        <v>41</v>
      </c>
      <c r="P7" t="s">
        <v>42</v>
      </c>
      <c r="Q7" t="s">
        <v>43</v>
      </c>
      <c r="S7" t="s">
        <v>44</v>
      </c>
      <c r="U7" t="s">
        <v>45</v>
      </c>
      <c r="V7" t="s">
        <v>46</v>
      </c>
      <c r="W7" t="s">
        <v>40</v>
      </c>
      <c r="X7" t="s">
        <v>41</v>
      </c>
      <c r="Y7" t="s">
        <v>47</v>
      </c>
      <c r="Z7" t="s">
        <v>48</v>
      </c>
      <c r="AA7" t="s">
        <v>49</v>
      </c>
      <c r="AB7" t="s">
        <v>50</v>
      </c>
      <c r="AC7" s="2">
        <v>-81869.91</v>
      </c>
      <c r="AD7" t="s">
        <v>51</v>
      </c>
      <c r="AE7" t="s">
        <v>52</v>
      </c>
    </row>
    <row r="8" spans="1:31" hidden="1" x14ac:dyDescent="0.25">
      <c r="A8" t="s">
        <v>53</v>
      </c>
      <c r="B8" t="s">
        <v>54</v>
      </c>
      <c r="C8" t="s">
        <v>54</v>
      </c>
      <c r="D8" t="s">
        <v>55</v>
      </c>
      <c r="E8" t="s">
        <v>56</v>
      </c>
      <c r="F8" t="s">
        <v>57</v>
      </c>
      <c r="H8" t="s">
        <v>38</v>
      </c>
      <c r="I8" t="s">
        <v>58</v>
      </c>
      <c r="J8" s="2">
        <v>218170</v>
      </c>
      <c r="K8" s="2">
        <v>1000</v>
      </c>
      <c r="L8" s="2">
        <v>30</v>
      </c>
      <c r="M8" s="2">
        <v>0</v>
      </c>
      <c r="N8" t="s">
        <v>59</v>
      </c>
      <c r="O8" t="s">
        <v>60</v>
      </c>
      <c r="P8" t="s">
        <v>61</v>
      </c>
      <c r="Q8" t="s">
        <v>62</v>
      </c>
      <c r="S8" t="s">
        <v>63</v>
      </c>
      <c r="U8" t="s">
        <v>45</v>
      </c>
      <c r="V8" t="s">
        <v>46</v>
      </c>
      <c r="W8" t="s">
        <v>59</v>
      </c>
      <c r="X8" t="s">
        <v>60</v>
      </c>
      <c r="Y8" t="s">
        <v>47</v>
      </c>
      <c r="Z8" t="s">
        <v>48</v>
      </c>
      <c r="AA8" t="s">
        <v>49</v>
      </c>
      <c r="AB8" t="s">
        <v>50</v>
      </c>
      <c r="AC8" s="2">
        <v>218170</v>
      </c>
      <c r="AD8" t="s">
        <v>64</v>
      </c>
    </row>
    <row r="9" spans="1:31" hidden="1" x14ac:dyDescent="0.25">
      <c r="I9" t="s">
        <v>66</v>
      </c>
      <c r="J9" s="2">
        <v>218170</v>
      </c>
      <c r="K9" s="2">
        <v>1000</v>
      </c>
      <c r="L9" s="2">
        <v>1</v>
      </c>
      <c r="M9" s="2">
        <v>0</v>
      </c>
      <c r="S9" t="s">
        <v>71</v>
      </c>
      <c r="U9" t="s">
        <v>45</v>
      </c>
      <c r="V9" t="s">
        <v>46</v>
      </c>
      <c r="W9" t="s">
        <v>67</v>
      </c>
      <c r="X9" t="s">
        <v>68</v>
      </c>
      <c r="Y9" t="s">
        <v>72</v>
      </c>
      <c r="Z9" t="s">
        <v>68</v>
      </c>
      <c r="AA9" t="s">
        <v>49</v>
      </c>
      <c r="AC9" s="2"/>
    </row>
    <row r="10" spans="1:31" x14ac:dyDescent="0.25">
      <c r="A10" t="s">
        <v>73</v>
      </c>
      <c r="B10" t="s">
        <v>74</v>
      </c>
      <c r="C10" t="s">
        <v>75</v>
      </c>
      <c r="D10" t="s">
        <v>76</v>
      </c>
      <c r="E10" t="s">
        <v>77</v>
      </c>
      <c r="F10" t="s">
        <v>78</v>
      </c>
      <c r="H10" t="s">
        <v>79</v>
      </c>
      <c r="J10" s="2">
        <v>174536</v>
      </c>
      <c r="K10" s="2">
        <v>800</v>
      </c>
      <c r="L10" s="2">
        <v>15</v>
      </c>
      <c r="M10" s="2">
        <v>0</v>
      </c>
      <c r="N10" t="s">
        <v>80</v>
      </c>
      <c r="O10" t="s">
        <v>81</v>
      </c>
      <c r="P10" t="s">
        <v>82</v>
      </c>
      <c r="Q10" t="s">
        <v>83</v>
      </c>
      <c r="S10" t="s">
        <v>84</v>
      </c>
      <c r="U10" t="s">
        <v>45</v>
      </c>
      <c r="V10" t="s">
        <v>46</v>
      </c>
      <c r="W10" t="s">
        <v>80</v>
      </c>
      <c r="X10" t="s">
        <v>81</v>
      </c>
      <c r="Y10" t="s">
        <v>85</v>
      </c>
      <c r="Z10" t="s">
        <v>86</v>
      </c>
      <c r="AA10" t="s">
        <v>49</v>
      </c>
      <c r="AB10" t="s">
        <v>50</v>
      </c>
      <c r="AC10" s="2">
        <v>174536</v>
      </c>
      <c r="AD10" t="s">
        <v>64</v>
      </c>
    </row>
    <row r="11" spans="1:31" hidden="1" x14ac:dyDescent="0.25">
      <c r="I11" t="s">
        <v>88</v>
      </c>
      <c r="J11" s="2">
        <v>21817</v>
      </c>
      <c r="K11" s="2">
        <v>100</v>
      </c>
      <c r="L11" s="2">
        <v>1</v>
      </c>
      <c r="M11" s="2">
        <v>0</v>
      </c>
      <c r="S11" t="s">
        <v>93</v>
      </c>
      <c r="U11" t="s">
        <v>45</v>
      </c>
      <c r="V11" t="s">
        <v>46</v>
      </c>
      <c r="W11" t="s">
        <v>89</v>
      </c>
      <c r="X11" t="s">
        <v>90</v>
      </c>
      <c r="Y11" t="s">
        <v>92</v>
      </c>
      <c r="Z11" t="s">
        <v>94</v>
      </c>
      <c r="AA11" t="s">
        <v>49</v>
      </c>
      <c r="AC11" s="2"/>
    </row>
    <row r="12" spans="1:31" x14ac:dyDescent="0.25">
      <c r="A12" t="s">
        <v>95</v>
      </c>
      <c r="B12" t="s">
        <v>96</v>
      </c>
      <c r="C12" t="s">
        <v>96</v>
      </c>
      <c r="D12" t="s">
        <v>35</v>
      </c>
      <c r="E12" t="s">
        <v>36</v>
      </c>
      <c r="F12" t="s">
        <v>97</v>
      </c>
      <c r="G12" t="s">
        <v>98</v>
      </c>
      <c r="H12" t="s">
        <v>99</v>
      </c>
      <c r="I12" t="s">
        <v>100</v>
      </c>
      <c r="J12" s="2">
        <v>109085</v>
      </c>
      <c r="K12" s="2">
        <v>500</v>
      </c>
      <c r="L12" s="2">
        <v>21</v>
      </c>
      <c r="M12" s="2">
        <v>0</v>
      </c>
      <c r="N12" t="s">
        <v>101</v>
      </c>
      <c r="O12" t="s">
        <v>102</v>
      </c>
      <c r="P12" t="s">
        <v>103</v>
      </c>
      <c r="Q12" t="s">
        <v>104</v>
      </c>
      <c r="S12" t="s">
        <v>105</v>
      </c>
      <c r="U12" t="s">
        <v>45</v>
      </c>
      <c r="V12" t="s">
        <v>46</v>
      </c>
      <c r="W12" t="s">
        <v>101</v>
      </c>
      <c r="X12" t="s">
        <v>102</v>
      </c>
      <c r="Y12" t="s">
        <v>106</v>
      </c>
      <c r="Z12" t="s">
        <v>107</v>
      </c>
      <c r="AA12" t="s">
        <v>49</v>
      </c>
      <c r="AB12" t="s">
        <v>50</v>
      </c>
      <c r="AC12" s="2">
        <v>76829.19</v>
      </c>
      <c r="AD12" t="s">
        <v>108</v>
      </c>
    </row>
    <row r="13" spans="1:31" x14ac:dyDescent="0.25">
      <c r="A13" s="15" t="s">
        <v>109</v>
      </c>
      <c r="B13" s="15" t="s">
        <v>110</v>
      </c>
      <c r="C13" s="15" t="s">
        <v>110</v>
      </c>
      <c r="D13" s="15" t="s">
        <v>55</v>
      </c>
      <c r="E13" s="15" t="s">
        <v>56</v>
      </c>
      <c r="F13" s="15" t="s">
        <v>111</v>
      </c>
      <c r="H13" s="15" t="s">
        <v>87</v>
      </c>
      <c r="I13" t="s">
        <v>112</v>
      </c>
      <c r="J13" s="2">
        <v>21817</v>
      </c>
      <c r="K13" s="2">
        <v>100</v>
      </c>
      <c r="L13" s="2">
        <v>1</v>
      </c>
      <c r="M13" s="2">
        <v>0</v>
      </c>
      <c r="N13" s="15" t="s">
        <v>89</v>
      </c>
      <c r="O13" s="15" t="s">
        <v>90</v>
      </c>
      <c r="P13" s="15" t="s">
        <v>42</v>
      </c>
      <c r="Q13" s="15" t="s">
        <v>43</v>
      </c>
      <c r="S13" t="s">
        <v>113</v>
      </c>
      <c r="U13" t="s">
        <v>45</v>
      </c>
      <c r="V13" t="s">
        <v>46</v>
      </c>
      <c r="W13" t="s">
        <v>89</v>
      </c>
      <c r="X13" t="s">
        <v>90</v>
      </c>
      <c r="Y13" t="s">
        <v>92</v>
      </c>
      <c r="Z13" t="s">
        <v>94</v>
      </c>
      <c r="AA13" t="s">
        <v>49</v>
      </c>
      <c r="AB13" s="15" t="s">
        <v>50</v>
      </c>
      <c r="AC13" s="16">
        <v>21079.81</v>
      </c>
      <c r="AD13" s="15" t="s">
        <v>114</v>
      </c>
      <c r="AE13" s="15" t="s">
        <v>115</v>
      </c>
    </row>
    <row r="14" spans="1:31" hidden="1" x14ac:dyDescent="0.25">
      <c r="I14" t="s">
        <v>117</v>
      </c>
      <c r="J14" s="2">
        <v>218170</v>
      </c>
      <c r="K14" s="2">
        <v>1000</v>
      </c>
      <c r="L14" s="2">
        <v>30</v>
      </c>
      <c r="M14" s="2">
        <v>0</v>
      </c>
      <c r="S14" t="s">
        <v>122</v>
      </c>
      <c r="U14" t="s">
        <v>45</v>
      </c>
      <c r="V14" t="s">
        <v>46</v>
      </c>
      <c r="W14" t="s">
        <v>118</v>
      </c>
      <c r="X14" t="s">
        <v>119</v>
      </c>
      <c r="Y14" t="s">
        <v>121</v>
      </c>
      <c r="Z14" t="s">
        <v>94</v>
      </c>
      <c r="AA14" t="s">
        <v>49</v>
      </c>
      <c r="AC14" s="2"/>
    </row>
    <row r="15" spans="1:31" x14ac:dyDescent="0.25">
      <c r="A15" t="s">
        <v>123</v>
      </c>
      <c r="B15" t="s">
        <v>124</v>
      </c>
      <c r="C15" t="s">
        <v>124</v>
      </c>
      <c r="D15" t="s">
        <v>125</v>
      </c>
      <c r="E15" t="s">
        <v>126</v>
      </c>
      <c r="F15" t="s">
        <v>127</v>
      </c>
      <c r="G15" t="s">
        <v>125</v>
      </c>
      <c r="H15" t="s">
        <v>38</v>
      </c>
      <c r="I15" t="s">
        <v>128</v>
      </c>
      <c r="J15" s="2">
        <v>545425</v>
      </c>
      <c r="K15" s="2">
        <v>2500</v>
      </c>
      <c r="L15" s="2">
        <v>15</v>
      </c>
      <c r="M15" s="2">
        <v>0</v>
      </c>
      <c r="N15" t="s">
        <v>40</v>
      </c>
      <c r="O15" t="s">
        <v>41</v>
      </c>
      <c r="P15" t="s">
        <v>61</v>
      </c>
      <c r="Q15" t="s">
        <v>62</v>
      </c>
      <c r="S15" t="s">
        <v>129</v>
      </c>
      <c r="U15" t="s">
        <v>45</v>
      </c>
      <c r="V15" t="s">
        <v>46</v>
      </c>
      <c r="W15" t="s">
        <v>40</v>
      </c>
      <c r="X15" t="s">
        <v>41</v>
      </c>
      <c r="Y15" t="s">
        <v>47</v>
      </c>
      <c r="Z15" t="s">
        <v>48</v>
      </c>
      <c r="AA15" t="s">
        <v>49</v>
      </c>
      <c r="AB15" t="s">
        <v>50</v>
      </c>
      <c r="AC15" s="2">
        <v>504238.73</v>
      </c>
      <c r="AD15" t="s">
        <v>130</v>
      </c>
      <c r="AE15" t="s">
        <v>52</v>
      </c>
    </row>
    <row r="16" spans="1:31" hidden="1" x14ac:dyDescent="0.25">
      <c r="A16" s="10" t="s">
        <v>131</v>
      </c>
      <c r="B16" s="10" t="s">
        <v>132</v>
      </c>
      <c r="C16" t="s">
        <v>132</v>
      </c>
      <c r="D16" t="s">
        <v>133</v>
      </c>
      <c r="E16" t="s">
        <v>134</v>
      </c>
      <c r="F16" t="s">
        <v>135</v>
      </c>
      <c r="H16" t="s">
        <v>41</v>
      </c>
      <c r="J16" s="2">
        <v>22046</v>
      </c>
      <c r="K16" s="2">
        <v>101.05</v>
      </c>
      <c r="L16" s="2">
        <v>15</v>
      </c>
      <c r="M16" s="2">
        <v>0</v>
      </c>
      <c r="N16" t="s">
        <v>136</v>
      </c>
      <c r="O16" t="s">
        <v>137</v>
      </c>
      <c r="P16" t="s">
        <v>42</v>
      </c>
      <c r="Q16" t="s">
        <v>43</v>
      </c>
      <c r="T16" t="s">
        <v>138</v>
      </c>
      <c r="U16" t="s">
        <v>45</v>
      </c>
      <c r="V16" t="s">
        <v>46</v>
      </c>
      <c r="Y16" t="s">
        <v>139</v>
      </c>
      <c r="Z16" t="s">
        <v>140</v>
      </c>
      <c r="AA16" t="s">
        <v>141</v>
      </c>
      <c r="AB16" t="s">
        <v>142</v>
      </c>
      <c r="AC16" s="2">
        <v>22046</v>
      </c>
      <c r="AD16" t="s">
        <v>64</v>
      </c>
    </row>
    <row r="17" spans="1:31" x14ac:dyDescent="0.25">
      <c r="A17" t="s">
        <v>143</v>
      </c>
      <c r="B17" t="s">
        <v>144</v>
      </c>
      <c r="C17" t="s">
        <v>144</v>
      </c>
      <c r="D17" t="s">
        <v>125</v>
      </c>
      <c r="E17" t="s">
        <v>126</v>
      </c>
      <c r="F17" t="s">
        <v>145</v>
      </c>
      <c r="G17" t="s">
        <v>125</v>
      </c>
      <c r="H17" t="s">
        <v>38</v>
      </c>
      <c r="I17" t="s">
        <v>146</v>
      </c>
      <c r="J17" s="2">
        <v>656397</v>
      </c>
      <c r="K17" s="2">
        <v>2700</v>
      </c>
      <c r="L17" s="2">
        <v>21</v>
      </c>
      <c r="M17" s="2">
        <v>0</v>
      </c>
      <c r="N17" t="s">
        <v>40</v>
      </c>
      <c r="O17" t="s">
        <v>41</v>
      </c>
      <c r="P17" t="s">
        <v>61</v>
      </c>
      <c r="Q17" t="s">
        <v>62</v>
      </c>
      <c r="S17" t="s">
        <v>147</v>
      </c>
      <c r="U17" t="s">
        <v>45</v>
      </c>
      <c r="V17" t="s">
        <v>46</v>
      </c>
      <c r="W17" t="s">
        <v>40</v>
      </c>
      <c r="X17" t="s">
        <v>41</v>
      </c>
      <c r="Y17" t="s">
        <v>47</v>
      </c>
      <c r="Z17" t="s">
        <v>48</v>
      </c>
      <c r="AA17" t="s">
        <v>49</v>
      </c>
      <c r="AB17" t="s">
        <v>50</v>
      </c>
      <c r="AC17" s="2">
        <v>12567.3</v>
      </c>
      <c r="AD17" t="s">
        <v>148</v>
      </c>
      <c r="AE17" t="s">
        <v>115</v>
      </c>
    </row>
    <row r="18" spans="1:31" x14ac:dyDescent="0.25">
      <c r="A18" t="s">
        <v>149</v>
      </c>
      <c r="B18" t="s">
        <v>150</v>
      </c>
      <c r="C18" t="s">
        <v>151</v>
      </c>
      <c r="D18" t="s">
        <v>35</v>
      </c>
      <c r="E18" t="s">
        <v>36</v>
      </c>
      <c r="F18" t="s">
        <v>152</v>
      </c>
      <c r="G18" t="s">
        <v>153</v>
      </c>
      <c r="H18" t="s">
        <v>154</v>
      </c>
      <c r="I18" t="s">
        <v>155</v>
      </c>
      <c r="J18" s="2">
        <v>2181700</v>
      </c>
      <c r="K18" s="2">
        <v>10000</v>
      </c>
      <c r="L18" s="2">
        <v>15</v>
      </c>
      <c r="M18" s="2">
        <v>0</v>
      </c>
      <c r="N18" t="s">
        <v>156</v>
      </c>
      <c r="O18" t="s">
        <v>157</v>
      </c>
      <c r="P18" t="s">
        <v>158</v>
      </c>
      <c r="Q18" t="s">
        <v>159</v>
      </c>
      <c r="S18" t="s">
        <v>160</v>
      </c>
      <c r="U18" t="s">
        <v>45</v>
      </c>
      <c r="V18" t="s">
        <v>46</v>
      </c>
      <c r="W18" t="s">
        <v>156</v>
      </c>
      <c r="X18" t="s">
        <v>157</v>
      </c>
      <c r="Y18" t="s">
        <v>161</v>
      </c>
      <c r="Z18" t="s">
        <v>162</v>
      </c>
      <c r="AA18" t="s">
        <v>49</v>
      </c>
      <c r="AB18" t="s">
        <v>50</v>
      </c>
      <c r="AC18" s="2">
        <v>1799818.1</v>
      </c>
      <c r="AD18" t="s">
        <v>163</v>
      </c>
      <c r="AE18" t="s">
        <v>52</v>
      </c>
    </row>
    <row r="19" spans="1:31" x14ac:dyDescent="0.25">
      <c r="A19" t="s">
        <v>164</v>
      </c>
      <c r="B19" t="s">
        <v>165</v>
      </c>
      <c r="C19" t="s">
        <v>165</v>
      </c>
      <c r="D19" t="s">
        <v>166</v>
      </c>
      <c r="E19" t="s">
        <v>167</v>
      </c>
      <c r="F19" t="s">
        <v>168</v>
      </c>
      <c r="G19" t="s">
        <v>169</v>
      </c>
      <c r="H19" t="s">
        <v>170</v>
      </c>
      <c r="I19" t="s">
        <v>171</v>
      </c>
      <c r="J19" s="2">
        <v>709380</v>
      </c>
      <c r="K19" s="2">
        <v>3000</v>
      </c>
      <c r="L19" s="2">
        <v>21</v>
      </c>
      <c r="M19" s="2">
        <v>0</v>
      </c>
      <c r="N19" t="s">
        <v>172</v>
      </c>
      <c r="O19" t="s">
        <v>173</v>
      </c>
      <c r="P19" t="s">
        <v>158</v>
      </c>
      <c r="Q19" t="s">
        <v>159</v>
      </c>
      <c r="S19" t="s">
        <v>174</v>
      </c>
      <c r="U19" t="s">
        <v>45</v>
      </c>
      <c r="V19" t="s">
        <v>46</v>
      </c>
      <c r="W19" t="s">
        <v>172</v>
      </c>
      <c r="X19" t="s">
        <v>173</v>
      </c>
      <c r="Y19" t="s">
        <v>161</v>
      </c>
      <c r="Z19" t="s">
        <v>162</v>
      </c>
      <c r="AA19" t="s">
        <v>49</v>
      </c>
      <c r="AB19" t="s">
        <v>50</v>
      </c>
      <c r="AC19" s="2">
        <v>669329.87</v>
      </c>
      <c r="AD19" t="s">
        <v>175</v>
      </c>
    </row>
    <row r="20" spans="1:31" x14ac:dyDescent="0.25">
      <c r="A20" t="s">
        <v>176</v>
      </c>
      <c r="B20" t="s">
        <v>177</v>
      </c>
      <c r="C20" t="s">
        <v>177</v>
      </c>
      <c r="D20" t="s">
        <v>178</v>
      </c>
      <c r="E20" t="s">
        <v>179</v>
      </c>
      <c r="F20" t="s">
        <v>180</v>
      </c>
      <c r="G20" t="s">
        <v>178</v>
      </c>
      <c r="H20" t="s">
        <v>181</v>
      </c>
      <c r="I20" t="s">
        <v>182</v>
      </c>
      <c r="J20" s="2">
        <v>218170</v>
      </c>
      <c r="K20" s="2">
        <v>1000</v>
      </c>
      <c r="L20" s="2">
        <v>15</v>
      </c>
      <c r="M20" s="2">
        <v>0</v>
      </c>
      <c r="N20" t="s">
        <v>183</v>
      </c>
      <c r="O20" t="s">
        <v>184</v>
      </c>
      <c r="P20" t="s">
        <v>158</v>
      </c>
      <c r="Q20" t="s">
        <v>159</v>
      </c>
      <c r="S20" t="s">
        <v>185</v>
      </c>
      <c r="U20" t="s">
        <v>45</v>
      </c>
      <c r="V20" t="s">
        <v>46</v>
      </c>
      <c r="W20" t="s">
        <v>183</v>
      </c>
      <c r="X20" t="s">
        <v>184</v>
      </c>
      <c r="Y20" t="s">
        <v>161</v>
      </c>
      <c r="Z20" t="s">
        <v>162</v>
      </c>
      <c r="AA20" t="s">
        <v>49</v>
      </c>
      <c r="AB20" t="s">
        <v>50</v>
      </c>
      <c r="AC20" s="2">
        <v>169376.03</v>
      </c>
      <c r="AD20" t="s">
        <v>186</v>
      </c>
      <c r="AE20" t="s">
        <v>52</v>
      </c>
    </row>
    <row r="21" spans="1:31" x14ac:dyDescent="0.25">
      <c r="A21" t="s">
        <v>187</v>
      </c>
      <c r="B21" t="s">
        <v>188</v>
      </c>
      <c r="C21" t="s">
        <v>188</v>
      </c>
      <c r="D21" t="s">
        <v>189</v>
      </c>
      <c r="E21" t="s">
        <v>190</v>
      </c>
      <c r="F21" t="s">
        <v>191</v>
      </c>
      <c r="G21" t="s">
        <v>192</v>
      </c>
      <c r="H21" t="s">
        <v>193</v>
      </c>
      <c r="I21" t="s">
        <v>194</v>
      </c>
      <c r="J21" s="2">
        <v>352305</v>
      </c>
      <c r="K21" s="2">
        <v>1500</v>
      </c>
      <c r="L21" s="2">
        <v>30</v>
      </c>
      <c r="M21" s="2">
        <v>0</v>
      </c>
      <c r="N21" t="s">
        <v>195</v>
      </c>
      <c r="O21" t="s">
        <v>196</v>
      </c>
      <c r="P21" t="s">
        <v>61</v>
      </c>
      <c r="Q21" t="s">
        <v>62</v>
      </c>
      <c r="S21" t="s">
        <v>197</v>
      </c>
      <c r="U21" t="s">
        <v>45</v>
      </c>
      <c r="V21" t="s">
        <v>46</v>
      </c>
      <c r="W21" t="s">
        <v>195</v>
      </c>
      <c r="X21" t="s">
        <v>196</v>
      </c>
      <c r="Y21" t="s">
        <v>47</v>
      </c>
      <c r="Z21" t="s">
        <v>48</v>
      </c>
      <c r="AA21" t="s">
        <v>49</v>
      </c>
      <c r="AB21" t="s">
        <v>50</v>
      </c>
      <c r="AC21" s="2">
        <v>352305</v>
      </c>
      <c r="AD21" t="s">
        <v>64</v>
      </c>
    </row>
    <row r="22" spans="1:31" hidden="1" x14ac:dyDescent="0.25">
      <c r="A22" t="s">
        <v>198</v>
      </c>
      <c r="B22" t="s">
        <v>199</v>
      </c>
      <c r="C22" t="s">
        <v>199</v>
      </c>
      <c r="F22" t="s">
        <v>200</v>
      </c>
      <c r="H22" t="s">
        <v>201</v>
      </c>
      <c r="I22" t="s">
        <v>202</v>
      </c>
      <c r="J22" s="2">
        <v>218170</v>
      </c>
      <c r="K22" s="2">
        <v>1000</v>
      </c>
      <c r="L22" s="2">
        <v>30</v>
      </c>
      <c r="M22" s="2">
        <v>0</v>
      </c>
      <c r="N22" t="s">
        <v>203</v>
      </c>
      <c r="O22" t="s">
        <v>204</v>
      </c>
      <c r="P22" t="s">
        <v>205</v>
      </c>
      <c r="Q22" t="s">
        <v>206</v>
      </c>
      <c r="S22" t="s">
        <v>207</v>
      </c>
      <c r="U22" t="s">
        <v>45</v>
      </c>
      <c r="V22" t="s">
        <v>46</v>
      </c>
      <c r="W22" t="s">
        <v>203</v>
      </c>
      <c r="X22" t="s">
        <v>204</v>
      </c>
      <c r="Y22" t="s">
        <v>161</v>
      </c>
      <c r="Z22" t="s">
        <v>162</v>
      </c>
      <c r="AA22" t="s">
        <v>49</v>
      </c>
      <c r="AB22" t="s">
        <v>50</v>
      </c>
      <c r="AC22" s="2">
        <v>218170</v>
      </c>
      <c r="AD22" t="s">
        <v>64</v>
      </c>
    </row>
    <row r="23" spans="1:31" hidden="1" x14ac:dyDescent="0.25">
      <c r="A23" s="10" t="s">
        <v>208</v>
      </c>
      <c r="B23" s="10" t="s">
        <v>209</v>
      </c>
      <c r="C23" t="s">
        <v>209</v>
      </c>
      <c r="D23" t="s">
        <v>55</v>
      </c>
      <c r="E23" t="s">
        <v>56</v>
      </c>
      <c r="F23" t="s">
        <v>210</v>
      </c>
      <c r="H23" t="s">
        <v>38</v>
      </c>
      <c r="I23" t="s">
        <v>211</v>
      </c>
      <c r="J23" s="2">
        <v>218170</v>
      </c>
      <c r="K23" s="2">
        <v>1000</v>
      </c>
      <c r="L23" s="2">
        <v>30</v>
      </c>
      <c r="M23" s="2">
        <v>0</v>
      </c>
      <c r="N23" t="s">
        <v>212</v>
      </c>
      <c r="O23" t="s">
        <v>213</v>
      </c>
      <c r="P23" t="s">
        <v>61</v>
      </c>
      <c r="Q23" t="s">
        <v>62</v>
      </c>
      <c r="S23" t="s">
        <v>214</v>
      </c>
      <c r="U23" t="s">
        <v>45</v>
      </c>
      <c r="V23" t="s">
        <v>46</v>
      </c>
      <c r="W23" t="s">
        <v>212</v>
      </c>
      <c r="X23" t="s">
        <v>213</v>
      </c>
      <c r="Y23" t="s">
        <v>47</v>
      </c>
      <c r="Z23" t="s">
        <v>48</v>
      </c>
      <c r="AA23" t="s">
        <v>49</v>
      </c>
      <c r="AB23" t="s">
        <v>142</v>
      </c>
      <c r="AC23" s="2">
        <v>218170</v>
      </c>
      <c r="AD23" t="s">
        <v>64</v>
      </c>
    </row>
    <row r="24" spans="1:31" hidden="1" x14ac:dyDescent="0.25">
      <c r="A24" s="10" t="s">
        <v>215</v>
      </c>
      <c r="B24" s="10" t="s">
        <v>216</v>
      </c>
      <c r="C24" t="s">
        <v>216</v>
      </c>
      <c r="D24" t="s">
        <v>55</v>
      </c>
      <c r="E24" t="s">
        <v>56</v>
      </c>
      <c r="F24" t="s">
        <v>217</v>
      </c>
      <c r="H24" t="s">
        <v>38</v>
      </c>
      <c r="I24" t="s">
        <v>218</v>
      </c>
      <c r="J24" s="2">
        <v>218170</v>
      </c>
      <c r="K24" s="2">
        <v>1000</v>
      </c>
      <c r="L24" s="2">
        <v>30</v>
      </c>
      <c r="M24" s="2">
        <v>0</v>
      </c>
      <c r="N24" t="s">
        <v>40</v>
      </c>
      <c r="O24" t="s">
        <v>41</v>
      </c>
      <c r="P24" t="s">
        <v>61</v>
      </c>
      <c r="Q24" t="s">
        <v>62</v>
      </c>
      <c r="S24" t="s">
        <v>219</v>
      </c>
      <c r="U24" t="s">
        <v>45</v>
      </c>
      <c r="V24" t="s">
        <v>46</v>
      </c>
      <c r="W24" t="s">
        <v>40</v>
      </c>
      <c r="X24" t="s">
        <v>41</v>
      </c>
      <c r="Y24" t="s">
        <v>47</v>
      </c>
      <c r="Z24" t="s">
        <v>48</v>
      </c>
      <c r="AA24" t="s">
        <v>49</v>
      </c>
      <c r="AB24" t="s">
        <v>142</v>
      </c>
      <c r="AC24" s="2">
        <v>218170</v>
      </c>
      <c r="AD24" t="s">
        <v>64</v>
      </c>
    </row>
    <row r="25" spans="1:31" x14ac:dyDescent="0.25">
      <c r="A25" t="s">
        <v>220</v>
      </c>
      <c r="B25" t="s">
        <v>221</v>
      </c>
      <c r="C25" t="s">
        <v>222</v>
      </c>
      <c r="D25" t="s">
        <v>223</v>
      </c>
      <c r="E25" t="s">
        <v>224</v>
      </c>
      <c r="F25" t="s">
        <v>57</v>
      </c>
      <c r="G25" t="s">
        <v>133</v>
      </c>
      <c r="H25" t="s">
        <v>38</v>
      </c>
      <c r="J25" s="2">
        <v>218170</v>
      </c>
      <c r="K25" s="2">
        <v>1000</v>
      </c>
      <c r="L25" s="2">
        <v>30</v>
      </c>
      <c r="M25" s="2">
        <v>0</v>
      </c>
      <c r="N25" t="s">
        <v>40</v>
      </c>
      <c r="O25" t="s">
        <v>41</v>
      </c>
      <c r="P25" t="s">
        <v>61</v>
      </c>
      <c r="Q25" t="s">
        <v>62</v>
      </c>
      <c r="S25" t="s">
        <v>63</v>
      </c>
      <c r="U25" t="s">
        <v>45</v>
      </c>
      <c r="V25" t="s">
        <v>46</v>
      </c>
      <c r="W25" t="s">
        <v>40</v>
      </c>
      <c r="X25" t="s">
        <v>41</v>
      </c>
      <c r="Y25" t="s">
        <v>47</v>
      </c>
      <c r="Z25" t="s">
        <v>48</v>
      </c>
      <c r="AA25" t="s">
        <v>49</v>
      </c>
      <c r="AB25" t="s">
        <v>50</v>
      </c>
      <c r="AC25" s="2">
        <v>184031.85</v>
      </c>
      <c r="AD25" t="s">
        <v>225</v>
      </c>
    </row>
    <row r="26" spans="1:31" x14ac:dyDescent="0.25">
      <c r="A26" t="s">
        <v>226</v>
      </c>
      <c r="B26" t="s">
        <v>227</v>
      </c>
      <c r="C26" t="s">
        <v>227</v>
      </c>
      <c r="D26" t="s">
        <v>35</v>
      </c>
      <c r="E26" t="s">
        <v>36</v>
      </c>
      <c r="F26" t="s">
        <v>228</v>
      </c>
      <c r="G26" t="s">
        <v>35</v>
      </c>
      <c r="H26" t="s">
        <v>229</v>
      </c>
      <c r="I26" t="s">
        <v>230</v>
      </c>
      <c r="J26" s="2">
        <v>370950</v>
      </c>
      <c r="K26" s="2">
        <v>1500</v>
      </c>
      <c r="L26" s="2">
        <v>15</v>
      </c>
      <c r="M26" s="2">
        <v>0</v>
      </c>
      <c r="N26" t="s">
        <v>231</v>
      </c>
      <c r="O26" t="s">
        <v>232</v>
      </c>
      <c r="P26" t="s">
        <v>61</v>
      </c>
      <c r="Q26" t="s">
        <v>62</v>
      </c>
      <c r="S26" t="s">
        <v>233</v>
      </c>
      <c r="U26" t="s">
        <v>45</v>
      </c>
      <c r="V26" t="s">
        <v>46</v>
      </c>
      <c r="W26" t="s">
        <v>231</v>
      </c>
      <c r="X26" t="s">
        <v>232</v>
      </c>
      <c r="Y26" t="s">
        <v>47</v>
      </c>
      <c r="Z26" t="s">
        <v>48</v>
      </c>
      <c r="AA26" t="s">
        <v>49</v>
      </c>
      <c r="AB26" t="s">
        <v>50</v>
      </c>
      <c r="AC26" s="2">
        <v>20078.43</v>
      </c>
      <c r="AD26" t="s">
        <v>234</v>
      </c>
      <c r="AE26" t="s">
        <v>52</v>
      </c>
    </row>
    <row r="27" spans="1:31" x14ac:dyDescent="0.25">
      <c r="A27" s="15" t="s">
        <v>235</v>
      </c>
      <c r="B27" s="15" t="s">
        <v>236</v>
      </c>
      <c r="C27" s="15" t="s">
        <v>236</v>
      </c>
      <c r="D27" s="15" t="s">
        <v>55</v>
      </c>
      <c r="E27" s="15" t="s">
        <v>56</v>
      </c>
      <c r="F27" s="15" t="s">
        <v>237</v>
      </c>
      <c r="H27" s="15" t="s">
        <v>238</v>
      </c>
      <c r="I27" t="s">
        <v>239</v>
      </c>
      <c r="J27" s="2">
        <v>218170</v>
      </c>
      <c r="K27" s="2">
        <v>1000</v>
      </c>
      <c r="L27" s="2">
        <v>30</v>
      </c>
      <c r="M27" s="2">
        <v>0</v>
      </c>
      <c r="N27" s="15" t="s">
        <v>118</v>
      </c>
      <c r="O27" s="15" t="s">
        <v>119</v>
      </c>
      <c r="P27" s="15" t="s">
        <v>120</v>
      </c>
      <c r="Q27" s="15" t="s">
        <v>121</v>
      </c>
      <c r="S27" t="s">
        <v>240</v>
      </c>
      <c r="U27" t="s">
        <v>45</v>
      </c>
      <c r="V27" t="s">
        <v>46</v>
      </c>
      <c r="W27" t="s">
        <v>118</v>
      </c>
      <c r="X27" t="s">
        <v>119</v>
      </c>
      <c r="Y27" t="s">
        <v>121</v>
      </c>
      <c r="Z27" t="s">
        <v>94</v>
      </c>
      <c r="AA27" t="s">
        <v>49</v>
      </c>
      <c r="AB27" s="15" t="s">
        <v>50</v>
      </c>
      <c r="AC27" s="16">
        <v>216051.66</v>
      </c>
      <c r="AD27" s="15" t="s">
        <v>241</v>
      </c>
      <c r="AE27" s="15" t="s">
        <v>115</v>
      </c>
    </row>
    <row r="28" spans="1:31" hidden="1" x14ac:dyDescent="0.25">
      <c r="A28" s="10" t="s">
        <v>242</v>
      </c>
      <c r="B28" s="10" t="s">
        <v>243</v>
      </c>
      <c r="C28" t="s">
        <v>243</v>
      </c>
      <c r="D28" t="s">
        <v>55</v>
      </c>
      <c r="E28" t="s">
        <v>56</v>
      </c>
      <c r="F28" t="s">
        <v>244</v>
      </c>
      <c r="H28" t="s">
        <v>245</v>
      </c>
      <c r="I28" t="s">
        <v>246</v>
      </c>
      <c r="J28" s="2">
        <v>231050</v>
      </c>
      <c r="K28" s="2">
        <v>1000</v>
      </c>
      <c r="L28" s="2">
        <v>30</v>
      </c>
      <c r="M28" s="2">
        <v>0</v>
      </c>
      <c r="N28" t="s">
        <v>40</v>
      </c>
      <c r="O28" t="s">
        <v>41</v>
      </c>
      <c r="P28" t="s">
        <v>61</v>
      </c>
      <c r="Q28" t="s">
        <v>62</v>
      </c>
      <c r="S28" t="s">
        <v>247</v>
      </c>
      <c r="U28" t="s">
        <v>45</v>
      </c>
      <c r="V28" t="s">
        <v>46</v>
      </c>
      <c r="W28" t="s">
        <v>40</v>
      </c>
      <c r="X28" t="s">
        <v>41</v>
      </c>
      <c r="Y28" t="s">
        <v>47</v>
      </c>
      <c r="Z28" t="s">
        <v>48</v>
      </c>
      <c r="AA28" t="s">
        <v>49</v>
      </c>
      <c r="AB28" t="s">
        <v>142</v>
      </c>
      <c r="AC28" s="2">
        <v>231050</v>
      </c>
      <c r="AD28" t="s">
        <v>64</v>
      </c>
    </row>
    <row r="29" spans="1:31" hidden="1" x14ac:dyDescent="0.25">
      <c r="J29" s="2">
        <v>218170</v>
      </c>
      <c r="K29" s="2">
        <v>1000</v>
      </c>
      <c r="L29" s="2">
        <v>30</v>
      </c>
      <c r="M29" s="2">
        <v>0</v>
      </c>
      <c r="S29" t="s">
        <v>251</v>
      </c>
      <c r="U29" t="s">
        <v>45</v>
      </c>
      <c r="V29" t="s">
        <v>46</v>
      </c>
      <c r="W29" t="s">
        <v>249</v>
      </c>
      <c r="X29" t="s">
        <v>250</v>
      </c>
      <c r="Y29" t="s">
        <v>92</v>
      </c>
      <c r="Z29" t="s">
        <v>94</v>
      </c>
      <c r="AA29" t="s">
        <v>49</v>
      </c>
      <c r="AC29" s="2"/>
    </row>
    <row r="30" spans="1:31" hidden="1" x14ac:dyDescent="0.25">
      <c r="I30" t="s">
        <v>253</v>
      </c>
      <c r="J30" s="2">
        <v>218170</v>
      </c>
      <c r="K30" s="2">
        <v>1000</v>
      </c>
      <c r="L30" s="2">
        <v>30</v>
      </c>
      <c r="M30" s="2">
        <v>0</v>
      </c>
      <c r="S30" t="s">
        <v>257</v>
      </c>
      <c r="U30" t="s">
        <v>45</v>
      </c>
      <c r="V30" t="s">
        <v>46</v>
      </c>
      <c r="W30" t="s">
        <v>254</v>
      </c>
      <c r="X30" t="s">
        <v>255</v>
      </c>
      <c r="Y30" t="s">
        <v>258</v>
      </c>
      <c r="Z30" t="s">
        <v>259</v>
      </c>
      <c r="AA30" t="s">
        <v>49</v>
      </c>
      <c r="AC30" s="2"/>
    </row>
    <row r="31" spans="1:31" x14ac:dyDescent="0.25">
      <c r="A31" t="s">
        <v>260</v>
      </c>
      <c r="B31" t="s">
        <v>261</v>
      </c>
      <c r="C31" t="s">
        <v>261</v>
      </c>
      <c r="D31" t="s">
        <v>262</v>
      </c>
      <c r="E31" t="s">
        <v>134</v>
      </c>
      <c r="F31" t="s">
        <v>263</v>
      </c>
      <c r="G31" t="s">
        <v>264</v>
      </c>
      <c r="H31" t="s">
        <v>265</v>
      </c>
      <c r="I31" t="s">
        <v>266</v>
      </c>
      <c r="J31" s="2">
        <v>43634</v>
      </c>
      <c r="K31" s="2">
        <v>200</v>
      </c>
      <c r="L31" s="2">
        <v>30</v>
      </c>
      <c r="M31" s="2">
        <v>0</v>
      </c>
      <c r="N31" t="s">
        <v>267</v>
      </c>
      <c r="O31" t="s">
        <v>268</v>
      </c>
      <c r="P31" t="s">
        <v>103</v>
      </c>
      <c r="Q31" t="s">
        <v>104</v>
      </c>
      <c r="S31" t="s">
        <v>269</v>
      </c>
      <c r="U31" t="s">
        <v>45</v>
      </c>
      <c r="V31" t="s">
        <v>46</v>
      </c>
      <c r="W31" t="s">
        <v>267</v>
      </c>
      <c r="X31" t="s">
        <v>268</v>
      </c>
      <c r="Y31" t="s">
        <v>106</v>
      </c>
      <c r="Z31" t="s">
        <v>107</v>
      </c>
      <c r="AA31" t="s">
        <v>49</v>
      </c>
      <c r="AB31" t="s">
        <v>50</v>
      </c>
      <c r="AC31" s="2">
        <v>43634</v>
      </c>
      <c r="AD31" t="s">
        <v>64</v>
      </c>
    </row>
    <row r="32" spans="1:31" x14ac:dyDescent="0.25">
      <c r="A32" t="s">
        <v>270</v>
      </c>
      <c r="B32" t="s">
        <v>271</v>
      </c>
      <c r="C32" t="s">
        <v>271</v>
      </c>
      <c r="D32" t="s">
        <v>153</v>
      </c>
      <c r="E32" t="s">
        <v>272</v>
      </c>
      <c r="F32" t="s">
        <v>273</v>
      </c>
      <c r="G32" t="s">
        <v>153</v>
      </c>
      <c r="H32" t="s">
        <v>274</v>
      </c>
      <c r="I32" t="s">
        <v>275</v>
      </c>
      <c r="J32" s="2">
        <v>327255</v>
      </c>
      <c r="K32" s="2">
        <v>1500</v>
      </c>
      <c r="L32" s="2">
        <v>30</v>
      </c>
      <c r="M32" s="2">
        <v>0</v>
      </c>
      <c r="N32" t="s">
        <v>276</v>
      </c>
      <c r="O32" t="s">
        <v>277</v>
      </c>
      <c r="P32" t="s">
        <v>103</v>
      </c>
      <c r="Q32" t="s">
        <v>104</v>
      </c>
      <c r="S32" t="s">
        <v>278</v>
      </c>
      <c r="U32" t="s">
        <v>45</v>
      </c>
      <c r="V32" t="s">
        <v>46</v>
      </c>
      <c r="W32" t="s">
        <v>276</v>
      </c>
      <c r="X32" t="s">
        <v>277</v>
      </c>
      <c r="Y32" t="s">
        <v>279</v>
      </c>
      <c r="Z32" t="s">
        <v>280</v>
      </c>
      <c r="AA32" t="s">
        <v>49</v>
      </c>
      <c r="AB32" t="s">
        <v>50</v>
      </c>
      <c r="AC32" s="2">
        <v>94372.23</v>
      </c>
      <c r="AD32" t="s">
        <v>281</v>
      </c>
      <c r="AE32" t="s">
        <v>52</v>
      </c>
    </row>
    <row r="33" spans="1:31" hidden="1" x14ac:dyDescent="0.25">
      <c r="A33" s="10" t="s">
        <v>282</v>
      </c>
      <c r="B33" s="10" t="s">
        <v>283</v>
      </c>
      <c r="C33" t="s">
        <v>283</v>
      </c>
      <c r="D33" t="s">
        <v>55</v>
      </c>
      <c r="E33" t="s">
        <v>56</v>
      </c>
      <c r="F33" t="s">
        <v>284</v>
      </c>
      <c r="H33" t="s">
        <v>38</v>
      </c>
      <c r="I33" t="s">
        <v>285</v>
      </c>
      <c r="J33" s="2">
        <v>218170</v>
      </c>
      <c r="K33" s="2">
        <v>1000</v>
      </c>
      <c r="L33" s="2">
        <v>30</v>
      </c>
      <c r="M33" s="2">
        <v>0</v>
      </c>
      <c r="N33" t="s">
        <v>40</v>
      </c>
      <c r="O33" t="s">
        <v>41</v>
      </c>
      <c r="P33" t="s">
        <v>61</v>
      </c>
      <c r="Q33" t="s">
        <v>62</v>
      </c>
      <c r="S33" t="s">
        <v>286</v>
      </c>
      <c r="U33" t="s">
        <v>45</v>
      </c>
      <c r="V33" t="s">
        <v>46</v>
      </c>
      <c r="W33" t="s">
        <v>40</v>
      </c>
      <c r="X33" t="s">
        <v>41</v>
      </c>
      <c r="Y33" t="s">
        <v>47</v>
      </c>
      <c r="Z33" t="s">
        <v>48</v>
      </c>
      <c r="AA33" t="s">
        <v>49</v>
      </c>
      <c r="AB33" t="s">
        <v>142</v>
      </c>
      <c r="AC33" s="2">
        <v>218170</v>
      </c>
      <c r="AD33" t="s">
        <v>64</v>
      </c>
    </row>
    <row r="34" spans="1:31" hidden="1" x14ac:dyDescent="0.25">
      <c r="A34" s="10" t="s">
        <v>287</v>
      </c>
      <c r="B34" s="10" t="s">
        <v>288</v>
      </c>
      <c r="C34" t="s">
        <v>288</v>
      </c>
      <c r="D34" t="s">
        <v>55</v>
      </c>
      <c r="E34" t="s">
        <v>56</v>
      </c>
      <c r="F34" t="s">
        <v>289</v>
      </c>
      <c r="H34" t="s">
        <v>290</v>
      </c>
      <c r="I34" t="s">
        <v>291</v>
      </c>
      <c r="J34" s="2">
        <v>218170</v>
      </c>
      <c r="K34" s="2">
        <v>1000</v>
      </c>
      <c r="L34" s="2">
        <v>30</v>
      </c>
      <c r="M34" s="2">
        <v>0</v>
      </c>
      <c r="N34" t="s">
        <v>292</v>
      </c>
      <c r="O34" t="s">
        <v>293</v>
      </c>
      <c r="P34" t="s">
        <v>61</v>
      </c>
      <c r="Q34" t="s">
        <v>62</v>
      </c>
      <c r="S34" t="s">
        <v>294</v>
      </c>
      <c r="U34" t="s">
        <v>45</v>
      </c>
      <c r="V34" t="s">
        <v>46</v>
      </c>
      <c r="W34" t="s">
        <v>292</v>
      </c>
      <c r="X34" t="s">
        <v>293</v>
      </c>
      <c r="Y34" t="s">
        <v>47</v>
      </c>
      <c r="Z34" t="s">
        <v>48</v>
      </c>
      <c r="AA34" t="s">
        <v>49</v>
      </c>
      <c r="AB34" t="s">
        <v>142</v>
      </c>
      <c r="AC34" s="2">
        <v>218170</v>
      </c>
      <c r="AD34" t="s">
        <v>64</v>
      </c>
    </row>
    <row r="35" spans="1:31" x14ac:dyDescent="0.25">
      <c r="A35" t="s">
        <v>295</v>
      </c>
      <c r="B35" t="s">
        <v>296</v>
      </c>
      <c r="C35" t="s">
        <v>296</v>
      </c>
      <c r="D35" t="s">
        <v>297</v>
      </c>
      <c r="E35" t="s">
        <v>167</v>
      </c>
      <c r="F35" t="s">
        <v>298</v>
      </c>
      <c r="G35" t="s">
        <v>299</v>
      </c>
      <c r="H35" t="s">
        <v>300</v>
      </c>
      <c r="I35" t="s">
        <v>301</v>
      </c>
      <c r="J35" s="2">
        <v>447920</v>
      </c>
      <c r="K35" s="2">
        <v>2000</v>
      </c>
      <c r="L35" s="2">
        <v>30</v>
      </c>
      <c r="M35" s="2">
        <v>0</v>
      </c>
      <c r="N35" t="s">
        <v>302</v>
      </c>
      <c r="O35" t="s">
        <v>303</v>
      </c>
      <c r="P35" t="s">
        <v>304</v>
      </c>
      <c r="Q35" t="s">
        <v>72</v>
      </c>
      <c r="S35" t="s">
        <v>305</v>
      </c>
      <c r="U35" t="s">
        <v>45</v>
      </c>
      <c r="V35" t="s">
        <v>46</v>
      </c>
      <c r="W35" t="s">
        <v>302</v>
      </c>
      <c r="X35" t="s">
        <v>303</v>
      </c>
      <c r="Y35" t="s">
        <v>72</v>
      </c>
      <c r="Z35" t="s">
        <v>68</v>
      </c>
      <c r="AA35" t="s">
        <v>49</v>
      </c>
      <c r="AB35" t="s">
        <v>50</v>
      </c>
      <c r="AC35" s="2">
        <v>302764.98</v>
      </c>
      <c r="AD35" t="s">
        <v>306</v>
      </c>
      <c r="AE35" t="s">
        <v>52</v>
      </c>
    </row>
    <row r="36" spans="1:31" hidden="1" x14ac:dyDescent="0.25">
      <c r="A36" s="10" t="s">
        <v>307</v>
      </c>
      <c r="B36" s="10" t="s">
        <v>308</v>
      </c>
      <c r="C36" t="s">
        <v>308</v>
      </c>
      <c r="D36" t="s">
        <v>55</v>
      </c>
      <c r="E36" t="s">
        <v>56</v>
      </c>
      <c r="F36" t="s">
        <v>309</v>
      </c>
      <c r="H36" t="s">
        <v>38</v>
      </c>
      <c r="I36" t="s">
        <v>310</v>
      </c>
      <c r="J36" s="2">
        <v>218170</v>
      </c>
      <c r="K36" s="2">
        <v>1000</v>
      </c>
      <c r="L36" s="2">
        <v>30</v>
      </c>
      <c r="M36" s="2">
        <v>0</v>
      </c>
      <c r="N36" t="s">
        <v>40</v>
      </c>
      <c r="O36" t="s">
        <v>41</v>
      </c>
      <c r="P36" t="s">
        <v>61</v>
      </c>
      <c r="Q36" t="s">
        <v>62</v>
      </c>
      <c r="S36" t="s">
        <v>311</v>
      </c>
      <c r="U36" t="s">
        <v>45</v>
      </c>
      <c r="V36" t="s">
        <v>46</v>
      </c>
      <c r="W36" t="s">
        <v>40</v>
      </c>
      <c r="X36" t="s">
        <v>41</v>
      </c>
      <c r="Y36" t="s">
        <v>47</v>
      </c>
      <c r="Z36" t="s">
        <v>48</v>
      </c>
      <c r="AA36" t="s">
        <v>49</v>
      </c>
      <c r="AB36" t="s">
        <v>142</v>
      </c>
      <c r="AC36" s="2">
        <v>218170</v>
      </c>
      <c r="AD36" t="s">
        <v>64</v>
      </c>
    </row>
    <row r="37" spans="1:31" hidden="1" x14ac:dyDescent="0.25">
      <c r="I37" t="s">
        <v>313</v>
      </c>
      <c r="J37" s="2">
        <v>218170</v>
      </c>
      <c r="K37" s="2">
        <v>1000</v>
      </c>
      <c r="L37" s="2">
        <v>15</v>
      </c>
      <c r="M37" s="2">
        <v>0</v>
      </c>
      <c r="S37" t="s">
        <v>318</v>
      </c>
      <c r="U37" t="s">
        <v>45</v>
      </c>
      <c r="V37" t="s">
        <v>46</v>
      </c>
      <c r="W37" t="s">
        <v>314</v>
      </c>
      <c r="X37" t="s">
        <v>315</v>
      </c>
      <c r="Y37" t="s">
        <v>47</v>
      </c>
      <c r="Z37" t="s">
        <v>48</v>
      </c>
      <c r="AA37" t="s">
        <v>49</v>
      </c>
      <c r="AC37" s="2"/>
    </row>
    <row r="38" spans="1:31" x14ac:dyDescent="0.25">
      <c r="A38" t="s">
        <v>319</v>
      </c>
      <c r="B38" t="s">
        <v>320</v>
      </c>
      <c r="C38" t="s">
        <v>320</v>
      </c>
      <c r="D38" t="s">
        <v>321</v>
      </c>
      <c r="E38" t="s">
        <v>224</v>
      </c>
      <c r="F38" t="s">
        <v>322</v>
      </c>
      <c r="G38" t="s">
        <v>323</v>
      </c>
      <c r="H38" t="s">
        <v>324</v>
      </c>
      <c r="I38" t="s">
        <v>325</v>
      </c>
      <c r="J38" s="2">
        <v>491646</v>
      </c>
      <c r="K38" s="2">
        <v>2253.5</v>
      </c>
      <c r="L38" s="2">
        <v>1</v>
      </c>
      <c r="M38" s="2">
        <v>0</v>
      </c>
      <c r="N38" t="s">
        <v>326</v>
      </c>
      <c r="O38" t="s">
        <v>327</v>
      </c>
      <c r="P38" t="s">
        <v>120</v>
      </c>
      <c r="Q38" t="s">
        <v>121</v>
      </c>
      <c r="S38" t="s">
        <v>328</v>
      </c>
      <c r="U38" t="s">
        <v>45</v>
      </c>
      <c r="V38" t="s">
        <v>46</v>
      </c>
      <c r="W38" t="s">
        <v>326</v>
      </c>
      <c r="X38" t="s">
        <v>327</v>
      </c>
      <c r="Y38" t="s">
        <v>121</v>
      </c>
      <c r="Z38" t="s">
        <v>94</v>
      </c>
      <c r="AA38" t="s">
        <v>49</v>
      </c>
      <c r="AB38" t="s">
        <v>50</v>
      </c>
      <c r="AC38" s="2">
        <v>491646</v>
      </c>
      <c r="AD38" t="s">
        <v>64</v>
      </c>
    </row>
    <row r="39" spans="1:31" x14ac:dyDescent="0.25">
      <c r="A39" t="s">
        <v>329</v>
      </c>
      <c r="B39" t="s">
        <v>330</v>
      </c>
      <c r="C39" t="s">
        <v>330</v>
      </c>
      <c r="D39" t="s">
        <v>331</v>
      </c>
      <c r="E39" t="s">
        <v>224</v>
      </c>
      <c r="F39" t="s">
        <v>332</v>
      </c>
      <c r="G39" t="s">
        <v>333</v>
      </c>
      <c r="H39" t="s">
        <v>324</v>
      </c>
      <c r="I39" t="s">
        <v>334</v>
      </c>
      <c r="J39" s="2">
        <v>2182</v>
      </c>
      <c r="K39" s="2">
        <v>10</v>
      </c>
      <c r="L39" s="2">
        <v>1</v>
      </c>
      <c r="M39" s="2">
        <v>0</v>
      </c>
      <c r="N39" t="s">
        <v>326</v>
      </c>
      <c r="O39" t="s">
        <v>327</v>
      </c>
      <c r="P39" t="s">
        <v>120</v>
      </c>
      <c r="Q39" t="s">
        <v>121</v>
      </c>
      <c r="S39" t="s">
        <v>335</v>
      </c>
      <c r="U39" t="s">
        <v>45</v>
      </c>
      <c r="V39" t="s">
        <v>46</v>
      </c>
      <c r="W39" t="s">
        <v>326</v>
      </c>
      <c r="X39" t="s">
        <v>327</v>
      </c>
      <c r="Y39" t="s">
        <v>121</v>
      </c>
      <c r="Z39" t="s">
        <v>94</v>
      </c>
      <c r="AA39" t="s">
        <v>49</v>
      </c>
      <c r="AB39" t="s">
        <v>50</v>
      </c>
      <c r="AC39" s="2">
        <v>2182</v>
      </c>
      <c r="AD39" t="s">
        <v>64</v>
      </c>
    </row>
    <row r="40" spans="1:31" hidden="1" x14ac:dyDescent="0.25">
      <c r="A40" t="s">
        <v>336</v>
      </c>
      <c r="B40" t="s">
        <v>337</v>
      </c>
      <c r="C40" t="s">
        <v>337</v>
      </c>
      <c r="D40" t="s">
        <v>55</v>
      </c>
      <c r="E40" t="s">
        <v>56</v>
      </c>
      <c r="F40" t="s">
        <v>338</v>
      </c>
      <c r="H40" t="s">
        <v>339</v>
      </c>
      <c r="J40" s="2">
        <v>218170</v>
      </c>
      <c r="K40" s="2">
        <v>1000</v>
      </c>
      <c r="L40" s="2">
        <v>30</v>
      </c>
      <c r="M40" s="2">
        <v>0</v>
      </c>
      <c r="N40" t="s">
        <v>340</v>
      </c>
      <c r="O40" t="s">
        <v>339</v>
      </c>
      <c r="P40" t="s">
        <v>61</v>
      </c>
      <c r="Q40" t="s">
        <v>62</v>
      </c>
      <c r="S40" t="s">
        <v>341</v>
      </c>
      <c r="U40" t="s">
        <v>45</v>
      </c>
      <c r="V40" t="s">
        <v>46</v>
      </c>
      <c r="W40" t="s">
        <v>340</v>
      </c>
      <c r="X40" t="s">
        <v>339</v>
      </c>
      <c r="Y40" t="s">
        <v>47</v>
      </c>
      <c r="Z40" t="s">
        <v>48</v>
      </c>
      <c r="AA40" t="s">
        <v>49</v>
      </c>
      <c r="AB40" t="s">
        <v>50</v>
      </c>
      <c r="AC40" s="2">
        <v>218170</v>
      </c>
      <c r="AD40" t="s">
        <v>64</v>
      </c>
    </row>
    <row r="41" spans="1:31" x14ac:dyDescent="0.25">
      <c r="A41" t="s">
        <v>342</v>
      </c>
      <c r="B41" t="s">
        <v>343</v>
      </c>
      <c r="C41" t="s">
        <v>343</v>
      </c>
      <c r="D41" t="s">
        <v>344</v>
      </c>
      <c r="E41" t="s">
        <v>167</v>
      </c>
      <c r="F41" t="s">
        <v>345</v>
      </c>
      <c r="G41" t="s">
        <v>344</v>
      </c>
      <c r="H41" t="s">
        <v>346</v>
      </c>
      <c r="I41" t="s">
        <v>347</v>
      </c>
      <c r="J41" s="2">
        <v>218170</v>
      </c>
      <c r="K41" s="2">
        <v>1000</v>
      </c>
      <c r="L41" s="2">
        <v>30</v>
      </c>
      <c r="M41" s="2">
        <v>0</v>
      </c>
      <c r="N41" t="s">
        <v>348</v>
      </c>
      <c r="O41" t="s">
        <v>349</v>
      </c>
      <c r="P41" t="s">
        <v>316</v>
      </c>
      <c r="Q41" t="s">
        <v>317</v>
      </c>
      <c r="S41" t="s">
        <v>350</v>
      </c>
      <c r="U41" t="s">
        <v>45</v>
      </c>
      <c r="V41" t="s">
        <v>46</v>
      </c>
      <c r="W41" t="s">
        <v>348</v>
      </c>
      <c r="X41" t="s">
        <v>349</v>
      </c>
      <c r="Y41" t="s">
        <v>317</v>
      </c>
      <c r="Z41" t="s">
        <v>349</v>
      </c>
      <c r="AA41" t="s">
        <v>49</v>
      </c>
      <c r="AB41" t="s">
        <v>50</v>
      </c>
      <c r="AC41" s="2">
        <v>179346.74</v>
      </c>
      <c r="AD41" t="s">
        <v>351</v>
      </c>
      <c r="AE41" t="s">
        <v>52</v>
      </c>
    </row>
    <row r="42" spans="1:31" x14ac:dyDescent="0.25">
      <c r="A42" t="s">
        <v>352</v>
      </c>
      <c r="B42" t="s">
        <v>353</v>
      </c>
      <c r="C42" t="s">
        <v>353</v>
      </c>
      <c r="D42" t="s">
        <v>153</v>
      </c>
      <c r="E42" t="s">
        <v>272</v>
      </c>
      <c r="F42" t="s">
        <v>354</v>
      </c>
      <c r="G42" t="s">
        <v>153</v>
      </c>
      <c r="H42" t="s">
        <v>238</v>
      </c>
      <c r="I42" t="s">
        <v>355</v>
      </c>
      <c r="J42" s="2">
        <v>6545100</v>
      </c>
      <c r="K42" s="2">
        <v>30000</v>
      </c>
      <c r="L42" s="2">
        <v>30</v>
      </c>
      <c r="M42" s="2">
        <v>0</v>
      </c>
      <c r="N42" t="s">
        <v>118</v>
      </c>
      <c r="O42" t="s">
        <v>119</v>
      </c>
      <c r="P42" t="s">
        <v>120</v>
      </c>
      <c r="Q42" t="s">
        <v>121</v>
      </c>
      <c r="S42" t="s">
        <v>356</v>
      </c>
      <c r="U42" t="s">
        <v>45</v>
      </c>
      <c r="V42" t="s">
        <v>46</v>
      </c>
      <c r="W42" t="s">
        <v>118</v>
      </c>
      <c r="X42" t="s">
        <v>119</v>
      </c>
      <c r="Y42" t="s">
        <v>121</v>
      </c>
      <c r="Z42" t="s">
        <v>94</v>
      </c>
      <c r="AA42" t="s">
        <v>49</v>
      </c>
      <c r="AB42" t="s">
        <v>50</v>
      </c>
      <c r="AC42" s="2">
        <v>4335125.32</v>
      </c>
      <c r="AD42" t="s">
        <v>357</v>
      </c>
      <c r="AE42" t="s">
        <v>52</v>
      </c>
    </row>
    <row r="43" spans="1:31" hidden="1" x14ac:dyDescent="0.25">
      <c r="I43" t="s">
        <v>359</v>
      </c>
      <c r="J43" s="2">
        <v>218170</v>
      </c>
      <c r="K43" s="2">
        <v>1000</v>
      </c>
      <c r="L43" s="2">
        <v>30</v>
      </c>
      <c r="M43" s="2">
        <v>0</v>
      </c>
      <c r="S43" t="s">
        <v>362</v>
      </c>
      <c r="U43" t="s">
        <v>45</v>
      </c>
      <c r="V43" t="s">
        <v>46</v>
      </c>
      <c r="W43" t="s">
        <v>360</v>
      </c>
      <c r="X43" t="s">
        <v>361</v>
      </c>
      <c r="Y43" t="s">
        <v>47</v>
      </c>
      <c r="Z43" t="s">
        <v>48</v>
      </c>
      <c r="AA43" t="s">
        <v>49</v>
      </c>
      <c r="AC43" s="2"/>
    </row>
    <row r="44" spans="1:31" x14ac:dyDescent="0.25">
      <c r="A44" t="s">
        <v>363</v>
      </c>
      <c r="B44" t="s">
        <v>364</v>
      </c>
      <c r="C44" t="s">
        <v>364</v>
      </c>
      <c r="D44" t="s">
        <v>153</v>
      </c>
      <c r="E44" t="s">
        <v>272</v>
      </c>
      <c r="F44" t="s">
        <v>365</v>
      </c>
      <c r="G44" t="s">
        <v>153</v>
      </c>
      <c r="H44" t="s">
        <v>366</v>
      </c>
      <c r="I44" t="s">
        <v>367</v>
      </c>
      <c r="J44" s="2">
        <v>2181700</v>
      </c>
      <c r="K44" s="2">
        <v>10000</v>
      </c>
      <c r="L44" s="2">
        <v>21</v>
      </c>
      <c r="M44" s="2">
        <v>0</v>
      </c>
      <c r="N44" t="s">
        <v>348</v>
      </c>
      <c r="O44" t="s">
        <v>349</v>
      </c>
      <c r="P44" t="s">
        <v>316</v>
      </c>
      <c r="Q44" t="s">
        <v>317</v>
      </c>
      <c r="S44" t="s">
        <v>368</v>
      </c>
      <c r="U44" t="s">
        <v>45</v>
      </c>
      <c r="V44" t="s">
        <v>46</v>
      </c>
      <c r="W44" t="s">
        <v>348</v>
      </c>
      <c r="X44" t="s">
        <v>349</v>
      </c>
      <c r="Y44" t="s">
        <v>317</v>
      </c>
      <c r="Z44" t="s">
        <v>349</v>
      </c>
      <c r="AA44" t="s">
        <v>49</v>
      </c>
      <c r="AB44" t="s">
        <v>50</v>
      </c>
      <c r="AC44" s="2">
        <v>292828.71999999997</v>
      </c>
      <c r="AD44" t="s">
        <v>369</v>
      </c>
      <c r="AE44" t="s">
        <v>115</v>
      </c>
    </row>
    <row r="45" spans="1:31" hidden="1" x14ac:dyDescent="0.25">
      <c r="I45" t="s">
        <v>370</v>
      </c>
      <c r="J45" s="2">
        <v>218170</v>
      </c>
      <c r="K45" s="2">
        <v>1000</v>
      </c>
      <c r="L45" s="2">
        <v>30</v>
      </c>
      <c r="M45" s="2">
        <v>0</v>
      </c>
      <c r="S45" t="s">
        <v>371</v>
      </c>
      <c r="U45" t="s">
        <v>45</v>
      </c>
      <c r="V45" t="s">
        <v>46</v>
      </c>
      <c r="W45" t="s">
        <v>254</v>
      </c>
      <c r="X45" t="s">
        <v>255</v>
      </c>
      <c r="Y45" t="s">
        <v>258</v>
      </c>
      <c r="Z45" t="s">
        <v>259</v>
      </c>
      <c r="AA45" t="s">
        <v>49</v>
      </c>
      <c r="AC45" s="2"/>
    </row>
    <row r="46" spans="1:31" hidden="1" x14ac:dyDescent="0.25">
      <c r="A46" s="10" t="s">
        <v>372</v>
      </c>
      <c r="B46" s="10" t="s">
        <v>373</v>
      </c>
      <c r="C46" t="s">
        <v>373</v>
      </c>
      <c r="D46" t="s">
        <v>55</v>
      </c>
      <c r="E46" t="s">
        <v>56</v>
      </c>
      <c r="F46" t="s">
        <v>374</v>
      </c>
      <c r="H46" t="s">
        <v>346</v>
      </c>
      <c r="I46" t="s">
        <v>375</v>
      </c>
      <c r="J46" s="2">
        <v>231050</v>
      </c>
      <c r="K46" s="2">
        <v>1000</v>
      </c>
      <c r="L46" s="2">
        <v>30</v>
      </c>
      <c r="M46" s="2">
        <v>0</v>
      </c>
      <c r="N46" t="s">
        <v>348</v>
      </c>
      <c r="O46" t="s">
        <v>349</v>
      </c>
      <c r="P46" t="s">
        <v>316</v>
      </c>
      <c r="Q46" t="s">
        <v>317</v>
      </c>
      <c r="S46" t="s">
        <v>376</v>
      </c>
      <c r="U46" t="s">
        <v>45</v>
      </c>
      <c r="V46" t="s">
        <v>46</v>
      </c>
      <c r="W46" t="s">
        <v>348</v>
      </c>
      <c r="X46" t="s">
        <v>349</v>
      </c>
      <c r="Y46" t="s">
        <v>317</v>
      </c>
      <c r="Z46" t="s">
        <v>349</v>
      </c>
      <c r="AA46" t="s">
        <v>49</v>
      </c>
      <c r="AB46" t="s">
        <v>142</v>
      </c>
      <c r="AC46" s="2">
        <v>231050</v>
      </c>
      <c r="AD46" t="s">
        <v>64</v>
      </c>
    </row>
    <row r="47" spans="1:31" hidden="1" x14ac:dyDescent="0.25">
      <c r="I47" t="s">
        <v>377</v>
      </c>
      <c r="J47" s="2">
        <v>218170</v>
      </c>
      <c r="K47" s="2">
        <v>1000</v>
      </c>
      <c r="L47" s="2">
        <v>30</v>
      </c>
      <c r="M47" s="2">
        <v>0</v>
      </c>
      <c r="S47" t="s">
        <v>378</v>
      </c>
      <c r="U47" t="s">
        <v>45</v>
      </c>
      <c r="V47" t="s">
        <v>46</v>
      </c>
      <c r="W47" t="s">
        <v>231</v>
      </c>
      <c r="X47" t="s">
        <v>232</v>
      </c>
      <c r="Y47" t="s">
        <v>47</v>
      </c>
      <c r="Z47" t="s">
        <v>48</v>
      </c>
      <c r="AA47" t="s">
        <v>49</v>
      </c>
      <c r="AC47" s="2"/>
    </row>
    <row r="48" spans="1:31" hidden="1" x14ac:dyDescent="0.25">
      <c r="A48" s="10" t="s">
        <v>379</v>
      </c>
      <c r="B48" s="10" t="s">
        <v>380</v>
      </c>
      <c r="C48" t="s">
        <v>380</v>
      </c>
      <c r="D48" t="s">
        <v>55</v>
      </c>
      <c r="E48" t="s">
        <v>56</v>
      </c>
      <c r="F48" t="s">
        <v>381</v>
      </c>
      <c r="H48" t="s">
        <v>38</v>
      </c>
      <c r="I48" t="s">
        <v>382</v>
      </c>
      <c r="J48" s="2">
        <v>231050</v>
      </c>
      <c r="K48" s="2">
        <v>1000</v>
      </c>
      <c r="L48" s="2">
        <v>30</v>
      </c>
      <c r="M48" s="2">
        <v>0</v>
      </c>
      <c r="N48" t="s">
        <v>40</v>
      </c>
      <c r="O48" t="s">
        <v>41</v>
      </c>
      <c r="P48" t="s">
        <v>61</v>
      </c>
      <c r="Q48" t="s">
        <v>62</v>
      </c>
      <c r="S48" t="s">
        <v>383</v>
      </c>
      <c r="U48" t="s">
        <v>45</v>
      </c>
      <c r="V48" t="s">
        <v>46</v>
      </c>
      <c r="W48" t="s">
        <v>40</v>
      </c>
      <c r="X48" t="s">
        <v>41</v>
      </c>
      <c r="Y48" t="s">
        <v>47</v>
      </c>
      <c r="Z48" t="s">
        <v>48</v>
      </c>
      <c r="AA48" t="s">
        <v>49</v>
      </c>
      <c r="AB48" t="s">
        <v>142</v>
      </c>
      <c r="AC48" s="2">
        <v>231050</v>
      </c>
      <c r="AD48" t="s">
        <v>64</v>
      </c>
    </row>
    <row r="49" spans="1:31" hidden="1" x14ac:dyDescent="0.25">
      <c r="A49" s="10" t="s">
        <v>384</v>
      </c>
      <c r="B49" s="10" t="s">
        <v>385</v>
      </c>
      <c r="C49" t="s">
        <v>385</v>
      </c>
      <c r="D49" t="s">
        <v>55</v>
      </c>
      <c r="E49" t="s">
        <v>56</v>
      </c>
      <c r="F49" t="s">
        <v>386</v>
      </c>
      <c r="H49" t="s">
        <v>38</v>
      </c>
      <c r="I49" t="s">
        <v>382</v>
      </c>
      <c r="J49" s="2">
        <v>231050</v>
      </c>
      <c r="K49" s="2">
        <v>1000</v>
      </c>
      <c r="L49" s="2">
        <v>30</v>
      </c>
      <c r="M49" s="2">
        <v>0</v>
      </c>
      <c r="N49" t="s">
        <v>40</v>
      </c>
      <c r="O49" t="s">
        <v>41</v>
      </c>
      <c r="P49" t="s">
        <v>61</v>
      </c>
      <c r="Q49" t="s">
        <v>62</v>
      </c>
      <c r="S49" t="s">
        <v>387</v>
      </c>
      <c r="U49" t="s">
        <v>45</v>
      </c>
      <c r="V49" t="s">
        <v>46</v>
      </c>
      <c r="W49" t="s">
        <v>40</v>
      </c>
      <c r="X49" t="s">
        <v>41</v>
      </c>
      <c r="Y49" t="s">
        <v>47</v>
      </c>
      <c r="Z49" t="s">
        <v>48</v>
      </c>
      <c r="AA49" t="s">
        <v>49</v>
      </c>
      <c r="AB49" t="s">
        <v>142</v>
      </c>
      <c r="AC49" s="2">
        <v>231050</v>
      </c>
      <c r="AD49" t="s">
        <v>64</v>
      </c>
    </row>
    <row r="50" spans="1:31" x14ac:dyDescent="0.25">
      <c r="A50" t="s">
        <v>388</v>
      </c>
      <c r="B50" t="s">
        <v>389</v>
      </c>
      <c r="C50" t="s">
        <v>389</v>
      </c>
      <c r="D50" t="s">
        <v>178</v>
      </c>
      <c r="E50" t="s">
        <v>179</v>
      </c>
      <c r="F50" t="s">
        <v>390</v>
      </c>
      <c r="G50" t="s">
        <v>178</v>
      </c>
      <c r="H50" t="s">
        <v>391</v>
      </c>
      <c r="I50" t="s">
        <v>392</v>
      </c>
      <c r="J50" s="2">
        <v>218170</v>
      </c>
      <c r="K50" s="2">
        <v>1000</v>
      </c>
      <c r="L50" s="2">
        <v>21</v>
      </c>
      <c r="M50" s="2">
        <v>0</v>
      </c>
      <c r="N50" t="s">
        <v>393</v>
      </c>
      <c r="O50" t="s">
        <v>394</v>
      </c>
      <c r="P50" t="s">
        <v>61</v>
      </c>
      <c r="Q50" t="s">
        <v>62</v>
      </c>
      <c r="S50" t="s">
        <v>395</v>
      </c>
      <c r="U50" t="s">
        <v>45</v>
      </c>
      <c r="V50" t="s">
        <v>46</v>
      </c>
      <c r="W50" t="s">
        <v>393</v>
      </c>
      <c r="X50" t="s">
        <v>394</v>
      </c>
      <c r="Y50" t="s">
        <v>47</v>
      </c>
      <c r="Z50" t="s">
        <v>48</v>
      </c>
      <c r="AA50" t="s">
        <v>49</v>
      </c>
      <c r="AB50" t="s">
        <v>50</v>
      </c>
      <c r="AC50" s="2">
        <v>10837.13</v>
      </c>
      <c r="AD50" t="s">
        <v>396</v>
      </c>
      <c r="AE50" t="s">
        <v>52</v>
      </c>
    </row>
    <row r="51" spans="1:31" hidden="1" x14ac:dyDescent="0.25">
      <c r="I51" t="s">
        <v>397</v>
      </c>
      <c r="J51" s="2">
        <v>218170</v>
      </c>
      <c r="K51" s="2">
        <v>1000</v>
      </c>
      <c r="L51" s="2">
        <v>30</v>
      </c>
      <c r="M51" s="2">
        <v>0</v>
      </c>
      <c r="S51" t="s">
        <v>398</v>
      </c>
      <c r="U51" t="s">
        <v>45</v>
      </c>
      <c r="V51" t="s">
        <v>46</v>
      </c>
      <c r="W51" t="s">
        <v>40</v>
      </c>
      <c r="X51" t="s">
        <v>41</v>
      </c>
      <c r="Y51" t="s">
        <v>47</v>
      </c>
      <c r="Z51" t="s">
        <v>48</v>
      </c>
      <c r="AA51" t="s">
        <v>49</v>
      </c>
      <c r="AC51" s="2"/>
    </row>
    <row r="52" spans="1:31" hidden="1" x14ac:dyDescent="0.25">
      <c r="A52" t="s">
        <v>399</v>
      </c>
      <c r="B52" t="s">
        <v>400</v>
      </c>
      <c r="C52" t="s">
        <v>400</v>
      </c>
      <c r="D52" t="s">
        <v>55</v>
      </c>
      <c r="E52" t="s">
        <v>56</v>
      </c>
      <c r="F52" t="s">
        <v>401</v>
      </c>
      <c r="H52" t="s">
        <v>402</v>
      </c>
      <c r="J52" s="2">
        <v>218170</v>
      </c>
      <c r="K52" s="2">
        <v>1000</v>
      </c>
      <c r="L52" s="2">
        <v>30</v>
      </c>
      <c r="M52" s="2">
        <v>0</v>
      </c>
      <c r="N52" t="s">
        <v>403</v>
      </c>
      <c r="O52" t="s">
        <v>404</v>
      </c>
      <c r="P52" t="s">
        <v>205</v>
      </c>
      <c r="Q52" t="s">
        <v>206</v>
      </c>
      <c r="S52" t="s">
        <v>405</v>
      </c>
      <c r="U52" t="s">
        <v>45</v>
      </c>
      <c r="V52" t="s">
        <v>46</v>
      </c>
      <c r="W52" t="s">
        <v>403</v>
      </c>
      <c r="X52" t="s">
        <v>404</v>
      </c>
      <c r="Y52" t="s">
        <v>161</v>
      </c>
      <c r="Z52" t="s">
        <v>162</v>
      </c>
      <c r="AA52" t="s">
        <v>49</v>
      </c>
      <c r="AB52" t="s">
        <v>50</v>
      </c>
      <c r="AC52" s="2">
        <v>218170</v>
      </c>
      <c r="AD52" t="s">
        <v>64</v>
      </c>
    </row>
    <row r="53" spans="1:31" x14ac:dyDescent="0.25">
      <c r="A53" t="s">
        <v>406</v>
      </c>
      <c r="B53" t="s">
        <v>407</v>
      </c>
      <c r="C53" t="s">
        <v>407</v>
      </c>
      <c r="D53" t="s">
        <v>125</v>
      </c>
      <c r="E53" t="s">
        <v>126</v>
      </c>
      <c r="F53" t="s">
        <v>408</v>
      </c>
      <c r="G53" t="s">
        <v>153</v>
      </c>
      <c r="H53" t="s">
        <v>324</v>
      </c>
      <c r="I53" t="s">
        <v>409</v>
      </c>
      <c r="J53" s="2">
        <v>1090850</v>
      </c>
      <c r="K53" s="2">
        <v>5000</v>
      </c>
      <c r="L53" s="2">
        <v>21</v>
      </c>
      <c r="M53" s="2">
        <v>0</v>
      </c>
      <c r="N53" t="s">
        <v>326</v>
      </c>
      <c r="O53" t="s">
        <v>327</v>
      </c>
      <c r="P53" t="s">
        <v>120</v>
      </c>
      <c r="Q53" t="s">
        <v>121</v>
      </c>
      <c r="S53" t="s">
        <v>410</v>
      </c>
      <c r="U53" t="s">
        <v>45</v>
      </c>
      <c r="V53" t="s">
        <v>46</v>
      </c>
      <c r="W53" t="s">
        <v>326</v>
      </c>
      <c r="X53" t="s">
        <v>327</v>
      </c>
      <c r="Y53" t="s">
        <v>121</v>
      </c>
      <c r="Z53" t="s">
        <v>94</v>
      </c>
      <c r="AA53" t="s">
        <v>49</v>
      </c>
      <c r="AB53" t="s">
        <v>50</v>
      </c>
      <c r="AC53" s="2">
        <v>677586.53</v>
      </c>
      <c r="AD53" t="s">
        <v>411</v>
      </c>
      <c r="AE53" t="s">
        <v>52</v>
      </c>
    </row>
    <row r="54" spans="1:31" x14ac:dyDescent="0.25">
      <c r="A54" t="s">
        <v>412</v>
      </c>
      <c r="B54" t="s">
        <v>413</v>
      </c>
      <c r="C54" t="s">
        <v>413</v>
      </c>
      <c r="D54" t="s">
        <v>125</v>
      </c>
      <c r="E54" t="s">
        <v>126</v>
      </c>
      <c r="F54" t="s">
        <v>414</v>
      </c>
      <c r="G54" t="s">
        <v>153</v>
      </c>
      <c r="H54" t="s">
        <v>415</v>
      </c>
      <c r="I54" t="s">
        <v>416</v>
      </c>
      <c r="J54" s="2">
        <v>1090850</v>
      </c>
      <c r="K54" s="2">
        <v>5000</v>
      </c>
      <c r="L54" s="2">
        <v>30</v>
      </c>
      <c r="M54" s="2">
        <v>0</v>
      </c>
      <c r="N54" t="s">
        <v>417</v>
      </c>
      <c r="O54" t="s">
        <v>418</v>
      </c>
      <c r="P54" t="s">
        <v>61</v>
      </c>
      <c r="Q54" t="s">
        <v>62</v>
      </c>
      <c r="S54" t="s">
        <v>419</v>
      </c>
      <c r="U54" t="s">
        <v>45</v>
      </c>
      <c r="V54" t="s">
        <v>46</v>
      </c>
      <c r="W54" t="s">
        <v>417</v>
      </c>
      <c r="X54" t="s">
        <v>418</v>
      </c>
      <c r="Y54" t="s">
        <v>47</v>
      </c>
      <c r="Z54" t="s">
        <v>48</v>
      </c>
      <c r="AA54" t="s">
        <v>49</v>
      </c>
      <c r="AB54" t="s">
        <v>50</v>
      </c>
      <c r="AC54" s="2">
        <v>187085.96</v>
      </c>
      <c r="AD54" t="s">
        <v>420</v>
      </c>
      <c r="AE54" t="s">
        <v>52</v>
      </c>
    </row>
    <row r="55" spans="1:31" hidden="1" x14ac:dyDescent="0.25">
      <c r="I55" t="s">
        <v>421</v>
      </c>
      <c r="J55" s="2">
        <v>218170</v>
      </c>
      <c r="K55" s="2">
        <v>1000</v>
      </c>
      <c r="L55" s="2">
        <v>30</v>
      </c>
      <c r="M55" s="2">
        <v>0</v>
      </c>
      <c r="S55" t="s">
        <v>422</v>
      </c>
      <c r="U55" t="s">
        <v>45</v>
      </c>
      <c r="V55" t="s">
        <v>46</v>
      </c>
      <c r="W55" t="s">
        <v>326</v>
      </c>
      <c r="X55" t="s">
        <v>327</v>
      </c>
      <c r="Y55" t="s">
        <v>121</v>
      </c>
      <c r="Z55" t="s">
        <v>94</v>
      </c>
      <c r="AA55" t="s">
        <v>49</v>
      </c>
      <c r="AC55" s="2"/>
    </row>
    <row r="56" spans="1:31" x14ac:dyDescent="0.25">
      <c r="A56" t="s">
        <v>423</v>
      </c>
      <c r="B56" t="s">
        <v>424</v>
      </c>
      <c r="C56" t="s">
        <v>424</v>
      </c>
      <c r="D56" t="s">
        <v>299</v>
      </c>
      <c r="E56" t="s">
        <v>167</v>
      </c>
      <c r="F56" t="s">
        <v>425</v>
      </c>
      <c r="G56" t="s">
        <v>344</v>
      </c>
      <c r="H56" t="s">
        <v>324</v>
      </c>
      <c r="I56" t="s">
        <v>426</v>
      </c>
      <c r="J56" s="2">
        <v>194488</v>
      </c>
      <c r="K56" s="2">
        <v>800</v>
      </c>
      <c r="L56" s="2">
        <v>1</v>
      </c>
      <c r="M56" s="2">
        <v>0</v>
      </c>
      <c r="N56" t="s">
        <v>326</v>
      </c>
      <c r="O56" t="s">
        <v>327</v>
      </c>
      <c r="P56" t="s">
        <v>120</v>
      </c>
      <c r="Q56" t="s">
        <v>121</v>
      </c>
      <c r="S56" t="s">
        <v>427</v>
      </c>
      <c r="U56" t="s">
        <v>45</v>
      </c>
      <c r="V56" t="s">
        <v>46</v>
      </c>
      <c r="W56" t="s">
        <v>326</v>
      </c>
      <c r="X56" t="s">
        <v>327</v>
      </c>
      <c r="Y56" t="s">
        <v>121</v>
      </c>
      <c r="Z56" t="s">
        <v>94</v>
      </c>
      <c r="AA56" t="s">
        <v>49</v>
      </c>
      <c r="AB56" t="s">
        <v>50</v>
      </c>
      <c r="AC56" s="2">
        <v>165431.35999999999</v>
      </c>
      <c r="AD56" t="s">
        <v>428</v>
      </c>
    </row>
    <row r="57" spans="1:31" hidden="1" x14ac:dyDescent="0.25">
      <c r="I57" t="s">
        <v>429</v>
      </c>
      <c r="J57" s="2">
        <v>218170</v>
      </c>
      <c r="K57" s="2">
        <v>1000</v>
      </c>
      <c r="L57" s="2">
        <v>30</v>
      </c>
      <c r="M57" s="2">
        <v>0</v>
      </c>
      <c r="S57" t="s">
        <v>430</v>
      </c>
      <c r="U57" t="s">
        <v>45</v>
      </c>
      <c r="V57" t="s">
        <v>46</v>
      </c>
      <c r="W57" t="s">
        <v>40</v>
      </c>
      <c r="X57" t="s">
        <v>41</v>
      </c>
      <c r="Y57" t="s">
        <v>47</v>
      </c>
      <c r="Z57" t="s">
        <v>48</v>
      </c>
      <c r="AA57" t="s">
        <v>49</v>
      </c>
      <c r="AC57" s="2"/>
    </row>
    <row r="58" spans="1:31" x14ac:dyDescent="0.25">
      <c r="A58" t="s">
        <v>431</v>
      </c>
      <c r="B58" t="s">
        <v>432</v>
      </c>
      <c r="C58" t="s">
        <v>432</v>
      </c>
      <c r="D58" t="s">
        <v>125</v>
      </c>
      <c r="E58" t="s">
        <v>126</v>
      </c>
      <c r="F58" t="s">
        <v>433</v>
      </c>
      <c r="G58" t="s">
        <v>153</v>
      </c>
      <c r="H58" t="s">
        <v>434</v>
      </c>
      <c r="I58" t="s">
        <v>435</v>
      </c>
      <c r="J58" s="2">
        <v>349072</v>
      </c>
      <c r="K58" s="2">
        <v>1600</v>
      </c>
      <c r="L58" s="2">
        <v>21</v>
      </c>
      <c r="M58" s="2">
        <v>0</v>
      </c>
      <c r="N58" t="s">
        <v>436</v>
      </c>
      <c r="O58" t="s">
        <v>437</v>
      </c>
      <c r="P58" t="s">
        <v>316</v>
      </c>
      <c r="Q58" t="s">
        <v>317</v>
      </c>
      <c r="S58" t="s">
        <v>438</v>
      </c>
      <c r="U58" t="s">
        <v>45</v>
      </c>
      <c r="V58" t="s">
        <v>46</v>
      </c>
      <c r="W58" t="s">
        <v>436</v>
      </c>
      <c r="X58" t="s">
        <v>437</v>
      </c>
      <c r="Y58" t="s">
        <v>47</v>
      </c>
      <c r="Z58" t="s">
        <v>48</v>
      </c>
      <c r="AA58" t="s">
        <v>49</v>
      </c>
      <c r="AB58" t="s">
        <v>50</v>
      </c>
      <c r="AC58" s="2">
        <v>227009.21</v>
      </c>
      <c r="AD58" t="s">
        <v>439</v>
      </c>
      <c r="AE58" t="s">
        <v>52</v>
      </c>
    </row>
    <row r="59" spans="1:31" x14ac:dyDescent="0.25">
      <c r="A59" t="s">
        <v>440</v>
      </c>
      <c r="B59" t="s">
        <v>441</v>
      </c>
      <c r="C59" t="s">
        <v>441</v>
      </c>
      <c r="D59" t="s">
        <v>153</v>
      </c>
      <c r="E59" t="s">
        <v>272</v>
      </c>
      <c r="F59" t="s">
        <v>442</v>
      </c>
      <c r="G59" t="s">
        <v>297</v>
      </c>
      <c r="H59" t="s">
        <v>443</v>
      </c>
      <c r="I59" t="s">
        <v>444</v>
      </c>
      <c r="J59" s="2">
        <v>291732</v>
      </c>
      <c r="K59" s="2">
        <v>1200</v>
      </c>
      <c r="L59" s="2">
        <v>21</v>
      </c>
      <c r="M59" s="2">
        <v>0</v>
      </c>
      <c r="N59" t="s">
        <v>445</v>
      </c>
      <c r="O59" t="s">
        <v>446</v>
      </c>
      <c r="P59" t="s">
        <v>69</v>
      </c>
      <c r="Q59" t="s">
        <v>70</v>
      </c>
      <c r="S59" t="s">
        <v>447</v>
      </c>
      <c r="U59" t="s">
        <v>45</v>
      </c>
      <c r="V59" t="s">
        <v>46</v>
      </c>
      <c r="W59" t="s">
        <v>445</v>
      </c>
      <c r="X59" t="s">
        <v>446</v>
      </c>
      <c r="Y59" t="s">
        <v>72</v>
      </c>
      <c r="Z59" t="s">
        <v>68</v>
      </c>
      <c r="AA59" t="s">
        <v>49</v>
      </c>
      <c r="AB59" t="s">
        <v>50</v>
      </c>
      <c r="AC59" s="2">
        <v>131025.4</v>
      </c>
      <c r="AD59" t="s">
        <v>448</v>
      </c>
      <c r="AE59" t="s">
        <v>115</v>
      </c>
    </row>
    <row r="60" spans="1:31" x14ac:dyDescent="0.25">
      <c r="A60" t="s">
        <v>449</v>
      </c>
      <c r="B60" t="s">
        <v>450</v>
      </c>
      <c r="C60" t="s">
        <v>450</v>
      </c>
      <c r="D60" t="s">
        <v>125</v>
      </c>
      <c r="E60" t="s">
        <v>126</v>
      </c>
      <c r="F60" t="s">
        <v>451</v>
      </c>
      <c r="G60" t="s">
        <v>35</v>
      </c>
      <c r="H60" t="s">
        <v>366</v>
      </c>
      <c r="I60" t="s">
        <v>452</v>
      </c>
      <c r="J60" s="2">
        <v>218170</v>
      </c>
      <c r="K60" s="2">
        <v>1000</v>
      </c>
      <c r="L60" s="2">
        <v>15</v>
      </c>
      <c r="M60" s="2">
        <v>0</v>
      </c>
      <c r="N60" t="s">
        <v>348</v>
      </c>
      <c r="O60" t="s">
        <v>349</v>
      </c>
      <c r="P60" t="s">
        <v>316</v>
      </c>
      <c r="Q60" t="s">
        <v>317</v>
      </c>
      <c r="S60" t="s">
        <v>453</v>
      </c>
      <c r="U60" t="s">
        <v>45</v>
      </c>
      <c r="V60" t="s">
        <v>46</v>
      </c>
      <c r="W60" t="s">
        <v>348</v>
      </c>
      <c r="X60" t="s">
        <v>349</v>
      </c>
      <c r="Y60" t="s">
        <v>317</v>
      </c>
      <c r="Z60" t="s">
        <v>349</v>
      </c>
      <c r="AA60" t="s">
        <v>49</v>
      </c>
      <c r="AB60" t="s">
        <v>50</v>
      </c>
      <c r="AC60" s="2">
        <v>79775.19</v>
      </c>
      <c r="AD60" t="s">
        <v>454</v>
      </c>
      <c r="AE60" t="s">
        <v>52</v>
      </c>
    </row>
    <row r="61" spans="1:31" hidden="1" x14ac:dyDescent="0.25">
      <c r="I61" t="s">
        <v>455</v>
      </c>
      <c r="J61" s="2">
        <v>218170</v>
      </c>
      <c r="K61" s="2">
        <v>1000</v>
      </c>
      <c r="L61" s="2">
        <v>30</v>
      </c>
      <c r="M61" s="2">
        <v>0</v>
      </c>
      <c r="S61" t="s">
        <v>456</v>
      </c>
      <c r="U61" t="s">
        <v>45</v>
      </c>
      <c r="V61" t="s">
        <v>46</v>
      </c>
      <c r="W61" t="s">
        <v>348</v>
      </c>
      <c r="X61" t="s">
        <v>349</v>
      </c>
      <c r="Y61" t="s">
        <v>317</v>
      </c>
      <c r="Z61" t="s">
        <v>349</v>
      </c>
      <c r="AA61" t="s">
        <v>49</v>
      </c>
      <c r="AC61" s="2"/>
    </row>
    <row r="62" spans="1:31" hidden="1" x14ac:dyDescent="0.25">
      <c r="A62" s="10" t="s">
        <v>457</v>
      </c>
      <c r="B62" s="10" t="s">
        <v>458</v>
      </c>
      <c r="C62" t="s">
        <v>458</v>
      </c>
      <c r="D62" t="s">
        <v>55</v>
      </c>
      <c r="E62" t="s">
        <v>56</v>
      </c>
      <c r="F62" t="s">
        <v>459</v>
      </c>
      <c r="H62" t="s">
        <v>290</v>
      </c>
      <c r="I62" t="s">
        <v>460</v>
      </c>
      <c r="J62" s="2">
        <v>218170</v>
      </c>
      <c r="K62" s="2">
        <v>1000</v>
      </c>
      <c r="L62" s="2">
        <v>30</v>
      </c>
      <c r="M62" s="2">
        <v>0</v>
      </c>
      <c r="N62" t="s">
        <v>292</v>
      </c>
      <c r="O62" t="s">
        <v>293</v>
      </c>
      <c r="P62" t="s">
        <v>61</v>
      </c>
      <c r="Q62" t="s">
        <v>62</v>
      </c>
      <c r="S62" t="s">
        <v>461</v>
      </c>
      <c r="U62" t="s">
        <v>45</v>
      </c>
      <c r="V62" t="s">
        <v>46</v>
      </c>
      <c r="W62" t="s">
        <v>292</v>
      </c>
      <c r="X62" t="s">
        <v>293</v>
      </c>
      <c r="Y62" t="s">
        <v>47</v>
      </c>
      <c r="Z62" t="s">
        <v>48</v>
      </c>
      <c r="AA62" t="s">
        <v>49</v>
      </c>
      <c r="AB62" t="s">
        <v>142</v>
      </c>
      <c r="AC62" s="2">
        <v>218170</v>
      </c>
      <c r="AD62" t="s">
        <v>64</v>
      </c>
    </row>
    <row r="63" spans="1:31" x14ac:dyDescent="0.25">
      <c r="A63" t="s">
        <v>462</v>
      </c>
      <c r="B63" t="s">
        <v>463</v>
      </c>
      <c r="C63" t="s">
        <v>463</v>
      </c>
      <c r="D63" t="s">
        <v>125</v>
      </c>
      <c r="E63" t="s">
        <v>126</v>
      </c>
      <c r="F63" t="s">
        <v>464</v>
      </c>
      <c r="G63" t="s">
        <v>125</v>
      </c>
      <c r="H63" t="s">
        <v>324</v>
      </c>
      <c r="I63" t="s">
        <v>465</v>
      </c>
      <c r="J63" s="2">
        <v>227560</v>
      </c>
      <c r="K63" s="2">
        <v>1000</v>
      </c>
      <c r="L63" s="2">
        <v>30</v>
      </c>
      <c r="M63" s="2">
        <v>0</v>
      </c>
      <c r="N63" t="s">
        <v>326</v>
      </c>
      <c r="O63" t="s">
        <v>327</v>
      </c>
      <c r="P63" t="s">
        <v>120</v>
      </c>
      <c r="Q63" t="s">
        <v>121</v>
      </c>
      <c r="S63" t="s">
        <v>466</v>
      </c>
      <c r="U63" t="s">
        <v>45</v>
      </c>
      <c r="V63" t="s">
        <v>46</v>
      </c>
      <c r="W63" t="s">
        <v>326</v>
      </c>
      <c r="X63" t="s">
        <v>327</v>
      </c>
      <c r="Y63" t="s">
        <v>121</v>
      </c>
      <c r="Z63" t="s">
        <v>94</v>
      </c>
      <c r="AA63" t="s">
        <v>49</v>
      </c>
      <c r="AB63" t="s">
        <v>50</v>
      </c>
      <c r="AC63" s="2">
        <v>1448.33</v>
      </c>
      <c r="AD63" t="s">
        <v>467</v>
      </c>
      <c r="AE63" t="s">
        <v>52</v>
      </c>
    </row>
    <row r="64" spans="1:31" hidden="1" x14ac:dyDescent="0.25">
      <c r="I64" t="s">
        <v>468</v>
      </c>
      <c r="J64" s="2">
        <v>218170</v>
      </c>
      <c r="K64" s="2">
        <v>1000</v>
      </c>
      <c r="L64" s="2">
        <v>30</v>
      </c>
      <c r="M64" s="2">
        <v>0</v>
      </c>
      <c r="S64" t="s">
        <v>469</v>
      </c>
      <c r="U64" t="s">
        <v>45</v>
      </c>
      <c r="V64" t="s">
        <v>46</v>
      </c>
      <c r="W64" t="s">
        <v>118</v>
      </c>
      <c r="X64" t="s">
        <v>119</v>
      </c>
      <c r="Y64" t="s">
        <v>121</v>
      </c>
      <c r="Z64" t="s">
        <v>94</v>
      </c>
      <c r="AA64" t="s">
        <v>49</v>
      </c>
      <c r="AC64" s="2"/>
    </row>
    <row r="65" spans="1:31" hidden="1" x14ac:dyDescent="0.25">
      <c r="A65" s="10" t="s">
        <v>470</v>
      </c>
      <c r="B65" s="10" t="s">
        <v>471</v>
      </c>
      <c r="C65" t="s">
        <v>471</v>
      </c>
      <c r="D65" t="s">
        <v>55</v>
      </c>
      <c r="E65" t="s">
        <v>56</v>
      </c>
      <c r="F65" t="s">
        <v>472</v>
      </c>
      <c r="H65" t="s">
        <v>38</v>
      </c>
      <c r="I65" t="s">
        <v>473</v>
      </c>
      <c r="J65" s="2">
        <v>3615</v>
      </c>
      <c r="K65" s="2">
        <v>15.65</v>
      </c>
      <c r="L65" s="2">
        <v>15</v>
      </c>
      <c r="M65" s="2">
        <v>0</v>
      </c>
      <c r="N65" t="s">
        <v>40</v>
      </c>
      <c r="O65" t="s">
        <v>41</v>
      </c>
      <c r="P65" t="s">
        <v>61</v>
      </c>
      <c r="Q65" t="s">
        <v>62</v>
      </c>
      <c r="S65" t="s">
        <v>474</v>
      </c>
      <c r="U65" t="s">
        <v>45</v>
      </c>
      <c r="V65" t="s">
        <v>46</v>
      </c>
      <c r="W65" t="s">
        <v>40</v>
      </c>
      <c r="X65" t="s">
        <v>41</v>
      </c>
      <c r="Y65" t="s">
        <v>47</v>
      </c>
      <c r="Z65" t="s">
        <v>48</v>
      </c>
      <c r="AA65" t="s">
        <v>49</v>
      </c>
      <c r="AB65" t="s">
        <v>142</v>
      </c>
      <c r="AC65" s="2">
        <v>3615</v>
      </c>
      <c r="AD65" t="s">
        <v>64</v>
      </c>
    </row>
    <row r="66" spans="1:31" x14ac:dyDescent="0.25">
      <c r="A66" t="s">
        <v>475</v>
      </c>
      <c r="B66" t="s">
        <v>476</v>
      </c>
      <c r="C66" t="s">
        <v>476</v>
      </c>
      <c r="D66" t="s">
        <v>125</v>
      </c>
      <c r="E66" t="s">
        <v>126</v>
      </c>
      <c r="F66" t="s">
        <v>477</v>
      </c>
      <c r="G66" t="s">
        <v>478</v>
      </c>
      <c r="H66" t="s">
        <v>38</v>
      </c>
      <c r="I66" t="s">
        <v>479</v>
      </c>
      <c r="J66" s="2">
        <v>87268</v>
      </c>
      <c r="K66" s="2">
        <v>400</v>
      </c>
      <c r="L66" s="2">
        <v>21</v>
      </c>
      <c r="M66" s="2">
        <v>0</v>
      </c>
      <c r="N66" t="s">
        <v>40</v>
      </c>
      <c r="O66" t="s">
        <v>41</v>
      </c>
      <c r="P66" t="s">
        <v>61</v>
      </c>
      <c r="Q66" t="s">
        <v>62</v>
      </c>
      <c r="S66" t="s">
        <v>480</v>
      </c>
      <c r="U66" t="s">
        <v>45</v>
      </c>
      <c r="V66" t="s">
        <v>46</v>
      </c>
      <c r="W66" t="s">
        <v>40</v>
      </c>
      <c r="X66" t="s">
        <v>41</v>
      </c>
      <c r="Y66" t="s">
        <v>47</v>
      </c>
      <c r="Z66" t="s">
        <v>48</v>
      </c>
      <c r="AA66" t="s">
        <v>49</v>
      </c>
      <c r="AB66" t="s">
        <v>50</v>
      </c>
      <c r="AC66" s="2">
        <v>39640.83</v>
      </c>
      <c r="AD66" t="s">
        <v>481</v>
      </c>
      <c r="AE66" t="s">
        <v>115</v>
      </c>
    </row>
    <row r="67" spans="1:31" x14ac:dyDescent="0.25">
      <c r="A67" t="s">
        <v>482</v>
      </c>
      <c r="B67" t="s">
        <v>483</v>
      </c>
      <c r="C67" t="s">
        <v>483</v>
      </c>
      <c r="D67" t="s">
        <v>178</v>
      </c>
      <c r="E67" t="s">
        <v>179</v>
      </c>
      <c r="F67" t="s">
        <v>484</v>
      </c>
      <c r="G67" t="s">
        <v>485</v>
      </c>
      <c r="H67" t="s">
        <v>349</v>
      </c>
      <c r="I67" t="s">
        <v>486</v>
      </c>
      <c r="J67" s="2">
        <v>109085</v>
      </c>
      <c r="K67" s="2">
        <v>500</v>
      </c>
      <c r="L67" s="2">
        <v>21</v>
      </c>
      <c r="M67" s="2">
        <v>0</v>
      </c>
      <c r="N67" t="s">
        <v>348</v>
      </c>
      <c r="O67" t="s">
        <v>349</v>
      </c>
      <c r="P67" t="s">
        <v>316</v>
      </c>
      <c r="Q67" t="s">
        <v>317</v>
      </c>
      <c r="S67" t="s">
        <v>487</v>
      </c>
      <c r="U67" t="s">
        <v>45</v>
      </c>
      <c r="V67" t="s">
        <v>46</v>
      </c>
      <c r="W67" t="s">
        <v>348</v>
      </c>
      <c r="X67" t="s">
        <v>349</v>
      </c>
      <c r="Y67" t="s">
        <v>317</v>
      </c>
      <c r="Z67" t="s">
        <v>349</v>
      </c>
      <c r="AA67" t="s">
        <v>49</v>
      </c>
      <c r="AB67" t="s">
        <v>50</v>
      </c>
      <c r="AC67" s="2">
        <v>101146.19</v>
      </c>
      <c r="AD67" t="s">
        <v>488</v>
      </c>
      <c r="AE67" t="s">
        <v>115</v>
      </c>
    </row>
    <row r="68" spans="1:31" x14ac:dyDescent="0.25">
      <c r="A68" t="s">
        <v>489</v>
      </c>
      <c r="B68" t="s">
        <v>490</v>
      </c>
      <c r="C68" t="s">
        <v>491</v>
      </c>
      <c r="D68" t="s">
        <v>35</v>
      </c>
      <c r="E68" t="s">
        <v>36</v>
      </c>
      <c r="F68" t="s">
        <v>401</v>
      </c>
      <c r="G68" t="s">
        <v>35</v>
      </c>
      <c r="H68" t="s">
        <v>404</v>
      </c>
      <c r="I68" t="s">
        <v>492</v>
      </c>
      <c r="J68" s="2">
        <v>44464540</v>
      </c>
      <c r="K68" s="2">
        <v>179800</v>
      </c>
      <c r="L68" s="2">
        <v>30</v>
      </c>
      <c r="M68" s="2">
        <v>0</v>
      </c>
      <c r="N68" t="s">
        <v>403</v>
      </c>
      <c r="O68" t="s">
        <v>404</v>
      </c>
      <c r="P68" t="s">
        <v>205</v>
      </c>
      <c r="Q68" t="s">
        <v>206</v>
      </c>
      <c r="S68" t="s">
        <v>493</v>
      </c>
      <c r="U68" t="s">
        <v>45</v>
      </c>
      <c r="V68" t="s">
        <v>46</v>
      </c>
      <c r="W68" t="s">
        <v>403</v>
      </c>
      <c r="X68" t="s">
        <v>404</v>
      </c>
      <c r="Y68" t="s">
        <v>161</v>
      </c>
      <c r="Z68" t="s">
        <v>162</v>
      </c>
      <c r="AA68" t="s">
        <v>49</v>
      </c>
      <c r="AB68" t="s">
        <v>50</v>
      </c>
      <c r="AC68" s="2">
        <v>42296057.960000001</v>
      </c>
      <c r="AD68" t="s">
        <v>494</v>
      </c>
      <c r="AE68" t="s">
        <v>52</v>
      </c>
    </row>
    <row r="69" spans="1:31" hidden="1" x14ac:dyDescent="0.25">
      <c r="J69" s="2">
        <v>1000</v>
      </c>
      <c r="K69" s="2">
        <v>0</v>
      </c>
      <c r="L69" s="2">
        <v>1</v>
      </c>
      <c r="M69" s="2">
        <v>0</v>
      </c>
      <c r="U69" t="s">
        <v>45</v>
      </c>
      <c r="V69" t="s">
        <v>46</v>
      </c>
      <c r="W69" t="s">
        <v>495</v>
      </c>
      <c r="X69" t="s">
        <v>79</v>
      </c>
      <c r="Y69" t="s">
        <v>47</v>
      </c>
      <c r="Z69" t="s">
        <v>48</v>
      </c>
      <c r="AA69" t="s">
        <v>49</v>
      </c>
      <c r="AC69" s="2"/>
    </row>
    <row r="70" spans="1:31" x14ac:dyDescent="0.25">
      <c r="A70" t="s">
        <v>496</v>
      </c>
      <c r="B70" t="s">
        <v>497</v>
      </c>
      <c r="C70" t="s">
        <v>497</v>
      </c>
      <c r="D70" t="s">
        <v>498</v>
      </c>
      <c r="E70" t="s">
        <v>190</v>
      </c>
      <c r="F70" t="s">
        <v>499</v>
      </c>
      <c r="G70" t="s">
        <v>498</v>
      </c>
      <c r="H70" t="s">
        <v>349</v>
      </c>
      <c r="I70" t="s">
        <v>500</v>
      </c>
      <c r="J70" s="2">
        <v>109085</v>
      </c>
      <c r="K70" s="2">
        <v>500</v>
      </c>
      <c r="L70" s="2">
        <v>21</v>
      </c>
      <c r="M70" s="2">
        <v>0</v>
      </c>
      <c r="N70" t="s">
        <v>348</v>
      </c>
      <c r="O70" t="s">
        <v>349</v>
      </c>
      <c r="P70" t="s">
        <v>316</v>
      </c>
      <c r="Q70" t="s">
        <v>317</v>
      </c>
      <c r="S70" t="s">
        <v>501</v>
      </c>
      <c r="U70" t="s">
        <v>45</v>
      </c>
      <c r="V70" t="s">
        <v>46</v>
      </c>
      <c r="W70" t="s">
        <v>348</v>
      </c>
      <c r="X70" t="s">
        <v>349</v>
      </c>
      <c r="Y70" t="s">
        <v>317</v>
      </c>
      <c r="Z70" t="s">
        <v>349</v>
      </c>
      <c r="AA70" t="s">
        <v>49</v>
      </c>
      <c r="AB70" t="s">
        <v>50</v>
      </c>
      <c r="AC70" s="2">
        <v>3116.13</v>
      </c>
      <c r="AD70" t="s">
        <v>502</v>
      </c>
      <c r="AE70" t="s">
        <v>115</v>
      </c>
    </row>
    <row r="71" spans="1:31" hidden="1" x14ac:dyDescent="0.25">
      <c r="A71" t="s">
        <v>503</v>
      </c>
      <c r="B71" t="s">
        <v>504</v>
      </c>
      <c r="C71" t="s">
        <v>504</v>
      </c>
      <c r="D71" t="s">
        <v>55</v>
      </c>
      <c r="E71" t="s">
        <v>56</v>
      </c>
      <c r="F71" t="s">
        <v>505</v>
      </c>
      <c r="J71" s="2">
        <v>1000</v>
      </c>
      <c r="K71" s="2">
        <v>0</v>
      </c>
      <c r="L71" s="2">
        <v>15</v>
      </c>
      <c r="M71" s="2">
        <v>0</v>
      </c>
      <c r="N71" t="s">
        <v>89</v>
      </c>
      <c r="O71" t="s">
        <v>90</v>
      </c>
      <c r="P71" t="s">
        <v>91</v>
      </c>
      <c r="Q71" t="s">
        <v>92</v>
      </c>
      <c r="U71" t="s">
        <v>45</v>
      </c>
      <c r="V71" t="s">
        <v>46</v>
      </c>
      <c r="W71" t="s">
        <v>89</v>
      </c>
      <c r="X71" t="s">
        <v>90</v>
      </c>
      <c r="Y71" t="s">
        <v>92</v>
      </c>
      <c r="Z71" t="s">
        <v>94</v>
      </c>
      <c r="AA71" t="s">
        <v>49</v>
      </c>
      <c r="AB71" t="s">
        <v>50</v>
      </c>
      <c r="AC71" s="2">
        <v>1000</v>
      </c>
      <c r="AD71" t="s">
        <v>64</v>
      </c>
    </row>
    <row r="72" spans="1:31" x14ac:dyDescent="0.25">
      <c r="A72" t="s">
        <v>506</v>
      </c>
      <c r="B72" t="s">
        <v>507</v>
      </c>
      <c r="C72" t="s">
        <v>507</v>
      </c>
      <c r="D72" t="s">
        <v>125</v>
      </c>
      <c r="E72" t="s">
        <v>126</v>
      </c>
      <c r="F72" t="s">
        <v>508</v>
      </c>
      <c r="G72" t="s">
        <v>35</v>
      </c>
      <c r="H72" t="s">
        <v>404</v>
      </c>
      <c r="I72" t="s">
        <v>509</v>
      </c>
      <c r="J72" s="2">
        <v>897120</v>
      </c>
      <c r="K72" s="2">
        <v>3600</v>
      </c>
      <c r="L72" s="2">
        <v>21</v>
      </c>
      <c r="M72" s="2">
        <v>0</v>
      </c>
      <c r="N72" t="s">
        <v>403</v>
      </c>
      <c r="O72" t="s">
        <v>404</v>
      </c>
      <c r="P72" t="s">
        <v>205</v>
      </c>
      <c r="Q72" t="s">
        <v>206</v>
      </c>
      <c r="S72" t="s">
        <v>510</v>
      </c>
      <c r="U72" t="s">
        <v>45</v>
      </c>
      <c r="V72" t="s">
        <v>46</v>
      </c>
      <c r="W72" t="s">
        <v>403</v>
      </c>
      <c r="X72" t="s">
        <v>404</v>
      </c>
      <c r="Y72" t="s">
        <v>161</v>
      </c>
      <c r="Z72" t="s">
        <v>162</v>
      </c>
      <c r="AA72" t="s">
        <v>49</v>
      </c>
      <c r="AB72" t="s">
        <v>50</v>
      </c>
      <c r="AC72" s="2">
        <v>414217.41</v>
      </c>
      <c r="AD72" t="s">
        <v>511</v>
      </c>
      <c r="AE72" t="s">
        <v>52</v>
      </c>
    </row>
    <row r="73" spans="1:31" hidden="1" x14ac:dyDescent="0.25">
      <c r="A73" s="10" t="s">
        <v>512</v>
      </c>
      <c r="B73" s="10" t="s">
        <v>513</v>
      </c>
      <c r="C73" t="s">
        <v>513</v>
      </c>
      <c r="D73" t="s">
        <v>55</v>
      </c>
      <c r="E73" t="s">
        <v>56</v>
      </c>
      <c r="F73" t="s">
        <v>514</v>
      </c>
      <c r="H73" t="s">
        <v>349</v>
      </c>
      <c r="I73" t="s">
        <v>515</v>
      </c>
      <c r="J73" s="2">
        <v>1000</v>
      </c>
      <c r="K73" s="2">
        <v>4.33</v>
      </c>
      <c r="L73" s="2">
        <v>1</v>
      </c>
      <c r="M73" s="2">
        <v>0</v>
      </c>
      <c r="N73" t="s">
        <v>348</v>
      </c>
      <c r="O73" t="s">
        <v>349</v>
      </c>
      <c r="P73" t="s">
        <v>316</v>
      </c>
      <c r="Q73" t="s">
        <v>317</v>
      </c>
      <c r="S73" t="s">
        <v>516</v>
      </c>
      <c r="U73" t="s">
        <v>45</v>
      </c>
      <c r="V73" t="s">
        <v>46</v>
      </c>
      <c r="W73" t="s">
        <v>348</v>
      </c>
      <c r="X73" t="s">
        <v>349</v>
      </c>
      <c r="Y73" t="s">
        <v>317</v>
      </c>
      <c r="Z73" t="s">
        <v>349</v>
      </c>
      <c r="AA73" t="s">
        <v>49</v>
      </c>
      <c r="AB73" t="s">
        <v>142</v>
      </c>
      <c r="AC73" s="2">
        <v>1000</v>
      </c>
      <c r="AD73" t="s">
        <v>64</v>
      </c>
    </row>
    <row r="74" spans="1:31" x14ac:dyDescent="0.25">
      <c r="A74" t="s">
        <v>517</v>
      </c>
      <c r="B74" t="s">
        <v>518</v>
      </c>
      <c r="C74" t="s">
        <v>518</v>
      </c>
      <c r="D74" t="s">
        <v>519</v>
      </c>
      <c r="E74" t="s">
        <v>77</v>
      </c>
      <c r="F74" t="s">
        <v>520</v>
      </c>
      <c r="H74" t="s">
        <v>521</v>
      </c>
      <c r="I74" t="s">
        <v>522</v>
      </c>
      <c r="J74" s="2">
        <v>21483</v>
      </c>
      <c r="K74" s="2">
        <v>98.47</v>
      </c>
      <c r="L74" s="2">
        <v>2</v>
      </c>
      <c r="M74" s="2">
        <v>0</v>
      </c>
      <c r="N74" t="s">
        <v>523</v>
      </c>
      <c r="O74" t="s">
        <v>524</v>
      </c>
      <c r="P74" t="s">
        <v>91</v>
      </c>
      <c r="Q74" t="s">
        <v>92</v>
      </c>
      <c r="S74" t="s">
        <v>525</v>
      </c>
      <c r="U74" t="s">
        <v>45</v>
      </c>
      <c r="V74" t="s">
        <v>46</v>
      </c>
      <c r="W74" t="s">
        <v>523</v>
      </c>
      <c r="X74" t="s">
        <v>524</v>
      </c>
      <c r="Y74" t="s">
        <v>92</v>
      </c>
      <c r="Z74" t="s">
        <v>94</v>
      </c>
      <c r="AA74" t="s">
        <v>49</v>
      </c>
      <c r="AB74" t="s">
        <v>50</v>
      </c>
      <c r="AC74" s="2">
        <v>21483</v>
      </c>
      <c r="AD74" t="s">
        <v>64</v>
      </c>
    </row>
    <row r="75" spans="1:31" hidden="1" x14ac:dyDescent="0.25">
      <c r="A75" s="10" t="s">
        <v>526</v>
      </c>
      <c r="B75" s="10" t="s">
        <v>527</v>
      </c>
      <c r="C75" t="s">
        <v>527</v>
      </c>
      <c r="D75" t="s">
        <v>55</v>
      </c>
      <c r="E75" t="s">
        <v>56</v>
      </c>
      <c r="F75" t="s">
        <v>528</v>
      </c>
      <c r="H75" t="s">
        <v>41</v>
      </c>
      <c r="I75" t="s">
        <v>529</v>
      </c>
      <c r="J75" s="2">
        <v>1000</v>
      </c>
      <c r="K75" s="2">
        <v>4.33</v>
      </c>
      <c r="L75" s="2">
        <v>15</v>
      </c>
      <c r="M75" s="2">
        <v>0</v>
      </c>
      <c r="N75" t="s">
        <v>40</v>
      </c>
      <c r="O75" t="s">
        <v>41</v>
      </c>
      <c r="P75" t="s">
        <v>61</v>
      </c>
      <c r="Q75" t="s">
        <v>62</v>
      </c>
      <c r="S75" t="s">
        <v>530</v>
      </c>
      <c r="U75" t="s">
        <v>45</v>
      </c>
      <c r="V75" t="s">
        <v>46</v>
      </c>
      <c r="W75" t="s">
        <v>40</v>
      </c>
      <c r="X75" t="s">
        <v>41</v>
      </c>
      <c r="Y75" t="s">
        <v>47</v>
      </c>
      <c r="Z75" t="s">
        <v>48</v>
      </c>
      <c r="AA75" t="s">
        <v>49</v>
      </c>
      <c r="AB75" t="s">
        <v>142</v>
      </c>
      <c r="AC75" s="2">
        <v>1000</v>
      </c>
      <c r="AD75" t="s">
        <v>64</v>
      </c>
    </row>
    <row r="76" spans="1:31" x14ac:dyDescent="0.25">
      <c r="A76" t="s">
        <v>531</v>
      </c>
      <c r="B76" t="s">
        <v>532</v>
      </c>
      <c r="C76" t="s">
        <v>532</v>
      </c>
      <c r="D76" t="s">
        <v>125</v>
      </c>
      <c r="E76" t="s">
        <v>126</v>
      </c>
      <c r="F76" t="s">
        <v>533</v>
      </c>
      <c r="G76" t="s">
        <v>153</v>
      </c>
      <c r="H76" t="s">
        <v>394</v>
      </c>
      <c r="I76" t="s">
        <v>534</v>
      </c>
      <c r="J76" s="2">
        <v>1148956</v>
      </c>
      <c r="K76" s="2">
        <v>4646</v>
      </c>
      <c r="L76" s="2">
        <v>15</v>
      </c>
      <c r="M76" s="2">
        <v>0</v>
      </c>
      <c r="N76" t="s">
        <v>393</v>
      </c>
      <c r="O76" t="s">
        <v>394</v>
      </c>
      <c r="P76" t="s">
        <v>61</v>
      </c>
      <c r="Q76" t="s">
        <v>62</v>
      </c>
      <c r="S76" t="s">
        <v>535</v>
      </c>
      <c r="U76" t="s">
        <v>45</v>
      </c>
      <c r="V76" t="s">
        <v>46</v>
      </c>
      <c r="W76" t="s">
        <v>393</v>
      </c>
      <c r="X76" t="s">
        <v>394</v>
      </c>
      <c r="Y76" t="s">
        <v>47</v>
      </c>
      <c r="Z76" t="s">
        <v>48</v>
      </c>
      <c r="AA76" t="s">
        <v>49</v>
      </c>
      <c r="AB76" t="s">
        <v>50</v>
      </c>
      <c r="AC76" s="2">
        <v>637447.69999999995</v>
      </c>
      <c r="AD76" t="s">
        <v>536</v>
      </c>
      <c r="AE76" t="s">
        <v>52</v>
      </c>
    </row>
    <row r="77" spans="1:31" hidden="1" x14ac:dyDescent="0.25">
      <c r="A77" t="s">
        <v>537</v>
      </c>
      <c r="B77" t="s">
        <v>538</v>
      </c>
      <c r="C77" t="s">
        <v>538</v>
      </c>
      <c r="D77" t="s">
        <v>55</v>
      </c>
      <c r="E77" t="s">
        <v>56</v>
      </c>
      <c r="F77" t="s">
        <v>539</v>
      </c>
      <c r="J77" s="2">
        <v>1000</v>
      </c>
      <c r="K77" s="2">
        <v>0</v>
      </c>
      <c r="L77" s="2">
        <v>10</v>
      </c>
      <c r="M77" s="2">
        <v>0</v>
      </c>
      <c r="N77" t="s">
        <v>89</v>
      </c>
      <c r="O77" t="s">
        <v>90</v>
      </c>
      <c r="P77" t="s">
        <v>91</v>
      </c>
      <c r="Q77" t="s">
        <v>92</v>
      </c>
      <c r="U77" t="s">
        <v>45</v>
      </c>
      <c r="V77" t="s">
        <v>46</v>
      </c>
      <c r="W77" t="s">
        <v>89</v>
      </c>
      <c r="X77" t="s">
        <v>90</v>
      </c>
      <c r="Y77" t="s">
        <v>92</v>
      </c>
      <c r="Z77" t="s">
        <v>94</v>
      </c>
      <c r="AA77" t="s">
        <v>49</v>
      </c>
      <c r="AB77" t="s">
        <v>50</v>
      </c>
      <c r="AC77" s="2">
        <v>1000</v>
      </c>
      <c r="AD77" t="s">
        <v>64</v>
      </c>
    </row>
    <row r="78" spans="1:31" hidden="1" x14ac:dyDescent="0.25">
      <c r="I78" t="s">
        <v>540</v>
      </c>
      <c r="J78" s="2">
        <v>21817</v>
      </c>
      <c r="K78" s="2">
        <v>100</v>
      </c>
      <c r="L78" s="2">
        <v>1</v>
      </c>
      <c r="M78" s="2">
        <v>0</v>
      </c>
      <c r="S78" t="s">
        <v>543</v>
      </c>
      <c r="U78" t="s">
        <v>45</v>
      </c>
      <c r="V78" t="s">
        <v>46</v>
      </c>
      <c r="W78" t="s">
        <v>541</v>
      </c>
      <c r="X78" t="s">
        <v>542</v>
      </c>
      <c r="Y78" t="s">
        <v>92</v>
      </c>
      <c r="Z78" t="s">
        <v>94</v>
      </c>
      <c r="AA78" t="s">
        <v>49</v>
      </c>
      <c r="AC78" s="2"/>
    </row>
    <row r="79" spans="1:31" hidden="1" x14ac:dyDescent="0.25">
      <c r="A79" s="10" t="s">
        <v>544</v>
      </c>
      <c r="B79" s="10" t="s">
        <v>545</v>
      </c>
      <c r="C79" t="s">
        <v>545</v>
      </c>
      <c r="D79" t="s">
        <v>55</v>
      </c>
      <c r="E79" t="s">
        <v>56</v>
      </c>
      <c r="F79" t="s">
        <v>546</v>
      </c>
      <c r="H79" t="s">
        <v>41</v>
      </c>
      <c r="I79" t="s">
        <v>547</v>
      </c>
      <c r="J79" s="2">
        <v>1000</v>
      </c>
      <c r="K79" s="2">
        <v>0</v>
      </c>
      <c r="L79" s="2">
        <v>15</v>
      </c>
      <c r="M79" s="2">
        <v>0</v>
      </c>
      <c r="N79" t="s">
        <v>548</v>
      </c>
      <c r="O79" t="s">
        <v>549</v>
      </c>
      <c r="P79" t="s">
        <v>61</v>
      </c>
      <c r="Q79" t="s">
        <v>62</v>
      </c>
      <c r="S79" t="s">
        <v>550</v>
      </c>
      <c r="U79" t="s">
        <v>45</v>
      </c>
      <c r="V79" t="s">
        <v>46</v>
      </c>
      <c r="W79" t="s">
        <v>548</v>
      </c>
      <c r="X79" t="s">
        <v>549</v>
      </c>
      <c r="Y79" t="s">
        <v>47</v>
      </c>
      <c r="Z79" t="s">
        <v>48</v>
      </c>
      <c r="AA79" t="s">
        <v>49</v>
      </c>
      <c r="AB79" t="s">
        <v>142</v>
      </c>
      <c r="AC79" s="2">
        <v>1000</v>
      </c>
      <c r="AD79" t="s">
        <v>64</v>
      </c>
    </row>
    <row r="80" spans="1:31" x14ac:dyDescent="0.25">
      <c r="A80" t="s">
        <v>551</v>
      </c>
      <c r="B80" t="s">
        <v>552</v>
      </c>
      <c r="C80" t="s">
        <v>552</v>
      </c>
      <c r="D80" t="s">
        <v>553</v>
      </c>
      <c r="E80" t="s">
        <v>167</v>
      </c>
      <c r="F80" t="s">
        <v>554</v>
      </c>
      <c r="G80" t="s">
        <v>555</v>
      </c>
      <c r="H80" t="s">
        <v>81</v>
      </c>
      <c r="I80" t="s">
        <v>556</v>
      </c>
      <c r="J80" s="2">
        <v>229079</v>
      </c>
      <c r="K80" s="2">
        <v>1050</v>
      </c>
      <c r="L80" s="2">
        <v>15</v>
      </c>
      <c r="M80" s="2">
        <v>0</v>
      </c>
      <c r="N80" t="s">
        <v>80</v>
      </c>
      <c r="O80" t="s">
        <v>81</v>
      </c>
      <c r="P80" t="s">
        <v>557</v>
      </c>
      <c r="Q80" t="s">
        <v>558</v>
      </c>
      <c r="S80" t="s">
        <v>559</v>
      </c>
      <c r="U80" t="s">
        <v>45</v>
      </c>
      <c r="V80" t="s">
        <v>46</v>
      </c>
      <c r="W80" t="s">
        <v>80</v>
      </c>
      <c r="X80" t="s">
        <v>81</v>
      </c>
      <c r="Y80" t="s">
        <v>85</v>
      </c>
      <c r="Z80" t="s">
        <v>86</v>
      </c>
      <c r="AA80" t="s">
        <v>49</v>
      </c>
      <c r="AB80" t="s">
        <v>50</v>
      </c>
      <c r="AC80" s="2">
        <v>147040.29</v>
      </c>
      <c r="AD80" t="s">
        <v>560</v>
      </c>
    </row>
    <row r="81" spans="1:31" hidden="1" x14ac:dyDescent="0.25">
      <c r="A81" s="10" t="s">
        <v>561</v>
      </c>
      <c r="B81" s="10" t="s">
        <v>562</v>
      </c>
      <c r="C81" t="s">
        <v>562</v>
      </c>
      <c r="D81" t="s">
        <v>55</v>
      </c>
      <c r="E81" t="s">
        <v>56</v>
      </c>
      <c r="F81" t="s">
        <v>563</v>
      </c>
      <c r="H81" t="s">
        <v>41</v>
      </c>
      <c r="I81" t="s">
        <v>564</v>
      </c>
      <c r="J81" s="2">
        <v>1000</v>
      </c>
      <c r="K81" s="2">
        <v>0</v>
      </c>
      <c r="L81" s="2">
        <v>10</v>
      </c>
      <c r="M81" s="2">
        <v>0</v>
      </c>
      <c r="N81" t="s">
        <v>40</v>
      </c>
      <c r="O81" t="s">
        <v>41</v>
      </c>
      <c r="P81" t="s">
        <v>61</v>
      </c>
      <c r="Q81" t="s">
        <v>62</v>
      </c>
      <c r="S81" t="s">
        <v>565</v>
      </c>
      <c r="U81" t="s">
        <v>45</v>
      </c>
      <c r="V81" t="s">
        <v>46</v>
      </c>
      <c r="W81" t="s">
        <v>40</v>
      </c>
      <c r="X81" t="s">
        <v>41</v>
      </c>
      <c r="Y81" t="s">
        <v>47</v>
      </c>
      <c r="Z81" t="s">
        <v>48</v>
      </c>
      <c r="AA81" t="s">
        <v>49</v>
      </c>
      <c r="AB81" t="s">
        <v>142</v>
      </c>
      <c r="AC81" s="2">
        <v>1000</v>
      </c>
      <c r="AD81" t="s">
        <v>64</v>
      </c>
    </row>
    <row r="82" spans="1:31" hidden="1" x14ac:dyDescent="0.25">
      <c r="J82" s="2">
        <v>1000</v>
      </c>
      <c r="K82" s="2">
        <v>0</v>
      </c>
      <c r="L82" s="2">
        <v>1</v>
      </c>
      <c r="M82" s="2">
        <v>0</v>
      </c>
      <c r="S82" t="s">
        <v>566</v>
      </c>
      <c r="U82" t="s">
        <v>45</v>
      </c>
      <c r="V82" t="s">
        <v>46</v>
      </c>
      <c r="W82" t="s">
        <v>40</v>
      </c>
      <c r="X82" t="s">
        <v>41</v>
      </c>
      <c r="Y82" t="s">
        <v>47</v>
      </c>
      <c r="Z82" t="s">
        <v>48</v>
      </c>
      <c r="AA82" t="s">
        <v>49</v>
      </c>
      <c r="AC82" s="2"/>
    </row>
    <row r="83" spans="1:31" x14ac:dyDescent="0.25">
      <c r="A83" t="s">
        <v>567</v>
      </c>
      <c r="B83" t="s">
        <v>568</v>
      </c>
      <c r="C83" t="s">
        <v>568</v>
      </c>
      <c r="D83" t="s">
        <v>569</v>
      </c>
      <c r="E83" t="s">
        <v>570</v>
      </c>
      <c r="F83" t="s">
        <v>571</v>
      </c>
      <c r="G83" t="s">
        <v>189</v>
      </c>
      <c r="H83" t="s">
        <v>87</v>
      </c>
      <c r="I83" t="s">
        <v>572</v>
      </c>
      <c r="J83" s="2">
        <v>327255</v>
      </c>
      <c r="K83" s="2">
        <v>1500</v>
      </c>
      <c r="L83" s="2">
        <v>15</v>
      </c>
      <c r="M83" s="2">
        <v>0</v>
      </c>
      <c r="N83" t="s">
        <v>89</v>
      </c>
      <c r="O83" t="s">
        <v>90</v>
      </c>
      <c r="P83" t="s">
        <v>91</v>
      </c>
      <c r="Q83" t="s">
        <v>92</v>
      </c>
      <c r="S83" t="s">
        <v>573</v>
      </c>
      <c r="U83" t="s">
        <v>45</v>
      </c>
      <c r="V83" t="s">
        <v>46</v>
      </c>
      <c r="W83" t="s">
        <v>89</v>
      </c>
      <c r="X83" t="s">
        <v>90</v>
      </c>
      <c r="Y83" t="s">
        <v>92</v>
      </c>
      <c r="Z83" t="s">
        <v>94</v>
      </c>
      <c r="AA83" t="s">
        <v>49</v>
      </c>
      <c r="AB83" t="s">
        <v>50</v>
      </c>
      <c r="AC83" s="2">
        <v>327255</v>
      </c>
      <c r="AD83" t="s">
        <v>64</v>
      </c>
    </row>
    <row r="84" spans="1:31" x14ac:dyDescent="0.25">
      <c r="A84" t="s">
        <v>574</v>
      </c>
      <c r="B84" t="s">
        <v>575</v>
      </c>
      <c r="C84" t="s">
        <v>575</v>
      </c>
      <c r="D84" t="s">
        <v>569</v>
      </c>
      <c r="E84" t="s">
        <v>570</v>
      </c>
      <c r="F84" t="s">
        <v>576</v>
      </c>
      <c r="G84" t="s">
        <v>577</v>
      </c>
      <c r="H84" t="s">
        <v>196</v>
      </c>
      <c r="I84" t="s">
        <v>578</v>
      </c>
      <c r="J84" s="2">
        <v>65451</v>
      </c>
      <c r="K84" s="2">
        <v>300</v>
      </c>
      <c r="L84" s="2">
        <v>15</v>
      </c>
      <c r="M84" s="2">
        <v>0</v>
      </c>
      <c r="N84" t="s">
        <v>195</v>
      </c>
      <c r="O84" t="s">
        <v>196</v>
      </c>
      <c r="P84" t="s">
        <v>61</v>
      </c>
      <c r="Q84" t="s">
        <v>62</v>
      </c>
      <c r="S84" t="s">
        <v>579</v>
      </c>
      <c r="U84" t="s">
        <v>45</v>
      </c>
      <c r="V84" t="s">
        <v>46</v>
      </c>
      <c r="W84" t="s">
        <v>195</v>
      </c>
      <c r="X84" t="s">
        <v>196</v>
      </c>
      <c r="Y84" t="s">
        <v>47</v>
      </c>
      <c r="Z84" t="s">
        <v>48</v>
      </c>
      <c r="AA84" t="s">
        <v>49</v>
      </c>
      <c r="AB84" t="s">
        <v>50</v>
      </c>
      <c r="AC84" s="2">
        <v>64346.11</v>
      </c>
      <c r="AD84" t="s">
        <v>580</v>
      </c>
      <c r="AE84" t="s">
        <v>115</v>
      </c>
    </row>
    <row r="85" spans="1:31" x14ac:dyDescent="0.25">
      <c r="A85" t="s">
        <v>581</v>
      </c>
      <c r="B85" t="s">
        <v>582</v>
      </c>
      <c r="C85" t="s">
        <v>582</v>
      </c>
      <c r="D85" t="s">
        <v>166</v>
      </c>
      <c r="E85" t="s">
        <v>167</v>
      </c>
      <c r="F85" t="s">
        <v>583</v>
      </c>
      <c r="H85" t="s">
        <v>584</v>
      </c>
      <c r="J85" s="2">
        <v>174536</v>
      </c>
      <c r="K85" s="2">
        <v>800</v>
      </c>
      <c r="L85" s="2">
        <v>21</v>
      </c>
      <c r="M85" s="2">
        <v>0</v>
      </c>
      <c r="N85" t="s">
        <v>585</v>
      </c>
      <c r="O85" t="s">
        <v>584</v>
      </c>
      <c r="P85" t="s">
        <v>158</v>
      </c>
      <c r="Q85" t="s">
        <v>159</v>
      </c>
      <c r="S85" t="s">
        <v>586</v>
      </c>
      <c r="U85" t="s">
        <v>45</v>
      </c>
      <c r="V85" t="s">
        <v>46</v>
      </c>
      <c r="W85" t="s">
        <v>585</v>
      </c>
      <c r="X85" t="s">
        <v>584</v>
      </c>
      <c r="Y85" t="s">
        <v>161</v>
      </c>
      <c r="Z85" t="s">
        <v>162</v>
      </c>
      <c r="AA85" t="s">
        <v>49</v>
      </c>
      <c r="AB85" t="s">
        <v>50</v>
      </c>
      <c r="AC85" s="2">
        <v>174536</v>
      </c>
      <c r="AD85" t="s">
        <v>64</v>
      </c>
    </row>
    <row r="86" spans="1:31" x14ac:dyDescent="0.25">
      <c r="A86" t="s">
        <v>587</v>
      </c>
      <c r="B86" t="s">
        <v>588</v>
      </c>
      <c r="C86" t="s">
        <v>588</v>
      </c>
      <c r="D86" t="s">
        <v>321</v>
      </c>
      <c r="E86" t="s">
        <v>224</v>
      </c>
      <c r="F86" t="s">
        <v>589</v>
      </c>
      <c r="H86" t="s">
        <v>590</v>
      </c>
      <c r="I86" t="s">
        <v>591</v>
      </c>
      <c r="J86" s="2">
        <v>21817</v>
      </c>
      <c r="K86" s="2">
        <v>100</v>
      </c>
      <c r="L86" s="2">
        <v>1</v>
      </c>
      <c r="M86" s="2">
        <v>0</v>
      </c>
      <c r="N86" t="s">
        <v>592</v>
      </c>
      <c r="O86" t="s">
        <v>593</v>
      </c>
      <c r="P86" t="s">
        <v>91</v>
      </c>
      <c r="Q86" t="s">
        <v>92</v>
      </c>
      <c r="S86" t="s">
        <v>594</v>
      </c>
      <c r="U86" t="s">
        <v>45</v>
      </c>
      <c r="V86" t="s">
        <v>46</v>
      </c>
      <c r="W86" t="s">
        <v>592</v>
      </c>
      <c r="X86" t="s">
        <v>593</v>
      </c>
      <c r="Y86" t="s">
        <v>92</v>
      </c>
      <c r="Z86" t="s">
        <v>94</v>
      </c>
      <c r="AA86" t="s">
        <v>49</v>
      </c>
      <c r="AB86" t="s">
        <v>50</v>
      </c>
      <c r="AC86" s="2">
        <v>21817</v>
      </c>
      <c r="AD86" t="s">
        <v>64</v>
      </c>
    </row>
    <row r="87" spans="1:31" hidden="1" x14ac:dyDescent="0.25">
      <c r="I87" t="s">
        <v>595</v>
      </c>
      <c r="J87" s="2">
        <v>21817</v>
      </c>
      <c r="K87" s="2">
        <v>100</v>
      </c>
      <c r="L87" s="2">
        <v>15</v>
      </c>
      <c r="M87" s="2">
        <v>0</v>
      </c>
      <c r="S87" t="s">
        <v>598</v>
      </c>
      <c r="U87" t="s">
        <v>45</v>
      </c>
      <c r="V87" t="s">
        <v>46</v>
      </c>
      <c r="W87" t="s">
        <v>596</v>
      </c>
      <c r="X87" t="s">
        <v>597</v>
      </c>
      <c r="Y87" t="s">
        <v>92</v>
      </c>
      <c r="Z87" t="s">
        <v>94</v>
      </c>
      <c r="AA87" t="s">
        <v>49</v>
      </c>
      <c r="AC87" s="2"/>
    </row>
    <row r="88" spans="1:31" hidden="1" x14ac:dyDescent="0.25">
      <c r="I88" t="s">
        <v>599</v>
      </c>
      <c r="J88" s="2">
        <v>109085</v>
      </c>
      <c r="K88" s="2">
        <v>500</v>
      </c>
      <c r="L88" s="2">
        <v>21</v>
      </c>
      <c r="M88" s="2">
        <v>0</v>
      </c>
      <c r="S88" t="s">
        <v>600</v>
      </c>
      <c r="U88" t="s">
        <v>45</v>
      </c>
      <c r="V88" t="s">
        <v>46</v>
      </c>
      <c r="W88" t="s">
        <v>403</v>
      </c>
      <c r="X88" t="s">
        <v>404</v>
      </c>
      <c r="Y88" t="s">
        <v>161</v>
      </c>
      <c r="Z88" t="s">
        <v>162</v>
      </c>
      <c r="AA88" t="s">
        <v>49</v>
      </c>
      <c r="AC88" s="2"/>
    </row>
    <row r="89" spans="1:31" hidden="1" x14ac:dyDescent="0.25">
      <c r="A89" s="10" t="s">
        <v>601</v>
      </c>
      <c r="B89" s="10" t="s">
        <v>602</v>
      </c>
      <c r="C89" t="s">
        <v>602</v>
      </c>
      <c r="D89" t="s">
        <v>55</v>
      </c>
      <c r="E89" t="s">
        <v>56</v>
      </c>
      <c r="F89" t="s">
        <v>603</v>
      </c>
      <c r="H89" t="s">
        <v>38</v>
      </c>
      <c r="I89" t="s">
        <v>604</v>
      </c>
      <c r="J89" s="2">
        <v>21817</v>
      </c>
      <c r="K89" s="2">
        <v>100</v>
      </c>
      <c r="L89" s="2">
        <v>1</v>
      </c>
      <c r="M89" s="2">
        <v>0</v>
      </c>
      <c r="N89" t="s">
        <v>40</v>
      </c>
      <c r="O89" t="s">
        <v>41</v>
      </c>
      <c r="P89" t="s">
        <v>61</v>
      </c>
      <c r="Q89" t="s">
        <v>62</v>
      </c>
      <c r="S89" t="s">
        <v>605</v>
      </c>
      <c r="U89" t="s">
        <v>45</v>
      </c>
      <c r="V89" t="s">
        <v>46</v>
      </c>
      <c r="W89" t="s">
        <v>40</v>
      </c>
      <c r="X89" t="s">
        <v>41</v>
      </c>
      <c r="Y89" t="s">
        <v>47</v>
      </c>
      <c r="Z89" t="s">
        <v>48</v>
      </c>
      <c r="AA89" t="s">
        <v>49</v>
      </c>
      <c r="AB89" t="s">
        <v>142</v>
      </c>
      <c r="AC89" s="2">
        <v>21817</v>
      </c>
      <c r="AD89" t="s">
        <v>64</v>
      </c>
    </row>
    <row r="90" spans="1:31" hidden="1" x14ac:dyDescent="0.25">
      <c r="I90" t="s">
        <v>606</v>
      </c>
      <c r="J90" s="2">
        <v>21817</v>
      </c>
      <c r="K90" s="2">
        <v>100</v>
      </c>
      <c r="L90" s="2">
        <v>1</v>
      </c>
      <c r="M90" s="2">
        <v>0</v>
      </c>
      <c r="S90" t="s">
        <v>607</v>
      </c>
      <c r="U90" t="s">
        <v>45</v>
      </c>
      <c r="V90" t="s">
        <v>46</v>
      </c>
      <c r="W90" t="s">
        <v>596</v>
      </c>
      <c r="X90" t="s">
        <v>597</v>
      </c>
      <c r="Y90" t="s">
        <v>92</v>
      </c>
      <c r="Z90" t="s">
        <v>94</v>
      </c>
      <c r="AA90" t="s">
        <v>49</v>
      </c>
      <c r="AC90" s="2"/>
    </row>
    <row r="91" spans="1:31" x14ac:dyDescent="0.25">
      <c r="A91" t="s">
        <v>608</v>
      </c>
      <c r="B91" t="s">
        <v>609</v>
      </c>
      <c r="C91" t="s">
        <v>609</v>
      </c>
      <c r="D91" t="s">
        <v>178</v>
      </c>
      <c r="E91" t="s">
        <v>179</v>
      </c>
      <c r="F91" t="s">
        <v>610</v>
      </c>
      <c r="G91" t="s">
        <v>297</v>
      </c>
      <c r="H91" t="s">
        <v>611</v>
      </c>
      <c r="I91" t="s">
        <v>612</v>
      </c>
      <c r="J91" s="2">
        <v>370889</v>
      </c>
      <c r="K91" s="2">
        <v>1700</v>
      </c>
      <c r="L91" s="2">
        <v>15</v>
      </c>
      <c r="M91" s="2">
        <v>0</v>
      </c>
      <c r="N91" t="s">
        <v>613</v>
      </c>
      <c r="O91" t="s">
        <v>614</v>
      </c>
      <c r="P91" t="s">
        <v>91</v>
      </c>
      <c r="Q91" t="s">
        <v>92</v>
      </c>
      <c r="S91" t="s">
        <v>615</v>
      </c>
      <c r="U91" t="s">
        <v>45</v>
      </c>
      <c r="V91" t="s">
        <v>46</v>
      </c>
      <c r="W91" t="s">
        <v>613</v>
      </c>
      <c r="X91" t="s">
        <v>614</v>
      </c>
      <c r="Y91" t="s">
        <v>92</v>
      </c>
      <c r="Z91" t="s">
        <v>94</v>
      </c>
      <c r="AA91" t="s">
        <v>49</v>
      </c>
      <c r="AB91" t="s">
        <v>50</v>
      </c>
      <c r="AC91" s="2">
        <v>154854.76999999999</v>
      </c>
      <c r="AD91" t="s">
        <v>616</v>
      </c>
      <c r="AE91" t="s">
        <v>52</v>
      </c>
    </row>
    <row r="92" spans="1:31" x14ac:dyDescent="0.25">
      <c r="A92" t="s">
        <v>617</v>
      </c>
      <c r="B92" t="s">
        <v>618</v>
      </c>
      <c r="C92" t="s">
        <v>618</v>
      </c>
      <c r="D92" t="s">
        <v>619</v>
      </c>
      <c r="E92" t="s">
        <v>77</v>
      </c>
      <c r="F92" t="s">
        <v>620</v>
      </c>
      <c r="G92" t="s">
        <v>621</v>
      </c>
      <c r="H92" t="s">
        <v>622</v>
      </c>
      <c r="I92" t="s">
        <v>623</v>
      </c>
      <c r="J92" s="2">
        <v>43634</v>
      </c>
      <c r="K92" s="2">
        <v>200</v>
      </c>
      <c r="L92" s="2">
        <v>1</v>
      </c>
      <c r="M92" s="2">
        <v>0</v>
      </c>
      <c r="N92" t="s">
        <v>624</v>
      </c>
      <c r="O92" t="s">
        <v>622</v>
      </c>
      <c r="P92" t="s">
        <v>91</v>
      </c>
      <c r="Q92" t="s">
        <v>92</v>
      </c>
      <c r="S92" t="s">
        <v>625</v>
      </c>
      <c r="U92" t="s">
        <v>45</v>
      </c>
      <c r="V92" t="s">
        <v>46</v>
      </c>
      <c r="W92" t="s">
        <v>624</v>
      </c>
      <c r="X92" t="s">
        <v>622</v>
      </c>
      <c r="Y92" t="s">
        <v>92</v>
      </c>
      <c r="Z92" t="s">
        <v>94</v>
      </c>
      <c r="AA92" t="s">
        <v>49</v>
      </c>
      <c r="AB92" t="s">
        <v>50</v>
      </c>
      <c r="AC92" s="2">
        <v>43634</v>
      </c>
      <c r="AD92" t="s">
        <v>64</v>
      </c>
    </row>
    <row r="93" spans="1:31" hidden="1" x14ac:dyDescent="0.25">
      <c r="I93" t="s">
        <v>626</v>
      </c>
      <c r="J93" s="2">
        <v>36146</v>
      </c>
      <c r="K93" s="2">
        <v>0</v>
      </c>
      <c r="L93" s="2">
        <v>30</v>
      </c>
      <c r="M93" s="2">
        <v>0</v>
      </c>
      <c r="S93" t="s">
        <v>627</v>
      </c>
      <c r="U93" t="s">
        <v>45</v>
      </c>
      <c r="V93" t="s">
        <v>46</v>
      </c>
      <c r="W93" t="s">
        <v>445</v>
      </c>
      <c r="X93" t="s">
        <v>446</v>
      </c>
      <c r="Y93" t="s">
        <v>72</v>
      </c>
      <c r="Z93" t="s">
        <v>68</v>
      </c>
      <c r="AA93" t="s">
        <v>49</v>
      </c>
      <c r="AC93" s="2"/>
    </row>
    <row r="94" spans="1:31" x14ac:dyDescent="0.25">
      <c r="A94" t="s">
        <v>628</v>
      </c>
      <c r="B94" t="s">
        <v>629</v>
      </c>
      <c r="C94" t="s">
        <v>629</v>
      </c>
      <c r="D94" t="s">
        <v>125</v>
      </c>
      <c r="E94" t="s">
        <v>126</v>
      </c>
      <c r="F94" t="s">
        <v>630</v>
      </c>
      <c r="G94" t="s">
        <v>35</v>
      </c>
      <c r="H94" t="s">
        <v>446</v>
      </c>
      <c r="I94" t="s">
        <v>631</v>
      </c>
      <c r="J94" s="2">
        <v>4363400</v>
      </c>
      <c r="K94" s="2">
        <v>20000</v>
      </c>
      <c r="L94" s="2">
        <v>21</v>
      </c>
      <c r="M94" s="2">
        <v>0</v>
      </c>
      <c r="N94" t="s">
        <v>445</v>
      </c>
      <c r="O94" t="s">
        <v>446</v>
      </c>
      <c r="P94" t="s">
        <v>69</v>
      </c>
      <c r="Q94" t="s">
        <v>70</v>
      </c>
      <c r="S94" t="s">
        <v>632</v>
      </c>
      <c r="U94" t="s">
        <v>45</v>
      </c>
      <c r="V94" t="s">
        <v>46</v>
      </c>
      <c r="W94" t="s">
        <v>445</v>
      </c>
      <c r="X94" t="s">
        <v>446</v>
      </c>
      <c r="Y94" t="s">
        <v>72</v>
      </c>
      <c r="Z94" t="s">
        <v>68</v>
      </c>
      <c r="AA94" t="s">
        <v>49</v>
      </c>
      <c r="AB94" t="s">
        <v>50</v>
      </c>
      <c r="AC94" s="2">
        <v>2212281.14</v>
      </c>
      <c r="AD94" t="s">
        <v>633</v>
      </c>
      <c r="AE94" t="s">
        <v>52</v>
      </c>
    </row>
    <row r="95" spans="1:31" x14ac:dyDescent="0.25">
      <c r="A95" t="s">
        <v>634</v>
      </c>
      <c r="B95" t="s">
        <v>635</v>
      </c>
      <c r="C95" t="s">
        <v>636</v>
      </c>
      <c r="D95" t="s">
        <v>569</v>
      </c>
      <c r="E95" t="s">
        <v>570</v>
      </c>
      <c r="F95" t="s">
        <v>637</v>
      </c>
      <c r="G95" t="s">
        <v>569</v>
      </c>
      <c r="H95" t="s">
        <v>638</v>
      </c>
      <c r="I95" t="s">
        <v>639</v>
      </c>
      <c r="J95" s="2">
        <v>654510</v>
      </c>
      <c r="K95" s="2">
        <v>3000</v>
      </c>
      <c r="L95" s="2">
        <v>21</v>
      </c>
      <c r="M95" s="2">
        <v>0</v>
      </c>
      <c r="N95" t="s">
        <v>640</v>
      </c>
      <c r="O95" t="s">
        <v>641</v>
      </c>
      <c r="P95" t="s">
        <v>91</v>
      </c>
      <c r="Q95" t="s">
        <v>92</v>
      </c>
      <c r="S95" t="s">
        <v>642</v>
      </c>
      <c r="U95" t="s">
        <v>45</v>
      </c>
      <c r="V95" t="s">
        <v>46</v>
      </c>
      <c r="W95" t="s">
        <v>640</v>
      </c>
      <c r="X95" t="s">
        <v>641</v>
      </c>
      <c r="Y95" t="s">
        <v>92</v>
      </c>
      <c r="Z95" t="s">
        <v>94</v>
      </c>
      <c r="AA95" t="s">
        <v>49</v>
      </c>
      <c r="AB95" t="s">
        <v>50</v>
      </c>
      <c r="AC95" s="2">
        <v>329354.98</v>
      </c>
      <c r="AD95" t="s">
        <v>643</v>
      </c>
      <c r="AE95" t="s">
        <v>52</v>
      </c>
    </row>
    <row r="96" spans="1:31" hidden="1" x14ac:dyDescent="0.25">
      <c r="I96" t="s">
        <v>644</v>
      </c>
      <c r="J96" s="2">
        <v>21817</v>
      </c>
      <c r="K96" s="2">
        <v>100</v>
      </c>
      <c r="L96" s="2">
        <v>1</v>
      </c>
      <c r="M96" s="2">
        <v>0</v>
      </c>
      <c r="S96" t="s">
        <v>645</v>
      </c>
      <c r="U96" t="s">
        <v>45</v>
      </c>
      <c r="V96" t="s">
        <v>46</v>
      </c>
      <c r="W96" t="s">
        <v>523</v>
      </c>
      <c r="X96" t="s">
        <v>524</v>
      </c>
      <c r="Y96" t="s">
        <v>92</v>
      </c>
      <c r="Z96" t="s">
        <v>94</v>
      </c>
      <c r="AA96" t="s">
        <v>49</v>
      </c>
      <c r="AC96" s="2"/>
    </row>
    <row r="97" spans="1:31" x14ac:dyDescent="0.25">
      <c r="A97" t="s">
        <v>646</v>
      </c>
      <c r="B97" t="s">
        <v>647</v>
      </c>
      <c r="C97" t="s">
        <v>647</v>
      </c>
      <c r="D97" t="s">
        <v>153</v>
      </c>
      <c r="E97" t="s">
        <v>272</v>
      </c>
      <c r="F97" t="s">
        <v>648</v>
      </c>
      <c r="G97" t="s">
        <v>649</v>
      </c>
      <c r="H97" t="s">
        <v>650</v>
      </c>
      <c r="I97" t="s">
        <v>651</v>
      </c>
      <c r="J97" s="2">
        <v>545425</v>
      </c>
      <c r="K97" s="2">
        <v>2500</v>
      </c>
      <c r="L97" s="2">
        <v>21</v>
      </c>
      <c r="M97" s="2">
        <v>0</v>
      </c>
      <c r="N97" t="s">
        <v>652</v>
      </c>
      <c r="O97" t="s">
        <v>653</v>
      </c>
      <c r="P97" t="s">
        <v>69</v>
      </c>
      <c r="Q97" t="s">
        <v>70</v>
      </c>
      <c r="S97" t="s">
        <v>654</v>
      </c>
      <c r="U97" t="s">
        <v>45</v>
      </c>
      <c r="V97" t="s">
        <v>46</v>
      </c>
      <c r="W97" t="s">
        <v>652</v>
      </c>
      <c r="X97" t="s">
        <v>653</v>
      </c>
      <c r="Y97" t="s">
        <v>72</v>
      </c>
      <c r="Z97" t="s">
        <v>68</v>
      </c>
      <c r="AA97" t="s">
        <v>49</v>
      </c>
      <c r="AB97" t="s">
        <v>50</v>
      </c>
      <c r="AC97" s="2">
        <v>375145.16</v>
      </c>
      <c r="AD97" t="s">
        <v>655</v>
      </c>
      <c r="AE97" t="s">
        <v>115</v>
      </c>
    </row>
    <row r="98" spans="1:31" hidden="1" x14ac:dyDescent="0.25">
      <c r="A98" t="s">
        <v>656</v>
      </c>
      <c r="B98" t="s">
        <v>657</v>
      </c>
      <c r="C98" t="s">
        <v>657</v>
      </c>
      <c r="D98" t="s">
        <v>55</v>
      </c>
      <c r="E98" t="s">
        <v>56</v>
      </c>
      <c r="F98" t="s">
        <v>658</v>
      </c>
      <c r="J98" s="2">
        <v>1000</v>
      </c>
      <c r="K98" s="2">
        <v>0</v>
      </c>
      <c r="L98" s="2">
        <v>1</v>
      </c>
      <c r="M98" s="2">
        <v>0</v>
      </c>
      <c r="N98" t="s">
        <v>302</v>
      </c>
      <c r="O98" t="s">
        <v>303</v>
      </c>
      <c r="P98" t="s">
        <v>304</v>
      </c>
      <c r="Q98" t="s">
        <v>72</v>
      </c>
      <c r="U98" t="s">
        <v>45</v>
      </c>
      <c r="V98" t="s">
        <v>46</v>
      </c>
      <c r="W98" t="s">
        <v>302</v>
      </c>
      <c r="X98" t="s">
        <v>303</v>
      </c>
      <c r="Y98" t="s">
        <v>47</v>
      </c>
      <c r="Z98" t="s">
        <v>48</v>
      </c>
      <c r="AA98" t="s">
        <v>49</v>
      </c>
      <c r="AB98" t="s">
        <v>50</v>
      </c>
      <c r="AC98" s="2">
        <v>1000</v>
      </c>
      <c r="AD98" t="s">
        <v>64</v>
      </c>
    </row>
    <row r="99" spans="1:31" x14ac:dyDescent="0.25">
      <c r="A99" t="s">
        <v>659</v>
      </c>
      <c r="B99" t="s">
        <v>660</v>
      </c>
      <c r="C99" t="s">
        <v>660</v>
      </c>
      <c r="D99" t="s">
        <v>35</v>
      </c>
      <c r="E99" t="s">
        <v>36</v>
      </c>
      <c r="F99" t="s">
        <v>661</v>
      </c>
      <c r="G99" t="s">
        <v>35</v>
      </c>
      <c r="H99" t="s">
        <v>662</v>
      </c>
      <c r="I99" t="s">
        <v>663</v>
      </c>
      <c r="J99" s="2">
        <v>447920</v>
      </c>
      <c r="K99" s="2">
        <v>2000</v>
      </c>
      <c r="L99" s="2">
        <v>30</v>
      </c>
      <c r="M99" s="2">
        <v>0</v>
      </c>
      <c r="N99" t="s">
        <v>664</v>
      </c>
      <c r="O99" t="s">
        <v>665</v>
      </c>
      <c r="P99" t="s">
        <v>103</v>
      </c>
      <c r="Q99" t="s">
        <v>104</v>
      </c>
      <c r="S99" t="s">
        <v>666</v>
      </c>
      <c r="U99" t="s">
        <v>45</v>
      </c>
      <c r="V99" t="s">
        <v>46</v>
      </c>
      <c r="W99" t="s">
        <v>664</v>
      </c>
      <c r="X99" t="s">
        <v>665</v>
      </c>
      <c r="Y99" t="s">
        <v>106</v>
      </c>
      <c r="Z99" t="s">
        <v>107</v>
      </c>
      <c r="AA99" t="s">
        <v>49</v>
      </c>
      <c r="AB99" t="s">
        <v>50</v>
      </c>
      <c r="AC99" s="2">
        <v>46640.62</v>
      </c>
      <c r="AD99" t="s">
        <v>667</v>
      </c>
      <c r="AE99" t="s">
        <v>52</v>
      </c>
    </row>
    <row r="100" spans="1:31" hidden="1" x14ac:dyDescent="0.25">
      <c r="I100" t="s">
        <v>668</v>
      </c>
      <c r="J100" s="2">
        <v>1000</v>
      </c>
      <c r="K100" s="2">
        <v>0</v>
      </c>
      <c r="L100" s="2">
        <v>1</v>
      </c>
      <c r="M100" s="2">
        <v>0</v>
      </c>
      <c r="S100" t="s">
        <v>671</v>
      </c>
      <c r="U100" t="s">
        <v>45</v>
      </c>
      <c r="V100" t="s">
        <v>46</v>
      </c>
      <c r="W100" t="s">
        <v>664</v>
      </c>
      <c r="X100" t="s">
        <v>665</v>
      </c>
      <c r="Y100" t="s">
        <v>106</v>
      </c>
      <c r="Z100" t="s">
        <v>107</v>
      </c>
      <c r="AA100" t="s">
        <v>49</v>
      </c>
      <c r="AC100" s="2"/>
    </row>
    <row r="101" spans="1:31" x14ac:dyDescent="0.25">
      <c r="A101" t="s">
        <v>672</v>
      </c>
      <c r="B101" t="s">
        <v>673</v>
      </c>
      <c r="C101" t="s">
        <v>673</v>
      </c>
      <c r="D101" t="s">
        <v>344</v>
      </c>
      <c r="E101" t="s">
        <v>167</v>
      </c>
      <c r="F101" t="s">
        <v>674</v>
      </c>
      <c r="G101" t="s">
        <v>344</v>
      </c>
      <c r="H101" t="s">
        <v>349</v>
      </c>
      <c r="I101" t="s">
        <v>675</v>
      </c>
      <c r="J101" s="2">
        <v>77309</v>
      </c>
      <c r="K101" s="2">
        <v>318</v>
      </c>
      <c r="L101" s="2">
        <v>21</v>
      </c>
      <c r="M101" s="2">
        <v>0</v>
      </c>
      <c r="N101" t="s">
        <v>348</v>
      </c>
      <c r="O101" t="s">
        <v>349</v>
      </c>
      <c r="P101" t="s">
        <v>316</v>
      </c>
      <c r="Q101" t="s">
        <v>317</v>
      </c>
      <c r="S101" t="s">
        <v>676</v>
      </c>
      <c r="U101" t="s">
        <v>45</v>
      </c>
      <c r="V101" t="s">
        <v>46</v>
      </c>
      <c r="W101" t="s">
        <v>348</v>
      </c>
      <c r="X101" t="s">
        <v>349</v>
      </c>
      <c r="Y101" t="s">
        <v>317</v>
      </c>
      <c r="Z101" t="s">
        <v>349</v>
      </c>
      <c r="AA101" t="s">
        <v>49</v>
      </c>
      <c r="AB101" t="s">
        <v>50</v>
      </c>
      <c r="AC101" s="2">
        <v>6649.84</v>
      </c>
      <c r="AD101" t="s">
        <v>677</v>
      </c>
      <c r="AE101" t="s">
        <v>115</v>
      </c>
    </row>
    <row r="102" spans="1:31" x14ac:dyDescent="0.25">
      <c r="A102" t="s">
        <v>678</v>
      </c>
      <c r="B102" t="s">
        <v>679</v>
      </c>
      <c r="C102" t="s">
        <v>679</v>
      </c>
      <c r="D102" t="s">
        <v>344</v>
      </c>
      <c r="E102" t="s">
        <v>167</v>
      </c>
      <c r="F102" t="s">
        <v>680</v>
      </c>
      <c r="G102" t="s">
        <v>344</v>
      </c>
      <c r="H102" t="s">
        <v>349</v>
      </c>
      <c r="I102" t="s">
        <v>681</v>
      </c>
      <c r="J102" s="2">
        <v>130902</v>
      </c>
      <c r="K102" s="2">
        <v>600</v>
      </c>
      <c r="L102" s="2">
        <v>21</v>
      </c>
      <c r="M102" s="2">
        <v>0</v>
      </c>
      <c r="N102" t="s">
        <v>348</v>
      </c>
      <c r="O102" t="s">
        <v>349</v>
      </c>
      <c r="P102" t="s">
        <v>316</v>
      </c>
      <c r="Q102" t="s">
        <v>317</v>
      </c>
      <c r="S102" t="s">
        <v>682</v>
      </c>
      <c r="U102" t="s">
        <v>45</v>
      </c>
      <c r="V102" t="s">
        <v>46</v>
      </c>
      <c r="W102" t="s">
        <v>348</v>
      </c>
      <c r="X102" t="s">
        <v>349</v>
      </c>
      <c r="Y102" t="s">
        <v>317</v>
      </c>
      <c r="Z102" t="s">
        <v>349</v>
      </c>
      <c r="AA102" t="s">
        <v>49</v>
      </c>
      <c r="AB102" t="s">
        <v>50</v>
      </c>
      <c r="AC102" s="2">
        <v>80568.460000000006</v>
      </c>
      <c r="AD102" t="s">
        <v>683</v>
      </c>
      <c r="AE102" t="s">
        <v>52</v>
      </c>
    </row>
    <row r="103" spans="1:31" hidden="1" x14ac:dyDescent="0.25">
      <c r="I103" t="s">
        <v>684</v>
      </c>
      <c r="J103" s="2">
        <v>43634</v>
      </c>
      <c r="K103" s="2">
        <v>200</v>
      </c>
      <c r="L103" s="2">
        <v>1</v>
      </c>
      <c r="M103" s="2">
        <v>0</v>
      </c>
      <c r="S103" t="s">
        <v>685</v>
      </c>
      <c r="U103" t="s">
        <v>45</v>
      </c>
      <c r="V103" t="s">
        <v>46</v>
      </c>
      <c r="W103" t="s">
        <v>276</v>
      </c>
      <c r="X103" t="s">
        <v>277</v>
      </c>
      <c r="Y103" t="s">
        <v>279</v>
      </c>
      <c r="Z103" t="s">
        <v>280</v>
      </c>
      <c r="AA103" t="s">
        <v>49</v>
      </c>
      <c r="AC103" s="2"/>
    </row>
    <row r="104" spans="1:31" hidden="1" x14ac:dyDescent="0.25">
      <c r="I104" t="s">
        <v>687</v>
      </c>
      <c r="J104" s="2">
        <v>1311</v>
      </c>
      <c r="K104" s="2">
        <v>0</v>
      </c>
      <c r="L104" s="2">
        <v>7</v>
      </c>
      <c r="M104" s="2">
        <v>0</v>
      </c>
      <c r="S104" t="s">
        <v>689</v>
      </c>
      <c r="U104" t="s">
        <v>45</v>
      </c>
      <c r="V104" t="s">
        <v>46</v>
      </c>
      <c r="W104" t="s">
        <v>688</v>
      </c>
      <c r="X104" t="s">
        <v>686</v>
      </c>
      <c r="Y104" t="s">
        <v>121</v>
      </c>
      <c r="Z104" t="s">
        <v>94</v>
      </c>
      <c r="AA104" t="s">
        <v>49</v>
      </c>
      <c r="AC104" s="2"/>
    </row>
    <row r="105" spans="1:31" x14ac:dyDescent="0.25">
      <c r="A105" t="s">
        <v>690</v>
      </c>
      <c r="B105" t="s">
        <v>691</v>
      </c>
      <c r="C105" t="s">
        <v>691</v>
      </c>
      <c r="D105" t="s">
        <v>125</v>
      </c>
      <c r="E105" t="s">
        <v>126</v>
      </c>
      <c r="F105" t="s">
        <v>692</v>
      </c>
      <c r="G105" t="s">
        <v>125</v>
      </c>
      <c r="H105" t="s">
        <v>41</v>
      </c>
      <c r="I105" t="s">
        <v>693</v>
      </c>
      <c r="J105" s="2">
        <v>268380</v>
      </c>
      <c r="K105" s="2">
        <v>1200</v>
      </c>
      <c r="L105" s="2">
        <v>15</v>
      </c>
      <c r="M105" s="2">
        <v>0</v>
      </c>
      <c r="N105" t="s">
        <v>40</v>
      </c>
      <c r="O105" t="s">
        <v>41</v>
      </c>
      <c r="P105" t="s">
        <v>61</v>
      </c>
      <c r="Q105" t="s">
        <v>62</v>
      </c>
      <c r="S105" t="s">
        <v>694</v>
      </c>
      <c r="U105" t="s">
        <v>45</v>
      </c>
      <c r="V105" t="s">
        <v>46</v>
      </c>
      <c r="W105" t="s">
        <v>40</v>
      </c>
      <c r="X105" t="s">
        <v>41</v>
      </c>
      <c r="Y105" t="s">
        <v>47</v>
      </c>
      <c r="Z105" t="s">
        <v>48</v>
      </c>
      <c r="AA105" t="s">
        <v>49</v>
      </c>
      <c r="AB105" t="s">
        <v>50</v>
      </c>
      <c r="AC105" s="2">
        <v>137971.01</v>
      </c>
      <c r="AD105" t="s">
        <v>695</v>
      </c>
      <c r="AE105" t="s">
        <v>52</v>
      </c>
    </row>
    <row r="106" spans="1:31" x14ac:dyDescent="0.25">
      <c r="A106" t="s">
        <v>696</v>
      </c>
      <c r="B106" t="s">
        <v>697</v>
      </c>
      <c r="C106" t="s">
        <v>697</v>
      </c>
      <c r="D106" t="s">
        <v>125</v>
      </c>
      <c r="E106" t="s">
        <v>126</v>
      </c>
      <c r="F106" t="s">
        <v>698</v>
      </c>
      <c r="G106" t="s">
        <v>153</v>
      </c>
      <c r="H106" t="s">
        <v>699</v>
      </c>
      <c r="J106" s="2">
        <v>545425</v>
      </c>
      <c r="K106" s="2">
        <v>2500</v>
      </c>
      <c r="L106" s="2">
        <v>15</v>
      </c>
      <c r="M106" s="2">
        <v>0</v>
      </c>
      <c r="N106" t="s">
        <v>700</v>
      </c>
      <c r="O106" t="s">
        <v>699</v>
      </c>
      <c r="P106" t="s">
        <v>69</v>
      </c>
      <c r="Q106" t="s">
        <v>70</v>
      </c>
      <c r="S106" t="s">
        <v>701</v>
      </c>
      <c r="U106" t="s">
        <v>45</v>
      </c>
      <c r="V106" t="s">
        <v>46</v>
      </c>
      <c r="W106" t="s">
        <v>700</v>
      </c>
      <c r="X106" t="s">
        <v>699</v>
      </c>
      <c r="Y106" t="s">
        <v>72</v>
      </c>
      <c r="Z106" t="s">
        <v>68</v>
      </c>
      <c r="AA106" t="s">
        <v>49</v>
      </c>
      <c r="AB106" t="s">
        <v>50</v>
      </c>
      <c r="AC106" s="2">
        <v>463498.6</v>
      </c>
      <c r="AD106" t="s">
        <v>702</v>
      </c>
      <c r="AE106" t="s">
        <v>52</v>
      </c>
    </row>
    <row r="107" spans="1:31" x14ac:dyDescent="0.25">
      <c r="A107" t="s">
        <v>703</v>
      </c>
      <c r="B107" t="s">
        <v>704</v>
      </c>
      <c r="C107" t="s">
        <v>704</v>
      </c>
      <c r="D107" t="s">
        <v>178</v>
      </c>
      <c r="E107" t="s">
        <v>179</v>
      </c>
      <c r="F107" t="s">
        <v>705</v>
      </c>
      <c r="G107" t="s">
        <v>178</v>
      </c>
      <c r="H107" t="s">
        <v>315</v>
      </c>
      <c r="I107" t="s">
        <v>706</v>
      </c>
      <c r="J107" s="2">
        <v>196353</v>
      </c>
      <c r="K107" s="2">
        <v>900</v>
      </c>
      <c r="L107" s="2">
        <v>18</v>
      </c>
      <c r="M107" s="2">
        <v>0</v>
      </c>
      <c r="N107" t="s">
        <v>314</v>
      </c>
      <c r="O107" t="s">
        <v>315</v>
      </c>
      <c r="P107" t="s">
        <v>316</v>
      </c>
      <c r="Q107" t="s">
        <v>317</v>
      </c>
      <c r="S107" t="s">
        <v>707</v>
      </c>
      <c r="U107" t="s">
        <v>45</v>
      </c>
      <c r="V107" t="s">
        <v>46</v>
      </c>
      <c r="W107" t="s">
        <v>314</v>
      </c>
      <c r="X107" t="s">
        <v>315</v>
      </c>
      <c r="Y107" t="s">
        <v>47</v>
      </c>
      <c r="Z107" t="s">
        <v>48</v>
      </c>
      <c r="AA107" t="s">
        <v>49</v>
      </c>
      <c r="AB107" t="s">
        <v>50</v>
      </c>
      <c r="AC107" s="2">
        <v>105645.19</v>
      </c>
      <c r="AD107" t="s">
        <v>708</v>
      </c>
      <c r="AE107" t="s">
        <v>52</v>
      </c>
    </row>
    <row r="108" spans="1:31" hidden="1" x14ac:dyDescent="0.25">
      <c r="A108" s="10" t="s">
        <v>709</v>
      </c>
      <c r="B108" s="10" t="s">
        <v>710</v>
      </c>
      <c r="C108" t="s">
        <v>710</v>
      </c>
      <c r="D108" t="s">
        <v>55</v>
      </c>
      <c r="E108" t="s">
        <v>56</v>
      </c>
      <c r="F108" t="s">
        <v>711</v>
      </c>
      <c r="H108" t="s">
        <v>315</v>
      </c>
      <c r="I108" t="s">
        <v>712</v>
      </c>
      <c r="J108" s="2">
        <v>1000</v>
      </c>
      <c r="K108" s="2">
        <v>4.33</v>
      </c>
      <c r="L108" s="2">
        <v>10</v>
      </c>
      <c r="M108" s="2">
        <v>0</v>
      </c>
      <c r="N108" t="s">
        <v>314</v>
      </c>
      <c r="O108" t="s">
        <v>315</v>
      </c>
      <c r="P108" t="s">
        <v>316</v>
      </c>
      <c r="Q108" t="s">
        <v>317</v>
      </c>
      <c r="S108" t="s">
        <v>713</v>
      </c>
      <c r="U108" t="s">
        <v>45</v>
      </c>
      <c r="V108" t="s">
        <v>46</v>
      </c>
      <c r="W108" t="s">
        <v>314</v>
      </c>
      <c r="X108" t="s">
        <v>315</v>
      </c>
      <c r="Y108" t="s">
        <v>317</v>
      </c>
      <c r="Z108" t="s">
        <v>349</v>
      </c>
      <c r="AA108" t="s">
        <v>49</v>
      </c>
      <c r="AB108" t="s">
        <v>142</v>
      </c>
      <c r="AC108" s="2">
        <v>1000</v>
      </c>
      <c r="AD108" t="s">
        <v>64</v>
      </c>
    </row>
    <row r="109" spans="1:31" hidden="1" x14ac:dyDescent="0.25">
      <c r="J109" s="2">
        <v>1000</v>
      </c>
      <c r="K109" s="2">
        <v>0</v>
      </c>
      <c r="L109" s="2">
        <v>1</v>
      </c>
      <c r="M109" s="2">
        <v>0</v>
      </c>
      <c r="S109" t="s">
        <v>716</v>
      </c>
      <c r="U109" t="s">
        <v>45</v>
      </c>
      <c r="V109" t="s">
        <v>46</v>
      </c>
      <c r="W109" t="s">
        <v>715</v>
      </c>
      <c r="X109" t="s">
        <v>714</v>
      </c>
      <c r="Y109" t="s">
        <v>137</v>
      </c>
      <c r="Z109" t="s">
        <v>717</v>
      </c>
      <c r="AA109" t="s">
        <v>49</v>
      </c>
      <c r="AC109" s="2"/>
    </row>
    <row r="110" spans="1:31" x14ac:dyDescent="0.25">
      <c r="A110" t="s">
        <v>718</v>
      </c>
      <c r="B110" t="s">
        <v>719</v>
      </c>
      <c r="C110" t="s">
        <v>719</v>
      </c>
      <c r="D110" t="s">
        <v>153</v>
      </c>
      <c r="E110" t="s">
        <v>272</v>
      </c>
      <c r="F110" t="s">
        <v>720</v>
      </c>
      <c r="G110" t="s">
        <v>344</v>
      </c>
      <c r="H110" t="s">
        <v>721</v>
      </c>
      <c r="J110" s="2">
        <v>2350395</v>
      </c>
      <c r="K110" s="2">
        <v>9500</v>
      </c>
      <c r="L110" s="2">
        <v>30</v>
      </c>
      <c r="M110" s="2">
        <v>0</v>
      </c>
      <c r="N110" t="s">
        <v>722</v>
      </c>
      <c r="O110" t="s">
        <v>721</v>
      </c>
      <c r="P110" t="s">
        <v>205</v>
      </c>
      <c r="Q110" t="s">
        <v>206</v>
      </c>
      <c r="S110" t="s">
        <v>723</v>
      </c>
      <c r="U110" t="s">
        <v>45</v>
      </c>
      <c r="V110" t="s">
        <v>46</v>
      </c>
      <c r="W110" t="s">
        <v>722</v>
      </c>
      <c r="X110" t="s">
        <v>721</v>
      </c>
      <c r="Y110" t="s">
        <v>161</v>
      </c>
      <c r="Z110" t="s">
        <v>162</v>
      </c>
      <c r="AA110" t="s">
        <v>49</v>
      </c>
      <c r="AB110" t="s">
        <v>50</v>
      </c>
      <c r="AC110" s="2">
        <v>1272967.75</v>
      </c>
      <c r="AD110" t="s">
        <v>724</v>
      </c>
      <c r="AE110" t="s">
        <v>52</v>
      </c>
    </row>
    <row r="111" spans="1:31" hidden="1" x14ac:dyDescent="0.25">
      <c r="I111" t="s">
        <v>727</v>
      </c>
      <c r="J111" s="2">
        <v>1000</v>
      </c>
      <c r="K111" s="2">
        <v>0</v>
      </c>
      <c r="L111" s="2">
        <v>1</v>
      </c>
      <c r="M111" s="2">
        <v>0</v>
      </c>
      <c r="S111" t="s">
        <v>728</v>
      </c>
      <c r="U111" t="s">
        <v>45</v>
      </c>
      <c r="V111" t="s">
        <v>46</v>
      </c>
      <c r="W111" t="s">
        <v>156</v>
      </c>
      <c r="X111" t="s">
        <v>157</v>
      </c>
      <c r="Y111" t="s">
        <v>161</v>
      </c>
      <c r="Z111" t="s">
        <v>162</v>
      </c>
      <c r="AA111" t="s">
        <v>49</v>
      </c>
      <c r="AC111" s="2"/>
    </row>
    <row r="112" spans="1:31" hidden="1" x14ac:dyDescent="0.25">
      <c r="A112" s="10" t="s">
        <v>729</v>
      </c>
      <c r="B112" s="10" t="s">
        <v>730</v>
      </c>
      <c r="C112" t="s">
        <v>730</v>
      </c>
      <c r="D112" t="s">
        <v>55</v>
      </c>
      <c r="E112" t="s">
        <v>56</v>
      </c>
      <c r="F112" t="s">
        <v>731</v>
      </c>
      <c r="H112" t="s">
        <v>41</v>
      </c>
      <c r="I112" t="s">
        <v>732</v>
      </c>
      <c r="J112" s="2">
        <v>1000</v>
      </c>
      <c r="K112" s="2">
        <v>4.33</v>
      </c>
      <c r="L112" s="2">
        <v>10</v>
      </c>
      <c r="M112" s="2">
        <v>0</v>
      </c>
      <c r="N112" t="s">
        <v>40</v>
      </c>
      <c r="O112" t="s">
        <v>41</v>
      </c>
      <c r="P112" t="s">
        <v>61</v>
      </c>
      <c r="Q112" t="s">
        <v>62</v>
      </c>
      <c r="S112" t="s">
        <v>733</v>
      </c>
      <c r="U112" t="s">
        <v>45</v>
      </c>
      <c r="V112" t="s">
        <v>46</v>
      </c>
      <c r="W112" t="s">
        <v>40</v>
      </c>
      <c r="X112" t="s">
        <v>41</v>
      </c>
      <c r="Y112" t="s">
        <v>47</v>
      </c>
      <c r="Z112" t="s">
        <v>48</v>
      </c>
      <c r="AA112" t="s">
        <v>49</v>
      </c>
      <c r="AB112" t="s">
        <v>142</v>
      </c>
      <c r="AC112" s="2">
        <v>1000</v>
      </c>
      <c r="AD112" t="s">
        <v>64</v>
      </c>
    </row>
    <row r="113" spans="1:31" hidden="1" x14ac:dyDescent="0.25">
      <c r="I113" t="s">
        <v>734</v>
      </c>
      <c r="J113" s="2">
        <v>3615</v>
      </c>
      <c r="K113" s="2">
        <v>0</v>
      </c>
      <c r="L113" s="2">
        <v>1</v>
      </c>
      <c r="M113" s="2">
        <v>0</v>
      </c>
      <c r="S113" t="s">
        <v>735</v>
      </c>
      <c r="U113" t="s">
        <v>45</v>
      </c>
      <c r="V113" t="s">
        <v>46</v>
      </c>
      <c r="W113" t="s">
        <v>445</v>
      </c>
      <c r="X113" t="s">
        <v>446</v>
      </c>
      <c r="Y113" t="s">
        <v>72</v>
      </c>
      <c r="Z113" t="s">
        <v>68</v>
      </c>
      <c r="AA113" t="s">
        <v>49</v>
      </c>
      <c r="AC113" s="2"/>
    </row>
    <row r="114" spans="1:31" x14ac:dyDescent="0.25">
      <c r="A114" t="s">
        <v>736</v>
      </c>
      <c r="B114" t="s">
        <v>737</v>
      </c>
      <c r="C114" t="s">
        <v>737</v>
      </c>
      <c r="D114" t="s">
        <v>344</v>
      </c>
      <c r="E114" t="s">
        <v>167</v>
      </c>
      <c r="F114" t="s">
        <v>738</v>
      </c>
      <c r="H114" t="s">
        <v>116</v>
      </c>
      <c r="I114" t="s">
        <v>739</v>
      </c>
      <c r="J114" s="2">
        <v>1090850</v>
      </c>
      <c r="K114" s="2">
        <v>5000</v>
      </c>
      <c r="L114" s="2">
        <v>21</v>
      </c>
      <c r="M114" s="2">
        <v>0</v>
      </c>
      <c r="N114" t="s">
        <v>118</v>
      </c>
      <c r="O114" t="s">
        <v>119</v>
      </c>
      <c r="P114" t="s">
        <v>120</v>
      </c>
      <c r="Q114" t="s">
        <v>121</v>
      </c>
      <c r="S114" t="s">
        <v>740</v>
      </c>
      <c r="U114" t="s">
        <v>45</v>
      </c>
      <c r="V114" t="s">
        <v>46</v>
      </c>
      <c r="W114" t="s">
        <v>118</v>
      </c>
      <c r="X114" t="s">
        <v>119</v>
      </c>
      <c r="Y114" t="s">
        <v>121</v>
      </c>
      <c r="Z114" t="s">
        <v>94</v>
      </c>
      <c r="AA114" t="s">
        <v>49</v>
      </c>
      <c r="AB114" t="s">
        <v>50</v>
      </c>
      <c r="AC114" s="2">
        <v>1030228.15</v>
      </c>
      <c r="AD114" t="s">
        <v>741</v>
      </c>
      <c r="AE114" t="s">
        <v>115</v>
      </c>
    </row>
    <row r="115" spans="1:31" x14ac:dyDescent="0.25">
      <c r="A115" t="s">
        <v>742</v>
      </c>
      <c r="B115" t="s">
        <v>743</v>
      </c>
      <c r="C115" t="s">
        <v>743</v>
      </c>
      <c r="D115" t="s">
        <v>125</v>
      </c>
      <c r="E115" t="s">
        <v>126</v>
      </c>
      <c r="F115" t="s">
        <v>744</v>
      </c>
      <c r="G115" t="s">
        <v>35</v>
      </c>
      <c r="H115" t="s">
        <v>597</v>
      </c>
      <c r="I115" t="s">
        <v>745</v>
      </c>
      <c r="J115" s="2">
        <v>479974</v>
      </c>
      <c r="K115" s="2">
        <v>2200</v>
      </c>
      <c r="L115" s="2">
        <v>21</v>
      </c>
      <c r="M115" s="2">
        <v>0</v>
      </c>
      <c r="N115" t="s">
        <v>596</v>
      </c>
      <c r="O115" t="s">
        <v>597</v>
      </c>
      <c r="P115" t="s">
        <v>91</v>
      </c>
      <c r="Q115" t="s">
        <v>92</v>
      </c>
      <c r="S115" t="s">
        <v>746</v>
      </c>
      <c r="U115" t="s">
        <v>45</v>
      </c>
      <c r="V115" t="s">
        <v>46</v>
      </c>
      <c r="W115" t="s">
        <v>596</v>
      </c>
      <c r="X115" t="s">
        <v>597</v>
      </c>
      <c r="Y115" t="s">
        <v>92</v>
      </c>
      <c r="Z115" t="s">
        <v>94</v>
      </c>
      <c r="AA115" t="s">
        <v>49</v>
      </c>
      <c r="AB115" t="s">
        <v>50</v>
      </c>
      <c r="AC115" s="2">
        <v>48210.080000000002</v>
      </c>
      <c r="AD115" t="s">
        <v>747</v>
      </c>
      <c r="AE115" t="s">
        <v>52</v>
      </c>
    </row>
    <row r="116" spans="1:31" hidden="1" x14ac:dyDescent="0.25">
      <c r="A116" s="10" t="s">
        <v>748</v>
      </c>
      <c r="B116" s="10" t="s">
        <v>749</v>
      </c>
      <c r="C116" t="s">
        <v>749</v>
      </c>
      <c r="D116" t="s">
        <v>55</v>
      </c>
      <c r="E116" t="s">
        <v>56</v>
      </c>
      <c r="F116" t="s">
        <v>750</v>
      </c>
      <c r="H116" t="s">
        <v>751</v>
      </c>
      <c r="I116" t="s">
        <v>752</v>
      </c>
      <c r="J116" s="2">
        <v>10995</v>
      </c>
      <c r="K116" s="2">
        <v>47.59</v>
      </c>
      <c r="L116" s="2">
        <v>15</v>
      </c>
      <c r="M116" s="2">
        <v>0</v>
      </c>
      <c r="N116" t="s">
        <v>753</v>
      </c>
      <c r="O116" t="s">
        <v>754</v>
      </c>
      <c r="P116" t="s">
        <v>61</v>
      </c>
      <c r="Q116" t="s">
        <v>62</v>
      </c>
      <c r="S116" t="s">
        <v>755</v>
      </c>
      <c r="U116" t="s">
        <v>45</v>
      </c>
      <c r="V116" t="s">
        <v>46</v>
      </c>
      <c r="W116" t="s">
        <v>753</v>
      </c>
      <c r="X116" t="s">
        <v>754</v>
      </c>
      <c r="Y116" t="s">
        <v>47</v>
      </c>
      <c r="Z116" t="s">
        <v>48</v>
      </c>
      <c r="AA116" t="s">
        <v>49</v>
      </c>
      <c r="AB116" t="s">
        <v>142</v>
      </c>
      <c r="AC116" s="2">
        <v>10995</v>
      </c>
      <c r="AD116" t="s">
        <v>64</v>
      </c>
    </row>
    <row r="117" spans="1:31" x14ac:dyDescent="0.25">
      <c r="A117" t="s">
        <v>756</v>
      </c>
      <c r="B117" t="s">
        <v>757</v>
      </c>
      <c r="C117" t="s">
        <v>757</v>
      </c>
      <c r="D117" t="s">
        <v>35</v>
      </c>
      <c r="E117" t="s">
        <v>36</v>
      </c>
      <c r="F117" t="s">
        <v>758</v>
      </c>
      <c r="G117" t="s">
        <v>153</v>
      </c>
      <c r="H117" t="s">
        <v>41</v>
      </c>
      <c r="I117" t="s">
        <v>759</v>
      </c>
      <c r="J117" s="2">
        <v>436340</v>
      </c>
      <c r="K117" s="2">
        <v>2000</v>
      </c>
      <c r="L117" s="2">
        <v>21</v>
      </c>
      <c r="M117" s="2">
        <v>0</v>
      </c>
      <c r="N117" t="s">
        <v>40</v>
      </c>
      <c r="O117" t="s">
        <v>41</v>
      </c>
      <c r="P117" t="s">
        <v>61</v>
      </c>
      <c r="Q117" t="s">
        <v>62</v>
      </c>
      <c r="S117" t="s">
        <v>760</v>
      </c>
      <c r="U117" t="s">
        <v>45</v>
      </c>
      <c r="V117" t="s">
        <v>46</v>
      </c>
      <c r="W117" t="s">
        <v>40</v>
      </c>
      <c r="X117" t="s">
        <v>41</v>
      </c>
      <c r="Y117" t="s">
        <v>47</v>
      </c>
      <c r="Z117" t="s">
        <v>48</v>
      </c>
      <c r="AA117" t="s">
        <v>49</v>
      </c>
      <c r="AB117" t="s">
        <v>50</v>
      </c>
      <c r="AC117" s="2">
        <v>108227.04</v>
      </c>
      <c r="AD117" t="s">
        <v>761</v>
      </c>
      <c r="AE117" t="s">
        <v>115</v>
      </c>
    </row>
    <row r="118" spans="1:31" x14ac:dyDescent="0.25">
      <c r="A118" t="s">
        <v>762</v>
      </c>
      <c r="B118" t="s">
        <v>763</v>
      </c>
      <c r="C118" t="s">
        <v>763</v>
      </c>
      <c r="D118" t="s">
        <v>764</v>
      </c>
      <c r="E118" t="s">
        <v>77</v>
      </c>
      <c r="F118" t="s">
        <v>765</v>
      </c>
      <c r="H118" t="s">
        <v>277</v>
      </c>
      <c r="I118" t="s">
        <v>766</v>
      </c>
      <c r="J118" s="2">
        <v>218170</v>
      </c>
      <c r="K118" s="2">
        <v>1000</v>
      </c>
      <c r="L118" s="2">
        <v>30</v>
      </c>
      <c r="M118" s="2">
        <v>0</v>
      </c>
      <c r="N118" t="s">
        <v>276</v>
      </c>
      <c r="O118" t="s">
        <v>277</v>
      </c>
      <c r="P118" t="s">
        <v>103</v>
      </c>
      <c r="Q118" t="s">
        <v>104</v>
      </c>
      <c r="S118" t="s">
        <v>767</v>
      </c>
      <c r="U118" t="s">
        <v>45</v>
      </c>
      <c r="V118" t="s">
        <v>46</v>
      </c>
      <c r="W118" t="s">
        <v>276</v>
      </c>
      <c r="X118" t="s">
        <v>277</v>
      </c>
      <c r="Y118" t="s">
        <v>279</v>
      </c>
      <c r="Z118" t="s">
        <v>280</v>
      </c>
      <c r="AA118" t="s">
        <v>49</v>
      </c>
      <c r="AB118" t="s">
        <v>50</v>
      </c>
      <c r="AC118" s="2">
        <v>218170</v>
      </c>
      <c r="AD118" t="s">
        <v>64</v>
      </c>
    </row>
    <row r="119" spans="1:31" hidden="1" x14ac:dyDescent="0.25">
      <c r="I119" t="s">
        <v>768</v>
      </c>
      <c r="J119" s="2">
        <v>1000</v>
      </c>
      <c r="K119" s="2">
        <v>0</v>
      </c>
      <c r="L119" s="2">
        <v>1</v>
      </c>
      <c r="M119" s="2">
        <v>0</v>
      </c>
      <c r="S119" t="s">
        <v>769</v>
      </c>
      <c r="U119" t="s">
        <v>45</v>
      </c>
      <c r="V119" t="s">
        <v>46</v>
      </c>
      <c r="W119" t="s">
        <v>403</v>
      </c>
      <c r="X119" t="s">
        <v>404</v>
      </c>
      <c r="Y119" t="s">
        <v>161</v>
      </c>
      <c r="Z119" t="s">
        <v>162</v>
      </c>
      <c r="AA119" t="s">
        <v>49</v>
      </c>
      <c r="AC119" s="2"/>
    </row>
    <row r="120" spans="1:31" x14ac:dyDescent="0.25">
      <c r="A120" t="s">
        <v>770</v>
      </c>
      <c r="B120" t="s">
        <v>771</v>
      </c>
      <c r="C120" t="s">
        <v>771</v>
      </c>
      <c r="D120" t="s">
        <v>478</v>
      </c>
      <c r="E120" t="s">
        <v>190</v>
      </c>
      <c r="F120" t="s">
        <v>772</v>
      </c>
      <c r="G120" t="s">
        <v>773</v>
      </c>
      <c r="H120" t="s">
        <v>47</v>
      </c>
      <c r="I120" t="s">
        <v>774</v>
      </c>
      <c r="J120" s="2">
        <v>109085</v>
      </c>
      <c r="K120" s="2">
        <v>500</v>
      </c>
      <c r="L120" s="2">
        <v>15</v>
      </c>
      <c r="M120" s="2">
        <v>0</v>
      </c>
      <c r="N120" t="s">
        <v>40</v>
      </c>
      <c r="O120" t="s">
        <v>41</v>
      </c>
      <c r="P120" t="s">
        <v>61</v>
      </c>
      <c r="Q120" t="s">
        <v>62</v>
      </c>
      <c r="S120" t="s">
        <v>775</v>
      </c>
      <c r="U120" t="s">
        <v>45</v>
      </c>
      <c r="V120" t="s">
        <v>46</v>
      </c>
      <c r="W120" t="s">
        <v>40</v>
      </c>
      <c r="X120" t="s">
        <v>41</v>
      </c>
      <c r="Y120" t="s">
        <v>47</v>
      </c>
      <c r="Z120" t="s">
        <v>48</v>
      </c>
      <c r="AA120" t="s">
        <v>49</v>
      </c>
      <c r="AB120" t="s">
        <v>50</v>
      </c>
      <c r="AC120" s="2">
        <v>109085</v>
      </c>
      <c r="AD120" t="s">
        <v>64</v>
      </c>
    </row>
    <row r="121" spans="1:31" x14ac:dyDescent="0.25">
      <c r="A121" t="s">
        <v>776</v>
      </c>
      <c r="B121" t="s">
        <v>777</v>
      </c>
      <c r="C121" t="s">
        <v>777</v>
      </c>
      <c r="D121" t="s">
        <v>299</v>
      </c>
      <c r="E121" t="s">
        <v>167</v>
      </c>
      <c r="F121" t="s">
        <v>778</v>
      </c>
      <c r="G121" t="s">
        <v>299</v>
      </c>
      <c r="H121" t="s">
        <v>779</v>
      </c>
      <c r="I121" t="s">
        <v>780</v>
      </c>
      <c r="J121" s="2">
        <v>69814</v>
      </c>
      <c r="K121" s="2">
        <v>320</v>
      </c>
      <c r="L121" s="2">
        <v>1</v>
      </c>
      <c r="M121" s="2">
        <v>0</v>
      </c>
      <c r="N121" t="s">
        <v>267</v>
      </c>
      <c r="O121" t="s">
        <v>268</v>
      </c>
      <c r="P121" t="s">
        <v>103</v>
      </c>
      <c r="Q121" t="s">
        <v>104</v>
      </c>
      <c r="S121" t="s">
        <v>781</v>
      </c>
      <c r="U121" t="s">
        <v>45</v>
      </c>
      <c r="V121" t="s">
        <v>46</v>
      </c>
      <c r="W121" t="s">
        <v>267</v>
      </c>
      <c r="X121" t="s">
        <v>268</v>
      </c>
      <c r="Y121" t="s">
        <v>106</v>
      </c>
      <c r="Z121" t="s">
        <v>107</v>
      </c>
      <c r="AA121" t="s">
        <v>49</v>
      </c>
      <c r="AB121" t="s">
        <v>50</v>
      </c>
      <c r="AC121" s="2">
        <v>69814</v>
      </c>
      <c r="AD121" t="s">
        <v>64</v>
      </c>
    </row>
    <row r="122" spans="1:31" hidden="1" x14ac:dyDescent="0.25">
      <c r="A122" s="10" t="s">
        <v>782</v>
      </c>
      <c r="B122" s="10" t="s">
        <v>783</v>
      </c>
      <c r="C122" t="s">
        <v>783</v>
      </c>
      <c r="D122" t="s">
        <v>55</v>
      </c>
      <c r="E122" t="s">
        <v>56</v>
      </c>
      <c r="F122" t="s">
        <v>784</v>
      </c>
      <c r="H122" t="s">
        <v>41</v>
      </c>
      <c r="I122" t="s">
        <v>785</v>
      </c>
      <c r="J122" s="2">
        <v>1000</v>
      </c>
      <c r="K122" s="2">
        <v>0</v>
      </c>
      <c r="L122" s="2">
        <v>10</v>
      </c>
      <c r="M122" s="2">
        <v>0</v>
      </c>
      <c r="N122" t="s">
        <v>40</v>
      </c>
      <c r="O122" t="s">
        <v>41</v>
      </c>
      <c r="P122" t="s">
        <v>61</v>
      </c>
      <c r="Q122" t="s">
        <v>62</v>
      </c>
      <c r="S122" t="s">
        <v>786</v>
      </c>
      <c r="U122" t="s">
        <v>45</v>
      </c>
      <c r="V122" t="s">
        <v>46</v>
      </c>
      <c r="W122" t="s">
        <v>40</v>
      </c>
      <c r="X122" t="s">
        <v>41</v>
      </c>
      <c r="Y122" t="s">
        <v>47</v>
      </c>
      <c r="Z122" t="s">
        <v>48</v>
      </c>
      <c r="AA122" t="s">
        <v>49</v>
      </c>
      <c r="AB122" t="s">
        <v>142</v>
      </c>
      <c r="AC122" s="2">
        <v>1000</v>
      </c>
      <c r="AD122" t="s">
        <v>64</v>
      </c>
    </row>
    <row r="123" spans="1:31" hidden="1" x14ac:dyDescent="0.25">
      <c r="I123" t="s">
        <v>787</v>
      </c>
      <c r="J123" s="2">
        <v>1000</v>
      </c>
      <c r="K123" s="2">
        <v>0</v>
      </c>
      <c r="L123" s="2">
        <v>21</v>
      </c>
      <c r="M123" s="2">
        <v>0</v>
      </c>
      <c r="S123" t="s">
        <v>788</v>
      </c>
      <c r="U123" t="s">
        <v>45</v>
      </c>
      <c r="V123" t="s">
        <v>46</v>
      </c>
      <c r="W123" t="s">
        <v>118</v>
      </c>
      <c r="X123" t="s">
        <v>119</v>
      </c>
      <c r="Y123" t="s">
        <v>121</v>
      </c>
      <c r="Z123" t="s">
        <v>94</v>
      </c>
      <c r="AA123" t="s">
        <v>49</v>
      </c>
      <c r="AC123" s="2"/>
    </row>
    <row r="124" spans="1:31" x14ac:dyDescent="0.25">
      <c r="A124" t="s">
        <v>789</v>
      </c>
      <c r="B124" t="s">
        <v>790</v>
      </c>
      <c r="C124" t="s">
        <v>790</v>
      </c>
      <c r="D124" t="s">
        <v>299</v>
      </c>
      <c r="E124" t="s">
        <v>167</v>
      </c>
      <c r="F124" t="s">
        <v>791</v>
      </c>
      <c r="G124" t="s">
        <v>792</v>
      </c>
      <c r="H124" t="s">
        <v>255</v>
      </c>
      <c r="I124" t="s">
        <v>793</v>
      </c>
      <c r="J124" s="2">
        <v>43634</v>
      </c>
      <c r="K124" s="2">
        <v>200</v>
      </c>
      <c r="L124" s="2">
        <v>21</v>
      </c>
      <c r="M124" s="2">
        <v>0</v>
      </c>
      <c r="N124" t="s">
        <v>254</v>
      </c>
      <c r="O124" t="s">
        <v>255</v>
      </c>
      <c r="P124" t="s">
        <v>256</v>
      </c>
      <c r="Q124" t="s">
        <v>255</v>
      </c>
      <c r="S124" t="s">
        <v>794</v>
      </c>
      <c r="U124" t="s">
        <v>45</v>
      </c>
      <c r="V124" t="s">
        <v>46</v>
      </c>
      <c r="W124" t="s">
        <v>254</v>
      </c>
      <c r="X124" t="s">
        <v>255</v>
      </c>
      <c r="Y124" t="s">
        <v>258</v>
      </c>
      <c r="Z124" t="s">
        <v>259</v>
      </c>
      <c r="AA124" t="s">
        <v>49</v>
      </c>
      <c r="AB124" t="s">
        <v>50</v>
      </c>
      <c r="AC124" s="2">
        <v>37700.400000000001</v>
      </c>
      <c r="AD124" t="s">
        <v>795</v>
      </c>
      <c r="AE124" t="s">
        <v>52</v>
      </c>
    </row>
    <row r="125" spans="1:31" hidden="1" x14ac:dyDescent="0.25">
      <c r="A125" s="10" t="s">
        <v>796</v>
      </c>
      <c r="B125" s="10" t="s">
        <v>797</v>
      </c>
      <c r="C125" t="s">
        <v>797</v>
      </c>
      <c r="D125" t="s">
        <v>55</v>
      </c>
      <c r="E125" t="s">
        <v>56</v>
      </c>
      <c r="F125" t="s">
        <v>798</v>
      </c>
      <c r="H125" t="s">
        <v>41</v>
      </c>
      <c r="I125" t="s">
        <v>799</v>
      </c>
      <c r="J125" s="2">
        <v>1000</v>
      </c>
      <c r="K125" s="2">
        <v>0</v>
      </c>
      <c r="L125" s="2">
        <v>15</v>
      </c>
      <c r="M125" s="2">
        <v>0</v>
      </c>
      <c r="N125" t="s">
        <v>40</v>
      </c>
      <c r="O125" t="s">
        <v>41</v>
      </c>
      <c r="P125" t="s">
        <v>61</v>
      </c>
      <c r="Q125" t="s">
        <v>62</v>
      </c>
      <c r="S125" t="s">
        <v>800</v>
      </c>
      <c r="U125" t="s">
        <v>45</v>
      </c>
      <c r="V125" t="s">
        <v>46</v>
      </c>
      <c r="W125" t="s">
        <v>40</v>
      </c>
      <c r="X125" t="s">
        <v>41</v>
      </c>
      <c r="Y125" t="s">
        <v>47</v>
      </c>
      <c r="Z125" t="s">
        <v>48</v>
      </c>
      <c r="AA125" t="s">
        <v>49</v>
      </c>
      <c r="AB125" t="s">
        <v>142</v>
      </c>
      <c r="AC125" s="2">
        <v>1000</v>
      </c>
      <c r="AD125" t="s">
        <v>64</v>
      </c>
    </row>
    <row r="126" spans="1:31" hidden="1" x14ac:dyDescent="0.25">
      <c r="A126" s="10" t="s">
        <v>801</v>
      </c>
      <c r="B126" s="10" t="s">
        <v>802</v>
      </c>
      <c r="C126" t="s">
        <v>803</v>
      </c>
      <c r="D126" t="s">
        <v>55</v>
      </c>
      <c r="E126" t="s">
        <v>56</v>
      </c>
      <c r="F126" t="s">
        <v>804</v>
      </c>
      <c r="H126" t="s">
        <v>41</v>
      </c>
      <c r="I126" t="s">
        <v>805</v>
      </c>
      <c r="J126" s="2">
        <v>1000</v>
      </c>
      <c r="K126" s="2">
        <v>0</v>
      </c>
      <c r="L126" s="2">
        <v>15</v>
      </c>
      <c r="M126" s="2">
        <v>0</v>
      </c>
      <c r="N126" t="s">
        <v>40</v>
      </c>
      <c r="O126" t="s">
        <v>41</v>
      </c>
      <c r="P126" t="s">
        <v>61</v>
      </c>
      <c r="Q126" t="s">
        <v>62</v>
      </c>
      <c r="S126" t="s">
        <v>806</v>
      </c>
      <c r="U126" t="s">
        <v>45</v>
      </c>
      <c r="V126" t="s">
        <v>46</v>
      </c>
      <c r="W126" t="s">
        <v>40</v>
      </c>
      <c r="X126" t="s">
        <v>41</v>
      </c>
      <c r="Y126" t="s">
        <v>47</v>
      </c>
      <c r="Z126" t="s">
        <v>48</v>
      </c>
      <c r="AA126" t="s">
        <v>49</v>
      </c>
      <c r="AB126" t="s">
        <v>142</v>
      </c>
      <c r="AC126" s="2">
        <v>1000</v>
      </c>
      <c r="AD126" t="s">
        <v>64</v>
      </c>
    </row>
    <row r="127" spans="1:31" hidden="1" x14ac:dyDescent="0.25">
      <c r="I127" t="s">
        <v>807</v>
      </c>
      <c r="J127" s="2">
        <v>21817</v>
      </c>
      <c r="K127" s="2">
        <v>100</v>
      </c>
      <c r="L127" s="2">
        <v>1</v>
      </c>
      <c r="M127" s="2">
        <v>0</v>
      </c>
      <c r="S127" t="s">
        <v>808</v>
      </c>
      <c r="U127" t="s">
        <v>45</v>
      </c>
      <c r="V127" t="s">
        <v>46</v>
      </c>
      <c r="W127" t="s">
        <v>596</v>
      </c>
      <c r="X127" t="s">
        <v>597</v>
      </c>
      <c r="Y127" t="s">
        <v>92</v>
      </c>
      <c r="Z127" t="s">
        <v>94</v>
      </c>
      <c r="AA127" t="s">
        <v>49</v>
      </c>
      <c r="AC127" s="2"/>
    </row>
    <row r="128" spans="1:31" x14ac:dyDescent="0.25">
      <c r="A128" t="s">
        <v>809</v>
      </c>
      <c r="B128" t="s">
        <v>810</v>
      </c>
      <c r="C128" t="s">
        <v>810</v>
      </c>
      <c r="D128" t="s">
        <v>35</v>
      </c>
      <c r="E128" t="s">
        <v>36</v>
      </c>
      <c r="F128" t="s">
        <v>811</v>
      </c>
      <c r="G128" t="s">
        <v>35</v>
      </c>
      <c r="H128" t="s">
        <v>404</v>
      </c>
      <c r="I128" t="s">
        <v>812</v>
      </c>
      <c r="J128" s="2">
        <v>1090850</v>
      </c>
      <c r="K128" s="2">
        <v>5000</v>
      </c>
      <c r="L128" s="2">
        <v>30</v>
      </c>
      <c r="M128" s="2">
        <v>0</v>
      </c>
      <c r="N128" t="s">
        <v>403</v>
      </c>
      <c r="O128" t="s">
        <v>404</v>
      </c>
      <c r="P128" t="s">
        <v>205</v>
      </c>
      <c r="Q128" t="s">
        <v>206</v>
      </c>
      <c r="S128" t="s">
        <v>813</v>
      </c>
      <c r="U128" t="s">
        <v>45</v>
      </c>
      <c r="V128" t="s">
        <v>46</v>
      </c>
      <c r="W128" t="s">
        <v>403</v>
      </c>
      <c r="X128" t="s">
        <v>404</v>
      </c>
      <c r="Y128" t="s">
        <v>161</v>
      </c>
      <c r="Z128" t="s">
        <v>162</v>
      </c>
      <c r="AA128" t="s">
        <v>49</v>
      </c>
      <c r="AB128" t="s">
        <v>50</v>
      </c>
      <c r="AC128" s="2">
        <v>676683.1</v>
      </c>
      <c r="AD128" t="s">
        <v>814</v>
      </c>
      <c r="AE128" t="s">
        <v>52</v>
      </c>
    </row>
    <row r="129" spans="1:31" x14ac:dyDescent="0.25">
      <c r="A129" t="s">
        <v>815</v>
      </c>
      <c r="B129" t="s">
        <v>816</v>
      </c>
      <c r="C129" t="s">
        <v>816</v>
      </c>
      <c r="D129" t="s">
        <v>817</v>
      </c>
      <c r="E129" t="s">
        <v>224</v>
      </c>
      <c r="F129" t="s">
        <v>818</v>
      </c>
      <c r="G129" t="s">
        <v>819</v>
      </c>
      <c r="H129" t="s">
        <v>820</v>
      </c>
      <c r="I129" t="s">
        <v>821</v>
      </c>
      <c r="J129" s="2">
        <v>213719</v>
      </c>
      <c r="K129" s="2">
        <v>979.6</v>
      </c>
      <c r="L129" s="2">
        <v>15</v>
      </c>
      <c r="M129" s="2">
        <v>0</v>
      </c>
      <c r="N129" t="s">
        <v>822</v>
      </c>
      <c r="O129" t="s">
        <v>820</v>
      </c>
      <c r="P129" t="s">
        <v>91</v>
      </c>
      <c r="Q129" t="s">
        <v>92</v>
      </c>
      <c r="S129" t="s">
        <v>823</v>
      </c>
      <c r="U129" t="s">
        <v>45</v>
      </c>
      <c r="V129" t="s">
        <v>46</v>
      </c>
      <c r="W129" t="s">
        <v>822</v>
      </c>
      <c r="X129" t="s">
        <v>820</v>
      </c>
      <c r="Y129" t="s">
        <v>92</v>
      </c>
      <c r="Z129" t="s">
        <v>94</v>
      </c>
      <c r="AA129" t="s">
        <v>49</v>
      </c>
      <c r="AB129" t="s">
        <v>50</v>
      </c>
      <c r="AC129" s="2">
        <v>202378.03</v>
      </c>
      <c r="AD129" t="s">
        <v>824</v>
      </c>
    </row>
    <row r="130" spans="1:31" hidden="1" x14ac:dyDescent="0.25">
      <c r="J130" s="2">
        <v>1000</v>
      </c>
      <c r="K130" s="2">
        <v>0</v>
      </c>
      <c r="L130" s="2">
        <v>15</v>
      </c>
      <c r="M130" s="2">
        <v>0</v>
      </c>
      <c r="S130" t="s">
        <v>825</v>
      </c>
      <c r="U130" t="s">
        <v>45</v>
      </c>
      <c r="V130" t="s">
        <v>46</v>
      </c>
      <c r="W130" t="s">
        <v>826</v>
      </c>
      <c r="X130" t="s">
        <v>827</v>
      </c>
      <c r="Y130" t="s">
        <v>106</v>
      </c>
      <c r="Z130" t="s">
        <v>107</v>
      </c>
      <c r="AA130" t="s">
        <v>49</v>
      </c>
      <c r="AC130" s="2"/>
    </row>
    <row r="131" spans="1:31" hidden="1" x14ac:dyDescent="0.25">
      <c r="I131" t="s">
        <v>829</v>
      </c>
      <c r="J131" s="2">
        <v>1000</v>
      </c>
      <c r="K131" s="2">
        <v>0</v>
      </c>
      <c r="L131" s="2">
        <v>1</v>
      </c>
      <c r="M131" s="2">
        <v>0</v>
      </c>
      <c r="S131" t="s">
        <v>830</v>
      </c>
      <c r="U131" t="s">
        <v>45</v>
      </c>
      <c r="V131" t="s">
        <v>46</v>
      </c>
      <c r="W131" t="s">
        <v>254</v>
      </c>
      <c r="X131" t="s">
        <v>255</v>
      </c>
      <c r="Y131" t="s">
        <v>258</v>
      </c>
      <c r="Z131" t="s">
        <v>259</v>
      </c>
      <c r="AA131" t="s">
        <v>49</v>
      </c>
      <c r="AC131" s="2"/>
    </row>
    <row r="132" spans="1:31" hidden="1" x14ac:dyDescent="0.25">
      <c r="I132" t="s">
        <v>831</v>
      </c>
      <c r="J132" s="2">
        <v>1000</v>
      </c>
      <c r="K132" s="2">
        <v>0</v>
      </c>
      <c r="L132" s="2">
        <v>21</v>
      </c>
      <c r="M132" s="2">
        <v>0</v>
      </c>
      <c r="S132" t="s">
        <v>832</v>
      </c>
      <c r="U132" t="s">
        <v>45</v>
      </c>
      <c r="V132" t="s">
        <v>46</v>
      </c>
      <c r="W132" t="s">
        <v>254</v>
      </c>
      <c r="X132" t="s">
        <v>255</v>
      </c>
      <c r="Y132" t="s">
        <v>258</v>
      </c>
      <c r="Z132" t="s">
        <v>259</v>
      </c>
      <c r="AA132" t="s">
        <v>49</v>
      </c>
      <c r="AC132" s="2"/>
    </row>
    <row r="133" spans="1:31" hidden="1" x14ac:dyDescent="0.25">
      <c r="I133" t="s">
        <v>833</v>
      </c>
      <c r="J133" s="2">
        <v>1000</v>
      </c>
      <c r="K133" s="2">
        <v>0</v>
      </c>
      <c r="L133" s="2">
        <v>15</v>
      </c>
      <c r="M133" s="2">
        <v>0</v>
      </c>
      <c r="S133" t="s">
        <v>834</v>
      </c>
      <c r="U133" t="s">
        <v>45</v>
      </c>
      <c r="V133" t="s">
        <v>46</v>
      </c>
      <c r="W133" t="s">
        <v>40</v>
      </c>
      <c r="X133" t="s">
        <v>41</v>
      </c>
      <c r="Y133" t="s">
        <v>47</v>
      </c>
      <c r="Z133" t="s">
        <v>48</v>
      </c>
      <c r="AA133" t="s">
        <v>49</v>
      </c>
      <c r="AC133" s="2"/>
    </row>
    <row r="134" spans="1:31" hidden="1" x14ac:dyDescent="0.25">
      <c r="A134" s="10" t="s">
        <v>835</v>
      </c>
      <c r="B134" s="10" t="s">
        <v>836</v>
      </c>
      <c r="C134" t="s">
        <v>836</v>
      </c>
      <c r="D134" t="s">
        <v>55</v>
      </c>
      <c r="E134" t="s">
        <v>56</v>
      </c>
      <c r="F134" t="s">
        <v>837</v>
      </c>
      <c r="H134" t="s">
        <v>41</v>
      </c>
      <c r="I134" t="s">
        <v>838</v>
      </c>
      <c r="J134" s="2">
        <v>1000</v>
      </c>
      <c r="K134" s="2">
        <v>0</v>
      </c>
      <c r="L134" s="2">
        <v>15</v>
      </c>
      <c r="M134" s="2">
        <v>0</v>
      </c>
      <c r="N134" t="s">
        <v>40</v>
      </c>
      <c r="O134" t="s">
        <v>41</v>
      </c>
      <c r="P134" t="s">
        <v>61</v>
      </c>
      <c r="Q134" t="s">
        <v>62</v>
      </c>
      <c r="S134" t="s">
        <v>839</v>
      </c>
      <c r="U134" t="s">
        <v>45</v>
      </c>
      <c r="V134" t="s">
        <v>46</v>
      </c>
      <c r="W134" t="s">
        <v>40</v>
      </c>
      <c r="X134" t="s">
        <v>41</v>
      </c>
      <c r="Y134" t="s">
        <v>47</v>
      </c>
      <c r="Z134" t="s">
        <v>48</v>
      </c>
      <c r="AA134" t="s">
        <v>49</v>
      </c>
      <c r="AB134" t="s">
        <v>142</v>
      </c>
      <c r="AC134" s="2">
        <v>1000</v>
      </c>
      <c r="AD134" t="s">
        <v>64</v>
      </c>
    </row>
    <row r="135" spans="1:31" x14ac:dyDescent="0.25">
      <c r="A135" t="s">
        <v>840</v>
      </c>
      <c r="B135" t="s">
        <v>841</v>
      </c>
      <c r="C135" t="s">
        <v>841</v>
      </c>
      <c r="D135" t="s">
        <v>166</v>
      </c>
      <c r="E135" t="s">
        <v>167</v>
      </c>
      <c r="F135" t="s">
        <v>842</v>
      </c>
      <c r="H135" t="s">
        <v>173</v>
      </c>
      <c r="I135" t="s">
        <v>843</v>
      </c>
      <c r="J135" s="2">
        <v>65451</v>
      </c>
      <c r="K135" s="2">
        <v>300</v>
      </c>
      <c r="L135" s="2">
        <v>15</v>
      </c>
      <c r="M135" s="2">
        <v>0</v>
      </c>
      <c r="N135" t="s">
        <v>172</v>
      </c>
      <c r="O135" t="s">
        <v>173</v>
      </c>
      <c r="P135" t="s">
        <v>158</v>
      </c>
      <c r="Q135" t="s">
        <v>159</v>
      </c>
      <c r="S135" t="s">
        <v>844</v>
      </c>
      <c r="U135" t="s">
        <v>45</v>
      </c>
      <c r="V135" t="s">
        <v>46</v>
      </c>
      <c r="W135" t="s">
        <v>172</v>
      </c>
      <c r="X135" t="s">
        <v>173</v>
      </c>
      <c r="Y135" t="s">
        <v>161</v>
      </c>
      <c r="Z135" t="s">
        <v>162</v>
      </c>
      <c r="AA135" t="s">
        <v>49</v>
      </c>
      <c r="AB135" t="s">
        <v>50</v>
      </c>
      <c r="AC135" s="2">
        <v>65451</v>
      </c>
      <c r="AD135" t="s">
        <v>64</v>
      </c>
    </row>
    <row r="136" spans="1:31" x14ac:dyDescent="0.25">
      <c r="A136" t="s">
        <v>845</v>
      </c>
      <c r="B136" t="s">
        <v>846</v>
      </c>
      <c r="C136" t="s">
        <v>846</v>
      </c>
      <c r="D136" t="s">
        <v>847</v>
      </c>
      <c r="E136" t="s">
        <v>848</v>
      </c>
      <c r="F136" t="s">
        <v>849</v>
      </c>
      <c r="I136" t="s">
        <v>850</v>
      </c>
      <c r="J136" s="2">
        <v>21817</v>
      </c>
      <c r="K136" s="2">
        <v>100</v>
      </c>
      <c r="L136" s="2">
        <v>15</v>
      </c>
      <c r="M136" s="2">
        <v>0</v>
      </c>
      <c r="N136" t="s">
        <v>40</v>
      </c>
      <c r="O136" t="s">
        <v>41</v>
      </c>
      <c r="P136" t="s">
        <v>42</v>
      </c>
      <c r="Q136" t="s">
        <v>43</v>
      </c>
      <c r="U136" t="s">
        <v>45</v>
      </c>
      <c r="V136" t="s">
        <v>46</v>
      </c>
      <c r="W136" t="s">
        <v>40</v>
      </c>
      <c r="X136" t="s">
        <v>41</v>
      </c>
      <c r="Y136" t="s">
        <v>47</v>
      </c>
      <c r="Z136" t="s">
        <v>48</v>
      </c>
      <c r="AA136" t="s">
        <v>141</v>
      </c>
      <c r="AB136" t="s">
        <v>50</v>
      </c>
      <c r="AC136" s="2">
        <v>21811.97</v>
      </c>
      <c r="AD136" t="s">
        <v>851</v>
      </c>
    </row>
    <row r="137" spans="1:31" hidden="1" x14ac:dyDescent="0.25">
      <c r="I137" t="s">
        <v>852</v>
      </c>
      <c r="J137" s="2">
        <v>1000</v>
      </c>
      <c r="K137" s="2">
        <v>0</v>
      </c>
      <c r="L137" s="2">
        <v>1</v>
      </c>
      <c r="M137" s="2">
        <v>0</v>
      </c>
      <c r="S137" t="s">
        <v>853</v>
      </c>
      <c r="U137" t="s">
        <v>45</v>
      </c>
      <c r="V137" t="s">
        <v>46</v>
      </c>
      <c r="W137" t="s">
        <v>403</v>
      </c>
      <c r="X137" t="s">
        <v>404</v>
      </c>
      <c r="Y137" t="s">
        <v>161</v>
      </c>
      <c r="Z137" t="s">
        <v>162</v>
      </c>
      <c r="AA137" t="s">
        <v>49</v>
      </c>
      <c r="AC137" s="2"/>
    </row>
    <row r="138" spans="1:31" x14ac:dyDescent="0.25">
      <c r="A138" t="s">
        <v>854</v>
      </c>
      <c r="B138" t="s">
        <v>855</v>
      </c>
      <c r="C138" t="s">
        <v>856</v>
      </c>
      <c r="D138" t="s">
        <v>153</v>
      </c>
      <c r="E138" t="s">
        <v>272</v>
      </c>
      <c r="F138" t="s">
        <v>857</v>
      </c>
      <c r="G138" t="s">
        <v>178</v>
      </c>
      <c r="H138" t="s">
        <v>858</v>
      </c>
      <c r="I138" t="s">
        <v>859</v>
      </c>
      <c r="J138" s="2">
        <v>2275600</v>
      </c>
      <c r="K138" s="2">
        <v>10000</v>
      </c>
      <c r="L138" s="2">
        <v>30</v>
      </c>
      <c r="M138" s="2">
        <v>0</v>
      </c>
      <c r="N138" t="s">
        <v>860</v>
      </c>
      <c r="O138" t="s">
        <v>861</v>
      </c>
      <c r="P138" t="s">
        <v>103</v>
      </c>
      <c r="Q138" t="s">
        <v>104</v>
      </c>
      <c r="S138" t="s">
        <v>862</v>
      </c>
      <c r="U138" t="s">
        <v>45</v>
      </c>
      <c r="V138" t="s">
        <v>46</v>
      </c>
      <c r="W138" t="s">
        <v>860</v>
      </c>
      <c r="X138" t="s">
        <v>861</v>
      </c>
      <c r="Y138" t="s">
        <v>106</v>
      </c>
      <c r="Z138" t="s">
        <v>107</v>
      </c>
      <c r="AA138" t="s">
        <v>49</v>
      </c>
      <c r="AB138" t="s">
        <v>50</v>
      </c>
      <c r="AC138" s="2">
        <v>1216397.69</v>
      </c>
      <c r="AD138" t="s">
        <v>863</v>
      </c>
      <c r="AE138" t="s">
        <v>52</v>
      </c>
    </row>
    <row r="139" spans="1:31" hidden="1" x14ac:dyDescent="0.25">
      <c r="A139" t="s">
        <v>864</v>
      </c>
      <c r="B139" t="s">
        <v>865</v>
      </c>
      <c r="C139" t="s">
        <v>865</v>
      </c>
      <c r="D139" t="s">
        <v>55</v>
      </c>
      <c r="E139" t="s">
        <v>56</v>
      </c>
      <c r="F139" t="s">
        <v>866</v>
      </c>
      <c r="J139" s="2">
        <v>1000</v>
      </c>
      <c r="K139" s="2">
        <v>0</v>
      </c>
      <c r="L139" s="2">
        <v>1</v>
      </c>
      <c r="M139" s="2">
        <v>0</v>
      </c>
      <c r="N139" t="s">
        <v>495</v>
      </c>
      <c r="O139" t="s">
        <v>79</v>
      </c>
      <c r="P139" t="s">
        <v>42</v>
      </c>
      <c r="Q139" t="s">
        <v>43</v>
      </c>
      <c r="U139" t="s">
        <v>45</v>
      </c>
      <c r="V139" t="s">
        <v>46</v>
      </c>
      <c r="W139" t="s">
        <v>495</v>
      </c>
      <c r="X139" t="s">
        <v>79</v>
      </c>
      <c r="Y139" t="s">
        <v>79</v>
      </c>
      <c r="Z139" t="s">
        <v>94</v>
      </c>
      <c r="AA139" t="s">
        <v>49</v>
      </c>
      <c r="AB139" t="s">
        <v>50</v>
      </c>
      <c r="AC139" s="2">
        <v>1000</v>
      </c>
      <c r="AD139" t="s">
        <v>64</v>
      </c>
    </row>
    <row r="140" spans="1:31" x14ac:dyDescent="0.25">
      <c r="A140" t="s">
        <v>867</v>
      </c>
      <c r="B140" t="s">
        <v>868</v>
      </c>
      <c r="C140" t="s">
        <v>869</v>
      </c>
      <c r="D140" t="s">
        <v>870</v>
      </c>
      <c r="E140" t="s">
        <v>871</v>
      </c>
      <c r="F140" t="s">
        <v>872</v>
      </c>
      <c r="G140" t="s">
        <v>873</v>
      </c>
      <c r="H140" t="s">
        <v>157</v>
      </c>
      <c r="I140" t="s">
        <v>874</v>
      </c>
      <c r="J140" s="2">
        <v>218170</v>
      </c>
      <c r="K140" s="2">
        <v>1000</v>
      </c>
      <c r="L140" s="2">
        <v>15</v>
      </c>
      <c r="M140" s="2">
        <v>0</v>
      </c>
      <c r="N140" t="s">
        <v>156</v>
      </c>
      <c r="O140" t="s">
        <v>157</v>
      </c>
      <c r="P140" t="s">
        <v>158</v>
      </c>
      <c r="Q140" t="s">
        <v>159</v>
      </c>
      <c r="S140" t="s">
        <v>875</v>
      </c>
      <c r="U140" t="s">
        <v>45</v>
      </c>
      <c r="V140" t="s">
        <v>46</v>
      </c>
      <c r="W140" t="s">
        <v>156</v>
      </c>
      <c r="X140" t="s">
        <v>157</v>
      </c>
      <c r="Y140" t="s">
        <v>161</v>
      </c>
      <c r="Z140" t="s">
        <v>162</v>
      </c>
      <c r="AA140" t="s">
        <v>49</v>
      </c>
      <c r="AB140" t="s">
        <v>50</v>
      </c>
      <c r="AC140" s="2">
        <v>196871.03</v>
      </c>
      <c r="AD140" t="s">
        <v>876</v>
      </c>
    </row>
    <row r="141" spans="1:31" hidden="1" x14ac:dyDescent="0.25">
      <c r="I141" t="s">
        <v>878</v>
      </c>
      <c r="J141" s="2">
        <v>1000</v>
      </c>
      <c r="K141" s="2">
        <v>0</v>
      </c>
      <c r="L141" s="2">
        <v>15</v>
      </c>
      <c r="M141" s="2">
        <v>0</v>
      </c>
      <c r="S141" t="s">
        <v>880</v>
      </c>
      <c r="U141" t="s">
        <v>45</v>
      </c>
      <c r="V141" t="s">
        <v>46</v>
      </c>
      <c r="W141" t="s">
        <v>879</v>
      </c>
      <c r="X141" t="s">
        <v>877</v>
      </c>
      <c r="Y141" t="s">
        <v>72</v>
      </c>
      <c r="Z141" t="s">
        <v>68</v>
      </c>
      <c r="AA141" t="s">
        <v>49</v>
      </c>
      <c r="AC141" s="2"/>
    </row>
    <row r="142" spans="1:31" hidden="1" x14ac:dyDescent="0.25">
      <c r="I142" t="s">
        <v>882</v>
      </c>
      <c r="J142" s="2">
        <v>1000</v>
      </c>
      <c r="K142" s="2">
        <v>0</v>
      </c>
      <c r="L142" s="2">
        <v>1</v>
      </c>
      <c r="M142" s="2">
        <v>0</v>
      </c>
      <c r="S142" t="s">
        <v>884</v>
      </c>
      <c r="U142" t="s">
        <v>45</v>
      </c>
      <c r="V142" t="s">
        <v>46</v>
      </c>
      <c r="W142" t="s">
        <v>883</v>
      </c>
      <c r="X142" t="s">
        <v>881</v>
      </c>
      <c r="Y142" t="s">
        <v>161</v>
      </c>
      <c r="Z142" t="s">
        <v>162</v>
      </c>
      <c r="AA142" t="s">
        <v>49</v>
      </c>
      <c r="AC142" s="2"/>
    </row>
    <row r="143" spans="1:31" x14ac:dyDescent="0.25">
      <c r="A143" t="s">
        <v>885</v>
      </c>
      <c r="B143" t="s">
        <v>886</v>
      </c>
      <c r="C143" t="s">
        <v>886</v>
      </c>
      <c r="D143" t="s">
        <v>125</v>
      </c>
      <c r="E143" t="s">
        <v>126</v>
      </c>
      <c r="F143" t="s">
        <v>887</v>
      </c>
      <c r="G143" t="s">
        <v>888</v>
      </c>
      <c r="H143" t="s">
        <v>889</v>
      </c>
      <c r="I143" t="s">
        <v>890</v>
      </c>
      <c r="J143" s="2">
        <v>981765</v>
      </c>
      <c r="K143" s="2">
        <v>4500</v>
      </c>
      <c r="L143" s="2">
        <v>30</v>
      </c>
      <c r="M143" s="2">
        <v>0</v>
      </c>
      <c r="N143" t="s">
        <v>89</v>
      </c>
      <c r="O143" t="s">
        <v>90</v>
      </c>
      <c r="P143" t="s">
        <v>91</v>
      </c>
      <c r="Q143" t="s">
        <v>92</v>
      </c>
      <c r="S143" t="s">
        <v>891</v>
      </c>
      <c r="U143" t="s">
        <v>45</v>
      </c>
      <c r="V143" t="s">
        <v>46</v>
      </c>
      <c r="W143" t="s">
        <v>89</v>
      </c>
      <c r="X143" t="s">
        <v>90</v>
      </c>
      <c r="Y143" t="s">
        <v>92</v>
      </c>
      <c r="Z143" t="s">
        <v>94</v>
      </c>
      <c r="AA143" t="s">
        <v>49</v>
      </c>
      <c r="AB143" t="s">
        <v>50</v>
      </c>
      <c r="AC143" s="2">
        <v>726119.96</v>
      </c>
      <c r="AD143" t="s">
        <v>892</v>
      </c>
      <c r="AE143" t="s">
        <v>52</v>
      </c>
    </row>
    <row r="144" spans="1:31" x14ac:dyDescent="0.25">
      <c r="A144" t="s">
        <v>893</v>
      </c>
      <c r="B144" t="s">
        <v>894</v>
      </c>
      <c r="C144" t="s">
        <v>894</v>
      </c>
      <c r="D144" t="s">
        <v>297</v>
      </c>
      <c r="E144" t="s">
        <v>167</v>
      </c>
      <c r="F144" t="s">
        <v>895</v>
      </c>
      <c r="G144" t="s">
        <v>297</v>
      </c>
      <c r="H144" t="s">
        <v>881</v>
      </c>
      <c r="I144" t="s">
        <v>896</v>
      </c>
      <c r="J144" s="2">
        <v>243570</v>
      </c>
      <c r="K144" s="2">
        <v>1000</v>
      </c>
      <c r="L144" s="2">
        <v>7</v>
      </c>
      <c r="M144" s="2">
        <v>0</v>
      </c>
      <c r="N144" t="s">
        <v>883</v>
      </c>
      <c r="O144" t="s">
        <v>881</v>
      </c>
      <c r="P144" t="s">
        <v>158</v>
      </c>
      <c r="Q144" t="s">
        <v>159</v>
      </c>
      <c r="S144" t="s">
        <v>897</v>
      </c>
      <c r="U144" t="s">
        <v>45</v>
      </c>
      <c r="V144" t="s">
        <v>46</v>
      </c>
      <c r="W144" t="s">
        <v>883</v>
      </c>
      <c r="X144" t="s">
        <v>881</v>
      </c>
      <c r="Y144" t="s">
        <v>161</v>
      </c>
      <c r="Z144" t="s">
        <v>162</v>
      </c>
      <c r="AA144" t="s">
        <v>49</v>
      </c>
      <c r="AB144" t="s">
        <v>50</v>
      </c>
      <c r="AC144" s="2">
        <v>191820.32</v>
      </c>
      <c r="AD144" t="s">
        <v>898</v>
      </c>
    </row>
    <row r="145" spans="1:31" x14ac:dyDescent="0.25">
      <c r="A145" t="s">
        <v>899</v>
      </c>
      <c r="B145" t="s">
        <v>900</v>
      </c>
      <c r="C145" t="s">
        <v>900</v>
      </c>
      <c r="D145" t="s">
        <v>178</v>
      </c>
      <c r="E145" t="s">
        <v>179</v>
      </c>
      <c r="F145" t="s">
        <v>901</v>
      </c>
      <c r="G145" t="s">
        <v>178</v>
      </c>
      <c r="H145" t="s">
        <v>902</v>
      </c>
      <c r="I145" t="s">
        <v>903</v>
      </c>
      <c r="J145" s="2">
        <v>545425</v>
      </c>
      <c r="K145" s="2">
        <v>2500</v>
      </c>
      <c r="L145" s="2">
        <v>21</v>
      </c>
      <c r="M145" s="2">
        <v>0</v>
      </c>
      <c r="N145" t="s">
        <v>904</v>
      </c>
      <c r="O145" t="s">
        <v>905</v>
      </c>
      <c r="P145" t="s">
        <v>304</v>
      </c>
      <c r="Q145" t="s">
        <v>72</v>
      </c>
      <c r="S145" t="s">
        <v>906</v>
      </c>
      <c r="U145" t="s">
        <v>45</v>
      </c>
      <c r="V145" t="s">
        <v>46</v>
      </c>
      <c r="W145" t="s">
        <v>904</v>
      </c>
      <c r="X145" t="s">
        <v>905</v>
      </c>
      <c r="Y145" t="s">
        <v>72</v>
      </c>
      <c r="Z145" t="s">
        <v>68</v>
      </c>
      <c r="AA145" t="s">
        <v>49</v>
      </c>
      <c r="AB145" t="s">
        <v>50</v>
      </c>
      <c r="AC145" s="2">
        <v>372949.38</v>
      </c>
      <c r="AD145" t="s">
        <v>907</v>
      </c>
      <c r="AE145" t="s">
        <v>52</v>
      </c>
    </row>
    <row r="146" spans="1:31" x14ac:dyDescent="0.25">
      <c r="A146" t="s">
        <v>908</v>
      </c>
      <c r="B146" t="s">
        <v>909</v>
      </c>
      <c r="C146" t="s">
        <v>909</v>
      </c>
      <c r="D146" t="s">
        <v>125</v>
      </c>
      <c r="E146" t="s">
        <v>126</v>
      </c>
      <c r="F146" t="s">
        <v>910</v>
      </c>
      <c r="G146" t="s">
        <v>498</v>
      </c>
      <c r="H146" t="s">
        <v>911</v>
      </c>
      <c r="I146" t="s">
        <v>912</v>
      </c>
      <c r="J146" s="2">
        <v>126743</v>
      </c>
      <c r="K146" s="2">
        <v>536</v>
      </c>
      <c r="L146" s="2">
        <v>15</v>
      </c>
      <c r="M146" s="2">
        <v>0</v>
      </c>
      <c r="N146" t="s">
        <v>913</v>
      </c>
      <c r="O146" t="s">
        <v>914</v>
      </c>
      <c r="P146" t="s">
        <v>103</v>
      </c>
      <c r="Q146" t="s">
        <v>104</v>
      </c>
      <c r="S146" t="s">
        <v>915</v>
      </c>
      <c r="U146" t="s">
        <v>45</v>
      </c>
      <c r="V146" t="s">
        <v>46</v>
      </c>
      <c r="W146" t="s">
        <v>913</v>
      </c>
      <c r="X146" t="s">
        <v>914</v>
      </c>
      <c r="Y146" t="s">
        <v>106</v>
      </c>
      <c r="Z146" t="s">
        <v>107</v>
      </c>
      <c r="AA146" t="s">
        <v>49</v>
      </c>
      <c r="AB146" t="s">
        <v>50</v>
      </c>
      <c r="AC146" s="2">
        <v>55804.91</v>
      </c>
      <c r="AD146" t="s">
        <v>916</v>
      </c>
      <c r="AE146" t="s">
        <v>52</v>
      </c>
    </row>
    <row r="147" spans="1:31" hidden="1" x14ac:dyDescent="0.25">
      <c r="A147" s="10" t="s">
        <v>917</v>
      </c>
      <c r="B147" s="10" t="s">
        <v>918</v>
      </c>
      <c r="C147" t="s">
        <v>918</v>
      </c>
      <c r="D147" t="s">
        <v>55</v>
      </c>
      <c r="E147" t="s">
        <v>56</v>
      </c>
      <c r="F147" t="s">
        <v>919</v>
      </c>
      <c r="H147" t="s">
        <v>446</v>
      </c>
      <c r="I147" t="s">
        <v>920</v>
      </c>
      <c r="J147" s="2">
        <v>1000</v>
      </c>
      <c r="K147" s="2">
        <v>0</v>
      </c>
      <c r="L147" s="2">
        <v>15</v>
      </c>
      <c r="M147" s="2">
        <v>0</v>
      </c>
      <c r="N147" t="s">
        <v>445</v>
      </c>
      <c r="O147" t="s">
        <v>446</v>
      </c>
      <c r="P147" t="s">
        <v>304</v>
      </c>
      <c r="Q147" t="s">
        <v>72</v>
      </c>
      <c r="S147" t="s">
        <v>921</v>
      </c>
      <c r="U147" t="s">
        <v>45</v>
      </c>
      <c r="V147" t="s">
        <v>46</v>
      </c>
      <c r="W147" t="s">
        <v>445</v>
      </c>
      <c r="X147" t="s">
        <v>446</v>
      </c>
      <c r="Y147" t="s">
        <v>72</v>
      </c>
      <c r="Z147" t="s">
        <v>68</v>
      </c>
      <c r="AA147" t="s">
        <v>49</v>
      </c>
      <c r="AB147" t="s">
        <v>142</v>
      </c>
      <c r="AC147" s="2">
        <v>1000</v>
      </c>
      <c r="AD147" t="s">
        <v>64</v>
      </c>
    </row>
    <row r="148" spans="1:31" hidden="1" x14ac:dyDescent="0.25">
      <c r="I148" t="s">
        <v>923</v>
      </c>
      <c r="J148" s="2">
        <v>21817</v>
      </c>
      <c r="K148" s="2">
        <v>100</v>
      </c>
      <c r="L148" s="2">
        <v>1</v>
      </c>
      <c r="M148" s="2">
        <v>0</v>
      </c>
      <c r="S148" t="s">
        <v>924</v>
      </c>
      <c r="U148" t="s">
        <v>45</v>
      </c>
      <c r="V148" t="s">
        <v>46</v>
      </c>
      <c r="W148" t="s">
        <v>822</v>
      </c>
      <c r="X148" t="s">
        <v>820</v>
      </c>
      <c r="Y148" t="s">
        <v>92</v>
      </c>
      <c r="Z148" t="s">
        <v>94</v>
      </c>
      <c r="AA148" t="s">
        <v>49</v>
      </c>
      <c r="AC148" s="2"/>
    </row>
    <row r="149" spans="1:31" hidden="1" x14ac:dyDescent="0.25">
      <c r="I149" t="s">
        <v>925</v>
      </c>
      <c r="J149" s="2">
        <v>1000</v>
      </c>
      <c r="K149" s="2">
        <v>0</v>
      </c>
      <c r="L149" s="2">
        <v>15</v>
      </c>
      <c r="M149" s="2">
        <v>0</v>
      </c>
      <c r="S149" t="s">
        <v>926</v>
      </c>
      <c r="U149" t="s">
        <v>45</v>
      </c>
      <c r="V149" t="s">
        <v>46</v>
      </c>
      <c r="W149" t="s">
        <v>302</v>
      </c>
      <c r="X149" t="s">
        <v>303</v>
      </c>
      <c r="Y149" t="s">
        <v>72</v>
      </c>
      <c r="Z149" t="s">
        <v>68</v>
      </c>
      <c r="AA149" t="s">
        <v>49</v>
      </c>
      <c r="AC149" s="2"/>
    </row>
    <row r="150" spans="1:31" hidden="1" x14ac:dyDescent="0.25">
      <c r="I150" t="s">
        <v>927</v>
      </c>
      <c r="J150" s="2">
        <v>1000</v>
      </c>
      <c r="K150" s="2">
        <v>0</v>
      </c>
      <c r="L150" s="2">
        <v>15</v>
      </c>
      <c r="M150" s="2">
        <v>0</v>
      </c>
      <c r="S150" t="s">
        <v>928</v>
      </c>
      <c r="U150" t="s">
        <v>45</v>
      </c>
      <c r="V150" t="s">
        <v>46</v>
      </c>
      <c r="W150" t="s">
        <v>445</v>
      </c>
      <c r="X150" t="s">
        <v>446</v>
      </c>
      <c r="Y150" t="s">
        <v>72</v>
      </c>
      <c r="Z150" t="s">
        <v>68</v>
      </c>
      <c r="AA150" t="s">
        <v>49</v>
      </c>
      <c r="AC150" s="2"/>
    </row>
    <row r="151" spans="1:31" x14ac:dyDescent="0.25">
      <c r="A151" t="s">
        <v>929</v>
      </c>
      <c r="B151" t="s">
        <v>930</v>
      </c>
      <c r="C151" t="s">
        <v>930</v>
      </c>
      <c r="D151" t="s">
        <v>553</v>
      </c>
      <c r="E151" t="s">
        <v>167</v>
      </c>
      <c r="F151" t="s">
        <v>931</v>
      </c>
      <c r="G151" t="s">
        <v>498</v>
      </c>
      <c r="H151" t="s">
        <v>932</v>
      </c>
      <c r="J151" s="2">
        <v>109085</v>
      </c>
      <c r="K151" s="2">
        <v>500</v>
      </c>
      <c r="L151" s="2">
        <v>15</v>
      </c>
      <c r="M151" s="2">
        <v>0</v>
      </c>
      <c r="N151" t="s">
        <v>933</v>
      </c>
      <c r="O151" t="s">
        <v>932</v>
      </c>
      <c r="P151" t="s">
        <v>103</v>
      </c>
      <c r="Q151" t="s">
        <v>104</v>
      </c>
      <c r="S151" t="s">
        <v>934</v>
      </c>
      <c r="U151" t="s">
        <v>45</v>
      </c>
      <c r="V151" t="s">
        <v>46</v>
      </c>
      <c r="W151" t="s">
        <v>933</v>
      </c>
      <c r="X151" t="s">
        <v>932</v>
      </c>
      <c r="Y151" t="s">
        <v>279</v>
      </c>
      <c r="Z151" t="s">
        <v>280</v>
      </c>
      <c r="AA151" t="s">
        <v>49</v>
      </c>
      <c r="AB151" t="s">
        <v>50</v>
      </c>
      <c r="AC151" s="2">
        <v>62047.87</v>
      </c>
      <c r="AD151" t="s">
        <v>935</v>
      </c>
      <c r="AE151" t="s">
        <v>52</v>
      </c>
    </row>
    <row r="152" spans="1:31" hidden="1" x14ac:dyDescent="0.25">
      <c r="A152" s="10" t="s">
        <v>936</v>
      </c>
      <c r="B152" s="10" t="s">
        <v>937</v>
      </c>
      <c r="C152" t="s">
        <v>937</v>
      </c>
      <c r="D152" t="s">
        <v>55</v>
      </c>
      <c r="E152" t="s">
        <v>56</v>
      </c>
      <c r="F152" t="s">
        <v>938</v>
      </c>
      <c r="H152" t="s">
        <v>939</v>
      </c>
      <c r="I152" t="s">
        <v>940</v>
      </c>
      <c r="J152" s="2">
        <v>1000</v>
      </c>
      <c r="K152" s="2">
        <v>0</v>
      </c>
      <c r="L152" s="2">
        <v>1</v>
      </c>
      <c r="M152" s="2">
        <v>0</v>
      </c>
      <c r="N152" t="s">
        <v>879</v>
      </c>
      <c r="O152" t="s">
        <v>877</v>
      </c>
      <c r="P152" t="s">
        <v>941</v>
      </c>
      <c r="Q152" t="s">
        <v>139</v>
      </c>
      <c r="S152" t="s">
        <v>942</v>
      </c>
      <c r="U152" t="s">
        <v>45</v>
      </c>
      <c r="V152" t="s">
        <v>46</v>
      </c>
      <c r="W152" t="s">
        <v>879</v>
      </c>
      <c r="X152" t="s">
        <v>877</v>
      </c>
      <c r="Y152" t="s">
        <v>72</v>
      </c>
      <c r="Z152" t="s">
        <v>68</v>
      </c>
      <c r="AA152" t="s">
        <v>49</v>
      </c>
      <c r="AB152" t="s">
        <v>142</v>
      </c>
      <c r="AC152" s="2">
        <v>1000</v>
      </c>
      <c r="AD152" t="s">
        <v>64</v>
      </c>
    </row>
    <row r="153" spans="1:31" x14ac:dyDescent="0.25">
      <c r="A153" t="s">
        <v>943</v>
      </c>
      <c r="B153" t="s">
        <v>944</v>
      </c>
      <c r="C153" t="s">
        <v>944</v>
      </c>
      <c r="D153" t="s">
        <v>35</v>
      </c>
      <c r="E153" t="s">
        <v>36</v>
      </c>
      <c r="F153" t="s">
        <v>945</v>
      </c>
      <c r="G153" t="s">
        <v>153</v>
      </c>
      <c r="H153" t="s">
        <v>68</v>
      </c>
      <c r="I153" t="s">
        <v>946</v>
      </c>
      <c r="J153" s="2">
        <v>2497730</v>
      </c>
      <c r="K153" s="2">
        <v>10100</v>
      </c>
      <c r="L153" s="2">
        <v>21</v>
      </c>
      <c r="M153" s="2">
        <v>0</v>
      </c>
      <c r="N153" t="s">
        <v>67</v>
      </c>
      <c r="O153" t="s">
        <v>68</v>
      </c>
      <c r="P153" t="s">
        <v>69</v>
      </c>
      <c r="Q153" t="s">
        <v>70</v>
      </c>
      <c r="S153" t="s">
        <v>947</v>
      </c>
      <c r="U153" t="s">
        <v>45</v>
      </c>
      <c r="V153" t="s">
        <v>46</v>
      </c>
      <c r="W153" t="s">
        <v>67</v>
      </c>
      <c r="X153" t="s">
        <v>68</v>
      </c>
      <c r="Y153" t="s">
        <v>72</v>
      </c>
      <c r="Z153" t="s">
        <v>68</v>
      </c>
      <c r="AA153" t="s">
        <v>49</v>
      </c>
      <c r="AB153" t="s">
        <v>50</v>
      </c>
      <c r="AC153" s="2">
        <v>1988024.02</v>
      </c>
      <c r="AD153" t="s">
        <v>948</v>
      </c>
      <c r="AE153" t="s">
        <v>52</v>
      </c>
    </row>
    <row r="154" spans="1:31" x14ac:dyDescent="0.25">
      <c r="A154" t="s">
        <v>949</v>
      </c>
      <c r="B154" t="s">
        <v>950</v>
      </c>
      <c r="C154" t="s">
        <v>950</v>
      </c>
      <c r="D154" t="s">
        <v>847</v>
      </c>
      <c r="E154" t="s">
        <v>848</v>
      </c>
      <c r="F154" t="s">
        <v>951</v>
      </c>
      <c r="G154" t="s">
        <v>344</v>
      </c>
      <c r="H154" t="s">
        <v>173</v>
      </c>
      <c r="I154" t="s">
        <v>952</v>
      </c>
      <c r="J154" s="2">
        <v>654510</v>
      </c>
      <c r="K154" s="2">
        <v>3000</v>
      </c>
      <c r="L154" s="2">
        <v>21</v>
      </c>
      <c r="M154" s="2">
        <v>0</v>
      </c>
      <c r="N154" t="s">
        <v>172</v>
      </c>
      <c r="O154" t="s">
        <v>173</v>
      </c>
      <c r="P154" t="s">
        <v>158</v>
      </c>
      <c r="Q154" t="s">
        <v>159</v>
      </c>
      <c r="S154" t="s">
        <v>953</v>
      </c>
      <c r="U154" t="s">
        <v>45</v>
      </c>
      <c r="V154" t="s">
        <v>46</v>
      </c>
      <c r="W154" t="s">
        <v>172</v>
      </c>
      <c r="X154" t="s">
        <v>173</v>
      </c>
      <c r="Y154" t="s">
        <v>161</v>
      </c>
      <c r="Z154" t="s">
        <v>162</v>
      </c>
      <c r="AA154" t="s">
        <v>49</v>
      </c>
      <c r="AB154" t="s">
        <v>50</v>
      </c>
      <c r="AC154" s="2">
        <v>562652.23</v>
      </c>
      <c r="AD154" t="s">
        <v>954</v>
      </c>
      <c r="AE154" t="s">
        <v>52</v>
      </c>
    </row>
    <row r="155" spans="1:31" hidden="1" x14ac:dyDescent="0.25">
      <c r="A155" s="10" t="s">
        <v>955</v>
      </c>
      <c r="B155" s="10" t="s">
        <v>956</v>
      </c>
      <c r="C155" t="s">
        <v>956</v>
      </c>
      <c r="D155" t="s">
        <v>55</v>
      </c>
      <c r="E155" t="s">
        <v>56</v>
      </c>
      <c r="F155" t="s">
        <v>957</v>
      </c>
      <c r="H155" t="s">
        <v>41</v>
      </c>
      <c r="I155" t="s">
        <v>958</v>
      </c>
      <c r="J155" s="2">
        <v>3700</v>
      </c>
      <c r="K155" s="2">
        <v>16.010000000000002</v>
      </c>
      <c r="L155" s="2">
        <v>5</v>
      </c>
      <c r="M155" s="2">
        <v>0</v>
      </c>
      <c r="N155" t="s">
        <v>40</v>
      </c>
      <c r="O155" t="s">
        <v>41</v>
      </c>
      <c r="P155" t="s">
        <v>61</v>
      </c>
      <c r="Q155" t="s">
        <v>62</v>
      </c>
      <c r="S155" t="s">
        <v>959</v>
      </c>
      <c r="U155" t="s">
        <v>45</v>
      </c>
      <c r="V155" t="s">
        <v>46</v>
      </c>
      <c r="W155" t="s">
        <v>40</v>
      </c>
      <c r="X155" t="s">
        <v>41</v>
      </c>
      <c r="Y155" t="s">
        <v>47</v>
      </c>
      <c r="Z155" t="s">
        <v>48</v>
      </c>
      <c r="AA155" t="s">
        <v>49</v>
      </c>
      <c r="AB155" t="s">
        <v>142</v>
      </c>
      <c r="AC155" s="2">
        <v>3700</v>
      </c>
      <c r="AD155" t="s">
        <v>64</v>
      </c>
    </row>
    <row r="156" spans="1:31" hidden="1" x14ac:dyDescent="0.25">
      <c r="I156" t="s">
        <v>960</v>
      </c>
      <c r="J156" s="2">
        <v>1000</v>
      </c>
      <c r="K156" s="2">
        <v>0</v>
      </c>
      <c r="L156" s="2">
        <v>15</v>
      </c>
      <c r="M156" s="2">
        <v>0</v>
      </c>
      <c r="S156" t="s">
        <v>961</v>
      </c>
      <c r="U156" t="s">
        <v>45</v>
      </c>
      <c r="V156" t="s">
        <v>46</v>
      </c>
      <c r="W156" t="s">
        <v>403</v>
      </c>
      <c r="X156" t="s">
        <v>404</v>
      </c>
      <c r="Y156" t="s">
        <v>161</v>
      </c>
      <c r="Z156" t="s">
        <v>162</v>
      </c>
      <c r="AA156" t="s">
        <v>49</v>
      </c>
      <c r="AC156" s="2"/>
    </row>
    <row r="157" spans="1:31" hidden="1" x14ac:dyDescent="0.25">
      <c r="I157" t="s">
        <v>962</v>
      </c>
      <c r="J157" s="2">
        <v>1000</v>
      </c>
      <c r="K157" s="2">
        <v>0</v>
      </c>
      <c r="L157" s="2">
        <v>15</v>
      </c>
      <c r="M157" s="2">
        <v>0</v>
      </c>
      <c r="S157" t="s">
        <v>963</v>
      </c>
      <c r="U157" t="s">
        <v>45</v>
      </c>
      <c r="V157" t="s">
        <v>46</v>
      </c>
      <c r="W157" t="s">
        <v>904</v>
      </c>
      <c r="X157" t="s">
        <v>905</v>
      </c>
      <c r="Y157" t="s">
        <v>72</v>
      </c>
      <c r="Z157" t="s">
        <v>68</v>
      </c>
      <c r="AA157" t="s">
        <v>49</v>
      </c>
      <c r="AC157" s="2"/>
    </row>
    <row r="158" spans="1:31" hidden="1" x14ac:dyDescent="0.25">
      <c r="I158" t="s">
        <v>965</v>
      </c>
      <c r="J158" s="2">
        <v>2182</v>
      </c>
      <c r="K158" s="2">
        <v>10</v>
      </c>
      <c r="L158" s="2">
        <v>1</v>
      </c>
      <c r="M158" s="2">
        <v>0</v>
      </c>
      <c r="S158" t="s">
        <v>967</v>
      </c>
      <c r="U158" t="s">
        <v>45</v>
      </c>
      <c r="V158" t="s">
        <v>46</v>
      </c>
      <c r="W158" t="s">
        <v>966</v>
      </c>
      <c r="X158" t="s">
        <v>964</v>
      </c>
      <c r="Y158" t="s">
        <v>72</v>
      </c>
      <c r="Z158" t="s">
        <v>68</v>
      </c>
      <c r="AA158" t="s">
        <v>49</v>
      </c>
      <c r="AC158" s="2"/>
    </row>
    <row r="159" spans="1:31" hidden="1" x14ac:dyDescent="0.25">
      <c r="I159" t="s">
        <v>968</v>
      </c>
      <c r="J159" s="2">
        <v>1000</v>
      </c>
      <c r="K159" s="2">
        <v>0</v>
      </c>
      <c r="L159" s="2">
        <v>15</v>
      </c>
      <c r="M159" s="2">
        <v>0</v>
      </c>
      <c r="S159" t="s">
        <v>969</v>
      </c>
      <c r="U159" t="s">
        <v>45</v>
      </c>
      <c r="V159" t="s">
        <v>46</v>
      </c>
      <c r="W159" t="s">
        <v>302</v>
      </c>
      <c r="X159" t="s">
        <v>303</v>
      </c>
      <c r="Y159" t="s">
        <v>72</v>
      </c>
      <c r="Z159" t="s">
        <v>68</v>
      </c>
      <c r="AA159" t="s">
        <v>49</v>
      </c>
      <c r="AC159" s="2"/>
    </row>
    <row r="160" spans="1:31" x14ac:dyDescent="0.25">
      <c r="A160" t="s">
        <v>970</v>
      </c>
      <c r="B160" t="s">
        <v>971</v>
      </c>
      <c r="C160" t="s">
        <v>971</v>
      </c>
      <c r="D160" t="s">
        <v>297</v>
      </c>
      <c r="E160" t="s">
        <v>167</v>
      </c>
      <c r="F160" t="s">
        <v>972</v>
      </c>
      <c r="G160" t="s">
        <v>297</v>
      </c>
      <c r="H160" t="s">
        <v>119</v>
      </c>
      <c r="I160" t="s">
        <v>973</v>
      </c>
      <c r="J160" s="2">
        <v>109085</v>
      </c>
      <c r="K160" s="2">
        <v>500</v>
      </c>
      <c r="L160" s="2">
        <v>7</v>
      </c>
      <c r="M160" s="2">
        <v>0</v>
      </c>
      <c r="N160" t="s">
        <v>118</v>
      </c>
      <c r="O160" t="s">
        <v>119</v>
      </c>
      <c r="P160" t="s">
        <v>120</v>
      </c>
      <c r="Q160" t="s">
        <v>121</v>
      </c>
      <c r="S160" t="s">
        <v>974</v>
      </c>
      <c r="U160" t="s">
        <v>45</v>
      </c>
      <c r="V160" t="s">
        <v>46</v>
      </c>
      <c r="W160" t="s">
        <v>118</v>
      </c>
      <c r="X160" t="s">
        <v>119</v>
      </c>
      <c r="Y160" t="s">
        <v>121</v>
      </c>
      <c r="Z160" t="s">
        <v>94</v>
      </c>
      <c r="AA160" t="s">
        <v>49</v>
      </c>
      <c r="AB160" t="s">
        <v>50</v>
      </c>
      <c r="AC160" s="2">
        <v>45612.42</v>
      </c>
      <c r="AD160" t="s">
        <v>975</v>
      </c>
      <c r="AE160" t="s">
        <v>52</v>
      </c>
    </row>
    <row r="161" spans="1:31" x14ac:dyDescent="0.25">
      <c r="A161" t="s">
        <v>976</v>
      </c>
      <c r="B161" t="s">
        <v>977</v>
      </c>
      <c r="C161" t="s">
        <v>977</v>
      </c>
      <c r="D161" t="s">
        <v>888</v>
      </c>
      <c r="E161" t="s">
        <v>167</v>
      </c>
      <c r="F161" t="s">
        <v>978</v>
      </c>
      <c r="G161" t="s">
        <v>888</v>
      </c>
      <c r="H161" t="s">
        <v>41</v>
      </c>
      <c r="I161" t="s">
        <v>979</v>
      </c>
      <c r="J161" s="2">
        <v>545425</v>
      </c>
      <c r="K161" s="2">
        <v>2500</v>
      </c>
      <c r="L161" s="2">
        <v>15</v>
      </c>
      <c r="M161" s="2">
        <v>0</v>
      </c>
      <c r="N161" t="s">
        <v>40</v>
      </c>
      <c r="O161" t="s">
        <v>41</v>
      </c>
      <c r="P161" t="s">
        <v>61</v>
      </c>
      <c r="Q161" t="s">
        <v>62</v>
      </c>
      <c r="S161" t="s">
        <v>980</v>
      </c>
      <c r="U161" t="s">
        <v>45</v>
      </c>
      <c r="V161" t="s">
        <v>46</v>
      </c>
      <c r="W161" t="s">
        <v>40</v>
      </c>
      <c r="X161" t="s">
        <v>41</v>
      </c>
      <c r="Y161" t="s">
        <v>47</v>
      </c>
      <c r="Z161" t="s">
        <v>48</v>
      </c>
      <c r="AA161" t="s">
        <v>49</v>
      </c>
      <c r="AB161" t="s">
        <v>50</v>
      </c>
      <c r="AC161" s="2">
        <v>531503.56000000006</v>
      </c>
      <c r="AD161" t="s">
        <v>981</v>
      </c>
      <c r="AE161" t="s">
        <v>52</v>
      </c>
    </row>
    <row r="162" spans="1:31" x14ac:dyDescent="0.25">
      <c r="A162" t="s">
        <v>982</v>
      </c>
      <c r="B162" t="s">
        <v>983</v>
      </c>
      <c r="C162" t="s">
        <v>983</v>
      </c>
      <c r="D162" t="s">
        <v>984</v>
      </c>
      <c r="E162" t="s">
        <v>985</v>
      </c>
      <c r="F162" t="s">
        <v>986</v>
      </c>
      <c r="G162" t="s">
        <v>178</v>
      </c>
      <c r="H162" t="s">
        <v>443</v>
      </c>
      <c r="I162" t="s">
        <v>987</v>
      </c>
      <c r="J162" s="2">
        <v>342510</v>
      </c>
      <c r="K162" s="2">
        <v>1400</v>
      </c>
      <c r="L162" s="2">
        <v>21</v>
      </c>
      <c r="M162" s="2">
        <v>0</v>
      </c>
      <c r="N162" t="s">
        <v>445</v>
      </c>
      <c r="O162" t="s">
        <v>446</v>
      </c>
      <c r="P162" t="s">
        <v>69</v>
      </c>
      <c r="Q162" t="s">
        <v>70</v>
      </c>
      <c r="S162" t="s">
        <v>988</v>
      </c>
      <c r="U162" t="s">
        <v>45</v>
      </c>
      <c r="V162" t="s">
        <v>46</v>
      </c>
      <c r="W162" t="s">
        <v>445</v>
      </c>
      <c r="X162" t="s">
        <v>446</v>
      </c>
      <c r="Y162" t="s">
        <v>72</v>
      </c>
      <c r="Z162" t="s">
        <v>68</v>
      </c>
      <c r="AA162" t="s">
        <v>49</v>
      </c>
      <c r="AB162" t="s">
        <v>50</v>
      </c>
      <c r="AC162" s="2">
        <v>43820.88</v>
      </c>
      <c r="AD162" t="s">
        <v>989</v>
      </c>
      <c r="AE162" t="s">
        <v>52</v>
      </c>
    </row>
    <row r="163" spans="1:31" x14ac:dyDescent="0.25">
      <c r="A163" t="s">
        <v>990</v>
      </c>
      <c r="B163" t="s">
        <v>991</v>
      </c>
      <c r="C163" t="s">
        <v>991</v>
      </c>
      <c r="D163" t="s">
        <v>35</v>
      </c>
      <c r="E163" t="s">
        <v>36</v>
      </c>
      <c r="F163" t="s">
        <v>992</v>
      </c>
      <c r="G163" t="s">
        <v>153</v>
      </c>
      <c r="H163" t="s">
        <v>653</v>
      </c>
      <c r="I163" t="s">
        <v>993</v>
      </c>
      <c r="J163" s="2">
        <v>4862200</v>
      </c>
      <c r="K163" s="2">
        <v>20000</v>
      </c>
      <c r="L163" s="2">
        <v>30</v>
      </c>
      <c r="M163" s="2">
        <v>0</v>
      </c>
      <c r="N163" t="s">
        <v>652</v>
      </c>
      <c r="O163" t="s">
        <v>653</v>
      </c>
      <c r="P163" t="s">
        <v>69</v>
      </c>
      <c r="Q163" t="s">
        <v>70</v>
      </c>
      <c r="S163" t="s">
        <v>994</v>
      </c>
      <c r="U163" t="s">
        <v>45</v>
      </c>
      <c r="V163" t="s">
        <v>46</v>
      </c>
      <c r="W163" t="s">
        <v>652</v>
      </c>
      <c r="X163" t="s">
        <v>653</v>
      </c>
      <c r="Y163" t="s">
        <v>72</v>
      </c>
      <c r="Z163" t="s">
        <v>68</v>
      </c>
      <c r="AA163" t="s">
        <v>49</v>
      </c>
      <c r="AB163" t="s">
        <v>50</v>
      </c>
      <c r="AC163" s="2">
        <v>1674869.17</v>
      </c>
      <c r="AD163" t="s">
        <v>995</v>
      </c>
      <c r="AE163" t="s">
        <v>115</v>
      </c>
    </row>
    <row r="164" spans="1:31" hidden="1" x14ac:dyDescent="0.25">
      <c r="A164" s="10" t="s">
        <v>996</v>
      </c>
      <c r="B164" s="10" t="s">
        <v>997</v>
      </c>
      <c r="C164" t="s">
        <v>997</v>
      </c>
      <c r="D164" t="s">
        <v>55</v>
      </c>
      <c r="E164" t="s">
        <v>56</v>
      </c>
      <c r="F164" t="s">
        <v>998</v>
      </c>
      <c r="H164" t="s">
        <v>68</v>
      </c>
      <c r="I164" t="s">
        <v>999</v>
      </c>
      <c r="J164" s="2">
        <v>65451</v>
      </c>
      <c r="K164" s="2">
        <v>300</v>
      </c>
      <c r="L164" s="2">
        <v>1</v>
      </c>
      <c r="M164" s="2">
        <v>0</v>
      </c>
      <c r="N164" t="s">
        <v>67</v>
      </c>
      <c r="O164" t="s">
        <v>68</v>
      </c>
      <c r="P164" t="s">
        <v>941</v>
      </c>
      <c r="Q164" t="s">
        <v>139</v>
      </c>
      <c r="S164" t="s">
        <v>1000</v>
      </c>
      <c r="U164" t="s">
        <v>45</v>
      </c>
      <c r="V164" t="s">
        <v>46</v>
      </c>
      <c r="W164" t="s">
        <v>67</v>
      </c>
      <c r="X164" t="s">
        <v>68</v>
      </c>
      <c r="Y164" t="s">
        <v>72</v>
      </c>
      <c r="Z164" t="s">
        <v>68</v>
      </c>
      <c r="AA164" t="s">
        <v>49</v>
      </c>
      <c r="AB164" t="s">
        <v>142</v>
      </c>
      <c r="AC164" s="2">
        <v>65451</v>
      </c>
      <c r="AD164" t="s">
        <v>64</v>
      </c>
    </row>
    <row r="165" spans="1:31" x14ac:dyDescent="0.25">
      <c r="A165" t="s">
        <v>1001</v>
      </c>
      <c r="B165" t="s">
        <v>1002</v>
      </c>
      <c r="C165" t="s">
        <v>1002</v>
      </c>
      <c r="D165" t="s">
        <v>153</v>
      </c>
      <c r="E165" t="s">
        <v>272</v>
      </c>
      <c r="F165" t="s">
        <v>1003</v>
      </c>
      <c r="I165" t="s">
        <v>39</v>
      </c>
      <c r="J165" s="2">
        <v>2181700</v>
      </c>
      <c r="K165" s="2">
        <v>10000</v>
      </c>
      <c r="L165" s="2">
        <v>1</v>
      </c>
      <c r="M165" s="2">
        <v>0</v>
      </c>
      <c r="N165" t="s">
        <v>1004</v>
      </c>
      <c r="O165" t="s">
        <v>1005</v>
      </c>
      <c r="P165" t="s">
        <v>42</v>
      </c>
      <c r="Q165" t="s">
        <v>43</v>
      </c>
      <c r="U165" t="s">
        <v>45</v>
      </c>
      <c r="V165" t="s">
        <v>46</v>
      </c>
      <c r="W165" t="s">
        <v>40</v>
      </c>
      <c r="X165" t="s">
        <v>41</v>
      </c>
      <c r="Y165" t="s">
        <v>47</v>
      </c>
      <c r="Z165" t="s">
        <v>48</v>
      </c>
      <c r="AA165" t="s">
        <v>1006</v>
      </c>
      <c r="AB165" t="s">
        <v>50</v>
      </c>
      <c r="AC165" s="2">
        <v>2181700</v>
      </c>
      <c r="AD165" t="s">
        <v>64</v>
      </c>
    </row>
    <row r="166" spans="1:31" hidden="1" x14ac:dyDescent="0.25">
      <c r="I166" t="s">
        <v>1007</v>
      </c>
      <c r="J166" s="2">
        <v>1000</v>
      </c>
      <c r="K166" s="2">
        <v>0</v>
      </c>
      <c r="L166" s="2">
        <v>15</v>
      </c>
      <c r="M166" s="2">
        <v>0</v>
      </c>
      <c r="S166" t="s">
        <v>1008</v>
      </c>
      <c r="U166" t="s">
        <v>45</v>
      </c>
      <c r="V166" t="s">
        <v>46</v>
      </c>
      <c r="W166" t="s">
        <v>652</v>
      </c>
      <c r="X166" t="s">
        <v>653</v>
      </c>
      <c r="Y166" t="s">
        <v>72</v>
      </c>
      <c r="Z166" t="s">
        <v>68</v>
      </c>
      <c r="AA166" t="s">
        <v>49</v>
      </c>
      <c r="AC166" s="2"/>
    </row>
    <row r="167" spans="1:31" x14ac:dyDescent="0.25">
      <c r="A167" t="s">
        <v>1009</v>
      </c>
      <c r="B167" t="s">
        <v>1010</v>
      </c>
      <c r="C167" t="s">
        <v>1010</v>
      </c>
      <c r="D167" t="s">
        <v>297</v>
      </c>
      <c r="E167" t="s">
        <v>167</v>
      </c>
      <c r="F167" t="s">
        <v>1011</v>
      </c>
      <c r="G167" t="s">
        <v>344</v>
      </c>
      <c r="H167" t="s">
        <v>173</v>
      </c>
      <c r="I167" t="s">
        <v>1012</v>
      </c>
      <c r="J167" s="2">
        <v>111825</v>
      </c>
      <c r="K167" s="2">
        <v>500</v>
      </c>
      <c r="L167" s="2">
        <v>3</v>
      </c>
      <c r="M167" s="2">
        <v>0</v>
      </c>
      <c r="N167" t="s">
        <v>172</v>
      </c>
      <c r="O167" t="s">
        <v>173</v>
      </c>
      <c r="P167" t="s">
        <v>158</v>
      </c>
      <c r="Q167" t="s">
        <v>159</v>
      </c>
      <c r="S167" t="s">
        <v>1013</v>
      </c>
      <c r="U167" t="s">
        <v>45</v>
      </c>
      <c r="V167" t="s">
        <v>46</v>
      </c>
      <c r="W167" t="s">
        <v>172</v>
      </c>
      <c r="X167" t="s">
        <v>173</v>
      </c>
      <c r="Y167" t="s">
        <v>161</v>
      </c>
      <c r="Z167" t="s">
        <v>162</v>
      </c>
      <c r="AA167" t="s">
        <v>49</v>
      </c>
      <c r="AB167" t="s">
        <v>50</v>
      </c>
      <c r="AC167" s="2">
        <v>-97130.17</v>
      </c>
      <c r="AD167" t="s">
        <v>1014</v>
      </c>
      <c r="AE167" t="s">
        <v>115</v>
      </c>
    </row>
    <row r="168" spans="1:31" x14ac:dyDescent="0.25">
      <c r="A168" t="s">
        <v>1015</v>
      </c>
      <c r="B168" t="s">
        <v>1016</v>
      </c>
      <c r="C168" t="s">
        <v>1016</v>
      </c>
      <c r="D168" t="s">
        <v>35</v>
      </c>
      <c r="E168" t="s">
        <v>36</v>
      </c>
      <c r="F168" t="s">
        <v>1017</v>
      </c>
      <c r="G168" t="s">
        <v>35</v>
      </c>
      <c r="H168" t="s">
        <v>404</v>
      </c>
      <c r="I168" t="s">
        <v>1018</v>
      </c>
      <c r="J168" s="2">
        <v>763595</v>
      </c>
      <c r="K168" s="2">
        <v>3500</v>
      </c>
      <c r="L168" s="2">
        <v>30</v>
      </c>
      <c r="M168" s="2">
        <v>0</v>
      </c>
      <c r="N168" t="s">
        <v>403</v>
      </c>
      <c r="O168" t="s">
        <v>404</v>
      </c>
      <c r="P168" t="s">
        <v>205</v>
      </c>
      <c r="Q168" t="s">
        <v>206</v>
      </c>
      <c r="S168" t="s">
        <v>1019</v>
      </c>
      <c r="U168" t="s">
        <v>45</v>
      </c>
      <c r="V168" t="s">
        <v>46</v>
      </c>
      <c r="W168" t="s">
        <v>403</v>
      </c>
      <c r="X168" t="s">
        <v>404</v>
      </c>
      <c r="Y168" t="s">
        <v>161</v>
      </c>
      <c r="Z168" t="s">
        <v>162</v>
      </c>
      <c r="AA168" t="s">
        <v>49</v>
      </c>
      <c r="AB168" t="s">
        <v>50</v>
      </c>
      <c r="AC168" s="2">
        <v>614407.94999999995</v>
      </c>
      <c r="AD168" t="s">
        <v>1020</v>
      </c>
      <c r="AE168" t="s">
        <v>52</v>
      </c>
    </row>
    <row r="169" spans="1:31" s="11" customFormat="1" x14ac:dyDescent="0.25">
      <c r="A169" s="11" t="s">
        <v>1021</v>
      </c>
      <c r="B169" s="11" t="s">
        <v>1022</v>
      </c>
      <c r="C169" s="11" t="s">
        <v>1022</v>
      </c>
      <c r="D169" s="11" t="s">
        <v>55</v>
      </c>
      <c r="E169" s="11" t="s">
        <v>56</v>
      </c>
      <c r="F169" s="11" t="s">
        <v>1023</v>
      </c>
      <c r="G169"/>
      <c r="H169" t="s">
        <v>41</v>
      </c>
      <c r="I169" t="s">
        <v>1024</v>
      </c>
      <c r="J169" s="2">
        <v>130902</v>
      </c>
      <c r="K169" s="2">
        <v>600</v>
      </c>
      <c r="L169" s="2">
        <v>15</v>
      </c>
      <c r="M169" s="2">
        <v>0</v>
      </c>
      <c r="N169" t="s">
        <v>40</v>
      </c>
      <c r="O169" t="s">
        <v>41</v>
      </c>
      <c r="P169" t="s">
        <v>61</v>
      </c>
      <c r="Q169" t="s">
        <v>62</v>
      </c>
      <c r="R169"/>
      <c r="S169" t="s">
        <v>1025</v>
      </c>
      <c r="T169"/>
      <c r="U169" t="s">
        <v>45</v>
      </c>
      <c r="V169" t="s">
        <v>46</v>
      </c>
      <c r="W169" t="s">
        <v>40</v>
      </c>
      <c r="X169" t="s">
        <v>41</v>
      </c>
      <c r="Y169" t="s">
        <v>47</v>
      </c>
      <c r="Z169" t="s">
        <v>48</v>
      </c>
      <c r="AA169" t="s">
        <v>49</v>
      </c>
      <c r="AB169" s="11" t="s">
        <v>50</v>
      </c>
      <c r="AC169" s="12">
        <v>130902</v>
      </c>
      <c r="AD169" s="11" t="s">
        <v>64</v>
      </c>
    </row>
    <row r="170" spans="1:31" x14ac:dyDescent="0.25">
      <c r="A170" t="s">
        <v>1026</v>
      </c>
      <c r="B170" t="s">
        <v>1027</v>
      </c>
      <c r="C170" t="s">
        <v>1027</v>
      </c>
      <c r="D170" t="s">
        <v>35</v>
      </c>
      <c r="E170" t="s">
        <v>36</v>
      </c>
      <c r="F170" t="s">
        <v>1028</v>
      </c>
      <c r="G170" t="s">
        <v>498</v>
      </c>
      <c r="H170" t="s">
        <v>1029</v>
      </c>
      <c r="I170" t="s">
        <v>1030</v>
      </c>
      <c r="J170" s="2">
        <v>602973</v>
      </c>
      <c r="K170" s="2">
        <v>2550</v>
      </c>
      <c r="L170" s="2">
        <v>30</v>
      </c>
      <c r="M170" s="2">
        <v>0</v>
      </c>
      <c r="N170" t="s">
        <v>1031</v>
      </c>
      <c r="O170" t="s">
        <v>1029</v>
      </c>
      <c r="P170" t="s">
        <v>103</v>
      </c>
      <c r="Q170" t="s">
        <v>104</v>
      </c>
      <c r="S170" t="s">
        <v>1032</v>
      </c>
      <c r="U170" t="s">
        <v>45</v>
      </c>
      <c r="V170" t="s">
        <v>46</v>
      </c>
      <c r="W170" t="s">
        <v>1031</v>
      </c>
      <c r="X170" t="s">
        <v>1029</v>
      </c>
      <c r="Y170" t="s">
        <v>106</v>
      </c>
      <c r="Z170" t="s">
        <v>107</v>
      </c>
      <c r="AA170" t="s">
        <v>49</v>
      </c>
      <c r="AB170" t="s">
        <v>50</v>
      </c>
      <c r="AC170" s="2">
        <v>152214.01999999999</v>
      </c>
      <c r="AD170" t="s">
        <v>1033</v>
      </c>
      <c r="AE170" t="s">
        <v>115</v>
      </c>
    </row>
    <row r="171" spans="1:31" hidden="1" x14ac:dyDescent="0.25">
      <c r="I171" t="s">
        <v>1034</v>
      </c>
      <c r="J171" s="2">
        <v>21817</v>
      </c>
      <c r="K171" s="2">
        <v>100</v>
      </c>
      <c r="L171" s="2">
        <v>15</v>
      </c>
      <c r="M171" s="2">
        <v>0</v>
      </c>
      <c r="S171" t="s">
        <v>1035</v>
      </c>
      <c r="U171" t="s">
        <v>45</v>
      </c>
      <c r="V171" t="s">
        <v>46</v>
      </c>
      <c r="W171" t="s">
        <v>596</v>
      </c>
      <c r="X171" t="s">
        <v>597</v>
      </c>
      <c r="Y171" t="s">
        <v>92</v>
      </c>
      <c r="Z171" t="s">
        <v>94</v>
      </c>
      <c r="AA171" t="s">
        <v>49</v>
      </c>
      <c r="AC171" s="2"/>
    </row>
    <row r="172" spans="1:31" hidden="1" x14ac:dyDescent="0.25">
      <c r="I172" t="s">
        <v>1037</v>
      </c>
      <c r="J172" s="2">
        <v>1000</v>
      </c>
      <c r="K172" s="2">
        <v>0</v>
      </c>
      <c r="L172" s="2">
        <v>18</v>
      </c>
      <c r="M172" s="2">
        <v>0</v>
      </c>
      <c r="S172" t="s">
        <v>1040</v>
      </c>
      <c r="U172" t="s">
        <v>45</v>
      </c>
      <c r="V172" t="s">
        <v>46</v>
      </c>
      <c r="W172" t="s">
        <v>1038</v>
      </c>
      <c r="X172" t="s">
        <v>1039</v>
      </c>
      <c r="Y172" t="s">
        <v>72</v>
      </c>
      <c r="Z172" t="s">
        <v>68</v>
      </c>
      <c r="AA172" t="s">
        <v>49</v>
      </c>
      <c r="AC172" s="2"/>
    </row>
    <row r="173" spans="1:31" hidden="1" x14ac:dyDescent="0.25">
      <c r="J173" s="2">
        <v>43634</v>
      </c>
      <c r="K173" s="2">
        <v>200</v>
      </c>
      <c r="L173" s="2">
        <v>1</v>
      </c>
      <c r="M173" s="2">
        <v>0</v>
      </c>
      <c r="S173" t="s">
        <v>1041</v>
      </c>
      <c r="U173" t="s">
        <v>45</v>
      </c>
      <c r="V173" t="s">
        <v>46</v>
      </c>
      <c r="W173" t="s">
        <v>596</v>
      </c>
      <c r="X173" t="s">
        <v>597</v>
      </c>
      <c r="Y173" t="s">
        <v>92</v>
      </c>
      <c r="Z173" t="s">
        <v>94</v>
      </c>
      <c r="AA173" t="s">
        <v>49</v>
      </c>
      <c r="AC173" s="2"/>
    </row>
    <row r="174" spans="1:31" x14ac:dyDescent="0.25">
      <c r="A174" t="s">
        <v>1042</v>
      </c>
      <c r="B174" t="s">
        <v>1043</v>
      </c>
      <c r="C174" t="s">
        <v>1043</v>
      </c>
      <c r="D174" t="s">
        <v>125</v>
      </c>
      <c r="E174" t="s">
        <v>126</v>
      </c>
      <c r="F174" t="s">
        <v>1044</v>
      </c>
      <c r="G174" t="s">
        <v>35</v>
      </c>
      <c r="H174" t="s">
        <v>173</v>
      </c>
      <c r="I174" t="s">
        <v>1045</v>
      </c>
      <c r="J174" s="2">
        <v>130902</v>
      </c>
      <c r="K174" s="2">
        <v>600</v>
      </c>
      <c r="L174" s="2">
        <v>15</v>
      </c>
      <c r="M174" s="2">
        <v>0</v>
      </c>
      <c r="N174" t="s">
        <v>172</v>
      </c>
      <c r="O174" t="s">
        <v>173</v>
      </c>
      <c r="P174" t="s">
        <v>158</v>
      </c>
      <c r="Q174" t="s">
        <v>159</v>
      </c>
      <c r="S174" t="s">
        <v>1046</v>
      </c>
      <c r="U174" t="s">
        <v>45</v>
      </c>
      <c r="V174" t="s">
        <v>46</v>
      </c>
      <c r="W174" t="s">
        <v>172</v>
      </c>
      <c r="X174" t="s">
        <v>173</v>
      </c>
      <c r="Y174" t="s">
        <v>161</v>
      </c>
      <c r="Z174" t="s">
        <v>162</v>
      </c>
      <c r="AA174" t="s">
        <v>49</v>
      </c>
      <c r="AB174" t="s">
        <v>50</v>
      </c>
      <c r="AC174" s="2">
        <v>101981.16</v>
      </c>
      <c r="AD174" t="s">
        <v>1047</v>
      </c>
    </row>
    <row r="175" spans="1:31" hidden="1" x14ac:dyDescent="0.25">
      <c r="I175" t="s">
        <v>1048</v>
      </c>
      <c r="J175" s="2">
        <v>218170</v>
      </c>
      <c r="K175" s="2">
        <v>1000</v>
      </c>
      <c r="L175" s="2">
        <v>15</v>
      </c>
      <c r="M175" s="2">
        <v>0</v>
      </c>
      <c r="S175" t="s">
        <v>1049</v>
      </c>
      <c r="U175" t="s">
        <v>45</v>
      </c>
      <c r="V175" t="s">
        <v>46</v>
      </c>
      <c r="W175" t="s">
        <v>40</v>
      </c>
      <c r="X175" t="s">
        <v>41</v>
      </c>
      <c r="Y175" t="s">
        <v>47</v>
      </c>
      <c r="Z175" t="s">
        <v>48</v>
      </c>
      <c r="AA175" t="s">
        <v>49</v>
      </c>
      <c r="AC175" s="2"/>
    </row>
    <row r="176" spans="1:31" x14ac:dyDescent="0.25">
      <c r="A176" t="s">
        <v>1050</v>
      </c>
      <c r="B176" t="s">
        <v>1051</v>
      </c>
      <c r="C176" t="s">
        <v>1051</v>
      </c>
      <c r="D176" t="s">
        <v>344</v>
      </c>
      <c r="E176" t="s">
        <v>167</v>
      </c>
      <c r="F176" t="s">
        <v>1052</v>
      </c>
      <c r="G176" t="s">
        <v>344</v>
      </c>
      <c r="H176" t="s">
        <v>964</v>
      </c>
      <c r="I176" t="s">
        <v>1053</v>
      </c>
      <c r="J176" s="2">
        <v>174536</v>
      </c>
      <c r="K176" s="2">
        <v>800</v>
      </c>
      <c r="L176" s="2">
        <v>30</v>
      </c>
      <c r="M176" s="2">
        <v>0</v>
      </c>
      <c r="N176" t="s">
        <v>966</v>
      </c>
      <c r="O176" t="s">
        <v>964</v>
      </c>
      <c r="P176" t="s">
        <v>304</v>
      </c>
      <c r="Q176" t="s">
        <v>72</v>
      </c>
      <c r="S176" t="s">
        <v>1054</v>
      </c>
      <c r="U176" t="s">
        <v>45</v>
      </c>
      <c r="V176" t="s">
        <v>46</v>
      </c>
      <c r="W176" t="s">
        <v>966</v>
      </c>
      <c r="X176" t="s">
        <v>964</v>
      </c>
      <c r="Y176" t="s">
        <v>72</v>
      </c>
      <c r="Z176" t="s">
        <v>68</v>
      </c>
      <c r="AA176" t="s">
        <v>49</v>
      </c>
      <c r="AB176" t="s">
        <v>50</v>
      </c>
      <c r="AC176" s="2">
        <v>62676.35</v>
      </c>
      <c r="AD176" t="s">
        <v>1055</v>
      </c>
      <c r="AE176" t="s">
        <v>115</v>
      </c>
    </row>
    <row r="177" spans="1:31" x14ac:dyDescent="0.25">
      <c r="A177" t="s">
        <v>1056</v>
      </c>
      <c r="B177" t="s">
        <v>1057</v>
      </c>
      <c r="C177" t="s">
        <v>1057</v>
      </c>
      <c r="D177" t="s">
        <v>847</v>
      </c>
      <c r="E177" t="s">
        <v>848</v>
      </c>
      <c r="F177" t="s">
        <v>1058</v>
      </c>
      <c r="G177" t="s">
        <v>847</v>
      </c>
      <c r="H177" t="s">
        <v>1059</v>
      </c>
      <c r="J177" s="2">
        <v>1069875</v>
      </c>
      <c r="K177" s="2">
        <v>4500</v>
      </c>
      <c r="L177" s="2">
        <v>21</v>
      </c>
      <c r="M177" s="2">
        <v>0</v>
      </c>
      <c r="N177" t="s">
        <v>541</v>
      </c>
      <c r="O177" t="s">
        <v>542</v>
      </c>
      <c r="P177" t="s">
        <v>91</v>
      </c>
      <c r="Q177" t="s">
        <v>92</v>
      </c>
      <c r="S177" t="s">
        <v>1060</v>
      </c>
      <c r="U177" t="s">
        <v>45</v>
      </c>
      <c r="V177" t="s">
        <v>46</v>
      </c>
      <c r="W177" t="s">
        <v>541</v>
      </c>
      <c r="X177" t="s">
        <v>542</v>
      </c>
      <c r="Y177" t="s">
        <v>92</v>
      </c>
      <c r="Z177" t="s">
        <v>94</v>
      </c>
      <c r="AA177" t="s">
        <v>49</v>
      </c>
      <c r="AB177" t="s">
        <v>50</v>
      </c>
      <c r="AC177" s="2">
        <v>-41243.79</v>
      </c>
      <c r="AD177" t="s">
        <v>1061</v>
      </c>
      <c r="AE177" t="s">
        <v>115</v>
      </c>
    </row>
    <row r="178" spans="1:31" hidden="1" x14ac:dyDescent="0.25">
      <c r="I178" t="s">
        <v>1063</v>
      </c>
      <c r="J178" s="2">
        <v>109085</v>
      </c>
      <c r="K178" s="2">
        <v>500</v>
      </c>
      <c r="L178" s="2">
        <v>15</v>
      </c>
      <c r="M178" s="2">
        <v>0</v>
      </c>
      <c r="S178" t="s">
        <v>1065</v>
      </c>
      <c r="U178" t="s">
        <v>45</v>
      </c>
      <c r="V178" t="s">
        <v>46</v>
      </c>
      <c r="W178" t="s">
        <v>1064</v>
      </c>
      <c r="X178" t="s">
        <v>1062</v>
      </c>
      <c r="Y178" t="s">
        <v>72</v>
      </c>
      <c r="Z178" t="s">
        <v>68</v>
      </c>
      <c r="AA178" t="s">
        <v>49</v>
      </c>
      <c r="AC178" s="2"/>
    </row>
    <row r="179" spans="1:31" x14ac:dyDescent="0.25">
      <c r="A179" t="s">
        <v>1066</v>
      </c>
      <c r="B179" t="s">
        <v>1067</v>
      </c>
      <c r="C179" t="s">
        <v>1067</v>
      </c>
      <c r="D179" t="s">
        <v>153</v>
      </c>
      <c r="E179" t="s">
        <v>272</v>
      </c>
      <c r="F179" t="s">
        <v>1068</v>
      </c>
      <c r="G179" t="s">
        <v>847</v>
      </c>
      <c r="H179" t="s">
        <v>905</v>
      </c>
      <c r="I179" t="s">
        <v>1069</v>
      </c>
      <c r="J179" s="2">
        <v>76360</v>
      </c>
      <c r="K179" s="2">
        <v>350</v>
      </c>
      <c r="L179" s="2">
        <v>15</v>
      </c>
      <c r="M179" s="2">
        <v>0</v>
      </c>
      <c r="N179" t="s">
        <v>904</v>
      </c>
      <c r="O179" t="s">
        <v>905</v>
      </c>
      <c r="P179" t="s">
        <v>304</v>
      </c>
      <c r="Q179" t="s">
        <v>72</v>
      </c>
      <c r="S179" t="s">
        <v>1070</v>
      </c>
      <c r="U179" t="s">
        <v>45</v>
      </c>
      <c r="V179" t="s">
        <v>46</v>
      </c>
      <c r="W179" t="s">
        <v>904</v>
      </c>
      <c r="X179" t="s">
        <v>905</v>
      </c>
      <c r="Y179" t="s">
        <v>72</v>
      </c>
      <c r="Z179" t="s">
        <v>68</v>
      </c>
      <c r="AA179" t="s">
        <v>49</v>
      </c>
      <c r="AB179" t="s">
        <v>50</v>
      </c>
      <c r="AC179" s="2">
        <v>41957.57</v>
      </c>
      <c r="AD179" t="s">
        <v>1071</v>
      </c>
      <c r="AE179" t="s">
        <v>52</v>
      </c>
    </row>
    <row r="180" spans="1:31" hidden="1" x14ac:dyDescent="0.25">
      <c r="I180" t="s">
        <v>1073</v>
      </c>
      <c r="J180" s="2">
        <v>1000</v>
      </c>
      <c r="K180" s="2">
        <v>0</v>
      </c>
      <c r="L180" s="2">
        <v>1</v>
      </c>
      <c r="M180" s="2">
        <v>0</v>
      </c>
      <c r="S180" t="s">
        <v>1076</v>
      </c>
      <c r="U180" t="s">
        <v>45</v>
      </c>
      <c r="V180" t="s">
        <v>46</v>
      </c>
      <c r="W180" t="s">
        <v>1074</v>
      </c>
      <c r="X180" t="s">
        <v>1075</v>
      </c>
      <c r="Y180" t="s">
        <v>72</v>
      </c>
      <c r="Z180" t="s">
        <v>68</v>
      </c>
      <c r="AA180" t="s">
        <v>49</v>
      </c>
      <c r="AC180" s="2"/>
    </row>
    <row r="181" spans="1:31" x14ac:dyDescent="0.25">
      <c r="A181" t="s">
        <v>1077</v>
      </c>
      <c r="B181" t="s">
        <v>1078</v>
      </c>
      <c r="C181" t="s">
        <v>1078</v>
      </c>
      <c r="D181" t="s">
        <v>847</v>
      </c>
      <c r="E181" t="s">
        <v>848</v>
      </c>
      <c r="F181" t="s">
        <v>1079</v>
      </c>
      <c r="G181" t="s">
        <v>297</v>
      </c>
      <c r="H181" t="s">
        <v>964</v>
      </c>
      <c r="I181" t="s">
        <v>1080</v>
      </c>
      <c r="J181" s="2">
        <v>327255</v>
      </c>
      <c r="K181" s="2">
        <v>1500</v>
      </c>
      <c r="L181" s="2">
        <v>15</v>
      </c>
      <c r="M181" s="2">
        <v>0</v>
      </c>
      <c r="N181" t="s">
        <v>966</v>
      </c>
      <c r="O181" t="s">
        <v>964</v>
      </c>
      <c r="P181" t="s">
        <v>304</v>
      </c>
      <c r="Q181" t="s">
        <v>72</v>
      </c>
      <c r="S181" t="s">
        <v>1081</v>
      </c>
      <c r="U181" t="s">
        <v>45</v>
      </c>
      <c r="V181" t="s">
        <v>46</v>
      </c>
      <c r="W181" t="s">
        <v>966</v>
      </c>
      <c r="X181" t="s">
        <v>964</v>
      </c>
      <c r="Y181" t="s">
        <v>72</v>
      </c>
      <c r="Z181" t="s">
        <v>68</v>
      </c>
      <c r="AA181" t="s">
        <v>49</v>
      </c>
      <c r="AB181" t="s">
        <v>50</v>
      </c>
      <c r="AC181" s="2">
        <v>327255</v>
      </c>
      <c r="AD181" t="s">
        <v>64</v>
      </c>
    </row>
    <row r="182" spans="1:31" s="13" customFormat="1" hidden="1" x14ac:dyDescent="0.25">
      <c r="G182"/>
      <c r="I182" t="s">
        <v>1082</v>
      </c>
      <c r="J182" s="2">
        <v>6656</v>
      </c>
      <c r="K182" s="2">
        <v>0</v>
      </c>
      <c r="L182" s="2">
        <v>21</v>
      </c>
      <c r="M182" s="2">
        <v>0</v>
      </c>
      <c r="R182"/>
      <c r="S182" s="13" t="s">
        <v>1083</v>
      </c>
      <c r="U182" t="s">
        <v>45</v>
      </c>
      <c r="V182" t="s">
        <v>46</v>
      </c>
      <c r="W182" t="s">
        <v>118</v>
      </c>
      <c r="X182" s="13" t="s">
        <v>119</v>
      </c>
      <c r="Y182" s="13" t="s">
        <v>121</v>
      </c>
      <c r="Z182" s="13" t="s">
        <v>94</v>
      </c>
      <c r="AA182" s="13" t="s">
        <v>49</v>
      </c>
      <c r="AC182" s="14"/>
    </row>
    <row r="183" spans="1:31" hidden="1" x14ac:dyDescent="0.25">
      <c r="I183" t="s">
        <v>1084</v>
      </c>
      <c r="J183" s="2">
        <v>1000</v>
      </c>
      <c r="K183" s="2">
        <v>0</v>
      </c>
      <c r="L183" s="2">
        <v>15</v>
      </c>
      <c r="M183" s="2">
        <v>0</v>
      </c>
      <c r="S183" t="s">
        <v>1085</v>
      </c>
      <c r="U183" t="s">
        <v>45</v>
      </c>
      <c r="V183" t="s">
        <v>46</v>
      </c>
      <c r="W183" t="s">
        <v>302</v>
      </c>
      <c r="X183" t="s">
        <v>303</v>
      </c>
      <c r="Y183" t="s">
        <v>72</v>
      </c>
      <c r="Z183" t="s">
        <v>68</v>
      </c>
      <c r="AA183" t="s">
        <v>49</v>
      </c>
      <c r="AC183" s="2"/>
    </row>
    <row r="184" spans="1:31" x14ac:dyDescent="0.25">
      <c r="A184" t="s">
        <v>1086</v>
      </c>
      <c r="B184" t="s">
        <v>1087</v>
      </c>
      <c r="C184" t="s">
        <v>1087</v>
      </c>
      <c r="D184" t="s">
        <v>847</v>
      </c>
      <c r="E184" t="s">
        <v>848</v>
      </c>
      <c r="F184" t="s">
        <v>1088</v>
      </c>
      <c r="G184" t="s">
        <v>299</v>
      </c>
      <c r="H184" t="s">
        <v>932</v>
      </c>
      <c r="J184" s="2">
        <v>654510</v>
      </c>
      <c r="K184" s="2">
        <v>3000</v>
      </c>
      <c r="L184" s="2">
        <v>21</v>
      </c>
      <c r="M184" s="2">
        <v>0</v>
      </c>
      <c r="N184" t="s">
        <v>933</v>
      </c>
      <c r="O184" t="s">
        <v>932</v>
      </c>
      <c r="P184" t="s">
        <v>103</v>
      </c>
      <c r="Q184" t="s">
        <v>104</v>
      </c>
      <c r="S184" t="s">
        <v>1089</v>
      </c>
      <c r="U184" t="s">
        <v>45</v>
      </c>
      <c r="V184" t="s">
        <v>46</v>
      </c>
      <c r="W184" t="s">
        <v>933</v>
      </c>
      <c r="X184" t="s">
        <v>932</v>
      </c>
      <c r="Y184" t="s">
        <v>279</v>
      </c>
      <c r="Z184" t="s">
        <v>280</v>
      </c>
      <c r="AA184" t="s">
        <v>49</v>
      </c>
      <c r="AB184" t="s">
        <v>50</v>
      </c>
      <c r="AC184" s="2">
        <v>98292.05</v>
      </c>
      <c r="AD184" t="s">
        <v>1090</v>
      </c>
      <c r="AE184" t="s">
        <v>52</v>
      </c>
    </row>
    <row r="185" spans="1:31" x14ac:dyDescent="0.25">
      <c r="A185" t="s">
        <v>1091</v>
      </c>
      <c r="B185" t="s">
        <v>1092</v>
      </c>
      <c r="C185" t="s">
        <v>1092</v>
      </c>
      <c r="D185" t="s">
        <v>192</v>
      </c>
      <c r="E185" t="s">
        <v>224</v>
      </c>
      <c r="F185" t="s">
        <v>1093</v>
      </c>
      <c r="G185" t="s">
        <v>1094</v>
      </c>
      <c r="H185" t="s">
        <v>1095</v>
      </c>
      <c r="I185" t="s">
        <v>1096</v>
      </c>
      <c r="J185" s="2">
        <v>33594</v>
      </c>
      <c r="K185" s="2">
        <v>150</v>
      </c>
      <c r="L185" s="2">
        <v>7</v>
      </c>
      <c r="M185" s="2">
        <v>0</v>
      </c>
      <c r="N185" t="s">
        <v>1038</v>
      </c>
      <c r="O185" t="s">
        <v>1039</v>
      </c>
      <c r="P185" t="s">
        <v>304</v>
      </c>
      <c r="Q185" t="s">
        <v>72</v>
      </c>
      <c r="S185" t="s">
        <v>1097</v>
      </c>
      <c r="U185" t="s">
        <v>45</v>
      </c>
      <c r="V185" t="s">
        <v>46</v>
      </c>
      <c r="W185" t="s">
        <v>1038</v>
      </c>
      <c r="X185" t="s">
        <v>1039</v>
      </c>
      <c r="Y185" t="s">
        <v>72</v>
      </c>
      <c r="Z185" t="s">
        <v>68</v>
      </c>
      <c r="AA185" t="s">
        <v>49</v>
      </c>
      <c r="AB185" t="s">
        <v>50</v>
      </c>
      <c r="AC185" s="2">
        <v>21571.02</v>
      </c>
      <c r="AD185" t="s">
        <v>1098</v>
      </c>
    </row>
    <row r="186" spans="1:31" hidden="1" x14ac:dyDescent="0.25">
      <c r="I186" t="s">
        <v>1099</v>
      </c>
      <c r="J186" s="2">
        <v>1000</v>
      </c>
      <c r="K186" s="2">
        <v>0</v>
      </c>
      <c r="L186" s="2">
        <v>1</v>
      </c>
      <c r="M186" s="2">
        <v>0</v>
      </c>
      <c r="S186" t="s">
        <v>1100</v>
      </c>
      <c r="U186" t="s">
        <v>45</v>
      </c>
      <c r="V186" t="s">
        <v>46</v>
      </c>
      <c r="W186" t="s">
        <v>67</v>
      </c>
      <c r="X186" t="s">
        <v>68</v>
      </c>
      <c r="Y186" t="s">
        <v>72</v>
      </c>
      <c r="Z186" t="s">
        <v>68</v>
      </c>
      <c r="AA186" t="s">
        <v>49</v>
      </c>
      <c r="AC186" s="2"/>
    </row>
    <row r="187" spans="1:31" hidden="1" x14ac:dyDescent="0.25">
      <c r="I187" t="s">
        <v>1101</v>
      </c>
      <c r="J187" s="2">
        <v>1000</v>
      </c>
      <c r="K187" s="2">
        <v>0</v>
      </c>
      <c r="L187" s="2">
        <v>15</v>
      </c>
      <c r="M187" s="2">
        <v>0</v>
      </c>
      <c r="S187" t="s">
        <v>1102</v>
      </c>
      <c r="U187" t="s">
        <v>45</v>
      </c>
      <c r="V187" t="s">
        <v>46</v>
      </c>
      <c r="W187" t="s">
        <v>445</v>
      </c>
      <c r="X187" t="s">
        <v>446</v>
      </c>
      <c r="Y187" t="s">
        <v>72</v>
      </c>
      <c r="Z187" t="s">
        <v>68</v>
      </c>
      <c r="AA187" t="s">
        <v>49</v>
      </c>
      <c r="AC187" s="2"/>
    </row>
    <row r="188" spans="1:31" x14ac:dyDescent="0.25">
      <c r="A188" t="s">
        <v>1103</v>
      </c>
      <c r="B188" t="s">
        <v>1104</v>
      </c>
      <c r="C188" t="s">
        <v>1104</v>
      </c>
      <c r="D188" t="s">
        <v>178</v>
      </c>
      <c r="E188" t="s">
        <v>179</v>
      </c>
      <c r="F188" t="s">
        <v>1105</v>
      </c>
      <c r="G188" t="s">
        <v>178</v>
      </c>
      <c r="H188" t="s">
        <v>1106</v>
      </c>
      <c r="I188" t="s">
        <v>1107</v>
      </c>
      <c r="J188" s="2">
        <v>231050</v>
      </c>
      <c r="K188" s="2">
        <v>1000</v>
      </c>
      <c r="L188" s="2">
        <v>3</v>
      </c>
      <c r="M188" s="2">
        <v>0</v>
      </c>
      <c r="N188" t="s">
        <v>1108</v>
      </c>
      <c r="O188" t="s">
        <v>1106</v>
      </c>
      <c r="P188" t="s">
        <v>1109</v>
      </c>
      <c r="Q188" t="s">
        <v>1110</v>
      </c>
      <c r="S188" t="s">
        <v>1111</v>
      </c>
      <c r="U188" t="s">
        <v>45</v>
      </c>
      <c r="V188" t="s">
        <v>46</v>
      </c>
      <c r="W188" t="s">
        <v>1108</v>
      </c>
      <c r="X188" t="s">
        <v>1106</v>
      </c>
      <c r="Y188" t="s">
        <v>1112</v>
      </c>
      <c r="Z188" t="s">
        <v>1113</v>
      </c>
      <c r="AA188" t="s">
        <v>49</v>
      </c>
      <c r="AB188" t="s">
        <v>50</v>
      </c>
      <c r="AC188" s="2">
        <v>189158.12</v>
      </c>
      <c r="AD188" t="s">
        <v>1114</v>
      </c>
      <c r="AE188" t="s">
        <v>52</v>
      </c>
    </row>
    <row r="189" spans="1:31" hidden="1" x14ac:dyDescent="0.25">
      <c r="I189" t="s">
        <v>1115</v>
      </c>
      <c r="J189" s="2">
        <v>109085</v>
      </c>
      <c r="K189" s="2">
        <v>500</v>
      </c>
      <c r="L189" s="2">
        <v>21</v>
      </c>
      <c r="M189" s="2">
        <v>0</v>
      </c>
      <c r="S189" t="s">
        <v>1116</v>
      </c>
      <c r="U189" t="s">
        <v>45</v>
      </c>
      <c r="V189" t="s">
        <v>46</v>
      </c>
      <c r="W189" t="s">
        <v>1108</v>
      </c>
      <c r="X189" t="s">
        <v>1106</v>
      </c>
      <c r="Y189" t="s">
        <v>1112</v>
      </c>
      <c r="Z189" t="s">
        <v>1113</v>
      </c>
      <c r="AA189" t="s">
        <v>49</v>
      </c>
      <c r="AC189" s="2"/>
    </row>
    <row r="190" spans="1:31" hidden="1" x14ac:dyDescent="0.25">
      <c r="I190" t="s">
        <v>1118</v>
      </c>
      <c r="J190" s="2">
        <v>218</v>
      </c>
      <c r="K190" s="2">
        <v>1</v>
      </c>
      <c r="L190" s="2">
        <v>1</v>
      </c>
      <c r="M190" s="2">
        <v>0</v>
      </c>
      <c r="S190" t="s">
        <v>1121</v>
      </c>
      <c r="U190" t="s">
        <v>45</v>
      </c>
      <c r="V190" t="s">
        <v>46</v>
      </c>
      <c r="W190" t="s">
        <v>1119</v>
      </c>
      <c r="X190" t="s">
        <v>1120</v>
      </c>
      <c r="Y190" t="s">
        <v>1122</v>
      </c>
      <c r="Z190" t="s">
        <v>1122</v>
      </c>
      <c r="AA190" t="s">
        <v>49</v>
      </c>
      <c r="AC190" s="2"/>
    </row>
    <row r="191" spans="1:31" hidden="1" x14ac:dyDescent="0.25">
      <c r="I191" t="s">
        <v>1124</v>
      </c>
      <c r="J191" s="2">
        <v>218170</v>
      </c>
      <c r="K191" s="2">
        <v>1000</v>
      </c>
      <c r="L191" s="2">
        <v>15</v>
      </c>
      <c r="M191" s="2">
        <v>0</v>
      </c>
      <c r="S191" t="s">
        <v>1126</v>
      </c>
      <c r="U191" t="s">
        <v>45</v>
      </c>
      <c r="V191" t="s">
        <v>46</v>
      </c>
      <c r="W191" t="s">
        <v>1125</v>
      </c>
      <c r="X191" t="s">
        <v>1123</v>
      </c>
      <c r="Y191" t="s">
        <v>161</v>
      </c>
      <c r="Z191" t="s">
        <v>162</v>
      </c>
      <c r="AA191" t="s">
        <v>49</v>
      </c>
      <c r="AC191" s="2"/>
    </row>
    <row r="192" spans="1:31" hidden="1" x14ac:dyDescent="0.25">
      <c r="I192" t="s">
        <v>1127</v>
      </c>
      <c r="J192" s="2">
        <v>1000</v>
      </c>
      <c r="K192" s="2">
        <v>0</v>
      </c>
      <c r="L192" s="2">
        <v>15</v>
      </c>
      <c r="M192" s="2">
        <v>0</v>
      </c>
      <c r="S192" t="s">
        <v>1128</v>
      </c>
      <c r="U192" t="s">
        <v>45</v>
      </c>
      <c r="V192" t="s">
        <v>46</v>
      </c>
      <c r="W192" t="s">
        <v>403</v>
      </c>
      <c r="X192" t="s">
        <v>404</v>
      </c>
      <c r="Y192" t="s">
        <v>161</v>
      </c>
      <c r="Z192" t="s">
        <v>162</v>
      </c>
      <c r="AA192" t="s">
        <v>49</v>
      </c>
      <c r="AC192" s="2"/>
    </row>
    <row r="193" spans="1:31" x14ac:dyDescent="0.25">
      <c r="A193" t="s">
        <v>1129</v>
      </c>
      <c r="B193" t="s">
        <v>1130</v>
      </c>
      <c r="C193" t="s">
        <v>1130</v>
      </c>
      <c r="D193" t="s">
        <v>153</v>
      </c>
      <c r="E193" t="s">
        <v>272</v>
      </c>
      <c r="F193" t="s">
        <v>1131</v>
      </c>
      <c r="G193" t="s">
        <v>178</v>
      </c>
      <c r="H193" t="s">
        <v>303</v>
      </c>
      <c r="I193" t="s">
        <v>1132</v>
      </c>
      <c r="J193" s="2">
        <v>1090850</v>
      </c>
      <c r="K193" s="2">
        <v>5000</v>
      </c>
      <c r="L193" s="2">
        <v>21</v>
      </c>
      <c r="M193" s="2">
        <v>0</v>
      </c>
      <c r="N193" t="s">
        <v>302</v>
      </c>
      <c r="O193" t="s">
        <v>303</v>
      </c>
      <c r="P193" t="s">
        <v>304</v>
      </c>
      <c r="Q193" t="s">
        <v>72</v>
      </c>
      <c r="S193" t="s">
        <v>1133</v>
      </c>
      <c r="U193" t="s">
        <v>45</v>
      </c>
      <c r="V193" t="s">
        <v>46</v>
      </c>
      <c r="W193" t="s">
        <v>302</v>
      </c>
      <c r="X193" t="s">
        <v>303</v>
      </c>
      <c r="Y193" t="s">
        <v>72</v>
      </c>
      <c r="Z193" t="s">
        <v>68</v>
      </c>
      <c r="AA193" t="s">
        <v>49</v>
      </c>
      <c r="AB193" t="s">
        <v>50</v>
      </c>
      <c r="AC193" s="2">
        <v>1086684.6599999999</v>
      </c>
      <c r="AD193" t="s">
        <v>1134</v>
      </c>
    </row>
    <row r="194" spans="1:31" hidden="1" x14ac:dyDescent="0.25">
      <c r="A194" s="10" t="s">
        <v>1135</v>
      </c>
      <c r="B194" s="10" t="s">
        <v>1136</v>
      </c>
      <c r="C194" t="s">
        <v>1136</v>
      </c>
      <c r="D194" t="s">
        <v>55</v>
      </c>
      <c r="E194" t="s">
        <v>56</v>
      </c>
      <c r="F194" t="s">
        <v>1137</v>
      </c>
      <c r="H194" t="s">
        <v>41</v>
      </c>
      <c r="I194" t="s">
        <v>1138</v>
      </c>
      <c r="J194" s="2">
        <v>1000</v>
      </c>
      <c r="K194" s="2">
        <v>0</v>
      </c>
      <c r="L194" s="2">
        <v>21</v>
      </c>
      <c r="M194" s="2">
        <v>0</v>
      </c>
      <c r="N194" t="s">
        <v>40</v>
      </c>
      <c r="O194" t="s">
        <v>41</v>
      </c>
      <c r="P194" t="s">
        <v>61</v>
      </c>
      <c r="Q194" t="s">
        <v>62</v>
      </c>
      <c r="S194" t="s">
        <v>1139</v>
      </c>
      <c r="U194" t="s">
        <v>45</v>
      </c>
      <c r="V194" t="s">
        <v>46</v>
      </c>
      <c r="W194" t="s">
        <v>40</v>
      </c>
      <c r="X194" t="s">
        <v>41</v>
      </c>
      <c r="Y194" t="s">
        <v>47</v>
      </c>
      <c r="Z194" t="s">
        <v>48</v>
      </c>
      <c r="AA194" t="s">
        <v>49</v>
      </c>
      <c r="AB194" t="s">
        <v>142</v>
      </c>
      <c r="AC194" s="2">
        <v>1000</v>
      </c>
      <c r="AD194" t="s">
        <v>64</v>
      </c>
    </row>
    <row r="195" spans="1:31" x14ac:dyDescent="0.25">
      <c r="A195" t="s">
        <v>1140</v>
      </c>
      <c r="B195" t="s">
        <v>1141</v>
      </c>
      <c r="C195" t="s">
        <v>1141</v>
      </c>
      <c r="D195" t="s">
        <v>1142</v>
      </c>
      <c r="E195" t="s">
        <v>77</v>
      </c>
      <c r="F195" t="s">
        <v>1143</v>
      </c>
      <c r="H195" t="s">
        <v>303</v>
      </c>
      <c r="I195" t="s">
        <v>1144</v>
      </c>
      <c r="J195" s="2">
        <v>36860</v>
      </c>
      <c r="K195" s="2">
        <v>0</v>
      </c>
      <c r="L195" s="2">
        <v>7</v>
      </c>
      <c r="M195" s="2">
        <v>0</v>
      </c>
      <c r="N195" t="s">
        <v>302</v>
      </c>
      <c r="O195" t="s">
        <v>303</v>
      </c>
      <c r="P195" t="s">
        <v>304</v>
      </c>
      <c r="Q195" t="s">
        <v>72</v>
      </c>
      <c r="S195" t="s">
        <v>1145</v>
      </c>
      <c r="U195" t="s">
        <v>45</v>
      </c>
      <c r="V195" t="s">
        <v>46</v>
      </c>
      <c r="W195" t="s">
        <v>302</v>
      </c>
      <c r="X195" t="s">
        <v>303</v>
      </c>
      <c r="Y195" t="s">
        <v>72</v>
      </c>
      <c r="Z195" t="s">
        <v>68</v>
      </c>
      <c r="AA195" t="s">
        <v>49</v>
      </c>
      <c r="AB195" t="s">
        <v>50</v>
      </c>
      <c r="AC195" s="2">
        <v>36860</v>
      </c>
      <c r="AD195" t="s">
        <v>64</v>
      </c>
    </row>
    <row r="196" spans="1:31" hidden="1" x14ac:dyDescent="0.25">
      <c r="I196" t="s">
        <v>1146</v>
      </c>
      <c r="J196" s="2">
        <v>1000</v>
      </c>
      <c r="K196" s="2">
        <v>0</v>
      </c>
      <c r="L196" s="2">
        <v>15</v>
      </c>
      <c r="M196" s="2">
        <v>0</v>
      </c>
      <c r="S196" t="s">
        <v>1147</v>
      </c>
      <c r="U196" t="s">
        <v>45</v>
      </c>
      <c r="V196" t="s">
        <v>46</v>
      </c>
      <c r="W196" t="s">
        <v>1064</v>
      </c>
      <c r="X196" t="s">
        <v>1062</v>
      </c>
      <c r="Y196" t="s">
        <v>72</v>
      </c>
      <c r="Z196" t="s">
        <v>68</v>
      </c>
      <c r="AA196" t="s">
        <v>49</v>
      </c>
      <c r="AC196" s="2"/>
    </row>
    <row r="197" spans="1:31" hidden="1" x14ac:dyDescent="0.25">
      <c r="A197" s="10" t="s">
        <v>1148</v>
      </c>
      <c r="B197" s="10" t="s">
        <v>1149</v>
      </c>
      <c r="C197" t="s">
        <v>1149</v>
      </c>
      <c r="D197" t="s">
        <v>55</v>
      </c>
      <c r="E197" t="s">
        <v>56</v>
      </c>
      <c r="F197" t="s">
        <v>1150</v>
      </c>
      <c r="H197" t="s">
        <v>41</v>
      </c>
      <c r="I197" t="s">
        <v>1151</v>
      </c>
      <c r="J197" s="2">
        <v>1000</v>
      </c>
      <c r="K197" s="2">
        <v>0</v>
      </c>
      <c r="L197" s="2">
        <v>15</v>
      </c>
      <c r="M197" s="2">
        <v>0</v>
      </c>
      <c r="N197" t="s">
        <v>40</v>
      </c>
      <c r="O197" t="s">
        <v>41</v>
      </c>
      <c r="P197" t="s">
        <v>61</v>
      </c>
      <c r="Q197" t="s">
        <v>62</v>
      </c>
      <c r="S197" t="s">
        <v>1152</v>
      </c>
      <c r="U197" t="s">
        <v>45</v>
      </c>
      <c r="V197" t="s">
        <v>46</v>
      </c>
      <c r="W197" t="s">
        <v>40</v>
      </c>
      <c r="X197" t="s">
        <v>41</v>
      </c>
      <c r="Y197" t="s">
        <v>47</v>
      </c>
      <c r="Z197" t="s">
        <v>48</v>
      </c>
      <c r="AA197" t="s">
        <v>49</v>
      </c>
      <c r="AB197" t="s">
        <v>142</v>
      </c>
      <c r="AC197" s="2">
        <v>1000</v>
      </c>
      <c r="AD197" t="s">
        <v>64</v>
      </c>
    </row>
    <row r="198" spans="1:31" hidden="1" x14ac:dyDescent="0.25">
      <c r="I198" t="s">
        <v>1153</v>
      </c>
      <c r="J198" s="2">
        <v>1000</v>
      </c>
      <c r="K198" s="2">
        <v>0</v>
      </c>
      <c r="L198" s="2">
        <v>1</v>
      </c>
      <c r="M198" s="2">
        <v>0</v>
      </c>
      <c r="S198" t="s">
        <v>1154</v>
      </c>
      <c r="U198" t="s">
        <v>45</v>
      </c>
      <c r="V198" t="s">
        <v>46</v>
      </c>
      <c r="W198" t="s">
        <v>1064</v>
      </c>
      <c r="X198" t="s">
        <v>1062</v>
      </c>
      <c r="Y198" t="s">
        <v>72</v>
      </c>
      <c r="Z198" t="s">
        <v>68</v>
      </c>
      <c r="AA198" t="s">
        <v>49</v>
      </c>
      <c r="AC198" s="2"/>
    </row>
    <row r="199" spans="1:31" hidden="1" x14ac:dyDescent="0.25">
      <c r="I199" t="s">
        <v>1155</v>
      </c>
      <c r="J199" s="2">
        <v>1000</v>
      </c>
      <c r="K199" s="2">
        <v>0</v>
      </c>
      <c r="L199" s="2">
        <v>21</v>
      </c>
      <c r="M199" s="2">
        <v>0</v>
      </c>
      <c r="S199" t="s">
        <v>1156</v>
      </c>
      <c r="U199" t="s">
        <v>45</v>
      </c>
      <c r="V199" t="s">
        <v>46</v>
      </c>
      <c r="W199" t="s">
        <v>67</v>
      </c>
      <c r="X199" t="s">
        <v>68</v>
      </c>
      <c r="Y199" t="s">
        <v>72</v>
      </c>
      <c r="Z199" t="s">
        <v>68</v>
      </c>
      <c r="AA199" t="s">
        <v>49</v>
      </c>
      <c r="AC199" s="2"/>
    </row>
    <row r="200" spans="1:31" hidden="1" x14ac:dyDescent="0.25">
      <c r="A200" t="s">
        <v>1157</v>
      </c>
      <c r="B200" t="s">
        <v>1158</v>
      </c>
      <c r="C200" t="s">
        <v>1158</v>
      </c>
      <c r="D200" t="s">
        <v>55</v>
      </c>
      <c r="E200" t="s">
        <v>56</v>
      </c>
      <c r="F200" t="s">
        <v>1159</v>
      </c>
      <c r="J200" s="2">
        <v>1000</v>
      </c>
      <c r="K200" s="2">
        <v>0</v>
      </c>
      <c r="L200" s="2">
        <v>1</v>
      </c>
      <c r="M200" s="2">
        <v>0</v>
      </c>
      <c r="N200" t="s">
        <v>585</v>
      </c>
      <c r="O200" t="s">
        <v>584</v>
      </c>
      <c r="P200" t="s">
        <v>158</v>
      </c>
      <c r="Q200" t="s">
        <v>159</v>
      </c>
      <c r="U200" t="s">
        <v>45</v>
      </c>
      <c r="V200" t="s">
        <v>46</v>
      </c>
      <c r="W200" t="s">
        <v>585</v>
      </c>
      <c r="X200" t="s">
        <v>584</v>
      </c>
      <c r="Y200" t="s">
        <v>161</v>
      </c>
      <c r="Z200" t="s">
        <v>162</v>
      </c>
      <c r="AA200" t="s">
        <v>49</v>
      </c>
      <c r="AB200" t="s">
        <v>50</v>
      </c>
      <c r="AC200" s="2">
        <v>1000</v>
      </c>
      <c r="AD200" t="s">
        <v>64</v>
      </c>
    </row>
    <row r="201" spans="1:31" x14ac:dyDescent="0.25">
      <c r="A201" t="s">
        <v>1160</v>
      </c>
      <c r="B201" t="s">
        <v>1161</v>
      </c>
      <c r="C201" t="s">
        <v>1161</v>
      </c>
      <c r="D201" t="s">
        <v>35</v>
      </c>
      <c r="E201" t="s">
        <v>36</v>
      </c>
      <c r="F201" t="s">
        <v>1162</v>
      </c>
      <c r="G201" t="s">
        <v>35</v>
      </c>
      <c r="H201" t="s">
        <v>584</v>
      </c>
      <c r="I201" t="s">
        <v>1163</v>
      </c>
      <c r="J201" s="2">
        <v>366004</v>
      </c>
      <c r="K201" s="2">
        <v>1480</v>
      </c>
      <c r="L201" s="2">
        <v>30</v>
      </c>
      <c r="M201" s="2">
        <v>0</v>
      </c>
      <c r="N201" t="s">
        <v>585</v>
      </c>
      <c r="O201" t="s">
        <v>584</v>
      </c>
      <c r="P201" t="s">
        <v>158</v>
      </c>
      <c r="Q201" t="s">
        <v>159</v>
      </c>
      <c r="S201" t="s">
        <v>1164</v>
      </c>
      <c r="U201" t="s">
        <v>45</v>
      </c>
      <c r="V201" t="s">
        <v>46</v>
      </c>
      <c r="W201" t="s">
        <v>585</v>
      </c>
      <c r="X201" t="s">
        <v>584</v>
      </c>
      <c r="Y201" t="s">
        <v>161</v>
      </c>
      <c r="Z201" t="s">
        <v>162</v>
      </c>
      <c r="AA201" t="s">
        <v>49</v>
      </c>
      <c r="AB201" t="s">
        <v>50</v>
      </c>
      <c r="AC201" s="2">
        <v>37799.47</v>
      </c>
      <c r="AD201" t="s">
        <v>1165</v>
      </c>
      <c r="AE201" t="s">
        <v>52</v>
      </c>
    </row>
    <row r="202" spans="1:31" x14ac:dyDescent="0.25">
      <c r="A202" t="s">
        <v>1166</v>
      </c>
      <c r="B202" t="s">
        <v>1167</v>
      </c>
      <c r="C202" t="s">
        <v>1167</v>
      </c>
      <c r="D202" t="s">
        <v>569</v>
      </c>
      <c r="E202" t="s">
        <v>570</v>
      </c>
      <c r="F202" t="s">
        <v>1168</v>
      </c>
      <c r="G202" t="s">
        <v>1169</v>
      </c>
      <c r="H202" t="s">
        <v>404</v>
      </c>
      <c r="I202" t="s">
        <v>1170</v>
      </c>
      <c r="J202" s="2">
        <v>218170</v>
      </c>
      <c r="K202" s="2">
        <v>1000</v>
      </c>
      <c r="L202" s="2">
        <v>30</v>
      </c>
      <c r="M202" s="2">
        <v>0</v>
      </c>
      <c r="N202" t="s">
        <v>403</v>
      </c>
      <c r="O202" t="s">
        <v>404</v>
      </c>
      <c r="P202" t="s">
        <v>205</v>
      </c>
      <c r="Q202" t="s">
        <v>206</v>
      </c>
      <c r="S202" t="s">
        <v>1171</v>
      </c>
      <c r="U202" t="s">
        <v>45</v>
      </c>
      <c r="V202" t="s">
        <v>46</v>
      </c>
      <c r="W202" t="s">
        <v>403</v>
      </c>
      <c r="X202" t="s">
        <v>404</v>
      </c>
      <c r="Y202" t="s">
        <v>161</v>
      </c>
      <c r="Z202" t="s">
        <v>162</v>
      </c>
      <c r="AA202" t="s">
        <v>49</v>
      </c>
      <c r="AB202" t="s">
        <v>50</v>
      </c>
      <c r="AC202" s="2">
        <v>218170</v>
      </c>
      <c r="AD202" t="s">
        <v>64</v>
      </c>
    </row>
    <row r="203" spans="1:31" hidden="1" x14ac:dyDescent="0.25">
      <c r="I203" t="s">
        <v>1172</v>
      </c>
      <c r="J203" s="2">
        <v>1000</v>
      </c>
      <c r="K203" s="2">
        <v>0</v>
      </c>
      <c r="L203" s="2">
        <v>1</v>
      </c>
      <c r="M203" s="2">
        <v>0</v>
      </c>
      <c r="S203" t="s">
        <v>1173</v>
      </c>
      <c r="U203" t="s">
        <v>45</v>
      </c>
      <c r="V203" t="s">
        <v>46</v>
      </c>
      <c r="W203" t="s">
        <v>403</v>
      </c>
      <c r="X203" t="s">
        <v>404</v>
      </c>
      <c r="Y203" t="s">
        <v>161</v>
      </c>
      <c r="Z203" t="s">
        <v>162</v>
      </c>
      <c r="AA203" t="s">
        <v>49</v>
      </c>
      <c r="AC203" s="2"/>
    </row>
    <row r="204" spans="1:31" x14ac:dyDescent="0.25">
      <c r="A204" t="s">
        <v>1174</v>
      </c>
      <c r="B204" t="s">
        <v>1175</v>
      </c>
      <c r="C204" t="s">
        <v>1176</v>
      </c>
      <c r="D204" t="s">
        <v>125</v>
      </c>
      <c r="E204" t="s">
        <v>126</v>
      </c>
      <c r="F204" t="s">
        <v>1177</v>
      </c>
      <c r="G204" t="s">
        <v>35</v>
      </c>
      <c r="H204" t="s">
        <v>184</v>
      </c>
      <c r="J204" s="2">
        <v>6545100</v>
      </c>
      <c r="K204" s="2">
        <v>30000</v>
      </c>
      <c r="L204" s="2">
        <v>30</v>
      </c>
      <c r="M204" s="2">
        <v>0</v>
      </c>
      <c r="N204" t="s">
        <v>183</v>
      </c>
      <c r="O204" t="s">
        <v>184</v>
      </c>
      <c r="P204" t="s">
        <v>158</v>
      </c>
      <c r="Q204" t="s">
        <v>159</v>
      </c>
      <c r="S204" t="s">
        <v>1178</v>
      </c>
      <c r="U204" t="s">
        <v>45</v>
      </c>
      <c r="V204" t="s">
        <v>46</v>
      </c>
      <c r="W204" t="s">
        <v>183</v>
      </c>
      <c r="X204" t="s">
        <v>184</v>
      </c>
      <c r="Y204" t="s">
        <v>161</v>
      </c>
      <c r="Z204" t="s">
        <v>162</v>
      </c>
      <c r="AA204" t="s">
        <v>49</v>
      </c>
      <c r="AB204" t="s">
        <v>50</v>
      </c>
      <c r="AC204" s="2">
        <v>3192401.8</v>
      </c>
      <c r="AD204" t="s">
        <v>1179</v>
      </c>
      <c r="AE204" t="s">
        <v>52</v>
      </c>
    </row>
    <row r="205" spans="1:31" hidden="1" x14ac:dyDescent="0.25">
      <c r="I205" t="s">
        <v>1180</v>
      </c>
      <c r="J205" s="2">
        <v>1000</v>
      </c>
      <c r="K205" s="2">
        <v>0</v>
      </c>
      <c r="L205" s="2">
        <v>1</v>
      </c>
      <c r="M205" s="2">
        <v>0</v>
      </c>
      <c r="S205" t="s">
        <v>1181</v>
      </c>
      <c r="U205" t="s">
        <v>45</v>
      </c>
      <c r="V205" t="s">
        <v>46</v>
      </c>
      <c r="W205" t="s">
        <v>403</v>
      </c>
      <c r="X205" t="s">
        <v>404</v>
      </c>
      <c r="Y205" t="s">
        <v>161</v>
      </c>
      <c r="Z205" t="s">
        <v>162</v>
      </c>
      <c r="AA205" t="s">
        <v>49</v>
      </c>
      <c r="AC205" s="2"/>
    </row>
    <row r="206" spans="1:31" x14ac:dyDescent="0.25">
      <c r="A206" t="s">
        <v>1182</v>
      </c>
      <c r="B206" t="s">
        <v>1183</v>
      </c>
      <c r="C206" t="s">
        <v>1183</v>
      </c>
      <c r="D206" t="s">
        <v>35</v>
      </c>
      <c r="E206" t="s">
        <v>36</v>
      </c>
      <c r="F206" t="s">
        <v>1184</v>
      </c>
      <c r="G206" t="s">
        <v>35</v>
      </c>
      <c r="H206" t="s">
        <v>404</v>
      </c>
      <c r="I206" t="s">
        <v>1185</v>
      </c>
      <c r="J206" s="2">
        <v>58116</v>
      </c>
      <c r="K206" s="2">
        <v>235</v>
      </c>
      <c r="L206" s="2">
        <v>7</v>
      </c>
      <c r="M206" s="2">
        <v>0</v>
      </c>
      <c r="N206" t="s">
        <v>403</v>
      </c>
      <c r="O206" t="s">
        <v>404</v>
      </c>
      <c r="P206" t="s">
        <v>205</v>
      </c>
      <c r="Q206" t="s">
        <v>206</v>
      </c>
      <c r="S206" t="s">
        <v>1186</v>
      </c>
      <c r="U206" t="s">
        <v>45</v>
      </c>
      <c r="V206" t="s">
        <v>46</v>
      </c>
      <c r="W206" t="s">
        <v>403</v>
      </c>
      <c r="X206" t="s">
        <v>404</v>
      </c>
      <c r="Y206" t="s">
        <v>161</v>
      </c>
      <c r="Z206" t="s">
        <v>162</v>
      </c>
      <c r="AA206" t="s">
        <v>49</v>
      </c>
      <c r="AB206" t="s">
        <v>50</v>
      </c>
      <c r="AC206" s="2">
        <v>-694.18</v>
      </c>
      <c r="AD206" t="s">
        <v>1187</v>
      </c>
      <c r="AE206" t="s">
        <v>115</v>
      </c>
    </row>
    <row r="207" spans="1:31" hidden="1" x14ac:dyDescent="0.25">
      <c r="I207" t="s">
        <v>1188</v>
      </c>
      <c r="J207" s="2">
        <v>1000</v>
      </c>
      <c r="K207" s="2">
        <v>0</v>
      </c>
      <c r="L207" s="2">
        <v>1</v>
      </c>
      <c r="M207" s="2">
        <v>0</v>
      </c>
      <c r="S207" t="s">
        <v>1189</v>
      </c>
      <c r="U207" t="s">
        <v>45</v>
      </c>
      <c r="V207" t="s">
        <v>46</v>
      </c>
      <c r="W207" t="s">
        <v>403</v>
      </c>
      <c r="X207" t="s">
        <v>404</v>
      </c>
      <c r="Y207" t="s">
        <v>161</v>
      </c>
      <c r="Z207" t="s">
        <v>162</v>
      </c>
      <c r="AA207" t="s">
        <v>49</v>
      </c>
      <c r="AC207" s="2"/>
    </row>
    <row r="208" spans="1:31" x14ac:dyDescent="0.25">
      <c r="A208" t="s">
        <v>1190</v>
      </c>
      <c r="B208" t="s">
        <v>1191</v>
      </c>
      <c r="C208" t="s">
        <v>1191</v>
      </c>
      <c r="D208" t="s">
        <v>178</v>
      </c>
      <c r="E208" t="s">
        <v>179</v>
      </c>
      <c r="F208" t="s">
        <v>1192</v>
      </c>
      <c r="G208" t="s">
        <v>178</v>
      </c>
      <c r="H208" t="s">
        <v>41</v>
      </c>
      <c r="I208" t="s">
        <v>1193</v>
      </c>
      <c r="J208" s="2">
        <v>152719</v>
      </c>
      <c r="K208" s="2">
        <v>700</v>
      </c>
      <c r="L208" s="2">
        <v>15</v>
      </c>
      <c r="M208" s="2">
        <v>0</v>
      </c>
      <c r="N208" t="s">
        <v>40</v>
      </c>
      <c r="O208" t="s">
        <v>41</v>
      </c>
      <c r="P208" t="s">
        <v>61</v>
      </c>
      <c r="Q208" t="s">
        <v>62</v>
      </c>
      <c r="S208" t="s">
        <v>1194</v>
      </c>
      <c r="U208" t="s">
        <v>45</v>
      </c>
      <c r="V208" t="s">
        <v>46</v>
      </c>
      <c r="W208" t="s">
        <v>40</v>
      </c>
      <c r="X208" t="s">
        <v>41</v>
      </c>
      <c r="Y208" t="s">
        <v>47</v>
      </c>
      <c r="Z208" t="s">
        <v>48</v>
      </c>
      <c r="AA208" t="s">
        <v>49</v>
      </c>
      <c r="AB208" t="s">
        <v>50</v>
      </c>
      <c r="AC208" s="2">
        <v>90123.64</v>
      </c>
      <c r="AD208" t="s">
        <v>1195</v>
      </c>
      <c r="AE208" t="s">
        <v>52</v>
      </c>
    </row>
    <row r="209" spans="1:31" hidden="1" x14ac:dyDescent="0.25">
      <c r="I209" t="s">
        <v>1196</v>
      </c>
      <c r="J209" s="2">
        <v>186440</v>
      </c>
      <c r="K209" s="2">
        <v>800</v>
      </c>
      <c r="L209" s="2">
        <v>15</v>
      </c>
      <c r="M209" s="2">
        <v>0</v>
      </c>
      <c r="S209" t="s">
        <v>1197</v>
      </c>
      <c r="U209" t="s">
        <v>45</v>
      </c>
      <c r="V209" t="s">
        <v>46</v>
      </c>
      <c r="W209" t="s">
        <v>118</v>
      </c>
      <c r="X209" t="s">
        <v>119</v>
      </c>
      <c r="Y209" t="s">
        <v>121</v>
      </c>
      <c r="Z209" t="s">
        <v>94</v>
      </c>
      <c r="AA209" t="s">
        <v>49</v>
      </c>
      <c r="AC209" s="2"/>
    </row>
    <row r="210" spans="1:31" hidden="1" x14ac:dyDescent="0.25">
      <c r="I210" t="s">
        <v>1198</v>
      </c>
      <c r="J210" s="2">
        <v>1000</v>
      </c>
      <c r="K210" s="2">
        <v>0</v>
      </c>
      <c r="L210" s="2">
        <v>21</v>
      </c>
      <c r="M210" s="2">
        <v>0</v>
      </c>
      <c r="S210" t="s">
        <v>1199</v>
      </c>
      <c r="U210" t="s">
        <v>45</v>
      </c>
      <c r="V210" t="s">
        <v>46</v>
      </c>
      <c r="W210" t="s">
        <v>445</v>
      </c>
      <c r="X210" t="s">
        <v>446</v>
      </c>
      <c r="Y210" t="s">
        <v>72</v>
      </c>
      <c r="Z210" t="s">
        <v>68</v>
      </c>
      <c r="AA210" t="s">
        <v>49</v>
      </c>
      <c r="AC210" s="2"/>
    </row>
    <row r="211" spans="1:31" hidden="1" x14ac:dyDescent="0.25">
      <c r="I211" t="s">
        <v>1200</v>
      </c>
      <c r="J211" s="2">
        <v>1000</v>
      </c>
      <c r="K211" s="2">
        <v>0</v>
      </c>
      <c r="L211" s="2">
        <v>7</v>
      </c>
      <c r="M211" s="2">
        <v>0</v>
      </c>
      <c r="S211" t="s">
        <v>1201</v>
      </c>
      <c r="U211" t="s">
        <v>45</v>
      </c>
      <c r="V211" t="s">
        <v>46</v>
      </c>
      <c r="W211" t="s">
        <v>403</v>
      </c>
      <c r="X211" t="s">
        <v>404</v>
      </c>
      <c r="Y211" t="s">
        <v>161</v>
      </c>
      <c r="Z211" t="s">
        <v>162</v>
      </c>
      <c r="AA211" t="s">
        <v>49</v>
      </c>
      <c r="AC211" s="2"/>
    </row>
    <row r="212" spans="1:31" hidden="1" x14ac:dyDescent="0.25">
      <c r="I212" t="s">
        <v>1203</v>
      </c>
      <c r="J212" s="2">
        <v>109085</v>
      </c>
      <c r="K212" s="2">
        <v>500</v>
      </c>
      <c r="L212" s="2">
        <v>15</v>
      </c>
      <c r="M212" s="2">
        <v>0</v>
      </c>
      <c r="S212" t="s">
        <v>1204</v>
      </c>
      <c r="U212" t="s">
        <v>45</v>
      </c>
      <c r="V212" t="s">
        <v>46</v>
      </c>
      <c r="W212" t="s">
        <v>966</v>
      </c>
      <c r="X212" t="s">
        <v>964</v>
      </c>
      <c r="Y212" t="s">
        <v>72</v>
      </c>
      <c r="Z212" t="s">
        <v>68</v>
      </c>
      <c r="AA212" t="s">
        <v>49</v>
      </c>
      <c r="AC212" s="2"/>
    </row>
    <row r="213" spans="1:31" x14ac:dyDescent="0.25">
      <c r="A213" t="s">
        <v>1205</v>
      </c>
      <c r="B213" t="s">
        <v>1206</v>
      </c>
      <c r="C213" t="s">
        <v>1206</v>
      </c>
      <c r="D213" t="s">
        <v>35</v>
      </c>
      <c r="E213" t="s">
        <v>36</v>
      </c>
      <c r="F213" t="s">
        <v>1207</v>
      </c>
      <c r="G213" t="s">
        <v>35</v>
      </c>
      <c r="H213" t="s">
        <v>1208</v>
      </c>
      <c r="I213" t="s">
        <v>1209</v>
      </c>
      <c r="J213" s="2">
        <v>370889</v>
      </c>
      <c r="K213" s="2">
        <v>1700</v>
      </c>
      <c r="L213" s="2">
        <v>21</v>
      </c>
      <c r="M213" s="2">
        <v>0</v>
      </c>
      <c r="N213" t="s">
        <v>1210</v>
      </c>
      <c r="O213" t="s">
        <v>1211</v>
      </c>
      <c r="P213" t="s">
        <v>1212</v>
      </c>
      <c r="Q213" t="s">
        <v>1213</v>
      </c>
      <c r="S213" t="s">
        <v>1214</v>
      </c>
      <c r="U213" t="s">
        <v>45</v>
      </c>
      <c r="V213" t="s">
        <v>46</v>
      </c>
      <c r="W213" t="s">
        <v>1210</v>
      </c>
      <c r="X213" t="s">
        <v>1211</v>
      </c>
      <c r="Y213" t="s">
        <v>1215</v>
      </c>
      <c r="Z213" t="s">
        <v>1216</v>
      </c>
      <c r="AA213" t="s">
        <v>49</v>
      </c>
      <c r="AB213" t="s">
        <v>50</v>
      </c>
      <c r="AC213" s="2">
        <v>38516.28</v>
      </c>
      <c r="AD213" t="s">
        <v>1217</v>
      </c>
      <c r="AE213" t="s">
        <v>52</v>
      </c>
    </row>
    <row r="214" spans="1:31" hidden="1" x14ac:dyDescent="0.25">
      <c r="A214" t="s">
        <v>1218</v>
      </c>
      <c r="B214" t="s">
        <v>1219</v>
      </c>
      <c r="C214" t="s">
        <v>1219</v>
      </c>
      <c r="D214" t="s">
        <v>55</v>
      </c>
      <c r="E214" t="s">
        <v>56</v>
      </c>
      <c r="F214" t="s">
        <v>1220</v>
      </c>
      <c r="J214" s="2">
        <v>1000</v>
      </c>
      <c r="K214" s="2">
        <v>0</v>
      </c>
      <c r="L214" s="2">
        <v>1</v>
      </c>
      <c r="M214" s="2">
        <v>0</v>
      </c>
      <c r="N214" t="s">
        <v>1221</v>
      </c>
      <c r="O214" t="s">
        <v>1222</v>
      </c>
      <c r="P214" t="s">
        <v>205</v>
      </c>
      <c r="Q214" t="s">
        <v>206</v>
      </c>
      <c r="U214" t="s">
        <v>45</v>
      </c>
      <c r="V214" t="s">
        <v>46</v>
      </c>
      <c r="W214" t="s">
        <v>1221</v>
      </c>
      <c r="X214" t="s">
        <v>1222</v>
      </c>
      <c r="Y214" t="s">
        <v>47</v>
      </c>
      <c r="Z214" t="s">
        <v>48</v>
      </c>
      <c r="AA214" t="s">
        <v>49</v>
      </c>
      <c r="AB214" t="s">
        <v>50</v>
      </c>
      <c r="AC214" s="2">
        <v>1000</v>
      </c>
      <c r="AD214" t="s">
        <v>64</v>
      </c>
    </row>
    <row r="215" spans="1:31" hidden="1" x14ac:dyDescent="0.25">
      <c r="I215" t="s">
        <v>1223</v>
      </c>
      <c r="J215" s="2">
        <v>1000</v>
      </c>
      <c r="K215" s="2">
        <v>0</v>
      </c>
      <c r="L215" s="2">
        <v>1</v>
      </c>
      <c r="M215" s="2">
        <v>0</v>
      </c>
      <c r="S215" t="s">
        <v>1224</v>
      </c>
      <c r="U215" t="s">
        <v>45</v>
      </c>
      <c r="V215" t="s">
        <v>46</v>
      </c>
      <c r="W215" t="s">
        <v>40</v>
      </c>
      <c r="X215" t="s">
        <v>41</v>
      </c>
      <c r="Y215" t="s">
        <v>47</v>
      </c>
      <c r="Z215" t="s">
        <v>48</v>
      </c>
      <c r="AA215" t="s">
        <v>49</v>
      </c>
      <c r="AC215" s="2"/>
    </row>
    <row r="216" spans="1:31" x14ac:dyDescent="0.25">
      <c r="A216" t="s">
        <v>1225</v>
      </c>
      <c r="B216" t="s">
        <v>1226</v>
      </c>
      <c r="C216" t="s">
        <v>1226</v>
      </c>
      <c r="D216" t="s">
        <v>35</v>
      </c>
      <c r="E216" t="s">
        <v>36</v>
      </c>
      <c r="F216" t="s">
        <v>1227</v>
      </c>
      <c r="G216" t="s">
        <v>35</v>
      </c>
      <c r="H216" t="s">
        <v>68</v>
      </c>
      <c r="I216" t="s">
        <v>1228</v>
      </c>
      <c r="J216" s="2">
        <v>594278</v>
      </c>
      <c r="K216" s="2">
        <v>2550</v>
      </c>
      <c r="L216" s="2">
        <v>21</v>
      </c>
      <c r="M216" s="2">
        <v>0</v>
      </c>
      <c r="N216" t="s">
        <v>67</v>
      </c>
      <c r="O216" t="s">
        <v>68</v>
      </c>
      <c r="P216" t="s">
        <v>69</v>
      </c>
      <c r="Q216" t="s">
        <v>70</v>
      </c>
      <c r="S216" t="s">
        <v>1229</v>
      </c>
      <c r="U216" t="s">
        <v>45</v>
      </c>
      <c r="V216" t="s">
        <v>46</v>
      </c>
      <c r="W216" t="s">
        <v>67</v>
      </c>
      <c r="X216" t="s">
        <v>68</v>
      </c>
      <c r="Y216" t="s">
        <v>72</v>
      </c>
      <c r="Z216" t="s">
        <v>68</v>
      </c>
      <c r="AA216" t="s">
        <v>49</v>
      </c>
      <c r="AB216" t="s">
        <v>50</v>
      </c>
      <c r="AC216" s="2">
        <v>87925.19</v>
      </c>
      <c r="AD216" t="s">
        <v>1230</v>
      </c>
      <c r="AE216" t="s">
        <v>52</v>
      </c>
    </row>
    <row r="217" spans="1:31" hidden="1" x14ac:dyDescent="0.25">
      <c r="I217" t="s">
        <v>1231</v>
      </c>
      <c r="J217" s="2">
        <v>21817</v>
      </c>
      <c r="K217" s="2">
        <v>100</v>
      </c>
      <c r="L217" s="2">
        <v>1</v>
      </c>
      <c r="M217" s="2">
        <v>0</v>
      </c>
      <c r="S217" t="s">
        <v>1232</v>
      </c>
      <c r="U217" t="s">
        <v>45</v>
      </c>
      <c r="V217" t="s">
        <v>46</v>
      </c>
      <c r="W217" t="s">
        <v>89</v>
      </c>
      <c r="X217" t="s">
        <v>90</v>
      </c>
      <c r="Y217" t="s">
        <v>92</v>
      </c>
      <c r="Z217" t="s">
        <v>94</v>
      </c>
      <c r="AA217" t="s">
        <v>49</v>
      </c>
      <c r="AC217" s="2"/>
    </row>
    <row r="218" spans="1:31" hidden="1" x14ac:dyDescent="0.25">
      <c r="I218" t="s">
        <v>1233</v>
      </c>
      <c r="J218" s="2">
        <v>1000</v>
      </c>
      <c r="K218" s="2">
        <v>0</v>
      </c>
      <c r="L218" s="2">
        <v>15</v>
      </c>
      <c r="M218" s="2">
        <v>0</v>
      </c>
      <c r="S218" t="s">
        <v>1234</v>
      </c>
      <c r="U218" t="s">
        <v>45</v>
      </c>
      <c r="V218" t="s">
        <v>46</v>
      </c>
      <c r="W218" t="s">
        <v>652</v>
      </c>
      <c r="X218" t="s">
        <v>653</v>
      </c>
      <c r="Y218" t="s">
        <v>72</v>
      </c>
      <c r="Z218" t="s">
        <v>68</v>
      </c>
      <c r="AA218" t="s">
        <v>49</v>
      </c>
      <c r="AC218" s="2"/>
    </row>
    <row r="219" spans="1:31" x14ac:dyDescent="0.25">
      <c r="A219" t="s">
        <v>1235</v>
      </c>
      <c r="B219" t="s">
        <v>1236</v>
      </c>
      <c r="C219" t="s">
        <v>1236</v>
      </c>
      <c r="D219" t="s">
        <v>35</v>
      </c>
      <c r="E219" t="s">
        <v>36</v>
      </c>
      <c r="F219" t="s">
        <v>1237</v>
      </c>
      <c r="G219" t="s">
        <v>344</v>
      </c>
      <c r="H219" t="s">
        <v>1222</v>
      </c>
      <c r="I219" t="s">
        <v>1238</v>
      </c>
      <c r="J219" s="2">
        <v>1090850</v>
      </c>
      <c r="K219" s="2">
        <v>5000</v>
      </c>
      <c r="L219" s="2">
        <v>30</v>
      </c>
      <c r="M219" s="2">
        <v>0</v>
      </c>
      <c r="N219" t="s">
        <v>1221</v>
      </c>
      <c r="O219" t="s">
        <v>1222</v>
      </c>
      <c r="P219" t="s">
        <v>205</v>
      </c>
      <c r="Q219" t="s">
        <v>206</v>
      </c>
      <c r="S219" t="s">
        <v>1239</v>
      </c>
      <c r="U219" t="s">
        <v>45</v>
      </c>
      <c r="V219" t="s">
        <v>46</v>
      </c>
      <c r="W219" t="s">
        <v>1221</v>
      </c>
      <c r="X219" t="s">
        <v>1222</v>
      </c>
      <c r="Y219" t="s">
        <v>161</v>
      </c>
      <c r="Z219" t="s">
        <v>162</v>
      </c>
      <c r="AA219" t="s">
        <v>49</v>
      </c>
      <c r="AB219" t="s">
        <v>50</v>
      </c>
      <c r="AC219" s="2">
        <v>797405.79</v>
      </c>
      <c r="AD219" t="s">
        <v>1240</v>
      </c>
      <c r="AE219" t="s">
        <v>52</v>
      </c>
    </row>
    <row r="220" spans="1:31" x14ac:dyDescent="0.25">
      <c r="A220" t="s">
        <v>1241</v>
      </c>
      <c r="B220" t="s">
        <v>1242</v>
      </c>
      <c r="C220" t="s">
        <v>1242</v>
      </c>
      <c r="D220" t="s">
        <v>1243</v>
      </c>
      <c r="E220" t="s">
        <v>871</v>
      </c>
      <c r="F220" t="s">
        <v>1244</v>
      </c>
      <c r="G220" t="s">
        <v>1245</v>
      </c>
      <c r="H220" t="s">
        <v>1062</v>
      </c>
      <c r="I220" t="s">
        <v>1246</v>
      </c>
      <c r="J220" s="2">
        <v>218170</v>
      </c>
      <c r="K220" s="2">
        <v>1000</v>
      </c>
      <c r="L220" s="2">
        <v>15</v>
      </c>
      <c r="M220" s="2">
        <v>0</v>
      </c>
      <c r="N220" t="s">
        <v>1064</v>
      </c>
      <c r="O220" t="s">
        <v>1062</v>
      </c>
      <c r="P220" t="s">
        <v>304</v>
      </c>
      <c r="Q220" t="s">
        <v>72</v>
      </c>
      <c r="S220" t="s">
        <v>1247</v>
      </c>
      <c r="U220" t="s">
        <v>45</v>
      </c>
      <c r="V220" t="s">
        <v>46</v>
      </c>
      <c r="W220" t="s">
        <v>1064</v>
      </c>
      <c r="X220" t="s">
        <v>1062</v>
      </c>
      <c r="Y220" t="s">
        <v>72</v>
      </c>
      <c r="Z220" t="s">
        <v>68</v>
      </c>
      <c r="AA220" t="s">
        <v>49</v>
      </c>
      <c r="AB220" t="s">
        <v>50</v>
      </c>
      <c r="AC220" s="2">
        <v>213314.82</v>
      </c>
      <c r="AD220" t="s">
        <v>1248</v>
      </c>
    </row>
    <row r="221" spans="1:31" x14ac:dyDescent="0.25">
      <c r="A221" s="15" t="s">
        <v>1249</v>
      </c>
      <c r="B221" s="15" t="s">
        <v>1250</v>
      </c>
      <c r="C221" s="15" t="s">
        <v>1250</v>
      </c>
      <c r="D221" s="15" t="s">
        <v>55</v>
      </c>
      <c r="E221" s="15" t="s">
        <v>56</v>
      </c>
      <c r="F221" s="15" t="s">
        <v>1251</v>
      </c>
      <c r="H221" s="15" t="s">
        <v>303</v>
      </c>
      <c r="I221" t="s">
        <v>1252</v>
      </c>
      <c r="J221" s="2">
        <v>1000</v>
      </c>
      <c r="K221" s="2">
        <v>0</v>
      </c>
      <c r="L221" s="2">
        <v>30</v>
      </c>
      <c r="M221" s="2">
        <v>0</v>
      </c>
      <c r="N221" s="15" t="s">
        <v>302</v>
      </c>
      <c r="O221" s="15" t="s">
        <v>303</v>
      </c>
      <c r="P221" s="15" t="s">
        <v>304</v>
      </c>
      <c r="Q221" s="15" t="s">
        <v>72</v>
      </c>
      <c r="S221" t="s">
        <v>1253</v>
      </c>
      <c r="U221" t="s">
        <v>45</v>
      </c>
      <c r="V221" t="s">
        <v>46</v>
      </c>
      <c r="W221" t="s">
        <v>302</v>
      </c>
      <c r="X221" t="s">
        <v>303</v>
      </c>
      <c r="Y221" t="s">
        <v>72</v>
      </c>
      <c r="Z221" t="s">
        <v>68</v>
      </c>
      <c r="AA221" t="s">
        <v>49</v>
      </c>
      <c r="AB221" s="15" t="s">
        <v>50</v>
      </c>
      <c r="AC221" s="16">
        <v>-11749.26</v>
      </c>
      <c r="AD221" s="15" t="s">
        <v>1254</v>
      </c>
      <c r="AE221" s="15" t="s">
        <v>115</v>
      </c>
    </row>
    <row r="222" spans="1:31" x14ac:dyDescent="0.25">
      <c r="A222" t="s">
        <v>1255</v>
      </c>
      <c r="B222" t="s">
        <v>1256</v>
      </c>
      <c r="C222" t="s">
        <v>1256</v>
      </c>
      <c r="D222" t="s">
        <v>166</v>
      </c>
      <c r="E222" t="s">
        <v>167</v>
      </c>
      <c r="F222" t="s">
        <v>1257</v>
      </c>
      <c r="G222" t="s">
        <v>223</v>
      </c>
      <c r="H222" t="s">
        <v>584</v>
      </c>
      <c r="I222" t="s">
        <v>1258</v>
      </c>
      <c r="J222" s="2">
        <v>1090850</v>
      </c>
      <c r="K222" s="2">
        <v>5000</v>
      </c>
      <c r="L222" s="2">
        <v>7</v>
      </c>
      <c r="M222" s="2">
        <v>0</v>
      </c>
      <c r="N222" t="s">
        <v>585</v>
      </c>
      <c r="O222" t="s">
        <v>584</v>
      </c>
      <c r="P222" t="s">
        <v>158</v>
      </c>
      <c r="Q222" t="s">
        <v>159</v>
      </c>
      <c r="S222" t="s">
        <v>1259</v>
      </c>
      <c r="U222" t="s">
        <v>45</v>
      </c>
      <c r="V222" t="s">
        <v>46</v>
      </c>
      <c r="W222" t="s">
        <v>585</v>
      </c>
      <c r="X222" t="s">
        <v>584</v>
      </c>
      <c r="Y222" t="s">
        <v>161</v>
      </c>
      <c r="Z222" t="s">
        <v>162</v>
      </c>
      <c r="AA222" t="s">
        <v>49</v>
      </c>
      <c r="AB222" t="s">
        <v>50</v>
      </c>
      <c r="AC222" s="2">
        <v>1076695.3</v>
      </c>
      <c r="AD222" t="s">
        <v>1260</v>
      </c>
    </row>
    <row r="223" spans="1:31" hidden="1" x14ac:dyDescent="0.25">
      <c r="I223" t="s">
        <v>1261</v>
      </c>
      <c r="J223" s="2">
        <v>1000</v>
      </c>
      <c r="K223" s="2">
        <v>0</v>
      </c>
      <c r="L223" s="2">
        <v>1</v>
      </c>
      <c r="M223" s="2">
        <v>0</v>
      </c>
      <c r="S223" t="s">
        <v>1262</v>
      </c>
      <c r="U223" t="s">
        <v>45</v>
      </c>
      <c r="V223" t="s">
        <v>46</v>
      </c>
      <c r="W223" t="s">
        <v>302</v>
      </c>
      <c r="X223" t="s">
        <v>303</v>
      </c>
      <c r="Y223" t="s">
        <v>72</v>
      </c>
      <c r="Z223" t="s">
        <v>68</v>
      </c>
      <c r="AA223" t="s">
        <v>49</v>
      </c>
      <c r="AC223" s="2"/>
    </row>
    <row r="224" spans="1:31" x14ac:dyDescent="0.25">
      <c r="A224" t="s">
        <v>1263</v>
      </c>
      <c r="B224" t="s">
        <v>1264</v>
      </c>
      <c r="C224" t="s">
        <v>1264</v>
      </c>
      <c r="D224" t="s">
        <v>35</v>
      </c>
      <c r="E224" t="s">
        <v>36</v>
      </c>
      <c r="F224" t="s">
        <v>1265</v>
      </c>
      <c r="G224" t="s">
        <v>553</v>
      </c>
      <c r="H224" t="s">
        <v>349</v>
      </c>
      <c r="I224" t="s">
        <v>1266</v>
      </c>
      <c r="J224" s="2">
        <v>96128</v>
      </c>
      <c r="K224" s="2">
        <v>400</v>
      </c>
      <c r="L224" s="2">
        <v>15</v>
      </c>
      <c r="M224" s="2">
        <v>0</v>
      </c>
      <c r="N224" t="s">
        <v>348</v>
      </c>
      <c r="O224" t="s">
        <v>349</v>
      </c>
      <c r="P224" t="s">
        <v>316</v>
      </c>
      <c r="Q224" t="s">
        <v>317</v>
      </c>
      <c r="S224" t="s">
        <v>1267</v>
      </c>
      <c r="U224" t="s">
        <v>45</v>
      </c>
      <c r="V224" t="s">
        <v>46</v>
      </c>
      <c r="W224" t="s">
        <v>348</v>
      </c>
      <c r="X224" t="s">
        <v>349</v>
      </c>
      <c r="Y224" t="s">
        <v>317</v>
      </c>
      <c r="Z224" t="s">
        <v>349</v>
      </c>
      <c r="AA224" t="s">
        <v>49</v>
      </c>
      <c r="AB224" t="s">
        <v>50</v>
      </c>
      <c r="AC224" s="2">
        <v>20905.7</v>
      </c>
      <c r="AD224" t="s">
        <v>1268</v>
      </c>
      <c r="AE224" t="s">
        <v>52</v>
      </c>
    </row>
    <row r="225" spans="1:31" hidden="1" x14ac:dyDescent="0.25">
      <c r="I225" t="s">
        <v>1269</v>
      </c>
      <c r="J225" s="2">
        <v>109085</v>
      </c>
      <c r="K225" s="2">
        <v>500</v>
      </c>
      <c r="L225" s="2">
        <v>7</v>
      </c>
      <c r="M225" s="2">
        <v>0</v>
      </c>
      <c r="S225" t="s">
        <v>1270</v>
      </c>
      <c r="U225" t="s">
        <v>45</v>
      </c>
      <c r="V225" t="s">
        <v>46</v>
      </c>
      <c r="W225" t="s">
        <v>445</v>
      </c>
      <c r="X225" t="s">
        <v>446</v>
      </c>
      <c r="Y225" t="s">
        <v>72</v>
      </c>
      <c r="Z225" t="s">
        <v>68</v>
      </c>
      <c r="AA225" t="s">
        <v>49</v>
      </c>
      <c r="AC225" s="2"/>
    </row>
    <row r="226" spans="1:31" hidden="1" x14ac:dyDescent="0.25">
      <c r="I226" t="s">
        <v>1271</v>
      </c>
      <c r="J226" s="2">
        <v>1000</v>
      </c>
      <c r="K226" s="2">
        <v>0</v>
      </c>
      <c r="L226" s="2">
        <v>1</v>
      </c>
      <c r="M226" s="2">
        <v>0</v>
      </c>
      <c r="S226" t="s">
        <v>1272</v>
      </c>
      <c r="U226" t="s">
        <v>45</v>
      </c>
      <c r="V226" t="s">
        <v>46</v>
      </c>
      <c r="W226" t="s">
        <v>172</v>
      </c>
      <c r="X226" t="s">
        <v>173</v>
      </c>
      <c r="Y226" t="s">
        <v>161</v>
      </c>
      <c r="Z226" t="s">
        <v>162</v>
      </c>
      <c r="AA226" t="s">
        <v>49</v>
      </c>
      <c r="AC226" s="2"/>
    </row>
    <row r="227" spans="1:31" x14ac:dyDescent="0.25">
      <c r="A227" t="s">
        <v>1273</v>
      </c>
      <c r="B227" t="s">
        <v>1274</v>
      </c>
      <c r="C227" t="s">
        <v>1274</v>
      </c>
      <c r="D227" t="s">
        <v>153</v>
      </c>
      <c r="E227" t="s">
        <v>272</v>
      </c>
      <c r="F227" t="s">
        <v>1275</v>
      </c>
      <c r="G227" t="s">
        <v>153</v>
      </c>
      <c r="H227" t="s">
        <v>41</v>
      </c>
      <c r="I227" t="s">
        <v>1276</v>
      </c>
      <c r="J227" s="2">
        <v>327255</v>
      </c>
      <c r="K227" s="2">
        <v>1500</v>
      </c>
      <c r="L227" s="2">
        <v>21</v>
      </c>
      <c r="M227" s="2">
        <v>0</v>
      </c>
      <c r="N227" t="s">
        <v>40</v>
      </c>
      <c r="O227" t="s">
        <v>41</v>
      </c>
      <c r="P227" t="s">
        <v>61</v>
      </c>
      <c r="Q227" t="s">
        <v>62</v>
      </c>
      <c r="S227" t="s">
        <v>1277</v>
      </c>
      <c r="U227" t="s">
        <v>45</v>
      </c>
      <c r="V227" t="s">
        <v>46</v>
      </c>
      <c r="W227" t="s">
        <v>40</v>
      </c>
      <c r="X227" t="s">
        <v>41</v>
      </c>
      <c r="Y227" t="s">
        <v>47</v>
      </c>
      <c r="Z227" t="s">
        <v>48</v>
      </c>
      <c r="AA227" t="s">
        <v>49</v>
      </c>
      <c r="AB227" t="s">
        <v>50</v>
      </c>
      <c r="AC227" s="2">
        <v>217366.9</v>
      </c>
      <c r="AD227" t="s">
        <v>1278</v>
      </c>
      <c r="AE227" t="s">
        <v>52</v>
      </c>
    </row>
    <row r="228" spans="1:31" x14ac:dyDescent="0.25">
      <c r="A228" t="s">
        <v>1279</v>
      </c>
      <c r="B228" t="s">
        <v>1280</v>
      </c>
      <c r="C228" t="s">
        <v>1280</v>
      </c>
      <c r="D228" t="s">
        <v>125</v>
      </c>
      <c r="E228" t="s">
        <v>126</v>
      </c>
      <c r="F228" t="s">
        <v>1281</v>
      </c>
      <c r="G228" t="s">
        <v>35</v>
      </c>
      <c r="H228" t="s">
        <v>404</v>
      </c>
      <c r="I228" t="s">
        <v>1282</v>
      </c>
      <c r="J228" s="2">
        <v>1864016</v>
      </c>
      <c r="K228" s="2">
        <v>7480</v>
      </c>
      <c r="L228" s="2">
        <v>30</v>
      </c>
      <c r="M228" s="2">
        <v>0</v>
      </c>
      <c r="N228" t="s">
        <v>403</v>
      </c>
      <c r="O228" t="s">
        <v>404</v>
      </c>
      <c r="P228" t="s">
        <v>205</v>
      </c>
      <c r="Q228" t="s">
        <v>206</v>
      </c>
      <c r="S228" t="s">
        <v>1283</v>
      </c>
      <c r="U228" t="s">
        <v>45</v>
      </c>
      <c r="V228" t="s">
        <v>46</v>
      </c>
      <c r="W228" t="s">
        <v>403</v>
      </c>
      <c r="X228" t="s">
        <v>404</v>
      </c>
      <c r="Y228" t="s">
        <v>161</v>
      </c>
      <c r="Z228" t="s">
        <v>162</v>
      </c>
      <c r="AA228" t="s">
        <v>49</v>
      </c>
      <c r="AB228" t="s">
        <v>50</v>
      </c>
      <c r="AC228" s="2">
        <v>-147685.63</v>
      </c>
      <c r="AD228" t="s">
        <v>1284</v>
      </c>
      <c r="AE228" t="s">
        <v>115</v>
      </c>
    </row>
    <row r="229" spans="1:31" hidden="1" x14ac:dyDescent="0.25">
      <c r="I229" t="s">
        <v>1285</v>
      </c>
      <c r="J229" s="2">
        <v>1000</v>
      </c>
      <c r="K229" s="2">
        <v>0</v>
      </c>
      <c r="L229" s="2">
        <v>1</v>
      </c>
      <c r="M229" s="2">
        <v>0</v>
      </c>
      <c r="S229" t="s">
        <v>1286</v>
      </c>
      <c r="U229" t="s">
        <v>45</v>
      </c>
      <c r="V229" t="s">
        <v>46</v>
      </c>
      <c r="W229" t="s">
        <v>302</v>
      </c>
      <c r="X229" t="s">
        <v>303</v>
      </c>
      <c r="Y229" t="s">
        <v>72</v>
      </c>
      <c r="Z229" t="s">
        <v>68</v>
      </c>
      <c r="AA229" t="s">
        <v>49</v>
      </c>
      <c r="AC229" s="2"/>
    </row>
    <row r="230" spans="1:31" x14ac:dyDescent="0.25">
      <c r="A230" t="s">
        <v>1287</v>
      </c>
      <c r="B230" t="s">
        <v>1288</v>
      </c>
      <c r="C230" t="s">
        <v>1288</v>
      </c>
      <c r="D230" t="s">
        <v>1289</v>
      </c>
      <c r="E230" t="s">
        <v>224</v>
      </c>
      <c r="F230" t="s">
        <v>1290</v>
      </c>
      <c r="G230" t="s">
        <v>1291</v>
      </c>
      <c r="H230" t="s">
        <v>1117</v>
      </c>
      <c r="I230" t="s">
        <v>1292</v>
      </c>
      <c r="J230" s="2">
        <v>65451</v>
      </c>
      <c r="K230" s="2">
        <v>300</v>
      </c>
      <c r="L230" s="2">
        <v>7</v>
      </c>
      <c r="M230" s="2">
        <v>0</v>
      </c>
      <c r="N230" t="s">
        <v>1119</v>
      </c>
      <c r="O230" t="s">
        <v>1120</v>
      </c>
      <c r="P230" t="s">
        <v>256</v>
      </c>
      <c r="Q230" t="s">
        <v>255</v>
      </c>
      <c r="S230" t="s">
        <v>1293</v>
      </c>
      <c r="U230" t="s">
        <v>45</v>
      </c>
      <c r="V230" t="s">
        <v>46</v>
      </c>
      <c r="W230" t="s">
        <v>1119</v>
      </c>
      <c r="X230" t="s">
        <v>1120</v>
      </c>
      <c r="Y230" t="s">
        <v>1122</v>
      </c>
      <c r="Z230" t="s">
        <v>1122</v>
      </c>
      <c r="AA230" t="s">
        <v>49</v>
      </c>
      <c r="AB230" t="s">
        <v>50</v>
      </c>
      <c r="AC230" s="2">
        <v>65338.559999999998</v>
      </c>
      <c r="AD230" t="s">
        <v>1294</v>
      </c>
    </row>
    <row r="231" spans="1:31" x14ac:dyDescent="0.25">
      <c r="A231" t="s">
        <v>1295</v>
      </c>
      <c r="B231" t="s">
        <v>1296</v>
      </c>
      <c r="C231" t="s">
        <v>1296</v>
      </c>
      <c r="D231" t="s">
        <v>178</v>
      </c>
      <c r="E231" t="s">
        <v>179</v>
      </c>
      <c r="F231" t="s">
        <v>1297</v>
      </c>
      <c r="G231" t="s">
        <v>498</v>
      </c>
      <c r="H231" t="s">
        <v>201</v>
      </c>
      <c r="I231" t="s">
        <v>1298</v>
      </c>
      <c r="J231" s="2">
        <v>327255</v>
      </c>
      <c r="K231" s="2">
        <v>1500</v>
      </c>
      <c r="L231" s="2">
        <v>21</v>
      </c>
      <c r="M231" s="2">
        <v>0</v>
      </c>
      <c r="N231" t="s">
        <v>203</v>
      </c>
      <c r="O231" t="s">
        <v>204</v>
      </c>
      <c r="P231" t="s">
        <v>205</v>
      </c>
      <c r="Q231" t="s">
        <v>206</v>
      </c>
      <c r="S231" t="s">
        <v>1299</v>
      </c>
      <c r="U231" t="s">
        <v>45</v>
      </c>
      <c r="V231" t="s">
        <v>46</v>
      </c>
      <c r="W231" t="s">
        <v>203</v>
      </c>
      <c r="X231" t="s">
        <v>204</v>
      </c>
      <c r="Y231" t="s">
        <v>161</v>
      </c>
      <c r="Z231" t="s">
        <v>162</v>
      </c>
      <c r="AA231" t="s">
        <v>49</v>
      </c>
      <c r="AB231" t="s">
        <v>50</v>
      </c>
      <c r="AC231" s="2">
        <v>38254.089999999997</v>
      </c>
      <c r="AD231" t="s">
        <v>1300</v>
      </c>
      <c r="AE231" t="s">
        <v>115</v>
      </c>
    </row>
    <row r="232" spans="1:31" x14ac:dyDescent="0.25">
      <c r="A232" t="s">
        <v>1301</v>
      </c>
      <c r="B232" t="s">
        <v>1302</v>
      </c>
      <c r="C232" t="s">
        <v>1302</v>
      </c>
      <c r="D232" t="s">
        <v>153</v>
      </c>
      <c r="E232" t="s">
        <v>272</v>
      </c>
      <c r="F232" t="s">
        <v>1303</v>
      </c>
      <c r="G232" t="s">
        <v>153</v>
      </c>
      <c r="H232" t="s">
        <v>1304</v>
      </c>
      <c r="I232" t="s">
        <v>1305</v>
      </c>
      <c r="J232" s="2">
        <v>153699</v>
      </c>
      <c r="K232" s="2">
        <v>650</v>
      </c>
      <c r="L232" s="2">
        <v>21</v>
      </c>
      <c r="M232" s="2">
        <v>0</v>
      </c>
      <c r="N232" t="s">
        <v>1306</v>
      </c>
      <c r="O232" t="s">
        <v>1304</v>
      </c>
      <c r="P232" t="s">
        <v>120</v>
      </c>
      <c r="Q232" t="s">
        <v>121</v>
      </c>
      <c r="S232" t="s">
        <v>1307</v>
      </c>
      <c r="U232" t="s">
        <v>45</v>
      </c>
      <c r="V232" t="s">
        <v>46</v>
      </c>
      <c r="W232" t="s">
        <v>1306</v>
      </c>
      <c r="X232" t="s">
        <v>1304</v>
      </c>
      <c r="Y232" t="s">
        <v>121</v>
      </c>
      <c r="Z232" t="s">
        <v>94</v>
      </c>
      <c r="AA232" t="s">
        <v>49</v>
      </c>
      <c r="AB232" t="s">
        <v>50</v>
      </c>
      <c r="AC232" s="2">
        <v>-247.11</v>
      </c>
      <c r="AD232" t="s">
        <v>1308</v>
      </c>
      <c r="AE232" t="s">
        <v>52</v>
      </c>
    </row>
    <row r="233" spans="1:31" x14ac:dyDescent="0.25">
      <c r="A233" t="s">
        <v>1309</v>
      </c>
      <c r="B233" t="s">
        <v>1310</v>
      </c>
      <c r="C233" t="s">
        <v>1310</v>
      </c>
      <c r="D233" t="s">
        <v>178</v>
      </c>
      <c r="E233" t="s">
        <v>179</v>
      </c>
      <c r="F233" t="s">
        <v>1311</v>
      </c>
      <c r="G233" t="s">
        <v>178</v>
      </c>
      <c r="H233" t="s">
        <v>1312</v>
      </c>
      <c r="I233" t="s">
        <v>1313</v>
      </c>
      <c r="J233" s="2">
        <v>109085</v>
      </c>
      <c r="K233" s="2">
        <v>500</v>
      </c>
      <c r="L233" s="2">
        <v>7</v>
      </c>
      <c r="M233" s="2">
        <v>0</v>
      </c>
      <c r="N233" t="s">
        <v>883</v>
      </c>
      <c r="O233" t="s">
        <v>881</v>
      </c>
      <c r="P233" t="s">
        <v>158</v>
      </c>
      <c r="Q233" t="s">
        <v>159</v>
      </c>
      <c r="S233" t="s">
        <v>1314</v>
      </c>
      <c r="U233" t="s">
        <v>45</v>
      </c>
      <c r="V233" t="s">
        <v>46</v>
      </c>
      <c r="W233" t="s">
        <v>883</v>
      </c>
      <c r="X233" t="s">
        <v>881</v>
      </c>
      <c r="Y233" t="s">
        <v>161</v>
      </c>
      <c r="Z233" t="s">
        <v>162</v>
      </c>
      <c r="AA233" t="s">
        <v>49</v>
      </c>
      <c r="AB233" t="s">
        <v>50</v>
      </c>
      <c r="AC233" s="2">
        <v>109085</v>
      </c>
      <c r="AD233" t="s">
        <v>64</v>
      </c>
    </row>
    <row r="234" spans="1:31" x14ac:dyDescent="0.25">
      <c r="A234" t="s">
        <v>1315</v>
      </c>
      <c r="B234" t="s">
        <v>1316</v>
      </c>
      <c r="C234" t="s">
        <v>1316</v>
      </c>
      <c r="D234" t="s">
        <v>35</v>
      </c>
      <c r="E234" t="s">
        <v>36</v>
      </c>
      <c r="F234" t="s">
        <v>1317</v>
      </c>
      <c r="G234" t="s">
        <v>35</v>
      </c>
      <c r="H234" t="s">
        <v>404</v>
      </c>
      <c r="I234" t="s">
        <v>1318</v>
      </c>
      <c r="J234" s="2">
        <v>984023</v>
      </c>
      <c r="K234" s="2">
        <v>4040</v>
      </c>
      <c r="L234" s="2">
        <v>21</v>
      </c>
      <c r="M234" s="2">
        <v>0</v>
      </c>
      <c r="N234" t="s">
        <v>403</v>
      </c>
      <c r="O234" t="s">
        <v>404</v>
      </c>
      <c r="P234" t="s">
        <v>205</v>
      </c>
      <c r="Q234" t="s">
        <v>206</v>
      </c>
      <c r="S234" t="s">
        <v>1319</v>
      </c>
      <c r="U234" t="s">
        <v>45</v>
      </c>
      <c r="V234" t="s">
        <v>46</v>
      </c>
      <c r="W234" t="s">
        <v>403</v>
      </c>
      <c r="X234" t="s">
        <v>404</v>
      </c>
      <c r="Y234" t="s">
        <v>161</v>
      </c>
      <c r="Z234" t="s">
        <v>162</v>
      </c>
      <c r="AA234" t="s">
        <v>49</v>
      </c>
      <c r="AB234" t="s">
        <v>50</v>
      </c>
      <c r="AC234" s="2">
        <v>-60068.87</v>
      </c>
      <c r="AD234" t="s">
        <v>1320</v>
      </c>
      <c r="AE234" t="s">
        <v>115</v>
      </c>
    </row>
    <row r="235" spans="1:31" x14ac:dyDescent="0.25">
      <c r="A235" t="s">
        <v>1321</v>
      </c>
      <c r="B235" t="s">
        <v>1322</v>
      </c>
      <c r="C235" t="s">
        <v>1322</v>
      </c>
      <c r="D235" t="s">
        <v>178</v>
      </c>
      <c r="E235" t="s">
        <v>179</v>
      </c>
      <c r="F235" t="s">
        <v>1323</v>
      </c>
      <c r="J235" s="2">
        <v>10909</v>
      </c>
      <c r="K235" s="2">
        <v>50</v>
      </c>
      <c r="L235" s="2">
        <v>15</v>
      </c>
      <c r="M235" s="2">
        <v>0</v>
      </c>
      <c r="N235" t="s">
        <v>40</v>
      </c>
      <c r="O235" t="s">
        <v>41</v>
      </c>
      <c r="P235" t="s">
        <v>42</v>
      </c>
      <c r="Q235" t="s">
        <v>43</v>
      </c>
      <c r="U235" t="s">
        <v>45</v>
      </c>
      <c r="V235" t="s">
        <v>46</v>
      </c>
      <c r="W235" t="s">
        <v>40</v>
      </c>
      <c r="X235" t="s">
        <v>41</v>
      </c>
      <c r="Y235" t="s">
        <v>47</v>
      </c>
      <c r="Z235" t="s">
        <v>48</v>
      </c>
      <c r="AA235" t="s">
        <v>141</v>
      </c>
      <c r="AB235" t="s">
        <v>50</v>
      </c>
      <c r="AC235" s="2">
        <v>10909</v>
      </c>
      <c r="AD235" t="s">
        <v>64</v>
      </c>
    </row>
    <row r="236" spans="1:31" hidden="1" x14ac:dyDescent="0.25">
      <c r="I236" t="s">
        <v>1324</v>
      </c>
      <c r="J236" s="2">
        <v>1000</v>
      </c>
      <c r="K236" s="2">
        <v>0</v>
      </c>
      <c r="L236" s="2">
        <v>1</v>
      </c>
      <c r="M236" s="2">
        <v>0</v>
      </c>
      <c r="S236" t="s">
        <v>1325</v>
      </c>
      <c r="U236" t="s">
        <v>45</v>
      </c>
      <c r="V236" t="s">
        <v>46</v>
      </c>
      <c r="W236" t="s">
        <v>302</v>
      </c>
      <c r="X236" t="s">
        <v>303</v>
      </c>
      <c r="Y236" t="s">
        <v>72</v>
      </c>
      <c r="Z236" t="s">
        <v>68</v>
      </c>
      <c r="AA236" t="s">
        <v>49</v>
      </c>
      <c r="AC236" s="2"/>
    </row>
    <row r="237" spans="1:31" x14ac:dyDescent="0.25">
      <c r="A237" t="s">
        <v>1326</v>
      </c>
      <c r="B237" t="s">
        <v>1327</v>
      </c>
      <c r="C237" t="s">
        <v>1327</v>
      </c>
      <c r="D237" t="s">
        <v>153</v>
      </c>
      <c r="E237" t="s">
        <v>272</v>
      </c>
      <c r="F237" t="s">
        <v>1328</v>
      </c>
      <c r="G237" t="s">
        <v>1329</v>
      </c>
      <c r="H237" t="s">
        <v>1330</v>
      </c>
      <c r="I237" t="s">
        <v>1331</v>
      </c>
      <c r="J237" s="2">
        <v>436340</v>
      </c>
      <c r="K237" s="2">
        <v>2000</v>
      </c>
      <c r="L237" s="2">
        <v>1</v>
      </c>
      <c r="M237" s="2">
        <v>0</v>
      </c>
      <c r="N237" t="s">
        <v>1332</v>
      </c>
      <c r="O237" t="s">
        <v>1330</v>
      </c>
      <c r="P237" t="s">
        <v>69</v>
      </c>
      <c r="Q237" t="s">
        <v>70</v>
      </c>
      <c r="S237" t="s">
        <v>1333</v>
      </c>
      <c r="U237" t="s">
        <v>45</v>
      </c>
      <c r="V237" t="s">
        <v>46</v>
      </c>
      <c r="W237" t="s">
        <v>1332</v>
      </c>
      <c r="X237" t="s">
        <v>1330</v>
      </c>
      <c r="Y237" t="s">
        <v>72</v>
      </c>
      <c r="Z237" t="s">
        <v>68</v>
      </c>
      <c r="AA237" t="s">
        <v>49</v>
      </c>
      <c r="AB237" t="s">
        <v>50</v>
      </c>
      <c r="AC237" s="2">
        <v>218934.44</v>
      </c>
      <c r="AD237" t="s">
        <v>1334</v>
      </c>
      <c r="AE237" t="s">
        <v>115</v>
      </c>
    </row>
    <row r="238" spans="1:31" hidden="1" x14ac:dyDescent="0.25">
      <c r="I238" t="s">
        <v>1336</v>
      </c>
      <c r="J238" s="2">
        <v>1000</v>
      </c>
      <c r="K238" s="2">
        <v>0</v>
      </c>
      <c r="L238" s="2">
        <v>1</v>
      </c>
      <c r="M238" s="2">
        <v>0</v>
      </c>
      <c r="S238" t="s">
        <v>1337</v>
      </c>
      <c r="U238" t="s">
        <v>45</v>
      </c>
      <c r="V238" t="s">
        <v>46</v>
      </c>
      <c r="W238" t="s">
        <v>254</v>
      </c>
      <c r="X238" t="s">
        <v>255</v>
      </c>
      <c r="Y238" t="s">
        <v>258</v>
      </c>
      <c r="Z238" t="s">
        <v>259</v>
      </c>
      <c r="AA238" t="s">
        <v>49</v>
      </c>
      <c r="AC238" s="2"/>
    </row>
    <row r="239" spans="1:31" x14ac:dyDescent="0.25">
      <c r="A239" t="s">
        <v>1338</v>
      </c>
      <c r="B239" t="s">
        <v>1339</v>
      </c>
      <c r="C239" t="s">
        <v>1339</v>
      </c>
      <c r="D239" t="s">
        <v>344</v>
      </c>
      <c r="E239" t="s">
        <v>167</v>
      </c>
      <c r="F239" t="s">
        <v>1340</v>
      </c>
      <c r="G239" t="s">
        <v>344</v>
      </c>
      <c r="H239" t="s">
        <v>1123</v>
      </c>
      <c r="I239" t="s">
        <v>1124</v>
      </c>
      <c r="J239" s="2">
        <v>218170</v>
      </c>
      <c r="K239" s="2">
        <v>1000</v>
      </c>
      <c r="L239" s="2">
        <v>7</v>
      </c>
      <c r="M239" s="2">
        <v>0</v>
      </c>
      <c r="N239" t="s">
        <v>1125</v>
      </c>
      <c r="O239" t="s">
        <v>1123</v>
      </c>
      <c r="P239" t="s">
        <v>158</v>
      </c>
      <c r="Q239" t="s">
        <v>159</v>
      </c>
      <c r="S239" t="s">
        <v>1341</v>
      </c>
      <c r="U239" t="s">
        <v>45</v>
      </c>
      <c r="V239" t="s">
        <v>46</v>
      </c>
      <c r="W239" t="s">
        <v>1125</v>
      </c>
      <c r="X239" t="s">
        <v>1123</v>
      </c>
      <c r="Y239" t="s">
        <v>161</v>
      </c>
      <c r="Z239" t="s">
        <v>162</v>
      </c>
      <c r="AA239" t="s">
        <v>49</v>
      </c>
      <c r="AB239" t="s">
        <v>50</v>
      </c>
      <c r="AC239" s="2">
        <v>149887.54</v>
      </c>
      <c r="AD239" t="s">
        <v>1342</v>
      </c>
      <c r="AE239" t="s">
        <v>52</v>
      </c>
    </row>
    <row r="240" spans="1:31" hidden="1" x14ac:dyDescent="0.25">
      <c r="I240" t="s">
        <v>1343</v>
      </c>
      <c r="J240" s="2">
        <v>1000</v>
      </c>
      <c r="K240" s="2">
        <v>0</v>
      </c>
      <c r="L240" s="2">
        <v>1</v>
      </c>
      <c r="M240" s="2">
        <v>0</v>
      </c>
      <c r="S240" t="s">
        <v>1344</v>
      </c>
      <c r="U240" t="s">
        <v>45</v>
      </c>
      <c r="V240" t="s">
        <v>46</v>
      </c>
      <c r="W240" t="s">
        <v>700</v>
      </c>
      <c r="X240" t="s">
        <v>699</v>
      </c>
      <c r="Y240" t="s">
        <v>72</v>
      </c>
      <c r="Z240" t="s">
        <v>68</v>
      </c>
      <c r="AA240" t="s">
        <v>49</v>
      </c>
      <c r="AC240" s="2"/>
    </row>
    <row r="241" spans="1:31" x14ac:dyDescent="0.25">
      <c r="A241" t="s">
        <v>1345</v>
      </c>
      <c r="B241" t="s">
        <v>1346</v>
      </c>
      <c r="C241" t="s">
        <v>1346</v>
      </c>
      <c r="D241" t="s">
        <v>125</v>
      </c>
      <c r="E241" t="s">
        <v>126</v>
      </c>
      <c r="F241" t="s">
        <v>1347</v>
      </c>
      <c r="G241" t="s">
        <v>35</v>
      </c>
      <c r="H241" t="s">
        <v>361</v>
      </c>
      <c r="I241" t="s">
        <v>1348</v>
      </c>
      <c r="J241" s="2">
        <v>327255</v>
      </c>
      <c r="K241" s="2">
        <v>1500</v>
      </c>
      <c r="L241" s="2">
        <v>15</v>
      </c>
      <c r="M241" s="2">
        <v>0</v>
      </c>
      <c r="N241" t="s">
        <v>360</v>
      </c>
      <c r="O241" t="s">
        <v>361</v>
      </c>
      <c r="P241" t="s">
        <v>61</v>
      </c>
      <c r="Q241" t="s">
        <v>62</v>
      </c>
      <c r="S241" t="s">
        <v>1349</v>
      </c>
      <c r="U241" t="s">
        <v>45</v>
      </c>
      <c r="V241" t="s">
        <v>46</v>
      </c>
      <c r="W241" t="s">
        <v>360</v>
      </c>
      <c r="X241" t="s">
        <v>361</v>
      </c>
      <c r="Y241" t="s">
        <v>47</v>
      </c>
      <c r="Z241" t="s">
        <v>48</v>
      </c>
      <c r="AA241" t="s">
        <v>49</v>
      </c>
      <c r="AB241" t="s">
        <v>50</v>
      </c>
      <c r="AC241" s="2">
        <v>236114.36</v>
      </c>
      <c r="AD241" t="s">
        <v>1350</v>
      </c>
      <c r="AE241" t="s">
        <v>52</v>
      </c>
    </row>
    <row r="242" spans="1:31" x14ac:dyDescent="0.25">
      <c r="A242" t="s">
        <v>1351</v>
      </c>
      <c r="B242" t="s">
        <v>1352</v>
      </c>
      <c r="C242" t="s">
        <v>1352</v>
      </c>
      <c r="D242" t="s">
        <v>153</v>
      </c>
      <c r="E242" t="s">
        <v>272</v>
      </c>
      <c r="F242" t="s">
        <v>1353</v>
      </c>
      <c r="H242" t="s">
        <v>41</v>
      </c>
      <c r="J242" s="2">
        <v>362370</v>
      </c>
      <c r="K242" s="2">
        <v>1500</v>
      </c>
      <c r="L242" s="2">
        <v>1</v>
      </c>
      <c r="M242" s="2">
        <v>0</v>
      </c>
      <c r="N242" t="s">
        <v>40</v>
      </c>
      <c r="O242" t="s">
        <v>41</v>
      </c>
      <c r="P242" t="s">
        <v>42</v>
      </c>
      <c r="Q242" t="s">
        <v>43</v>
      </c>
      <c r="U242" t="s">
        <v>45</v>
      </c>
      <c r="V242" t="s">
        <v>46</v>
      </c>
      <c r="W242" t="s">
        <v>40</v>
      </c>
      <c r="X242" t="s">
        <v>41</v>
      </c>
      <c r="Y242" t="s">
        <v>47</v>
      </c>
      <c r="Z242" t="s">
        <v>48</v>
      </c>
      <c r="AA242" t="s">
        <v>141</v>
      </c>
      <c r="AB242" t="s">
        <v>50</v>
      </c>
      <c r="AC242" s="2">
        <v>246955.79</v>
      </c>
      <c r="AD242" t="s">
        <v>1354</v>
      </c>
    </row>
    <row r="243" spans="1:31" x14ac:dyDescent="0.25">
      <c r="A243" t="s">
        <v>1355</v>
      </c>
      <c r="B243" t="s">
        <v>159</v>
      </c>
      <c r="C243" t="s">
        <v>159</v>
      </c>
      <c r="D243" t="s">
        <v>153</v>
      </c>
      <c r="E243" t="s">
        <v>272</v>
      </c>
      <c r="F243" t="s">
        <v>1356</v>
      </c>
      <c r="J243" s="2">
        <v>21817</v>
      </c>
      <c r="K243" s="2">
        <v>100</v>
      </c>
      <c r="L243" s="2">
        <v>15</v>
      </c>
      <c r="M243" s="2">
        <v>0</v>
      </c>
      <c r="N243" t="s">
        <v>40</v>
      </c>
      <c r="O243" t="s">
        <v>41</v>
      </c>
      <c r="P243" t="s">
        <v>42</v>
      </c>
      <c r="Q243" t="s">
        <v>43</v>
      </c>
      <c r="U243" t="s">
        <v>45</v>
      </c>
      <c r="V243" t="s">
        <v>46</v>
      </c>
      <c r="W243" t="s">
        <v>40</v>
      </c>
      <c r="X243" t="s">
        <v>41</v>
      </c>
      <c r="Y243" t="s">
        <v>47</v>
      </c>
      <c r="Z243" t="s">
        <v>48</v>
      </c>
      <c r="AA243" t="s">
        <v>141</v>
      </c>
      <c r="AB243" t="s">
        <v>50</v>
      </c>
      <c r="AC243" s="2">
        <v>21817</v>
      </c>
      <c r="AD243" t="s">
        <v>64</v>
      </c>
    </row>
    <row r="244" spans="1:31" hidden="1" x14ac:dyDescent="0.25">
      <c r="J244" s="2">
        <v>21817</v>
      </c>
      <c r="K244" s="2">
        <v>100</v>
      </c>
      <c r="L244" s="2">
        <v>1</v>
      </c>
      <c r="M244" s="2">
        <v>0</v>
      </c>
      <c r="S244" t="s">
        <v>1359</v>
      </c>
      <c r="U244" t="s">
        <v>45</v>
      </c>
      <c r="V244" t="s">
        <v>46</v>
      </c>
      <c r="W244" t="s">
        <v>1357</v>
      </c>
      <c r="X244" t="s">
        <v>1358</v>
      </c>
      <c r="Y244" t="s">
        <v>92</v>
      </c>
      <c r="Z244" t="s">
        <v>94</v>
      </c>
      <c r="AA244" t="s">
        <v>49</v>
      </c>
      <c r="AC244" s="2"/>
    </row>
    <row r="245" spans="1:31" hidden="1" x14ac:dyDescent="0.25">
      <c r="I245" t="s">
        <v>1361</v>
      </c>
      <c r="J245" s="2">
        <v>21817</v>
      </c>
      <c r="K245" s="2">
        <v>100</v>
      </c>
      <c r="L245" s="2">
        <v>1</v>
      </c>
      <c r="M245" s="2">
        <v>0</v>
      </c>
      <c r="S245" t="s">
        <v>1365</v>
      </c>
      <c r="U245" t="s">
        <v>45</v>
      </c>
      <c r="V245" t="s">
        <v>46</v>
      </c>
      <c r="W245" t="s">
        <v>1362</v>
      </c>
      <c r="X245" t="s">
        <v>1360</v>
      </c>
      <c r="Y245" t="s">
        <v>1215</v>
      </c>
      <c r="Z245" t="s">
        <v>1216</v>
      </c>
      <c r="AA245" t="s">
        <v>49</v>
      </c>
      <c r="AC245" s="2"/>
    </row>
    <row r="246" spans="1:31" x14ac:dyDescent="0.25">
      <c r="A246" t="s">
        <v>1366</v>
      </c>
      <c r="B246" t="s">
        <v>1367</v>
      </c>
      <c r="C246" t="s">
        <v>1367</v>
      </c>
      <c r="D246" t="s">
        <v>35</v>
      </c>
      <c r="E246" t="s">
        <v>36</v>
      </c>
      <c r="F246" t="s">
        <v>1368</v>
      </c>
      <c r="G246" t="s">
        <v>35</v>
      </c>
      <c r="H246" t="s">
        <v>303</v>
      </c>
      <c r="I246" t="s">
        <v>1369</v>
      </c>
      <c r="J246" s="2">
        <v>654510</v>
      </c>
      <c r="K246" s="2">
        <v>3000</v>
      </c>
      <c r="L246" s="2">
        <v>21</v>
      </c>
      <c r="M246" s="2">
        <v>0</v>
      </c>
      <c r="N246" t="s">
        <v>302</v>
      </c>
      <c r="O246" t="s">
        <v>303</v>
      </c>
      <c r="P246" t="s">
        <v>304</v>
      </c>
      <c r="Q246" t="s">
        <v>72</v>
      </c>
      <c r="S246" t="s">
        <v>1370</v>
      </c>
      <c r="U246" t="s">
        <v>45</v>
      </c>
      <c r="V246" t="s">
        <v>46</v>
      </c>
      <c r="W246" t="s">
        <v>302</v>
      </c>
      <c r="X246" t="s">
        <v>303</v>
      </c>
      <c r="Y246" t="s">
        <v>72</v>
      </c>
      <c r="Z246" t="s">
        <v>68</v>
      </c>
      <c r="AA246" t="s">
        <v>49</v>
      </c>
      <c r="AB246" t="s">
        <v>50</v>
      </c>
      <c r="AC246" s="2">
        <v>455513.37</v>
      </c>
      <c r="AD246" t="s">
        <v>1371</v>
      </c>
      <c r="AE246" t="s">
        <v>52</v>
      </c>
    </row>
    <row r="247" spans="1:31" x14ac:dyDescent="0.25">
      <c r="A247" t="s">
        <v>1372</v>
      </c>
      <c r="B247" t="s">
        <v>1373</v>
      </c>
      <c r="C247" t="s">
        <v>1373</v>
      </c>
      <c r="D247" t="s">
        <v>125</v>
      </c>
      <c r="E247" t="s">
        <v>126</v>
      </c>
      <c r="F247" t="s">
        <v>1374</v>
      </c>
      <c r="G247" t="s">
        <v>153</v>
      </c>
      <c r="H247" t="s">
        <v>1222</v>
      </c>
      <c r="I247" t="s">
        <v>1375</v>
      </c>
      <c r="J247" s="2">
        <v>90107</v>
      </c>
      <c r="K247" s="2">
        <v>379</v>
      </c>
      <c r="L247" s="2">
        <v>7</v>
      </c>
      <c r="M247" s="2">
        <v>0</v>
      </c>
      <c r="N247" t="s">
        <v>1221</v>
      </c>
      <c r="O247" t="s">
        <v>1222</v>
      </c>
      <c r="P247" t="s">
        <v>205</v>
      </c>
      <c r="Q247" t="s">
        <v>206</v>
      </c>
      <c r="S247" t="s">
        <v>1376</v>
      </c>
      <c r="U247" t="s">
        <v>45</v>
      </c>
      <c r="V247" t="s">
        <v>46</v>
      </c>
      <c r="W247" t="s">
        <v>1221</v>
      </c>
      <c r="X247" t="s">
        <v>1222</v>
      </c>
      <c r="Y247" t="s">
        <v>161</v>
      </c>
      <c r="Z247" t="s">
        <v>162</v>
      </c>
      <c r="AA247" t="s">
        <v>49</v>
      </c>
      <c r="AB247" t="s">
        <v>50</v>
      </c>
      <c r="AC247" s="2">
        <v>-18838.13</v>
      </c>
      <c r="AD247" t="s">
        <v>1377</v>
      </c>
      <c r="AE247" t="s">
        <v>52</v>
      </c>
    </row>
    <row r="248" spans="1:31" hidden="1" x14ac:dyDescent="0.25">
      <c r="I248" t="s">
        <v>1378</v>
      </c>
      <c r="J248" s="2">
        <v>109085</v>
      </c>
      <c r="K248" s="2">
        <v>500</v>
      </c>
      <c r="L248" s="2">
        <v>15</v>
      </c>
      <c r="M248" s="2">
        <v>0</v>
      </c>
      <c r="S248" t="s">
        <v>1379</v>
      </c>
      <c r="U248" t="s">
        <v>45</v>
      </c>
      <c r="V248" t="s">
        <v>46</v>
      </c>
      <c r="W248" t="s">
        <v>348</v>
      </c>
      <c r="X248" t="s">
        <v>349</v>
      </c>
      <c r="Y248" t="s">
        <v>317</v>
      </c>
      <c r="Z248" t="s">
        <v>349</v>
      </c>
      <c r="AA248" t="s">
        <v>49</v>
      </c>
      <c r="AC248" s="2"/>
    </row>
    <row r="249" spans="1:31" hidden="1" x14ac:dyDescent="0.25">
      <c r="A249" s="10" t="s">
        <v>1380</v>
      </c>
      <c r="B249" s="10" t="s">
        <v>1381</v>
      </c>
      <c r="C249" t="s">
        <v>1381</v>
      </c>
      <c r="D249" t="s">
        <v>55</v>
      </c>
      <c r="E249" t="s">
        <v>56</v>
      </c>
      <c r="F249" t="s">
        <v>1382</v>
      </c>
      <c r="H249" t="s">
        <v>1330</v>
      </c>
      <c r="I249" t="s">
        <v>1383</v>
      </c>
      <c r="J249" s="2">
        <v>7229</v>
      </c>
      <c r="K249" s="2">
        <v>0</v>
      </c>
      <c r="L249" s="2">
        <v>7</v>
      </c>
      <c r="M249" s="2">
        <v>0</v>
      </c>
      <c r="N249" t="s">
        <v>1332</v>
      </c>
      <c r="O249" t="s">
        <v>1330</v>
      </c>
      <c r="P249" t="s">
        <v>941</v>
      </c>
      <c r="Q249" t="s">
        <v>139</v>
      </c>
      <c r="S249" t="s">
        <v>1384</v>
      </c>
      <c r="U249" t="s">
        <v>45</v>
      </c>
      <c r="V249" t="s">
        <v>46</v>
      </c>
      <c r="W249" t="s">
        <v>1332</v>
      </c>
      <c r="X249" t="s">
        <v>1330</v>
      </c>
      <c r="Y249" t="s">
        <v>72</v>
      </c>
      <c r="Z249" t="s">
        <v>68</v>
      </c>
      <c r="AA249" t="s">
        <v>49</v>
      </c>
      <c r="AB249" t="s">
        <v>142</v>
      </c>
      <c r="AC249" s="2">
        <v>7229</v>
      </c>
      <c r="AD249" t="s">
        <v>64</v>
      </c>
    </row>
    <row r="250" spans="1:31" hidden="1" x14ac:dyDescent="0.25">
      <c r="I250" t="s">
        <v>1385</v>
      </c>
      <c r="J250" s="2">
        <v>1728</v>
      </c>
      <c r="K250" s="2">
        <v>7.92</v>
      </c>
      <c r="L250" s="2">
        <v>1</v>
      </c>
      <c r="M250" s="2">
        <v>0</v>
      </c>
      <c r="S250" t="s">
        <v>1386</v>
      </c>
      <c r="U250" t="s">
        <v>45</v>
      </c>
      <c r="V250" t="s">
        <v>46</v>
      </c>
      <c r="W250" t="s">
        <v>1221</v>
      </c>
      <c r="X250" t="s">
        <v>1222</v>
      </c>
      <c r="Y250" t="s">
        <v>161</v>
      </c>
      <c r="Z250" t="s">
        <v>162</v>
      </c>
      <c r="AA250" t="s">
        <v>49</v>
      </c>
      <c r="AC250" s="2"/>
    </row>
    <row r="251" spans="1:31" hidden="1" x14ac:dyDescent="0.25">
      <c r="I251" t="s">
        <v>1387</v>
      </c>
      <c r="J251" s="2">
        <v>1000</v>
      </c>
      <c r="K251" s="2">
        <v>0</v>
      </c>
      <c r="L251" s="2">
        <v>1</v>
      </c>
      <c r="M251" s="2">
        <v>0</v>
      </c>
      <c r="S251" t="s">
        <v>1388</v>
      </c>
      <c r="U251" t="s">
        <v>45</v>
      </c>
      <c r="V251" t="s">
        <v>46</v>
      </c>
      <c r="W251" t="s">
        <v>403</v>
      </c>
      <c r="X251" t="s">
        <v>404</v>
      </c>
      <c r="Y251" t="s">
        <v>161</v>
      </c>
      <c r="Z251" t="s">
        <v>162</v>
      </c>
      <c r="AA251" t="s">
        <v>49</v>
      </c>
      <c r="AC251" s="2"/>
    </row>
    <row r="252" spans="1:31" x14ac:dyDescent="0.25">
      <c r="A252" t="s">
        <v>1389</v>
      </c>
      <c r="B252" t="s">
        <v>1390</v>
      </c>
      <c r="C252" t="s">
        <v>1390</v>
      </c>
      <c r="D252" t="s">
        <v>153</v>
      </c>
      <c r="E252" t="s">
        <v>272</v>
      </c>
      <c r="F252" t="s">
        <v>1391</v>
      </c>
      <c r="J252" s="2">
        <v>218170</v>
      </c>
      <c r="K252" s="2">
        <v>1000</v>
      </c>
      <c r="L252" s="2">
        <v>1</v>
      </c>
      <c r="M252" s="2">
        <v>0</v>
      </c>
      <c r="N252" t="s">
        <v>40</v>
      </c>
      <c r="O252" t="s">
        <v>41</v>
      </c>
      <c r="P252" t="s">
        <v>42</v>
      </c>
      <c r="Q252" t="s">
        <v>43</v>
      </c>
      <c r="U252" t="s">
        <v>45</v>
      </c>
      <c r="V252" t="s">
        <v>46</v>
      </c>
      <c r="W252" t="s">
        <v>40</v>
      </c>
      <c r="X252" t="s">
        <v>41</v>
      </c>
      <c r="Y252" t="s">
        <v>47</v>
      </c>
      <c r="Z252" t="s">
        <v>48</v>
      </c>
      <c r="AA252" t="s">
        <v>49</v>
      </c>
      <c r="AB252" t="s">
        <v>50</v>
      </c>
      <c r="AC252" s="2">
        <v>216796.79</v>
      </c>
      <c r="AD252" t="s">
        <v>1392</v>
      </c>
    </row>
    <row r="253" spans="1:31" x14ac:dyDescent="0.25">
      <c r="A253" s="15" t="s">
        <v>1393</v>
      </c>
      <c r="B253" s="15" t="s">
        <v>1394</v>
      </c>
      <c r="C253" s="15" t="s">
        <v>1394</v>
      </c>
      <c r="D253" s="15" t="s">
        <v>55</v>
      </c>
      <c r="E253" s="15" t="s">
        <v>56</v>
      </c>
      <c r="F253" s="15" t="s">
        <v>1395</v>
      </c>
      <c r="H253" s="15" t="s">
        <v>1396</v>
      </c>
      <c r="I253" t="s">
        <v>1397</v>
      </c>
      <c r="J253" s="2">
        <v>1000</v>
      </c>
      <c r="K253" s="2">
        <v>0</v>
      </c>
      <c r="L253" s="2">
        <v>1</v>
      </c>
      <c r="M253" s="2">
        <v>0</v>
      </c>
      <c r="N253" s="15" t="s">
        <v>1398</v>
      </c>
      <c r="O253" s="15" t="s">
        <v>1396</v>
      </c>
      <c r="P253" s="15" t="s">
        <v>120</v>
      </c>
      <c r="Q253" s="15" t="s">
        <v>121</v>
      </c>
      <c r="S253" t="s">
        <v>1399</v>
      </c>
      <c r="U253" t="s">
        <v>45</v>
      </c>
      <c r="V253" t="s">
        <v>46</v>
      </c>
      <c r="W253" t="s">
        <v>1398</v>
      </c>
      <c r="X253" t="s">
        <v>1396</v>
      </c>
      <c r="Y253" t="s">
        <v>121</v>
      </c>
      <c r="Z253" t="s">
        <v>94</v>
      </c>
      <c r="AA253" t="s">
        <v>49</v>
      </c>
      <c r="AB253" s="15" t="s">
        <v>50</v>
      </c>
      <c r="AC253" s="16">
        <v>-3584.54</v>
      </c>
      <c r="AD253" s="15" t="s">
        <v>1400</v>
      </c>
      <c r="AE253" s="15" t="s">
        <v>115</v>
      </c>
    </row>
    <row r="254" spans="1:31" x14ac:dyDescent="0.25">
      <c r="A254" t="s">
        <v>1401</v>
      </c>
      <c r="B254" t="s">
        <v>1402</v>
      </c>
      <c r="C254" t="s">
        <v>1402</v>
      </c>
      <c r="D254" t="s">
        <v>35</v>
      </c>
      <c r="E254" t="s">
        <v>36</v>
      </c>
      <c r="F254" t="s">
        <v>1403</v>
      </c>
      <c r="G254" t="s">
        <v>35</v>
      </c>
      <c r="H254" t="s">
        <v>1039</v>
      </c>
      <c r="I254" t="s">
        <v>1404</v>
      </c>
      <c r="J254" s="2">
        <v>447249</v>
      </c>
      <c r="K254" s="2">
        <v>2050</v>
      </c>
      <c r="L254" s="2">
        <v>21</v>
      </c>
      <c r="M254" s="2">
        <v>0</v>
      </c>
      <c r="N254" t="s">
        <v>1038</v>
      </c>
      <c r="O254" t="s">
        <v>1039</v>
      </c>
      <c r="P254" t="s">
        <v>304</v>
      </c>
      <c r="Q254" t="s">
        <v>72</v>
      </c>
      <c r="S254" t="s">
        <v>1405</v>
      </c>
      <c r="U254" t="s">
        <v>45</v>
      </c>
      <c r="V254" t="s">
        <v>46</v>
      </c>
      <c r="W254" t="s">
        <v>1038</v>
      </c>
      <c r="X254" t="s">
        <v>1039</v>
      </c>
      <c r="Y254" t="s">
        <v>72</v>
      </c>
      <c r="Z254" t="s">
        <v>68</v>
      </c>
      <c r="AA254" t="s">
        <v>49</v>
      </c>
      <c r="AB254" t="s">
        <v>50</v>
      </c>
      <c r="AC254" s="2">
        <v>255344.17</v>
      </c>
      <c r="AD254" t="s">
        <v>1406</v>
      </c>
      <c r="AE254" t="s">
        <v>52</v>
      </c>
    </row>
    <row r="255" spans="1:31" x14ac:dyDescent="0.25">
      <c r="A255" t="s">
        <v>1407</v>
      </c>
      <c r="B255" t="s">
        <v>1408</v>
      </c>
      <c r="C255" t="s">
        <v>1408</v>
      </c>
      <c r="D255" t="s">
        <v>569</v>
      </c>
      <c r="E255" t="s">
        <v>570</v>
      </c>
      <c r="F255" t="s">
        <v>1409</v>
      </c>
      <c r="G255" t="s">
        <v>1410</v>
      </c>
      <c r="H255" t="s">
        <v>1222</v>
      </c>
      <c r="I255" t="s">
        <v>1411</v>
      </c>
      <c r="J255" s="2">
        <v>654510</v>
      </c>
      <c r="K255" s="2">
        <v>3000</v>
      </c>
      <c r="L255" s="2">
        <v>30</v>
      </c>
      <c r="M255" s="2">
        <v>0</v>
      </c>
      <c r="N255" t="s">
        <v>1221</v>
      </c>
      <c r="O255" t="s">
        <v>1222</v>
      </c>
      <c r="P255" t="s">
        <v>205</v>
      </c>
      <c r="Q255" t="s">
        <v>206</v>
      </c>
      <c r="S255" t="s">
        <v>1412</v>
      </c>
      <c r="U255" t="s">
        <v>45</v>
      </c>
      <c r="V255" t="s">
        <v>46</v>
      </c>
      <c r="W255" t="s">
        <v>1221</v>
      </c>
      <c r="X255" t="s">
        <v>1222</v>
      </c>
      <c r="Y255" t="s">
        <v>161</v>
      </c>
      <c r="Z255" t="s">
        <v>162</v>
      </c>
      <c r="AA255" t="s">
        <v>49</v>
      </c>
      <c r="AB255" t="s">
        <v>50</v>
      </c>
      <c r="AC255" s="2">
        <v>609374.79</v>
      </c>
      <c r="AD255" t="s">
        <v>1413</v>
      </c>
      <c r="AE255" t="s">
        <v>52</v>
      </c>
    </row>
    <row r="256" spans="1:31" x14ac:dyDescent="0.25">
      <c r="A256" t="s">
        <v>1414</v>
      </c>
      <c r="B256" t="s">
        <v>1415</v>
      </c>
      <c r="C256" t="s">
        <v>1415</v>
      </c>
      <c r="D256" t="s">
        <v>35</v>
      </c>
      <c r="E256" t="s">
        <v>36</v>
      </c>
      <c r="F256" t="s">
        <v>1416</v>
      </c>
      <c r="G256" t="s">
        <v>819</v>
      </c>
      <c r="H256" t="s">
        <v>1417</v>
      </c>
      <c r="I256" t="s">
        <v>1418</v>
      </c>
      <c r="J256" s="2">
        <v>109085</v>
      </c>
      <c r="K256" s="2">
        <v>500</v>
      </c>
      <c r="L256" s="2">
        <v>15</v>
      </c>
      <c r="M256" s="2">
        <v>0</v>
      </c>
      <c r="N256" t="s">
        <v>1419</v>
      </c>
      <c r="O256" t="s">
        <v>1420</v>
      </c>
      <c r="P256" t="s">
        <v>1421</v>
      </c>
      <c r="Q256" t="s">
        <v>1422</v>
      </c>
      <c r="S256" t="s">
        <v>1423</v>
      </c>
      <c r="U256" t="s">
        <v>45</v>
      </c>
      <c r="V256" t="s">
        <v>46</v>
      </c>
      <c r="W256" t="s">
        <v>1419</v>
      </c>
      <c r="X256" t="s">
        <v>1420</v>
      </c>
      <c r="Y256" t="s">
        <v>1215</v>
      </c>
      <c r="Z256" t="s">
        <v>1216</v>
      </c>
      <c r="AA256" t="s">
        <v>49</v>
      </c>
      <c r="AB256" t="s">
        <v>50</v>
      </c>
      <c r="AC256" s="2">
        <v>81379.91</v>
      </c>
      <c r="AD256" t="s">
        <v>1424</v>
      </c>
      <c r="AE256" t="s">
        <v>115</v>
      </c>
    </row>
    <row r="257" spans="1:31" hidden="1" x14ac:dyDescent="0.25">
      <c r="I257" t="s">
        <v>1426</v>
      </c>
      <c r="J257" s="2">
        <v>21817</v>
      </c>
      <c r="K257" s="2">
        <v>100</v>
      </c>
      <c r="L257" s="2">
        <v>1</v>
      </c>
      <c r="M257" s="2">
        <v>0</v>
      </c>
      <c r="S257" t="s">
        <v>1429</v>
      </c>
      <c r="U257" t="s">
        <v>45</v>
      </c>
      <c r="V257" t="s">
        <v>46</v>
      </c>
      <c r="W257" t="s">
        <v>1427</v>
      </c>
      <c r="X257" t="s">
        <v>1430</v>
      </c>
      <c r="Y257" t="s">
        <v>85</v>
      </c>
      <c r="Z257" t="s">
        <v>86</v>
      </c>
      <c r="AA257" t="s">
        <v>49</v>
      </c>
      <c r="AC257" s="2"/>
    </row>
    <row r="258" spans="1:31" hidden="1" x14ac:dyDescent="0.25">
      <c r="I258" t="s">
        <v>1431</v>
      </c>
      <c r="J258" s="2">
        <v>1000</v>
      </c>
      <c r="K258" s="2">
        <v>0</v>
      </c>
      <c r="L258" s="2">
        <v>1</v>
      </c>
      <c r="M258" s="2">
        <v>0</v>
      </c>
      <c r="S258" t="s">
        <v>1432</v>
      </c>
      <c r="U258" t="s">
        <v>45</v>
      </c>
      <c r="V258" t="s">
        <v>46</v>
      </c>
      <c r="W258" t="s">
        <v>585</v>
      </c>
      <c r="X258" t="s">
        <v>584</v>
      </c>
      <c r="Y258" t="s">
        <v>161</v>
      </c>
      <c r="Z258" t="s">
        <v>162</v>
      </c>
      <c r="AA258" t="s">
        <v>49</v>
      </c>
      <c r="AC258" s="2"/>
    </row>
    <row r="259" spans="1:31" x14ac:dyDescent="0.25">
      <c r="A259" t="s">
        <v>1433</v>
      </c>
      <c r="B259" t="s">
        <v>1434</v>
      </c>
      <c r="C259" t="s">
        <v>1434</v>
      </c>
      <c r="D259" t="s">
        <v>153</v>
      </c>
      <c r="E259" t="s">
        <v>272</v>
      </c>
      <c r="F259" t="s">
        <v>1435</v>
      </c>
      <c r="G259" t="s">
        <v>153</v>
      </c>
      <c r="H259" t="s">
        <v>349</v>
      </c>
      <c r="I259" t="s">
        <v>1436</v>
      </c>
      <c r="J259" s="2">
        <v>6680070</v>
      </c>
      <c r="K259" s="2">
        <v>27000</v>
      </c>
      <c r="L259" s="2">
        <v>30</v>
      </c>
      <c r="M259" s="2">
        <v>0</v>
      </c>
      <c r="N259" t="s">
        <v>348</v>
      </c>
      <c r="O259" t="s">
        <v>349</v>
      </c>
      <c r="P259" t="s">
        <v>316</v>
      </c>
      <c r="Q259" t="s">
        <v>317</v>
      </c>
      <c r="S259" t="s">
        <v>1437</v>
      </c>
      <c r="U259" t="s">
        <v>45</v>
      </c>
      <c r="V259" t="s">
        <v>46</v>
      </c>
      <c r="W259" t="s">
        <v>348</v>
      </c>
      <c r="X259" t="s">
        <v>349</v>
      </c>
      <c r="Y259" t="s">
        <v>317</v>
      </c>
      <c r="Z259" t="s">
        <v>349</v>
      </c>
      <c r="AA259" t="s">
        <v>49</v>
      </c>
      <c r="AB259" t="s">
        <v>50</v>
      </c>
      <c r="AC259" s="2">
        <v>1350497.41</v>
      </c>
      <c r="AD259" t="s">
        <v>1438</v>
      </c>
      <c r="AE259" t="s">
        <v>115</v>
      </c>
    </row>
    <row r="260" spans="1:31" hidden="1" x14ac:dyDescent="0.25">
      <c r="I260" t="s">
        <v>1439</v>
      </c>
      <c r="J260" s="2">
        <v>109085</v>
      </c>
      <c r="K260" s="2">
        <v>500</v>
      </c>
      <c r="L260" s="2">
        <v>7</v>
      </c>
      <c r="M260" s="2">
        <v>0</v>
      </c>
      <c r="S260" t="s">
        <v>1440</v>
      </c>
      <c r="U260" t="s">
        <v>45</v>
      </c>
      <c r="V260" t="s">
        <v>46</v>
      </c>
      <c r="W260" t="s">
        <v>156</v>
      </c>
      <c r="X260" t="s">
        <v>157</v>
      </c>
      <c r="Y260" t="s">
        <v>161</v>
      </c>
      <c r="Z260" t="s">
        <v>162</v>
      </c>
      <c r="AA260" t="s">
        <v>49</v>
      </c>
      <c r="AC260" s="2"/>
    </row>
    <row r="261" spans="1:31" x14ac:dyDescent="0.25">
      <c r="A261" t="s">
        <v>1441</v>
      </c>
      <c r="B261" t="s">
        <v>1442</v>
      </c>
      <c r="C261" t="s">
        <v>1442</v>
      </c>
      <c r="D261" t="s">
        <v>125</v>
      </c>
      <c r="E261" t="s">
        <v>126</v>
      </c>
      <c r="F261" t="s">
        <v>1443</v>
      </c>
      <c r="G261" t="s">
        <v>569</v>
      </c>
      <c r="H261" t="s">
        <v>1444</v>
      </c>
      <c r="I261" t="s">
        <v>1445</v>
      </c>
      <c r="J261" s="2">
        <v>1878225</v>
      </c>
      <c r="K261" s="2">
        <v>7900</v>
      </c>
      <c r="L261" s="2">
        <v>21</v>
      </c>
      <c r="M261" s="2">
        <v>0</v>
      </c>
      <c r="N261" t="s">
        <v>1064</v>
      </c>
      <c r="O261" t="s">
        <v>1062</v>
      </c>
      <c r="P261" t="s">
        <v>304</v>
      </c>
      <c r="Q261" t="s">
        <v>72</v>
      </c>
      <c r="S261" t="s">
        <v>1446</v>
      </c>
      <c r="U261" t="s">
        <v>45</v>
      </c>
      <c r="V261" t="s">
        <v>46</v>
      </c>
      <c r="W261" t="s">
        <v>1064</v>
      </c>
      <c r="X261" t="s">
        <v>1062</v>
      </c>
      <c r="Y261" t="s">
        <v>72</v>
      </c>
      <c r="Z261" t="s">
        <v>68</v>
      </c>
      <c r="AA261" t="s">
        <v>49</v>
      </c>
      <c r="AB261" t="s">
        <v>50</v>
      </c>
      <c r="AC261" s="2">
        <v>685423.55</v>
      </c>
      <c r="AD261" t="s">
        <v>1447</v>
      </c>
      <c r="AE261" t="s">
        <v>52</v>
      </c>
    </row>
    <row r="262" spans="1:31" hidden="1" x14ac:dyDescent="0.25">
      <c r="I262" t="s">
        <v>1449</v>
      </c>
      <c r="J262" s="2">
        <v>33279</v>
      </c>
      <c r="K262" s="2">
        <v>0</v>
      </c>
      <c r="L262" s="2">
        <v>15</v>
      </c>
      <c r="M262" s="2">
        <v>0</v>
      </c>
      <c r="S262" t="s">
        <v>1451</v>
      </c>
      <c r="U262" t="s">
        <v>45</v>
      </c>
      <c r="V262" t="s">
        <v>46</v>
      </c>
      <c r="W262" t="s">
        <v>1450</v>
      </c>
      <c r="X262" t="s">
        <v>1448</v>
      </c>
      <c r="Y262" t="s">
        <v>121</v>
      </c>
      <c r="Z262" t="s">
        <v>94</v>
      </c>
      <c r="AA262" t="s">
        <v>49</v>
      </c>
      <c r="AC262" s="2"/>
    </row>
    <row r="263" spans="1:31" x14ac:dyDescent="0.25">
      <c r="A263" t="s">
        <v>1452</v>
      </c>
      <c r="B263" t="s">
        <v>1453</v>
      </c>
      <c r="C263" t="s">
        <v>1453</v>
      </c>
      <c r="D263" t="s">
        <v>1454</v>
      </c>
      <c r="E263" t="s">
        <v>224</v>
      </c>
      <c r="F263" t="s">
        <v>1455</v>
      </c>
      <c r="G263" t="s">
        <v>873</v>
      </c>
      <c r="H263" t="s">
        <v>303</v>
      </c>
      <c r="I263" t="s">
        <v>1456</v>
      </c>
      <c r="J263" s="2">
        <v>14744</v>
      </c>
      <c r="K263" s="2">
        <v>0</v>
      </c>
      <c r="L263" s="2">
        <v>15</v>
      </c>
      <c r="M263" s="2">
        <v>0</v>
      </c>
      <c r="N263" t="s">
        <v>302</v>
      </c>
      <c r="O263" t="s">
        <v>303</v>
      </c>
      <c r="P263" t="s">
        <v>304</v>
      </c>
      <c r="Q263" t="s">
        <v>72</v>
      </c>
      <c r="S263" t="s">
        <v>1457</v>
      </c>
      <c r="U263" t="s">
        <v>45</v>
      </c>
      <c r="V263" t="s">
        <v>46</v>
      </c>
      <c r="W263" t="s">
        <v>302</v>
      </c>
      <c r="X263" t="s">
        <v>303</v>
      </c>
      <c r="Y263" t="s">
        <v>72</v>
      </c>
      <c r="Z263" t="s">
        <v>68</v>
      </c>
      <c r="AA263" t="s">
        <v>49</v>
      </c>
      <c r="AB263" t="s">
        <v>50</v>
      </c>
      <c r="AC263" s="2">
        <v>14744</v>
      </c>
      <c r="AD263" t="s">
        <v>64</v>
      </c>
    </row>
    <row r="264" spans="1:31" x14ac:dyDescent="0.25">
      <c r="A264" t="s">
        <v>1458</v>
      </c>
      <c r="B264" t="s">
        <v>1459</v>
      </c>
      <c r="C264" t="s">
        <v>1459</v>
      </c>
      <c r="D264" t="s">
        <v>297</v>
      </c>
      <c r="E264" t="s">
        <v>167</v>
      </c>
      <c r="F264" t="s">
        <v>1460</v>
      </c>
      <c r="G264" t="s">
        <v>553</v>
      </c>
      <c r="H264" t="s">
        <v>1062</v>
      </c>
      <c r="I264" t="s">
        <v>1461</v>
      </c>
      <c r="J264" s="2">
        <v>55913</v>
      </c>
      <c r="K264" s="2">
        <v>250</v>
      </c>
      <c r="L264" s="2">
        <v>7</v>
      </c>
      <c r="M264" s="2">
        <v>0</v>
      </c>
      <c r="N264" t="s">
        <v>1064</v>
      </c>
      <c r="O264" t="s">
        <v>1062</v>
      </c>
      <c r="P264" t="s">
        <v>304</v>
      </c>
      <c r="Q264" t="s">
        <v>72</v>
      </c>
      <c r="S264" t="s">
        <v>1462</v>
      </c>
      <c r="U264" t="s">
        <v>45</v>
      </c>
      <c r="V264" t="s">
        <v>46</v>
      </c>
      <c r="W264" t="s">
        <v>1064</v>
      </c>
      <c r="X264" t="s">
        <v>1062</v>
      </c>
      <c r="Y264" t="s">
        <v>72</v>
      </c>
      <c r="Z264" t="s">
        <v>68</v>
      </c>
      <c r="AA264" t="s">
        <v>49</v>
      </c>
      <c r="AB264" t="s">
        <v>50</v>
      </c>
      <c r="AC264" s="2">
        <v>33274.83</v>
      </c>
      <c r="AD264" t="s">
        <v>1463</v>
      </c>
    </row>
    <row r="265" spans="1:31" x14ac:dyDescent="0.25">
      <c r="A265" t="s">
        <v>1464</v>
      </c>
      <c r="B265" t="s">
        <v>1465</v>
      </c>
      <c r="C265" t="s">
        <v>1465</v>
      </c>
      <c r="D265" t="s">
        <v>870</v>
      </c>
      <c r="E265" t="s">
        <v>871</v>
      </c>
      <c r="F265" t="s">
        <v>1466</v>
      </c>
      <c r="G265" t="s">
        <v>1467</v>
      </c>
      <c r="H265" t="s">
        <v>653</v>
      </c>
      <c r="I265" t="s">
        <v>1468</v>
      </c>
      <c r="J265" s="2">
        <v>327255</v>
      </c>
      <c r="K265" s="2">
        <v>1500</v>
      </c>
      <c r="L265" s="2">
        <v>15</v>
      </c>
      <c r="M265" s="2">
        <v>0</v>
      </c>
      <c r="N265" t="s">
        <v>652</v>
      </c>
      <c r="O265" t="s">
        <v>653</v>
      </c>
      <c r="P265" t="s">
        <v>69</v>
      </c>
      <c r="Q265" t="s">
        <v>70</v>
      </c>
      <c r="S265" t="s">
        <v>1469</v>
      </c>
      <c r="U265" t="s">
        <v>45</v>
      </c>
      <c r="V265" t="s">
        <v>46</v>
      </c>
      <c r="W265" t="s">
        <v>652</v>
      </c>
      <c r="X265" t="s">
        <v>653</v>
      </c>
      <c r="Y265" t="s">
        <v>72</v>
      </c>
      <c r="Z265" t="s">
        <v>68</v>
      </c>
      <c r="AA265" t="s">
        <v>49</v>
      </c>
      <c r="AB265" t="s">
        <v>50</v>
      </c>
      <c r="AC265" s="2">
        <v>179939.6</v>
      </c>
      <c r="AD265" t="s">
        <v>1470</v>
      </c>
    </row>
    <row r="266" spans="1:31" hidden="1" x14ac:dyDescent="0.25">
      <c r="I266" t="s">
        <v>681</v>
      </c>
      <c r="J266" s="2">
        <v>130902</v>
      </c>
      <c r="K266" s="2">
        <v>600</v>
      </c>
      <c r="L266" s="2">
        <v>21</v>
      </c>
      <c r="M266" s="2">
        <v>0</v>
      </c>
      <c r="S266" t="s">
        <v>1472</v>
      </c>
      <c r="U266" t="s">
        <v>45</v>
      </c>
      <c r="V266" t="s">
        <v>46</v>
      </c>
      <c r="W266" t="s">
        <v>348</v>
      </c>
      <c r="X266" t="s">
        <v>349</v>
      </c>
      <c r="Y266" t="s">
        <v>317</v>
      </c>
      <c r="Z266" t="s">
        <v>349</v>
      </c>
      <c r="AA266" t="s">
        <v>49</v>
      </c>
      <c r="AC266" s="2"/>
    </row>
    <row r="267" spans="1:31" x14ac:dyDescent="0.25">
      <c r="A267" s="15" t="s">
        <v>1473</v>
      </c>
      <c r="B267" s="15" t="s">
        <v>1474</v>
      </c>
      <c r="C267" s="15" t="s">
        <v>1474</v>
      </c>
      <c r="D267" s="15" t="s">
        <v>55</v>
      </c>
      <c r="E267" s="15" t="s">
        <v>56</v>
      </c>
      <c r="F267" s="15" t="s">
        <v>1475</v>
      </c>
      <c r="H267" s="15" t="s">
        <v>81</v>
      </c>
      <c r="I267" t="s">
        <v>1476</v>
      </c>
      <c r="J267" s="2">
        <v>21817</v>
      </c>
      <c r="K267" s="2">
        <v>100</v>
      </c>
      <c r="L267" s="2">
        <v>1</v>
      </c>
      <c r="M267" s="2">
        <v>0</v>
      </c>
      <c r="N267" s="15" t="s">
        <v>80</v>
      </c>
      <c r="O267" s="15" t="s">
        <v>81</v>
      </c>
      <c r="P267" s="15" t="s">
        <v>1363</v>
      </c>
      <c r="Q267" s="15" t="s">
        <v>1364</v>
      </c>
      <c r="S267" t="s">
        <v>1477</v>
      </c>
      <c r="U267" t="s">
        <v>45</v>
      </c>
      <c r="V267" t="s">
        <v>46</v>
      </c>
      <c r="W267" t="s">
        <v>80</v>
      </c>
      <c r="X267" t="s">
        <v>81</v>
      </c>
      <c r="Y267" t="s">
        <v>1215</v>
      </c>
      <c r="Z267" t="s">
        <v>1216</v>
      </c>
      <c r="AA267" t="s">
        <v>49</v>
      </c>
      <c r="AB267" s="15" t="s">
        <v>50</v>
      </c>
      <c r="AC267" s="16">
        <v>17741.099999999999</v>
      </c>
      <c r="AD267" s="15" t="s">
        <v>1478</v>
      </c>
      <c r="AE267" s="15" t="s">
        <v>115</v>
      </c>
    </row>
    <row r="268" spans="1:31" hidden="1" x14ac:dyDescent="0.25">
      <c r="A268" s="10" t="s">
        <v>1479</v>
      </c>
      <c r="B268" s="10" t="s">
        <v>1480</v>
      </c>
      <c r="C268" t="s">
        <v>1480</v>
      </c>
      <c r="D268" t="s">
        <v>55</v>
      </c>
      <c r="E268" t="s">
        <v>56</v>
      </c>
      <c r="F268" t="s">
        <v>1481</v>
      </c>
      <c r="H268" t="s">
        <v>290</v>
      </c>
      <c r="I268" t="s">
        <v>1482</v>
      </c>
      <c r="J268" s="2">
        <v>1000</v>
      </c>
      <c r="K268" s="2">
        <v>0</v>
      </c>
      <c r="L268" s="2">
        <v>15</v>
      </c>
      <c r="M268" s="2">
        <v>0</v>
      </c>
      <c r="N268" t="s">
        <v>292</v>
      </c>
      <c r="O268" t="s">
        <v>293</v>
      </c>
      <c r="P268" t="s">
        <v>61</v>
      </c>
      <c r="Q268" t="s">
        <v>62</v>
      </c>
      <c r="S268" t="s">
        <v>1483</v>
      </c>
      <c r="U268" t="s">
        <v>45</v>
      </c>
      <c r="V268" t="s">
        <v>46</v>
      </c>
      <c r="W268" t="s">
        <v>292</v>
      </c>
      <c r="X268" t="s">
        <v>293</v>
      </c>
      <c r="Y268" t="s">
        <v>47</v>
      </c>
      <c r="Z268" t="s">
        <v>48</v>
      </c>
      <c r="AA268" t="s">
        <v>49</v>
      </c>
      <c r="AB268" t="s">
        <v>142</v>
      </c>
      <c r="AC268" s="2">
        <v>1000</v>
      </c>
      <c r="AD268" t="s">
        <v>64</v>
      </c>
    </row>
    <row r="269" spans="1:31" x14ac:dyDescent="0.25">
      <c r="A269" t="s">
        <v>1484</v>
      </c>
      <c r="B269" t="s">
        <v>1485</v>
      </c>
      <c r="C269" t="s">
        <v>1486</v>
      </c>
      <c r="D269" t="s">
        <v>153</v>
      </c>
      <c r="E269" t="s">
        <v>272</v>
      </c>
      <c r="F269" t="s">
        <v>1159</v>
      </c>
      <c r="G269" t="s">
        <v>1243</v>
      </c>
      <c r="H269" t="s">
        <v>173</v>
      </c>
      <c r="I269" t="s">
        <v>1487</v>
      </c>
      <c r="J269" s="2">
        <v>1137800</v>
      </c>
      <c r="K269" s="2">
        <v>5000</v>
      </c>
      <c r="L269" s="2">
        <v>21</v>
      </c>
      <c r="M269" s="2">
        <v>0</v>
      </c>
      <c r="N269" t="s">
        <v>172</v>
      </c>
      <c r="O269" t="s">
        <v>173</v>
      </c>
      <c r="P269" t="s">
        <v>158</v>
      </c>
      <c r="Q269" t="s">
        <v>159</v>
      </c>
      <c r="S269" t="s">
        <v>1488</v>
      </c>
      <c r="U269" t="s">
        <v>45</v>
      </c>
      <c r="V269" t="s">
        <v>46</v>
      </c>
      <c r="W269" t="s">
        <v>172</v>
      </c>
      <c r="X269" t="s">
        <v>173</v>
      </c>
      <c r="Y269" t="s">
        <v>161</v>
      </c>
      <c r="Z269" t="s">
        <v>162</v>
      </c>
      <c r="AA269" t="s">
        <v>49</v>
      </c>
      <c r="AB269" t="s">
        <v>50</v>
      </c>
      <c r="AC269" s="2">
        <v>1137800</v>
      </c>
      <c r="AD269" t="s">
        <v>64</v>
      </c>
    </row>
    <row r="270" spans="1:31" x14ac:dyDescent="0.25">
      <c r="A270" t="s">
        <v>1489</v>
      </c>
      <c r="B270" t="s">
        <v>1490</v>
      </c>
      <c r="C270" t="s">
        <v>1490</v>
      </c>
      <c r="D270" t="s">
        <v>35</v>
      </c>
      <c r="E270" t="s">
        <v>36</v>
      </c>
      <c r="F270" t="s">
        <v>1491</v>
      </c>
      <c r="G270" t="s">
        <v>35</v>
      </c>
      <c r="H270" t="s">
        <v>699</v>
      </c>
      <c r="I270" t="s">
        <v>1492</v>
      </c>
      <c r="J270" s="2">
        <v>3272550</v>
      </c>
      <c r="K270" s="2">
        <v>15000</v>
      </c>
      <c r="L270" s="2">
        <v>21</v>
      </c>
      <c r="M270" s="2">
        <v>0</v>
      </c>
      <c r="N270" t="s">
        <v>700</v>
      </c>
      <c r="O270" t="s">
        <v>699</v>
      </c>
      <c r="P270" t="s">
        <v>69</v>
      </c>
      <c r="Q270" t="s">
        <v>70</v>
      </c>
      <c r="S270" t="s">
        <v>1493</v>
      </c>
      <c r="U270" t="s">
        <v>45</v>
      </c>
      <c r="V270" t="s">
        <v>46</v>
      </c>
      <c r="W270" t="s">
        <v>700</v>
      </c>
      <c r="X270" t="s">
        <v>699</v>
      </c>
      <c r="Y270" t="s">
        <v>72</v>
      </c>
      <c r="Z270" t="s">
        <v>68</v>
      </c>
      <c r="AA270" t="s">
        <v>49</v>
      </c>
      <c r="AB270" t="s">
        <v>50</v>
      </c>
      <c r="AC270" s="2">
        <v>1813035.32</v>
      </c>
      <c r="AD270" t="s">
        <v>1494</v>
      </c>
      <c r="AE270" t="s">
        <v>115</v>
      </c>
    </row>
    <row r="271" spans="1:31" hidden="1" x14ac:dyDescent="0.25">
      <c r="A271" t="s">
        <v>1495</v>
      </c>
      <c r="B271" t="s">
        <v>1496</v>
      </c>
      <c r="C271" t="s">
        <v>1496</v>
      </c>
      <c r="F271" t="s">
        <v>1497</v>
      </c>
      <c r="H271" t="s">
        <v>1062</v>
      </c>
      <c r="I271" t="s">
        <v>1498</v>
      </c>
      <c r="J271" s="2">
        <v>109085</v>
      </c>
      <c r="K271" s="2">
        <v>500</v>
      </c>
      <c r="L271" s="2">
        <v>7</v>
      </c>
      <c r="M271" s="2">
        <v>0</v>
      </c>
      <c r="N271" t="s">
        <v>1064</v>
      </c>
      <c r="O271" t="s">
        <v>1062</v>
      </c>
      <c r="P271" t="s">
        <v>304</v>
      </c>
      <c r="Q271" t="s">
        <v>72</v>
      </c>
      <c r="S271" t="s">
        <v>1499</v>
      </c>
      <c r="U271" t="s">
        <v>45</v>
      </c>
      <c r="V271" t="s">
        <v>46</v>
      </c>
      <c r="W271" t="s">
        <v>1064</v>
      </c>
      <c r="X271" t="s">
        <v>1062</v>
      </c>
      <c r="Y271" t="s">
        <v>72</v>
      </c>
      <c r="Z271" t="s">
        <v>68</v>
      </c>
      <c r="AA271" t="s">
        <v>49</v>
      </c>
      <c r="AB271" t="s">
        <v>50</v>
      </c>
      <c r="AC271" s="2">
        <v>109085</v>
      </c>
      <c r="AD271" t="s">
        <v>64</v>
      </c>
    </row>
    <row r="272" spans="1:31" x14ac:dyDescent="0.25">
      <c r="A272" t="s">
        <v>1500</v>
      </c>
      <c r="B272" t="s">
        <v>1501</v>
      </c>
      <c r="C272" t="s">
        <v>1501</v>
      </c>
      <c r="D272" t="s">
        <v>555</v>
      </c>
      <c r="E272" t="s">
        <v>1502</v>
      </c>
      <c r="F272" t="s">
        <v>1503</v>
      </c>
      <c r="G272" t="s">
        <v>1504</v>
      </c>
      <c r="H272" t="s">
        <v>157</v>
      </c>
      <c r="I272" t="s">
        <v>1505</v>
      </c>
      <c r="J272" s="2">
        <v>436340</v>
      </c>
      <c r="K272" s="2">
        <v>2000</v>
      </c>
      <c r="L272" s="2">
        <v>21</v>
      </c>
      <c r="M272" s="2">
        <v>0</v>
      </c>
      <c r="N272" t="s">
        <v>156</v>
      </c>
      <c r="O272" t="s">
        <v>157</v>
      </c>
      <c r="P272" t="s">
        <v>158</v>
      </c>
      <c r="Q272" t="s">
        <v>159</v>
      </c>
      <c r="S272" t="s">
        <v>1506</v>
      </c>
      <c r="U272" t="s">
        <v>45</v>
      </c>
      <c r="V272" t="s">
        <v>46</v>
      </c>
      <c r="W272" t="s">
        <v>156</v>
      </c>
      <c r="X272" t="s">
        <v>157</v>
      </c>
      <c r="Y272" t="s">
        <v>161</v>
      </c>
      <c r="Z272" t="s">
        <v>162</v>
      </c>
      <c r="AA272" t="s">
        <v>49</v>
      </c>
      <c r="AB272" t="s">
        <v>50</v>
      </c>
      <c r="AC272" s="2">
        <v>410737.16</v>
      </c>
      <c r="AD272" t="s">
        <v>1507</v>
      </c>
    </row>
    <row r="273" spans="1:31" x14ac:dyDescent="0.25">
      <c r="A273" t="s">
        <v>1508</v>
      </c>
      <c r="B273" t="s">
        <v>1509</v>
      </c>
      <c r="C273" t="s">
        <v>1509</v>
      </c>
      <c r="D273" t="s">
        <v>35</v>
      </c>
      <c r="E273" t="s">
        <v>36</v>
      </c>
      <c r="F273" t="s">
        <v>1510</v>
      </c>
      <c r="G273" t="s">
        <v>35</v>
      </c>
      <c r="H273" t="s">
        <v>446</v>
      </c>
      <c r="I273" t="s">
        <v>1511</v>
      </c>
      <c r="J273" s="2">
        <v>2431100</v>
      </c>
      <c r="K273" s="2">
        <v>10000</v>
      </c>
      <c r="L273" s="2">
        <v>30</v>
      </c>
      <c r="M273" s="2">
        <v>0</v>
      </c>
      <c r="N273" t="s">
        <v>445</v>
      </c>
      <c r="O273" t="s">
        <v>446</v>
      </c>
      <c r="P273" t="s">
        <v>69</v>
      </c>
      <c r="Q273" t="s">
        <v>70</v>
      </c>
      <c r="S273" t="s">
        <v>1512</v>
      </c>
      <c r="U273" t="s">
        <v>45</v>
      </c>
      <c r="V273" t="s">
        <v>46</v>
      </c>
      <c r="W273" t="s">
        <v>445</v>
      </c>
      <c r="X273" t="s">
        <v>446</v>
      </c>
      <c r="Y273" t="s">
        <v>72</v>
      </c>
      <c r="Z273" t="s">
        <v>68</v>
      </c>
      <c r="AA273" t="s">
        <v>49</v>
      </c>
      <c r="AB273" t="s">
        <v>50</v>
      </c>
      <c r="AC273" s="2">
        <v>1826783.91</v>
      </c>
      <c r="AD273" t="s">
        <v>1513</v>
      </c>
      <c r="AE273" t="s">
        <v>115</v>
      </c>
    </row>
    <row r="274" spans="1:31" hidden="1" x14ac:dyDescent="0.25">
      <c r="I274" t="s">
        <v>1514</v>
      </c>
      <c r="J274" s="2">
        <v>1000</v>
      </c>
      <c r="K274" s="2">
        <v>0</v>
      </c>
      <c r="L274" s="2">
        <v>21</v>
      </c>
      <c r="M274" s="2">
        <v>0</v>
      </c>
      <c r="S274" t="s">
        <v>1515</v>
      </c>
      <c r="U274" t="s">
        <v>45</v>
      </c>
      <c r="V274" t="s">
        <v>46</v>
      </c>
      <c r="W274" t="s">
        <v>700</v>
      </c>
      <c r="X274" t="s">
        <v>699</v>
      </c>
      <c r="Y274" t="s">
        <v>72</v>
      </c>
      <c r="Z274" t="s">
        <v>68</v>
      </c>
      <c r="AA274" t="s">
        <v>49</v>
      </c>
      <c r="AC274" s="2"/>
    </row>
    <row r="275" spans="1:31" hidden="1" x14ac:dyDescent="0.25">
      <c r="I275" t="s">
        <v>1516</v>
      </c>
      <c r="J275" s="2">
        <v>10909</v>
      </c>
      <c r="K275" s="2">
        <v>50</v>
      </c>
      <c r="L275" s="2">
        <v>1</v>
      </c>
      <c r="M275" s="2">
        <v>0</v>
      </c>
      <c r="S275" t="s">
        <v>1517</v>
      </c>
      <c r="U275" t="s">
        <v>45</v>
      </c>
      <c r="V275" t="s">
        <v>46</v>
      </c>
      <c r="W275" t="s">
        <v>254</v>
      </c>
      <c r="X275" t="s">
        <v>255</v>
      </c>
      <c r="Y275" t="s">
        <v>161</v>
      </c>
      <c r="Z275" t="s">
        <v>162</v>
      </c>
      <c r="AA275" t="s">
        <v>49</v>
      </c>
      <c r="AC275" s="2"/>
    </row>
    <row r="276" spans="1:31" x14ac:dyDescent="0.25">
      <c r="A276" t="s">
        <v>1518</v>
      </c>
      <c r="B276" t="s">
        <v>1519</v>
      </c>
      <c r="C276" t="s">
        <v>1519</v>
      </c>
      <c r="D276" t="s">
        <v>1520</v>
      </c>
      <c r="E276" t="s">
        <v>224</v>
      </c>
      <c r="F276" t="s">
        <v>1521</v>
      </c>
      <c r="H276" t="s">
        <v>1522</v>
      </c>
      <c r="I276" t="s">
        <v>1523</v>
      </c>
      <c r="J276" s="2">
        <v>32726</v>
      </c>
      <c r="K276" s="2">
        <v>150</v>
      </c>
      <c r="L276" s="2">
        <v>7</v>
      </c>
      <c r="M276" s="2">
        <v>0</v>
      </c>
      <c r="N276" t="s">
        <v>1524</v>
      </c>
      <c r="O276" t="s">
        <v>1525</v>
      </c>
      <c r="P276" t="s">
        <v>120</v>
      </c>
      <c r="Q276" t="s">
        <v>121</v>
      </c>
      <c r="S276" t="s">
        <v>1526</v>
      </c>
      <c r="U276" t="s">
        <v>45</v>
      </c>
      <c r="V276" t="s">
        <v>46</v>
      </c>
      <c r="W276" t="s">
        <v>1524</v>
      </c>
      <c r="X276" t="s">
        <v>1525</v>
      </c>
      <c r="Y276" t="s">
        <v>121</v>
      </c>
      <c r="Z276" t="s">
        <v>94</v>
      </c>
      <c r="AA276" t="s">
        <v>49</v>
      </c>
      <c r="AB276" t="s">
        <v>50</v>
      </c>
      <c r="AC276" s="2">
        <v>32726</v>
      </c>
      <c r="AD276" t="s">
        <v>64</v>
      </c>
    </row>
    <row r="277" spans="1:31" x14ac:dyDescent="0.25">
      <c r="A277" t="s">
        <v>1527</v>
      </c>
      <c r="B277" t="s">
        <v>1528</v>
      </c>
      <c r="C277" t="s">
        <v>1529</v>
      </c>
      <c r="D277" t="s">
        <v>169</v>
      </c>
      <c r="E277" t="s">
        <v>190</v>
      </c>
      <c r="F277" t="s">
        <v>1530</v>
      </c>
      <c r="H277" t="s">
        <v>1531</v>
      </c>
      <c r="I277" t="s">
        <v>1532</v>
      </c>
      <c r="J277" s="2">
        <v>436340</v>
      </c>
      <c r="K277" s="2">
        <v>2000</v>
      </c>
      <c r="L277" s="2">
        <v>21</v>
      </c>
      <c r="M277" s="2">
        <v>0</v>
      </c>
      <c r="N277" t="s">
        <v>585</v>
      </c>
      <c r="O277" t="s">
        <v>584</v>
      </c>
      <c r="P277" t="s">
        <v>158</v>
      </c>
      <c r="Q277" t="s">
        <v>159</v>
      </c>
      <c r="S277" t="s">
        <v>1533</v>
      </c>
      <c r="U277" t="s">
        <v>45</v>
      </c>
      <c r="V277" t="s">
        <v>46</v>
      </c>
      <c r="W277" t="s">
        <v>585</v>
      </c>
      <c r="X277" t="s">
        <v>584</v>
      </c>
      <c r="Y277" t="s">
        <v>161</v>
      </c>
      <c r="Z277" t="s">
        <v>162</v>
      </c>
      <c r="AA277" t="s">
        <v>49</v>
      </c>
      <c r="AB277" t="s">
        <v>50</v>
      </c>
      <c r="AC277" s="2">
        <v>178315.63</v>
      </c>
      <c r="AD277" t="s">
        <v>1534</v>
      </c>
    </row>
    <row r="278" spans="1:31" x14ac:dyDescent="0.25">
      <c r="A278" t="s">
        <v>1535</v>
      </c>
      <c r="B278" t="s">
        <v>1536</v>
      </c>
      <c r="C278" t="s">
        <v>1536</v>
      </c>
      <c r="D278" t="s">
        <v>125</v>
      </c>
      <c r="E278" t="s">
        <v>126</v>
      </c>
      <c r="F278" t="s">
        <v>1537</v>
      </c>
      <c r="G278" t="s">
        <v>553</v>
      </c>
      <c r="H278" t="s">
        <v>404</v>
      </c>
      <c r="I278" t="s">
        <v>1538</v>
      </c>
      <c r="J278" s="2">
        <v>32726</v>
      </c>
      <c r="K278" s="2">
        <v>150</v>
      </c>
      <c r="L278" s="2">
        <v>7</v>
      </c>
      <c r="M278" s="2">
        <v>0</v>
      </c>
      <c r="N278" t="s">
        <v>403</v>
      </c>
      <c r="O278" t="s">
        <v>404</v>
      </c>
      <c r="P278" t="s">
        <v>205</v>
      </c>
      <c r="Q278" t="s">
        <v>206</v>
      </c>
      <c r="S278" t="s">
        <v>1539</v>
      </c>
      <c r="U278" t="s">
        <v>45</v>
      </c>
      <c r="V278" t="s">
        <v>46</v>
      </c>
      <c r="W278" t="s">
        <v>403</v>
      </c>
      <c r="X278" t="s">
        <v>404</v>
      </c>
      <c r="Y278" t="s">
        <v>161</v>
      </c>
      <c r="Z278" t="s">
        <v>162</v>
      </c>
      <c r="AA278" t="s">
        <v>49</v>
      </c>
      <c r="AB278" t="s">
        <v>50</v>
      </c>
      <c r="AC278" s="2">
        <v>31470.16</v>
      </c>
      <c r="AD278" t="s">
        <v>1540</v>
      </c>
      <c r="AE278" t="s">
        <v>115</v>
      </c>
    </row>
    <row r="279" spans="1:31" x14ac:dyDescent="0.25">
      <c r="A279" t="s">
        <v>1541</v>
      </c>
      <c r="B279" t="s">
        <v>1542</v>
      </c>
      <c r="C279" t="s">
        <v>869</v>
      </c>
      <c r="D279" t="s">
        <v>485</v>
      </c>
      <c r="E279" t="s">
        <v>224</v>
      </c>
      <c r="F279" t="s">
        <v>1543</v>
      </c>
      <c r="G279" t="s">
        <v>321</v>
      </c>
      <c r="H279" t="s">
        <v>1544</v>
      </c>
      <c r="I279" t="s">
        <v>1545</v>
      </c>
      <c r="J279" s="2">
        <v>283621</v>
      </c>
      <c r="K279" s="2">
        <v>1300</v>
      </c>
      <c r="L279" s="2">
        <v>1</v>
      </c>
      <c r="M279" s="2">
        <v>0</v>
      </c>
      <c r="N279" t="s">
        <v>1546</v>
      </c>
      <c r="O279" t="s">
        <v>1547</v>
      </c>
      <c r="P279" t="s">
        <v>103</v>
      </c>
      <c r="Q279" t="s">
        <v>104</v>
      </c>
      <c r="S279" t="s">
        <v>1548</v>
      </c>
      <c r="U279" t="s">
        <v>45</v>
      </c>
      <c r="V279" t="s">
        <v>46</v>
      </c>
      <c r="W279" t="s">
        <v>1546</v>
      </c>
      <c r="X279" t="s">
        <v>1547</v>
      </c>
      <c r="Y279" t="s">
        <v>279</v>
      </c>
      <c r="Z279" t="s">
        <v>280</v>
      </c>
      <c r="AA279" t="s">
        <v>49</v>
      </c>
      <c r="AB279" t="s">
        <v>50</v>
      </c>
      <c r="AC279" s="2">
        <v>283283.27</v>
      </c>
      <c r="AD279" t="s">
        <v>1549</v>
      </c>
    </row>
    <row r="280" spans="1:31" x14ac:dyDescent="0.25">
      <c r="A280" t="s">
        <v>1550</v>
      </c>
      <c r="B280" t="s">
        <v>1551</v>
      </c>
      <c r="C280" t="s">
        <v>1552</v>
      </c>
      <c r="D280" t="s">
        <v>1410</v>
      </c>
      <c r="E280" t="s">
        <v>871</v>
      </c>
      <c r="F280" t="s">
        <v>1553</v>
      </c>
      <c r="G280" t="s">
        <v>817</v>
      </c>
      <c r="H280" t="s">
        <v>1554</v>
      </c>
      <c r="I280" t="s">
        <v>1555</v>
      </c>
      <c r="J280" s="2">
        <v>218170</v>
      </c>
      <c r="K280" s="2">
        <v>1000</v>
      </c>
      <c r="L280" s="2">
        <v>15</v>
      </c>
      <c r="M280" s="2">
        <v>0</v>
      </c>
      <c r="N280" t="s">
        <v>1556</v>
      </c>
      <c r="O280" t="s">
        <v>1557</v>
      </c>
      <c r="P280" t="s">
        <v>316</v>
      </c>
      <c r="Q280" t="s">
        <v>317</v>
      </c>
      <c r="S280" t="s">
        <v>1558</v>
      </c>
      <c r="U280" t="s">
        <v>45</v>
      </c>
      <c r="V280" t="s">
        <v>46</v>
      </c>
      <c r="W280" t="s">
        <v>1556</v>
      </c>
      <c r="X280" t="s">
        <v>1557</v>
      </c>
      <c r="Y280" t="s">
        <v>47</v>
      </c>
      <c r="Z280" t="s">
        <v>48</v>
      </c>
      <c r="AA280" t="s">
        <v>49</v>
      </c>
      <c r="AB280" t="s">
        <v>50</v>
      </c>
      <c r="AC280" s="2">
        <v>218170</v>
      </c>
      <c r="AD280" t="s">
        <v>64</v>
      </c>
    </row>
    <row r="281" spans="1:31" hidden="1" x14ac:dyDescent="0.25">
      <c r="I281" t="s">
        <v>1559</v>
      </c>
      <c r="J281" s="2">
        <v>1000</v>
      </c>
      <c r="K281" s="2">
        <v>0</v>
      </c>
      <c r="L281" s="2">
        <v>21</v>
      </c>
      <c r="M281" s="2">
        <v>0</v>
      </c>
      <c r="S281" t="s">
        <v>1560</v>
      </c>
      <c r="U281" t="s">
        <v>45</v>
      </c>
      <c r="V281" t="s">
        <v>46</v>
      </c>
      <c r="W281" t="s">
        <v>403</v>
      </c>
      <c r="X281" t="s">
        <v>404</v>
      </c>
      <c r="Y281" t="s">
        <v>161</v>
      </c>
      <c r="Z281" t="s">
        <v>162</v>
      </c>
      <c r="AA281" t="s">
        <v>49</v>
      </c>
      <c r="AC281" s="2"/>
    </row>
    <row r="282" spans="1:31" x14ac:dyDescent="0.25">
      <c r="A282" t="s">
        <v>1561</v>
      </c>
      <c r="B282" t="s">
        <v>1562</v>
      </c>
      <c r="C282" t="s">
        <v>1562</v>
      </c>
      <c r="D282" t="s">
        <v>35</v>
      </c>
      <c r="E282" t="s">
        <v>36</v>
      </c>
      <c r="F282" t="s">
        <v>1563</v>
      </c>
      <c r="G282" t="s">
        <v>35</v>
      </c>
      <c r="H282" t="s">
        <v>1222</v>
      </c>
      <c r="I282" t="s">
        <v>1564</v>
      </c>
      <c r="J282" s="2">
        <v>654510</v>
      </c>
      <c r="K282" s="2">
        <v>3000</v>
      </c>
      <c r="L282" s="2">
        <v>30</v>
      </c>
      <c r="M282" s="2">
        <v>0</v>
      </c>
      <c r="N282" t="s">
        <v>1221</v>
      </c>
      <c r="O282" t="s">
        <v>1222</v>
      </c>
      <c r="P282" t="s">
        <v>205</v>
      </c>
      <c r="Q282" t="s">
        <v>206</v>
      </c>
      <c r="S282" t="s">
        <v>1565</v>
      </c>
      <c r="U282" t="s">
        <v>45</v>
      </c>
      <c r="V282" t="s">
        <v>46</v>
      </c>
      <c r="W282" t="s">
        <v>1221</v>
      </c>
      <c r="X282" t="s">
        <v>1222</v>
      </c>
      <c r="Y282" t="s">
        <v>161</v>
      </c>
      <c r="Z282" t="s">
        <v>162</v>
      </c>
      <c r="AA282" t="s">
        <v>49</v>
      </c>
      <c r="AB282" t="s">
        <v>50</v>
      </c>
      <c r="AC282" s="2">
        <v>508637.01</v>
      </c>
      <c r="AD282" t="s">
        <v>1566</v>
      </c>
      <c r="AE282" t="s">
        <v>52</v>
      </c>
    </row>
    <row r="283" spans="1:31" hidden="1" x14ac:dyDescent="0.25">
      <c r="I283" t="s">
        <v>1567</v>
      </c>
      <c r="J283" s="2">
        <v>43634</v>
      </c>
      <c r="K283" s="2">
        <v>200</v>
      </c>
      <c r="L283" s="2">
        <v>1</v>
      </c>
      <c r="M283" s="2">
        <v>2</v>
      </c>
      <c r="S283" t="s">
        <v>1568</v>
      </c>
      <c r="U283" t="s">
        <v>45</v>
      </c>
      <c r="V283" t="s">
        <v>46</v>
      </c>
      <c r="W283" t="s">
        <v>1546</v>
      </c>
      <c r="X283" t="s">
        <v>1547</v>
      </c>
      <c r="Y283" t="s">
        <v>279</v>
      </c>
      <c r="Z283" t="s">
        <v>280</v>
      </c>
      <c r="AA283" t="s">
        <v>49</v>
      </c>
      <c r="AC283" s="2"/>
    </row>
    <row r="284" spans="1:31" hidden="1" x14ac:dyDescent="0.25">
      <c r="I284" t="s">
        <v>1570</v>
      </c>
      <c r="J284" s="2">
        <v>21817</v>
      </c>
      <c r="K284" s="2">
        <v>100</v>
      </c>
      <c r="L284" s="2">
        <v>15</v>
      </c>
      <c r="M284" s="2">
        <v>0</v>
      </c>
      <c r="S284" t="s">
        <v>1571</v>
      </c>
      <c r="U284" t="s">
        <v>45</v>
      </c>
      <c r="V284" t="s">
        <v>46</v>
      </c>
      <c r="W284" t="s">
        <v>1332</v>
      </c>
      <c r="X284" t="s">
        <v>1330</v>
      </c>
      <c r="Y284" t="s">
        <v>72</v>
      </c>
      <c r="Z284" t="s">
        <v>68</v>
      </c>
      <c r="AA284" t="s">
        <v>49</v>
      </c>
      <c r="AC284" s="2"/>
    </row>
    <row r="285" spans="1:31" x14ac:dyDescent="0.25">
      <c r="A285" t="s">
        <v>1572</v>
      </c>
      <c r="B285" t="s">
        <v>1573</v>
      </c>
      <c r="C285" t="s">
        <v>1573</v>
      </c>
      <c r="D285" t="s">
        <v>125</v>
      </c>
      <c r="E285" t="s">
        <v>126</v>
      </c>
      <c r="F285" t="s">
        <v>1574</v>
      </c>
      <c r="H285" t="s">
        <v>41</v>
      </c>
      <c r="J285" s="2">
        <v>21817</v>
      </c>
      <c r="K285" s="2">
        <v>100</v>
      </c>
      <c r="L285" s="2">
        <v>1</v>
      </c>
      <c r="M285" s="2">
        <v>0</v>
      </c>
      <c r="N285" t="s">
        <v>40</v>
      </c>
      <c r="O285" t="s">
        <v>41</v>
      </c>
      <c r="P285" t="s">
        <v>42</v>
      </c>
      <c r="Q285" t="s">
        <v>43</v>
      </c>
      <c r="S285" t="s">
        <v>1575</v>
      </c>
      <c r="U285" t="s">
        <v>45</v>
      </c>
      <c r="V285" t="s">
        <v>46</v>
      </c>
      <c r="W285" t="s">
        <v>40</v>
      </c>
      <c r="X285" t="s">
        <v>41</v>
      </c>
      <c r="Y285" t="s">
        <v>47</v>
      </c>
      <c r="Z285" t="s">
        <v>48</v>
      </c>
      <c r="AA285" t="s">
        <v>141</v>
      </c>
      <c r="AB285" t="s">
        <v>50</v>
      </c>
      <c r="AC285" s="2">
        <v>11674.56</v>
      </c>
      <c r="AD285" t="s">
        <v>1576</v>
      </c>
    </row>
    <row r="286" spans="1:31" x14ac:dyDescent="0.25">
      <c r="A286" t="s">
        <v>1577</v>
      </c>
      <c r="B286" t="s">
        <v>1578</v>
      </c>
      <c r="C286" t="s">
        <v>1579</v>
      </c>
      <c r="D286" t="s">
        <v>153</v>
      </c>
      <c r="E286" t="s">
        <v>272</v>
      </c>
      <c r="F286" t="s">
        <v>1580</v>
      </c>
      <c r="G286" t="s">
        <v>153</v>
      </c>
      <c r="H286" t="s">
        <v>1581</v>
      </c>
      <c r="J286" s="2">
        <v>654510</v>
      </c>
      <c r="K286" s="2">
        <v>3000</v>
      </c>
      <c r="L286" s="2">
        <v>30</v>
      </c>
      <c r="M286" s="2">
        <v>0</v>
      </c>
      <c r="N286" t="s">
        <v>203</v>
      </c>
      <c r="O286" t="s">
        <v>204</v>
      </c>
      <c r="P286" t="s">
        <v>205</v>
      </c>
      <c r="Q286" t="s">
        <v>206</v>
      </c>
      <c r="S286" t="s">
        <v>1582</v>
      </c>
      <c r="U286" t="s">
        <v>45</v>
      </c>
      <c r="V286" t="s">
        <v>46</v>
      </c>
      <c r="W286" t="s">
        <v>203</v>
      </c>
      <c r="X286" t="s">
        <v>204</v>
      </c>
      <c r="Y286" t="s">
        <v>161</v>
      </c>
      <c r="Z286" t="s">
        <v>162</v>
      </c>
      <c r="AA286" t="s">
        <v>49</v>
      </c>
      <c r="AB286" t="s">
        <v>50</v>
      </c>
      <c r="AC286" s="2">
        <v>320263.62</v>
      </c>
      <c r="AD286" t="s">
        <v>1583</v>
      </c>
      <c r="AE286" t="s">
        <v>52</v>
      </c>
    </row>
    <row r="287" spans="1:31" hidden="1" x14ac:dyDescent="0.25">
      <c r="I287" t="s">
        <v>1584</v>
      </c>
      <c r="J287" s="2">
        <v>50000</v>
      </c>
      <c r="K287" s="2">
        <v>0</v>
      </c>
      <c r="L287" s="2">
        <v>25</v>
      </c>
      <c r="M287" s="2">
        <v>0</v>
      </c>
      <c r="S287" t="s">
        <v>1585</v>
      </c>
      <c r="U287" t="s">
        <v>45</v>
      </c>
      <c r="V287" t="s">
        <v>46</v>
      </c>
      <c r="W287" t="s">
        <v>183</v>
      </c>
      <c r="X287" t="s">
        <v>184</v>
      </c>
      <c r="Y287" t="s">
        <v>161</v>
      </c>
      <c r="Z287" t="s">
        <v>162</v>
      </c>
      <c r="AA287" t="s">
        <v>49</v>
      </c>
      <c r="AC287" s="2"/>
    </row>
    <row r="288" spans="1:31" x14ac:dyDescent="0.25">
      <c r="A288" t="s">
        <v>1586</v>
      </c>
      <c r="B288" t="s">
        <v>1587</v>
      </c>
      <c r="C288" t="s">
        <v>1587</v>
      </c>
      <c r="D288" t="s">
        <v>297</v>
      </c>
      <c r="E288" t="s">
        <v>167</v>
      </c>
      <c r="F288" t="s">
        <v>1588</v>
      </c>
      <c r="G288" t="s">
        <v>870</v>
      </c>
      <c r="H288" t="s">
        <v>41</v>
      </c>
      <c r="I288" t="s">
        <v>1589</v>
      </c>
      <c r="J288" s="2">
        <v>109085</v>
      </c>
      <c r="K288" s="2">
        <v>500</v>
      </c>
      <c r="L288" s="2">
        <v>15</v>
      </c>
      <c r="M288" s="2">
        <v>0</v>
      </c>
      <c r="N288" t="s">
        <v>40</v>
      </c>
      <c r="O288" t="s">
        <v>41</v>
      </c>
      <c r="P288" t="s">
        <v>61</v>
      </c>
      <c r="Q288" t="s">
        <v>62</v>
      </c>
      <c r="S288" t="s">
        <v>1590</v>
      </c>
      <c r="U288" t="s">
        <v>45</v>
      </c>
      <c r="V288" t="s">
        <v>46</v>
      </c>
      <c r="W288" t="s">
        <v>40</v>
      </c>
      <c r="X288" t="s">
        <v>41</v>
      </c>
      <c r="Y288" t="s">
        <v>47</v>
      </c>
      <c r="Z288" t="s">
        <v>48</v>
      </c>
      <c r="AA288" t="s">
        <v>49</v>
      </c>
      <c r="AB288" t="s">
        <v>50</v>
      </c>
      <c r="AC288" s="2">
        <v>109085</v>
      </c>
      <c r="AD288" t="s">
        <v>64</v>
      </c>
    </row>
    <row r="289" spans="1:31" hidden="1" x14ac:dyDescent="0.25">
      <c r="I289" t="s">
        <v>1591</v>
      </c>
      <c r="J289" s="2">
        <v>43634</v>
      </c>
      <c r="K289" s="2">
        <v>200</v>
      </c>
      <c r="L289" s="2">
        <v>7</v>
      </c>
      <c r="M289" s="2">
        <v>0</v>
      </c>
      <c r="S289" t="s">
        <v>1593</v>
      </c>
      <c r="U289" t="s">
        <v>45</v>
      </c>
      <c r="V289" t="s">
        <v>46</v>
      </c>
      <c r="W289" t="s">
        <v>1592</v>
      </c>
      <c r="X289" t="s">
        <v>280</v>
      </c>
      <c r="Y289" t="s">
        <v>279</v>
      </c>
      <c r="Z289" t="s">
        <v>280</v>
      </c>
      <c r="AA289" t="s">
        <v>49</v>
      </c>
      <c r="AC289" s="2"/>
    </row>
    <row r="290" spans="1:31" x14ac:dyDescent="0.25">
      <c r="A290" t="s">
        <v>1594</v>
      </c>
      <c r="B290" t="s">
        <v>1595</v>
      </c>
      <c r="C290" t="s">
        <v>1595</v>
      </c>
      <c r="D290" t="s">
        <v>35</v>
      </c>
      <c r="E290" t="s">
        <v>36</v>
      </c>
      <c r="F290" t="s">
        <v>1596</v>
      </c>
      <c r="G290" t="s">
        <v>35</v>
      </c>
      <c r="H290" t="s">
        <v>196</v>
      </c>
      <c r="I290" t="s">
        <v>1597</v>
      </c>
      <c r="J290" s="2">
        <v>462180</v>
      </c>
      <c r="K290" s="2">
        <v>2000</v>
      </c>
      <c r="L290" s="2">
        <v>15</v>
      </c>
      <c r="M290" s="2">
        <v>0</v>
      </c>
      <c r="N290" t="s">
        <v>195</v>
      </c>
      <c r="O290" t="s">
        <v>196</v>
      </c>
      <c r="P290" t="s">
        <v>61</v>
      </c>
      <c r="Q290" t="s">
        <v>62</v>
      </c>
      <c r="S290" t="s">
        <v>1598</v>
      </c>
      <c r="U290" t="s">
        <v>45</v>
      </c>
      <c r="V290" t="s">
        <v>46</v>
      </c>
      <c r="W290" t="s">
        <v>195</v>
      </c>
      <c r="X290" t="s">
        <v>196</v>
      </c>
      <c r="Y290" t="s">
        <v>47</v>
      </c>
      <c r="Z290" t="s">
        <v>48</v>
      </c>
      <c r="AA290" t="s">
        <v>49</v>
      </c>
      <c r="AB290" t="s">
        <v>50</v>
      </c>
      <c r="AC290" s="2">
        <v>366715.14</v>
      </c>
      <c r="AD290" t="s">
        <v>1599</v>
      </c>
      <c r="AE290" t="s">
        <v>52</v>
      </c>
    </row>
    <row r="291" spans="1:31" x14ac:dyDescent="0.25">
      <c r="A291" t="s">
        <v>1600</v>
      </c>
      <c r="B291" t="s">
        <v>1601</v>
      </c>
      <c r="C291" t="s">
        <v>1602</v>
      </c>
      <c r="D291" t="s">
        <v>125</v>
      </c>
      <c r="E291" t="s">
        <v>126</v>
      </c>
      <c r="F291" t="s">
        <v>1603</v>
      </c>
      <c r="G291" t="s">
        <v>125</v>
      </c>
      <c r="H291" t="s">
        <v>327</v>
      </c>
      <c r="I291" t="s">
        <v>1604</v>
      </c>
      <c r="J291" s="2">
        <v>130902</v>
      </c>
      <c r="K291" s="2">
        <v>600</v>
      </c>
      <c r="L291" s="2">
        <v>15</v>
      </c>
      <c r="M291" s="2">
        <v>0</v>
      </c>
      <c r="N291" t="s">
        <v>326</v>
      </c>
      <c r="O291" t="s">
        <v>327</v>
      </c>
      <c r="P291" t="s">
        <v>120</v>
      </c>
      <c r="Q291" t="s">
        <v>121</v>
      </c>
      <c r="S291" t="s">
        <v>1605</v>
      </c>
      <c r="U291" t="s">
        <v>45</v>
      </c>
      <c r="V291" t="s">
        <v>46</v>
      </c>
      <c r="W291" t="s">
        <v>326</v>
      </c>
      <c r="X291" t="s">
        <v>327</v>
      </c>
      <c r="Y291" t="s">
        <v>121</v>
      </c>
      <c r="Z291" t="s">
        <v>94</v>
      </c>
      <c r="AA291" t="s">
        <v>49</v>
      </c>
      <c r="AB291" t="s">
        <v>50</v>
      </c>
      <c r="AC291" s="2">
        <v>86768.12</v>
      </c>
      <c r="AD291" t="s">
        <v>1606</v>
      </c>
      <c r="AE291" t="s">
        <v>52</v>
      </c>
    </row>
    <row r="292" spans="1:31" hidden="1" x14ac:dyDescent="0.25">
      <c r="I292" t="s">
        <v>1608</v>
      </c>
      <c r="J292" s="2">
        <v>1000</v>
      </c>
      <c r="K292" s="2">
        <v>0</v>
      </c>
      <c r="L292" s="2">
        <v>1</v>
      </c>
      <c r="M292" s="2">
        <v>0</v>
      </c>
      <c r="S292" t="s">
        <v>1609</v>
      </c>
      <c r="U292" t="s">
        <v>45</v>
      </c>
      <c r="V292" t="s">
        <v>46</v>
      </c>
      <c r="W292" t="s">
        <v>1221</v>
      </c>
      <c r="X292" t="s">
        <v>1222</v>
      </c>
      <c r="Y292" t="s">
        <v>161</v>
      </c>
      <c r="Z292" t="s">
        <v>162</v>
      </c>
      <c r="AA292" t="s">
        <v>49</v>
      </c>
      <c r="AC292" s="2"/>
    </row>
    <row r="293" spans="1:31" hidden="1" x14ac:dyDescent="0.25">
      <c r="I293" t="s">
        <v>1608</v>
      </c>
      <c r="J293" s="2">
        <v>1000</v>
      </c>
      <c r="K293" s="2">
        <v>0</v>
      </c>
      <c r="L293" s="2">
        <v>15</v>
      </c>
      <c r="M293" s="2">
        <v>0</v>
      </c>
      <c r="S293" t="s">
        <v>1610</v>
      </c>
      <c r="U293" t="s">
        <v>45</v>
      </c>
      <c r="V293" t="s">
        <v>46</v>
      </c>
      <c r="W293" t="s">
        <v>1221</v>
      </c>
      <c r="X293" t="s">
        <v>1222</v>
      </c>
      <c r="Y293" t="s">
        <v>161</v>
      </c>
      <c r="Z293" t="s">
        <v>162</v>
      </c>
      <c r="AA293" t="s">
        <v>49</v>
      </c>
      <c r="AC293" s="2"/>
    </row>
    <row r="294" spans="1:31" x14ac:dyDescent="0.25">
      <c r="A294" s="15" t="s">
        <v>1611</v>
      </c>
      <c r="B294" s="15" t="s">
        <v>1612</v>
      </c>
      <c r="C294" s="15" t="s">
        <v>1612</v>
      </c>
      <c r="D294" s="15" t="s">
        <v>55</v>
      </c>
      <c r="E294" s="15" t="s">
        <v>56</v>
      </c>
      <c r="F294" s="15" t="s">
        <v>1613</v>
      </c>
      <c r="H294" s="15" t="s">
        <v>303</v>
      </c>
      <c r="I294" t="s">
        <v>1614</v>
      </c>
      <c r="J294" s="2">
        <v>1000</v>
      </c>
      <c r="K294" s="2">
        <v>0</v>
      </c>
      <c r="L294" s="2">
        <v>1</v>
      </c>
      <c r="M294" s="2">
        <v>0</v>
      </c>
      <c r="N294" s="15" t="s">
        <v>302</v>
      </c>
      <c r="O294" s="15" t="s">
        <v>303</v>
      </c>
      <c r="P294" s="15" t="s">
        <v>304</v>
      </c>
      <c r="Q294" s="15" t="s">
        <v>72</v>
      </c>
      <c r="S294" t="s">
        <v>1615</v>
      </c>
      <c r="U294" t="s">
        <v>45</v>
      </c>
      <c r="V294" t="s">
        <v>46</v>
      </c>
      <c r="W294" t="s">
        <v>302</v>
      </c>
      <c r="X294" t="s">
        <v>303</v>
      </c>
      <c r="Y294" t="s">
        <v>72</v>
      </c>
      <c r="Z294" t="s">
        <v>68</v>
      </c>
      <c r="AA294" t="s">
        <v>49</v>
      </c>
      <c r="AB294" s="15" t="s">
        <v>50</v>
      </c>
      <c r="AC294" s="16">
        <v>-17456.39</v>
      </c>
      <c r="AD294" s="15" t="s">
        <v>1616</v>
      </c>
      <c r="AE294" s="15" t="s">
        <v>115</v>
      </c>
    </row>
    <row r="295" spans="1:31" hidden="1" x14ac:dyDescent="0.25">
      <c r="I295" t="s">
        <v>1617</v>
      </c>
      <c r="J295" s="2">
        <v>1000</v>
      </c>
      <c r="K295" s="2">
        <v>0</v>
      </c>
      <c r="L295" s="2">
        <v>1</v>
      </c>
      <c r="M295" s="2">
        <v>0</v>
      </c>
      <c r="S295" t="s">
        <v>1618</v>
      </c>
      <c r="U295" t="s">
        <v>45</v>
      </c>
      <c r="V295" t="s">
        <v>46</v>
      </c>
      <c r="W295" t="s">
        <v>1332</v>
      </c>
      <c r="X295" t="s">
        <v>1330</v>
      </c>
      <c r="Y295" t="s">
        <v>72</v>
      </c>
      <c r="Z295" t="s">
        <v>68</v>
      </c>
      <c r="AA295" t="s">
        <v>49</v>
      </c>
      <c r="AC295" s="2"/>
    </row>
    <row r="296" spans="1:31" hidden="1" x14ac:dyDescent="0.25">
      <c r="A296" s="10" t="s">
        <v>1619</v>
      </c>
      <c r="B296" s="10" t="s">
        <v>1620</v>
      </c>
      <c r="C296" t="s">
        <v>1620</v>
      </c>
      <c r="D296" t="s">
        <v>55</v>
      </c>
      <c r="E296" t="s">
        <v>56</v>
      </c>
      <c r="F296" t="s">
        <v>1621</v>
      </c>
      <c r="H296" t="s">
        <v>38</v>
      </c>
      <c r="I296" t="s">
        <v>1622</v>
      </c>
      <c r="J296" s="2">
        <v>1000</v>
      </c>
      <c r="K296" s="2">
        <v>0</v>
      </c>
      <c r="L296" s="2">
        <v>1</v>
      </c>
      <c r="M296" s="2">
        <v>0</v>
      </c>
      <c r="N296" t="s">
        <v>40</v>
      </c>
      <c r="O296" t="s">
        <v>41</v>
      </c>
      <c r="P296" t="s">
        <v>61</v>
      </c>
      <c r="Q296" t="s">
        <v>62</v>
      </c>
      <c r="S296" t="s">
        <v>1623</v>
      </c>
      <c r="U296" t="s">
        <v>45</v>
      </c>
      <c r="V296" t="s">
        <v>46</v>
      </c>
      <c r="W296" t="s">
        <v>40</v>
      </c>
      <c r="X296" t="s">
        <v>41</v>
      </c>
      <c r="Y296" t="s">
        <v>47</v>
      </c>
      <c r="Z296" t="s">
        <v>48</v>
      </c>
      <c r="AA296" t="s">
        <v>49</v>
      </c>
      <c r="AB296" t="s">
        <v>142</v>
      </c>
      <c r="AC296" s="2">
        <v>1000</v>
      </c>
      <c r="AD296" t="s">
        <v>64</v>
      </c>
    </row>
    <row r="297" spans="1:31" x14ac:dyDescent="0.25">
      <c r="A297" t="s">
        <v>1624</v>
      </c>
      <c r="B297" t="s">
        <v>1625</v>
      </c>
      <c r="C297" t="s">
        <v>1625</v>
      </c>
      <c r="D297" t="s">
        <v>649</v>
      </c>
      <c r="E297" t="s">
        <v>871</v>
      </c>
      <c r="F297" t="s">
        <v>1626</v>
      </c>
      <c r="G297" t="s">
        <v>321</v>
      </c>
      <c r="H297" t="s">
        <v>213</v>
      </c>
      <c r="I297" t="s">
        <v>1627</v>
      </c>
      <c r="J297" s="2">
        <v>109085</v>
      </c>
      <c r="K297" s="2">
        <v>500</v>
      </c>
      <c r="L297" s="2">
        <v>15</v>
      </c>
      <c r="M297" s="2">
        <v>0</v>
      </c>
      <c r="N297" t="s">
        <v>212</v>
      </c>
      <c r="O297" t="s">
        <v>213</v>
      </c>
      <c r="P297" t="s">
        <v>61</v>
      </c>
      <c r="Q297" t="s">
        <v>62</v>
      </c>
      <c r="S297" t="s">
        <v>1628</v>
      </c>
      <c r="U297" t="s">
        <v>45</v>
      </c>
      <c r="V297" t="s">
        <v>46</v>
      </c>
      <c r="W297" t="s">
        <v>212</v>
      </c>
      <c r="X297" t="s">
        <v>213</v>
      </c>
      <c r="Y297" t="s">
        <v>47</v>
      </c>
      <c r="Z297" t="s">
        <v>48</v>
      </c>
      <c r="AA297" t="s">
        <v>49</v>
      </c>
      <c r="AB297" t="s">
        <v>50</v>
      </c>
      <c r="AC297" s="2">
        <v>109085</v>
      </c>
      <c r="AD297" t="s">
        <v>64</v>
      </c>
    </row>
    <row r="298" spans="1:31" hidden="1" x14ac:dyDescent="0.25">
      <c r="I298" t="s">
        <v>1629</v>
      </c>
      <c r="J298" s="2">
        <v>21817</v>
      </c>
      <c r="K298" s="2">
        <v>100</v>
      </c>
      <c r="L298" s="2">
        <v>1</v>
      </c>
      <c r="M298" s="2">
        <v>0</v>
      </c>
      <c r="S298" t="s">
        <v>1630</v>
      </c>
      <c r="U298" t="s">
        <v>45</v>
      </c>
      <c r="V298" t="s">
        <v>46</v>
      </c>
      <c r="W298" t="s">
        <v>913</v>
      </c>
      <c r="X298" t="s">
        <v>914</v>
      </c>
      <c r="Y298" t="s">
        <v>106</v>
      </c>
      <c r="Z298" t="s">
        <v>107</v>
      </c>
      <c r="AA298" t="s">
        <v>49</v>
      </c>
      <c r="AC298" s="2"/>
    </row>
    <row r="299" spans="1:31" x14ac:dyDescent="0.25">
      <c r="A299" t="s">
        <v>1631</v>
      </c>
      <c r="B299" t="s">
        <v>1632</v>
      </c>
      <c r="C299" t="s">
        <v>1632</v>
      </c>
      <c r="D299" t="s">
        <v>1633</v>
      </c>
      <c r="E299" t="s">
        <v>1502</v>
      </c>
      <c r="F299" t="s">
        <v>1634</v>
      </c>
      <c r="H299" t="s">
        <v>1062</v>
      </c>
      <c r="I299" t="s">
        <v>1635</v>
      </c>
      <c r="J299" s="2">
        <v>654510</v>
      </c>
      <c r="K299" s="2">
        <v>3000</v>
      </c>
      <c r="L299" s="2">
        <v>30</v>
      </c>
      <c r="M299" s="2">
        <v>0</v>
      </c>
      <c r="N299" t="s">
        <v>1064</v>
      </c>
      <c r="O299" t="s">
        <v>1062</v>
      </c>
      <c r="P299" t="s">
        <v>304</v>
      </c>
      <c r="Q299" t="s">
        <v>72</v>
      </c>
      <c r="S299" t="s">
        <v>1636</v>
      </c>
      <c r="U299" t="s">
        <v>45</v>
      </c>
      <c r="V299" t="s">
        <v>46</v>
      </c>
      <c r="W299" t="s">
        <v>1064</v>
      </c>
      <c r="X299" t="s">
        <v>1062</v>
      </c>
      <c r="Y299" t="s">
        <v>72</v>
      </c>
      <c r="Z299" t="s">
        <v>68</v>
      </c>
      <c r="AA299" t="s">
        <v>49</v>
      </c>
      <c r="AB299" t="s">
        <v>50</v>
      </c>
      <c r="AC299" s="2">
        <v>546793.24</v>
      </c>
      <c r="AD299" t="s">
        <v>1637</v>
      </c>
    </row>
    <row r="300" spans="1:31" x14ac:dyDescent="0.25">
      <c r="A300" t="s">
        <v>1638</v>
      </c>
      <c r="B300" t="s">
        <v>1639</v>
      </c>
      <c r="C300" t="s">
        <v>1639</v>
      </c>
      <c r="D300" t="s">
        <v>569</v>
      </c>
      <c r="E300" t="s">
        <v>570</v>
      </c>
      <c r="F300" t="s">
        <v>1640</v>
      </c>
      <c r="H300" t="s">
        <v>204</v>
      </c>
      <c r="I300" t="s">
        <v>1641</v>
      </c>
      <c r="J300" s="2">
        <v>54543</v>
      </c>
      <c r="K300" s="2">
        <v>250</v>
      </c>
      <c r="L300" s="2">
        <v>5</v>
      </c>
      <c r="M300" s="2">
        <v>0</v>
      </c>
      <c r="N300" t="s">
        <v>203</v>
      </c>
      <c r="O300" t="s">
        <v>204</v>
      </c>
      <c r="P300" t="s">
        <v>205</v>
      </c>
      <c r="Q300" t="s">
        <v>206</v>
      </c>
      <c r="S300" t="s">
        <v>1642</v>
      </c>
      <c r="U300" t="s">
        <v>45</v>
      </c>
      <c r="V300" t="s">
        <v>46</v>
      </c>
      <c r="W300" t="s">
        <v>203</v>
      </c>
      <c r="X300" t="s">
        <v>204</v>
      </c>
      <c r="Y300" t="s">
        <v>161</v>
      </c>
      <c r="Z300" t="s">
        <v>162</v>
      </c>
      <c r="AA300" t="s">
        <v>49</v>
      </c>
      <c r="AB300" t="s">
        <v>50</v>
      </c>
      <c r="AC300" s="2">
        <v>54543</v>
      </c>
      <c r="AD300" t="s">
        <v>64</v>
      </c>
    </row>
    <row r="301" spans="1:31" hidden="1" x14ac:dyDescent="0.25">
      <c r="I301" t="s">
        <v>1641</v>
      </c>
      <c r="J301" s="2">
        <v>54543</v>
      </c>
      <c r="K301" s="2">
        <v>250</v>
      </c>
      <c r="L301" s="2">
        <v>7</v>
      </c>
      <c r="M301" s="2">
        <v>0</v>
      </c>
      <c r="S301" t="s">
        <v>1643</v>
      </c>
      <c r="U301" t="s">
        <v>45</v>
      </c>
      <c r="V301" t="s">
        <v>46</v>
      </c>
      <c r="W301" t="s">
        <v>203</v>
      </c>
      <c r="X301" t="s">
        <v>204</v>
      </c>
      <c r="Y301" t="s">
        <v>161</v>
      </c>
      <c r="Z301" t="s">
        <v>162</v>
      </c>
      <c r="AA301" t="s">
        <v>49</v>
      </c>
      <c r="AC301" s="2"/>
    </row>
    <row r="302" spans="1:31" hidden="1" x14ac:dyDescent="0.25">
      <c r="I302" t="s">
        <v>1645</v>
      </c>
      <c r="J302" s="2">
        <v>1000</v>
      </c>
      <c r="K302" s="2">
        <v>0</v>
      </c>
      <c r="L302" s="2">
        <v>1</v>
      </c>
      <c r="M302" s="2">
        <v>0</v>
      </c>
      <c r="S302" t="s">
        <v>1646</v>
      </c>
      <c r="U302" t="s">
        <v>45</v>
      </c>
      <c r="V302" t="s">
        <v>46</v>
      </c>
      <c r="W302" t="s">
        <v>118</v>
      </c>
      <c r="X302" t="s">
        <v>119</v>
      </c>
      <c r="Y302" t="s">
        <v>121</v>
      </c>
      <c r="Z302" t="s">
        <v>94</v>
      </c>
      <c r="AA302" t="s">
        <v>49</v>
      </c>
      <c r="AC302" s="2"/>
    </row>
    <row r="303" spans="1:31" hidden="1" x14ac:dyDescent="0.25">
      <c r="I303" t="s">
        <v>1647</v>
      </c>
      <c r="J303" s="2">
        <v>436340</v>
      </c>
      <c r="K303" s="2">
        <v>2000</v>
      </c>
      <c r="L303" s="2">
        <v>1</v>
      </c>
      <c r="M303" s="2">
        <v>0</v>
      </c>
      <c r="S303" t="s">
        <v>1648</v>
      </c>
      <c r="U303" t="s">
        <v>45</v>
      </c>
      <c r="V303" t="s">
        <v>46</v>
      </c>
      <c r="W303" t="s">
        <v>360</v>
      </c>
      <c r="X303" t="s">
        <v>361</v>
      </c>
      <c r="Y303" t="s">
        <v>47</v>
      </c>
      <c r="Z303" t="s">
        <v>48</v>
      </c>
      <c r="AA303" t="s">
        <v>49</v>
      </c>
      <c r="AC303" s="2"/>
    </row>
    <row r="304" spans="1:31" x14ac:dyDescent="0.25">
      <c r="A304" t="s">
        <v>1649</v>
      </c>
      <c r="B304" t="s">
        <v>1650</v>
      </c>
      <c r="C304" t="s">
        <v>1650</v>
      </c>
      <c r="D304" t="s">
        <v>553</v>
      </c>
      <c r="E304" t="s">
        <v>167</v>
      </c>
      <c r="F304" t="s">
        <v>1651</v>
      </c>
      <c r="G304" t="s">
        <v>553</v>
      </c>
      <c r="H304" t="s">
        <v>665</v>
      </c>
      <c r="I304" t="s">
        <v>1652</v>
      </c>
      <c r="J304" s="2">
        <v>348464</v>
      </c>
      <c r="K304" s="2">
        <v>1450</v>
      </c>
      <c r="L304" s="2">
        <v>30</v>
      </c>
      <c r="M304" s="2">
        <v>0</v>
      </c>
      <c r="N304" t="s">
        <v>664</v>
      </c>
      <c r="O304" t="s">
        <v>665</v>
      </c>
      <c r="P304" t="s">
        <v>103</v>
      </c>
      <c r="Q304" t="s">
        <v>104</v>
      </c>
      <c r="S304" t="s">
        <v>1653</v>
      </c>
      <c r="U304" t="s">
        <v>45</v>
      </c>
      <c r="V304" t="s">
        <v>46</v>
      </c>
      <c r="W304" t="s">
        <v>664</v>
      </c>
      <c r="X304" t="s">
        <v>665</v>
      </c>
      <c r="Y304" t="s">
        <v>106</v>
      </c>
      <c r="Z304" t="s">
        <v>107</v>
      </c>
      <c r="AA304" t="s">
        <v>49</v>
      </c>
      <c r="AB304" t="s">
        <v>50</v>
      </c>
      <c r="AC304" s="2">
        <v>7910.75</v>
      </c>
      <c r="AD304" t="s">
        <v>1654</v>
      </c>
      <c r="AE304" t="s">
        <v>52</v>
      </c>
    </row>
    <row r="305" spans="1:31" hidden="1" x14ac:dyDescent="0.25">
      <c r="I305" t="s">
        <v>1655</v>
      </c>
      <c r="J305" s="2">
        <v>1000</v>
      </c>
      <c r="K305" s="2">
        <v>0</v>
      </c>
      <c r="L305" s="2">
        <v>15</v>
      </c>
      <c r="M305" s="2">
        <v>0</v>
      </c>
      <c r="S305" t="s">
        <v>1656</v>
      </c>
      <c r="U305" t="s">
        <v>45</v>
      </c>
      <c r="V305" t="s">
        <v>46</v>
      </c>
      <c r="W305" t="s">
        <v>1064</v>
      </c>
      <c r="X305" t="s">
        <v>1062</v>
      </c>
      <c r="Y305" t="s">
        <v>72</v>
      </c>
      <c r="Z305" t="s">
        <v>68</v>
      </c>
      <c r="AA305" t="s">
        <v>49</v>
      </c>
      <c r="AC305" s="2"/>
    </row>
    <row r="306" spans="1:31" hidden="1" x14ac:dyDescent="0.25">
      <c r="I306" t="s">
        <v>1657</v>
      </c>
      <c r="J306" s="2">
        <v>21817</v>
      </c>
      <c r="K306" s="2">
        <v>100</v>
      </c>
      <c r="L306" s="2">
        <v>21</v>
      </c>
      <c r="M306" s="2">
        <v>0</v>
      </c>
      <c r="S306" t="s">
        <v>1658</v>
      </c>
      <c r="U306" t="s">
        <v>45</v>
      </c>
      <c r="V306" t="s">
        <v>46</v>
      </c>
      <c r="W306" t="s">
        <v>596</v>
      </c>
      <c r="X306" t="s">
        <v>597</v>
      </c>
      <c r="Y306" t="s">
        <v>92</v>
      </c>
      <c r="Z306" t="s">
        <v>94</v>
      </c>
      <c r="AA306" t="s">
        <v>49</v>
      </c>
      <c r="AC306" s="2"/>
    </row>
    <row r="307" spans="1:31" hidden="1" x14ac:dyDescent="0.25">
      <c r="I307" t="s">
        <v>1659</v>
      </c>
      <c r="J307" s="2">
        <v>1000</v>
      </c>
      <c r="K307" s="2">
        <v>0</v>
      </c>
      <c r="L307" s="2">
        <v>1</v>
      </c>
      <c r="M307" s="2">
        <v>0</v>
      </c>
      <c r="S307" t="s">
        <v>1660</v>
      </c>
      <c r="U307" t="s">
        <v>45</v>
      </c>
      <c r="V307" t="s">
        <v>46</v>
      </c>
      <c r="W307" t="s">
        <v>326</v>
      </c>
      <c r="X307" t="s">
        <v>327</v>
      </c>
      <c r="Y307" t="s">
        <v>121</v>
      </c>
      <c r="Z307" t="s">
        <v>94</v>
      </c>
      <c r="AA307" t="s">
        <v>49</v>
      </c>
      <c r="AC307" s="2"/>
    </row>
    <row r="308" spans="1:31" x14ac:dyDescent="0.25">
      <c r="A308" t="s">
        <v>1661</v>
      </c>
      <c r="B308" t="s">
        <v>1662</v>
      </c>
      <c r="C308" t="s">
        <v>1662</v>
      </c>
      <c r="D308" t="s">
        <v>153</v>
      </c>
      <c r="E308" t="s">
        <v>272</v>
      </c>
      <c r="F308" t="s">
        <v>1663</v>
      </c>
      <c r="G308" t="s">
        <v>1410</v>
      </c>
      <c r="H308" t="s">
        <v>1222</v>
      </c>
      <c r="I308" t="s">
        <v>1664</v>
      </c>
      <c r="J308" s="2">
        <v>76360</v>
      </c>
      <c r="K308" s="2">
        <v>350</v>
      </c>
      <c r="L308" s="2">
        <v>7</v>
      </c>
      <c r="M308" s="2">
        <v>0</v>
      </c>
      <c r="N308" t="s">
        <v>1221</v>
      </c>
      <c r="O308" t="s">
        <v>1222</v>
      </c>
      <c r="P308" t="s">
        <v>205</v>
      </c>
      <c r="Q308" t="s">
        <v>206</v>
      </c>
      <c r="S308" t="s">
        <v>1665</v>
      </c>
      <c r="U308" t="s">
        <v>45</v>
      </c>
      <c r="V308" t="s">
        <v>46</v>
      </c>
      <c r="W308" t="s">
        <v>1221</v>
      </c>
      <c r="X308" t="s">
        <v>1222</v>
      </c>
      <c r="Y308" t="s">
        <v>161</v>
      </c>
      <c r="Z308" t="s">
        <v>162</v>
      </c>
      <c r="AA308" t="s">
        <v>49</v>
      </c>
      <c r="AB308" t="s">
        <v>50</v>
      </c>
      <c r="AC308" s="2">
        <v>51412.03</v>
      </c>
      <c r="AD308" t="s">
        <v>1666</v>
      </c>
    </row>
    <row r="309" spans="1:31" hidden="1" x14ac:dyDescent="0.25">
      <c r="I309" t="s">
        <v>1667</v>
      </c>
      <c r="J309" s="2">
        <v>1000</v>
      </c>
      <c r="K309" s="2">
        <v>0</v>
      </c>
      <c r="L309" s="2">
        <v>1</v>
      </c>
      <c r="M309" s="2">
        <v>0</v>
      </c>
      <c r="S309" t="s">
        <v>1668</v>
      </c>
      <c r="U309" t="s">
        <v>45</v>
      </c>
      <c r="V309" t="s">
        <v>46</v>
      </c>
      <c r="W309" t="s">
        <v>1398</v>
      </c>
      <c r="X309" t="s">
        <v>1396</v>
      </c>
      <c r="Y309" t="s">
        <v>121</v>
      </c>
      <c r="Z309" t="s">
        <v>94</v>
      </c>
      <c r="AA309" t="s">
        <v>49</v>
      </c>
      <c r="AC309" s="2"/>
    </row>
    <row r="310" spans="1:31" x14ac:dyDescent="0.25">
      <c r="A310" s="15" t="s">
        <v>1669</v>
      </c>
      <c r="B310" s="15" t="s">
        <v>1670</v>
      </c>
      <c r="C310" s="15" t="s">
        <v>1670</v>
      </c>
      <c r="D310" s="15" t="s">
        <v>55</v>
      </c>
      <c r="E310" s="15" t="s">
        <v>56</v>
      </c>
      <c r="F310" s="15" t="s">
        <v>1671</v>
      </c>
      <c r="H310" s="15" t="s">
        <v>327</v>
      </c>
      <c r="I310" t="s">
        <v>1672</v>
      </c>
      <c r="J310" s="2">
        <v>1000</v>
      </c>
      <c r="K310" s="2">
        <v>0</v>
      </c>
      <c r="L310" s="2">
        <v>1</v>
      </c>
      <c r="M310" s="2">
        <v>0</v>
      </c>
      <c r="N310" s="15" t="s">
        <v>326</v>
      </c>
      <c r="O310" s="15" t="s">
        <v>327</v>
      </c>
      <c r="P310" s="15" t="s">
        <v>120</v>
      </c>
      <c r="Q310" s="15" t="s">
        <v>121</v>
      </c>
      <c r="S310" t="s">
        <v>1673</v>
      </c>
      <c r="U310" t="s">
        <v>45</v>
      </c>
      <c r="V310" t="s">
        <v>46</v>
      </c>
      <c r="W310" t="s">
        <v>326</v>
      </c>
      <c r="X310" t="s">
        <v>327</v>
      </c>
      <c r="Y310" t="s">
        <v>121</v>
      </c>
      <c r="Z310" t="s">
        <v>94</v>
      </c>
      <c r="AA310" t="s">
        <v>49</v>
      </c>
      <c r="AB310" s="15" t="s">
        <v>50</v>
      </c>
      <c r="AC310" s="16">
        <v>-17907.75</v>
      </c>
      <c r="AD310" s="15" t="s">
        <v>1674</v>
      </c>
      <c r="AE310" s="15" t="s">
        <v>115</v>
      </c>
    </row>
    <row r="311" spans="1:31" x14ac:dyDescent="0.25">
      <c r="A311" t="s">
        <v>1675</v>
      </c>
      <c r="B311" t="s">
        <v>1676</v>
      </c>
      <c r="C311" t="s">
        <v>1677</v>
      </c>
      <c r="D311" t="s">
        <v>125</v>
      </c>
      <c r="E311" t="s">
        <v>126</v>
      </c>
      <c r="F311" t="s">
        <v>1678</v>
      </c>
      <c r="G311" t="s">
        <v>125</v>
      </c>
      <c r="H311" t="s">
        <v>324</v>
      </c>
      <c r="I311" t="s">
        <v>1679</v>
      </c>
      <c r="J311" s="2">
        <v>109085</v>
      </c>
      <c r="K311" s="2">
        <v>500</v>
      </c>
      <c r="L311" s="2">
        <v>15</v>
      </c>
      <c r="M311" s="2">
        <v>0</v>
      </c>
      <c r="N311" t="s">
        <v>326</v>
      </c>
      <c r="O311" t="s">
        <v>327</v>
      </c>
      <c r="P311" t="s">
        <v>120</v>
      </c>
      <c r="Q311" t="s">
        <v>121</v>
      </c>
      <c r="S311" t="s">
        <v>1680</v>
      </c>
      <c r="U311" t="s">
        <v>45</v>
      </c>
      <c r="V311" t="s">
        <v>46</v>
      </c>
      <c r="W311" t="s">
        <v>326</v>
      </c>
      <c r="X311" t="s">
        <v>327</v>
      </c>
      <c r="Y311" t="s">
        <v>121</v>
      </c>
      <c r="Z311" t="s">
        <v>94</v>
      </c>
      <c r="AA311" t="s">
        <v>49</v>
      </c>
      <c r="AB311" t="s">
        <v>50</v>
      </c>
      <c r="AC311" s="2">
        <v>16056.05</v>
      </c>
      <c r="AD311" t="s">
        <v>1681</v>
      </c>
      <c r="AE311" t="s">
        <v>52</v>
      </c>
    </row>
    <row r="312" spans="1:31" hidden="1" x14ac:dyDescent="0.25">
      <c r="A312" t="s">
        <v>1682</v>
      </c>
      <c r="B312" t="s">
        <v>1683</v>
      </c>
      <c r="C312" t="s">
        <v>1683</v>
      </c>
      <c r="D312" t="s">
        <v>55</v>
      </c>
      <c r="E312" t="s">
        <v>56</v>
      </c>
      <c r="F312" t="s">
        <v>1684</v>
      </c>
      <c r="J312" s="2">
        <v>1000</v>
      </c>
      <c r="K312" s="2">
        <v>0</v>
      </c>
      <c r="L312" s="2">
        <v>1</v>
      </c>
      <c r="M312" s="2">
        <v>0</v>
      </c>
      <c r="N312" t="s">
        <v>40</v>
      </c>
      <c r="O312" t="s">
        <v>41</v>
      </c>
      <c r="P312" t="s">
        <v>103</v>
      </c>
      <c r="Q312" t="s">
        <v>104</v>
      </c>
      <c r="U312" t="s">
        <v>45</v>
      </c>
      <c r="V312" t="s">
        <v>46</v>
      </c>
      <c r="W312" t="s">
        <v>40</v>
      </c>
      <c r="X312" t="s">
        <v>41</v>
      </c>
      <c r="Y312" t="s">
        <v>47</v>
      </c>
      <c r="Z312" t="s">
        <v>48</v>
      </c>
      <c r="AA312" t="s">
        <v>49</v>
      </c>
      <c r="AB312" t="s">
        <v>50</v>
      </c>
      <c r="AC312" s="2">
        <v>1000</v>
      </c>
      <c r="AD312" t="s">
        <v>64</v>
      </c>
    </row>
    <row r="313" spans="1:31" hidden="1" x14ac:dyDescent="0.25">
      <c r="A313" s="10" t="s">
        <v>1685</v>
      </c>
      <c r="B313" s="10" t="s">
        <v>1686</v>
      </c>
      <c r="C313" t="s">
        <v>1686</v>
      </c>
      <c r="D313" t="s">
        <v>55</v>
      </c>
      <c r="E313" t="s">
        <v>56</v>
      </c>
      <c r="F313" t="s">
        <v>1687</v>
      </c>
      <c r="H313" t="s">
        <v>41</v>
      </c>
      <c r="I313" t="s">
        <v>1688</v>
      </c>
      <c r="J313" s="2">
        <v>7200</v>
      </c>
      <c r="K313" s="2">
        <v>31.16</v>
      </c>
      <c r="L313" s="2">
        <v>15</v>
      </c>
      <c r="M313" s="2">
        <v>0</v>
      </c>
      <c r="N313" t="s">
        <v>40</v>
      </c>
      <c r="O313" t="s">
        <v>41</v>
      </c>
      <c r="P313" t="s">
        <v>61</v>
      </c>
      <c r="Q313" t="s">
        <v>62</v>
      </c>
      <c r="S313" t="s">
        <v>1689</v>
      </c>
      <c r="U313" t="s">
        <v>45</v>
      </c>
      <c r="V313" t="s">
        <v>46</v>
      </c>
      <c r="W313" t="s">
        <v>40</v>
      </c>
      <c r="X313" t="s">
        <v>41</v>
      </c>
      <c r="Y313" t="s">
        <v>47</v>
      </c>
      <c r="Z313" t="s">
        <v>48</v>
      </c>
      <c r="AA313" t="s">
        <v>49</v>
      </c>
      <c r="AB313" t="s">
        <v>142</v>
      </c>
      <c r="AC313" s="2">
        <v>7200</v>
      </c>
      <c r="AD313" t="s">
        <v>64</v>
      </c>
    </row>
    <row r="314" spans="1:31" hidden="1" x14ac:dyDescent="0.25">
      <c r="I314" t="s">
        <v>1690</v>
      </c>
      <c r="J314" s="2">
        <v>21817</v>
      </c>
      <c r="K314" s="2">
        <v>100</v>
      </c>
      <c r="L314" s="2">
        <v>1</v>
      </c>
      <c r="M314" s="2">
        <v>0</v>
      </c>
      <c r="S314" t="s">
        <v>1691</v>
      </c>
      <c r="U314" t="s">
        <v>45</v>
      </c>
      <c r="V314" t="s">
        <v>46</v>
      </c>
      <c r="W314" t="s">
        <v>89</v>
      </c>
      <c r="X314" t="s">
        <v>90</v>
      </c>
      <c r="Y314" t="s">
        <v>92</v>
      </c>
      <c r="Z314" t="s">
        <v>94</v>
      </c>
      <c r="AA314" t="s">
        <v>49</v>
      </c>
      <c r="AC314" s="2"/>
    </row>
    <row r="315" spans="1:31" x14ac:dyDescent="0.25">
      <c r="A315" t="s">
        <v>1692</v>
      </c>
      <c r="B315" t="s">
        <v>1693</v>
      </c>
      <c r="C315" t="s">
        <v>1693</v>
      </c>
      <c r="D315" t="s">
        <v>792</v>
      </c>
      <c r="E315" t="s">
        <v>190</v>
      </c>
      <c r="F315" t="s">
        <v>1694</v>
      </c>
      <c r="H315" t="s">
        <v>157</v>
      </c>
      <c r="I315" t="s">
        <v>1695</v>
      </c>
      <c r="J315" s="2">
        <v>1090850</v>
      </c>
      <c r="K315" s="2">
        <v>5000</v>
      </c>
      <c r="L315" s="2">
        <v>21</v>
      </c>
      <c r="M315" s="2">
        <v>0</v>
      </c>
      <c r="N315" t="s">
        <v>156</v>
      </c>
      <c r="O315" t="s">
        <v>157</v>
      </c>
      <c r="P315" t="s">
        <v>158</v>
      </c>
      <c r="Q315" t="s">
        <v>159</v>
      </c>
      <c r="S315" t="s">
        <v>1696</v>
      </c>
      <c r="U315" t="s">
        <v>45</v>
      </c>
      <c r="V315" t="s">
        <v>46</v>
      </c>
      <c r="W315" t="s">
        <v>156</v>
      </c>
      <c r="X315" t="s">
        <v>157</v>
      </c>
      <c r="Y315" t="s">
        <v>161</v>
      </c>
      <c r="Z315" t="s">
        <v>162</v>
      </c>
      <c r="AA315" t="s">
        <v>49</v>
      </c>
      <c r="AB315" t="s">
        <v>50</v>
      </c>
      <c r="AC315" s="2">
        <v>1079813.75</v>
      </c>
      <c r="AD315" t="s">
        <v>1697</v>
      </c>
    </row>
    <row r="316" spans="1:31" hidden="1" x14ac:dyDescent="0.25">
      <c r="I316" t="s">
        <v>1698</v>
      </c>
      <c r="J316" s="2">
        <v>1000</v>
      </c>
      <c r="K316" s="2">
        <v>0</v>
      </c>
      <c r="L316" s="2">
        <v>1</v>
      </c>
      <c r="M316" s="2">
        <v>0</v>
      </c>
      <c r="S316" t="s">
        <v>1699</v>
      </c>
      <c r="U316" t="s">
        <v>45</v>
      </c>
      <c r="V316" t="s">
        <v>46</v>
      </c>
      <c r="W316" t="s">
        <v>652</v>
      </c>
      <c r="X316" t="s">
        <v>653</v>
      </c>
      <c r="Y316" t="s">
        <v>72</v>
      </c>
      <c r="Z316" t="s">
        <v>68</v>
      </c>
      <c r="AA316" t="s">
        <v>49</v>
      </c>
      <c r="AC316" s="2"/>
    </row>
    <row r="317" spans="1:31" hidden="1" x14ac:dyDescent="0.25">
      <c r="I317" t="s">
        <v>1701</v>
      </c>
      <c r="J317" s="2">
        <v>1090850</v>
      </c>
      <c r="K317" s="2">
        <v>5000</v>
      </c>
      <c r="L317" s="2">
        <v>30</v>
      </c>
      <c r="M317" s="2">
        <v>0</v>
      </c>
      <c r="S317" t="s">
        <v>1702</v>
      </c>
      <c r="U317" t="s">
        <v>45</v>
      </c>
      <c r="V317" t="s">
        <v>46</v>
      </c>
      <c r="W317" t="s">
        <v>1221</v>
      </c>
      <c r="X317" t="s">
        <v>1222</v>
      </c>
      <c r="Y317" t="s">
        <v>161</v>
      </c>
      <c r="Z317" t="s">
        <v>162</v>
      </c>
      <c r="AA317" t="s">
        <v>49</v>
      </c>
      <c r="AC317" s="2"/>
    </row>
    <row r="318" spans="1:31" x14ac:dyDescent="0.25">
      <c r="A318" t="s">
        <v>1703</v>
      </c>
      <c r="B318" t="s">
        <v>1704</v>
      </c>
      <c r="C318" t="s">
        <v>1704</v>
      </c>
      <c r="D318" t="s">
        <v>1410</v>
      </c>
      <c r="E318" t="s">
        <v>871</v>
      </c>
      <c r="F318" t="s">
        <v>1705</v>
      </c>
      <c r="G318" t="s">
        <v>223</v>
      </c>
      <c r="H318" t="s">
        <v>116</v>
      </c>
      <c r="I318" t="s">
        <v>1706</v>
      </c>
      <c r="J318" s="2">
        <v>1090850</v>
      </c>
      <c r="K318" s="2">
        <v>5000</v>
      </c>
      <c r="L318" s="2">
        <v>21</v>
      </c>
      <c r="M318" s="2">
        <v>0</v>
      </c>
      <c r="N318" t="s">
        <v>118</v>
      </c>
      <c r="O318" t="s">
        <v>119</v>
      </c>
      <c r="P318" t="s">
        <v>120</v>
      </c>
      <c r="Q318" t="s">
        <v>121</v>
      </c>
      <c r="S318" t="s">
        <v>1707</v>
      </c>
      <c r="U318" t="s">
        <v>45</v>
      </c>
      <c r="V318" t="s">
        <v>46</v>
      </c>
      <c r="W318" t="s">
        <v>118</v>
      </c>
      <c r="X318" t="s">
        <v>119</v>
      </c>
      <c r="Y318" t="s">
        <v>121</v>
      </c>
      <c r="Z318" t="s">
        <v>94</v>
      </c>
      <c r="AA318" t="s">
        <v>49</v>
      </c>
      <c r="AB318" t="s">
        <v>50</v>
      </c>
      <c r="AC318" s="2">
        <v>884724.46</v>
      </c>
      <c r="AD318" t="s">
        <v>1708</v>
      </c>
    </row>
    <row r="319" spans="1:31" hidden="1" x14ac:dyDescent="0.25">
      <c r="I319" t="s">
        <v>1709</v>
      </c>
      <c r="J319" s="2">
        <v>1000</v>
      </c>
      <c r="K319" s="2">
        <v>0</v>
      </c>
      <c r="L319" s="2">
        <v>1</v>
      </c>
      <c r="M319" s="2">
        <v>0</v>
      </c>
      <c r="S319" t="s">
        <v>1710</v>
      </c>
      <c r="U319" t="s">
        <v>45</v>
      </c>
      <c r="V319" t="s">
        <v>46</v>
      </c>
      <c r="W319" t="s">
        <v>1064</v>
      </c>
      <c r="X319" t="s">
        <v>1062</v>
      </c>
      <c r="Y319" t="s">
        <v>72</v>
      </c>
      <c r="Z319" t="s">
        <v>68</v>
      </c>
      <c r="AA319" t="s">
        <v>49</v>
      </c>
      <c r="AC319" s="2"/>
    </row>
    <row r="320" spans="1:31" x14ac:dyDescent="0.25">
      <c r="A320" t="s">
        <v>1711</v>
      </c>
      <c r="B320" t="s">
        <v>1712</v>
      </c>
      <c r="C320" t="s">
        <v>1713</v>
      </c>
      <c r="D320" t="s">
        <v>125</v>
      </c>
      <c r="E320" t="s">
        <v>126</v>
      </c>
      <c r="F320" t="s">
        <v>338</v>
      </c>
      <c r="G320" t="s">
        <v>1243</v>
      </c>
      <c r="H320" t="s">
        <v>339</v>
      </c>
      <c r="I320" t="s">
        <v>1714</v>
      </c>
      <c r="J320" s="2">
        <v>141811</v>
      </c>
      <c r="K320" s="2">
        <v>650</v>
      </c>
      <c r="L320" s="2">
        <v>15</v>
      </c>
      <c r="M320" s="2">
        <v>0</v>
      </c>
      <c r="N320" t="s">
        <v>340</v>
      </c>
      <c r="O320" t="s">
        <v>339</v>
      </c>
      <c r="P320" t="s">
        <v>61</v>
      </c>
      <c r="Q320" t="s">
        <v>62</v>
      </c>
      <c r="S320" t="s">
        <v>1715</v>
      </c>
      <c r="U320" t="s">
        <v>45</v>
      </c>
      <c r="V320" t="s">
        <v>46</v>
      </c>
      <c r="W320" t="s">
        <v>340</v>
      </c>
      <c r="X320" t="s">
        <v>339</v>
      </c>
      <c r="Y320" t="s">
        <v>47</v>
      </c>
      <c r="Z320" t="s">
        <v>48</v>
      </c>
      <c r="AA320" t="s">
        <v>49</v>
      </c>
      <c r="AB320" t="s">
        <v>50</v>
      </c>
      <c r="AC320" s="2">
        <v>110812.65</v>
      </c>
      <c r="AD320" t="s">
        <v>1716</v>
      </c>
      <c r="AE320" t="s">
        <v>115</v>
      </c>
    </row>
    <row r="321" spans="1:31" hidden="1" x14ac:dyDescent="0.25">
      <c r="I321" t="s">
        <v>1717</v>
      </c>
      <c r="J321" s="2">
        <v>1000</v>
      </c>
      <c r="K321" s="2">
        <v>0</v>
      </c>
      <c r="L321" s="2">
        <v>15</v>
      </c>
      <c r="M321" s="2">
        <v>0</v>
      </c>
      <c r="S321" t="s">
        <v>1718</v>
      </c>
      <c r="U321" t="s">
        <v>45</v>
      </c>
      <c r="V321" t="s">
        <v>46</v>
      </c>
      <c r="W321" t="s">
        <v>302</v>
      </c>
      <c r="X321" t="s">
        <v>303</v>
      </c>
      <c r="Y321" t="s">
        <v>72</v>
      </c>
      <c r="Z321" t="s">
        <v>68</v>
      </c>
      <c r="AA321" t="s">
        <v>49</v>
      </c>
      <c r="AC321" s="2"/>
    </row>
    <row r="322" spans="1:31" hidden="1" x14ac:dyDescent="0.25">
      <c r="J322" s="2">
        <v>1000</v>
      </c>
      <c r="K322" s="2">
        <v>0</v>
      </c>
      <c r="L322" s="2">
        <v>1</v>
      </c>
      <c r="M322" s="2">
        <v>0</v>
      </c>
      <c r="S322" t="s">
        <v>1719</v>
      </c>
      <c r="U322" t="s">
        <v>45</v>
      </c>
      <c r="V322" t="s">
        <v>46</v>
      </c>
      <c r="W322" t="s">
        <v>40</v>
      </c>
      <c r="X322" t="s">
        <v>41</v>
      </c>
      <c r="Y322" t="s">
        <v>47</v>
      </c>
      <c r="Z322" t="s">
        <v>48</v>
      </c>
      <c r="AA322" t="s">
        <v>49</v>
      </c>
      <c r="AC322" s="2"/>
    </row>
    <row r="323" spans="1:31" x14ac:dyDescent="0.25">
      <c r="A323" t="s">
        <v>1720</v>
      </c>
      <c r="B323" t="s">
        <v>1721</v>
      </c>
      <c r="C323" t="s">
        <v>1721</v>
      </c>
      <c r="D323" t="s">
        <v>297</v>
      </c>
      <c r="E323" t="s">
        <v>167</v>
      </c>
      <c r="F323" t="s">
        <v>1722</v>
      </c>
      <c r="G323" t="s">
        <v>297</v>
      </c>
      <c r="H323" t="s">
        <v>1723</v>
      </c>
      <c r="I323" t="s">
        <v>1724</v>
      </c>
      <c r="J323" s="2">
        <v>121555</v>
      </c>
      <c r="K323" s="2">
        <v>500</v>
      </c>
      <c r="L323" s="2">
        <v>15</v>
      </c>
      <c r="M323" s="2">
        <v>0</v>
      </c>
      <c r="N323" t="s">
        <v>1725</v>
      </c>
      <c r="O323" t="s">
        <v>1723</v>
      </c>
      <c r="P323" t="s">
        <v>120</v>
      </c>
      <c r="Q323" t="s">
        <v>121</v>
      </c>
      <c r="S323" t="s">
        <v>1726</v>
      </c>
      <c r="U323" t="s">
        <v>45</v>
      </c>
      <c r="V323" t="s">
        <v>46</v>
      </c>
      <c r="W323" t="s">
        <v>1725</v>
      </c>
      <c r="X323" t="s">
        <v>1723</v>
      </c>
      <c r="Y323" t="s">
        <v>121</v>
      </c>
      <c r="Z323" t="s">
        <v>94</v>
      </c>
      <c r="AA323" t="s">
        <v>49</v>
      </c>
      <c r="AB323" t="s">
        <v>50</v>
      </c>
      <c r="AC323" s="2">
        <v>22842.99</v>
      </c>
      <c r="AD323" t="s">
        <v>1727</v>
      </c>
      <c r="AE323" t="s">
        <v>52</v>
      </c>
    </row>
    <row r="324" spans="1:31" hidden="1" x14ac:dyDescent="0.25">
      <c r="I324" t="s">
        <v>1729</v>
      </c>
      <c r="J324" s="2">
        <v>65451</v>
      </c>
      <c r="K324" s="2">
        <v>300</v>
      </c>
      <c r="L324" s="2">
        <v>15</v>
      </c>
      <c r="M324" s="2">
        <v>0</v>
      </c>
      <c r="S324" t="s">
        <v>1731</v>
      </c>
      <c r="U324" t="s">
        <v>45</v>
      </c>
      <c r="V324" t="s">
        <v>46</v>
      </c>
      <c r="W324" t="s">
        <v>1730</v>
      </c>
      <c r="X324" t="s">
        <v>1728</v>
      </c>
      <c r="Y324" t="s">
        <v>121</v>
      </c>
      <c r="Z324" t="s">
        <v>94</v>
      </c>
      <c r="AA324" t="s">
        <v>49</v>
      </c>
      <c r="AC324" s="2"/>
    </row>
    <row r="325" spans="1:31" x14ac:dyDescent="0.25">
      <c r="A325" t="s">
        <v>1732</v>
      </c>
      <c r="B325" t="s">
        <v>1733</v>
      </c>
      <c r="C325" t="s">
        <v>1733</v>
      </c>
      <c r="D325" t="s">
        <v>1734</v>
      </c>
      <c r="E325" t="s">
        <v>224</v>
      </c>
      <c r="F325" t="s">
        <v>1735</v>
      </c>
      <c r="G325" t="s">
        <v>577</v>
      </c>
      <c r="H325" t="s">
        <v>1557</v>
      </c>
      <c r="I325" t="s">
        <v>1736</v>
      </c>
      <c r="J325" s="2">
        <v>65451</v>
      </c>
      <c r="K325" s="2">
        <v>300</v>
      </c>
      <c r="L325" s="2">
        <v>21</v>
      </c>
      <c r="M325" s="2">
        <v>0</v>
      </c>
      <c r="N325" t="s">
        <v>1556</v>
      </c>
      <c r="O325" t="s">
        <v>1557</v>
      </c>
      <c r="P325" t="s">
        <v>316</v>
      </c>
      <c r="Q325" t="s">
        <v>317</v>
      </c>
      <c r="S325" t="s">
        <v>1737</v>
      </c>
      <c r="U325" t="s">
        <v>45</v>
      </c>
      <c r="V325" t="s">
        <v>46</v>
      </c>
      <c r="W325" t="s">
        <v>1556</v>
      </c>
      <c r="X325" t="s">
        <v>1557</v>
      </c>
      <c r="Y325" t="s">
        <v>317</v>
      </c>
      <c r="Z325" t="s">
        <v>349</v>
      </c>
      <c r="AA325" t="s">
        <v>49</v>
      </c>
      <c r="AB325" t="s">
        <v>50</v>
      </c>
      <c r="AC325" s="2">
        <v>65451</v>
      </c>
      <c r="AD325" t="s">
        <v>64</v>
      </c>
    </row>
    <row r="326" spans="1:31" x14ac:dyDescent="0.25">
      <c r="A326" t="s">
        <v>1738</v>
      </c>
      <c r="B326" t="s">
        <v>1739</v>
      </c>
      <c r="C326" t="s">
        <v>1739</v>
      </c>
      <c r="D326" t="s">
        <v>153</v>
      </c>
      <c r="E326" t="s">
        <v>272</v>
      </c>
      <c r="F326" t="s">
        <v>1740</v>
      </c>
      <c r="G326" t="s">
        <v>569</v>
      </c>
      <c r="H326" t="s">
        <v>327</v>
      </c>
      <c r="I326" t="s">
        <v>1741</v>
      </c>
      <c r="J326" s="2">
        <v>65451</v>
      </c>
      <c r="K326" s="2">
        <v>300</v>
      </c>
      <c r="L326" s="2">
        <v>1</v>
      </c>
      <c r="M326" s="2">
        <v>0</v>
      </c>
      <c r="N326" t="s">
        <v>326</v>
      </c>
      <c r="O326" t="s">
        <v>327</v>
      </c>
      <c r="P326" t="s">
        <v>120</v>
      </c>
      <c r="Q326" t="s">
        <v>121</v>
      </c>
      <c r="S326" t="s">
        <v>1742</v>
      </c>
      <c r="U326" t="s">
        <v>45</v>
      </c>
      <c r="V326" t="s">
        <v>46</v>
      </c>
      <c r="W326" t="s">
        <v>326</v>
      </c>
      <c r="X326" t="s">
        <v>327</v>
      </c>
      <c r="Y326" t="s">
        <v>121</v>
      </c>
      <c r="Z326" t="s">
        <v>94</v>
      </c>
      <c r="AA326" t="s">
        <v>49</v>
      </c>
      <c r="AB326" t="s">
        <v>50</v>
      </c>
      <c r="AC326" s="2">
        <v>26510.26</v>
      </c>
      <c r="AD326" t="s">
        <v>1743</v>
      </c>
      <c r="AE326" t="s">
        <v>115</v>
      </c>
    </row>
    <row r="327" spans="1:31" x14ac:dyDescent="0.25">
      <c r="A327" t="s">
        <v>1744</v>
      </c>
      <c r="B327" t="s">
        <v>1745</v>
      </c>
      <c r="C327" t="s">
        <v>1745</v>
      </c>
      <c r="D327" t="s">
        <v>125</v>
      </c>
      <c r="E327" t="s">
        <v>126</v>
      </c>
      <c r="F327" t="s">
        <v>1746</v>
      </c>
      <c r="G327" t="s">
        <v>35</v>
      </c>
      <c r="H327" t="s">
        <v>68</v>
      </c>
      <c r="I327" t="s">
        <v>1747</v>
      </c>
      <c r="J327" s="2">
        <v>1287088</v>
      </c>
      <c r="K327" s="2">
        <v>5480</v>
      </c>
      <c r="L327" s="2">
        <v>21</v>
      </c>
      <c r="M327" s="2">
        <v>0</v>
      </c>
      <c r="N327" t="s">
        <v>67</v>
      </c>
      <c r="O327" t="s">
        <v>68</v>
      </c>
      <c r="P327" t="s">
        <v>69</v>
      </c>
      <c r="Q327" t="s">
        <v>70</v>
      </c>
      <c r="S327" t="s">
        <v>1748</v>
      </c>
      <c r="U327" t="s">
        <v>45</v>
      </c>
      <c r="V327" t="s">
        <v>46</v>
      </c>
      <c r="W327" t="s">
        <v>67</v>
      </c>
      <c r="X327" t="s">
        <v>68</v>
      </c>
      <c r="Y327" t="s">
        <v>72</v>
      </c>
      <c r="Z327" t="s">
        <v>68</v>
      </c>
      <c r="AA327" t="s">
        <v>49</v>
      </c>
      <c r="AB327" t="s">
        <v>50</v>
      </c>
      <c r="AC327" s="2">
        <v>124194.94</v>
      </c>
      <c r="AD327" t="s">
        <v>1749</v>
      </c>
      <c r="AE327" t="s">
        <v>52</v>
      </c>
    </row>
    <row r="328" spans="1:31" x14ac:dyDescent="0.25">
      <c r="A328" t="s">
        <v>1750</v>
      </c>
      <c r="B328" t="s">
        <v>1751</v>
      </c>
      <c r="C328" t="s">
        <v>1751</v>
      </c>
      <c r="D328" t="s">
        <v>1752</v>
      </c>
      <c r="E328" t="s">
        <v>134</v>
      </c>
      <c r="F328" t="s">
        <v>1753</v>
      </c>
      <c r="G328" t="s">
        <v>1754</v>
      </c>
      <c r="H328" t="s">
        <v>204</v>
      </c>
      <c r="I328" t="s">
        <v>1641</v>
      </c>
      <c r="J328" s="2">
        <v>109085</v>
      </c>
      <c r="K328" s="2">
        <v>500</v>
      </c>
      <c r="L328" s="2">
        <v>7</v>
      </c>
      <c r="M328" s="2">
        <v>0</v>
      </c>
      <c r="N328" t="s">
        <v>203</v>
      </c>
      <c r="O328" t="s">
        <v>204</v>
      </c>
      <c r="P328" t="s">
        <v>205</v>
      </c>
      <c r="Q328" t="s">
        <v>206</v>
      </c>
      <c r="S328" t="s">
        <v>1755</v>
      </c>
      <c r="U328" t="s">
        <v>45</v>
      </c>
      <c r="V328" t="s">
        <v>46</v>
      </c>
      <c r="W328" t="s">
        <v>203</v>
      </c>
      <c r="X328" t="s">
        <v>204</v>
      </c>
      <c r="Y328" t="s">
        <v>161</v>
      </c>
      <c r="Z328" t="s">
        <v>162</v>
      </c>
      <c r="AA328" t="s">
        <v>49</v>
      </c>
      <c r="AB328" t="s">
        <v>50</v>
      </c>
      <c r="AC328" s="2">
        <v>109085</v>
      </c>
      <c r="AD328" t="s">
        <v>64</v>
      </c>
    </row>
    <row r="329" spans="1:31" hidden="1" x14ac:dyDescent="0.25">
      <c r="J329" s="2">
        <v>21817</v>
      </c>
      <c r="K329" s="2">
        <v>100</v>
      </c>
      <c r="L329" s="2">
        <v>1</v>
      </c>
      <c r="M329" s="2">
        <v>0</v>
      </c>
      <c r="S329" t="s">
        <v>1756</v>
      </c>
      <c r="U329" t="s">
        <v>45</v>
      </c>
      <c r="V329" t="s">
        <v>46</v>
      </c>
      <c r="W329" t="s">
        <v>1221</v>
      </c>
      <c r="X329" t="s">
        <v>1222</v>
      </c>
      <c r="Y329" t="s">
        <v>161</v>
      </c>
      <c r="Z329" t="s">
        <v>162</v>
      </c>
      <c r="AA329" t="s">
        <v>49</v>
      </c>
      <c r="AC329" s="2"/>
    </row>
    <row r="330" spans="1:31" x14ac:dyDescent="0.25">
      <c r="A330" t="s">
        <v>1757</v>
      </c>
      <c r="B330" t="s">
        <v>1758</v>
      </c>
      <c r="C330" t="s">
        <v>1758</v>
      </c>
      <c r="D330" t="s">
        <v>35</v>
      </c>
      <c r="E330" t="s">
        <v>36</v>
      </c>
      <c r="F330" t="s">
        <v>1759</v>
      </c>
      <c r="G330" t="s">
        <v>153</v>
      </c>
      <c r="H330" t="s">
        <v>1062</v>
      </c>
      <c r="I330" t="s">
        <v>1760</v>
      </c>
      <c r="J330" s="2">
        <v>654510</v>
      </c>
      <c r="K330" s="2">
        <v>3000</v>
      </c>
      <c r="L330" s="2">
        <v>15</v>
      </c>
      <c r="M330" s="2">
        <v>0</v>
      </c>
      <c r="N330" t="s">
        <v>1064</v>
      </c>
      <c r="O330" t="s">
        <v>1062</v>
      </c>
      <c r="P330" t="s">
        <v>304</v>
      </c>
      <c r="Q330" t="s">
        <v>72</v>
      </c>
      <c r="S330" t="s">
        <v>1761</v>
      </c>
      <c r="U330" t="s">
        <v>45</v>
      </c>
      <c r="V330" t="s">
        <v>46</v>
      </c>
      <c r="W330" t="s">
        <v>1064</v>
      </c>
      <c r="X330" t="s">
        <v>1062</v>
      </c>
      <c r="Y330" t="s">
        <v>72</v>
      </c>
      <c r="Z330" t="s">
        <v>68</v>
      </c>
      <c r="AA330" t="s">
        <v>49</v>
      </c>
      <c r="AB330" t="s">
        <v>50</v>
      </c>
      <c r="AC330" s="2">
        <v>524672.35</v>
      </c>
      <c r="AD330" t="s">
        <v>1762</v>
      </c>
      <c r="AE330" t="s">
        <v>52</v>
      </c>
    </row>
    <row r="331" spans="1:31" hidden="1" x14ac:dyDescent="0.25">
      <c r="I331" t="s">
        <v>1763</v>
      </c>
      <c r="J331" s="2">
        <v>1000</v>
      </c>
      <c r="K331" s="2">
        <v>0</v>
      </c>
      <c r="L331" s="2">
        <v>1</v>
      </c>
      <c r="M331" s="2">
        <v>0</v>
      </c>
      <c r="S331" t="s">
        <v>1764</v>
      </c>
      <c r="U331" t="s">
        <v>45</v>
      </c>
      <c r="V331" t="s">
        <v>46</v>
      </c>
      <c r="W331" t="s">
        <v>1725</v>
      </c>
      <c r="X331" t="s">
        <v>1723</v>
      </c>
      <c r="Y331" t="s">
        <v>121</v>
      </c>
      <c r="Z331" t="s">
        <v>94</v>
      </c>
      <c r="AA331" t="s">
        <v>49</v>
      </c>
      <c r="AC331" s="2"/>
    </row>
    <row r="332" spans="1:31" hidden="1" x14ac:dyDescent="0.25">
      <c r="A332" s="10" t="s">
        <v>1765</v>
      </c>
      <c r="B332" s="10" t="s">
        <v>1766</v>
      </c>
      <c r="C332" t="s">
        <v>1766</v>
      </c>
      <c r="D332" t="s">
        <v>55</v>
      </c>
      <c r="E332" t="s">
        <v>56</v>
      </c>
      <c r="F332" t="s">
        <v>1767</v>
      </c>
      <c r="H332" t="s">
        <v>41</v>
      </c>
      <c r="J332" s="2">
        <v>1000</v>
      </c>
      <c r="K332" s="2">
        <v>4.33</v>
      </c>
      <c r="L332" s="2">
        <v>15</v>
      </c>
      <c r="M332" s="2">
        <v>0</v>
      </c>
      <c r="N332" t="s">
        <v>40</v>
      </c>
      <c r="O332" t="s">
        <v>41</v>
      </c>
      <c r="P332" t="s">
        <v>61</v>
      </c>
      <c r="Q332" t="s">
        <v>62</v>
      </c>
      <c r="S332" t="s">
        <v>1768</v>
      </c>
      <c r="U332" t="s">
        <v>45</v>
      </c>
      <c r="V332" t="s">
        <v>46</v>
      </c>
      <c r="W332" t="s">
        <v>40</v>
      </c>
      <c r="X332" t="s">
        <v>41</v>
      </c>
      <c r="Y332" t="s">
        <v>47</v>
      </c>
      <c r="Z332" t="s">
        <v>48</v>
      </c>
      <c r="AA332" t="s">
        <v>49</v>
      </c>
      <c r="AB332" t="s">
        <v>142</v>
      </c>
      <c r="AC332" s="2">
        <v>1000</v>
      </c>
      <c r="AD332" t="s">
        <v>64</v>
      </c>
    </row>
    <row r="333" spans="1:31" x14ac:dyDescent="0.25">
      <c r="A333" t="s">
        <v>1769</v>
      </c>
      <c r="B333" t="s">
        <v>1770</v>
      </c>
      <c r="C333" t="s">
        <v>1770</v>
      </c>
      <c r="D333" t="s">
        <v>178</v>
      </c>
      <c r="E333" t="s">
        <v>179</v>
      </c>
      <c r="F333" t="s">
        <v>1771</v>
      </c>
      <c r="G333" t="s">
        <v>178</v>
      </c>
      <c r="H333" t="s">
        <v>173</v>
      </c>
      <c r="I333" t="s">
        <v>1772</v>
      </c>
      <c r="J333" s="2">
        <v>174536</v>
      </c>
      <c r="K333" s="2">
        <v>800</v>
      </c>
      <c r="L333" s="2">
        <v>21</v>
      </c>
      <c r="M333" s="2">
        <v>0</v>
      </c>
      <c r="N333" t="s">
        <v>172</v>
      </c>
      <c r="O333" t="s">
        <v>173</v>
      </c>
      <c r="P333" t="s">
        <v>158</v>
      </c>
      <c r="Q333" t="s">
        <v>159</v>
      </c>
      <c r="S333" t="s">
        <v>1773</v>
      </c>
      <c r="U333" t="s">
        <v>45</v>
      </c>
      <c r="V333" t="s">
        <v>46</v>
      </c>
      <c r="W333" t="s">
        <v>172</v>
      </c>
      <c r="X333" t="s">
        <v>173</v>
      </c>
      <c r="Y333" t="s">
        <v>161</v>
      </c>
      <c r="Z333" t="s">
        <v>162</v>
      </c>
      <c r="AA333" t="s">
        <v>49</v>
      </c>
      <c r="AB333" t="s">
        <v>50</v>
      </c>
      <c r="AC333" s="2">
        <v>139620.16</v>
      </c>
      <c r="AD333" t="s">
        <v>1774</v>
      </c>
      <c r="AE333" t="s">
        <v>52</v>
      </c>
    </row>
    <row r="334" spans="1:31" hidden="1" x14ac:dyDescent="0.25">
      <c r="I334" t="s">
        <v>1775</v>
      </c>
      <c r="J334" s="2">
        <v>1000</v>
      </c>
      <c r="K334" s="2">
        <v>0</v>
      </c>
      <c r="L334" s="2">
        <v>1</v>
      </c>
      <c r="M334" s="2">
        <v>0</v>
      </c>
      <c r="S334" t="s">
        <v>1776</v>
      </c>
      <c r="U334" t="s">
        <v>45</v>
      </c>
      <c r="V334" t="s">
        <v>46</v>
      </c>
      <c r="W334" t="s">
        <v>1064</v>
      </c>
      <c r="X334" t="s">
        <v>1062</v>
      </c>
      <c r="Y334" t="s">
        <v>72</v>
      </c>
      <c r="Z334" t="s">
        <v>68</v>
      </c>
      <c r="AA334" t="s">
        <v>49</v>
      </c>
      <c r="AC334" s="2"/>
    </row>
    <row r="335" spans="1:31" hidden="1" x14ac:dyDescent="0.25">
      <c r="I335" t="s">
        <v>1777</v>
      </c>
      <c r="J335" s="2">
        <v>3681</v>
      </c>
      <c r="K335" s="2">
        <v>0</v>
      </c>
      <c r="L335" s="2">
        <v>5</v>
      </c>
      <c r="M335" s="2">
        <v>0</v>
      </c>
      <c r="S335" t="s">
        <v>1778</v>
      </c>
      <c r="U335" t="s">
        <v>45</v>
      </c>
      <c r="V335" t="s">
        <v>46</v>
      </c>
      <c r="W335" t="s">
        <v>302</v>
      </c>
      <c r="X335" t="s">
        <v>303</v>
      </c>
      <c r="Y335" t="s">
        <v>72</v>
      </c>
      <c r="Z335" t="s">
        <v>68</v>
      </c>
      <c r="AA335" t="s">
        <v>49</v>
      </c>
      <c r="AC335" s="2"/>
    </row>
    <row r="336" spans="1:31" x14ac:dyDescent="0.25">
      <c r="A336" t="s">
        <v>1779</v>
      </c>
      <c r="B336" t="s">
        <v>1780</v>
      </c>
      <c r="C336" t="s">
        <v>1780</v>
      </c>
      <c r="D336" t="s">
        <v>323</v>
      </c>
      <c r="E336" t="s">
        <v>77</v>
      </c>
      <c r="F336" t="s">
        <v>1781</v>
      </c>
      <c r="H336" t="s">
        <v>327</v>
      </c>
      <c r="I336" t="s">
        <v>1782</v>
      </c>
      <c r="J336" s="2">
        <v>218170</v>
      </c>
      <c r="K336" s="2">
        <v>1000</v>
      </c>
      <c r="L336" s="2">
        <v>21</v>
      </c>
      <c r="M336" s="2">
        <v>0</v>
      </c>
      <c r="N336" t="s">
        <v>326</v>
      </c>
      <c r="O336" t="s">
        <v>327</v>
      </c>
      <c r="P336" t="s">
        <v>120</v>
      </c>
      <c r="Q336" t="s">
        <v>121</v>
      </c>
      <c r="S336" t="s">
        <v>1783</v>
      </c>
      <c r="U336" t="s">
        <v>45</v>
      </c>
      <c r="V336" t="s">
        <v>46</v>
      </c>
      <c r="W336" t="s">
        <v>326</v>
      </c>
      <c r="X336" t="s">
        <v>327</v>
      </c>
      <c r="Y336" t="s">
        <v>121</v>
      </c>
      <c r="Z336" t="s">
        <v>94</v>
      </c>
      <c r="AA336" t="s">
        <v>49</v>
      </c>
      <c r="AB336" t="s">
        <v>50</v>
      </c>
      <c r="AC336" s="2">
        <v>218170</v>
      </c>
      <c r="AD336" t="s">
        <v>64</v>
      </c>
    </row>
    <row r="337" spans="1:31" x14ac:dyDescent="0.25">
      <c r="A337" t="s">
        <v>1784</v>
      </c>
      <c r="B337" t="s">
        <v>1785</v>
      </c>
      <c r="C337" t="s">
        <v>1785</v>
      </c>
      <c r="D337" t="s">
        <v>498</v>
      </c>
      <c r="E337" t="s">
        <v>190</v>
      </c>
      <c r="F337" t="s">
        <v>1786</v>
      </c>
      <c r="G337" t="s">
        <v>817</v>
      </c>
      <c r="H337" t="s">
        <v>751</v>
      </c>
      <c r="I337" t="s">
        <v>1787</v>
      </c>
      <c r="J337" s="2">
        <v>196353</v>
      </c>
      <c r="K337" s="2">
        <v>900</v>
      </c>
      <c r="L337" s="2">
        <v>15</v>
      </c>
      <c r="M337" s="2">
        <v>0</v>
      </c>
      <c r="N337" t="s">
        <v>753</v>
      </c>
      <c r="O337" t="s">
        <v>754</v>
      </c>
      <c r="P337" t="s">
        <v>61</v>
      </c>
      <c r="Q337" t="s">
        <v>62</v>
      </c>
      <c r="S337" t="s">
        <v>1788</v>
      </c>
      <c r="U337" t="s">
        <v>45</v>
      </c>
      <c r="V337" t="s">
        <v>46</v>
      </c>
      <c r="W337" t="s">
        <v>753</v>
      </c>
      <c r="X337" t="s">
        <v>754</v>
      </c>
      <c r="Y337" t="s">
        <v>47</v>
      </c>
      <c r="Z337" t="s">
        <v>48</v>
      </c>
      <c r="AA337" t="s">
        <v>49</v>
      </c>
      <c r="AB337" t="s">
        <v>50</v>
      </c>
      <c r="AC337" s="2">
        <v>133902.62</v>
      </c>
      <c r="AD337" t="s">
        <v>1789</v>
      </c>
      <c r="AE337" t="s">
        <v>115</v>
      </c>
    </row>
    <row r="338" spans="1:31" x14ac:dyDescent="0.25">
      <c r="A338" t="s">
        <v>1790</v>
      </c>
      <c r="B338" t="s">
        <v>1791</v>
      </c>
      <c r="C338" t="s">
        <v>1791</v>
      </c>
      <c r="D338" t="s">
        <v>888</v>
      </c>
      <c r="E338" t="s">
        <v>167</v>
      </c>
      <c r="F338" t="s">
        <v>1792</v>
      </c>
      <c r="G338" t="s">
        <v>888</v>
      </c>
      <c r="H338" t="s">
        <v>303</v>
      </c>
      <c r="I338" t="s">
        <v>1793</v>
      </c>
      <c r="J338" s="2">
        <v>32726</v>
      </c>
      <c r="K338" s="2">
        <v>150</v>
      </c>
      <c r="L338" s="2">
        <v>21</v>
      </c>
      <c r="M338" s="2">
        <v>0</v>
      </c>
      <c r="N338" t="s">
        <v>302</v>
      </c>
      <c r="O338" t="s">
        <v>303</v>
      </c>
      <c r="P338" t="s">
        <v>304</v>
      </c>
      <c r="Q338" t="s">
        <v>72</v>
      </c>
      <c r="S338" t="s">
        <v>1794</v>
      </c>
      <c r="U338" t="s">
        <v>45</v>
      </c>
      <c r="V338" t="s">
        <v>46</v>
      </c>
      <c r="W338" t="s">
        <v>302</v>
      </c>
      <c r="X338" t="s">
        <v>303</v>
      </c>
      <c r="Y338" t="s">
        <v>72</v>
      </c>
      <c r="Z338" t="s">
        <v>68</v>
      </c>
      <c r="AA338" t="s">
        <v>49</v>
      </c>
      <c r="AB338" t="s">
        <v>50</v>
      </c>
      <c r="AC338" s="2">
        <v>19056.39</v>
      </c>
      <c r="AD338" t="s">
        <v>1795</v>
      </c>
      <c r="AE338" t="s">
        <v>52</v>
      </c>
    </row>
    <row r="339" spans="1:31" hidden="1" x14ac:dyDescent="0.25">
      <c r="A339" s="10" t="s">
        <v>1796</v>
      </c>
      <c r="B339" s="10" t="s">
        <v>1797</v>
      </c>
      <c r="C339" t="s">
        <v>1797</v>
      </c>
      <c r="D339" t="s">
        <v>55</v>
      </c>
      <c r="E339" t="s">
        <v>56</v>
      </c>
      <c r="F339" t="s">
        <v>1798</v>
      </c>
      <c r="H339" t="s">
        <v>41</v>
      </c>
      <c r="I339" t="s">
        <v>1799</v>
      </c>
      <c r="J339" s="2">
        <v>1000</v>
      </c>
      <c r="K339" s="2">
        <v>0</v>
      </c>
      <c r="L339" s="2">
        <v>15</v>
      </c>
      <c r="M339" s="2">
        <v>0</v>
      </c>
      <c r="N339" t="s">
        <v>40</v>
      </c>
      <c r="O339" t="s">
        <v>41</v>
      </c>
      <c r="P339" t="s">
        <v>61</v>
      </c>
      <c r="Q339" t="s">
        <v>62</v>
      </c>
      <c r="S339" t="s">
        <v>1800</v>
      </c>
      <c r="U339" t="s">
        <v>45</v>
      </c>
      <c r="V339" t="s">
        <v>46</v>
      </c>
      <c r="W339" t="s">
        <v>40</v>
      </c>
      <c r="X339" t="s">
        <v>41</v>
      </c>
      <c r="Y339" t="s">
        <v>47</v>
      </c>
      <c r="Z339" t="s">
        <v>48</v>
      </c>
      <c r="AA339" t="s">
        <v>49</v>
      </c>
      <c r="AB339" t="s">
        <v>142</v>
      </c>
      <c r="AC339" s="2">
        <v>1000</v>
      </c>
      <c r="AD339" t="s">
        <v>64</v>
      </c>
    </row>
    <row r="340" spans="1:31" x14ac:dyDescent="0.25">
      <c r="A340" t="s">
        <v>1801</v>
      </c>
      <c r="B340" t="s">
        <v>1802</v>
      </c>
      <c r="C340" t="s">
        <v>1802</v>
      </c>
      <c r="D340" t="s">
        <v>569</v>
      </c>
      <c r="E340" t="s">
        <v>570</v>
      </c>
      <c r="F340" t="s">
        <v>1803</v>
      </c>
      <c r="G340" t="s">
        <v>344</v>
      </c>
      <c r="H340" t="s">
        <v>1062</v>
      </c>
      <c r="I340" t="s">
        <v>1804</v>
      </c>
      <c r="J340" s="2">
        <v>109085</v>
      </c>
      <c r="K340" s="2">
        <v>500</v>
      </c>
      <c r="L340" s="2">
        <v>21</v>
      </c>
      <c r="M340" s="2">
        <v>0</v>
      </c>
      <c r="N340" t="s">
        <v>1064</v>
      </c>
      <c r="O340" t="s">
        <v>1062</v>
      </c>
      <c r="P340" t="s">
        <v>304</v>
      </c>
      <c r="Q340" t="s">
        <v>72</v>
      </c>
      <c r="S340" t="s">
        <v>1805</v>
      </c>
      <c r="U340" t="s">
        <v>45</v>
      </c>
      <c r="V340" t="s">
        <v>46</v>
      </c>
      <c r="W340" t="s">
        <v>1064</v>
      </c>
      <c r="X340" t="s">
        <v>1062</v>
      </c>
      <c r="Y340" t="s">
        <v>72</v>
      </c>
      <c r="Z340" t="s">
        <v>68</v>
      </c>
      <c r="AA340" t="s">
        <v>49</v>
      </c>
      <c r="AB340" t="s">
        <v>50</v>
      </c>
      <c r="AC340" s="2">
        <v>57700.66</v>
      </c>
      <c r="AD340" t="s">
        <v>1806</v>
      </c>
      <c r="AE340" t="s">
        <v>52</v>
      </c>
    </row>
    <row r="341" spans="1:31" hidden="1" x14ac:dyDescent="0.25">
      <c r="I341" t="s">
        <v>1807</v>
      </c>
      <c r="J341" s="2">
        <v>56890</v>
      </c>
      <c r="K341" s="2">
        <v>250</v>
      </c>
      <c r="L341" s="2">
        <v>7</v>
      </c>
      <c r="M341" s="2">
        <v>0</v>
      </c>
      <c r="S341" t="s">
        <v>1808</v>
      </c>
      <c r="U341" t="s">
        <v>45</v>
      </c>
      <c r="V341" t="s">
        <v>46</v>
      </c>
      <c r="W341" t="s">
        <v>118</v>
      </c>
      <c r="X341" t="s">
        <v>119</v>
      </c>
      <c r="Y341" t="s">
        <v>121</v>
      </c>
      <c r="Z341" t="s">
        <v>94</v>
      </c>
      <c r="AA341" t="s">
        <v>49</v>
      </c>
      <c r="AC341" s="2"/>
    </row>
    <row r="342" spans="1:31" hidden="1" x14ac:dyDescent="0.25">
      <c r="I342" t="s">
        <v>1809</v>
      </c>
      <c r="J342" s="2">
        <v>1000</v>
      </c>
      <c r="K342" s="2">
        <v>0</v>
      </c>
      <c r="L342" s="2">
        <v>1</v>
      </c>
      <c r="M342" s="2">
        <v>0</v>
      </c>
      <c r="S342" t="s">
        <v>1810</v>
      </c>
      <c r="U342" t="s">
        <v>45</v>
      </c>
      <c r="V342" t="s">
        <v>46</v>
      </c>
      <c r="W342" t="s">
        <v>585</v>
      </c>
      <c r="X342" t="s">
        <v>584</v>
      </c>
      <c r="Y342" t="s">
        <v>161</v>
      </c>
      <c r="Z342" t="s">
        <v>162</v>
      </c>
      <c r="AA342" t="s">
        <v>49</v>
      </c>
      <c r="AC342" s="2"/>
    </row>
    <row r="343" spans="1:31" hidden="1" x14ac:dyDescent="0.25">
      <c r="I343" t="s">
        <v>1811</v>
      </c>
      <c r="J343" s="2">
        <v>1000</v>
      </c>
      <c r="K343" s="2">
        <v>0</v>
      </c>
      <c r="L343" s="2">
        <v>1</v>
      </c>
      <c r="M343" s="2">
        <v>0</v>
      </c>
      <c r="S343" t="s">
        <v>1812</v>
      </c>
      <c r="U343" t="s">
        <v>45</v>
      </c>
      <c r="V343" t="s">
        <v>46</v>
      </c>
      <c r="W343" t="s">
        <v>1221</v>
      </c>
      <c r="X343" t="s">
        <v>1222</v>
      </c>
      <c r="Y343" t="s">
        <v>161</v>
      </c>
      <c r="Z343" t="s">
        <v>162</v>
      </c>
      <c r="AA343" t="s">
        <v>49</v>
      </c>
      <c r="AC343" s="2"/>
    </row>
    <row r="344" spans="1:31" x14ac:dyDescent="0.25">
      <c r="A344" t="s">
        <v>1813</v>
      </c>
      <c r="B344" t="s">
        <v>1814</v>
      </c>
      <c r="C344" t="s">
        <v>1814</v>
      </c>
      <c r="D344" t="s">
        <v>153</v>
      </c>
      <c r="E344" t="s">
        <v>272</v>
      </c>
      <c r="F344" t="s">
        <v>1815</v>
      </c>
      <c r="G344" t="s">
        <v>153</v>
      </c>
      <c r="H344" t="s">
        <v>170</v>
      </c>
      <c r="I344" t="s">
        <v>1816</v>
      </c>
      <c r="J344" s="2">
        <v>7476000</v>
      </c>
      <c r="K344" s="2">
        <v>30000</v>
      </c>
      <c r="L344" s="2">
        <v>30</v>
      </c>
      <c r="M344" s="2">
        <v>0</v>
      </c>
      <c r="N344" t="s">
        <v>172</v>
      </c>
      <c r="O344" t="s">
        <v>173</v>
      </c>
      <c r="P344" t="s">
        <v>158</v>
      </c>
      <c r="Q344" t="s">
        <v>159</v>
      </c>
      <c r="S344" t="s">
        <v>1817</v>
      </c>
      <c r="U344" t="s">
        <v>45</v>
      </c>
      <c r="V344" t="s">
        <v>46</v>
      </c>
      <c r="W344" t="s">
        <v>172</v>
      </c>
      <c r="X344" t="s">
        <v>173</v>
      </c>
      <c r="Y344" t="s">
        <v>161</v>
      </c>
      <c r="Z344" t="s">
        <v>162</v>
      </c>
      <c r="AA344" t="s">
        <v>49</v>
      </c>
      <c r="AB344" t="s">
        <v>50</v>
      </c>
      <c r="AC344" s="2">
        <v>4784514.38</v>
      </c>
      <c r="AD344" t="s">
        <v>1818</v>
      </c>
      <c r="AE344" t="s">
        <v>52</v>
      </c>
    </row>
    <row r="345" spans="1:31" x14ac:dyDescent="0.25">
      <c r="A345" t="s">
        <v>1819</v>
      </c>
      <c r="B345" t="s">
        <v>1820</v>
      </c>
      <c r="C345" t="s">
        <v>1820</v>
      </c>
      <c r="D345" t="s">
        <v>35</v>
      </c>
      <c r="E345" t="s">
        <v>36</v>
      </c>
      <c r="F345" t="s">
        <v>1821</v>
      </c>
      <c r="G345" t="s">
        <v>35</v>
      </c>
      <c r="H345" t="s">
        <v>277</v>
      </c>
      <c r="I345" t="s">
        <v>1822</v>
      </c>
      <c r="J345" s="2">
        <v>4363400</v>
      </c>
      <c r="K345" s="2">
        <v>20000</v>
      </c>
      <c r="L345" s="2">
        <v>30</v>
      </c>
      <c r="M345" s="2">
        <v>0</v>
      </c>
      <c r="N345" t="s">
        <v>276</v>
      </c>
      <c r="O345" t="s">
        <v>277</v>
      </c>
      <c r="P345" t="s">
        <v>103</v>
      </c>
      <c r="Q345" t="s">
        <v>104</v>
      </c>
      <c r="S345" t="s">
        <v>1823</v>
      </c>
      <c r="U345" t="s">
        <v>45</v>
      </c>
      <c r="V345" t="s">
        <v>46</v>
      </c>
      <c r="W345" t="s">
        <v>276</v>
      </c>
      <c r="X345" t="s">
        <v>277</v>
      </c>
      <c r="Y345" t="s">
        <v>279</v>
      </c>
      <c r="Z345" t="s">
        <v>280</v>
      </c>
      <c r="AA345" t="s">
        <v>49</v>
      </c>
      <c r="AB345" t="s">
        <v>50</v>
      </c>
      <c r="AC345" s="2">
        <v>2640227.71</v>
      </c>
      <c r="AD345" t="s">
        <v>1824</v>
      </c>
      <c r="AE345" t="s">
        <v>52</v>
      </c>
    </row>
    <row r="346" spans="1:31" hidden="1" x14ac:dyDescent="0.25">
      <c r="A346" s="10" t="s">
        <v>1825</v>
      </c>
      <c r="B346" s="10" t="s">
        <v>1826</v>
      </c>
      <c r="C346" t="s">
        <v>1826</v>
      </c>
      <c r="D346" t="s">
        <v>55</v>
      </c>
      <c r="E346" t="s">
        <v>56</v>
      </c>
      <c r="F346" t="s">
        <v>1827</v>
      </c>
      <c r="H346" t="s">
        <v>41</v>
      </c>
      <c r="I346" t="s">
        <v>1828</v>
      </c>
      <c r="J346" s="2">
        <v>1000</v>
      </c>
      <c r="K346" s="2">
        <v>0</v>
      </c>
      <c r="L346" s="2">
        <v>1</v>
      </c>
      <c r="M346" s="2">
        <v>0</v>
      </c>
      <c r="N346" t="s">
        <v>40</v>
      </c>
      <c r="O346" t="s">
        <v>41</v>
      </c>
      <c r="P346" t="s">
        <v>61</v>
      </c>
      <c r="Q346" t="s">
        <v>62</v>
      </c>
      <c r="S346" t="s">
        <v>1829</v>
      </c>
      <c r="U346" t="s">
        <v>45</v>
      </c>
      <c r="V346" t="s">
        <v>46</v>
      </c>
      <c r="W346" t="s">
        <v>40</v>
      </c>
      <c r="X346" t="s">
        <v>41</v>
      </c>
      <c r="Y346" t="s">
        <v>47</v>
      </c>
      <c r="Z346" t="s">
        <v>48</v>
      </c>
      <c r="AA346" t="s">
        <v>49</v>
      </c>
      <c r="AB346" t="s">
        <v>142</v>
      </c>
      <c r="AC346" s="2">
        <v>1000</v>
      </c>
      <c r="AD346" t="s">
        <v>64</v>
      </c>
    </row>
    <row r="347" spans="1:31" hidden="1" x14ac:dyDescent="0.25">
      <c r="I347" t="s">
        <v>1830</v>
      </c>
      <c r="J347" s="2">
        <v>1000</v>
      </c>
      <c r="K347" s="2">
        <v>0</v>
      </c>
      <c r="L347" s="2">
        <v>1</v>
      </c>
      <c r="M347" s="2">
        <v>0</v>
      </c>
      <c r="S347" t="s">
        <v>1831</v>
      </c>
      <c r="U347" t="s">
        <v>45</v>
      </c>
      <c r="V347" t="s">
        <v>46</v>
      </c>
      <c r="W347" t="s">
        <v>118</v>
      </c>
      <c r="X347" t="s">
        <v>119</v>
      </c>
      <c r="Y347" t="s">
        <v>121</v>
      </c>
      <c r="Z347" t="s">
        <v>94</v>
      </c>
      <c r="AA347" t="s">
        <v>49</v>
      </c>
      <c r="AC347" s="2"/>
    </row>
    <row r="348" spans="1:31" x14ac:dyDescent="0.25">
      <c r="A348" t="s">
        <v>1832</v>
      </c>
      <c r="B348" t="s">
        <v>1833</v>
      </c>
      <c r="C348" t="s">
        <v>1833</v>
      </c>
      <c r="D348" t="s">
        <v>35</v>
      </c>
      <c r="E348" t="s">
        <v>36</v>
      </c>
      <c r="F348" t="s">
        <v>1834</v>
      </c>
      <c r="G348" t="s">
        <v>153</v>
      </c>
      <c r="H348" t="s">
        <v>1554</v>
      </c>
      <c r="I348" t="s">
        <v>1835</v>
      </c>
      <c r="J348" s="2">
        <v>95658</v>
      </c>
      <c r="K348" s="2">
        <v>391</v>
      </c>
      <c r="L348" s="2">
        <v>15</v>
      </c>
      <c r="M348" s="2">
        <v>0</v>
      </c>
      <c r="N348" t="s">
        <v>1556</v>
      </c>
      <c r="O348" t="s">
        <v>1557</v>
      </c>
      <c r="P348" t="s">
        <v>316</v>
      </c>
      <c r="Q348" t="s">
        <v>317</v>
      </c>
      <c r="S348" t="s">
        <v>1836</v>
      </c>
      <c r="U348" t="s">
        <v>45</v>
      </c>
      <c r="V348" t="s">
        <v>46</v>
      </c>
      <c r="W348" t="s">
        <v>1556</v>
      </c>
      <c r="X348" t="s">
        <v>1557</v>
      </c>
      <c r="Y348" t="s">
        <v>47</v>
      </c>
      <c r="Z348" t="s">
        <v>48</v>
      </c>
      <c r="AA348" t="s">
        <v>49</v>
      </c>
      <c r="AB348" t="s">
        <v>50</v>
      </c>
      <c r="AC348" s="2">
        <v>33846.32</v>
      </c>
      <c r="AD348" t="s">
        <v>1837</v>
      </c>
      <c r="AE348" t="s">
        <v>52</v>
      </c>
    </row>
    <row r="349" spans="1:31" hidden="1" x14ac:dyDescent="0.25">
      <c r="A349" s="10" t="s">
        <v>1838</v>
      </c>
      <c r="B349" s="10" t="s">
        <v>1839</v>
      </c>
      <c r="C349" t="s">
        <v>1839</v>
      </c>
      <c r="D349" t="s">
        <v>55</v>
      </c>
      <c r="E349" t="s">
        <v>56</v>
      </c>
      <c r="F349" t="s">
        <v>1840</v>
      </c>
      <c r="H349" t="s">
        <v>41</v>
      </c>
      <c r="I349" t="s">
        <v>1841</v>
      </c>
      <c r="J349" s="2">
        <v>1000</v>
      </c>
      <c r="K349" s="2">
        <v>0</v>
      </c>
      <c r="L349" s="2">
        <v>10</v>
      </c>
      <c r="M349" s="2">
        <v>0</v>
      </c>
      <c r="N349" t="s">
        <v>40</v>
      </c>
      <c r="O349" t="s">
        <v>41</v>
      </c>
      <c r="P349" t="s">
        <v>61</v>
      </c>
      <c r="Q349" t="s">
        <v>62</v>
      </c>
      <c r="S349" t="s">
        <v>1842</v>
      </c>
      <c r="U349" t="s">
        <v>45</v>
      </c>
      <c r="V349" t="s">
        <v>46</v>
      </c>
      <c r="W349" t="s">
        <v>40</v>
      </c>
      <c r="X349" t="s">
        <v>41</v>
      </c>
      <c r="Y349" t="s">
        <v>47</v>
      </c>
      <c r="Z349" t="s">
        <v>48</v>
      </c>
      <c r="AA349" t="s">
        <v>49</v>
      </c>
      <c r="AB349" t="s">
        <v>142</v>
      </c>
      <c r="AC349" s="2">
        <v>1000</v>
      </c>
      <c r="AD349" t="s">
        <v>64</v>
      </c>
    </row>
    <row r="350" spans="1:31" x14ac:dyDescent="0.25">
      <c r="A350" t="s">
        <v>1843</v>
      </c>
      <c r="B350" t="s">
        <v>1844</v>
      </c>
      <c r="C350" t="s">
        <v>1844</v>
      </c>
      <c r="D350" t="s">
        <v>264</v>
      </c>
      <c r="E350" t="s">
        <v>134</v>
      </c>
      <c r="F350" t="s">
        <v>1845</v>
      </c>
      <c r="G350" t="s">
        <v>1846</v>
      </c>
      <c r="H350" t="s">
        <v>1847</v>
      </c>
      <c r="I350" t="s">
        <v>1848</v>
      </c>
      <c r="J350" s="2">
        <v>65451</v>
      </c>
      <c r="K350" s="2">
        <v>300</v>
      </c>
      <c r="L350" s="2">
        <v>21</v>
      </c>
      <c r="M350" s="2">
        <v>0</v>
      </c>
      <c r="N350" t="s">
        <v>1849</v>
      </c>
      <c r="O350" t="s">
        <v>1847</v>
      </c>
      <c r="P350" t="s">
        <v>120</v>
      </c>
      <c r="Q350" t="s">
        <v>121</v>
      </c>
      <c r="S350" t="s">
        <v>1850</v>
      </c>
      <c r="U350" t="s">
        <v>45</v>
      </c>
      <c r="V350" t="s">
        <v>46</v>
      </c>
      <c r="W350" t="s">
        <v>1849</v>
      </c>
      <c r="X350" t="s">
        <v>1847</v>
      </c>
      <c r="Y350" t="s">
        <v>121</v>
      </c>
      <c r="Z350" t="s">
        <v>94</v>
      </c>
      <c r="AA350" t="s">
        <v>49</v>
      </c>
      <c r="AB350" t="s">
        <v>50</v>
      </c>
      <c r="AC350" s="2">
        <v>65451</v>
      </c>
      <c r="AD350" t="s">
        <v>64</v>
      </c>
    </row>
    <row r="351" spans="1:31" x14ac:dyDescent="0.25">
      <c r="A351" t="s">
        <v>1851</v>
      </c>
      <c r="B351" t="s">
        <v>1852</v>
      </c>
      <c r="C351" t="s">
        <v>1853</v>
      </c>
      <c r="D351" t="s">
        <v>1854</v>
      </c>
      <c r="E351" t="s">
        <v>224</v>
      </c>
      <c r="F351" t="s">
        <v>1855</v>
      </c>
      <c r="G351" t="s">
        <v>1846</v>
      </c>
      <c r="H351" t="s">
        <v>255</v>
      </c>
      <c r="I351" t="s">
        <v>1856</v>
      </c>
      <c r="J351" s="2">
        <v>239987</v>
      </c>
      <c r="K351" s="2">
        <v>1100</v>
      </c>
      <c r="L351" s="2">
        <v>1</v>
      </c>
      <c r="M351" s="2">
        <v>0</v>
      </c>
      <c r="N351" t="s">
        <v>254</v>
      </c>
      <c r="O351" t="s">
        <v>255</v>
      </c>
      <c r="P351" t="s">
        <v>256</v>
      </c>
      <c r="Q351" t="s">
        <v>255</v>
      </c>
      <c r="S351" t="s">
        <v>1857</v>
      </c>
      <c r="U351" t="s">
        <v>45</v>
      </c>
      <c r="V351" t="s">
        <v>46</v>
      </c>
      <c r="W351" t="s">
        <v>254</v>
      </c>
      <c r="X351" t="s">
        <v>255</v>
      </c>
      <c r="Y351" t="s">
        <v>258</v>
      </c>
      <c r="Z351" t="s">
        <v>259</v>
      </c>
      <c r="AA351" t="s">
        <v>49</v>
      </c>
      <c r="AB351" t="s">
        <v>50</v>
      </c>
      <c r="AC351" s="2">
        <v>239987</v>
      </c>
      <c r="AD351" t="s">
        <v>64</v>
      </c>
    </row>
    <row r="352" spans="1:31" hidden="1" x14ac:dyDescent="0.25">
      <c r="I352" t="s">
        <v>1858</v>
      </c>
      <c r="J352" s="2">
        <v>1000</v>
      </c>
      <c r="K352" s="2">
        <v>0</v>
      </c>
      <c r="L352" s="2">
        <v>1</v>
      </c>
      <c r="M352" s="2">
        <v>0</v>
      </c>
      <c r="S352" t="s">
        <v>1859</v>
      </c>
      <c r="U352" t="s">
        <v>45</v>
      </c>
      <c r="V352" t="s">
        <v>46</v>
      </c>
      <c r="W352" t="s">
        <v>302</v>
      </c>
      <c r="X352" t="s">
        <v>303</v>
      </c>
      <c r="Y352" t="s">
        <v>72</v>
      </c>
      <c r="Z352" t="s">
        <v>68</v>
      </c>
      <c r="AA352" t="s">
        <v>49</v>
      </c>
      <c r="AC352" s="2"/>
    </row>
    <row r="353" spans="1:31" hidden="1" x14ac:dyDescent="0.25">
      <c r="I353" t="s">
        <v>1860</v>
      </c>
      <c r="J353" s="2">
        <v>1000</v>
      </c>
      <c r="K353" s="2">
        <v>0</v>
      </c>
      <c r="L353" s="2">
        <v>1</v>
      </c>
      <c r="M353" s="2">
        <v>0</v>
      </c>
      <c r="S353" t="s">
        <v>1861</v>
      </c>
      <c r="U353" t="s">
        <v>45</v>
      </c>
      <c r="V353" t="s">
        <v>46</v>
      </c>
      <c r="W353" t="s">
        <v>1730</v>
      </c>
      <c r="X353" t="s">
        <v>1728</v>
      </c>
      <c r="Y353" t="s">
        <v>121</v>
      </c>
      <c r="Z353" t="s">
        <v>94</v>
      </c>
      <c r="AA353" t="s">
        <v>49</v>
      </c>
      <c r="AC353" s="2"/>
    </row>
    <row r="354" spans="1:31" x14ac:dyDescent="0.25">
      <c r="A354" t="s">
        <v>1862</v>
      </c>
      <c r="B354" t="s">
        <v>1863</v>
      </c>
      <c r="C354" t="s">
        <v>1863</v>
      </c>
      <c r="D354" t="s">
        <v>649</v>
      </c>
      <c r="E354" t="s">
        <v>871</v>
      </c>
      <c r="F354" t="s">
        <v>1864</v>
      </c>
      <c r="G354" t="s">
        <v>1865</v>
      </c>
      <c r="H354" t="s">
        <v>1723</v>
      </c>
      <c r="I354" t="s">
        <v>1866</v>
      </c>
      <c r="J354" s="2">
        <v>32726</v>
      </c>
      <c r="K354" s="2">
        <v>150</v>
      </c>
      <c r="L354" s="2">
        <v>1</v>
      </c>
      <c r="M354" s="2">
        <v>0</v>
      </c>
      <c r="N354" t="s">
        <v>1725</v>
      </c>
      <c r="O354" t="s">
        <v>1723</v>
      </c>
      <c r="P354" t="s">
        <v>120</v>
      </c>
      <c r="Q354" t="s">
        <v>121</v>
      </c>
      <c r="S354" t="s">
        <v>1867</v>
      </c>
      <c r="U354" t="s">
        <v>45</v>
      </c>
      <c r="V354" t="s">
        <v>46</v>
      </c>
      <c r="W354" t="s">
        <v>1725</v>
      </c>
      <c r="X354" t="s">
        <v>1723</v>
      </c>
      <c r="Y354" t="s">
        <v>121</v>
      </c>
      <c r="Z354" t="s">
        <v>94</v>
      </c>
      <c r="AA354" t="s">
        <v>49</v>
      </c>
      <c r="AB354" t="s">
        <v>50</v>
      </c>
      <c r="AC354" s="2">
        <v>32726</v>
      </c>
      <c r="AD354" t="s">
        <v>64</v>
      </c>
    </row>
    <row r="355" spans="1:31" x14ac:dyDescent="0.25">
      <c r="A355" t="s">
        <v>1868</v>
      </c>
      <c r="B355" t="s">
        <v>1869</v>
      </c>
      <c r="C355" t="s">
        <v>1869</v>
      </c>
      <c r="D355" t="s">
        <v>125</v>
      </c>
      <c r="E355" t="s">
        <v>126</v>
      </c>
      <c r="F355" t="s">
        <v>1870</v>
      </c>
      <c r="G355" t="s">
        <v>125</v>
      </c>
      <c r="H355" t="s">
        <v>1871</v>
      </c>
      <c r="I355" t="s">
        <v>1872</v>
      </c>
      <c r="J355" s="2">
        <v>141331</v>
      </c>
      <c r="K355" s="2">
        <v>625</v>
      </c>
      <c r="L355" s="2">
        <v>7</v>
      </c>
      <c r="M355" s="2">
        <v>0</v>
      </c>
      <c r="N355" t="s">
        <v>1873</v>
      </c>
      <c r="O355" t="s">
        <v>1871</v>
      </c>
      <c r="P355" t="s">
        <v>120</v>
      </c>
      <c r="Q355" t="s">
        <v>121</v>
      </c>
      <c r="S355" t="s">
        <v>1874</v>
      </c>
      <c r="U355" t="s">
        <v>45</v>
      </c>
      <c r="V355" t="s">
        <v>46</v>
      </c>
      <c r="W355" t="s">
        <v>1873</v>
      </c>
      <c r="X355" t="s">
        <v>1871</v>
      </c>
      <c r="Y355" t="s">
        <v>121</v>
      </c>
      <c r="Z355" t="s">
        <v>94</v>
      </c>
      <c r="AA355" t="s">
        <v>49</v>
      </c>
      <c r="AB355" t="s">
        <v>50</v>
      </c>
      <c r="AC355" s="2">
        <v>100425.88</v>
      </c>
      <c r="AD355" t="s">
        <v>1875</v>
      </c>
      <c r="AE355" t="s">
        <v>52</v>
      </c>
    </row>
    <row r="356" spans="1:31" hidden="1" x14ac:dyDescent="0.25">
      <c r="I356" t="s">
        <v>1876</v>
      </c>
      <c r="J356" s="2">
        <v>1000</v>
      </c>
      <c r="K356" s="2">
        <v>0</v>
      </c>
      <c r="L356" s="2">
        <v>1</v>
      </c>
      <c r="M356" s="2">
        <v>0</v>
      </c>
      <c r="S356" t="s">
        <v>1877</v>
      </c>
      <c r="U356" t="s">
        <v>45</v>
      </c>
      <c r="V356" t="s">
        <v>46</v>
      </c>
      <c r="W356" t="s">
        <v>302</v>
      </c>
      <c r="X356" t="s">
        <v>303</v>
      </c>
      <c r="Y356" t="s">
        <v>72</v>
      </c>
      <c r="Z356" t="s">
        <v>68</v>
      </c>
      <c r="AA356" t="s">
        <v>49</v>
      </c>
      <c r="AC356" s="2"/>
    </row>
    <row r="357" spans="1:31" hidden="1" x14ac:dyDescent="0.25">
      <c r="I357" t="s">
        <v>1878</v>
      </c>
      <c r="J357" s="2">
        <v>141811</v>
      </c>
      <c r="K357" s="2">
        <v>650</v>
      </c>
      <c r="L357" s="2">
        <v>1</v>
      </c>
      <c r="M357" s="2">
        <v>0</v>
      </c>
      <c r="S357" t="s">
        <v>1881</v>
      </c>
      <c r="U357" t="s">
        <v>45</v>
      </c>
      <c r="V357" t="s">
        <v>46</v>
      </c>
      <c r="W357" t="s">
        <v>1879</v>
      </c>
      <c r="X357" t="s">
        <v>1880</v>
      </c>
      <c r="Y357" t="s">
        <v>72</v>
      </c>
      <c r="Z357" t="s">
        <v>68</v>
      </c>
      <c r="AA357" t="s">
        <v>49</v>
      </c>
      <c r="AC357" s="2"/>
    </row>
    <row r="358" spans="1:31" hidden="1" x14ac:dyDescent="0.25">
      <c r="I358" t="s">
        <v>1878</v>
      </c>
      <c r="J358" s="2">
        <v>32726</v>
      </c>
      <c r="K358" s="2">
        <v>150</v>
      </c>
      <c r="L358" s="2">
        <v>1</v>
      </c>
      <c r="M358" s="2">
        <v>0</v>
      </c>
      <c r="S358" t="s">
        <v>1882</v>
      </c>
      <c r="U358" t="s">
        <v>45</v>
      </c>
      <c r="V358" t="s">
        <v>46</v>
      </c>
      <c r="W358" t="s">
        <v>1332</v>
      </c>
      <c r="X358" t="s">
        <v>1330</v>
      </c>
      <c r="Y358" t="s">
        <v>72</v>
      </c>
      <c r="Z358" t="s">
        <v>68</v>
      </c>
      <c r="AA358" t="s">
        <v>49</v>
      </c>
      <c r="AC358" s="2"/>
    </row>
    <row r="359" spans="1:31" x14ac:dyDescent="0.25">
      <c r="A359" t="s">
        <v>1883</v>
      </c>
      <c r="B359" t="s">
        <v>1884</v>
      </c>
      <c r="C359" t="s">
        <v>1884</v>
      </c>
      <c r="D359" t="s">
        <v>478</v>
      </c>
      <c r="E359" t="s">
        <v>190</v>
      </c>
      <c r="F359" t="s">
        <v>1885</v>
      </c>
      <c r="G359" t="s">
        <v>1410</v>
      </c>
      <c r="H359" t="s">
        <v>349</v>
      </c>
      <c r="I359" t="s">
        <v>1886</v>
      </c>
      <c r="J359" s="2">
        <v>109085</v>
      </c>
      <c r="K359" s="2">
        <v>500</v>
      </c>
      <c r="L359" s="2">
        <v>15</v>
      </c>
      <c r="M359" s="2">
        <v>0</v>
      </c>
      <c r="N359" t="s">
        <v>348</v>
      </c>
      <c r="O359" t="s">
        <v>349</v>
      </c>
      <c r="P359" t="s">
        <v>316</v>
      </c>
      <c r="Q359" t="s">
        <v>317</v>
      </c>
      <c r="S359" t="s">
        <v>1887</v>
      </c>
      <c r="U359" t="s">
        <v>45</v>
      </c>
      <c r="V359" t="s">
        <v>46</v>
      </c>
      <c r="W359" t="s">
        <v>348</v>
      </c>
      <c r="X359" t="s">
        <v>349</v>
      </c>
      <c r="Y359" t="s">
        <v>317</v>
      </c>
      <c r="Z359" t="s">
        <v>349</v>
      </c>
      <c r="AA359" t="s">
        <v>49</v>
      </c>
      <c r="AB359" t="s">
        <v>50</v>
      </c>
      <c r="AC359" s="2">
        <v>-45647.19</v>
      </c>
      <c r="AD359" t="s">
        <v>1888</v>
      </c>
      <c r="AE359" t="s">
        <v>115</v>
      </c>
    </row>
    <row r="360" spans="1:31" x14ac:dyDescent="0.25">
      <c r="A360" t="s">
        <v>1889</v>
      </c>
      <c r="B360" t="s">
        <v>1890</v>
      </c>
      <c r="C360" t="s">
        <v>1890</v>
      </c>
      <c r="D360" t="s">
        <v>153</v>
      </c>
      <c r="E360" t="s">
        <v>272</v>
      </c>
      <c r="F360" t="s">
        <v>1891</v>
      </c>
      <c r="G360" t="s">
        <v>153</v>
      </c>
      <c r="H360" t="s">
        <v>881</v>
      </c>
      <c r="I360" t="s">
        <v>1892</v>
      </c>
      <c r="J360" s="2">
        <v>2181700</v>
      </c>
      <c r="K360" s="2">
        <v>10000</v>
      </c>
      <c r="L360" s="2">
        <v>21</v>
      </c>
      <c r="M360" s="2">
        <v>0</v>
      </c>
      <c r="N360" t="s">
        <v>883</v>
      </c>
      <c r="O360" t="s">
        <v>881</v>
      </c>
      <c r="P360" t="s">
        <v>158</v>
      </c>
      <c r="Q360" t="s">
        <v>159</v>
      </c>
      <c r="S360" t="s">
        <v>1893</v>
      </c>
      <c r="U360" t="s">
        <v>45</v>
      </c>
      <c r="V360" t="s">
        <v>46</v>
      </c>
      <c r="W360" t="s">
        <v>883</v>
      </c>
      <c r="X360" t="s">
        <v>881</v>
      </c>
      <c r="Y360" t="s">
        <v>161</v>
      </c>
      <c r="Z360" t="s">
        <v>162</v>
      </c>
      <c r="AA360" t="s">
        <v>49</v>
      </c>
      <c r="AB360" t="s">
        <v>50</v>
      </c>
      <c r="AC360" s="2">
        <v>1107376.22</v>
      </c>
      <c r="AD360" t="s">
        <v>1894</v>
      </c>
      <c r="AE360" t="s">
        <v>52</v>
      </c>
    </row>
    <row r="361" spans="1:31" x14ac:dyDescent="0.25">
      <c r="A361" t="s">
        <v>1895</v>
      </c>
      <c r="B361" t="s">
        <v>1896</v>
      </c>
      <c r="C361" t="s">
        <v>1897</v>
      </c>
      <c r="D361" t="s">
        <v>478</v>
      </c>
      <c r="E361" t="s">
        <v>190</v>
      </c>
      <c r="F361" t="s">
        <v>505</v>
      </c>
      <c r="G361" t="s">
        <v>873</v>
      </c>
      <c r="H361" t="s">
        <v>1898</v>
      </c>
      <c r="I361" t="s">
        <v>1899</v>
      </c>
      <c r="J361" s="2">
        <v>1745360</v>
      </c>
      <c r="K361" s="2">
        <v>8000</v>
      </c>
      <c r="L361" s="2">
        <v>21</v>
      </c>
      <c r="M361" s="2">
        <v>0</v>
      </c>
      <c r="N361" t="s">
        <v>1900</v>
      </c>
      <c r="O361" t="s">
        <v>1901</v>
      </c>
      <c r="P361" t="s">
        <v>158</v>
      </c>
      <c r="Q361" t="s">
        <v>159</v>
      </c>
      <c r="S361" t="s">
        <v>1902</v>
      </c>
      <c r="U361" t="s">
        <v>45</v>
      </c>
      <c r="V361" t="s">
        <v>46</v>
      </c>
      <c r="W361" t="s">
        <v>1900</v>
      </c>
      <c r="X361" t="s">
        <v>1901</v>
      </c>
      <c r="Y361" t="s">
        <v>161</v>
      </c>
      <c r="Z361" t="s">
        <v>162</v>
      </c>
      <c r="AA361" t="s">
        <v>49</v>
      </c>
      <c r="AB361" t="s">
        <v>50</v>
      </c>
      <c r="AC361" s="2">
        <v>1745360</v>
      </c>
      <c r="AD361" t="s">
        <v>64</v>
      </c>
    </row>
    <row r="362" spans="1:31" x14ac:dyDescent="0.25">
      <c r="A362" t="s">
        <v>1903</v>
      </c>
      <c r="B362" t="s">
        <v>1904</v>
      </c>
      <c r="C362" t="s">
        <v>1904</v>
      </c>
      <c r="D362" t="s">
        <v>153</v>
      </c>
      <c r="E362" t="s">
        <v>272</v>
      </c>
      <c r="F362" t="s">
        <v>1905</v>
      </c>
      <c r="G362" t="s">
        <v>153</v>
      </c>
      <c r="H362" t="s">
        <v>102</v>
      </c>
      <c r="J362" s="2">
        <v>1309020</v>
      </c>
      <c r="K362" s="2">
        <v>6000</v>
      </c>
      <c r="L362" s="2">
        <v>30</v>
      </c>
      <c r="M362" s="2">
        <v>0</v>
      </c>
      <c r="N362" t="s">
        <v>101</v>
      </c>
      <c r="O362" t="s">
        <v>102</v>
      </c>
      <c r="P362" t="s">
        <v>103</v>
      </c>
      <c r="Q362" t="s">
        <v>104</v>
      </c>
      <c r="S362" t="s">
        <v>1906</v>
      </c>
      <c r="U362" t="s">
        <v>45</v>
      </c>
      <c r="V362" t="s">
        <v>46</v>
      </c>
      <c r="W362" t="s">
        <v>101</v>
      </c>
      <c r="X362" t="s">
        <v>102</v>
      </c>
      <c r="Y362" t="s">
        <v>106</v>
      </c>
      <c r="Z362" t="s">
        <v>107</v>
      </c>
      <c r="AA362" t="s">
        <v>49</v>
      </c>
      <c r="AB362" t="s">
        <v>50</v>
      </c>
      <c r="AC362" s="2">
        <v>550462.97</v>
      </c>
      <c r="AD362" t="s">
        <v>1907</v>
      </c>
      <c r="AE362" t="s">
        <v>52</v>
      </c>
    </row>
    <row r="363" spans="1:31" hidden="1" x14ac:dyDescent="0.25">
      <c r="A363" s="10" t="s">
        <v>1908</v>
      </c>
      <c r="B363" s="10" t="s">
        <v>1909</v>
      </c>
      <c r="C363" t="s">
        <v>1909</v>
      </c>
      <c r="D363" t="s">
        <v>55</v>
      </c>
      <c r="E363" t="s">
        <v>56</v>
      </c>
      <c r="F363" t="s">
        <v>1910</v>
      </c>
      <c r="H363" t="s">
        <v>41</v>
      </c>
      <c r="I363" t="s">
        <v>1911</v>
      </c>
      <c r="J363" s="2">
        <v>10800</v>
      </c>
      <c r="K363" s="2">
        <v>0</v>
      </c>
      <c r="L363" s="2">
        <v>15</v>
      </c>
      <c r="M363" s="2">
        <v>0</v>
      </c>
      <c r="N363" t="s">
        <v>40</v>
      </c>
      <c r="O363" t="s">
        <v>41</v>
      </c>
      <c r="P363" t="s">
        <v>61</v>
      </c>
      <c r="Q363" t="s">
        <v>62</v>
      </c>
      <c r="S363" t="s">
        <v>1912</v>
      </c>
      <c r="U363" t="s">
        <v>45</v>
      </c>
      <c r="V363" t="s">
        <v>46</v>
      </c>
      <c r="W363" t="s">
        <v>40</v>
      </c>
      <c r="X363" t="s">
        <v>41</v>
      </c>
      <c r="Y363" t="s">
        <v>47</v>
      </c>
      <c r="Z363" t="s">
        <v>48</v>
      </c>
      <c r="AA363" t="s">
        <v>49</v>
      </c>
      <c r="AB363" t="s">
        <v>142</v>
      </c>
      <c r="AC363" s="2">
        <v>10800</v>
      </c>
      <c r="AD363" t="s">
        <v>64</v>
      </c>
    </row>
    <row r="364" spans="1:31" hidden="1" x14ac:dyDescent="0.25">
      <c r="A364" s="10" t="s">
        <v>1913</v>
      </c>
      <c r="B364" s="10" t="s">
        <v>1914</v>
      </c>
      <c r="C364" t="s">
        <v>1914</v>
      </c>
      <c r="D364" t="s">
        <v>55</v>
      </c>
      <c r="E364" t="s">
        <v>56</v>
      </c>
      <c r="F364" t="s">
        <v>1915</v>
      </c>
      <c r="H364" t="s">
        <v>41</v>
      </c>
      <c r="I364" t="s">
        <v>1916</v>
      </c>
      <c r="J364" s="2">
        <v>1000</v>
      </c>
      <c r="K364" s="2">
        <v>4.33</v>
      </c>
      <c r="L364" s="2">
        <v>21</v>
      </c>
      <c r="M364" s="2">
        <v>0</v>
      </c>
      <c r="N364" t="s">
        <v>40</v>
      </c>
      <c r="O364" t="s">
        <v>41</v>
      </c>
      <c r="P364" t="s">
        <v>61</v>
      </c>
      <c r="Q364" t="s">
        <v>62</v>
      </c>
      <c r="S364" t="s">
        <v>1917</v>
      </c>
      <c r="U364" t="s">
        <v>45</v>
      </c>
      <c r="V364" t="s">
        <v>46</v>
      </c>
      <c r="W364" t="s">
        <v>40</v>
      </c>
      <c r="X364" t="s">
        <v>41</v>
      </c>
      <c r="Y364" t="s">
        <v>47</v>
      </c>
      <c r="Z364" t="s">
        <v>48</v>
      </c>
      <c r="AA364" t="s">
        <v>49</v>
      </c>
      <c r="AB364" t="s">
        <v>142</v>
      </c>
      <c r="AC364" s="2">
        <v>1000</v>
      </c>
      <c r="AD364" t="s">
        <v>64</v>
      </c>
    </row>
    <row r="365" spans="1:31" hidden="1" x14ac:dyDescent="0.25">
      <c r="A365" t="s">
        <v>1918</v>
      </c>
      <c r="B365" t="s">
        <v>1919</v>
      </c>
      <c r="C365" t="s">
        <v>1919</v>
      </c>
      <c r="F365" t="s">
        <v>1920</v>
      </c>
      <c r="H365" t="s">
        <v>881</v>
      </c>
      <c r="I365" t="s">
        <v>1921</v>
      </c>
      <c r="J365" s="2">
        <v>1000</v>
      </c>
      <c r="K365" s="2">
        <v>0</v>
      </c>
      <c r="L365" s="2">
        <v>1</v>
      </c>
      <c r="M365" s="2">
        <v>0</v>
      </c>
      <c r="N365" t="s">
        <v>883</v>
      </c>
      <c r="O365" t="s">
        <v>881</v>
      </c>
      <c r="P365" t="s">
        <v>158</v>
      </c>
      <c r="Q365" t="s">
        <v>159</v>
      </c>
      <c r="S365" t="s">
        <v>1922</v>
      </c>
      <c r="U365" t="s">
        <v>45</v>
      </c>
      <c r="V365" t="s">
        <v>46</v>
      </c>
      <c r="W365" t="s">
        <v>883</v>
      </c>
      <c r="X365" t="s">
        <v>881</v>
      </c>
      <c r="Y365" t="s">
        <v>161</v>
      </c>
      <c r="Z365" t="s">
        <v>162</v>
      </c>
      <c r="AA365" t="s">
        <v>49</v>
      </c>
      <c r="AB365" t="s">
        <v>50</v>
      </c>
      <c r="AC365" s="2">
        <v>1000</v>
      </c>
      <c r="AD365" t="s">
        <v>64</v>
      </c>
    </row>
    <row r="366" spans="1:31" hidden="1" x14ac:dyDescent="0.25">
      <c r="I366" t="s">
        <v>1923</v>
      </c>
      <c r="J366" s="2">
        <v>18500</v>
      </c>
      <c r="K366" s="2">
        <v>0</v>
      </c>
      <c r="L366" s="2">
        <v>21</v>
      </c>
      <c r="M366" s="2">
        <v>0</v>
      </c>
      <c r="S366" t="s">
        <v>1924</v>
      </c>
      <c r="U366" t="s">
        <v>45</v>
      </c>
      <c r="V366" t="s">
        <v>46</v>
      </c>
      <c r="W366" t="s">
        <v>1730</v>
      </c>
      <c r="X366" t="s">
        <v>1728</v>
      </c>
      <c r="Y366" t="s">
        <v>121</v>
      </c>
      <c r="Z366" t="s">
        <v>94</v>
      </c>
      <c r="AA366" t="s">
        <v>49</v>
      </c>
      <c r="AC366" s="2"/>
    </row>
    <row r="367" spans="1:31" x14ac:dyDescent="0.25">
      <c r="A367" t="s">
        <v>1925</v>
      </c>
      <c r="B367" t="s">
        <v>1926</v>
      </c>
      <c r="C367" t="s">
        <v>1926</v>
      </c>
      <c r="D367" t="s">
        <v>153</v>
      </c>
      <c r="E367" t="s">
        <v>272</v>
      </c>
      <c r="F367" t="s">
        <v>1927</v>
      </c>
      <c r="G367" t="s">
        <v>153</v>
      </c>
      <c r="H367" t="s">
        <v>1222</v>
      </c>
      <c r="I367" t="s">
        <v>1928</v>
      </c>
      <c r="J367" s="2">
        <v>189472</v>
      </c>
      <c r="K367" s="2">
        <v>800</v>
      </c>
      <c r="L367" s="2">
        <v>10</v>
      </c>
      <c r="M367" s="2">
        <v>0</v>
      </c>
      <c r="N367" t="s">
        <v>1221</v>
      </c>
      <c r="O367" t="s">
        <v>1222</v>
      </c>
      <c r="P367" t="s">
        <v>205</v>
      </c>
      <c r="Q367" t="s">
        <v>206</v>
      </c>
      <c r="S367" t="s">
        <v>1929</v>
      </c>
      <c r="U367" t="s">
        <v>45</v>
      </c>
      <c r="V367" t="s">
        <v>46</v>
      </c>
      <c r="W367" t="s">
        <v>1221</v>
      </c>
      <c r="X367" t="s">
        <v>1222</v>
      </c>
      <c r="Y367" t="s">
        <v>161</v>
      </c>
      <c r="Z367" t="s">
        <v>162</v>
      </c>
      <c r="AA367" t="s">
        <v>49</v>
      </c>
      <c r="AB367" t="s">
        <v>50</v>
      </c>
      <c r="AC367" s="2">
        <v>169881.63</v>
      </c>
      <c r="AD367" t="s">
        <v>1930</v>
      </c>
      <c r="AE367" t="s">
        <v>52</v>
      </c>
    </row>
    <row r="368" spans="1:31" x14ac:dyDescent="0.25">
      <c r="A368" t="s">
        <v>1931</v>
      </c>
      <c r="B368" t="s">
        <v>1932</v>
      </c>
      <c r="C368" t="s">
        <v>1932</v>
      </c>
      <c r="D368" t="s">
        <v>35</v>
      </c>
      <c r="E368" t="s">
        <v>36</v>
      </c>
      <c r="F368" t="s">
        <v>1933</v>
      </c>
      <c r="G368" t="s">
        <v>153</v>
      </c>
      <c r="H368" t="s">
        <v>41</v>
      </c>
      <c r="I368" t="s">
        <v>1934</v>
      </c>
      <c r="J368" s="2">
        <v>287356</v>
      </c>
      <c r="K368" s="2">
        <v>1182</v>
      </c>
      <c r="L368" s="2">
        <v>21</v>
      </c>
      <c r="M368" s="2">
        <v>0</v>
      </c>
      <c r="N368" t="s">
        <v>40</v>
      </c>
      <c r="O368" t="s">
        <v>41</v>
      </c>
      <c r="P368" t="s">
        <v>61</v>
      </c>
      <c r="Q368" t="s">
        <v>62</v>
      </c>
      <c r="S368" t="s">
        <v>1935</v>
      </c>
      <c r="U368" t="s">
        <v>45</v>
      </c>
      <c r="V368" t="s">
        <v>46</v>
      </c>
      <c r="W368" t="s">
        <v>40</v>
      </c>
      <c r="X368" t="s">
        <v>41</v>
      </c>
      <c r="Y368" t="s">
        <v>47</v>
      </c>
      <c r="Z368" t="s">
        <v>48</v>
      </c>
      <c r="AA368" t="s">
        <v>49</v>
      </c>
      <c r="AB368" t="s">
        <v>50</v>
      </c>
      <c r="AC368" s="2">
        <v>-56419.91</v>
      </c>
      <c r="AD368" t="s">
        <v>1936</v>
      </c>
      <c r="AE368" t="s">
        <v>52</v>
      </c>
    </row>
    <row r="369" spans="1:31" x14ac:dyDescent="0.25">
      <c r="A369" t="s">
        <v>1937</v>
      </c>
      <c r="B369" t="s">
        <v>1938</v>
      </c>
      <c r="C369" t="s">
        <v>1938</v>
      </c>
      <c r="D369" t="s">
        <v>1939</v>
      </c>
      <c r="E369" t="s">
        <v>224</v>
      </c>
      <c r="F369" t="s">
        <v>1940</v>
      </c>
      <c r="G369" t="s">
        <v>1941</v>
      </c>
      <c r="H369" t="s">
        <v>437</v>
      </c>
      <c r="I369" t="s">
        <v>1942</v>
      </c>
      <c r="J369" s="2">
        <v>87268</v>
      </c>
      <c r="K369" s="2">
        <v>400</v>
      </c>
      <c r="L369" s="2">
        <v>15</v>
      </c>
      <c r="M369" s="2">
        <v>0</v>
      </c>
      <c r="N369" t="s">
        <v>436</v>
      </c>
      <c r="O369" t="s">
        <v>437</v>
      </c>
      <c r="P369" t="s">
        <v>316</v>
      </c>
      <c r="Q369" t="s">
        <v>317</v>
      </c>
      <c r="S369" t="s">
        <v>1943</v>
      </c>
      <c r="U369" t="s">
        <v>45</v>
      </c>
      <c r="V369" t="s">
        <v>46</v>
      </c>
      <c r="W369" t="s">
        <v>436</v>
      </c>
      <c r="X369" t="s">
        <v>437</v>
      </c>
      <c r="Y369" t="s">
        <v>47</v>
      </c>
      <c r="Z369" t="s">
        <v>48</v>
      </c>
      <c r="AA369" t="s">
        <v>49</v>
      </c>
      <c r="AB369" t="s">
        <v>50</v>
      </c>
      <c r="AC369" s="2">
        <v>62884.53</v>
      </c>
      <c r="AD369" t="s">
        <v>1944</v>
      </c>
    </row>
    <row r="370" spans="1:31" x14ac:dyDescent="0.25">
      <c r="A370" t="s">
        <v>1945</v>
      </c>
      <c r="B370" t="s">
        <v>1946</v>
      </c>
      <c r="C370" t="s">
        <v>1946</v>
      </c>
      <c r="D370" t="s">
        <v>153</v>
      </c>
      <c r="E370" t="s">
        <v>272</v>
      </c>
      <c r="F370" t="s">
        <v>1947</v>
      </c>
      <c r="G370" t="s">
        <v>153</v>
      </c>
      <c r="H370" t="s">
        <v>1557</v>
      </c>
      <c r="I370" t="s">
        <v>1948</v>
      </c>
      <c r="J370" s="2">
        <v>391930</v>
      </c>
      <c r="K370" s="2">
        <v>1750</v>
      </c>
      <c r="L370" s="2">
        <v>15</v>
      </c>
      <c r="M370" s="2">
        <v>0</v>
      </c>
      <c r="N370" t="s">
        <v>1556</v>
      </c>
      <c r="O370" t="s">
        <v>1557</v>
      </c>
      <c r="P370" t="s">
        <v>316</v>
      </c>
      <c r="Q370" t="s">
        <v>317</v>
      </c>
      <c r="S370" t="s">
        <v>1949</v>
      </c>
      <c r="U370" t="s">
        <v>45</v>
      </c>
      <c r="V370" t="s">
        <v>46</v>
      </c>
      <c r="W370" t="s">
        <v>1556</v>
      </c>
      <c r="X370" t="s">
        <v>1557</v>
      </c>
      <c r="Y370" t="s">
        <v>317</v>
      </c>
      <c r="Z370" t="s">
        <v>349</v>
      </c>
      <c r="AA370" t="s">
        <v>49</v>
      </c>
      <c r="AB370" t="s">
        <v>50</v>
      </c>
      <c r="AC370" s="2">
        <v>227380.72</v>
      </c>
      <c r="AD370" t="s">
        <v>1950</v>
      </c>
      <c r="AE370" t="s">
        <v>52</v>
      </c>
    </row>
    <row r="371" spans="1:31" hidden="1" x14ac:dyDescent="0.25">
      <c r="I371" t="s">
        <v>1809</v>
      </c>
      <c r="J371" s="2">
        <v>25687</v>
      </c>
      <c r="K371" s="2">
        <v>0</v>
      </c>
      <c r="L371" s="2">
        <v>15</v>
      </c>
      <c r="M371" s="2">
        <v>0</v>
      </c>
      <c r="S371" t="s">
        <v>1951</v>
      </c>
      <c r="U371" t="s">
        <v>45</v>
      </c>
      <c r="V371" t="s">
        <v>46</v>
      </c>
      <c r="W371" t="s">
        <v>585</v>
      </c>
      <c r="X371" t="s">
        <v>584</v>
      </c>
      <c r="Y371" t="s">
        <v>161</v>
      </c>
      <c r="Z371" t="s">
        <v>162</v>
      </c>
      <c r="AA371" t="s">
        <v>49</v>
      </c>
      <c r="AC371" s="2"/>
    </row>
    <row r="372" spans="1:31" hidden="1" x14ac:dyDescent="0.25">
      <c r="I372" t="s">
        <v>1953</v>
      </c>
      <c r="J372" s="2">
        <v>1000</v>
      </c>
      <c r="K372" s="2">
        <v>0</v>
      </c>
      <c r="L372" s="2">
        <v>1</v>
      </c>
      <c r="M372" s="2">
        <v>0</v>
      </c>
      <c r="S372" t="s">
        <v>1955</v>
      </c>
      <c r="U372" t="s">
        <v>45</v>
      </c>
      <c r="V372" t="s">
        <v>46</v>
      </c>
      <c r="W372" t="s">
        <v>1954</v>
      </c>
      <c r="X372" t="s">
        <v>1952</v>
      </c>
      <c r="Y372" t="s">
        <v>47</v>
      </c>
      <c r="Z372" t="s">
        <v>48</v>
      </c>
      <c r="AA372" t="s">
        <v>49</v>
      </c>
      <c r="AC372" s="2"/>
    </row>
    <row r="373" spans="1:31" x14ac:dyDescent="0.25">
      <c r="A373" t="s">
        <v>1956</v>
      </c>
      <c r="B373" t="s">
        <v>1957</v>
      </c>
      <c r="C373" t="s">
        <v>1957</v>
      </c>
      <c r="D373" t="s">
        <v>1958</v>
      </c>
      <c r="E373" t="s">
        <v>77</v>
      </c>
      <c r="F373" t="s">
        <v>1959</v>
      </c>
      <c r="G373" t="s">
        <v>1960</v>
      </c>
      <c r="H373" t="s">
        <v>1961</v>
      </c>
      <c r="I373" t="s">
        <v>1962</v>
      </c>
      <c r="J373" s="2">
        <v>43634</v>
      </c>
      <c r="K373" s="2">
        <v>200</v>
      </c>
      <c r="L373" s="2">
        <v>1</v>
      </c>
      <c r="M373" s="2">
        <v>0</v>
      </c>
      <c r="N373" t="s">
        <v>1592</v>
      </c>
      <c r="O373" t="s">
        <v>280</v>
      </c>
      <c r="P373" t="s">
        <v>103</v>
      </c>
      <c r="Q373" t="s">
        <v>104</v>
      </c>
      <c r="S373" t="s">
        <v>1963</v>
      </c>
      <c r="U373" t="s">
        <v>45</v>
      </c>
      <c r="V373" t="s">
        <v>46</v>
      </c>
      <c r="W373" t="s">
        <v>1592</v>
      </c>
      <c r="X373" t="s">
        <v>280</v>
      </c>
      <c r="Y373" t="s">
        <v>106</v>
      </c>
      <c r="Z373" t="s">
        <v>107</v>
      </c>
      <c r="AA373" t="s">
        <v>49</v>
      </c>
      <c r="AB373" t="s">
        <v>50</v>
      </c>
      <c r="AC373" s="2">
        <v>43634</v>
      </c>
      <c r="AD373" t="s">
        <v>64</v>
      </c>
    </row>
    <row r="374" spans="1:31" hidden="1" x14ac:dyDescent="0.25">
      <c r="I374" t="s">
        <v>1964</v>
      </c>
      <c r="J374" s="2">
        <v>218</v>
      </c>
      <c r="K374" s="2">
        <v>1</v>
      </c>
      <c r="L374" s="2">
        <v>1</v>
      </c>
      <c r="M374" s="2">
        <v>0</v>
      </c>
      <c r="S374" t="s">
        <v>1965</v>
      </c>
      <c r="U374" t="s">
        <v>45</v>
      </c>
      <c r="V374" t="s">
        <v>46</v>
      </c>
      <c r="W374" t="s">
        <v>80</v>
      </c>
      <c r="X374" t="s">
        <v>81</v>
      </c>
      <c r="Y374" t="s">
        <v>85</v>
      </c>
      <c r="Z374" t="s">
        <v>86</v>
      </c>
      <c r="AA374" t="s">
        <v>49</v>
      </c>
      <c r="AC374" s="2"/>
    </row>
    <row r="375" spans="1:31" x14ac:dyDescent="0.25">
      <c r="A375" t="s">
        <v>1966</v>
      </c>
      <c r="B375" t="s">
        <v>1967</v>
      </c>
      <c r="C375" t="s">
        <v>1967</v>
      </c>
      <c r="D375" t="s">
        <v>178</v>
      </c>
      <c r="E375" t="s">
        <v>179</v>
      </c>
      <c r="F375" t="s">
        <v>1968</v>
      </c>
      <c r="G375" t="s">
        <v>178</v>
      </c>
      <c r="H375" t="s">
        <v>1969</v>
      </c>
      <c r="I375" t="s">
        <v>1970</v>
      </c>
      <c r="J375" s="2">
        <v>168063</v>
      </c>
      <c r="K375" s="2">
        <v>690</v>
      </c>
      <c r="L375" s="2">
        <v>30</v>
      </c>
      <c r="M375" s="2">
        <v>0</v>
      </c>
      <c r="N375" t="s">
        <v>664</v>
      </c>
      <c r="O375" t="s">
        <v>665</v>
      </c>
      <c r="P375" t="s">
        <v>103</v>
      </c>
      <c r="Q375" t="s">
        <v>104</v>
      </c>
      <c r="S375" t="s">
        <v>1971</v>
      </c>
      <c r="U375" t="s">
        <v>45</v>
      </c>
      <c r="V375" t="s">
        <v>46</v>
      </c>
      <c r="W375" t="s">
        <v>664</v>
      </c>
      <c r="X375" t="s">
        <v>665</v>
      </c>
      <c r="Y375" t="s">
        <v>106</v>
      </c>
      <c r="Z375" t="s">
        <v>107</v>
      </c>
      <c r="AA375" t="s">
        <v>49</v>
      </c>
      <c r="AB375" t="s">
        <v>50</v>
      </c>
      <c r="AC375" s="2">
        <v>4598.33</v>
      </c>
      <c r="AD375" t="s">
        <v>1972</v>
      </c>
      <c r="AE375" t="s">
        <v>52</v>
      </c>
    </row>
    <row r="376" spans="1:31" x14ac:dyDescent="0.25">
      <c r="A376" t="s">
        <v>1973</v>
      </c>
      <c r="B376" t="s">
        <v>1974</v>
      </c>
      <c r="C376" t="s">
        <v>1974</v>
      </c>
      <c r="D376" t="s">
        <v>569</v>
      </c>
      <c r="E376" t="s">
        <v>570</v>
      </c>
      <c r="F376" t="s">
        <v>1975</v>
      </c>
      <c r="G376" t="s">
        <v>297</v>
      </c>
      <c r="H376" t="s">
        <v>38</v>
      </c>
      <c r="I376" t="s">
        <v>1976</v>
      </c>
      <c r="J376" s="2">
        <v>130902</v>
      </c>
      <c r="K376" s="2">
        <v>600</v>
      </c>
      <c r="L376" s="2">
        <v>15</v>
      </c>
      <c r="M376" s="2">
        <v>0</v>
      </c>
      <c r="N376" t="s">
        <v>40</v>
      </c>
      <c r="O376" t="s">
        <v>41</v>
      </c>
      <c r="P376" t="s">
        <v>61</v>
      </c>
      <c r="Q376" t="s">
        <v>62</v>
      </c>
      <c r="S376" t="s">
        <v>1977</v>
      </c>
      <c r="U376" t="s">
        <v>45</v>
      </c>
      <c r="V376" t="s">
        <v>46</v>
      </c>
      <c r="W376" t="s">
        <v>40</v>
      </c>
      <c r="X376" t="s">
        <v>41</v>
      </c>
      <c r="Y376" t="s">
        <v>47</v>
      </c>
      <c r="Z376" t="s">
        <v>48</v>
      </c>
      <c r="AA376" t="s">
        <v>49</v>
      </c>
      <c r="AB376" t="s">
        <v>50</v>
      </c>
      <c r="AC376" s="2">
        <v>107973.19</v>
      </c>
      <c r="AD376" t="s">
        <v>1978</v>
      </c>
      <c r="AE376" t="s">
        <v>52</v>
      </c>
    </row>
    <row r="377" spans="1:31" x14ac:dyDescent="0.25">
      <c r="A377" t="s">
        <v>1979</v>
      </c>
      <c r="B377" t="s">
        <v>1980</v>
      </c>
      <c r="C377" t="s">
        <v>1980</v>
      </c>
      <c r="D377" t="s">
        <v>153</v>
      </c>
      <c r="E377" t="s">
        <v>272</v>
      </c>
      <c r="F377" t="s">
        <v>1981</v>
      </c>
      <c r="G377" t="s">
        <v>553</v>
      </c>
      <c r="H377" t="s">
        <v>265</v>
      </c>
      <c r="I377" t="s">
        <v>1982</v>
      </c>
      <c r="J377" s="2">
        <v>109085</v>
      </c>
      <c r="K377" s="2">
        <v>500</v>
      </c>
      <c r="L377" s="2">
        <v>15</v>
      </c>
      <c r="M377" s="2">
        <v>0</v>
      </c>
      <c r="N377" t="s">
        <v>267</v>
      </c>
      <c r="O377" t="s">
        <v>268</v>
      </c>
      <c r="P377" t="s">
        <v>103</v>
      </c>
      <c r="Q377" t="s">
        <v>104</v>
      </c>
      <c r="S377" t="s">
        <v>1983</v>
      </c>
      <c r="U377" t="s">
        <v>45</v>
      </c>
      <c r="V377" t="s">
        <v>46</v>
      </c>
      <c r="W377" t="s">
        <v>267</v>
      </c>
      <c r="X377" t="s">
        <v>268</v>
      </c>
      <c r="Y377" t="s">
        <v>106</v>
      </c>
      <c r="Z377" t="s">
        <v>107</v>
      </c>
      <c r="AA377" t="s">
        <v>49</v>
      </c>
      <c r="AB377" t="s">
        <v>50</v>
      </c>
      <c r="AC377" s="2">
        <v>60185.01</v>
      </c>
      <c r="AD377" t="s">
        <v>1984</v>
      </c>
      <c r="AE377" t="s">
        <v>115</v>
      </c>
    </row>
    <row r="378" spans="1:31" x14ac:dyDescent="0.25">
      <c r="A378" t="s">
        <v>1985</v>
      </c>
      <c r="B378" t="s">
        <v>1986</v>
      </c>
      <c r="C378" t="s">
        <v>1986</v>
      </c>
      <c r="D378" t="s">
        <v>498</v>
      </c>
      <c r="E378" t="s">
        <v>190</v>
      </c>
      <c r="F378" t="s">
        <v>1987</v>
      </c>
      <c r="H378" t="s">
        <v>1988</v>
      </c>
      <c r="I378" t="s">
        <v>1989</v>
      </c>
      <c r="J378" s="2">
        <v>33279</v>
      </c>
      <c r="K378" s="2">
        <v>0</v>
      </c>
      <c r="L378" s="2">
        <v>15</v>
      </c>
      <c r="M378" s="2">
        <v>0</v>
      </c>
      <c r="N378" t="s">
        <v>1306</v>
      </c>
      <c r="O378" t="s">
        <v>1304</v>
      </c>
      <c r="P378" t="s">
        <v>120</v>
      </c>
      <c r="Q378" t="s">
        <v>121</v>
      </c>
      <c r="S378" t="s">
        <v>1990</v>
      </c>
      <c r="U378" t="s">
        <v>45</v>
      </c>
      <c r="V378" t="s">
        <v>46</v>
      </c>
      <c r="W378" t="s">
        <v>1306</v>
      </c>
      <c r="X378" t="s">
        <v>1304</v>
      </c>
      <c r="Y378" t="s">
        <v>121</v>
      </c>
      <c r="Z378" t="s">
        <v>94</v>
      </c>
      <c r="AA378" t="s">
        <v>49</v>
      </c>
      <c r="AB378" t="s">
        <v>50</v>
      </c>
      <c r="AC378" s="2">
        <v>12036.64</v>
      </c>
      <c r="AD378" t="s">
        <v>1991</v>
      </c>
      <c r="AE378" t="s">
        <v>115</v>
      </c>
    </row>
    <row r="379" spans="1:31" hidden="1" x14ac:dyDescent="0.25">
      <c r="A379" s="10" t="s">
        <v>1992</v>
      </c>
      <c r="B379" s="10" t="s">
        <v>1993</v>
      </c>
      <c r="C379" t="s">
        <v>1994</v>
      </c>
      <c r="D379" t="s">
        <v>1995</v>
      </c>
      <c r="E379" t="s">
        <v>77</v>
      </c>
      <c r="F379" t="s">
        <v>1996</v>
      </c>
      <c r="H379" t="s">
        <v>358</v>
      </c>
      <c r="I379" t="s">
        <v>1997</v>
      </c>
      <c r="J379" s="2">
        <v>327255</v>
      </c>
      <c r="K379" s="2">
        <v>1500</v>
      </c>
      <c r="L379" s="2">
        <v>30</v>
      </c>
      <c r="M379" s="2">
        <v>0</v>
      </c>
      <c r="N379" t="s">
        <v>360</v>
      </c>
      <c r="O379" t="s">
        <v>361</v>
      </c>
      <c r="P379" t="s">
        <v>61</v>
      </c>
      <c r="Q379" t="s">
        <v>62</v>
      </c>
      <c r="S379" t="s">
        <v>1998</v>
      </c>
      <c r="U379" t="s">
        <v>45</v>
      </c>
      <c r="V379" t="s">
        <v>46</v>
      </c>
      <c r="W379" t="s">
        <v>360</v>
      </c>
      <c r="X379" t="s">
        <v>361</v>
      </c>
      <c r="Y379" t="s">
        <v>47</v>
      </c>
      <c r="Z379" t="s">
        <v>48</v>
      </c>
      <c r="AA379" t="s">
        <v>49</v>
      </c>
      <c r="AB379" t="s">
        <v>142</v>
      </c>
      <c r="AC379" s="2">
        <v>327255</v>
      </c>
      <c r="AD379" t="s">
        <v>64</v>
      </c>
    </row>
    <row r="380" spans="1:31" x14ac:dyDescent="0.25">
      <c r="A380" t="s">
        <v>1999</v>
      </c>
      <c r="B380" t="s">
        <v>2000</v>
      </c>
      <c r="C380" t="s">
        <v>2000</v>
      </c>
      <c r="D380" t="s">
        <v>125</v>
      </c>
      <c r="E380" t="s">
        <v>126</v>
      </c>
      <c r="F380" t="s">
        <v>2001</v>
      </c>
      <c r="G380" t="s">
        <v>153</v>
      </c>
      <c r="H380" t="s">
        <v>2002</v>
      </c>
      <c r="J380" s="2">
        <v>2618040</v>
      </c>
      <c r="K380" s="2">
        <v>12000</v>
      </c>
      <c r="L380" s="2">
        <v>30</v>
      </c>
      <c r="M380" s="2">
        <v>0</v>
      </c>
      <c r="N380" t="s">
        <v>101</v>
      </c>
      <c r="O380" t="s">
        <v>102</v>
      </c>
      <c r="P380" t="s">
        <v>103</v>
      </c>
      <c r="Q380" t="s">
        <v>104</v>
      </c>
      <c r="S380" t="s">
        <v>2003</v>
      </c>
      <c r="U380" t="s">
        <v>45</v>
      </c>
      <c r="V380" t="s">
        <v>46</v>
      </c>
      <c r="W380" t="s">
        <v>101</v>
      </c>
      <c r="X380" t="s">
        <v>102</v>
      </c>
      <c r="Y380" t="s">
        <v>106</v>
      </c>
      <c r="Z380" t="s">
        <v>107</v>
      </c>
      <c r="AA380" t="s">
        <v>49</v>
      </c>
      <c r="AB380" t="s">
        <v>50</v>
      </c>
      <c r="AC380" s="2">
        <v>950974.1</v>
      </c>
      <c r="AD380" t="s">
        <v>2004</v>
      </c>
      <c r="AE380" t="s">
        <v>52</v>
      </c>
    </row>
    <row r="381" spans="1:31" x14ac:dyDescent="0.25">
      <c r="A381" t="s">
        <v>2005</v>
      </c>
      <c r="B381" t="s">
        <v>2006</v>
      </c>
      <c r="C381" t="s">
        <v>2006</v>
      </c>
      <c r="D381" t="s">
        <v>125</v>
      </c>
      <c r="E381" t="s">
        <v>126</v>
      </c>
      <c r="F381" t="s">
        <v>2007</v>
      </c>
      <c r="G381" t="s">
        <v>35</v>
      </c>
      <c r="H381" t="s">
        <v>1062</v>
      </c>
      <c r="I381" t="s">
        <v>2008</v>
      </c>
      <c r="J381" s="2">
        <v>247410</v>
      </c>
      <c r="K381" s="2">
        <v>1000</v>
      </c>
      <c r="L381" s="2">
        <v>21</v>
      </c>
      <c r="M381" s="2">
        <v>0</v>
      </c>
      <c r="N381" t="s">
        <v>1064</v>
      </c>
      <c r="O381" t="s">
        <v>1062</v>
      </c>
      <c r="P381" t="s">
        <v>304</v>
      </c>
      <c r="Q381" t="s">
        <v>72</v>
      </c>
      <c r="S381" t="s">
        <v>2009</v>
      </c>
      <c r="U381" t="s">
        <v>45</v>
      </c>
      <c r="V381" t="s">
        <v>46</v>
      </c>
      <c r="W381" t="s">
        <v>1064</v>
      </c>
      <c r="X381" t="s">
        <v>1062</v>
      </c>
      <c r="Y381" t="s">
        <v>72</v>
      </c>
      <c r="Z381" t="s">
        <v>68</v>
      </c>
      <c r="AA381" t="s">
        <v>49</v>
      </c>
      <c r="AB381" t="s">
        <v>50</v>
      </c>
      <c r="AC381" s="2">
        <v>134641.69</v>
      </c>
      <c r="AD381" t="s">
        <v>2010</v>
      </c>
      <c r="AE381" t="s">
        <v>52</v>
      </c>
    </row>
    <row r="382" spans="1:31" hidden="1" x14ac:dyDescent="0.25">
      <c r="J382" s="2">
        <v>21817</v>
      </c>
      <c r="K382" s="2">
        <v>100</v>
      </c>
      <c r="L382" s="2">
        <v>1</v>
      </c>
      <c r="M382" s="2">
        <v>0</v>
      </c>
      <c r="S382" t="s">
        <v>2011</v>
      </c>
      <c r="U382" t="s">
        <v>45</v>
      </c>
      <c r="V382" t="s">
        <v>46</v>
      </c>
      <c r="W382" t="s">
        <v>1362</v>
      </c>
      <c r="X382" t="s">
        <v>1360</v>
      </c>
      <c r="Y382" t="s">
        <v>1215</v>
      </c>
      <c r="Z382" t="s">
        <v>1216</v>
      </c>
      <c r="AA382" t="s">
        <v>49</v>
      </c>
      <c r="AC382" s="2"/>
    </row>
    <row r="383" spans="1:31" hidden="1" x14ac:dyDescent="0.25">
      <c r="J383" s="2">
        <v>109085</v>
      </c>
      <c r="K383" s="2">
        <v>500</v>
      </c>
      <c r="L383" s="2">
        <v>15</v>
      </c>
      <c r="M383" s="2">
        <v>0</v>
      </c>
      <c r="S383" t="s">
        <v>2014</v>
      </c>
      <c r="U383" t="s">
        <v>45</v>
      </c>
      <c r="V383" t="s">
        <v>46</v>
      </c>
      <c r="W383" t="s">
        <v>2013</v>
      </c>
      <c r="X383" t="s">
        <v>2012</v>
      </c>
      <c r="Y383" t="s">
        <v>47</v>
      </c>
      <c r="Z383" t="s">
        <v>48</v>
      </c>
      <c r="AA383" t="s">
        <v>49</v>
      </c>
      <c r="AC383" s="2"/>
    </row>
    <row r="384" spans="1:31" x14ac:dyDescent="0.25">
      <c r="A384" t="s">
        <v>2015</v>
      </c>
      <c r="B384" t="s">
        <v>2016</v>
      </c>
      <c r="C384" t="s">
        <v>2016</v>
      </c>
      <c r="D384" t="s">
        <v>299</v>
      </c>
      <c r="E384" t="s">
        <v>167</v>
      </c>
      <c r="F384" t="s">
        <v>2017</v>
      </c>
      <c r="G384" t="s">
        <v>299</v>
      </c>
      <c r="H384" t="s">
        <v>1062</v>
      </c>
      <c r="I384" t="s">
        <v>2018</v>
      </c>
      <c r="J384" s="2">
        <v>339195</v>
      </c>
      <c r="K384" s="2">
        <v>1500</v>
      </c>
      <c r="L384" s="2">
        <v>15</v>
      </c>
      <c r="M384" s="2">
        <v>0</v>
      </c>
      <c r="N384" t="s">
        <v>1064</v>
      </c>
      <c r="O384" t="s">
        <v>1062</v>
      </c>
      <c r="P384" t="s">
        <v>304</v>
      </c>
      <c r="Q384" t="s">
        <v>72</v>
      </c>
      <c r="S384" t="s">
        <v>2019</v>
      </c>
      <c r="U384" t="s">
        <v>45</v>
      </c>
      <c r="V384" t="s">
        <v>46</v>
      </c>
      <c r="W384" t="s">
        <v>1064</v>
      </c>
      <c r="X384" t="s">
        <v>1062</v>
      </c>
      <c r="Y384" t="s">
        <v>72</v>
      </c>
      <c r="Z384" t="s">
        <v>68</v>
      </c>
      <c r="AA384" t="s">
        <v>49</v>
      </c>
      <c r="AB384" t="s">
        <v>50</v>
      </c>
      <c r="AC384" s="2">
        <v>302070.87</v>
      </c>
      <c r="AD384" t="s">
        <v>2020</v>
      </c>
      <c r="AE384" t="s">
        <v>52</v>
      </c>
    </row>
    <row r="385" spans="1:31" x14ac:dyDescent="0.25">
      <c r="A385" t="s">
        <v>2021</v>
      </c>
      <c r="B385" t="s">
        <v>2022</v>
      </c>
      <c r="C385" t="s">
        <v>2022</v>
      </c>
      <c r="D385" t="s">
        <v>153</v>
      </c>
      <c r="E385" t="s">
        <v>272</v>
      </c>
      <c r="F385" t="s">
        <v>2023</v>
      </c>
      <c r="G385" t="s">
        <v>153</v>
      </c>
      <c r="H385" t="s">
        <v>443</v>
      </c>
      <c r="I385" t="s">
        <v>2024</v>
      </c>
      <c r="J385" s="2">
        <v>65451</v>
      </c>
      <c r="K385" s="2">
        <v>300</v>
      </c>
      <c r="L385" s="2">
        <v>10</v>
      </c>
      <c r="M385" s="2">
        <v>0</v>
      </c>
      <c r="N385" t="s">
        <v>445</v>
      </c>
      <c r="O385" t="s">
        <v>446</v>
      </c>
      <c r="P385" t="s">
        <v>69</v>
      </c>
      <c r="Q385" t="s">
        <v>70</v>
      </c>
      <c r="S385" t="s">
        <v>2025</v>
      </c>
      <c r="U385" t="s">
        <v>45</v>
      </c>
      <c r="V385" t="s">
        <v>46</v>
      </c>
      <c r="W385" t="s">
        <v>445</v>
      </c>
      <c r="X385" t="s">
        <v>446</v>
      </c>
      <c r="Y385" t="s">
        <v>72</v>
      </c>
      <c r="Z385" t="s">
        <v>68</v>
      </c>
      <c r="AA385" t="s">
        <v>49</v>
      </c>
      <c r="AB385" t="s">
        <v>50</v>
      </c>
      <c r="AC385" s="2">
        <v>38316.959999999999</v>
      </c>
      <c r="AD385" t="s">
        <v>2026</v>
      </c>
      <c r="AE385" t="s">
        <v>52</v>
      </c>
    </row>
    <row r="386" spans="1:31" x14ac:dyDescent="0.25">
      <c r="A386" t="s">
        <v>2027</v>
      </c>
      <c r="B386" t="s">
        <v>2028</v>
      </c>
      <c r="C386" t="s">
        <v>2028</v>
      </c>
      <c r="D386" t="s">
        <v>153</v>
      </c>
      <c r="E386" t="s">
        <v>272</v>
      </c>
      <c r="F386" t="s">
        <v>2029</v>
      </c>
      <c r="G386" t="s">
        <v>98</v>
      </c>
      <c r="H386" t="s">
        <v>312</v>
      </c>
      <c r="I386" t="s">
        <v>2030</v>
      </c>
      <c r="J386" s="2">
        <v>196353</v>
      </c>
      <c r="K386" s="2">
        <v>900</v>
      </c>
      <c r="L386" s="2">
        <v>18</v>
      </c>
      <c r="M386" s="2">
        <v>0</v>
      </c>
      <c r="N386" t="s">
        <v>314</v>
      </c>
      <c r="O386" t="s">
        <v>315</v>
      </c>
      <c r="P386" t="s">
        <v>316</v>
      </c>
      <c r="Q386" t="s">
        <v>317</v>
      </c>
      <c r="S386" t="s">
        <v>2031</v>
      </c>
      <c r="U386" t="s">
        <v>45</v>
      </c>
      <c r="V386" t="s">
        <v>46</v>
      </c>
      <c r="W386" t="s">
        <v>314</v>
      </c>
      <c r="X386" t="s">
        <v>315</v>
      </c>
      <c r="Y386" t="s">
        <v>47</v>
      </c>
      <c r="Z386" t="s">
        <v>48</v>
      </c>
      <c r="AA386" t="s">
        <v>49</v>
      </c>
      <c r="AB386" t="s">
        <v>50</v>
      </c>
      <c r="AC386" s="2">
        <v>124567.08</v>
      </c>
      <c r="AD386" t="s">
        <v>2032</v>
      </c>
    </row>
    <row r="387" spans="1:31" hidden="1" x14ac:dyDescent="0.25">
      <c r="I387" t="s">
        <v>2033</v>
      </c>
      <c r="J387" s="2">
        <v>218170</v>
      </c>
      <c r="K387" s="2">
        <v>1000</v>
      </c>
      <c r="L387" s="2">
        <v>1</v>
      </c>
      <c r="M387" s="2">
        <v>0</v>
      </c>
      <c r="S387" t="s">
        <v>2034</v>
      </c>
      <c r="U387" t="s">
        <v>45</v>
      </c>
      <c r="V387" t="s">
        <v>46</v>
      </c>
      <c r="W387" t="s">
        <v>1592</v>
      </c>
      <c r="X387" t="s">
        <v>280</v>
      </c>
      <c r="Y387" t="s">
        <v>279</v>
      </c>
      <c r="Z387" t="s">
        <v>280</v>
      </c>
      <c r="AA387" t="s">
        <v>49</v>
      </c>
      <c r="AC387" s="2"/>
    </row>
    <row r="388" spans="1:31" hidden="1" x14ac:dyDescent="0.25">
      <c r="A388" s="10" t="s">
        <v>2035</v>
      </c>
      <c r="B388" s="10" t="s">
        <v>2036</v>
      </c>
      <c r="C388" t="s">
        <v>2036</v>
      </c>
      <c r="D388" t="s">
        <v>55</v>
      </c>
      <c r="E388" t="s">
        <v>56</v>
      </c>
      <c r="F388" t="s">
        <v>2037</v>
      </c>
      <c r="H388" t="s">
        <v>213</v>
      </c>
      <c r="J388" s="2">
        <v>1000</v>
      </c>
      <c r="K388" s="2">
        <v>0</v>
      </c>
      <c r="L388" s="2">
        <v>21</v>
      </c>
      <c r="M388" s="2">
        <v>0</v>
      </c>
      <c r="N388" t="s">
        <v>212</v>
      </c>
      <c r="O388" t="s">
        <v>213</v>
      </c>
      <c r="P388" t="s">
        <v>61</v>
      </c>
      <c r="Q388" t="s">
        <v>62</v>
      </c>
      <c r="S388" t="s">
        <v>2038</v>
      </c>
      <c r="U388" t="s">
        <v>45</v>
      </c>
      <c r="V388" t="s">
        <v>46</v>
      </c>
      <c r="W388" t="s">
        <v>212</v>
      </c>
      <c r="X388" t="s">
        <v>213</v>
      </c>
      <c r="Y388" t="s">
        <v>47</v>
      </c>
      <c r="Z388" t="s">
        <v>48</v>
      </c>
      <c r="AA388" t="s">
        <v>49</v>
      </c>
      <c r="AB388" t="s">
        <v>142</v>
      </c>
      <c r="AC388" s="2">
        <v>238.05</v>
      </c>
      <c r="AD388" t="s">
        <v>2039</v>
      </c>
    </row>
    <row r="389" spans="1:31" x14ac:dyDescent="0.25">
      <c r="A389" t="s">
        <v>2040</v>
      </c>
      <c r="B389" t="s">
        <v>2041</v>
      </c>
      <c r="C389" t="s">
        <v>2041</v>
      </c>
      <c r="D389" t="s">
        <v>478</v>
      </c>
      <c r="E389" t="s">
        <v>190</v>
      </c>
      <c r="F389" t="s">
        <v>2042</v>
      </c>
      <c r="H389" t="s">
        <v>584</v>
      </c>
      <c r="I389" t="s">
        <v>2043</v>
      </c>
      <c r="J389" s="2">
        <v>237750</v>
      </c>
      <c r="K389" s="2">
        <v>1000</v>
      </c>
      <c r="L389" s="2">
        <v>5</v>
      </c>
      <c r="M389" s="2">
        <v>0</v>
      </c>
      <c r="N389" t="s">
        <v>585</v>
      </c>
      <c r="O389" t="s">
        <v>584</v>
      </c>
      <c r="P389" t="s">
        <v>158</v>
      </c>
      <c r="Q389" t="s">
        <v>159</v>
      </c>
      <c r="S389" t="s">
        <v>2044</v>
      </c>
      <c r="U389" t="s">
        <v>45</v>
      </c>
      <c r="V389" t="s">
        <v>46</v>
      </c>
      <c r="W389" t="s">
        <v>585</v>
      </c>
      <c r="X389" t="s">
        <v>584</v>
      </c>
      <c r="Y389" t="s">
        <v>161</v>
      </c>
      <c r="Z389" t="s">
        <v>162</v>
      </c>
      <c r="AA389" t="s">
        <v>49</v>
      </c>
      <c r="AB389" t="s">
        <v>50</v>
      </c>
      <c r="AC389" s="2">
        <v>237750</v>
      </c>
      <c r="AD389" t="s">
        <v>64</v>
      </c>
    </row>
    <row r="390" spans="1:31" hidden="1" x14ac:dyDescent="0.25">
      <c r="I390" t="s">
        <v>2046</v>
      </c>
      <c r="J390" s="2">
        <v>1000</v>
      </c>
      <c r="K390" s="2">
        <v>0</v>
      </c>
      <c r="L390" s="2">
        <v>5</v>
      </c>
      <c r="M390" s="2">
        <v>0</v>
      </c>
      <c r="S390" t="s">
        <v>2047</v>
      </c>
      <c r="U390" t="s">
        <v>45</v>
      </c>
      <c r="V390" t="s">
        <v>46</v>
      </c>
      <c r="W390" t="s">
        <v>67</v>
      </c>
      <c r="X390" t="s">
        <v>68</v>
      </c>
      <c r="Y390" t="s">
        <v>72</v>
      </c>
      <c r="Z390" t="s">
        <v>68</v>
      </c>
      <c r="AA390" t="s">
        <v>49</v>
      </c>
      <c r="AC390" s="2"/>
    </row>
    <row r="391" spans="1:31" hidden="1" x14ac:dyDescent="0.25">
      <c r="I391" t="s">
        <v>2048</v>
      </c>
      <c r="J391" s="2">
        <v>1000</v>
      </c>
      <c r="K391" s="2">
        <v>0</v>
      </c>
      <c r="L391" s="2">
        <v>21</v>
      </c>
      <c r="M391" s="2">
        <v>0</v>
      </c>
      <c r="S391" t="s">
        <v>2049</v>
      </c>
      <c r="U391" t="s">
        <v>45</v>
      </c>
      <c r="V391" t="s">
        <v>46</v>
      </c>
      <c r="W391" t="s">
        <v>403</v>
      </c>
      <c r="X391" t="s">
        <v>404</v>
      </c>
      <c r="Y391" t="s">
        <v>161</v>
      </c>
      <c r="Z391" t="s">
        <v>162</v>
      </c>
      <c r="AA391" t="s">
        <v>49</v>
      </c>
      <c r="AC391" s="2"/>
    </row>
    <row r="392" spans="1:31" x14ac:dyDescent="0.25">
      <c r="A392" t="s">
        <v>2050</v>
      </c>
      <c r="B392" t="s">
        <v>2051</v>
      </c>
      <c r="C392" t="s">
        <v>2051</v>
      </c>
      <c r="D392" t="s">
        <v>166</v>
      </c>
      <c r="E392" t="s">
        <v>167</v>
      </c>
      <c r="F392" t="s">
        <v>2052</v>
      </c>
      <c r="H392" t="s">
        <v>2053</v>
      </c>
      <c r="J392" s="2">
        <v>1832</v>
      </c>
      <c r="K392" s="2">
        <v>0</v>
      </c>
      <c r="L392" s="2">
        <v>7</v>
      </c>
      <c r="M392" s="2">
        <v>0</v>
      </c>
      <c r="N392" t="s">
        <v>883</v>
      </c>
      <c r="O392" t="s">
        <v>881</v>
      </c>
      <c r="P392" t="s">
        <v>158</v>
      </c>
      <c r="Q392" t="s">
        <v>159</v>
      </c>
      <c r="S392" t="s">
        <v>2054</v>
      </c>
      <c r="U392" t="s">
        <v>45</v>
      </c>
      <c r="V392" t="s">
        <v>46</v>
      </c>
      <c r="W392" t="s">
        <v>883</v>
      </c>
      <c r="X392" t="s">
        <v>881</v>
      </c>
      <c r="Y392" t="s">
        <v>161</v>
      </c>
      <c r="Z392" t="s">
        <v>162</v>
      </c>
      <c r="AA392" t="s">
        <v>49</v>
      </c>
      <c r="AB392" t="s">
        <v>50</v>
      </c>
      <c r="AC392" s="2">
        <v>1832</v>
      </c>
      <c r="AD392" t="s">
        <v>64</v>
      </c>
    </row>
    <row r="393" spans="1:31" x14ac:dyDescent="0.25">
      <c r="A393" t="s">
        <v>2055</v>
      </c>
      <c r="B393" t="s">
        <v>2056</v>
      </c>
      <c r="C393" t="s">
        <v>2056</v>
      </c>
      <c r="D393" t="s">
        <v>125</v>
      </c>
      <c r="E393" t="s">
        <v>126</v>
      </c>
      <c r="F393" t="s">
        <v>2057</v>
      </c>
      <c r="G393" t="s">
        <v>847</v>
      </c>
      <c r="H393" t="s">
        <v>41</v>
      </c>
      <c r="I393" t="s">
        <v>2058</v>
      </c>
      <c r="J393" s="2">
        <v>152719</v>
      </c>
      <c r="K393" s="2">
        <v>700</v>
      </c>
      <c r="L393" s="2">
        <v>15</v>
      </c>
      <c r="M393" s="2">
        <v>0</v>
      </c>
      <c r="N393" t="s">
        <v>40</v>
      </c>
      <c r="O393" t="s">
        <v>41</v>
      </c>
      <c r="P393" t="s">
        <v>61</v>
      </c>
      <c r="Q393" t="s">
        <v>62</v>
      </c>
      <c r="S393" t="s">
        <v>2059</v>
      </c>
      <c r="U393" t="s">
        <v>45</v>
      </c>
      <c r="V393" t="s">
        <v>46</v>
      </c>
      <c r="W393" t="s">
        <v>40</v>
      </c>
      <c r="X393" t="s">
        <v>41</v>
      </c>
      <c r="Y393" t="s">
        <v>47</v>
      </c>
      <c r="Z393" t="s">
        <v>48</v>
      </c>
      <c r="AA393" t="s">
        <v>49</v>
      </c>
      <c r="AB393" t="s">
        <v>50</v>
      </c>
      <c r="AC393" s="2">
        <v>22621.52</v>
      </c>
      <c r="AD393" t="s">
        <v>2060</v>
      </c>
      <c r="AE393" t="s">
        <v>115</v>
      </c>
    </row>
    <row r="394" spans="1:31" x14ac:dyDescent="0.25">
      <c r="A394" t="s">
        <v>2061</v>
      </c>
      <c r="B394" t="s">
        <v>2062</v>
      </c>
      <c r="C394" t="s">
        <v>2062</v>
      </c>
      <c r="D394" t="s">
        <v>153</v>
      </c>
      <c r="E394" t="s">
        <v>272</v>
      </c>
      <c r="F394" t="s">
        <v>2063</v>
      </c>
      <c r="G394" t="s">
        <v>153</v>
      </c>
      <c r="H394" t="s">
        <v>881</v>
      </c>
      <c r="I394" t="s">
        <v>2064</v>
      </c>
      <c r="J394" s="2">
        <v>327255</v>
      </c>
      <c r="K394" s="2">
        <v>1500</v>
      </c>
      <c r="L394" s="2">
        <v>21</v>
      </c>
      <c r="M394" s="2">
        <v>0</v>
      </c>
      <c r="N394" t="s">
        <v>883</v>
      </c>
      <c r="O394" t="s">
        <v>881</v>
      </c>
      <c r="P394" t="s">
        <v>158</v>
      </c>
      <c r="Q394" t="s">
        <v>159</v>
      </c>
      <c r="S394" t="s">
        <v>2065</v>
      </c>
      <c r="U394" t="s">
        <v>45</v>
      </c>
      <c r="V394" t="s">
        <v>46</v>
      </c>
      <c r="W394" t="s">
        <v>883</v>
      </c>
      <c r="X394" t="s">
        <v>881</v>
      </c>
      <c r="Y394" t="s">
        <v>161</v>
      </c>
      <c r="Z394" t="s">
        <v>162</v>
      </c>
      <c r="AA394" t="s">
        <v>49</v>
      </c>
      <c r="AB394" t="s">
        <v>50</v>
      </c>
      <c r="AC394" s="2">
        <v>314853.19</v>
      </c>
      <c r="AD394" t="s">
        <v>2066</v>
      </c>
      <c r="AE394" t="s">
        <v>52</v>
      </c>
    </row>
    <row r="395" spans="1:31" hidden="1" x14ac:dyDescent="0.25">
      <c r="I395" t="s">
        <v>2067</v>
      </c>
      <c r="J395" s="2">
        <v>1000</v>
      </c>
      <c r="K395" s="2">
        <v>0</v>
      </c>
      <c r="L395" s="2">
        <v>15</v>
      </c>
      <c r="M395" s="2">
        <v>0</v>
      </c>
      <c r="S395" t="s">
        <v>2068</v>
      </c>
      <c r="U395" t="s">
        <v>45</v>
      </c>
      <c r="V395" t="s">
        <v>46</v>
      </c>
      <c r="W395" t="s">
        <v>822</v>
      </c>
      <c r="X395" t="s">
        <v>820</v>
      </c>
      <c r="Y395" t="s">
        <v>92</v>
      </c>
      <c r="Z395" t="s">
        <v>94</v>
      </c>
      <c r="AA395" t="s">
        <v>49</v>
      </c>
      <c r="AC395" s="2"/>
    </row>
    <row r="396" spans="1:31" hidden="1" x14ac:dyDescent="0.25">
      <c r="A396" s="10" t="s">
        <v>2069</v>
      </c>
      <c r="B396" s="10" t="s">
        <v>2070</v>
      </c>
      <c r="C396" t="s">
        <v>2070</v>
      </c>
      <c r="D396" t="s">
        <v>55</v>
      </c>
      <c r="E396" t="s">
        <v>56</v>
      </c>
      <c r="F396" t="s">
        <v>2071</v>
      </c>
      <c r="H396" t="s">
        <v>346</v>
      </c>
      <c r="I396" t="s">
        <v>2072</v>
      </c>
      <c r="J396" s="2">
        <v>1000</v>
      </c>
      <c r="K396" s="2">
        <v>4.33</v>
      </c>
      <c r="L396" s="2">
        <v>15</v>
      </c>
      <c r="M396" s="2">
        <v>0</v>
      </c>
      <c r="N396" t="s">
        <v>348</v>
      </c>
      <c r="O396" t="s">
        <v>349</v>
      </c>
      <c r="P396" t="s">
        <v>316</v>
      </c>
      <c r="Q396" t="s">
        <v>317</v>
      </c>
      <c r="S396" t="s">
        <v>2073</v>
      </c>
      <c r="U396" t="s">
        <v>45</v>
      </c>
      <c r="V396" t="s">
        <v>46</v>
      </c>
      <c r="W396" t="s">
        <v>348</v>
      </c>
      <c r="X396" t="s">
        <v>349</v>
      </c>
      <c r="Y396" t="s">
        <v>317</v>
      </c>
      <c r="Z396" t="s">
        <v>349</v>
      </c>
      <c r="AA396" t="s">
        <v>49</v>
      </c>
      <c r="AB396" t="s">
        <v>142</v>
      </c>
      <c r="AC396" s="2">
        <v>1000</v>
      </c>
      <c r="AD396" t="s">
        <v>64</v>
      </c>
    </row>
    <row r="397" spans="1:31" hidden="1" x14ac:dyDescent="0.25">
      <c r="A397" s="10" t="s">
        <v>2074</v>
      </c>
      <c r="B397" s="10" t="s">
        <v>2075</v>
      </c>
      <c r="C397" t="s">
        <v>2075</v>
      </c>
      <c r="D397" t="s">
        <v>55</v>
      </c>
      <c r="E397" t="s">
        <v>56</v>
      </c>
      <c r="F397" t="s">
        <v>2076</v>
      </c>
      <c r="H397" t="s">
        <v>41</v>
      </c>
      <c r="I397" t="s">
        <v>2077</v>
      </c>
      <c r="J397" s="2">
        <v>1000</v>
      </c>
      <c r="K397" s="2">
        <v>0</v>
      </c>
      <c r="L397" s="2">
        <v>15</v>
      </c>
      <c r="M397" s="2">
        <v>0</v>
      </c>
      <c r="N397" t="s">
        <v>40</v>
      </c>
      <c r="O397" t="s">
        <v>41</v>
      </c>
      <c r="P397" t="s">
        <v>61</v>
      </c>
      <c r="Q397" t="s">
        <v>62</v>
      </c>
      <c r="S397" t="s">
        <v>2078</v>
      </c>
      <c r="U397" t="s">
        <v>45</v>
      </c>
      <c r="V397" t="s">
        <v>46</v>
      </c>
      <c r="W397" t="s">
        <v>40</v>
      </c>
      <c r="X397" t="s">
        <v>41</v>
      </c>
      <c r="Y397" t="s">
        <v>47</v>
      </c>
      <c r="Z397" t="s">
        <v>48</v>
      </c>
      <c r="AA397" t="s">
        <v>49</v>
      </c>
      <c r="AB397" t="s">
        <v>142</v>
      </c>
      <c r="AC397" s="2">
        <v>1000</v>
      </c>
      <c r="AD397" t="s">
        <v>64</v>
      </c>
    </row>
    <row r="398" spans="1:31" x14ac:dyDescent="0.25">
      <c r="A398" t="s">
        <v>2079</v>
      </c>
      <c r="B398" t="s">
        <v>2080</v>
      </c>
      <c r="C398" t="s">
        <v>2080</v>
      </c>
      <c r="D398" t="s">
        <v>178</v>
      </c>
      <c r="E398" t="s">
        <v>179</v>
      </c>
      <c r="F398" t="s">
        <v>2081</v>
      </c>
      <c r="G398" t="s">
        <v>223</v>
      </c>
      <c r="H398" t="s">
        <v>41</v>
      </c>
      <c r="I398" t="s">
        <v>2082</v>
      </c>
      <c r="J398" s="2">
        <v>87268</v>
      </c>
      <c r="K398" s="2">
        <v>400</v>
      </c>
      <c r="L398" s="2">
        <v>21</v>
      </c>
      <c r="M398" s="2">
        <v>0</v>
      </c>
      <c r="N398" t="s">
        <v>40</v>
      </c>
      <c r="O398" t="s">
        <v>41</v>
      </c>
      <c r="P398" t="s">
        <v>61</v>
      </c>
      <c r="Q398" t="s">
        <v>62</v>
      </c>
      <c r="S398" t="s">
        <v>2083</v>
      </c>
      <c r="U398" t="s">
        <v>45</v>
      </c>
      <c r="V398" t="s">
        <v>46</v>
      </c>
      <c r="W398" t="s">
        <v>40</v>
      </c>
      <c r="X398" t="s">
        <v>41</v>
      </c>
      <c r="Y398" t="s">
        <v>47</v>
      </c>
      <c r="Z398" t="s">
        <v>48</v>
      </c>
      <c r="AA398" t="s">
        <v>49</v>
      </c>
      <c r="AB398" t="s">
        <v>50</v>
      </c>
      <c r="AC398" s="2">
        <v>87268</v>
      </c>
      <c r="AD398" t="s">
        <v>64</v>
      </c>
    </row>
    <row r="399" spans="1:31" x14ac:dyDescent="0.25">
      <c r="A399" s="15" t="s">
        <v>2084</v>
      </c>
      <c r="B399" s="15" t="s">
        <v>2085</v>
      </c>
      <c r="C399" s="15" t="s">
        <v>2085</v>
      </c>
      <c r="D399" s="15" t="s">
        <v>55</v>
      </c>
      <c r="E399" s="15" t="s">
        <v>56</v>
      </c>
      <c r="F399" s="15" t="s">
        <v>2086</v>
      </c>
      <c r="H399" s="15" t="s">
        <v>277</v>
      </c>
      <c r="I399" t="s">
        <v>2087</v>
      </c>
      <c r="J399" s="2">
        <v>1000</v>
      </c>
      <c r="K399" s="2">
        <v>0</v>
      </c>
      <c r="L399" s="2">
        <v>1</v>
      </c>
      <c r="M399" s="2">
        <v>0</v>
      </c>
      <c r="N399" s="15" t="s">
        <v>276</v>
      </c>
      <c r="O399" s="15" t="s">
        <v>277</v>
      </c>
      <c r="P399" s="15" t="s">
        <v>103</v>
      </c>
      <c r="Q399" s="15" t="s">
        <v>104</v>
      </c>
      <c r="S399" t="s">
        <v>2088</v>
      </c>
      <c r="U399" t="s">
        <v>45</v>
      </c>
      <c r="V399" t="s">
        <v>46</v>
      </c>
      <c r="W399" t="s">
        <v>276</v>
      </c>
      <c r="X399" t="s">
        <v>277</v>
      </c>
      <c r="Y399" t="s">
        <v>279</v>
      </c>
      <c r="Z399" t="s">
        <v>280</v>
      </c>
      <c r="AA399" t="s">
        <v>49</v>
      </c>
      <c r="AB399" s="15" t="s">
        <v>50</v>
      </c>
      <c r="AC399" s="16">
        <v>-30761.74</v>
      </c>
      <c r="AD399" s="15" t="s">
        <v>2089</v>
      </c>
      <c r="AE399" s="15" t="s">
        <v>115</v>
      </c>
    </row>
    <row r="400" spans="1:31" hidden="1" x14ac:dyDescent="0.25">
      <c r="I400" t="s">
        <v>2090</v>
      </c>
      <c r="J400" s="2">
        <v>21817</v>
      </c>
      <c r="K400" s="2">
        <v>100</v>
      </c>
      <c r="L400" s="2">
        <v>1</v>
      </c>
      <c r="M400" s="2">
        <v>0</v>
      </c>
      <c r="S400" t="s">
        <v>2091</v>
      </c>
      <c r="U400" t="s">
        <v>45</v>
      </c>
      <c r="V400" t="s">
        <v>46</v>
      </c>
      <c r="W400" t="s">
        <v>1357</v>
      </c>
      <c r="X400" t="s">
        <v>1358</v>
      </c>
      <c r="Y400" t="s">
        <v>92</v>
      </c>
      <c r="Z400" t="s">
        <v>94</v>
      </c>
      <c r="AA400" t="s">
        <v>49</v>
      </c>
      <c r="AC400" s="2"/>
    </row>
    <row r="401" spans="1:31" hidden="1" x14ac:dyDescent="0.25">
      <c r="I401" t="s">
        <v>2092</v>
      </c>
      <c r="J401" s="2">
        <v>5496</v>
      </c>
      <c r="K401" s="2">
        <v>0</v>
      </c>
      <c r="L401" s="2">
        <v>15</v>
      </c>
      <c r="M401" s="2">
        <v>0</v>
      </c>
      <c r="S401" t="s">
        <v>881</v>
      </c>
      <c r="U401" t="s">
        <v>45</v>
      </c>
      <c r="V401" t="s">
        <v>46</v>
      </c>
      <c r="W401" t="s">
        <v>883</v>
      </c>
      <c r="X401" t="s">
        <v>881</v>
      </c>
      <c r="Y401" t="s">
        <v>161</v>
      </c>
      <c r="Z401" t="s">
        <v>162</v>
      </c>
      <c r="AA401" t="s">
        <v>49</v>
      </c>
      <c r="AC401" s="2"/>
    </row>
    <row r="402" spans="1:31" hidden="1" x14ac:dyDescent="0.25">
      <c r="I402" t="s">
        <v>2093</v>
      </c>
      <c r="J402" s="2">
        <v>1000</v>
      </c>
      <c r="K402" s="2">
        <v>0</v>
      </c>
      <c r="L402" s="2">
        <v>21</v>
      </c>
      <c r="M402" s="2">
        <v>0</v>
      </c>
      <c r="S402" t="s">
        <v>2094</v>
      </c>
      <c r="U402" t="s">
        <v>45</v>
      </c>
      <c r="V402" t="s">
        <v>46</v>
      </c>
      <c r="W402" t="s">
        <v>302</v>
      </c>
      <c r="X402" t="s">
        <v>303</v>
      </c>
      <c r="Y402" t="s">
        <v>72</v>
      </c>
      <c r="Z402" t="s">
        <v>68</v>
      </c>
      <c r="AA402" t="s">
        <v>49</v>
      </c>
      <c r="AC402" s="2"/>
    </row>
    <row r="403" spans="1:31" x14ac:dyDescent="0.25">
      <c r="A403" t="s">
        <v>2095</v>
      </c>
      <c r="B403" t="s">
        <v>2096</v>
      </c>
      <c r="C403" t="s">
        <v>2096</v>
      </c>
      <c r="D403" t="s">
        <v>125</v>
      </c>
      <c r="E403" t="s">
        <v>126</v>
      </c>
      <c r="F403" t="s">
        <v>2097</v>
      </c>
      <c r="G403" t="s">
        <v>125</v>
      </c>
      <c r="H403" t="s">
        <v>245</v>
      </c>
      <c r="I403" t="s">
        <v>2098</v>
      </c>
      <c r="J403" s="2">
        <v>349072</v>
      </c>
      <c r="K403" s="2">
        <v>1600</v>
      </c>
      <c r="L403" s="2">
        <v>15</v>
      </c>
      <c r="M403" s="2">
        <v>0</v>
      </c>
      <c r="N403" t="s">
        <v>40</v>
      </c>
      <c r="O403" t="s">
        <v>41</v>
      </c>
      <c r="P403" t="s">
        <v>1109</v>
      </c>
      <c r="Q403" t="s">
        <v>1110</v>
      </c>
      <c r="S403" t="s">
        <v>2099</v>
      </c>
      <c r="U403" t="s">
        <v>45</v>
      </c>
      <c r="V403" t="s">
        <v>46</v>
      </c>
      <c r="W403" t="s">
        <v>40</v>
      </c>
      <c r="X403" t="s">
        <v>41</v>
      </c>
      <c r="Y403" t="s">
        <v>47</v>
      </c>
      <c r="Z403" t="s">
        <v>48</v>
      </c>
      <c r="AA403" t="s">
        <v>49</v>
      </c>
      <c r="AB403" t="s">
        <v>50</v>
      </c>
      <c r="AC403" s="2">
        <v>158967.04999999999</v>
      </c>
      <c r="AD403" t="s">
        <v>2100</v>
      </c>
      <c r="AE403" t="s">
        <v>52</v>
      </c>
    </row>
    <row r="404" spans="1:31" hidden="1" x14ac:dyDescent="0.25">
      <c r="I404" t="s">
        <v>2101</v>
      </c>
      <c r="J404" s="2">
        <v>1000</v>
      </c>
      <c r="K404" s="2">
        <v>0</v>
      </c>
      <c r="L404" s="2">
        <v>5</v>
      </c>
      <c r="M404" s="2">
        <v>0</v>
      </c>
      <c r="S404" t="s">
        <v>2102</v>
      </c>
      <c r="U404" t="s">
        <v>45</v>
      </c>
      <c r="V404" t="s">
        <v>46</v>
      </c>
      <c r="W404" t="s">
        <v>1064</v>
      </c>
      <c r="X404" t="s">
        <v>1062</v>
      </c>
      <c r="Y404" t="s">
        <v>72</v>
      </c>
      <c r="Z404" t="s">
        <v>68</v>
      </c>
      <c r="AA404" t="s">
        <v>49</v>
      </c>
      <c r="AC404" s="2"/>
    </row>
    <row r="405" spans="1:31" hidden="1" x14ac:dyDescent="0.25">
      <c r="I405" t="s">
        <v>2103</v>
      </c>
      <c r="J405" s="2">
        <v>109085</v>
      </c>
      <c r="K405" s="2">
        <v>500</v>
      </c>
      <c r="L405" s="2">
        <v>21</v>
      </c>
      <c r="M405" s="2">
        <v>0</v>
      </c>
      <c r="S405" t="s">
        <v>2104</v>
      </c>
      <c r="U405" t="s">
        <v>45</v>
      </c>
      <c r="V405" t="s">
        <v>46</v>
      </c>
      <c r="W405" t="s">
        <v>254</v>
      </c>
      <c r="X405" t="s">
        <v>255</v>
      </c>
      <c r="Y405" t="s">
        <v>258</v>
      </c>
      <c r="Z405" t="s">
        <v>259</v>
      </c>
      <c r="AA405" t="s">
        <v>49</v>
      </c>
      <c r="AC405" s="2"/>
    </row>
    <row r="406" spans="1:31" hidden="1" x14ac:dyDescent="0.25">
      <c r="I406" t="s">
        <v>2106</v>
      </c>
      <c r="J406" s="2">
        <v>9750</v>
      </c>
      <c r="K406" s="2">
        <v>0</v>
      </c>
      <c r="L406" s="2">
        <v>15</v>
      </c>
      <c r="M406" s="2">
        <v>0</v>
      </c>
      <c r="S406" t="s">
        <v>2107</v>
      </c>
      <c r="U406" t="s">
        <v>45</v>
      </c>
      <c r="V406" t="s">
        <v>46</v>
      </c>
      <c r="W406" t="s">
        <v>1546</v>
      </c>
      <c r="X406" t="s">
        <v>1547</v>
      </c>
      <c r="Y406" t="s">
        <v>279</v>
      </c>
      <c r="Z406" t="s">
        <v>280</v>
      </c>
      <c r="AA406" t="s">
        <v>49</v>
      </c>
      <c r="AC406" s="2"/>
    </row>
    <row r="407" spans="1:31" hidden="1" x14ac:dyDescent="0.25">
      <c r="I407" t="s">
        <v>2108</v>
      </c>
      <c r="J407" s="2">
        <v>218</v>
      </c>
      <c r="K407" s="2">
        <v>1</v>
      </c>
      <c r="L407" s="2">
        <v>1</v>
      </c>
      <c r="M407" s="2">
        <v>0</v>
      </c>
      <c r="S407" t="s">
        <v>2109</v>
      </c>
      <c r="U407" t="s">
        <v>45</v>
      </c>
      <c r="V407" t="s">
        <v>46</v>
      </c>
      <c r="W407" t="s">
        <v>254</v>
      </c>
      <c r="X407" t="s">
        <v>255</v>
      </c>
      <c r="Y407" t="s">
        <v>258</v>
      </c>
      <c r="Z407" t="s">
        <v>259</v>
      </c>
      <c r="AA407" t="s">
        <v>49</v>
      </c>
      <c r="AC407" s="2"/>
    </row>
    <row r="408" spans="1:31" hidden="1" x14ac:dyDescent="0.25">
      <c r="I408" t="s">
        <v>2110</v>
      </c>
      <c r="J408" s="2">
        <v>22200</v>
      </c>
      <c r="K408" s="2">
        <v>0</v>
      </c>
      <c r="L408" s="2">
        <v>21</v>
      </c>
      <c r="M408" s="2">
        <v>0</v>
      </c>
      <c r="S408" t="s">
        <v>2111</v>
      </c>
      <c r="U408" t="s">
        <v>45</v>
      </c>
      <c r="V408" t="s">
        <v>46</v>
      </c>
      <c r="W408" t="s">
        <v>326</v>
      </c>
      <c r="X408" t="s">
        <v>327</v>
      </c>
      <c r="Y408" t="s">
        <v>121</v>
      </c>
      <c r="Z408" t="s">
        <v>94</v>
      </c>
      <c r="AA408" t="s">
        <v>49</v>
      </c>
      <c r="AC408" s="2"/>
    </row>
    <row r="409" spans="1:31" hidden="1" x14ac:dyDescent="0.25">
      <c r="I409" t="s">
        <v>2112</v>
      </c>
      <c r="J409" s="2">
        <v>3900</v>
      </c>
      <c r="K409" s="2">
        <v>0</v>
      </c>
      <c r="L409" s="2">
        <v>15</v>
      </c>
      <c r="M409" s="2">
        <v>0</v>
      </c>
      <c r="S409" t="s">
        <v>2115</v>
      </c>
      <c r="U409" t="s">
        <v>45</v>
      </c>
      <c r="V409" t="s">
        <v>46</v>
      </c>
      <c r="W409" t="s">
        <v>2113</v>
      </c>
      <c r="X409" t="s">
        <v>2114</v>
      </c>
      <c r="Y409" t="s">
        <v>106</v>
      </c>
      <c r="Z409" t="s">
        <v>107</v>
      </c>
      <c r="AA409" t="s">
        <v>49</v>
      </c>
      <c r="AC409" s="2"/>
    </row>
    <row r="410" spans="1:31" x14ac:dyDescent="0.25">
      <c r="A410" t="s">
        <v>2116</v>
      </c>
      <c r="B410" t="s">
        <v>2117</v>
      </c>
      <c r="C410" t="s">
        <v>2117</v>
      </c>
      <c r="D410" t="s">
        <v>2118</v>
      </c>
      <c r="E410" t="s">
        <v>871</v>
      </c>
      <c r="F410" t="s">
        <v>2119</v>
      </c>
      <c r="G410" t="s">
        <v>2120</v>
      </c>
      <c r="H410" t="s">
        <v>119</v>
      </c>
      <c r="I410" t="s">
        <v>2121</v>
      </c>
      <c r="J410" s="2">
        <v>436340</v>
      </c>
      <c r="K410" s="2">
        <v>2000</v>
      </c>
      <c r="L410" s="2">
        <v>15</v>
      </c>
      <c r="M410" s="2">
        <v>0</v>
      </c>
      <c r="N410" t="s">
        <v>118</v>
      </c>
      <c r="O410" t="s">
        <v>119</v>
      </c>
      <c r="P410" t="s">
        <v>120</v>
      </c>
      <c r="Q410" t="s">
        <v>121</v>
      </c>
      <c r="S410" t="s">
        <v>2122</v>
      </c>
      <c r="U410" t="s">
        <v>45</v>
      </c>
      <c r="V410" t="s">
        <v>46</v>
      </c>
      <c r="W410" t="s">
        <v>118</v>
      </c>
      <c r="X410" t="s">
        <v>119</v>
      </c>
      <c r="Y410" t="s">
        <v>121</v>
      </c>
      <c r="Z410" t="s">
        <v>94</v>
      </c>
      <c r="AA410" t="s">
        <v>49</v>
      </c>
      <c r="AB410" t="s">
        <v>50</v>
      </c>
      <c r="AC410" s="2">
        <v>436340</v>
      </c>
      <c r="AD410" t="s">
        <v>64</v>
      </c>
    </row>
    <row r="411" spans="1:31" x14ac:dyDescent="0.25">
      <c r="A411" t="s">
        <v>2123</v>
      </c>
      <c r="B411" t="s">
        <v>2124</v>
      </c>
      <c r="C411" t="s">
        <v>2124</v>
      </c>
      <c r="D411" t="s">
        <v>166</v>
      </c>
      <c r="E411" t="s">
        <v>167</v>
      </c>
      <c r="F411" t="s">
        <v>2125</v>
      </c>
      <c r="G411" t="s">
        <v>2126</v>
      </c>
      <c r="H411" t="s">
        <v>157</v>
      </c>
      <c r="I411" t="s">
        <v>2127</v>
      </c>
      <c r="J411" s="2">
        <v>95100</v>
      </c>
      <c r="K411" s="2">
        <v>400</v>
      </c>
      <c r="L411" s="2">
        <v>7</v>
      </c>
      <c r="M411" s="2">
        <v>0</v>
      </c>
      <c r="N411" t="s">
        <v>156</v>
      </c>
      <c r="O411" t="s">
        <v>157</v>
      </c>
      <c r="P411" t="s">
        <v>158</v>
      </c>
      <c r="Q411" t="s">
        <v>159</v>
      </c>
      <c r="S411" t="s">
        <v>2128</v>
      </c>
      <c r="U411" t="s">
        <v>45</v>
      </c>
      <c r="V411" t="s">
        <v>46</v>
      </c>
      <c r="W411" t="s">
        <v>156</v>
      </c>
      <c r="X411" t="s">
        <v>157</v>
      </c>
      <c r="Y411" t="s">
        <v>161</v>
      </c>
      <c r="Z411" t="s">
        <v>162</v>
      </c>
      <c r="AA411" t="s">
        <v>49</v>
      </c>
      <c r="AB411" t="s">
        <v>50</v>
      </c>
      <c r="AC411" s="2">
        <v>60698.1</v>
      </c>
      <c r="AD411" t="s">
        <v>2129</v>
      </c>
    </row>
    <row r="412" spans="1:31" x14ac:dyDescent="0.25">
      <c r="A412" t="s">
        <v>2130</v>
      </c>
      <c r="B412" t="s">
        <v>2131</v>
      </c>
      <c r="C412" t="s">
        <v>2131</v>
      </c>
      <c r="D412" t="s">
        <v>125</v>
      </c>
      <c r="E412" t="s">
        <v>126</v>
      </c>
      <c r="F412" t="s">
        <v>2132</v>
      </c>
      <c r="G412" t="s">
        <v>35</v>
      </c>
      <c r="H412" t="s">
        <v>2133</v>
      </c>
      <c r="I412" t="s">
        <v>2134</v>
      </c>
      <c r="J412" s="2">
        <v>502656</v>
      </c>
      <c r="K412" s="2">
        <v>2200</v>
      </c>
      <c r="L412" s="2">
        <v>20</v>
      </c>
      <c r="M412" s="2">
        <v>0</v>
      </c>
      <c r="N412" t="s">
        <v>1306</v>
      </c>
      <c r="O412" t="s">
        <v>1304</v>
      </c>
      <c r="P412" t="s">
        <v>120</v>
      </c>
      <c r="Q412" t="s">
        <v>121</v>
      </c>
      <c r="S412" t="s">
        <v>2135</v>
      </c>
      <c r="U412" t="s">
        <v>45</v>
      </c>
      <c r="V412" t="s">
        <v>46</v>
      </c>
      <c r="W412" t="s">
        <v>1306</v>
      </c>
      <c r="X412" t="s">
        <v>1304</v>
      </c>
      <c r="Y412" t="s">
        <v>121</v>
      </c>
      <c r="Z412" t="s">
        <v>94</v>
      </c>
      <c r="AA412" t="s">
        <v>49</v>
      </c>
      <c r="AB412" t="s">
        <v>50</v>
      </c>
      <c r="AC412" s="2">
        <v>-33068.769999999997</v>
      </c>
      <c r="AD412" t="s">
        <v>2136</v>
      </c>
      <c r="AE412" t="s">
        <v>52</v>
      </c>
    </row>
    <row r="413" spans="1:31" x14ac:dyDescent="0.25">
      <c r="A413" t="s">
        <v>2137</v>
      </c>
      <c r="B413" t="s">
        <v>2138</v>
      </c>
      <c r="C413" t="s">
        <v>2138</v>
      </c>
      <c r="D413" t="s">
        <v>2139</v>
      </c>
      <c r="E413" t="s">
        <v>134</v>
      </c>
      <c r="F413" t="s">
        <v>2140</v>
      </c>
      <c r="G413" t="s">
        <v>1169</v>
      </c>
      <c r="H413" t="s">
        <v>300</v>
      </c>
      <c r="I413" t="s">
        <v>2141</v>
      </c>
      <c r="J413" s="2">
        <v>32726</v>
      </c>
      <c r="K413" s="2">
        <v>150</v>
      </c>
      <c r="L413" s="2">
        <v>21</v>
      </c>
      <c r="M413" s="2">
        <v>0</v>
      </c>
      <c r="N413" t="s">
        <v>302</v>
      </c>
      <c r="O413" t="s">
        <v>303</v>
      </c>
      <c r="P413" t="s">
        <v>304</v>
      </c>
      <c r="Q413" t="s">
        <v>72</v>
      </c>
      <c r="S413" t="s">
        <v>2142</v>
      </c>
      <c r="U413" t="s">
        <v>45</v>
      </c>
      <c r="V413" t="s">
        <v>46</v>
      </c>
      <c r="W413" t="s">
        <v>302</v>
      </c>
      <c r="X413" t="s">
        <v>303</v>
      </c>
      <c r="Y413" t="s">
        <v>72</v>
      </c>
      <c r="Z413" t="s">
        <v>68</v>
      </c>
      <c r="AA413" t="s">
        <v>49</v>
      </c>
      <c r="AB413" t="s">
        <v>50</v>
      </c>
      <c r="AC413" s="2">
        <v>32726</v>
      </c>
      <c r="AD413" t="s">
        <v>64</v>
      </c>
    </row>
    <row r="414" spans="1:31" hidden="1" x14ac:dyDescent="0.25">
      <c r="I414" t="s">
        <v>2143</v>
      </c>
      <c r="J414" s="2">
        <v>5529</v>
      </c>
      <c r="K414" s="2">
        <v>0</v>
      </c>
      <c r="L414" s="2">
        <v>21</v>
      </c>
      <c r="M414" s="2">
        <v>0</v>
      </c>
      <c r="S414" t="s">
        <v>2144</v>
      </c>
      <c r="U414" t="s">
        <v>45</v>
      </c>
      <c r="V414" t="s">
        <v>46</v>
      </c>
      <c r="W414" t="s">
        <v>1332</v>
      </c>
      <c r="X414" t="s">
        <v>1330</v>
      </c>
      <c r="Y414" t="s">
        <v>72</v>
      </c>
      <c r="Z414" t="s">
        <v>68</v>
      </c>
      <c r="AA414" t="s">
        <v>49</v>
      </c>
      <c r="AC414" s="2"/>
    </row>
    <row r="415" spans="1:31" x14ac:dyDescent="0.25">
      <c r="A415" t="s">
        <v>2145</v>
      </c>
      <c r="B415" t="s">
        <v>2146</v>
      </c>
      <c r="C415" t="s">
        <v>2146</v>
      </c>
      <c r="D415" t="s">
        <v>125</v>
      </c>
      <c r="E415" t="s">
        <v>126</v>
      </c>
      <c r="F415" t="s">
        <v>2147</v>
      </c>
      <c r="G415" t="s">
        <v>35</v>
      </c>
      <c r="H415" t="s">
        <v>349</v>
      </c>
      <c r="I415" t="s">
        <v>2148</v>
      </c>
      <c r="J415" s="2">
        <v>327255</v>
      </c>
      <c r="K415" s="2">
        <v>1500</v>
      </c>
      <c r="L415" s="2">
        <v>18</v>
      </c>
      <c r="M415" s="2">
        <v>0</v>
      </c>
      <c r="N415" t="s">
        <v>348</v>
      </c>
      <c r="O415" t="s">
        <v>349</v>
      </c>
      <c r="P415" t="s">
        <v>316</v>
      </c>
      <c r="Q415" t="s">
        <v>317</v>
      </c>
      <c r="S415" t="s">
        <v>2149</v>
      </c>
      <c r="U415" t="s">
        <v>45</v>
      </c>
      <c r="V415" t="s">
        <v>46</v>
      </c>
      <c r="W415" t="s">
        <v>348</v>
      </c>
      <c r="X415" t="s">
        <v>349</v>
      </c>
      <c r="Y415" t="s">
        <v>317</v>
      </c>
      <c r="Z415" t="s">
        <v>349</v>
      </c>
      <c r="AA415" t="s">
        <v>49</v>
      </c>
      <c r="AB415" t="s">
        <v>50</v>
      </c>
      <c r="AC415" s="2">
        <v>58908.01</v>
      </c>
      <c r="AD415" t="s">
        <v>2150</v>
      </c>
      <c r="AE415" t="s">
        <v>52</v>
      </c>
    </row>
    <row r="416" spans="1:31" x14ac:dyDescent="0.25">
      <c r="A416" t="s">
        <v>2151</v>
      </c>
      <c r="B416" t="s">
        <v>2152</v>
      </c>
      <c r="C416" t="s">
        <v>2152</v>
      </c>
      <c r="D416" t="s">
        <v>153</v>
      </c>
      <c r="E416" t="s">
        <v>272</v>
      </c>
      <c r="F416" t="s">
        <v>2153</v>
      </c>
      <c r="H416" t="s">
        <v>41</v>
      </c>
      <c r="I416" t="s">
        <v>2154</v>
      </c>
      <c r="J416" s="2">
        <v>54543</v>
      </c>
      <c r="K416" s="2">
        <v>250</v>
      </c>
      <c r="L416" s="2">
        <v>15</v>
      </c>
      <c r="M416" s="2">
        <v>0</v>
      </c>
      <c r="N416" t="s">
        <v>40</v>
      </c>
      <c r="O416" t="s">
        <v>41</v>
      </c>
      <c r="P416" t="s">
        <v>42</v>
      </c>
      <c r="Q416" t="s">
        <v>43</v>
      </c>
      <c r="S416" t="s">
        <v>2155</v>
      </c>
      <c r="U416" t="s">
        <v>45</v>
      </c>
      <c r="V416" t="s">
        <v>46</v>
      </c>
      <c r="W416" t="s">
        <v>40</v>
      </c>
      <c r="X416" t="s">
        <v>41</v>
      </c>
      <c r="Y416" t="s">
        <v>47</v>
      </c>
      <c r="Z416" t="s">
        <v>48</v>
      </c>
      <c r="AA416" t="s">
        <v>141</v>
      </c>
      <c r="AB416" t="s">
        <v>50</v>
      </c>
      <c r="AC416" s="2">
        <v>32694.21</v>
      </c>
      <c r="AD416" t="s">
        <v>2156</v>
      </c>
    </row>
    <row r="417" spans="1:31" hidden="1" x14ac:dyDescent="0.25">
      <c r="I417" t="s">
        <v>2158</v>
      </c>
      <c r="J417" s="2">
        <v>1000</v>
      </c>
      <c r="K417" s="2">
        <v>0</v>
      </c>
      <c r="L417" s="2">
        <v>30</v>
      </c>
      <c r="M417" s="2">
        <v>0</v>
      </c>
      <c r="S417" t="s">
        <v>2161</v>
      </c>
      <c r="U417" t="s">
        <v>45</v>
      </c>
      <c r="V417" t="s">
        <v>46</v>
      </c>
      <c r="W417" t="s">
        <v>2159</v>
      </c>
      <c r="X417" t="s">
        <v>2160</v>
      </c>
      <c r="Y417" t="s">
        <v>2157</v>
      </c>
      <c r="Z417" t="s">
        <v>48</v>
      </c>
      <c r="AA417" t="s">
        <v>49</v>
      </c>
      <c r="AC417" s="2"/>
    </row>
    <row r="418" spans="1:31" x14ac:dyDescent="0.25">
      <c r="A418" t="s">
        <v>2162</v>
      </c>
      <c r="B418" t="s">
        <v>2163</v>
      </c>
      <c r="C418" t="s">
        <v>2163</v>
      </c>
      <c r="D418" t="s">
        <v>569</v>
      </c>
      <c r="E418" t="s">
        <v>570</v>
      </c>
      <c r="F418" t="s">
        <v>2164</v>
      </c>
      <c r="G418" t="s">
        <v>189</v>
      </c>
      <c r="H418" t="s">
        <v>1036</v>
      </c>
      <c r="I418" t="s">
        <v>2165</v>
      </c>
      <c r="J418" s="2">
        <v>218170</v>
      </c>
      <c r="K418" s="2">
        <v>1000</v>
      </c>
      <c r="L418" s="2">
        <v>7</v>
      </c>
      <c r="M418" s="2">
        <v>0</v>
      </c>
      <c r="N418" t="s">
        <v>1038</v>
      </c>
      <c r="O418" t="s">
        <v>1039</v>
      </c>
      <c r="P418" t="s">
        <v>304</v>
      </c>
      <c r="Q418" t="s">
        <v>72</v>
      </c>
      <c r="S418" t="s">
        <v>2166</v>
      </c>
      <c r="U418" t="s">
        <v>45</v>
      </c>
      <c r="V418" t="s">
        <v>46</v>
      </c>
      <c r="W418" t="s">
        <v>1038</v>
      </c>
      <c r="X418" t="s">
        <v>1039</v>
      </c>
      <c r="Y418" t="s">
        <v>72</v>
      </c>
      <c r="Z418" t="s">
        <v>68</v>
      </c>
      <c r="AA418" t="s">
        <v>49</v>
      </c>
      <c r="AB418" t="s">
        <v>50</v>
      </c>
      <c r="AC418" s="2">
        <v>218170</v>
      </c>
      <c r="AD418" t="s">
        <v>64</v>
      </c>
    </row>
    <row r="419" spans="1:31" x14ac:dyDescent="0.25">
      <c r="A419" t="s">
        <v>2167</v>
      </c>
      <c r="B419" t="s">
        <v>2168</v>
      </c>
      <c r="C419" t="s">
        <v>2168</v>
      </c>
      <c r="D419" t="s">
        <v>553</v>
      </c>
      <c r="E419" t="s">
        <v>167</v>
      </c>
      <c r="F419" t="s">
        <v>2169</v>
      </c>
      <c r="G419" t="s">
        <v>553</v>
      </c>
      <c r="H419" t="s">
        <v>41</v>
      </c>
      <c r="I419" t="s">
        <v>2170</v>
      </c>
      <c r="J419" s="2">
        <v>109085</v>
      </c>
      <c r="K419" s="2">
        <v>500</v>
      </c>
      <c r="L419" s="2">
        <v>21</v>
      </c>
      <c r="M419" s="2">
        <v>0</v>
      </c>
      <c r="N419" t="s">
        <v>40</v>
      </c>
      <c r="O419" t="s">
        <v>41</v>
      </c>
      <c r="P419" t="s">
        <v>61</v>
      </c>
      <c r="Q419" t="s">
        <v>62</v>
      </c>
      <c r="S419" t="s">
        <v>2171</v>
      </c>
      <c r="U419" t="s">
        <v>45</v>
      </c>
      <c r="V419" t="s">
        <v>46</v>
      </c>
      <c r="W419" t="s">
        <v>40</v>
      </c>
      <c r="X419" t="s">
        <v>41</v>
      </c>
      <c r="Y419" t="s">
        <v>47</v>
      </c>
      <c r="Z419" t="s">
        <v>48</v>
      </c>
      <c r="AA419" t="s">
        <v>49</v>
      </c>
      <c r="AB419" t="s">
        <v>50</v>
      </c>
      <c r="AC419" s="2">
        <v>90448.58</v>
      </c>
      <c r="AD419" t="s">
        <v>2172</v>
      </c>
      <c r="AE419" t="s">
        <v>52</v>
      </c>
    </row>
    <row r="420" spans="1:31" x14ac:dyDescent="0.25">
      <c r="A420" t="s">
        <v>2173</v>
      </c>
      <c r="B420" t="s">
        <v>2174</v>
      </c>
      <c r="C420" t="s">
        <v>1486</v>
      </c>
      <c r="D420" t="s">
        <v>1243</v>
      </c>
      <c r="E420" t="s">
        <v>871</v>
      </c>
      <c r="F420" t="s">
        <v>1159</v>
      </c>
      <c r="G420" t="s">
        <v>192</v>
      </c>
      <c r="H420" t="s">
        <v>170</v>
      </c>
      <c r="I420" t="s">
        <v>2175</v>
      </c>
      <c r="J420" s="2">
        <v>436340</v>
      </c>
      <c r="K420" s="2">
        <v>2000</v>
      </c>
      <c r="L420" s="2">
        <v>21</v>
      </c>
      <c r="M420" s="2">
        <v>0</v>
      </c>
      <c r="N420" t="s">
        <v>172</v>
      </c>
      <c r="O420" t="s">
        <v>173</v>
      </c>
      <c r="P420" t="s">
        <v>158</v>
      </c>
      <c r="Q420" t="s">
        <v>159</v>
      </c>
      <c r="S420" t="s">
        <v>2176</v>
      </c>
      <c r="U420" t="s">
        <v>45</v>
      </c>
      <c r="V420" t="s">
        <v>46</v>
      </c>
      <c r="W420" t="s">
        <v>172</v>
      </c>
      <c r="X420" t="s">
        <v>173</v>
      </c>
      <c r="Y420" t="s">
        <v>161</v>
      </c>
      <c r="Z420" t="s">
        <v>162</v>
      </c>
      <c r="AA420" t="s">
        <v>49</v>
      </c>
      <c r="AB420" t="s">
        <v>50</v>
      </c>
      <c r="AC420" s="2">
        <v>381491.52</v>
      </c>
      <c r="AD420" t="s">
        <v>2177</v>
      </c>
    </row>
    <row r="421" spans="1:31" x14ac:dyDescent="0.25">
      <c r="A421" t="s">
        <v>2178</v>
      </c>
      <c r="B421" t="s">
        <v>2179</v>
      </c>
      <c r="C421" t="s">
        <v>2179</v>
      </c>
      <c r="D421" t="s">
        <v>773</v>
      </c>
      <c r="E421" t="s">
        <v>224</v>
      </c>
      <c r="F421" t="s">
        <v>2180</v>
      </c>
      <c r="H421" t="s">
        <v>881</v>
      </c>
      <c r="I421" t="s">
        <v>2181</v>
      </c>
      <c r="J421" s="2">
        <v>327255</v>
      </c>
      <c r="K421" s="2">
        <v>1500</v>
      </c>
      <c r="L421" s="2">
        <v>21</v>
      </c>
      <c r="M421" s="2">
        <v>0</v>
      </c>
      <c r="N421" t="s">
        <v>883</v>
      </c>
      <c r="O421" t="s">
        <v>881</v>
      </c>
      <c r="P421" t="s">
        <v>158</v>
      </c>
      <c r="Q421" t="s">
        <v>159</v>
      </c>
      <c r="S421" t="s">
        <v>2182</v>
      </c>
      <c r="U421" t="s">
        <v>45</v>
      </c>
      <c r="V421" t="s">
        <v>46</v>
      </c>
      <c r="W421" t="s">
        <v>883</v>
      </c>
      <c r="X421" t="s">
        <v>881</v>
      </c>
      <c r="Y421" t="s">
        <v>161</v>
      </c>
      <c r="Z421" t="s">
        <v>162</v>
      </c>
      <c r="AA421" t="s">
        <v>49</v>
      </c>
      <c r="AB421" t="s">
        <v>50</v>
      </c>
      <c r="AC421" s="2">
        <v>327255</v>
      </c>
      <c r="AD421" t="s">
        <v>64</v>
      </c>
    </row>
    <row r="422" spans="1:31" x14ac:dyDescent="0.25">
      <c r="A422" t="s">
        <v>2183</v>
      </c>
      <c r="B422" t="s">
        <v>2184</v>
      </c>
      <c r="C422" t="s">
        <v>2184</v>
      </c>
      <c r="D422" t="s">
        <v>984</v>
      </c>
      <c r="E422" t="s">
        <v>985</v>
      </c>
      <c r="F422" t="s">
        <v>2185</v>
      </c>
      <c r="G422" t="s">
        <v>1243</v>
      </c>
      <c r="H422" t="s">
        <v>1557</v>
      </c>
      <c r="I422" t="s">
        <v>2186</v>
      </c>
      <c r="J422" s="2">
        <v>305438</v>
      </c>
      <c r="K422" s="2">
        <v>1400</v>
      </c>
      <c r="L422" s="2">
        <v>21</v>
      </c>
      <c r="M422" s="2">
        <v>0</v>
      </c>
      <c r="N422" t="s">
        <v>1556</v>
      </c>
      <c r="O422" t="s">
        <v>1557</v>
      </c>
      <c r="P422" t="s">
        <v>316</v>
      </c>
      <c r="Q422" t="s">
        <v>317</v>
      </c>
      <c r="S422" t="s">
        <v>2187</v>
      </c>
      <c r="U422" t="s">
        <v>45</v>
      </c>
      <c r="V422" t="s">
        <v>46</v>
      </c>
      <c r="W422" t="s">
        <v>1556</v>
      </c>
      <c r="X422" t="s">
        <v>1557</v>
      </c>
      <c r="Y422" t="s">
        <v>47</v>
      </c>
      <c r="Z422" t="s">
        <v>48</v>
      </c>
      <c r="AA422" t="s">
        <v>49</v>
      </c>
      <c r="AB422" t="s">
        <v>50</v>
      </c>
      <c r="AC422" s="2">
        <v>305438</v>
      </c>
      <c r="AD422" t="s">
        <v>64</v>
      </c>
    </row>
    <row r="423" spans="1:31" x14ac:dyDescent="0.25">
      <c r="A423" t="s">
        <v>2188</v>
      </c>
      <c r="B423" t="s">
        <v>2189</v>
      </c>
      <c r="C423" t="s">
        <v>2189</v>
      </c>
      <c r="D423" t="s">
        <v>323</v>
      </c>
      <c r="E423" t="s">
        <v>77</v>
      </c>
      <c r="F423" t="s">
        <v>2190</v>
      </c>
      <c r="H423" t="s">
        <v>881</v>
      </c>
      <c r="I423" t="s">
        <v>2191</v>
      </c>
      <c r="J423" s="2">
        <v>654510</v>
      </c>
      <c r="K423" s="2">
        <v>3000</v>
      </c>
      <c r="L423" s="2">
        <v>30</v>
      </c>
      <c r="M423" s="2">
        <v>0</v>
      </c>
      <c r="N423" t="s">
        <v>883</v>
      </c>
      <c r="O423" t="s">
        <v>881</v>
      </c>
      <c r="P423" t="s">
        <v>158</v>
      </c>
      <c r="Q423" t="s">
        <v>159</v>
      </c>
      <c r="S423" t="s">
        <v>2192</v>
      </c>
      <c r="U423" t="s">
        <v>45</v>
      </c>
      <c r="V423" t="s">
        <v>46</v>
      </c>
      <c r="W423" t="s">
        <v>883</v>
      </c>
      <c r="X423" t="s">
        <v>881</v>
      </c>
      <c r="Y423" t="s">
        <v>161</v>
      </c>
      <c r="Z423" t="s">
        <v>162</v>
      </c>
      <c r="AA423" t="s">
        <v>49</v>
      </c>
      <c r="AB423" t="s">
        <v>50</v>
      </c>
      <c r="AC423" s="2">
        <v>654510</v>
      </c>
      <c r="AD423" t="s">
        <v>64</v>
      </c>
    </row>
    <row r="424" spans="1:31" hidden="1" x14ac:dyDescent="0.25">
      <c r="I424" t="s">
        <v>2193</v>
      </c>
      <c r="J424" s="2">
        <v>21817</v>
      </c>
      <c r="K424" s="2">
        <v>100</v>
      </c>
      <c r="L424" s="2">
        <v>1</v>
      </c>
      <c r="M424" s="2">
        <v>0</v>
      </c>
      <c r="S424" t="s">
        <v>2194</v>
      </c>
      <c r="U424" t="s">
        <v>45</v>
      </c>
      <c r="V424" t="s">
        <v>46</v>
      </c>
      <c r="W424" t="s">
        <v>753</v>
      </c>
      <c r="X424" t="s">
        <v>754</v>
      </c>
      <c r="Y424" t="s">
        <v>47</v>
      </c>
      <c r="Z424" t="s">
        <v>48</v>
      </c>
      <c r="AA424" t="s">
        <v>49</v>
      </c>
      <c r="AC424" s="2"/>
    </row>
    <row r="425" spans="1:31" x14ac:dyDescent="0.25">
      <c r="A425" t="s">
        <v>2195</v>
      </c>
      <c r="B425" t="s">
        <v>2196</v>
      </c>
      <c r="C425" t="s">
        <v>2196</v>
      </c>
      <c r="D425" t="s">
        <v>35</v>
      </c>
      <c r="E425" t="s">
        <v>36</v>
      </c>
      <c r="F425" t="s">
        <v>2197</v>
      </c>
      <c r="G425" t="s">
        <v>35</v>
      </c>
      <c r="H425" t="s">
        <v>87</v>
      </c>
      <c r="I425" t="s">
        <v>2198</v>
      </c>
      <c r="J425" s="2">
        <v>1309020</v>
      </c>
      <c r="K425" s="2">
        <v>6000</v>
      </c>
      <c r="L425" s="2">
        <v>30</v>
      </c>
      <c r="M425" s="2">
        <v>0</v>
      </c>
      <c r="N425" t="s">
        <v>89</v>
      </c>
      <c r="O425" t="s">
        <v>90</v>
      </c>
      <c r="P425" t="s">
        <v>91</v>
      </c>
      <c r="Q425" t="s">
        <v>92</v>
      </c>
      <c r="S425" t="s">
        <v>2199</v>
      </c>
      <c r="U425" t="s">
        <v>45</v>
      </c>
      <c r="V425" t="s">
        <v>46</v>
      </c>
      <c r="W425" t="s">
        <v>89</v>
      </c>
      <c r="X425" t="s">
        <v>90</v>
      </c>
      <c r="Y425" t="s">
        <v>92</v>
      </c>
      <c r="Z425" t="s">
        <v>94</v>
      </c>
      <c r="AA425" t="s">
        <v>49</v>
      </c>
      <c r="AB425" t="s">
        <v>50</v>
      </c>
      <c r="AC425" s="2">
        <v>997424.44</v>
      </c>
      <c r="AD425" t="s">
        <v>2200</v>
      </c>
      <c r="AE425" t="s">
        <v>52</v>
      </c>
    </row>
    <row r="426" spans="1:31" x14ac:dyDescent="0.25">
      <c r="A426" t="s">
        <v>2201</v>
      </c>
      <c r="B426" t="s">
        <v>2202</v>
      </c>
      <c r="C426" t="s">
        <v>2202</v>
      </c>
      <c r="D426" t="s">
        <v>847</v>
      </c>
      <c r="E426" t="s">
        <v>848</v>
      </c>
      <c r="F426" t="s">
        <v>2203</v>
      </c>
      <c r="H426" t="s">
        <v>38</v>
      </c>
      <c r="I426" t="s">
        <v>2204</v>
      </c>
      <c r="J426" s="2">
        <v>21817</v>
      </c>
      <c r="K426" s="2">
        <v>100</v>
      </c>
      <c r="L426" s="2">
        <v>15</v>
      </c>
      <c r="M426" s="2">
        <v>0</v>
      </c>
      <c r="N426" t="s">
        <v>40</v>
      </c>
      <c r="O426" t="s">
        <v>41</v>
      </c>
      <c r="P426" t="s">
        <v>42</v>
      </c>
      <c r="Q426" t="s">
        <v>43</v>
      </c>
      <c r="S426" t="s">
        <v>2205</v>
      </c>
      <c r="U426" t="s">
        <v>45</v>
      </c>
      <c r="V426" t="s">
        <v>46</v>
      </c>
      <c r="W426" t="s">
        <v>40</v>
      </c>
      <c r="X426" t="s">
        <v>41</v>
      </c>
      <c r="Y426" t="s">
        <v>47</v>
      </c>
      <c r="Z426" t="s">
        <v>48</v>
      </c>
      <c r="AA426" t="s">
        <v>141</v>
      </c>
      <c r="AB426" t="s">
        <v>50</v>
      </c>
      <c r="AC426" s="2">
        <v>21817</v>
      </c>
      <c r="AD426" t="s">
        <v>64</v>
      </c>
    </row>
    <row r="427" spans="1:31" x14ac:dyDescent="0.25">
      <c r="A427" t="s">
        <v>2206</v>
      </c>
      <c r="B427" t="s">
        <v>2207</v>
      </c>
      <c r="C427" t="s">
        <v>2207</v>
      </c>
      <c r="D427" t="s">
        <v>569</v>
      </c>
      <c r="E427" t="s">
        <v>570</v>
      </c>
      <c r="F427" t="s">
        <v>2208</v>
      </c>
      <c r="G427" t="s">
        <v>178</v>
      </c>
      <c r="H427" t="s">
        <v>1312</v>
      </c>
      <c r="I427" t="s">
        <v>2209</v>
      </c>
      <c r="J427" s="2">
        <v>2181700</v>
      </c>
      <c r="K427" s="2">
        <v>10000</v>
      </c>
      <c r="L427" s="2">
        <v>30</v>
      </c>
      <c r="M427" s="2">
        <v>0</v>
      </c>
      <c r="N427" t="s">
        <v>883</v>
      </c>
      <c r="O427" t="s">
        <v>881</v>
      </c>
      <c r="P427" t="s">
        <v>158</v>
      </c>
      <c r="Q427" t="s">
        <v>159</v>
      </c>
      <c r="S427" t="s">
        <v>2210</v>
      </c>
      <c r="U427" t="s">
        <v>45</v>
      </c>
      <c r="V427" t="s">
        <v>46</v>
      </c>
      <c r="W427" t="s">
        <v>883</v>
      </c>
      <c r="X427" t="s">
        <v>881</v>
      </c>
      <c r="Y427" t="s">
        <v>161</v>
      </c>
      <c r="Z427" t="s">
        <v>162</v>
      </c>
      <c r="AA427" t="s">
        <v>49</v>
      </c>
      <c r="AB427" t="s">
        <v>50</v>
      </c>
      <c r="AC427" s="2">
        <v>1876250.58</v>
      </c>
      <c r="AD427" t="s">
        <v>2211</v>
      </c>
    </row>
    <row r="428" spans="1:31" hidden="1" x14ac:dyDescent="0.25">
      <c r="I428" t="s">
        <v>2212</v>
      </c>
      <c r="J428" s="2">
        <v>1000</v>
      </c>
      <c r="K428" s="2">
        <v>0</v>
      </c>
      <c r="L428" s="2">
        <v>1</v>
      </c>
      <c r="M428" s="2">
        <v>0</v>
      </c>
      <c r="S428" t="s">
        <v>2213</v>
      </c>
      <c r="U428" t="s">
        <v>45</v>
      </c>
      <c r="V428" t="s">
        <v>46</v>
      </c>
      <c r="W428" t="s">
        <v>254</v>
      </c>
      <c r="X428" t="s">
        <v>255</v>
      </c>
      <c r="Y428" t="s">
        <v>121</v>
      </c>
      <c r="Z428" t="s">
        <v>94</v>
      </c>
      <c r="AA428" t="s">
        <v>49</v>
      </c>
      <c r="AC428" s="2"/>
    </row>
    <row r="429" spans="1:31" hidden="1" x14ac:dyDescent="0.25">
      <c r="I429" t="s">
        <v>2214</v>
      </c>
      <c r="J429" s="2">
        <v>21817</v>
      </c>
      <c r="K429" s="2">
        <v>100</v>
      </c>
      <c r="L429" s="2">
        <v>1</v>
      </c>
      <c r="M429" s="2">
        <v>0</v>
      </c>
      <c r="S429" t="s">
        <v>2217</v>
      </c>
      <c r="U429" t="s">
        <v>45</v>
      </c>
      <c r="V429" t="s">
        <v>46</v>
      </c>
      <c r="W429" t="s">
        <v>2215</v>
      </c>
      <c r="X429" t="s">
        <v>2216</v>
      </c>
      <c r="Y429" t="s">
        <v>47</v>
      </c>
      <c r="Z429" t="s">
        <v>48</v>
      </c>
      <c r="AA429" t="s">
        <v>49</v>
      </c>
      <c r="AC429" s="2"/>
    </row>
    <row r="430" spans="1:31" hidden="1" x14ac:dyDescent="0.25">
      <c r="I430" t="s">
        <v>2219</v>
      </c>
      <c r="J430" s="2">
        <v>1000</v>
      </c>
      <c r="K430" s="2">
        <v>0</v>
      </c>
      <c r="L430" s="2">
        <v>1</v>
      </c>
      <c r="M430" s="2">
        <v>0</v>
      </c>
      <c r="S430" t="s">
        <v>2222</v>
      </c>
      <c r="U430" t="s">
        <v>45</v>
      </c>
      <c r="V430" t="s">
        <v>46</v>
      </c>
      <c r="W430" t="s">
        <v>664</v>
      </c>
      <c r="X430" t="s">
        <v>665</v>
      </c>
      <c r="Y430" t="s">
        <v>106</v>
      </c>
      <c r="Z430" t="s">
        <v>107</v>
      </c>
      <c r="AA430" t="s">
        <v>49</v>
      </c>
      <c r="AC430" s="2"/>
    </row>
    <row r="431" spans="1:31" x14ac:dyDescent="0.25">
      <c r="A431" t="s">
        <v>2223</v>
      </c>
      <c r="B431" t="s">
        <v>2224</v>
      </c>
      <c r="C431" t="s">
        <v>2224</v>
      </c>
      <c r="D431" t="s">
        <v>169</v>
      </c>
      <c r="E431" t="s">
        <v>190</v>
      </c>
      <c r="F431" t="s">
        <v>2225</v>
      </c>
      <c r="G431" t="s">
        <v>169</v>
      </c>
      <c r="H431" t="s">
        <v>2218</v>
      </c>
      <c r="I431" t="s">
        <v>2226</v>
      </c>
      <c r="J431" s="2">
        <v>152719</v>
      </c>
      <c r="K431" s="2">
        <v>700</v>
      </c>
      <c r="L431" s="2">
        <v>30</v>
      </c>
      <c r="M431" s="2">
        <v>0</v>
      </c>
      <c r="N431" t="s">
        <v>664</v>
      </c>
      <c r="O431" t="s">
        <v>665</v>
      </c>
      <c r="P431" t="s">
        <v>103</v>
      </c>
      <c r="Q431" t="s">
        <v>104</v>
      </c>
      <c r="S431" t="s">
        <v>2227</v>
      </c>
      <c r="U431" t="s">
        <v>45</v>
      </c>
      <c r="V431" t="s">
        <v>46</v>
      </c>
      <c r="W431" t="s">
        <v>664</v>
      </c>
      <c r="X431" t="s">
        <v>665</v>
      </c>
      <c r="Y431" t="s">
        <v>106</v>
      </c>
      <c r="Z431" t="s">
        <v>107</v>
      </c>
      <c r="AA431" t="s">
        <v>49</v>
      </c>
      <c r="AB431" t="s">
        <v>50</v>
      </c>
      <c r="AC431" s="2">
        <v>76134.53</v>
      </c>
      <c r="AD431" t="s">
        <v>2228</v>
      </c>
      <c r="AE431" t="s">
        <v>52</v>
      </c>
    </row>
    <row r="432" spans="1:31" x14ac:dyDescent="0.25">
      <c r="A432" t="s">
        <v>2229</v>
      </c>
      <c r="B432" t="s">
        <v>2230</v>
      </c>
      <c r="C432" t="s">
        <v>2230</v>
      </c>
      <c r="D432" t="s">
        <v>153</v>
      </c>
      <c r="E432" t="s">
        <v>272</v>
      </c>
      <c r="F432" t="s">
        <v>2231</v>
      </c>
      <c r="G432" t="s">
        <v>153</v>
      </c>
      <c r="H432" t="s">
        <v>102</v>
      </c>
      <c r="J432" s="2">
        <v>1090850</v>
      </c>
      <c r="K432" s="2">
        <v>5000</v>
      </c>
      <c r="L432" s="2">
        <v>30</v>
      </c>
      <c r="M432" s="2">
        <v>0</v>
      </c>
      <c r="N432" t="s">
        <v>101</v>
      </c>
      <c r="O432" t="s">
        <v>102</v>
      </c>
      <c r="P432" t="s">
        <v>103</v>
      </c>
      <c r="Q432" t="s">
        <v>104</v>
      </c>
      <c r="S432" t="s">
        <v>2232</v>
      </c>
      <c r="U432" t="s">
        <v>45</v>
      </c>
      <c r="V432" t="s">
        <v>46</v>
      </c>
      <c r="W432" t="s">
        <v>101</v>
      </c>
      <c r="X432" t="s">
        <v>102</v>
      </c>
      <c r="Y432" t="s">
        <v>106</v>
      </c>
      <c r="Z432" t="s">
        <v>107</v>
      </c>
      <c r="AA432" t="s">
        <v>49</v>
      </c>
      <c r="AB432" t="s">
        <v>50</v>
      </c>
      <c r="AC432" s="2">
        <v>576642.97</v>
      </c>
      <c r="AD432" t="s">
        <v>2233</v>
      </c>
      <c r="AE432" t="s">
        <v>52</v>
      </c>
    </row>
    <row r="433" spans="1:31" hidden="1" x14ac:dyDescent="0.25">
      <c r="I433" t="s">
        <v>2235</v>
      </c>
      <c r="J433" s="2">
        <v>1000</v>
      </c>
      <c r="K433" s="2">
        <v>0</v>
      </c>
      <c r="L433" s="2">
        <v>1</v>
      </c>
      <c r="M433" s="2">
        <v>0</v>
      </c>
      <c r="S433" t="s">
        <v>2236</v>
      </c>
      <c r="U433" t="s">
        <v>45</v>
      </c>
      <c r="V433" t="s">
        <v>46</v>
      </c>
      <c r="W433" t="s">
        <v>1108</v>
      </c>
      <c r="X433" t="s">
        <v>1106</v>
      </c>
      <c r="Y433" t="s">
        <v>1112</v>
      </c>
      <c r="Z433" t="s">
        <v>1113</v>
      </c>
      <c r="AA433" t="s">
        <v>49</v>
      </c>
      <c r="AC433" s="2"/>
    </row>
    <row r="434" spans="1:31" x14ac:dyDescent="0.25">
      <c r="A434" t="s">
        <v>2237</v>
      </c>
      <c r="B434" t="s">
        <v>2238</v>
      </c>
      <c r="C434" t="s">
        <v>2238</v>
      </c>
      <c r="D434" t="s">
        <v>1854</v>
      </c>
      <c r="E434" t="s">
        <v>224</v>
      </c>
      <c r="F434" t="s">
        <v>2239</v>
      </c>
      <c r="H434" t="s">
        <v>181</v>
      </c>
      <c r="I434" t="s">
        <v>2240</v>
      </c>
      <c r="J434" s="2">
        <v>109085</v>
      </c>
      <c r="K434" s="2">
        <v>500</v>
      </c>
      <c r="L434" s="2">
        <v>21</v>
      </c>
      <c r="M434" s="2">
        <v>0</v>
      </c>
      <c r="N434" t="s">
        <v>183</v>
      </c>
      <c r="O434" t="s">
        <v>184</v>
      </c>
      <c r="P434" t="s">
        <v>158</v>
      </c>
      <c r="Q434" t="s">
        <v>159</v>
      </c>
      <c r="S434" t="s">
        <v>2241</v>
      </c>
      <c r="U434" t="s">
        <v>45</v>
      </c>
      <c r="V434" t="s">
        <v>46</v>
      </c>
      <c r="W434" t="s">
        <v>183</v>
      </c>
      <c r="X434" t="s">
        <v>184</v>
      </c>
      <c r="Y434" t="s">
        <v>161</v>
      </c>
      <c r="Z434" t="s">
        <v>162</v>
      </c>
      <c r="AA434" t="s">
        <v>49</v>
      </c>
      <c r="AB434" t="s">
        <v>50</v>
      </c>
      <c r="AC434" s="2">
        <v>109085</v>
      </c>
      <c r="AD434" t="s">
        <v>64</v>
      </c>
    </row>
    <row r="435" spans="1:31" x14ac:dyDescent="0.25">
      <c r="A435" t="s">
        <v>2242</v>
      </c>
      <c r="B435" t="s">
        <v>2243</v>
      </c>
      <c r="C435" t="s">
        <v>2243</v>
      </c>
      <c r="D435" t="s">
        <v>178</v>
      </c>
      <c r="E435" t="s">
        <v>179</v>
      </c>
      <c r="F435" t="s">
        <v>2244</v>
      </c>
      <c r="G435" t="s">
        <v>178</v>
      </c>
      <c r="H435" t="s">
        <v>1531</v>
      </c>
      <c r="I435" t="s">
        <v>2245</v>
      </c>
      <c r="J435" s="2">
        <v>2330500</v>
      </c>
      <c r="K435" s="2">
        <v>10000</v>
      </c>
      <c r="L435" s="2">
        <v>21</v>
      </c>
      <c r="M435" s="2">
        <v>0</v>
      </c>
      <c r="N435" t="s">
        <v>585</v>
      </c>
      <c r="O435" t="s">
        <v>584</v>
      </c>
      <c r="P435" t="s">
        <v>158</v>
      </c>
      <c r="Q435" t="s">
        <v>159</v>
      </c>
      <c r="S435" t="s">
        <v>2246</v>
      </c>
      <c r="U435" t="s">
        <v>45</v>
      </c>
      <c r="V435" t="s">
        <v>46</v>
      </c>
      <c r="W435" t="s">
        <v>585</v>
      </c>
      <c r="X435" t="s">
        <v>584</v>
      </c>
      <c r="Y435" t="s">
        <v>161</v>
      </c>
      <c r="Z435" t="s">
        <v>162</v>
      </c>
      <c r="AA435" t="s">
        <v>49</v>
      </c>
      <c r="AB435" t="s">
        <v>50</v>
      </c>
      <c r="AC435" s="2">
        <v>405658.24</v>
      </c>
      <c r="AD435" t="s">
        <v>2247</v>
      </c>
      <c r="AE435" t="s">
        <v>52</v>
      </c>
    </row>
    <row r="436" spans="1:31" hidden="1" x14ac:dyDescent="0.25">
      <c r="A436" s="10" t="s">
        <v>2248</v>
      </c>
      <c r="B436" s="10" t="s">
        <v>2249</v>
      </c>
      <c r="C436" t="s">
        <v>2249</v>
      </c>
      <c r="D436" t="s">
        <v>55</v>
      </c>
      <c r="E436" t="s">
        <v>56</v>
      </c>
      <c r="F436" t="s">
        <v>2250</v>
      </c>
      <c r="H436" t="s">
        <v>38</v>
      </c>
      <c r="I436" t="s">
        <v>2251</v>
      </c>
      <c r="J436" s="2">
        <v>1000</v>
      </c>
      <c r="K436" s="2">
        <v>0</v>
      </c>
      <c r="L436" s="2">
        <v>1</v>
      </c>
      <c r="M436" s="2">
        <v>0</v>
      </c>
      <c r="N436" t="s">
        <v>40</v>
      </c>
      <c r="O436" t="s">
        <v>41</v>
      </c>
      <c r="P436" t="s">
        <v>61</v>
      </c>
      <c r="Q436" t="s">
        <v>62</v>
      </c>
      <c r="S436" t="s">
        <v>2252</v>
      </c>
      <c r="U436" t="s">
        <v>45</v>
      </c>
      <c r="V436" t="s">
        <v>46</v>
      </c>
      <c r="W436" t="s">
        <v>40</v>
      </c>
      <c r="X436" t="s">
        <v>41</v>
      </c>
      <c r="Y436" t="s">
        <v>161</v>
      </c>
      <c r="Z436" t="s">
        <v>162</v>
      </c>
      <c r="AA436" t="s">
        <v>49</v>
      </c>
      <c r="AB436" t="s">
        <v>142</v>
      </c>
      <c r="AC436" s="2">
        <v>1000</v>
      </c>
      <c r="AD436" t="s">
        <v>64</v>
      </c>
    </row>
    <row r="437" spans="1:31" hidden="1" x14ac:dyDescent="0.25">
      <c r="A437" s="10" t="s">
        <v>2253</v>
      </c>
      <c r="B437" s="10" t="s">
        <v>2254</v>
      </c>
      <c r="C437" t="s">
        <v>2254</v>
      </c>
      <c r="D437" t="s">
        <v>55</v>
      </c>
      <c r="E437" t="s">
        <v>56</v>
      </c>
      <c r="F437" t="s">
        <v>2255</v>
      </c>
      <c r="H437" t="s">
        <v>2256</v>
      </c>
      <c r="I437" t="s">
        <v>2257</v>
      </c>
      <c r="J437" s="2">
        <v>1000</v>
      </c>
      <c r="K437" s="2">
        <v>0</v>
      </c>
      <c r="L437" s="2">
        <v>21</v>
      </c>
      <c r="M437" s="2">
        <v>0</v>
      </c>
      <c r="N437" t="s">
        <v>59</v>
      </c>
      <c r="O437" t="s">
        <v>60</v>
      </c>
      <c r="P437" t="s">
        <v>61</v>
      </c>
      <c r="Q437" t="s">
        <v>62</v>
      </c>
      <c r="S437" t="s">
        <v>2258</v>
      </c>
      <c r="U437" t="s">
        <v>45</v>
      </c>
      <c r="V437" t="s">
        <v>46</v>
      </c>
      <c r="W437" t="s">
        <v>59</v>
      </c>
      <c r="X437" t="s">
        <v>60</v>
      </c>
      <c r="Y437" t="s">
        <v>47</v>
      </c>
      <c r="Z437" t="s">
        <v>48</v>
      </c>
      <c r="AA437" t="s">
        <v>49</v>
      </c>
      <c r="AB437" t="s">
        <v>142</v>
      </c>
      <c r="AC437" s="2">
        <v>1000</v>
      </c>
      <c r="AD437" t="s">
        <v>64</v>
      </c>
    </row>
    <row r="438" spans="1:31" x14ac:dyDescent="0.25">
      <c r="A438" t="s">
        <v>2259</v>
      </c>
      <c r="B438" t="s">
        <v>2260</v>
      </c>
      <c r="C438" t="s">
        <v>2260</v>
      </c>
      <c r="D438" t="s">
        <v>125</v>
      </c>
      <c r="E438" t="s">
        <v>126</v>
      </c>
      <c r="F438" t="s">
        <v>2261</v>
      </c>
      <c r="G438" t="s">
        <v>125</v>
      </c>
      <c r="H438" t="s">
        <v>38</v>
      </c>
      <c r="I438" t="s">
        <v>2262</v>
      </c>
      <c r="J438" s="2">
        <v>218170</v>
      </c>
      <c r="K438" s="2">
        <v>1000</v>
      </c>
      <c r="L438" s="2">
        <v>15</v>
      </c>
      <c r="M438" s="2">
        <v>0</v>
      </c>
      <c r="N438" t="s">
        <v>40</v>
      </c>
      <c r="O438" t="s">
        <v>41</v>
      </c>
      <c r="P438" t="s">
        <v>61</v>
      </c>
      <c r="Q438" t="s">
        <v>62</v>
      </c>
      <c r="S438" t="s">
        <v>2263</v>
      </c>
      <c r="U438" t="s">
        <v>45</v>
      </c>
      <c r="V438" t="s">
        <v>46</v>
      </c>
      <c r="W438" t="s">
        <v>40</v>
      </c>
      <c r="X438" t="s">
        <v>41</v>
      </c>
      <c r="Y438" t="s">
        <v>47</v>
      </c>
      <c r="Z438" t="s">
        <v>48</v>
      </c>
      <c r="AA438" t="s">
        <v>49</v>
      </c>
      <c r="AB438" t="s">
        <v>50</v>
      </c>
      <c r="AC438" s="2">
        <v>149738.18</v>
      </c>
      <c r="AD438" t="s">
        <v>2264</v>
      </c>
      <c r="AE438" t="s">
        <v>52</v>
      </c>
    </row>
    <row r="439" spans="1:31" hidden="1" x14ac:dyDescent="0.25">
      <c r="A439" t="s">
        <v>2265</v>
      </c>
      <c r="B439" t="s">
        <v>2266</v>
      </c>
      <c r="C439" t="s">
        <v>2266</v>
      </c>
      <c r="D439" t="s">
        <v>55</v>
      </c>
      <c r="E439" t="s">
        <v>56</v>
      </c>
      <c r="F439" t="s">
        <v>2267</v>
      </c>
      <c r="H439" t="s">
        <v>1607</v>
      </c>
      <c r="J439" s="2">
        <v>1000</v>
      </c>
      <c r="K439" s="2">
        <v>0</v>
      </c>
      <c r="L439" s="2">
        <v>21</v>
      </c>
      <c r="M439" s="2">
        <v>0</v>
      </c>
      <c r="N439" t="s">
        <v>1221</v>
      </c>
      <c r="O439" t="s">
        <v>1222</v>
      </c>
      <c r="P439" t="s">
        <v>205</v>
      </c>
      <c r="Q439" t="s">
        <v>206</v>
      </c>
      <c r="U439" t="s">
        <v>45</v>
      </c>
      <c r="V439" t="s">
        <v>46</v>
      </c>
      <c r="W439" t="s">
        <v>1221</v>
      </c>
      <c r="X439" t="s">
        <v>1222</v>
      </c>
      <c r="Y439" t="s">
        <v>161</v>
      </c>
      <c r="Z439" t="s">
        <v>162</v>
      </c>
      <c r="AA439" t="s">
        <v>49</v>
      </c>
      <c r="AB439" t="s">
        <v>50</v>
      </c>
      <c r="AC439" s="2">
        <v>1000</v>
      </c>
      <c r="AD439" t="s">
        <v>64</v>
      </c>
    </row>
    <row r="440" spans="1:31" hidden="1" x14ac:dyDescent="0.25">
      <c r="I440" t="s">
        <v>2268</v>
      </c>
      <c r="J440" s="2">
        <v>3664</v>
      </c>
      <c r="K440" s="2">
        <v>0</v>
      </c>
      <c r="L440" s="2">
        <v>15</v>
      </c>
      <c r="M440" s="2">
        <v>0</v>
      </c>
      <c r="S440" t="s">
        <v>2269</v>
      </c>
      <c r="U440" t="s">
        <v>45</v>
      </c>
      <c r="V440" t="s">
        <v>46</v>
      </c>
      <c r="W440" t="s">
        <v>183</v>
      </c>
      <c r="X440" t="s">
        <v>184</v>
      </c>
      <c r="Y440" t="s">
        <v>161</v>
      </c>
      <c r="Z440" t="s">
        <v>162</v>
      </c>
      <c r="AA440" t="s">
        <v>49</v>
      </c>
      <c r="AC440" s="2"/>
    </row>
    <row r="441" spans="1:31" hidden="1" x14ac:dyDescent="0.25">
      <c r="A441" s="10" t="s">
        <v>2270</v>
      </c>
      <c r="B441" s="10" t="s">
        <v>2271</v>
      </c>
      <c r="C441" t="s">
        <v>2271</v>
      </c>
      <c r="D441" t="s">
        <v>55</v>
      </c>
      <c r="E441" t="s">
        <v>56</v>
      </c>
      <c r="F441" t="s">
        <v>2272</v>
      </c>
      <c r="H441" t="s">
        <v>38</v>
      </c>
      <c r="I441" t="s">
        <v>2273</v>
      </c>
      <c r="J441" s="2">
        <v>1000</v>
      </c>
      <c r="K441" s="2">
        <v>0</v>
      </c>
      <c r="L441" s="2">
        <v>15</v>
      </c>
      <c r="M441" s="2">
        <v>0</v>
      </c>
      <c r="N441" t="s">
        <v>40</v>
      </c>
      <c r="O441" t="s">
        <v>41</v>
      </c>
      <c r="P441" t="s">
        <v>61</v>
      </c>
      <c r="Q441" t="s">
        <v>62</v>
      </c>
      <c r="S441" t="s">
        <v>2274</v>
      </c>
      <c r="U441" t="s">
        <v>45</v>
      </c>
      <c r="V441" t="s">
        <v>46</v>
      </c>
      <c r="W441" t="s">
        <v>40</v>
      </c>
      <c r="X441" t="s">
        <v>41</v>
      </c>
      <c r="Y441" t="s">
        <v>47</v>
      </c>
      <c r="Z441" t="s">
        <v>48</v>
      </c>
      <c r="AA441" t="s">
        <v>49</v>
      </c>
      <c r="AB441" t="s">
        <v>142</v>
      </c>
      <c r="AC441" s="2">
        <v>1000</v>
      </c>
      <c r="AD441" t="s">
        <v>64</v>
      </c>
    </row>
    <row r="442" spans="1:31" hidden="1" x14ac:dyDescent="0.25">
      <c r="I442" t="s">
        <v>2276</v>
      </c>
      <c r="J442" s="2">
        <v>218</v>
      </c>
      <c r="K442" s="2">
        <v>1</v>
      </c>
      <c r="L442" s="2">
        <v>1</v>
      </c>
      <c r="M442" s="2">
        <v>0</v>
      </c>
      <c r="S442" t="s">
        <v>2279</v>
      </c>
      <c r="U442" t="s">
        <v>45</v>
      </c>
      <c r="V442" t="s">
        <v>46</v>
      </c>
      <c r="W442" t="s">
        <v>2277</v>
      </c>
      <c r="X442" t="s">
        <v>2278</v>
      </c>
      <c r="Y442" t="s">
        <v>258</v>
      </c>
      <c r="Z442" t="s">
        <v>259</v>
      </c>
      <c r="AA442" t="s">
        <v>49</v>
      </c>
      <c r="AC442" s="2"/>
    </row>
    <row r="443" spans="1:31" hidden="1" x14ac:dyDescent="0.25">
      <c r="I443" t="s">
        <v>2280</v>
      </c>
      <c r="J443" s="2">
        <v>1000</v>
      </c>
      <c r="K443" s="2">
        <v>0</v>
      </c>
      <c r="L443" s="2">
        <v>1</v>
      </c>
      <c r="M443" s="2">
        <v>0</v>
      </c>
      <c r="S443" t="s">
        <v>2281</v>
      </c>
      <c r="U443" t="s">
        <v>45</v>
      </c>
      <c r="V443" t="s">
        <v>46</v>
      </c>
      <c r="W443" t="s">
        <v>118</v>
      </c>
      <c r="X443" t="s">
        <v>119</v>
      </c>
      <c r="Y443" t="s">
        <v>121</v>
      </c>
      <c r="Z443" t="s">
        <v>94</v>
      </c>
      <c r="AA443" t="s">
        <v>49</v>
      </c>
      <c r="AC443" s="2"/>
    </row>
    <row r="444" spans="1:31" hidden="1" x14ac:dyDescent="0.25">
      <c r="I444" t="s">
        <v>2282</v>
      </c>
      <c r="J444" s="2">
        <v>1000</v>
      </c>
      <c r="K444" s="2">
        <v>0</v>
      </c>
      <c r="L444" s="2">
        <v>15</v>
      </c>
      <c r="M444" s="2">
        <v>0</v>
      </c>
      <c r="S444" t="s">
        <v>2283</v>
      </c>
      <c r="U444" t="s">
        <v>45</v>
      </c>
      <c r="V444" t="s">
        <v>46</v>
      </c>
      <c r="W444" t="s">
        <v>1038</v>
      </c>
      <c r="X444" t="s">
        <v>1039</v>
      </c>
      <c r="Y444" t="s">
        <v>72</v>
      </c>
      <c r="Z444" t="s">
        <v>68</v>
      </c>
      <c r="AA444" t="s">
        <v>49</v>
      </c>
      <c r="AC444" s="2"/>
    </row>
    <row r="445" spans="1:31" x14ac:dyDescent="0.25">
      <c r="A445" t="s">
        <v>2284</v>
      </c>
      <c r="B445" t="s">
        <v>2285</v>
      </c>
      <c r="C445" t="s">
        <v>2285</v>
      </c>
      <c r="D445" t="s">
        <v>2286</v>
      </c>
      <c r="E445" t="s">
        <v>134</v>
      </c>
      <c r="F445" t="s">
        <v>2287</v>
      </c>
      <c r="G445" t="s">
        <v>2288</v>
      </c>
      <c r="H445" t="s">
        <v>87</v>
      </c>
      <c r="I445" t="s">
        <v>2289</v>
      </c>
      <c r="J445" s="2">
        <v>43634</v>
      </c>
      <c r="K445" s="2">
        <v>200</v>
      </c>
      <c r="L445" s="2">
        <v>1</v>
      </c>
      <c r="M445" s="2">
        <v>0</v>
      </c>
      <c r="N445" t="s">
        <v>89</v>
      </c>
      <c r="O445" t="s">
        <v>90</v>
      </c>
      <c r="P445" t="s">
        <v>91</v>
      </c>
      <c r="Q445" t="s">
        <v>92</v>
      </c>
      <c r="S445" t="s">
        <v>2290</v>
      </c>
      <c r="U445" t="s">
        <v>45</v>
      </c>
      <c r="V445" t="s">
        <v>46</v>
      </c>
      <c r="W445" t="s">
        <v>89</v>
      </c>
      <c r="X445" t="s">
        <v>90</v>
      </c>
      <c r="Y445" t="s">
        <v>92</v>
      </c>
      <c r="Z445" t="s">
        <v>94</v>
      </c>
      <c r="AA445" t="s">
        <v>49</v>
      </c>
      <c r="AB445" t="s">
        <v>50</v>
      </c>
      <c r="AC445" s="2">
        <v>43446.18</v>
      </c>
      <c r="AD445" t="s">
        <v>2291</v>
      </c>
      <c r="AE445" t="s">
        <v>115</v>
      </c>
    </row>
    <row r="446" spans="1:31" hidden="1" x14ac:dyDescent="0.25">
      <c r="A446" s="10" t="s">
        <v>2292</v>
      </c>
      <c r="B446" s="10" t="s">
        <v>2293</v>
      </c>
      <c r="C446" t="s">
        <v>2294</v>
      </c>
      <c r="D446" t="s">
        <v>55</v>
      </c>
      <c r="E446" t="s">
        <v>56</v>
      </c>
      <c r="F446" t="s">
        <v>2295</v>
      </c>
      <c r="H446" t="s">
        <v>751</v>
      </c>
      <c r="I446" t="s">
        <v>2296</v>
      </c>
      <c r="J446" s="2">
        <v>1000</v>
      </c>
      <c r="K446" s="2">
        <v>4.33</v>
      </c>
      <c r="L446" s="2">
        <v>15</v>
      </c>
      <c r="M446" s="2">
        <v>0</v>
      </c>
      <c r="N446" t="s">
        <v>753</v>
      </c>
      <c r="O446" t="s">
        <v>754</v>
      </c>
      <c r="P446" t="s">
        <v>61</v>
      </c>
      <c r="Q446" t="s">
        <v>62</v>
      </c>
      <c r="S446" t="s">
        <v>2297</v>
      </c>
      <c r="U446" t="s">
        <v>45</v>
      </c>
      <c r="V446" t="s">
        <v>46</v>
      </c>
      <c r="W446" t="s">
        <v>753</v>
      </c>
      <c r="X446" t="s">
        <v>754</v>
      </c>
      <c r="Y446" t="s">
        <v>47</v>
      </c>
      <c r="Z446" t="s">
        <v>48</v>
      </c>
      <c r="AA446" t="s">
        <v>49</v>
      </c>
      <c r="AB446" t="s">
        <v>142</v>
      </c>
      <c r="AC446" s="2">
        <v>1000</v>
      </c>
      <c r="AD446" t="s">
        <v>64</v>
      </c>
    </row>
    <row r="447" spans="1:31" x14ac:dyDescent="0.25">
      <c r="A447" t="s">
        <v>2298</v>
      </c>
      <c r="B447" t="s">
        <v>2299</v>
      </c>
      <c r="C447" t="s">
        <v>2299</v>
      </c>
      <c r="D447" t="s">
        <v>153</v>
      </c>
      <c r="E447" t="s">
        <v>272</v>
      </c>
      <c r="F447" t="s">
        <v>2300</v>
      </c>
      <c r="G447" t="s">
        <v>153</v>
      </c>
      <c r="H447" t="s">
        <v>521</v>
      </c>
      <c r="I447" t="s">
        <v>2301</v>
      </c>
      <c r="J447" s="2">
        <v>654510</v>
      </c>
      <c r="K447" s="2">
        <v>3000</v>
      </c>
      <c r="L447" s="2">
        <v>15</v>
      </c>
      <c r="M447" s="2">
        <v>0</v>
      </c>
      <c r="N447" t="s">
        <v>523</v>
      </c>
      <c r="O447" t="s">
        <v>524</v>
      </c>
      <c r="P447" t="s">
        <v>91</v>
      </c>
      <c r="Q447" t="s">
        <v>92</v>
      </c>
      <c r="S447" t="s">
        <v>2302</v>
      </c>
      <c r="U447" t="s">
        <v>45</v>
      </c>
      <c r="V447" t="s">
        <v>46</v>
      </c>
      <c r="W447" t="s">
        <v>523</v>
      </c>
      <c r="X447" t="s">
        <v>524</v>
      </c>
      <c r="Y447" t="s">
        <v>92</v>
      </c>
      <c r="Z447" t="s">
        <v>94</v>
      </c>
      <c r="AA447" t="s">
        <v>49</v>
      </c>
      <c r="AB447" t="s">
        <v>50</v>
      </c>
      <c r="AC447" s="2">
        <v>316936.42</v>
      </c>
      <c r="AD447" t="s">
        <v>2303</v>
      </c>
      <c r="AE447" t="s">
        <v>115</v>
      </c>
    </row>
    <row r="448" spans="1:31" hidden="1" x14ac:dyDescent="0.25">
      <c r="J448" s="2">
        <v>1000</v>
      </c>
      <c r="K448" s="2">
        <v>0</v>
      </c>
      <c r="L448" s="2">
        <v>21</v>
      </c>
      <c r="M448" s="2">
        <v>0</v>
      </c>
      <c r="S448" t="s">
        <v>788</v>
      </c>
      <c r="U448" t="s">
        <v>45</v>
      </c>
      <c r="V448" t="s">
        <v>46</v>
      </c>
      <c r="W448" t="s">
        <v>118</v>
      </c>
      <c r="X448" t="s">
        <v>119</v>
      </c>
      <c r="Y448" t="s">
        <v>121</v>
      </c>
      <c r="Z448" t="s">
        <v>94</v>
      </c>
      <c r="AA448" t="s">
        <v>49</v>
      </c>
      <c r="AC448" s="2"/>
    </row>
    <row r="449" spans="1:31" x14ac:dyDescent="0.25">
      <c r="A449" t="s">
        <v>2304</v>
      </c>
      <c r="B449" t="s">
        <v>2305</v>
      </c>
      <c r="C449" t="s">
        <v>2305</v>
      </c>
      <c r="D449" t="s">
        <v>773</v>
      </c>
      <c r="E449" t="s">
        <v>224</v>
      </c>
      <c r="F449" t="s">
        <v>2306</v>
      </c>
      <c r="G449" t="s">
        <v>773</v>
      </c>
      <c r="H449" t="s">
        <v>87</v>
      </c>
      <c r="I449" t="s">
        <v>2307</v>
      </c>
      <c r="J449" s="2">
        <v>29075</v>
      </c>
      <c r="K449" s="2">
        <v>130</v>
      </c>
      <c r="L449" s="2">
        <v>1</v>
      </c>
      <c r="M449" s="2">
        <v>0</v>
      </c>
      <c r="N449" t="s">
        <v>89</v>
      </c>
      <c r="O449" t="s">
        <v>90</v>
      </c>
      <c r="P449" t="s">
        <v>91</v>
      </c>
      <c r="Q449" t="s">
        <v>92</v>
      </c>
      <c r="S449" t="s">
        <v>2308</v>
      </c>
      <c r="U449" t="s">
        <v>45</v>
      </c>
      <c r="V449" t="s">
        <v>46</v>
      </c>
      <c r="W449" t="s">
        <v>89</v>
      </c>
      <c r="X449" t="s">
        <v>90</v>
      </c>
      <c r="Y449" t="s">
        <v>92</v>
      </c>
      <c r="Z449" t="s">
        <v>94</v>
      </c>
      <c r="AA449" t="s">
        <v>49</v>
      </c>
      <c r="AB449" t="s">
        <v>50</v>
      </c>
      <c r="AC449" s="2">
        <v>29075</v>
      </c>
      <c r="AD449" t="s">
        <v>64</v>
      </c>
    </row>
    <row r="450" spans="1:31" x14ac:dyDescent="0.25">
      <c r="A450" t="s">
        <v>2309</v>
      </c>
      <c r="B450" t="s">
        <v>2310</v>
      </c>
      <c r="C450" t="s">
        <v>2310</v>
      </c>
      <c r="D450" t="s">
        <v>125</v>
      </c>
      <c r="E450" t="s">
        <v>126</v>
      </c>
      <c r="F450" t="s">
        <v>2311</v>
      </c>
      <c r="G450" t="s">
        <v>153</v>
      </c>
      <c r="H450" t="s">
        <v>1312</v>
      </c>
      <c r="I450" t="s">
        <v>2312</v>
      </c>
      <c r="J450" s="2">
        <v>989640</v>
      </c>
      <c r="K450" s="2">
        <v>4000</v>
      </c>
      <c r="L450" s="2">
        <v>7</v>
      </c>
      <c r="M450" s="2">
        <v>0</v>
      </c>
      <c r="N450" t="s">
        <v>883</v>
      </c>
      <c r="O450" t="s">
        <v>881</v>
      </c>
      <c r="P450" t="s">
        <v>158</v>
      </c>
      <c r="Q450" t="s">
        <v>159</v>
      </c>
      <c r="S450" t="s">
        <v>2313</v>
      </c>
      <c r="U450" t="s">
        <v>45</v>
      </c>
      <c r="V450" t="s">
        <v>46</v>
      </c>
      <c r="W450" t="s">
        <v>883</v>
      </c>
      <c r="X450" t="s">
        <v>881</v>
      </c>
      <c r="Y450" t="s">
        <v>161</v>
      </c>
      <c r="Z450" t="s">
        <v>162</v>
      </c>
      <c r="AA450" t="s">
        <v>49</v>
      </c>
      <c r="AB450" t="s">
        <v>50</v>
      </c>
      <c r="AC450" s="2">
        <v>567948.81000000006</v>
      </c>
      <c r="AD450" t="s">
        <v>2314</v>
      </c>
    </row>
    <row r="451" spans="1:31" x14ac:dyDescent="0.25">
      <c r="A451" t="s">
        <v>2315</v>
      </c>
      <c r="B451" t="s">
        <v>2316</v>
      </c>
      <c r="C451" t="s">
        <v>2316</v>
      </c>
      <c r="D451" t="s">
        <v>819</v>
      </c>
      <c r="E451" t="s">
        <v>224</v>
      </c>
      <c r="F451" t="s">
        <v>2317</v>
      </c>
      <c r="G451" t="s">
        <v>1941</v>
      </c>
      <c r="H451" t="s">
        <v>2318</v>
      </c>
      <c r="I451" t="s">
        <v>2319</v>
      </c>
      <c r="J451" s="2">
        <v>3054380</v>
      </c>
      <c r="K451" s="2">
        <v>14000</v>
      </c>
      <c r="L451" s="2">
        <v>45</v>
      </c>
      <c r="M451" s="2">
        <v>0</v>
      </c>
      <c r="N451" t="s">
        <v>2159</v>
      </c>
      <c r="O451" t="s">
        <v>2160</v>
      </c>
      <c r="P451" t="s">
        <v>2320</v>
      </c>
      <c r="Q451" t="s">
        <v>2321</v>
      </c>
      <c r="S451" t="s">
        <v>2322</v>
      </c>
      <c r="U451" t="s">
        <v>45</v>
      </c>
      <c r="V451" t="s">
        <v>46</v>
      </c>
      <c r="W451" t="s">
        <v>2159</v>
      </c>
      <c r="X451" t="s">
        <v>2160</v>
      </c>
      <c r="Y451" t="s">
        <v>2157</v>
      </c>
      <c r="Z451" t="s">
        <v>48</v>
      </c>
      <c r="AA451" t="s">
        <v>49</v>
      </c>
      <c r="AB451" t="s">
        <v>50</v>
      </c>
      <c r="AC451" s="2">
        <v>3054380</v>
      </c>
      <c r="AD451" t="s">
        <v>64</v>
      </c>
    </row>
    <row r="452" spans="1:31" hidden="1" x14ac:dyDescent="0.25">
      <c r="I452" t="s">
        <v>2323</v>
      </c>
      <c r="J452" s="2">
        <v>65451</v>
      </c>
      <c r="K452" s="2">
        <v>300</v>
      </c>
      <c r="L452" s="2">
        <v>15</v>
      </c>
      <c r="M452" s="2">
        <v>0</v>
      </c>
      <c r="S452" t="s">
        <v>2326</v>
      </c>
      <c r="U452" t="s">
        <v>45</v>
      </c>
      <c r="V452" t="s">
        <v>46</v>
      </c>
      <c r="W452" t="s">
        <v>2324</v>
      </c>
      <c r="X452" t="s">
        <v>2325</v>
      </c>
      <c r="Y452" t="s">
        <v>106</v>
      </c>
      <c r="Z452" t="s">
        <v>107</v>
      </c>
      <c r="AA452" t="s">
        <v>49</v>
      </c>
      <c r="AC452" s="2"/>
    </row>
    <row r="453" spans="1:31" hidden="1" x14ac:dyDescent="0.25">
      <c r="I453" t="s">
        <v>2327</v>
      </c>
      <c r="J453" s="2">
        <v>21817</v>
      </c>
      <c r="K453" s="2">
        <v>100</v>
      </c>
      <c r="L453" s="2">
        <v>1</v>
      </c>
      <c r="M453" s="2">
        <v>0</v>
      </c>
      <c r="S453" t="s">
        <v>2328</v>
      </c>
      <c r="U453" t="s">
        <v>45</v>
      </c>
      <c r="V453" t="s">
        <v>46</v>
      </c>
      <c r="W453" t="s">
        <v>613</v>
      </c>
      <c r="X453" t="s">
        <v>614</v>
      </c>
      <c r="Y453" t="s">
        <v>92</v>
      </c>
      <c r="Z453" t="s">
        <v>94</v>
      </c>
      <c r="AA453" t="s">
        <v>49</v>
      </c>
      <c r="AC453" s="2"/>
    </row>
    <row r="454" spans="1:31" hidden="1" x14ac:dyDescent="0.25">
      <c r="A454" s="10" t="s">
        <v>2329</v>
      </c>
      <c r="B454" s="10" t="s">
        <v>2330</v>
      </c>
      <c r="C454" t="s">
        <v>2331</v>
      </c>
      <c r="D454" t="s">
        <v>55</v>
      </c>
      <c r="E454" t="s">
        <v>56</v>
      </c>
      <c r="F454" t="s">
        <v>2332</v>
      </c>
      <c r="H454" t="s">
        <v>751</v>
      </c>
      <c r="I454" t="s">
        <v>2333</v>
      </c>
      <c r="J454" s="2">
        <v>13000</v>
      </c>
      <c r="K454" s="2">
        <v>56.26</v>
      </c>
      <c r="L454" s="2">
        <v>15</v>
      </c>
      <c r="M454" s="2">
        <v>0</v>
      </c>
      <c r="N454" t="s">
        <v>753</v>
      </c>
      <c r="O454" t="s">
        <v>754</v>
      </c>
      <c r="P454" t="s">
        <v>61</v>
      </c>
      <c r="Q454" t="s">
        <v>62</v>
      </c>
      <c r="S454" t="s">
        <v>2334</v>
      </c>
      <c r="U454" t="s">
        <v>45</v>
      </c>
      <c r="V454" t="s">
        <v>46</v>
      </c>
      <c r="W454" t="s">
        <v>753</v>
      </c>
      <c r="X454" t="s">
        <v>754</v>
      </c>
      <c r="Y454" t="s">
        <v>47</v>
      </c>
      <c r="Z454" t="s">
        <v>48</v>
      </c>
      <c r="AA454" t="s">
        <v>49</v>
      </c>
      <c r="AB454" t="s">
        <v>142</v>
      </c>
      <c r="AC454" s="2">
        <v>13000</v>
      </c>
      <c r="AD454" t="s">
        <v>64</v>
      </c>
    </row>
    <row r="455" spans="1:31" hidden="1" x14ac:dyDescent="0.25">
      <c r="I455" t="s">
        <v>2335</v>
      </c>
      <c r="J455" s="2">
        <v>218170</v>
      </c>
      <c r="K455" s="2">
        <v>1000</v>
      </c>
      <c r="L455" s="2">
        <v>15</v>
      </c>
      <c r="M455" s="2">
        <v>0</v>
      </c>
      <c r="S455" t="s">
        <v>2336</v>
      </c>
      <c r="U455" t="s">
        <v>45</v>
      </c>
      <c r="V455" t="s">
        <v>46</v>
      </c>
      <c r="W455" t="s">
        <v>118</v>
      </c>
      <c r="X455" t="s">
        <v>119</v>
      </c>
      <c r="Y455" t="s">
        <v>121</v>
      </c>
      <c r="Z455" t="s">
        <v>94</v>
      </c>
      <c r="AA455" t="s">
        <v>49</v>
      </c>
      <c r="AC455" s="2"/>
    </row>
    <row r="456" spans="1:31" x14ac:dyDescent="0.25">
      <c r="A456" t="s">
        <v>2337</v>
      </c>
      <c r="B456" t="s">
        <v>2338</v>
      </c>
      <c r="C456" t="s">
        <v>2338</v>
      </c>
      <c r="D456" t="s">
        <v>2339</v>
      </c>
      <c r="E456" t="s">
        <v>134</v>
      </c>
      <c r="F456" t="s">
        <v>2340</v>
      </c>
      <c r="G456" t="s">
        <v>2339</v>
      </c>
      <c r="H456" t="s">
        <v>87</v>
      </c>
      <c r="I456" t="s">
        <v>2341</v>
      </c>
      <c r="J456" s="2">
        <v>218170</v>
      </c>
      <c r="K456" s="2">
        <v>1000</v>
      </c>
      <c r="L456" s="2">
        <v>21</v>
      </c>
      <c r="M456" s="2">
        <v>0</v>
      </c>
      <c r="N456" t="s">
        <v>89</v>
      </c>
      <c r="O456" t="s">
        <v>90</v>
      </c>
      <c r="P456" t="s">
        <v>91</v>
      </c>
      <c r="Q456" t="s">
        <v>92</v>
      </c>
      <c r="S456" t="s">
        <v>2342</v>
      </c>
      <c r="U456" t="s">
        <v>45</v>
      </c>
      <c r="V456" t="s">
        <v>46</v>
      </c>
      <c r="W456" t="s">
        <v>89</v>
      </c>
      <c r="X456" t="s">
        <v>90</v>
      </c>
      <c r="Y456" t="s">
        <v>92</v>
      </c>
      <c r="Z456" t="s">
        <v>94</v>
      </c>
      <c r="AA456" t="s">
        <v>49</v>
      </c>
      <c r="AB456" t="s">
        <v>50</v>
      </c>
      <c r="AC456" s="2">
        <v>218170</v>
      </c>
      <c r="AD456" t="s">
        <v>64</v>
      </c>
    </row>
    <row r="457" spans="1:31" hidden="1" x14ac:dyDescent="0.25">
      <c r="I457" t="s">
        <v>2343</v>
      </c>
      <c r="J457" s="2">
        <v>7339</v>
      </c>
      <c r="K457" s="2">
        <v>0</v>
      </c>
      <c r="L457" s="2">
        <v>21</v>
      </c>
      <c r="M457" s="2">
        <v>0</v>
      </c>
      <c r="S457" t="s">
        <v>2344</v>
      </c>
      <c r="U457" t="s">
        <v>45</v>
      </c>
      <c r="V457" t="s">
        <v>46</v>
      </c>
      <c r="W457" t="s">
        <v>156</v>
      </c>
      <c r="X457" t="s">
        <v>157</v>
      </c>
      <c r="Y457" t="s">
        <v>161</v>
      </c>
      <c r="Z457" t="s">
        <v>162</v>
      </c>
      <c r="AA457" t="s">
        <v>49</v>
      </c>
      <c r="AC457" s="2"/>
    </row>
    <row r="458" spans="1:31" hidden="1" x14ac:dyDescent="0.25">
      <c r="A458" s="10" t="s">
        <v>2345</v>
      </c>
      <c r="B458" s="10" t="s">
        <v>2346</v>
      </c>
      <c r="C458" t="s">
        <v>2346</v>
      </c>
      <c r="D458" t="s">
        <v>55</v>
      </c>
      <c r="E458" t="s">
        <v>56</v>
      </c>
      <c r="F458" t="s">
        <v>2347</v>
      </c>
      <c r="H458" t="s">
        <v>38</v>
      </c>
      <c r="I458" t="s">
        <v>2348</v>
      </c>
      <c r="J458" s="2">
        <v>1000</v>
      </c>
      <c r="K458" s="2">
        <v>4.33</v>
      </c>
      <c r="L458" s="2">
        <v>1</v>
      </c>
      <c r="M458" s="2">
        <v>0</v>
      </c>
      <c r="N458" t="s">
        <v>40</v>
      </c>
      <c r="O458" t="s">
        <v>41</v>
      </c>
      <c r="P458" t="s">
        <v>61</v>
      </c>
      <c r="Q458" t="s">
        <v>62</v>
      </c>
      <c r="S458" t="s">
        <v>2349</v>
      </c>
      <c r="U458" t="s">
        <v>45</v>
      </c>
      <c r="V458" t="s">
        <v>46</v>
      </c>
      <c r="W458" t="s">
        <v>40</v>
      </c>
      <c r="X458" t="s">
        <v>41</v>
      </c>
      <c r="Y458" t="s">
        <v>47</v>
      </c>
      <c r="Z458" t="s">
        <v>48</v>
      </c>
      <c r="AA458" t="s">
        <v>49</v>
      </c>
      <c r="AB458" t="s">
        <v>142</v>
      </c>
      <c r="AC458" s="2">
        <v>1000</v>
      </c>
      <c r="AD458" t="s">
        <v>64</v>
      </c>
    </row>
    <row r="459" spans="1:31" x14ac:dyDescent="0.25">
      <c r="A459" t="s">
        <v>2350</v>
      </c>
      <c r="B459" t="s">
        <v>2351</v>
      </c>
      <c r="C459" t="s">
        <v>2351</v>
      </c>
      <c r="D459" t="s">
        <v>153</v>
      </c>
      <c r="E459" t="s">
        <v>272</v>
      </c>
      <c r="F459" t="s">
        <v>2352</v>
      </c>
      <c r="G459" t="s">
        <v>153</v>
      </c>
      <c r="H459" t="s">
        <v>102</v>
      </c>
      <c r="J459" s="2">
        <v>872680</v>
      </c>
      <c r="K459" s="2">
        <v>4000</v>
      </c>
      <c r="L459" s="2">
        <v>30</v>
      </c>
      <c r="M459" s="2">
        <v>0</v>
      </c>
      <c r="N459" t="s">
        <v>101</v>
      </c>
      <c r="O459" t="s">
        <v>102</v>
      </c>
      <c r="P459" t="s">
        <v>103</v>
      </c>
      <c r="Q459" t="s">
        <v>104</v>
      </c>
      <c r="S459" t="s">
        <v>2353</v>
      </c>
      <c r="U459" t="s">
        <v>45</v>
      </c>
      <c r="V459" t="s">
        <v>46</v>
      </c>
      <c r="W459" t="s">
        <v>101</v>
      </c>
      <c r="X459" t="s">
        <v>102</v>
      </c>
      <c r="Y459" t="s">
        <v>106</v>
      </c>
      <c r="Z459" t="s">
        <v>107</v>
      </c>
      <c r="AA459" t="s">
        <v>49</v>
      </c>
      <c r="AB459" t="s">
        <v>50</v>
      </c>
      <c r="AC459" s="2">
        <v>429221.47</v>
      </c>
      <c r="AD459" t="s">
        <v>2354</v>
      </c>
      <c r="AE459" t="s">
        <v>52</v>
      </c>
    </row>
    <row r="460" spans="1:31" x14ac:dyDescent="0.25">
      <c r="A460" t="s">
        <v>2355</v>
      </c>
      <c r="B460" t="s">
        <v>2356</v>
      </c>
      <c r="C460" t="s">
        <v>2356</v>
      </c>
      <c r="D460" t="s">
        <v>649</v>
      </c>
      <c r="E460" t="s">
        <v>871</v>
      </c>
      <c r="F460" t="s">
        <v>2357</v>
      </c>
      <c r="G460" t="s">
        <v>1504</v>
      </c>
      <c r="H460" t="s">
        <v>1312</v>
      </c>
      <c r="I460" t="s">
        <v>2358</v>
      </c>
      <c r="J460" s="2">
        <v>1636275</v>
      </c>
      <c r="K460" s="2">
        <v>7500</v>
      </c>
      <c r="L460" s="2">
        <v>15</v>
      </c>
      <c r="M460" s="2">
        <v>0</v>
      </c>
      <c r="N460" t="s">
        <v>883</v>
      </c>
      <c r="O460" t="s">
        <v>881</v>
      </c>
      <c r="P460" t="s">
        <v>158</v>
      </c>
      <c r="Q460" t="s">
        <v>159</v>
      </c>
      <c r="S460" t="s">
        <v>2359</v>
      </c>
      <c r="U460" t="s">
        <v>45</v>
      </c>
      <c r="V460" t="s">
        <v>46</v>
      </c>
      <c r="W460" t="s">
        <v>883</v>
      </c>
      <c r="X460" t="s">
        <v>881</v>
      </c>
      <c r="Y460" t="s">
        <v>161</v>
      </c>
      <c r="Z460" t="s">
        <v>162</v>
      </c>
      <c r="AA460" t="s">
        <v>49</v>
      </c>
      <c r="AB460" t="s">
        <v>50</v>
      </c>
      <c r="AC460" s="2">
        <v>1212383.6100000001</v>
      </c>
      <c r="AD460" t="s">
        <v>2360</v>
      </c>
    </row>
    <row r="461" spans="1:31" x14ac:dyDescent="0.25">
      <c r="A461" t="s">
        <v>2361</v>
      </c>
      <c r="B461" t="s">
        <v>2362</v>
      </c>
      <c r="C461" t="s">
        <v>2362</v>
      </c>
      <c r="D461" t="s">
        <v>35</v>
      </c>
      <c r="E461" t="s">
        <v>36</v>
      </c>
      <c r="F461" t="s">
        <v>2363</v>
      </c>
      <c r="G461" t="s">
        <v>344</v>
      </c>
      <c r="H461" t="s">
        <v>300</v>
      </c>
      <c r="I461" t="s">
        <v>2364</v>
      </c>
      <c r="J461" s="2">
        <v>48622</v>
      </c>
      <c r="K461" s="2">
        <v>200</v>
      </c>
      <c r="L461" s="2">
        <v>7</v>
      </c>
      <c r="M461" s="2">
        <v>0</v>
      </c>
      <c r="N461" t="s">
        <v>302</v>
      </c>
      <c r="O461" t="s">
        <v>303</v>
      </c>
      <c r="P461" t="s">
        <v>304</v>
      </c>
      <c r="Q461" t="s">
        <v>72</v>
      </c>
      <c r="S461" t="s">
        <v>2365</v>
      </c>
      <c r="U461" t="s">
        <v>45</v>
      </c>
      <c r="V461" t="s">
        <v>46</v>
      </c>
      <c r="W461" t="s">
        <v>302</v>
      </c>
      <c r="X461" t="s">
        <v>303</v>
      </c>
      <c r="Y461" t="s">
        <v>72</v>
      </c>
      <c r="Z461" t="s">
        <v>68</v>
      </c>
      <c r="AA461" t="s">
        <v>49</v>
      </c>
      <c r="AB461" t="s">
        <v>50</v>
      </c>
      <c r="AC461" s="2">
        <v>10303.11</v>
      </c>
      <c r="AD461" t="s">
        <v>2366</v>
      </c>
      <c r="AE461" t="s">
        <v>115</v>
      </c>
    </row>
    <row r="462" spans="1:31" x14ac:dyDescent="0.25">
      <c r="A462" t="s">
        <v>2367</v>
      </c>
      <c r="B462" t="s">
        <v>2368</v>
      </c>
      <c r="C462" t="s">
        <v>2368</v>
      </c>
      <c r="D462" t="s">
        <v>125</v>
      </c>
      <c r="E462" t="s">
        <v>126</v>
      </c>
      <c r="F462" t="s">
        <v>2369</v>
      </c>
      <c r="G462" t="s">
        <v>153</v>
      </c>
      <c r="H462" t="s">
        <v>274</v>
      </c>
      <c r="I462" t="s">
        <v>2370</v>
      </c>
      <c r="J462" s="2">
        <v>2364600</v>
      </c>
      <c r="K462" s="2">
        <v>10000</v>
      </c>
      <c r="L462" s="2">
        <v>30</v>
      </c>
      <c r="M462" s="2">
        <v>0</v>
      </c>
      <c r="N462" t="s">
        <v>276</v>
      </c>
      <c r="O462" t="s">
        <v>277</v>
      </c>
      <c r="P462" t="s">
        <v>103</v>
      </c>
      <c r="Q462" t="s">
        <v>104</v>
      </c>
      <c r="S462" t="s">
        <v>2371</v>
      </c>
      <c r="U462" t="s">
        <v>45</v>
      </c>
      <c r="V462" t="s">
        <v>46</v>
      </c>
      <c r="W462" t="s">
        <v>276</v>
      </c>
      <c r="X462" t="s">
        <v>277</v>
      </c>
      <c r="Y462" t="s">
        <v>279</v>
      </c>
      <c r="Z462" t="s">
        <v>280</v>
      </c>
      <c r="AA462" t="s">
        <v>49</v>
      </c>
      <c r="AB462" t="s">
        <v>50</v>
      </c>
      <c r="AC462" s="2">
        <v>918352.24</v>
      </c>
      <c r="AD462" t="s">
        <v>2372</v>
      </c>
      <c r="AE462" t="s">
        <v>52</v>
      </c>
    </row>
    <row r="463" spans="1:31" x14ac:dyDescent="0.25">
      <c r="A463" t="s">
        <v>2373</v>
      </c>
      <c r="B463" t="s">
        <v>2374</v>
      </c>
      <c r="C463" t="s">
        <v>2374</v>
      </c>
      <c r="D463" t="s">
        <v>35</v>
      </c>
      <c r="E463" t="s">
        <v>36</v>
      </c>
      <c r="F463" t="s">
        <v>2375</v>
      </c>
      <c r="G463" t="s">
        <v>153</v>
      </c>
      <c r="H463" t="s">
        <v>1547</v>
      </c>
      <c r="I463" t="s">
        <v>2376</v>
      </c>
      <c r="J463" s="2">
        <v>109085</v>
      </c>
      <c r="K463" s="2">
        <v>500</v>
      </c>
      <c r="L463" s="2">
        <v>15</v>
      </c>
      <c r="M463" s="2">
        <v>0</v>
      </c>
      <c r="N463" t="s">
        <v>1546</v>
      </c>
      <c r="O463" t="s">
        <v>1547</v>
      </c>
      <c r="P463" t="s">
        <v>103</v>
      </c>
      <c r="Q463" t="s">
        <v>104</v>
      </c>
      <c r="S463" t="s">
        <v>2377</v>
      </c>
      <c r="U463" t="s">
        <v>45</v>
      </c>
      <c r="V463" t="s">
        <v>46</v>
      </c>
      <c r="W463" t="s">
        <v>1546</v>
      </c>
      <c r="X463" t="s">
        <v>1547</v>
      </c>
      <c r="Y463" t="s">
        <v>279</v>
      </c>
      <c r="Z463" t="s">
        <v>280</v>
      </c>
      <c r="AA463" t="s">
        <v>49</v>
      </c>
      <c r="AB463" t="s">
        <v>50</v>
      </c>
      <c r="AC463" s="2">
        <v>63803.6</v>
      </c>
      <c r="AD463" t="s">
        <v>2378</v>
      </c>
      <c r="AE463" t="s">
        <v>52</v>
      </c>
    </row>
    <row r="464" spans="1:31" x14ac:dyDescent="0.25">
      <c r="A464" t="s">
        <v>2379</v>
      </c>
      <c r="B464" t="s">
        <v>2380</v>
      </c>
      <c r="C464" t="s">
        <v>2380</v>
      </c>
      <c r="D464" t="s">
        <v>2118</v>
      </c>
      <c r="E464" t="s">
        <v>871</v>
      </c>
      <c r="F464" t="s">
        <v>2381</v>
      </c>
      <c r="H464" t="s">
        <v>2382</v>
      </c>
      <c r="I464" t="s">
        <v>2383</v>
      </c>
      <c r="J464" s="2">
        <v>436340</v>
      </c>
      <c r="K464" s="2">
        <v>2000</v>
      </c>
      <c r="L464" s="2">
        <v>21</v>
      </c>
      <c r="M464" s="2">
        <v>0</v>
      </c>
      <c r="N464" t="s">
        <v>2384</v>
      </c>
      <c r="O464" t="s">
        <v>2385</v>
      </c>
      <c r="P464" t="s">
        <v>103</v>
      </c>
      <c r="Q464" t="s">
        <v>104</v>
      </c>
      <c r="S464" t="s">
        <v>2386</v>
      </c>
      <c r="U464" t="s">
        <v>45</v>
      </c>
      <c r="V464" t="s">
        <v>46</v>
      </c>
      <c r="W464" t="s">
        <v>2384</v>
      </c>
      <c r="X464" t="s">
        <v>2385</v>
      </c>
      <c r="Y464" t="s">
        <v>106</v>
      </c>
      <c r="Z464" t="s">
        <v>107</v>
      </c>
      <c r="AA464" t="s">
        <v>49</v>
      </c>
      <c r="AB464" t="s">
        <v>50</v>
      </c>
      <c r="AC464" s="2">
        <v>436340</v>
      </c>
      <c r="AD464" t="s">
        <v>64</v>
      </c>
    </row>
    <row r="465" spans="1:31" x14ac:dyDescent="0.25">
      <c r="A465" t="s">
        <v>2387</v>
      </c>
      <c r="B465" t="s">
        <v>2388</v>
      </c>
      <c r="C465" t="s">
        <v>2388</v>
      </c>
      <c r="D465" t="s">
        <v>2389</v>
      </c>
      <c r="E465" t="s">
        <v>134</v>
      </c>
      <c r="F465" t="s">
        <v>2390</v>
      </c>
      <c r="H465" t="s">
        <v>2391</v>
      </c>
      <c r="I465" t="s">
        <v>2392</v>
      </c>
      <c r="J465" s="2">
        <v>76360</v>
      </c>
      <c r="K465" s="2">
        <v>350</v>
      </c>
      <c r="L465" s="2">
        <v>15</v>
      </c>
      <c r="M465" s="2">
        <v>0</v>
      </c>
      <c r="N465" t="s">
        <v>2393</v>
      </c>
      <c r="O465" t="s">
        <v>2394</v>
      </c>
      <c r="P465" t="s">
        <v>61</v>
      </c>
      <c r="Q465" t="s">
        <v>62</v>
      </c>
      <c r="S465" t="s">
        <v>2395</v>
      </c>
      <c r="U465" t="s">
        <v>45</v>
      </c>
      <c r="V465" t="s">
        <v>46</v>
      </c>
      <c r="W465" t="s">
        <v>2393</v>
      </c>
      <c r="X465" t="s">
        <v>2394</v>
      </c>
      <c r="Y465" t="s">
        <v>47</v>
      </c>
      <c r="Z465" t="s">
        <v>48</v>
      </c>
      <c r="AA465" t="s">
        <v>49</v>
      </c>
      <c r="AB465" t="s">
        <v>50</v>
      </c>
      <c r="AC465" s="2">
        <v>76360</v>
      </c>
      <c r="AD465" t="s">
        <v>64</v>
      </c>
    </row>
    <row r="466" spans="1:31" hidden="1" x14ac:dyDescent="0.25">
      <c r="I466" t="s">
        <v>2397</v>
      </c>
      <c r="J466" s="2">
        <v>100</v>
      </c>
      <c r="K466" s="2">
        <v>0</v>
      </c>
      <c r="L466" s="2">
        <v>1</v>
      </c>
      <c r="M466" s="2">
        <v>0</v>
      </c>
      <c r="S466" t="s">
        <v>2398</v>
      </c>
      <c r="U466" t="s">
        <v>45</v>
      </c>
      <c r="V466" t="s">
        <v>46</v>
      </c>
      <c r="W466" t="s">
        <v>1546</v>
      </c>
      <c r="X466" t="s">
        <v>1547</v>
      </c>
      <c r="Y466" t="s">
        <v>2399</v>
      </c>
      <c r="Z466" t="s">
        <v>2400</v>
      </c>
      <c r="AA466" t="s">
        <v>49</v>
      </c>
      <c r="AC466" s="2"/>
    </row>
    <row r="467" spans="1:31" x14ac:dyDescent="0.25">
      <c r="A467" t="s">
        <v>2401</v>
      </c>
      <c r="B467" t="s">
        <v>2402</v>
      </c>
      <c r="C467" t="s">
        <v>803</v>
      </c>
      <c r="D467" t="s">
        <v>498</v>
      </c>
      <c r="E467" t="s">
        <v>190</v>
      </c>
      <c r="F467" t="s">
        <v>2403</v>
      </c>
      <c r="G467" t="s">
        <v>498</v>
      </c>
      <c r="H467" t="s">
        <v>2382</v>
      </c>
      <c r="I467" t="s">
        <v>2404</v>
      </c>
      <c r="J467" s="2">
        <v>65451</v>
      </c>
      <c r="K467" s="2">
        <v>300</v>
      </c>
      <c r="L467" s="2">
        <v>15</v>
      </c>
      <c r="M467" s="2">
        <v>0</v>
      </c>
      <c r="N467" t="s">
        <v>2384</v>
      </c>
      <c r="O467" t="s">
        <v>2385</v>
      </c>
      <c r="P467" t="s">
        <v>103</v>
      </c>
      <c r="Q467" t="s">
        <v>104</v>
      </c>
      <c r="S467" t="s">
        <v>2405</v>
      </c>
      <c r="U467" t="s">
        <v>45</v>
      </c>
      <c r="V467" t="s">
        <v>46</v>
      </c>
      <c r="W467" t="s">
        <v>2384</v>
      </c>
      <c r="X467" t="s">
        <v>2385</v>
      </c>
      <c r="Y467" t="s">
        <v>106</v>
      </c>
      <c r="Z467" t="s">
        <v>107</v>
      </c>
      <c r="AA467" t="s">
        <v>49</v>
      </c>
      <c r="AB467" t="s">
        <v>50</v>
      </c>
      <c r="AC467" s="2">
        <v>47716.5</v>
      </c>
      <c r="AD467" t="s">
        <v>2406</v>
      </c>
      <c r="AE467" t="s">
        <v>52</v>
      </c>
    </row>
    <row r="468" spans="1:31" hidden="1" x14ac:dyDescent="0.25">
      <c r="I468" t="s">
        <v>2407</v>
      </c>
      <c r="J468" s="2">
        <v>1000</v>
      </c>
      <c r="K468" s="2">
        <v>0</v>
      </c>
      <c r="L468" s="2">
        <v>15</v>
      </c>
      <c r="M468" s="2">
        <v>0</v>
      </c>
      <c r="S468" t="s">
        <v>2408</v>
      </c>
      <c r="U468" t="s">
        <v>45</v>
      </c>
      <c r="V468" t="s">
        <v>46</v>
      </c>
      <c r="W468" t="s">
        <v>40</v>
      </c>
      <c r="X468" t="s">
        <v>41</v>
      </c>
      <c r="Y468" t="s">
        <v>47</v>
      </c>
      <c r="Z468" t="s">
        <v>48</v>
      </c>
      <c r="AA468" t="s">
        <v>49</v>
      </c>
      <c r="AC468" s="2"/>
    </row>
    <row r="469" spans="1:31" x14ac:dyDescent="0.25">
      <c r="A469" t="s">
        <v>2409</v>
      </c>
      <c r="B469" t="s">
        <v>2410</v>
      </c>
      <c r="C469" t="s">
        <v>2410</v>
      </c>
      <c r="D469" t="s">
        <v>498</v>
      </c>
      <c r="E469" t="s">
        <v>190</v>
      </c>
      <c r="F469" t="s">
        <v>2411</v>
      </c>
      <c r="G469" t="s">
        <v>498</v>
      </c>
      <c r="H469" t="s">
        <v>1581</v>
      </c>
      <c r="I469" t="s">
        <v>2412</v>
      </c>
      <c r="J469" s="2">
        <v>130902</v>
      </c>
      <c r="K469" s="2">
        <v>600</v>
      </c>
      <c r="L469" s="2">
        <v>1</v>
      </c>
      <c r="M469" s="2">
        <v>0</v>
      </c>
      <c r="N469" t="s">
        <v>203</v>
      </c>
      <c r="O469" t="s">
        <v>204</v>
      </c>
      <c r="P469" t="s">
        <v>205</v>
      </c>
      <c r="Q469" t="s">
        <v>206</v>
      </c>
      <c r="S469" t="s">
        <v>2413</v>
      </c>
      <c r="U469" t="s">
        <v>45</v>
      </c>
      <c r="V469" t="s">
        <v>46</v>
      </c>
      <c r="W469" t="s">
        <v>203</v>
      </c>
      <c r="X469" t="s">
        <v>204</v>
      </c>
      <c r="Y469" t="s">
        <v>161</v>
      </c>
      <c r="Z469" t="s">
        <v>162</v>
      </c>
      <c r="AA469" t="s">
        <v>49</v>
      </c>
      <c r="AB469" t="s">
        <v>50</v>
      </c>
      <c r="AC469" s="2">
        <v>130890.91</v>
      </c>
      <c r="AD469" t="s">
        <v>2414</v>
      </c>
      <c r="AE469" t="s">
        <v>115</v>
      </c>
    </row>
    <row r="470" spans="1:31" x14ac:dyDescent="0.25">
      <c r="A470" t="s">
        <v>2415</v>
      </c>
      <c r="B470" t="s">
        <v>2416</v>
      </c>
      <c r="C470" t="s">
        <v>2416</v>
      </c>
      <c r="D470" t="s">
        <v>35</v>
      </c>
      <c r="E470" t="s">
        <v>36</v>
      </c>
      <c r="F470" t="s">
        <v>2417</v>
      </c>
      <c r="G470" t="s">
        <v>153</v>
      </c>
      <c r="H470" t="s">
        <v>402</v>
      </c>
      <c r="I470" t="s">
        <v>2418</v>
      </c>
      <c r="J470" s="2">
        <v>218170</v>
      </c>
      <c r="K470" s="2">
        <v>1000</v>
      </c>
      <c r="L470" s="2">
        <v>21</v>
      </c>
      <c r="M470" s="2">
        <v>0</v>
      </c>
      <c r="N470" t="s">
        <v>403</v>
      </c>
      <c r="O470" t="s">
        <v>404</v>
      </c>
      <c r="P470" t="s">
        <v>205</v>
      </c>
      <c r="Q470" t="s">
        <v>206</v>
      </c>
      <c r="S470" t="s">
        <v>2419</v>
      </c>
      <c r="U470" t="s">
        <v>45</v>
      </c>
      <c r="V470" t="s">
        <v>46</v>
      </c>
      <c r="W470" t="s">
        <v>403</v>
      </c>
      <c r="X470" t="s">
        <v>404</v>
      </c>
      <c r="Y470" t="s">
        <v>161</v>
      </c>
      <c r="Z470" t="s">
        <v>162</v>
      </c>
      <c r="AA470" t="s">
        <v>49</v>
      </c>
      <c r="AB470" t="s">
        <v>50</v>
      </c>
      <c r="AC470" s="2">
        <v>61781.71</v>
      </c>
      <c r="AD470" t="s">
        <v>2420</v>
      </c>
      <c r="AE470" t="s">
        <v>115</v>
      </c>
    </row>
    <row r="471" spans="1:31" x14ac:dyDescent="0.25">
      <c r="A471" t="s">
        <v>2421</v>
      </c>
      <c r="B471" t="s">
        <v>2422</v>
      </c>
      <c r="C471" t="s">
        <v>2422</v>
      </c>
      <c r="D471" t="s">
        <v>764</v>
      </c>
      <c r="E471" t="s">
        <v>77</v>
      </c>
      <c r="F471" t="s">
        <v>2423</v>
      </c>
      <c r="H471" t="s">
        <v>2424</v>
      </c>
      <c r="I471" t="s">
        <v>2425</v>
      </c>
      <c r="J471" s="2">
        <v>1728</v>
      </c>
      <c r="K471" s="2">
        <v>7.92</v>
      </c>
      <c r="L471" s="2">
        <v>30</v>
      </c>
      <c r="M471" s="2">
        <v>0</v>
      </c>
      <c r="N471" t="s">
        <v>2426</v>
      </c>
      <c r="O471" t="s">
        <v>2427</v>
      </c>
      <c r="P471" t="s">
        <v>103</v>
      </c>
      <c r="Q471" t="s">
        <v>104</v>
      </c>
      <c r="S471" t="s">
        <v>2428</v>
      </c>
      <c r="U471" t="s">
        <v>45</v>
      </c>
      <c r="V471" t="s">
        <v>46</v>
      </c>
      <c r="W471" t="s">
        <v>2426</v>
      </c>
      <c r="X471" t="s">
        <v>2427</v>
      </c>
      <c r="Y471" t="s">
        <v>279</v>
      </c>
      <c r="Z471" t="s">
        <v>280</v>
      </c>
      <c r="AA471" t="s">
        <v>49</v>
      </c>
      <c r="AB471" t="s">
        <v>50</v>
      </c>
      <c r="AC471" s="2">
        <v>1728</v>
      </c>
      <c r="AD471" t="s">
        <v>64</v>
      </c>
    </row>
    <row r="472" spans="1:31" hidden="1" x14ac:dyDescent="0.25">
      <c r="I472" t="s">
        <v>2429</v>
      </c>
      <c r="J472" s="2">
        <v>3696</v>
      </c>
      <c r="K472" s="2">
        <v>0</v>
      </c>
      <c r="L472" s="2">
        <v>7</v>
      </c>
      <c r="M472" s="2">
        <v>0</v>
      </c>
      <c r="S472" t="s">
        <v>2432</v>
      </c>
      <c r="U472" t="s">
        <v>45</v>
      </c>
      <c r="V472" t="s">
        <v>46</v>
      </c>
      <c r="W472" t="s">
        <v>2430</v>
      </c>
      <c r="X472" t="s">
        <v>2431</v>
      </c>
      <c r="Y472" t="s">
        <v>72</v>
      </c>
      <c r="Z472" t="s">
        <v>68</v>
      </c>
      <c r="AA472" t="s">
        <v>49</v>
      </c>
      <c r="AC472" s="2"/>
    </row>
    <row r="473" spans="1:31" hidden="1" x14ac:dyDescent="0.25">
      <c r="I473" t="s">
        <v>2433</v>
      </c>
      <c r="J473" s="2">
        <v>65451</v>
      </c>
      <c r="K473" s="2">
        <v>300</v>
      </c>
      <c r="L473" s="2">
        <v>1</v>
      </c>
      <c r="M473" s="2">
        <v>0</v>
      </c>
      <c r="S473" t="s">
        <v>2434</v>
      </c>
      <c r="U473" t="s">
        <v>45</v>
      </c>
      <c r="V473" t="s">
        <v>46</v>
      </c>
      <c r="W473" t="s">
        <v>67</v>
      </c>
      <c r="X473" t="s">
        <v>68</v>
      </c>
      <c r="Y473" t="s">
        <v>72</v>
      </c>
      <c r="Z473" t="s">
        <v>68</v>
      </c>
      <c r="AA473" t="s">
        <v>49</v>
      </c>
      <c r="AC473" s="2"/>
    </row>
    <row r="474" spans="1:31" hidden="1" x14ac:dyDescent="0.25">
      <c r="I474" t="s">
        <v>2435</v>
      </c>
      <c r="J474" s="2">
        <v>43634</v>
      </c>
      <c r="K474" s="2">
        <v>200</v>
      </c>
      <c r="L474" s="2">
        <v>1</v>
      </c>
      <c r="M474" s="2">
        <v>0</v>
      </c>
      <c r="S474" t="s">
        <v>2436</v>
      </c>
      <c r="U474" t="s">
        <v>45</v>
      </c>
      <c r="V474" t="s">
        <v>46</v>
      </c>
      <c r="W474" t="s">
        <v>1592</v>
      </c>
      <c r="X474" t="s">
        <v>280</v>
      </c>
      <c r="Y474" t="s">
        <v>279</v>
      </c>
      <c r="Z474" t="s">
        <v>280</v>
      </c>
      <c r="AA474" t="s">
        <v>49</v>
      </c>
      <c r="AC474" s="2"/>
    </row>
    <row r="475" spans="1:31" x14ac:dyDescent="0.25">
      <c r="A475" t="s">
        <v>2437</v>
      </c>
      <c r="B475" t="s">
        <v>2438</v>
      </c>
      <c r="C475" t="s">
        <v>2438</v>
      </c>
      <c r="D475" t="s">
        <v>847</v>
      </c>
      <c r="E475" t="s">
        <v>848</v>
      </c>
      <c r="F475" t="s">
        <v>2439</v>
      </c>
      <c r="G475" t="s">
        <v>1243</v>
      </c>
      <c r="H475" t="s">
        <v>358</v>
      </c>
      <c r="I475" t="s">
        <v>2440</v>
      </c>
      <c r="J475" s="2">
        <v>62826</v>
      </c>
      <c r="K475" s="2">
        <v>280</v>
      </c>
      <c r="L475" s="2">
        <v>7</v>
      </c>
      <c r="M475" s="2">
        <v>0</v>
      </c>
      <c r="N475" t="s">
        <v>360</v>
      </c>
      <c r="O475" t="s">
        <v>361</v>
      </c>
      <c r="P475" t="s">
        <v>61</v>
      </c>
      <c r="Q475" t="s">
        <v>62</v>
      </c>
      <c r="S475" t="s">
        <v>2441</v>
      </c>
      <c r="U475" t="s">
        <v>45</v>
      </c>
      <c r="V475" t="s">
        <v>46</v>
      </c>
      <c r="W475" t="s">
        <v>360</v>
      </c>
      <c r="X475" t="s">
        <v>361</v>
      </c>
      <c r="Y475" t="s">
        <v>47</v>
      </c>
      <c r="Z475" t="s">
        <v>48</v>
      </c>
      <c r="AA475" t="s">
        <v>49</v>
      </c>
      <c r="AB475" t="s">
        <v>50</v>
      </c>
      <c r="AC475" s="2">
        <v>21652.18</v>
      </c>
      <c r="AD475" t="s">
        <v>2442</v>
      </c>
    </row>
    <row r="476" spans="1:31" hidden="1" x14ac:dyDescent="0.25">
      <c r="A476" s="10" t="s">
        <v>2443</v>
      </c>
      <c r="B476" s="10" t="s">
        <v>2444</v>
      </c>
      <c r="C476" t="s">
        <v>2444</v>
      </c>
      <c r="D476" t="s">
        <v>55</v>
      </c>
      <c r="E476" t="s">
        <v>56</v>
      </c>
      <c r="F476" t="s">
        <v>2445</v>
      </c>
      <c r="H476" t="s">
        <v>2391</v>
      </c>
      <c r="I476" t="s">
        <v>2446</v>
      </c>
      <c r="J476" s="2">
        <v>1000</v>
      </c>
      <c r="K476" s="2">
        <v>0</v>
      </c>
      <c r="L476" s="2">
        <v>15</v>
      </c>
      <c r="M476" s="2">
        <v>0</v>
      </c>
      <c r="N476" t="s">
        <v>2393</v>
      </c>
      <c r="O476" t="s">
        <v>2394</v>
      </c>
      <c r="P476" t="s">
        <v>61</v>
      </c>
      <c r="Q476" t="s">
        <v>62</v>
      </c>
      <c r="S476" t="s">
        <v>2447</v>
      </c>
      <c r="U476" t="s">
        <v>45</v>
      </c>
      <c r="V476" t="s">
        <v>46</v>
      </c>
      <c r="W476" t="s">
        <v>2393</v>
      </c>
      <c r="X476" t="s">
        <v>2394</v>
      </c>
      <c r="Y476" t="s">
        <v>47</v>
      </c>
      <c r="Z476" t="s">
        <v>48</v>
      </c>
      <c r="AA476" t="s">
        <v>49</v>
      </c>
      <c r="AB476" t="s">
        <v>142</v>
      </c>
      <c r="AC476" s="2">
        <v>1000</v>
      </c>
      <c r="AD476" t="s">
        <v>64</v>
      </c>
    </row>
    <row r="477" spans="1:31" hidden="1" x14ac:dyDescent="0.25">
      <c r="I477" t="s">
        <v>2448</v>
      </c>
      <c r="J477" s="2">
        <v>7329</v>
      </c>
      <c r="K477" s="2">
        <v>0</v>
      </c>
      <c r="L477" s="2">
        <v>15</v>
      </c>
      <c r="M477" s="2">
        <v>0</v>
      </c>
      <c r="S477" t="s">
        <v>2449</v>
      </c>
      <c r="U477" t="s">
        <v>45</v>
      </c>
      <c r="V477" t="s">
        <v>46</v>
      </c>
      <c r="W477" t="s">
        <v>445</v>
      </c>
      <c r="X477" t="s">
        <v>446</v>
      </c>
      <c r="Y477" t="s">
        <v>72</v>
      </c>
      <c r="Z477" t="s">
        <v>68</v>
      </c>
      <c r="AA477" t="s">
        <v>49</v>
      </c>
      <c r="AC477" s="2"/>
    </row>
    <row r="478" spans="1:31" x14ac:dyDescent="0.25">
      <c r="A478" t="s">
        <v>2450</v>
      </c>
      <c r="B478" t="s">
        <v>2451</v>
      </c>
      <c r="C478" t="s">
        <v>2451</v>
      </c>
      <c r="D478" t="s">
        <v>153</v>
      </c>
      <c r="E478" t="s">
        <v>272</v>
      </c>
      <c r="F478" t="s">
        <v>2452</v>
      </c>
      <c r="G478" t="s">
        <v>153</v>
      </c>
      <c r="H478" t="s">
        <v>277</v>
      </c>
      <c r="J478" s="2">
        <v>654510</v>
      </c>
      <c r="K478" s="2">
        <v>3000</v>
      </c>
      <c r="L478" s="2">
        <v>30</v>
      </c>
      <c r="M478" s="2">
        <v>0</v>
      </c>
      <c r="N478" t="s">
        <v>276</v>
      </c>
      <c r="O478" t="s">
        <v>277</v>
      </c>
      <c r="P478" t="s">
        <v>103</v>
      </c>
      <c r="Q478" t="s">
        <v>104</v>
      </c>
      <c r="S478" t="s">
        <v>2453</v>
      </c>
      <c r="U478" t="s">
        <v>45</v>
      </c>
      <c r="V478" t="s">
        <v>46</v>
      </c>
      <c r="W478" t="s">
        <v>276</v>
      </c>
      <c r="X478" t="s">
        <v>277</v>
      </c>
      <c r="Y478" t="s">
        <v>279</v>
      </c>
      <c r="Z478" t="s">
        <v>280</v>
      </c>
      <c r="AA478" t="s">
        <v>49</v>
      </c>
      <c r="AB478" t="s">
        <v>50</v>
      </c>
      <c r="AC478" s="2">
        <v>443290.39</v>
      </c>
      <c r="AD478" t="s">
        <v>2454</v>
      </c>
      <c r="AE478" t="s">
        <v>52</v>
      </c>
    </row>
    <row r="479" spans="1:31" x14ac:dyDescent="0.25">
      <c r="A479" t="s">
        <v>2455</v>
      </c>
      <c r="B479" t="s">
        <v>2456</v>
      </c>
      <c r="C479" t="s">
        <v>2456</v>
      </c>
      <c r="D479" t="s">
        <v>35</v>
      </c>
      <c r="E479" t="s">
        <v>36</v>
      </c>
      <c r="F479" t="s">
        <v>2457</v>
      </c>
      <c r="G479" t="s">
        <v>35</v>
      </c>
      <c r="H479" t="s">
        <v>277</v>
      </c>
      <c r="J479" s="2">
        <v>748675</v>
      </c>
      <c r="K479" s="2">
        <v>3149</v>
      </c>
      <c r="L479" s="2">
        <v>30</v>
      </c>
      <c r="M479" s="2">
        <v>0</v>
      </c>
      <c r="N479" t="s">
        <v>276</v>
      </c>
      <c r="O479" t="s">
        <v>277</v>
      </c>
      <c r="P479" t="s">
        <v>103</v>
      </c>
      <c r="Q479" t="s">
        <v>104</v>
      </c>
      <c r="S479" t="s">
        <v>2458</v>
      </c>
      <c r="U479" t="s">
        <v>45</v>
      </c>
      <c r="V479" t="s">
        <v>46</v>
      </c>
      <c r="W479" t="s">
        <v>276</v>
      </c>
      <c r="X479" t="s">
        <v>277</v>
      </c>
      <c r="Y479" t="s">
        <v>279</v>
      </c>
      <c r="Z479" t="s">
        <v>280</v>
      </c>
      <c r="AA479" t="s">
        <v>49</v>
      </c>
      <c r="AB479" t="s">
        <v>50</v>
      </c>
      <c r="AC479" s="2">
        <v>379512.93</v>
      </c>
      <c r="AD479" t="s">
        <v>2459</v>
      </c>
      <c r="AE479" t="s">
        <v>52</v>
      </c>
    </row>
    <row r="480" spans="1:31" hidden="1" x14ac:dyDescent="0.25">
      <c r="I480" t="s">
        <v>2461</v>
      </c>
      <c r="J480" s="2">
        <v>1000</v>
      </c>
      <c r="K480" s="2">
        <v>0</v>
      </c>
      <c r="L480" s="2">
        <v>10</v>
      </c>
      <c r="M480" s="2">
        <v>0</v>
      </c>
      <c r="S480" t="s">
        <v>2464</v>
      </c>
      <c r="U480" t="s">
        <v>45</v>
      </c>
      <c r="V480" t="s">
        <v>46</v>
      </c>
      <c r="W480" t="s">
        <v>2462</v>
      </c>
      <c r="X480" t="s">
        <v>2463</v>
      </c>
      <c r="Y480" t="s">
        <v>2157</v>
      </c>
      <c r="Z480" t="s">
        <v>48</v>
      </c>
      <c r="AA480" t="s">
        <v>49</v>
      </c>
      <c r="AC480" s="2"/>
    </row>
    <row r="481" spans="1:31" hidden="1" x14ac:dyDescent="0.25">
      <c r="I481" t="s">
        <v>2465</v>
      </c>
      <c r="J481" s="2">
        <v>1000</v>
      </c>
      <c r="K481" s="2">
        <v>0</v>
      </c>
      <c r="L481" s="2">
        <v>7</v>
      </c>
      <c r="M481" s="2">
        <v>0</v>
      </c>
      <c r="S481" t="s">
        <v>2466</v>
      </c>
      <c r="U481" t="s">
        <v>45</v>
      </c>
      <c r="V481" t="s">
        <v>46</v>
      </c>
      <c r="W481" t="s">
        <v>360</v>
      </c>
      <c r="X481" t="s">
        <v>361</v>
      </c>
      <c r="Y481" t="s">
        <v>47</v>
      </c>
      <c r="Z481" t="s">
        <v>48</v>
      </c>
      <c r="AA481" t="s">
        <v>49</v>
      </c>
      <c r="AC481" s="2"/>
    </row>
    <row r="482" spans="1:31" x14ac:dyDescent="0.25">
      <c r="A482" s="15" t="s">
        <v>2467</v>
      </c>
      <c r="B482" s="15" t="s">
        <v>2468</v>
      </c>
      <c r="C482" s="15" t="s">
        <v>2468</v>
      </c>
      <c r="D482" s="15" t="s">
        <v>55</v>
      </c>
      <c r="E482" s="15" t="s">
        <v>56</v>
      </c>
      <c r="F482" s="15" t="s">
        <v>2469</v>
      </c>
      <c r="H482" s="15" t="s">
        <v>2470</v>
      </c>
      <c r="I482" t="s">
        <v>2471</v>
      </c>
      <c r="J482" s="2">
        <v>21817</v>
      </c>
      <c r="K482" s="2">
        <v>100</v>
      </c>
      <c r="L482" s="2">
        <v>1</v>
      </c>
      <c r="M482" s="2">
        <v>0</v>
      </c>
      <c r="N482" s="15" t="s">
        <v>2472</v>
      </c>
      <c r="O482" s="15" t="s">
        <v>2473</v>
      </c>
      <c r="P482" s="15" t="s">
        <v>1363</v>
      </c>
      <c r="Q482" s="15" t="s">
        <v>1364</v>
      </c>
      <c r="S482" t="s">
        <v>2474</v>
      </c>
      <c r="U482" t="s">
        <v>45</v>
      </c>
      <c r="V482" t="s">
        <v>46</v>
      </c>
      <c r="W482" t="s">
        <v>2472</v>
      </c>
      <c r="X482" t="s">
        <v>2475</v>
      </c>
      <c r="Y482" t="s">
        <v>137</v>
      </c>
      <c r="Z482" t="s">
        <v>717</v>
      </c>
      <c r="AA482" t="s">
        <v>49</v>
      </c>
      <c r="AB482" s="15" t="s">
        <v>50</v>
      </c>
      <c r="AC482" s="16">
        <v>21392.11</v>
      </c>
      <c r="AD482" s="15" t="s">
        <v>2476</v>
      </c>
      <c r="AE482" s="15" t="s">
        <v>115</v>
      </c>
    </row>
    <row r="483" spans="1:31" x14ac:dyDescent="0.25">
      <c r="A483" t="s">
        <v>2477</v>
      </c>
      <c r="B483" t="s">
        <v>2478</v>
      </c>
      <c r="C483" t="s">
        <v>2478</v>
      </c>
      <c r="D483" t="s">
        <v>478</v>
      </c>
      <c r="E483" t="s">
        <v>190</v>
      </c>
      <c r="F483" t="s">
        <v>2479</v>
      </c>
      <c r="G483" t="s">
        <v>1633</v>
      </c>
      <c r="H483" t="s">
        <v>1531</v>
      </c>
      <c r="I483" t="s">
        <v>2480</v>
      </c>
      <c r="J483" s="2">
        <v>356625</v>
      </c>
      <c r="K483" s="2">
        <v>1500</v>
      </c>
      <c r="L483" s="2">
        <v>21</v>
      </c>
      <c r="M483" s="2">
        <v>0</v>
      </c>
      <c r="N483" t="s">
        <v>585</v>
      </c>
      <c r="O483" t="s">
        <v>584</v>
      </c>
      <c r="P483" t="s">
        <v>158</v>
      </c>
      <c r="Q483" t="s">
        <v>159</v>
      </c>
      <c r="S483" t="s">
        <v>2481</v>
      </c>
      <c r="U483" t="s">
        <v>45</v>
      </c>
      <c r="V483" t="s">
        <v>46</v>
      </c>
      <c r="W483" t="s">
        <v>585</v>
      </c>
      <c r="X483" t="s">
        <v>584</v>
      </c>
      <c r="Y483" t="s">
        <v>161</v>
      </c>
      <c r="Z483" t="s">
        <v>162</v>
      </c>
      <c r="AA483" t="s">
        <v>49</v>
      </c>
      <c r="AB483" t="s">
        <v>50</v>
      </c>
      <c r="AC483" s="2">
        <v>356625</v>
      </c>
      <c r="AD483" t="s">
        <v>64</v>
      </c>
    </row>
    <row r="484" spans="1:31" x14ac:dyDescent="0.25">
      <c r="A484" t="s">
        <v>2482</v>
      </c>
      <c r="B484" t="s">
        <v>2483</v>
      </c>
      <c r="C484" t="s">
        <v>2484</v>
      </c>
      <c r="D484" t="s">
        <v>817</v>
      </c>
      <c r="E484" t="s">
        <v>224</v>
      </c>
      <c r="F484" t="s">
        <v>2267</v>
      </c>
      <c r="G484" t="s">
        <v>2485</v>
      </c>
      <c r="H484" t="s">
        <v>1607</v>
      </c>
      <c r="I484" t="s">
        <v>2486</v>
      </c>
      <c r="J484" s="2">
        <v>1090850</v>
      </c>
      <c r="K484" s="2">
        <v>5000</v>
      </c>
      <c r="L484" s="2">
        <v>30</v>
      </c>
      <c r="M484" s="2">
        <v>0</v>
      </c>
      <c r="N484" t="s">
        <v>1221</v>
      </c>
      <c r="O484" t="s">
        <v>1222</v>
      </c>
      <c r="P484" t="s">
        <v>205</v>
      </c>
      <c r="Q484" t="s">
        <v>206</v>
      </c>
      <c r="S484" t="s">
        <v>2487</v>
      </c>
      <c r="U484" t="s">
        <v>45</v>
      </c>
      <c r="V484" t="s">
        <v>46</v>
      </c>
      <c r="W484" t="s">
        <v>1221</v>
      </c>
      <c r="X484" t="s">
        <v>1222</v>
      </c>
      <c r="Y484" t="s">
        <v>161</v>
      </c>
      <c r="Z484" t="s">
        <v>162</v>
      </c>
      <c r="AA484" t="s">
        <v>49</v>
      </c>
      <c r="AB484" t="s">
        <v>50</v>
      </c>
      <c r="AC484" s="2">
        <v>1090225.2</v>
      </c>
      <c r="AD484" t="s">
        <v>2488</v>
      </c>
    </row>
    <row r="485" spans="1:31" hidden="1" x14ac:dyDescent="0.25">
      <c r="A485" t="s">
        <v>2489</v>
      </c>
      <c r="B485" t="s">
        <v>2490</v>
      </c>
      <c r="C485" t="s">
        <v>2490</v>
      </c>
      <c r="F485" t="s">
        <v>2491</v>
      </c>
      <c r="H485" t="s">
        <v>2460</v>
      </c>
      <c r="I485" t="s">
        <v>2492</v>
      </c>
      <c r="J485" s="2">
        <v>1000</v>
      </c>
      <c r="K485" s="2">
        <v>0</v>
      </c>
      <c r="L485" s="2">
        <v>10</v>
      </c>
      <c r="M485" s="2">
        <v>0</v>
      </c>
      <c r="N485" t="s">
        <v>2462</v>
      </c>
      <c r="O485" t="s">
        <v>2463</v>
      </c>
      <c r="P485" t="s">
        <v>42</v>
      </c>
      <c r="Q485" t="s">
        <v>43</v>
      </c>
      <c r="S485" t="s">
        <v>2493</v>
      </c>
      <c r="U485" t="s">
        <v>45</v>
      </c>
      <c r="V485" t="s">
        <v>46</v>
      </c>
      <c r="W485" t="s">
        <v>2462</v>
      </c>
      <c r="X485" t="s">
        <v>2463</v>
      </c>
      <c r="Y485" t="s">
        <v>2157</v>
      </c>
      <c r="Z485" t="s">
        <v>48</v>
      </c>
      <c r="AA485" t="s">
        <v>49</v>
      </c>
      <c r="AB485" t="s">
        <v>50</v>
      </c>
      <c r="AC485" s="2">
        <v>1000</v>
      </c>
      <c r="AD485" t="s">
        <v>64</v>
      </c>
    </row>
    <row r="486" spans="1:31" x14ac:dyDescent="0.25">
      <c r="A486" t="s">
        <v>2494</v>
      </c>
      <c r="B486" t="s">
        <v>2495</v>
      </c>
      <c r="C486" t="s">
        <v>2495</v>
      </c>
      <c r="D486" t="s">
        <v>153</v>
      </c>
      <c r="E486" t="s">
        <v>272</v>
      </c>
      <c r="F486" t="s">
        <v>2496</v>
      </c>
      <c r="G486" t="s">
        <v>153</v>
      </c>
      <c r="H486" t="s">
        <v>277</v>
      </c>
      <c r="J486" s="2">
        <v>693150</v>
      </c>
      <c r="K486" s="2">
        <v>3000</v>
      </c>
      <c r="L486" s="2">
        <v>30</v>
      </c>
      <c r="M486" s="2">
        <v>0</v>
      </c>
      <c r="N486" t="s">
        <v>276</v>
      </c>
      <c r="O486" t="s">
        <v>277</v>
      </c>
      <c r="P486" t="s">
        <v>103</v>
      </c>
      <c r="Q486" t="s">
        <v>104</v>
      </c>
      <c r="S486" t="s">
        <v>2497</v>
      </c>
      <c r="U486" t="s">
        <v>45</v>
      </c>
      <c r="V486" t="s">
        <v>46</v>
      </c>
      <c r="W486" t="s">
        <v>276</v>
      </c>
      <c r="X486" t="s">
        <v>277</v>
      </c>
      <c r="Y486" t="s">
        <v>279</v>
      </c>
      <c r="Z486" t="s">
        <v>280</v>
      </c>
      <c r="AA486" t="s">
        <v>49</v>
      </c>
      <c r="AB486" t="s">
        <v>50</v>
      </c>
      <c r="AC486" s="2">
        <v>173300.88</v>
      </c>
      <c r="AD486" t="s">
        <v>2498</v>
      </c>
      <c r="AE486" t="s">
        <v>52</v>
      </c>
    </row>
    <row r="487" spans="1:31" x14ac:dyDescent="0.25">
      <c r="A487" t="s">
        <v>2499</v>
      </c>
      <c r="B487" t="s">
        <v>2500</v>
      </c>
      <c r="C487" t="s">
        <v>2500</v>
      </c>
      <c r="D487" t="s">
        <v>153</v>
      </c>
      <c r="E487" t="s">
        <v>272</v>
      </c>
      <c r="F487" t="s">
        <v>2501</v>
      </c>
      <c r="G487" t="s">
        <v>153</v>
      </c>
      <c r="H487" t="s">
        <v>38</v>
      </c>
      <c r="I487" t="s">
        <v>2502</v>
      </c>
      <c r="J487" s="2">
        <v>420410</v>
      </c>
      <c r="K487" s="2">
        <v>1700</v>
      </c>
      <c r="L487" s="2">
        <v>21</v>
      </c>
      <c r="M487" s="2">
        <v>0</v>
      </c>
      <c r="N487" t="s">
        <v>40</v>
      </c>
      <c r="O487" t="s">
        <v>41</v>
      </c>
      <c r="P487" t="s">
        <v>61</v>
      </c>
      <c r="Q487" t="s">
        <v>62</v>
      </c>
      <c r="S487" t="s">
        <v>2503</v>
      </c>
      <c r="U487" t="s">
        <v>45</v>
      </c>
      <c r="V487" t="s">
        <v>46</v>
      </c>
      <c r="W487" t="s">
        <v>40</v>
      </c>
      <c r="X487" t="s">
        <v>41</v>
      </c>
      <c r="Y487" t="s">
        <v>47</v>
      </c>
      <c r="Z487" t="s">
        <v>48</v>
      </c>
      <c r="AA487" t="s">
        <v>49</v>
      </c>
      <c r="AB487" t="s">
        <v>50</v>
      </c>
      <c r="AC487" s="2">
        <v>-961.48</v>
      </c>
      <c r="AD487" t="s">
        <v>2504</v>
      </c>
      <c r="AE487" t="s">
        <v>115</v>
      </c>
    </row>
    <row r="488" spans="1:31" hidden="1" x14ac:dyDescent="0.25">
      <c r="A488" t="s">
        <v>2505</v>
      </c>
      <c r="B488" t="s">
        <v>2506</v>
      </c>
      <c r="C488" t="s">
        <v>2506</v>
      </c>
      <c r="F488" t="s">
        <v>2507</v>
      </c>
      <c r="H488" t="s">
        <v>2508</v>
      </c>
      <c r="I488" t="s">
        <v>2509</v>
      </c>
      <c r="J488" s="2">
        <v>1000</v>
      </c>
      <c r="K488" s="2">
        <v>0</v>
      </c>
      <c r="L488" s="2">
        <v>21</v>
      </c>
      <c r="M488" s="2">
        <v>0</v>
      </c>
      <c r="N488" t="s">
        <v>700</v>
      </c>
      <c r="O488" t="s">
        <v>699</v>
      </c>
      <c r="P488" t="s">
        <v>304</v>
      </c>
      <c r="Q488" t="s">
        <v>72</v>
      </c>
      <c r="S488" t="s">
        <v>2510</v>
      </c>
      <c r="U488" t="s">
        <v>45</v>
      </c>
      <c r="V488" t="s">
        <v>46</v>
      </c>
      <c r="W488" t="s">
        <v>700</v>
      </c>
      <c r="X488" t="s">
        <v>699</v>
      </c>
      <c r="Y488" t="s">
        <v>72</v>
      </c>
      <c r="Z488" t="s">
        <v>68</v>
      </c>
      <c r="AA488" t="s">
        <v>49</v>
      </c>
      <c r="AB488" t="s">
        <v>50</v>
      </c>
      <c r="AC488" s="2">
        <v>1000</v>
      </c>
      <c r="AD488" t="s">
        <v>64</v>
      </c>
    </row>
    <row r="489" spans="1:31" x14ac:dyDescent="0.25">
      <c r="A489" t="s">
        <v>2511</v>
      </c>
      <c r="B489" t="s">
        <v>2512</v>
      </c>
      <c r="C489" t="s">
        <v>2512</v>
      </c>
      <c r="D489" t="s">
        <v>569</v>
      </c>
      <c r="E489" t="s">
        <v>570</v>
      </c>
      <c r="F489" t="s">
        <v>2513</v>
      </c>
      <c r="G489" t="s">
        <v>178</v>
      </c>
      <c r="H489" t="s">
        <v>1581</v>
      </c>
      <c r="I489" t="s">
        <v>2514</v>
      </c>
      <c r="J489" s="2">
        <v>158022</v>
      </c>
      <c r="K489" s="2">
        <v>650</v>
      </c>
      <c r="L489" s="2">
        <v>1</v>
      </c>
      <c r="M489" s="2">
        <v>0</v>
      </c>
      <c r="N489" t="s">
        <v>203</v>
      </c>
      <c r="O489" t="s">
        <v>204</v>
      </c>
      <c r="P489" t="s">
        <v>205</v>
      </c>
      <c r="Q489" t="s">
        <v>206</v>
      </c>
      <c r="S489" t="s">
        <v>2515</v>
      </c>
      <c r="U489" t="s">
        <v>45</v>
      </c>
      <c r="V489" t="s">
        <v>46</v>
      </c>
      <c r="W489" t="s">
        <v>203</v>
      </c>
      <c r="X489" t="s">
        <v>204</v>
      </c>
      <c r="Y489" t="s">
        <v>161</v>
      </c>
      <c r="Z489" t="s">
        <v>162</v>
      </c>
      <c r="AA489" t="s">
        <v>49</v>
      </c>
      <c r="AB489" t="s">
        <v>50</v>
      </c>
      <c r="AC489" s="2">
        <v>74967.47</v>
      </c>
      <c r="AD489" t="s">
        <v>2516</v>
      </c>
      <c r="AE489" t="s">
        <v>115</v>
      </c>
    </row>
    <row r="490" spans="1:31" hidden="1" x14ac:dyDescent="0.25">
      <c r="A490" s="10" t="s">
        <v>2517</v>
      </c>
      <c r="B490" s="10" t="s">
        <v>2518</v>
      </c>
      <c r="C490" t="s">
        <v>2518</v>
      </c>
      <c r="D490" t="s">
        <v>55</v>
      </c>
      <c r="E490" t="s">
        <v>56</v>
      </c>
      <c r="F490" t="s">
        <v>2519</v>
      </c>
      <c r="H490" t="s">
        <v>38</v>
      </c>
      <c r="I490" t="s">
        <v>2520</v>
      </c>
      <c r="J490" s="2">
        <v>1000</v>
      </c>
      <c r="K490" s="2">
        <v>4.33</v>
      </c>
      <c r="L490" s="2">
        <v>10</v>
      </c>
      <c r="M490" s="2">
        <v>0</v>
      </c>
      <c r="N490" t="s">
        <v>40</v>
      </c>
      <c r="O490" t="s">
        <v>41</v>
      </c>
      <c r="P490" t="s">
        <v>61</v>
      </c>
      <c r="Q490" t="s">
        <v>62</v>
      </c>
      <c r="S490" t="s">
        <v>2521</v>
      </c>
      <c r="U490" t="s">
        <v>45</v>
      </c>
      <c r="V490" t="s">
        <v>46</v>
      </c>
      <c r="W490" t="s">
        <v>40</v>
      </c>
      <c r="X490" t="s">
        <v>41</v>
      </c>
      <c r="Y490" t="s">
        <v>47</v>
      </c>
      <c r="Z490" t="s">
        <v>48</v>
      </c>
      <c r="AA490" t="s">
        <v>49</v>
      </c>
      <c r="AB490" t="s">
        <v>142</v>
      </c>
      <c r="AC490" s="2">
        <v>1000</v>
      </c>
      <c r="AD490" t="s">
        <v>64</v>
      </c>
    </row>
    <row r="491" spans="1:31" x14ac:dyDescent="0.25">
      <c r="A491" t="s">
        <v>2522</v>
      </c>
      <c r="B491" t="s">
        <v>2523</v>
      </c>
      <c r="C491" t="s">
        <v>2524</v>
      </c>
      <c r="D491" t="s">
        <v>569</v>
      </c>
      <c r="E491" t="s">
        <v>570</v>
      </c>
      <c r="F491" t="s">
        <v>2525</v>
      </c>
      <c r="G491" t="s">
        <v>297</v>
      </c>
      <c r="H491" t="s">
        <v>65</v>
      </c>
      <c r="I491" t="s">
        <v>2526</v>
      </c>
      <c r="J491" s="2">
        <v>704703</v>
      </c>
      <c r="K491" s="2">
        <v>3050</v>
      </c>
      <c r="L491" s="2">
        <v>15</v>
      </c>
      <c r="M491" s="2">
        <v>0</v>
      </c>
      <c r="N491" t="s">
        <v>67</v>
      </c>
      <c r="O491" t="s">
        <v>68</v>
      </c>
      <c r="P491" t="s">
        <v>69</v>
      </c>
      <c r="Q491" t="s">
        <v>70</v>
      </c>
      <c r="S491" t="s">
        <v>2527</v>
      </c>
      <c r="U491" t="s">
        <v>45</v>
      </c>
      <c r="V491" t="s">
        <v>46</v>
      </c>
      <c r="W491" t="s">
        <v>67</v>
      </c>
      <c r="X491" t="s">
        <v>68</v>
      </c>
      <c r="Y491" t="s">
        <v>72</v>
      </c>
      <c r="Z491" t="s">
        <v>68</v>
      </c>
      <c r="AA491" t="s">
        <v>49</v>
      </c>
      <c r="AB491" t="s">
        <v>50</v>
      </c>
      <c r="AC491" s="2">
        <v>660714.38</v>
      </c>
      <c r="AD491" t="s">
        <v>2528</v>
      </c>
    </row>
    <row r="492" spans="1:31" hidden="1" x14ac:dyDescent="0.25">
      <c r="I492" t="s">
        <v>2529</v>
      </c>
      <c r="J492" s="2">
        <v>1000</v>
      </c>
      <c r="K492" s="2">
        <v>0</v>
      </c>
      <c r="L492" s="2">
        <v>15</v>
      </c>
      <c r="M492" s="2">
        <v>0</v>
      </c>
      <c r="S492" t="s">
        <v>2530</v>
      </c>
      <c r="U492" t="s">
        <v>45</v>
      </c>
      <c r="V492" t="s">
        <v>46</v>
      </c>
      <c r="W492" t="s">
        <v>302</v>
      </c>
      <c r="X492" t="s">
        <v>303</v>
      </c>
      <c r="Y492" t="s">
        <v>72</v>
      </c>
      <c r="Z492" t="s">
        <v>68</v>
      </c>
      <c r="AA492" t="s">
        <v>49</v>
      </c>
      <c r="AC492" s="2"/>
    </row>
    <row r="493" spans="1:31" hidden="1" x14ac:dyDescent="0.25">
      <c r="I493" t="s">
        <v>2531</v>
      </c>
      <c r="J493" s="2">
        <v>65451</v>
      </c>
      <c r="K493" s="2">
        <v>300</v>
      </c>
      <c r="L493" s="2">
        <v>7</v>
      </c>
      <c r="M493" s="2">
        <v>0</v>
      </c>
      <c r="S493" t="s">
        <v>2532</v>
      </c>
      <c r="U493" t="s">
        <v>45</v>
      </c>
      <c r="V493" t="s">
        <v>46</v>
      </c>
      <c r="W493" t="s">
        <v>1064</v>
      </c>
      <c r="X493" t="s">
        <v>1062</v>
      </c>
      <c r="Y493" t="s">
        <v>72</v>
      </c>
      <c r="Z493" t="s">
        <v>68</v>
      </c>
      <c r="AA493" t="s">
        <v>49</v>
      </c>
      <c r="AC493" s="2"/>
    </row>
    <row r="494" spans="1:31" hidden="1" x14ac:dyDescent="0.25">
      <c r="I494" t="s">
        <v>2533</v>
      </c>
      <c r="J494" s="2">
        <v>1000</v>
      </c>
      <c r="K494" s="2">
        <v>0</v>
      </c>
      <c r="L494" s="2">
        <v>1</v>
      </c>
      <c r="M494" s="2">
        <v>0</v>
      </c>
      <c r="S494" t="s">
        <v>2534</v>
      </c>
      <c r="U494" t="s">
        <v>45</v>
      </c>
      <c r="V494" t="s">
        <v>46</v>
      </c>
      <c r="W494" t="s">
        <v>183</v>
      </c>
      <c r="X494" t="s">
        <v>184</v>
      </c>
      <c r="Y494" t="s">
        <v>161</v>
      </c>
      <c r="Z494" t="s">
        <v>162</v>
      </c>
      <c r="AA494" t="s">
        <v>49</v>
      </c>
      <c r="AC494" s="2"/>
    </row>
    <row r="495" spans="1:31" x14ac:dyDescent="0.25">
      <c r="A495" t="s">
        <v>2535</v>
      </c>
      <c r="B495" t="s">
        <v>2536</v>
      </c>
      <c r="C495" t="s">
        <v>2537</v>
      </c>
      <c r="D495" t="s">
        <v>569</v>
      </c>
      <c r="E495" t="s">
        <v>570</v>
      </c>
      <c r="F495" t="s">
        <v>2538</v>
      </c>
      <c r="G495" t="s">
        <v>189</v>
      </c>
      <c r="H495" t="s">
        <v>2539</v>
      </c>
      <c r="I495" t="s">
        <v>2540</v>
      </c>
      <c r="J495" s="2">
        <v>228480</v>
      </c>
      <c r="K495" s="2">
        <v>1000</v>
      </c>
      <c r="L495" s="2">
        <v>15</v>
      </c>
      <c r="M495" s="2">
        <v>0</v>
      </c>
      <c r="N495" t="s">
        <v>2541</v>
      </c>
      <c r="O495" t="s">
        <v>2542</v>
      </c>
      <c r="P495" t="s">
        <v>120</v>
      </c>
      <c r="Q495" t="s">
        <v>121</v>
      </c>
      <c r="S495" t="s">
        <v>2543</v>
      </c>
      <c r="U495" t="s">
        <v>45</v>
      </c>
      <c r="V495" t="s">
        <v>46</v>
      </c>
      <c r="W495" t="s">
        <v>2541</v>
      </c>
      <c r="X495" t="s">
        <v>2542</v>
      </c>
      <c r="Y495" t="s">
        <v>121</v>
      </c>
      <c r="Z495" t="s">
        <v>94</v>
      </c>
      <c r="AA495" t="s">
        <v>49</v>
      </c>
      <c r="AB495" t="s">
        <v>50</v>
      </c>
      <c r="AC495" s="2">
        <v>228480</v>
      </c>
      <c r="AD495" t="s">
        <v>64</v>
      </c>
    </row>
    <row r="496" spans="1:31" x14ac:dyDescent="0.25">
      <c r="A496" t="s">
        <v>2544</v>
      </c>
      <c r="B496" t="s">
        <v>2545</v>
      </c>
      <c r="C496" t="s">
        <v>2545</v>
      </c>
      <c r="D496" t="s">
        <v>35</v>
      </c>
      <c r="E496" t="s">
        <v>36</v>
      </c>
      <c r="F496" t="s">
        <v>2546</v>
      </c>
      <c r="G496" t="s">
        <v>321</v>
      </c>
      <c r="H496" t="s">
        <v>1029</v>
      </c>
      <c r="I496" t="s">
        <v>2547</v>
      </c>
      <c r="J496" s="2">
        <v>916314</v>
      </c>
      <c r="K496" s="2">
        <v>4200</v>
      </c>
      <c r="L496" s="2">
        <v>30</v>
      </c>
      <c r="M496" s="2">
        <v>0</v>
      </c>
      <c r="N496" t="s">
        <v>1031</v>
      </c>
      <c r="O496" t="s">
        <v>1029</v>
      </c>
      <c r="P496" t="s">
        <v>103</v>
      </c>
      <c r="Q496" t="s">
        <v>104</v>
      </c>
      <c r="S496" t="s">
        <v>2548</v>
      </c>
      <c r="U496" t="s">
        <v>45</v>
      </c>
      <c r="V496" t="s">
        <v>46</v>
      </c>
      <c r="W496" t="s">
        <v>1031</v>
      </c>
      <c r="X496" t="s">
        <v>1029</v>
      </c>
      <c r="Y496" t="s">
        <v>106</v>
      </c>
      <c r="Z496" t="s">
        <v>107</v>
      </c>
      <c r="AA496" t="s">
        <v>49</v>
      </c>
      <c r="AB496" t="s">
        <v>50</v>
      </c>
      <c r="AC496" s="2">
        <v>696778.63</v>
      </c>
      <c r="AD496" t="s">
        <v>2549</v>
      </c>
      <c r="AE496" t="s">
        <v>115</v>
      </c>
    </row>
    <row r="497" spans="1:31" hidden="1" x14ac:dyDescent="0.25">
      <c r="A497" t="s">
        <v>2550</v>
      </c>
      <c r="B497" t="s">
        <v>2551</v>
      </c>
      <c r="C497" t="s">
        <v>2551</v>
      </c>
      <c r="F497" t="s">
        <v>2552</v>
      </c>
      <c r="H497" t="s">
        <v>300</v>
      </c>
      <c r="I497" t="s">
        <v>2553</v>
      </c>
      <c r="J497" s="2">
        <v>1000</v>
      </c>
      <c r="K497" s="2">
        <v>0</v>
      </c>
      <c r="L497" s="2">
        <v>1</v>
      </c>
      <c r="M497" s="2">
        <v>0</v>
      </c>
      <c r="N497" t="s">
        <v>302</v>
      </c>
      <c r="O497" t="s">
        <v>303</v>
      </c>
      <c r="P497" t="s">
        <v>304</v>
      </c>
      <c r="Q497" t="s">
        <v>72</v>
      </c>
      <c r="S497" t="s">
        <v>2554</v>
      </c>
      <c r="U497" t="s">
        <v>45</v>
      </c>
      <c r="V497" t="s">
        <v>46</v>
      </c>
      <c r="W497" t="s">
        <v>302</v>
      </c>
      <c r="X497" t="s">
        <v>303</v>
      </c>
      <c r="Y497" t="s">
        <v>72</v>
      </c>
      <c r="Z497" t="s">
        <v>68</v>
      </c>
      <c r="AA497" t="s">
        <v>49</v>
      </c>
      <c r="AB497" t="s">
        <v>50</v>
      </c>
      <c r="AC497" s="2">
        <v>1000</v>
      </c>
      <c r="AD497" t="s">
        <v>64</v>
      </c>
    </row>
    <row r="498" spans="1:31" x14ac:dyDescent="0.25">
      <c r="A498" t="s">
        <v>2555</v>
      </c>
      <c r="B498" t="s">
        <v>2556</v>
      </c>
      <c r="C498" t="s">
        <v>2556</v>
      </c>
      <c r="D498" t="s">
        <v>569</v>
      </c>
      <c r="E498" t="s">
        <v>570</v>
      </c>
      <c r="F498" t="s">
        <v>2557</v>
      </c>
      <c r="G498" t="s">
        <v>178</v>
      </c>
      <c r="H498" t="s">
        <v>1554</v>
      </c>
      <c r="I498" t="s">
        <v>2558</v>
      </c>
      <c r="J498" s="2">
        <v>174536</v>
      </c>
      <c r="K498" s="2">
        <v>800</v>
      </c>
      <c r="L498" s="2">
        <v>18</v>
      </c>
      <c r="M498" s="2">
        <v>0</v>
      </c>
      <c r="N498" t="s">
        <v>1556</v>
      </c>
      <c r="O498" t="s">
        <v>1557</v>
      </c>
      <c r="P498" t="s">
        <v>316</v>
      </c>
      <c r="Q498" t="s">
        <v>317</v>
      </c>
      <c r="S498" t="s">
        <v>2559</v>
      </c>
      <c r="U498" t="s">
        <v>45</v>
      </c>
      <c r="V498" t="s">
        <v>46</v>
      </c>
      <c r="W498" t="s">
        <v>1556</v>
      </c>
      <c r="X498" t="s">
        <v>1557</v>
      </c>
      <c r="Y498" t="s">
        <v>47</v>
      </c>
      <c r="Z498" t="s">
        <v>48</v>
      </c>
      <c r="AA498" t="s">
        <v>49</v>
      </c>
      <c r="AB498" t="s">
        <v>50</v>
      </c>
      <c r="AC498" s="2">
        <v>133113.62</v>
      </c>
      <c r="AD498" t="s">
        <v>2560</v>
      </c>
      <c r="AE498" t="s">
        <v>52</v>
      </c>
    </row>
    <row r="499" spans="1:31" hidden="1" x14ac:dyDescent="0.25">
      <c r="A499" s="10" t="s">
        <v>2561</v>
      </c>
      <c r="B499" s="10" t="s">
        <v>2562</v>
      </c>
      <c r="C499" t="s">
        <v>2562</v>
      </c>
      <c r="D499" t="s">
        <v>55</v>
      </c>
      <c r="E499" t="s">
        <v>56</v>
      </c>
      <c r="F499" t="s">
        <v>2563</v>
      </c>
      <c r="H499" t="s">
        <v>38</v>
      </c>
      <c r="I499" t="s">
        <v>2564</v>
      </c>
      <c r="J499" s="2">
        <v>1000</v>
      </c>
      <c r="K499" s="2">
        <v>4.33</v>
      </c>
      <c r="L499" s="2">
        <v>15</v>
      </c>
      <c r="M499" s="2">
        <v>0</v>
      </c>
      <c r="N499" t="s">
        <v>40</v>
      </c>
      <c r="O499" t="s">
        <v>41</v>
      </c>
      <c r="P499" t="s">
        <v>61</v>
      </c>
      <c r="Q499" t="s">
        <v>62</v>
      </c>
      <c r="S499" t="s">
        <v>2565</v>
      </c>
      <c r="U499" t="s">
        <v>45</v>
      </c>
      <c r="V499" t="s">
        <v>46</v>
      </c>
      <c r="W499" t="s">
        <v>40</v>
      </c>
      <c r="X499" t="s">
        <v>41</v>
      </c>
      <c r="Y499" t="s">
        <v>47</v>
      </c>
      <c r="Z499" t="s">
        <v>48</v>
      </c>
      <c r="AA499" t="s">
        <v>49</v>
      </c>
      <c r="AB499" t="s">
        <v>142</v>
      </c>
      <c r="AC499" s="2">
        <v>1000</v>
      </c>
      <c r="AD499" t="s">
        <v>64</v>
      </c>
    </row>
    <row r="500" spans="1:31" hidden="1" x14ac:dyDescent="0.25">
      <c r="A500" s="10" t="s">
        <v>2566</v>
      </c>
      <c r="B500" s="10" t="s">
        <v>2567</v>
      </c>
      <c r="C500" t="s">
        <v>2567</v>
      </c>
      <c r="D500" t="s">
        <v>55</v>
      </c>
      <c r="E500" t="s">
        <v>56</v>
      </c>
      <c r="F500" t="s">
        <v>2568</v>
      </c>
      <c r="H500" t="s">
        <v>366</v>
      </c>
      <c r="I500" t="s">
        <v>2569</v>
      </c>
      <c r="J500" s="2">
        <v>7328</v>
      </c>
      <c r="K500" s="2">
        <v>31.72</v>
      </c>
      <c r="L500" s="2">
        <v>15</v>
      </c>
      <c r="M500" s="2">
        <v>0</v>
      </c>
      <c r="N500" t="s">
        <v>348</v>
      </c>
      <c r="O500" t="s">
        <v>349</v>
      </c>
      <c r="P500" t="s">
        <v>316</v>
      </c>
      <c r="Q500" t="s">
        <v>317</v>
      </c>
      <c r="S500" t="s">
        <v>2570</v>
      </c>
      <c r="U500" t="s">
        <v>45</v>
      </c>
      <c r="V500" t="s">
        <v>46</v>
      </c>
      <c r="W500" t="s">
        <v>2571</v>
      </c>
      <c r="X500" t="s">
        <v>2572</v>
      </c>
      <c r="Y500" t="s">
        <v>317</v>
      </c>
      <c r="Z500" t="s">
        <v>349</v>
      </c>
      <c r="AA500" t="s">
        <v>49</v>
      </c>
      <c r="AB500" t="s">
        <v>142</v>
      </c>
      <c r="AC500" s="2">
        <v>7328</v>
      </c>
      <c r="AD500" t="s">
        <v>64</v>
      </c>
    </row>
    <row r="501" spans="1:31" x14ac:dyDescent="0.25">
      <c r="A501" t="s">
        <v>2573</v>
      </c>
      <c r="B501" t="s">
        <v>2574</v>
      </c>
      <c r="C501" t="s">
        <v>2574</v>
      </c>
      <c r="D501" t="s">
        <v>153</v>
      </c>
      <c r="E501" t="s">
        <v>272</v>
      </c>
      <c r="F501" t="s">
        <v>2575</v>
      </c>
      <c r="G501" t="s">
        <v>553</v>
      </c>
      <c r="H501" t="s">
        <v>181</v>
      </c>
      <c r="I501" t="s">
        <v>2576</v>
      </c>
      <c r="J501" s="2">
        <v>559320</v>
      </c>
      <c r="K501" s="2">
        <v>2400</v>
      </c>
      <c r="L501" s="2">
        <v>5</v>
      </c>
      <c r="M501" s="2">
        <v>0</v>
      </c>
      <c r="N501" t="s">
        <v>183</v>
      </c>
      <c r="O501" t="s">
        <v>184</v>
      </c>
      <c r="P501" t="s">
        <v>158</v>
      </c>
      <c r="Q501" t="s">
        <v>159</v>
      </c>
      <c r="S501" t="s">
        <v>2577</v>
      </c>
      <c r="U501" t="s">
        <v>45</v>
      </c>
      <c r="V501" t="s">
        <v>46</v>
      </c>
      <c r="W501" t="s">
        <v>183</v>
      </c>
      <c r="X501" t="s">
        <v>184</v>
      </c>
      <c r="Y501" t="s">
        <v>161</v>
      </c>
      <c r="Z501" t="s">
        <v>162</v>
      </c>
      <c r="AA501" t="s">
        <v>49</v>
      </c>
      <c r="AB501" t="s">
        <v>50</v>
      </c>
      <c r="AC501" s="2">
        <v>559320</v>
      </c>
      <c r="AD501" t="s">
        <v>64</v>
      </c>
    </row>
    <row r="502" spans="1:31" x14ac:dyDescent="0.25">
      <c r="A502" t="s">
        <v>2578</v>
      </c>
      <c r="B502" t="s">
        <v>2579</v>
      </c>
      <c r="C502" t="s">
        <v>2579</v>
      </c>
      <c r="D502" t="s">
        <v>1939</v>
      </c>
      <c r="E502" t="s">
        <v>224</v>
      </c>
      <c r="F502" t="s">
        <v>2580</v>
      </c>
      <c r="G502" t="s">
        <v>321</v>
      </c>
      <c r="H502" t="s">
        <v>911</v>
      </c>
      <c r="I502" t="s">
        <v>2581</v>
      </c>
      <c r="J502" s="2">
        <v>65451</v>
      </c>
      <c r="K502" s="2">
        <v>300</v>
      </c>
      <c r="L502" s="2">
        <v>15</v>
      </c>
      <c r="M502" s="2">
        <v>0</v>
      </c>
      <c r="N502" t="s">
        <v>913</v>
      </c>
      <c r="O502" t="s">
        <v>914</v>
      </c>
      <c r="P502" t="s">
        <v>103</v>
      </c>
      <c r="Q502" t="s">
        <v>104</v>
      </c>
      <c r="S502" t="s">
        <v>2582</v>
      </c>
      <c r="U502" t="s">
        <v>45</v>
      </c>
      <c r="V502" t="s">
        <v>46</v>
      </c>
      <c r="W502" t="s">
        <v>913</v>
      </c>
      <c r="X502" t="s">
        <v>914</v>
      </c>
      <c r="Y502" t="s">
        <v>106</v>
      </c>
      <c r="Z502" t="s">
        <v>107</v>
      </c>
      <c r="AA502" t="s">
        <v>49</v>
      </c>
      <c r="AB502" t="s">
        <v>50</v>
      </c>
      <c r="AC502" s="2">
        <v>65451</v>
      </c>
      <c r="AD502" t="s">
        <v>64</v>
      </c>
    </row>
    <row r="503" spans="1:31" hidden="1" x14ac:dyDescent="0.25">
      <c r="I503" t="s">
        <v>2583</v>
      </c>
      <c r="J503" s="2">
        <v>174536</v>
      </c>
      <c r="K503" s="2">
        <v>800</v>
      </c>
      <c r="L503" s="2">
        <v>21</v>
      </c>
      <c r="M503" s="2">
        <v>0</v>
      </c>
      <c r="S503" t="s">
        <v>2584</v>
      </c>
      <c r="U503" t="s">
        <v>45</v>
      </c>
      <c r="V503" t="s">
        <v>46</v>
      </c>
      <c r="W503" t="s">
        <v>183</v>
      </c>
      <c r="X503" t="s">
        <v>184</v>
      </c>
      <c r="Y503" t="s">
        <v>161</v>
      </c>
      <c r="Z503" t="s">
        <v>162</v>
      </c>
      <c r="AA503" t="s">
        <v>49</v>
      </c>
      <c r="AC503" s="2"/>
    </row>
    <row r="504" spans="1:31" hidden="1" x14ac:dyDescent="0.25">
      <c r="I504" t="s">
        <v>2585</v>
      </c>
      <c r="J504" s="2">
        <v>65451</v>
      </c>
      <c r="K504" s="2">
        <v>300</v>
      </c>
      <c r="L504" s="2">
        <v>1</v>
      </c>
      <c r="M504" s="2">
        <v>0</v>
      </c>
      <c r="S504" t="s">
        <v>2586</v>
      </c>
      <c r="U504" t="s">
        <v>45</v>
      </c>
      <c r="V504" t="s">
        <v>46</v>
      </c>
      <c r="W504" t="s">
        <v>1546</v>
      </c>
      <c r="X504" t="s">
        <v>1547</v>
      </c>
      <c r="Y504" t="s">
        <v>279</v>
      </c>
      <c r="Z504" t="s">
        <v>280</v>
      </c>
      <c r="AA504" t="s">
        <v>49</v>
      </c>
      <c r="AC504" s="2"/>
    </row>
    <row r="505" spans="1:31" hidden="1" x14ac:dyDescent="0.25">
      <c r="I505" t="s">
        <v>2587</v>
      </c>
      <c r="J505" s="2">
        <v>1000</v>
      </c>
      <c r="K505" s="2">
        <v>0</v>
      </c>
      <c r="L505" s="2">
        <v>15</v>
      </c>
      <c r="M505" s="2">
        <v>0</v>
      </c>
      <c r="S505" t="s">
        <v>2588</v>
      </c>
      <c r="U505" t="s">
        <v>45</v>
      </c>
      <c r="V505" t="s">
        <v>46</v>
      </c>
      <c r="W505" t="s">
        <v>445</v>
      </c>
      <c r="X505" t="s">
        <v>446</v>
      </c>
      <c r="Y505" t="s">
        <v>72</v>
      </c>
      <c r="Z505" t="s">
        <v>68</v>
      </c>
      <c r="AA505" t="s">
        <v>49</v>
      </c>
      <c r="AC505" s="2"/>
    </row>
    <row r="506" spans="1:31" hidden="1" x14ac:dyDescent="0.25">
      <c r="I506" t="s">
        <v>2589</v>
      </c>
      <c r="J506" s="2">
        <v>43634</v>
      </c>
      <c r="K506" s="2">
        <v>200</v>
      </c>
      <c r="L506" s="2">
        <v>1</v>
      </c>
      <c r="M506" s="2">
        <v>0</v>
      </c>
      <c r="S506" t="s">
        <v>2590</v>
      </c>
      <c r="U506" t="s">
        <v>45</v>
      </c>
      <c r="V506" t="s">
        <v>46</v>
      </c>
      <c r="W506" t="s">
        <v>2384</v>
      </c>
      <c r="X506" t="s">
        <v>2385</v>
      </c>
      <c r="Y506" t="s">
        <v>106</v>
      </c>
      <c r="Z506" t="s">
        <v>107</v>
      </c>
      <c r="AA506" t="s">
        <v>49</v>
      </c>
      <c r="AC506" s="2"/>
    </row>
    <row r="507" spans="1:31" hidden="1" x14ac:dyDescent="0.25">
      <c r="I507" t="s">
        <v>2591</v>
      </c>
      <c r="J507" s="2">
        <v>47631</v>
      </c>
      <c r="K507" s="2">
        <v>0</v>
      </c>
      <c r="L507" s="2">
        <v>15</v>
      </c>
      <c r="M507" s="2">
        <v>0</v>
      </c>
      <c r="S507" t="s">
        <v>2592</v>
      </c>
      <c r="U507" t="s">
        <v>45</v>
      </c>
      <c r="V507" t="s">
        <v>46</v>
      </c>
      <c r="W507" t="s">
        <v>403</v>
      </c>
      <c r="X507" t="s">
        <v>404</v>
      </c>
      <c r="Y507" t="s">
        <v>161</v>
      </c>
      <c r="Z507" t="s">
        <v>162</v>
      </c>
      <c r="AA507" t="s">
        <v>49</v>
      </c>
      <c r="AC507" s="2"/>
    </row>
    <row r="508" spans="1:31" hidden="1" x14ac:dyDescent="0.25">
      <c r="I508" t="s">
        <v>2593</v>
      </c>
      <c r="J508" s="2">
        <v>218170</v>
      </c>
      <c r="K508" s="2">
        <v>1000</v>
      </c>
      <c r="L508" s="2">
        <v>15</v>
      </c>
      <c r="M508" s="2">
        <v>0</v>
      </c>
      <c r="S508" t="s">
        <v>2594</v>
      </c>
      <c r="U508" t="s">
        <v>45</v>
      </c>
      <c r="V508" t="s">
        <v>46</v>
      </c>
      <c r="W508" t="s">
        <v>118</v>
      </c>
      <c r="X508" t="s">
        <v>119</v>
      </c>
      <c r="Y508" t="s">
        <v>121</v>
      </c>
      <c r="Z508" t="s">
        <v>94</v>
      </c>
      <c r="AA508" t="s">
        <v>49</v>
      </c>
      <c r="AC508" s="2"/>
    </row>
    <row r="509" spans="1:31" hidden="1" x14ac:dyDescent="0.25">
      <c r="I509" t="s">
        <v>2595</v>
      </c>
      <c r="J509" s="2">
        <v>1000</v>
      </c>
      <c r="K509" s="2">
        <v>0</v>
      </c>
      <c r="L509" s="2">
        <v>15</v>
      </c>
      <c r="M509" s="2">
        <v>0</v>
      </c>
      <c r="S509" t="s">
        <v>2596</v>
      </c>
      <c r="U509" t="s">
        <v>45</v>
      </c>
      <c r="V509" t="s">
        <v>46</v>
      </c>
      <c r="W509" t="s">
        <v>302</v>
      </c>
      <c r="X509" t="s">
        <v>303</v>
      </c>
      <c r="Y509" t="s">
        <v>72</v>
      </c>
      <c r="Z509" t="s">
        <v>68</v>
      </c>
      <c r="AA509" t="s">
        <v>49</v>
      </c>
      <c r="AC509" s="2"/>
    </row>
    <row r="510" spans="1:31" x14ac:dyDescent="0.25">
      <c r="A510" t="s">
        <v>2597</v>
      </c>
      <c r="B510" t="s">
        <v>2598</v>
      </c>
      <c r="C510" t="s">
        <v>2598</v>
      </c>
      <c r="D510" t="s">
        <v>153</v>
      </c>
      <c r="E510" t="s">
        <v>272</v>
      </c>
      <c r="F510" t="s">
        <v>1580</v>
      </c>
      <c r="G510" t="s">
        <v>153</v>
      </c>
      <c r="H510" t="s">
        <v>1607</v>
      </c>
      <c r="I510" t="s">
        <v>2599</v>
      </c>
      <c r="J510" s="2">
        <v>1090850</v>
      </c>
      <c r="K510" s="2">
        <v>5000</v>
      </c>
      <c r="L510" s="2">
        <v>30</v>
      </c>
      <c r="M510" s="2">
        <v>0</v>
      </c>
      <c r="N510" t="s">
        <v>1221</v>
      </c>
      <c r="O510" t="s">
        <v>1222</v>
      </c>
      <c r="P510" t="s">
        <v>205</v>
      </c>
      <c r="Q510" t="s">
        <v>206</v>
      </c>
      <c r="S510" t="s">
        <v>2600</v>
      </c>
      <c r="U510" t="s">
        <v>45</v>
      </c>
      <c r="V510" t="s">
        <v>46</v>
      </c>
      <c r="W510" t="s">
        <v>1221</v>
      </c>
      <c r="X510" t="s">
        <v>1222</v>
      </c>
      <c r="Y510" t="s">
        <v>161</v>
      </c>
      <c r="Z510" t="s">
        <v>162</v>
      </c>
      <c r="AA510" t="s">
        <v>49</v>
      </c>
      <c r="AB510" t="s">
        <v>50</v>
      </c>
      <c r="AC510" s="2">
        <v>768269.86</v>
      </c>
      <c r="AD510" t="s">
        <v>2601</v>
      </c>
      <c r="AE510" t="s">
        <v>52</v>
      </c>
    </row>
    <row r="511" spans="1:31" x14ac:dyDescent="0.25">
      <c r="A511" t="s">
        <v>2602</v>
      </c>
      <c r="B511" t="s">
        <v>2603</v>
      </c>
      <c r="C511" t="s">
        <v>2603</v>
      </c>
      <c r="D511" t="s">
        <v>223</v>
      </c>
      <c r="E511" t="s">
        <v>224</v>
      </c>
      <c r="F511" t="s">
        <v>2604</v>
      </c>
      <c r="G511" t="s">
        <v>2389</v>
      </c>
      <c r="H511" t="s">
        <v>1607</v>
      </c>
      <c r="I511" t="s">
        <v>2605</v>
      </c>
      <c r="J511" s="2">
        <v>43634</v>
      </c>
      <c r="K511" s="2">
        <v>200</v>
      </c>
      <c r="L511" s="2">
        <v>15</v>
      </c>
      <c r="M511" s="2">
        <v>0</v>
      </c>
      <c r="N511" t="s">
        <v>1221</v>
      </c>
      <c r="O511" t="s">
        <v>1222</v>
      </c>
      <c r="P511" t="s">
        <v>205</v>
      </c>
      <c r="Q511" t="s">
        <v>206</v>
      </c>
      <c r="S511" t="s">
        <v>2606</v>
      </c>
      <c r="U511" t="s">
        <v>45</v>
      </c>
      <c r="V511" t="s">
        <v>46</v>
      </c>
      <c r="W511" t="s">
        <v>1221</v>
      </c>
      <c r="X511" t="s">
        <v>1222</v>
      </c>
      <c r="Y511" t="s">
        <v>161</v>
      </c>
      <c r="Z511" t="s">
        <v>162</v>
      </c>
      <c r="AA511" t="s">
        <v>49</v>
      </c>
      <c r="AB511" t="s">
        <v>50</v>
      </c>
      <c r="AC511" s="2">
        <v>38609.29</v>
      </c>
      <c r="AD511" t="s">
        <v>2607</v>
      </c>
    </row>
    <row r="512" spans="1:31" x14ac:dyDescent="0.25">
      <c r="A512" t="s">
        <v>2608</v>
      </c>
      <c r="B512" t="s">
        <v>2609</v>
      </c>
      <c r="C512" t="s">
        <v>2609</v>
      </c>
      <c r="D512" t="s">
        <v>35</v>
      </c>
      <c r="E512" t="s">
        <v>36</v>
      </c>
      <c r="F512" t="s">
        <v>2610</v>
      </c>
      <c r="G512" t="s">
        <v>35</v>
      </c>
      <c r="H512" t="s">
        <v>402</v>
      </c>
      <c r="I512" t="s">
        <v>2611</v>
      </c>
      <c r="J512" s="2">
        <v>972440</v>
      </c>
      <c r="K512" s="2">
        <v>4000</v>
      </c>
      <c r="L512" s="2">
        <v>15</v>
      </c>
      <c r="M512" s="2">
        <v>0</v>
      </c>
      <c r="N512" t="s">
        <v>403</v>
      </c>
      <c r="O512" t="s">
        <v>404</v>
      </c>
      <c r="P512" t="s">
        <v>205</v>
      </c>
      <c r="Q512" t="s">
        <v>206</v>
      </c>
      <c r="S512" t="s">
        <v>2612</v>
      </c>
      <c r="U512" t="s">
        <v>45</v>
      </c>
      <c r="V512" t="s">
        <v>46</v>
      </c>
      <c r="W512" t="s">
        <v>403</v>
      </c>
      <c r="X512" t="s">
        <v>404</v>
      </c>
      <c r="Y512" t="s">
        <v>161</v>
      </c>
      <c r="Z512" t="s">
        <v>162</v>
      </c>
      <c r="AA512" t="s">
        <v>49</v>
      </c>
      <c r="AB512" t="s">
        <v>50</v>
      </c>
      <c r="AC512" s="2">
        <v>149450.10999999999</v>
      </c>
      <c r="AD512" t="s">
        <v>2613</v>
      </c>
      <c r="AE512" t="s">
        <v>52</v>
      </c>
    </row>
    <row r="513" spans="1:31" x14ac:dyDescent="0.25">
      <c r="A513" t="s">
        <v>2614</v>
      </c>
      <c r="B513" t="s">
        <v>2615</v>
      </c>
      <c r="C513" t="s">
        <v>2615</v>
      </c>
      <c r="D513" t="s">
        <v>125</v>
      </c>
      <c r="E513" t="s">
        <v>126</v>
      </c>
      <c r="F513" t="s">
        <v>2616</v>
      </c>
      <c r="H513" t="s">
        <v>2617</v>
      </c>
      <c r="I513" t="s">
        <v>2618</v>
      </c>
      <c r="J513" s="2">
        <v>32726</v>
      </c>
      <c r="K513" s="2">
        <v>150</v>
      </c>
      <c r="L513" s="2">
        <v>7</v>
      </c>
      <c r="M513" s="2">
        <v>0</v>
      </c>
      <c r="N513" t="s">
        <v>2619</v>
      </c>
      <c r="O513" t="s">
        <v>2620</v>
      </c>
      <c r="P513" t="s">
        <v>103</v>
      </c>
      <c r="Q513" t="s">
        <v>104</v>
      </c>
      <c r="S513" t="s">
        <v>2621</v>
      </c>
      <c r="U513" t="s">
        <v>45</v>
      </c>
      <c r="V513" t="s">
        <v>46</v>
      </c>
      <c r="W513" t="s">
        <v>2619</v>
      </c>
      <c r="X513" t="s">
        <v>2620</v>
      </c>
      <c r="Y513" t="s">
        <v>106</v>
      </c>
      <c r="Z513" t="s">
        <v>107</v>
      </c>
      <c r="AA513" t="s">
        <v>49</v>
      </c>
      <c r="AB513" t="s">
        <v>50</v>
      </c>
      <c r="AC513" s="2">
        <v>29224.87</v>
      </c>
      <c r="AD513" t="s">
        <v>2622</v>
      </c>
    </row>
    <row r="514" spans="1:31" x14ac:dyDescent="0.25">
      <c r="A514" t="s">
        <v>2623</v>
      </c>
      <c r="B514" t="s">
        <v>2624</v>
      </c>
      <c r="C514" t="s">
        <v>2624</v>
      </c>
      <c r="D514" t="s">
        <v>125</v>
      </c>
      <c r="E514" t="s">
        <v>126</v>
      </c>
      <c r="F514" t="s">
        <v>2625</v>
      </c>
      <c r="G514" t="s">
        <v>153</v>
      </c>
      <c r="H514" t="s">
        <v>300</v>
      </c>
      <c r="I514" t="s">
        <v>2626</v>
      </c>
      <c r="J514" s="2">
        <v>236840</v>
      </c>
      <c r="K514" s="2">
        <v>1000</v>
      </c>
      <c r="L514" s="2">
        <v>1</v>
      </c>
      <c r="M514" s="2">
        <v>0</v>
      </c>
      <c r="N514" t="s">
        <v>302</v>
      </c>
      <c r="O514" t="s">
        <v>303</v>
      </c>
      <c r="P514" t="s">
        <v>304</v>
      </c>
      <c r="Q514" t="s">
        <v>72</v>
      </c>
      <c r="S514" t="s">
        <v>2627</v>
      </c>
      <c r="U514" t="s">
        <v>45</v>
      </c>
      <c r="V514" t="s">
        <v>46</v>
      </c>
      <c r="W514" t="s">
        <v>302</v>
      </c>
      <c r="X514" t="s">
        <v>303</v>
      </c>
      <c r="Y514" t="s">
        <v>72</v>
      </c>
      <c r="Z514" t="s">
        <v>68</v>
      </c>
      <c r="AA514" t="s">
        <v>49</v>
      </c>
      <c r="AB514" t="s">
        <v>50</v>
      </c>
      <c r="AC514" s="2">
        <v>236839.94</v>
      </c>
      <c r="AD514" t="s">
        <v>2628</v>
      </c>
    </row>
    <row r="515" spans="1:31" hidden="1" x14ac:dyDescent="0.25">
      <c r="I515" t="s">
        <v>2629</v>
      </c>
      <c r="J515" s="2">
        <v>1000</v>
      </c>
      <c r="K515" s="2">
        <v>0</v>
      </c>
      <c r="L515" s="2">
        <v>1</v>
      </c>
      <c r="M515" s="2">
        <v>0</v>
      </c>
      <c r="S515" t="s">
        <v>2630</v>
      </c>
      <c r="U515" t="s">
        <v>45</v>
      </c>
      <c r="V515" t="s">
        <v>46</v>
      </c>
      <c r="W515" t="s">
        <v>2426</v>
      </c>
      <c r="X515" t="s">
        <v>2427</v>
      </c>
      <c r="Y515" t="s">
        <v>279</v>
      </c>
      <c r="Z515" t="s">
        <v>280</v>
      </c>
      <c r="AA515" t="s">
        <v>49</v>
      </c>
      <c r="AC515" s="2"/>
    </row>
    <row r="516" spans="1:31" hidden="1" x14ac:dyDescent="0.25">
      <c r="A516" t="s">
        <v>2631</v>
      </c>
      <c r="B516" t="s">
        <v>2632</v>
      </c>
      <c r="C516" t="s">
        <v>2632</v>
      </c>
      <c r="F516" t="s">
        <v>2633</v>
      </c>
      <c r="H516" t="s">
        <v>2382</v>
      </c>
      <c r="J516" s="2">
        <v>1728</v>
      </c>
      <c r="K516" s="2">
        <v>7.92</v>
      </c>
      <c r="L516" s="2">
        <v>1</v>
      </c>
      <c r="M516" s="2">
        <v>0</v>
      </c>
      <c r="N516" t="s">
        <v>2384</v>
      </c>
      <c r="O516" t="s">
        <v>2385</v>
      </c>
      <c r="P516" t="s">
        <v>103</v>
      </c>
      <c r="Q516" t="s">
        <v>104</v>
      </c>
      <c r="S516" t="s">
        <v>2634</v>
      </c>
      <c r="U516" t="s">
        <v>45</v>
      </c>
      <c r="V516" t="s">
        <v>46</v>
      </c>
      <c r="W516" t="s">
        <v>2384</v>
      </c>
      <c r="X516" t="s">
        <v>2385</v>
      </c>
      <c r="Y516" t="s">
        <v>106</v>
      </c>
      <c r="Z516" t="s">
        <v>107</v>
      </c>
      <c r="AA516" t="s">
        <v>49</v>
      </c>
      <c r="AB516" t="s">
        <v>50</v>
      </c>
      <c r="AC516" s="2">
        <v>1728</v>
      </c>
      <c r="AD516" t="s">
        <v>64</v>
      </c>
    </row>
    <row r="517" spans="1:31" hidden="1" x14ac:dyDescent="0.25">
      <c r="I517" t="s">
        <v>2635</v>
      </c>
      <c r="J517" s="2">
        <v>18500</v>
      </c>
      <c r="K517" s="2">
        <v>0</v>
      </c>
      <c r="L517" s="2">
        <v>15</v>
      </c>
      <c r="M517" s="2">
        <v>0</v>
      </c>
      <c r="S517" t="s">
        <v>2636</v>
      </c>
      <c r="U517" t="s">
        <v>45</v>
      </c>
      <c r="V517" t="s">
        <v>46</v>
      </c>
      <c r="W517" t="s">
        <v>118</v>
      </c>
      <c r="X517" t="s">
        <v>119</v>
      </c>
      <c r="Y517" t="s">
        <v>121</v>
      </c>
      <c r="Z517" t="s">
        <v>94</v>
      </c>
      <c r="AA517" t="s">
        <v>49</v>
      </c>
      <c r="AC517" s="2"/>
    </row>
    <row r="518" spans="1:31" hidden="1" x14ac:dyDescent="0.25">
      <c r="I518" t="s">
        <v>2637</v>
      </c>
      <c r="J518" s="2">
        <v>1000</v>
      </c>
      <c r="K518" s="2">
        <v>0</v>
      </c>
      <c r="L518" s="2">
        <v>21</v>
      </c>
      <c r="M518" s="2">
        <v>0</v>
      </c>
      <c r="S518" t="s">
        <v>2638</v>
      </c>
      <c r="U518" t="s">
        <v>45</v>
      </c>
      <c r="V518" t="s">
        <v>46</v>
      </c>
      <c r="W518" t="s">
        <v>403</v>
      </c>
      <c r="X518" t="s">
        <v>404</v>
      </c>
      <c r="Y518" t="s">
        <v>161</v>
      </c>
      <c r="Z518" t="s">
        <v>162</v>
      </c>
      <c r="AA518" t="s">
        <v>49</v>
      </c>
      <c r="AC518" s="2"/>
    </row>
    <row r="519" spans="1:31" hidden="1" x14ac:dyDescent="0.25">
      <c r="I519" t="s">
        <v>2639</v>
      </c>
      <c r="J519" s="2">
        <v>1000</v>
      </c>
      <c r="K519" s="2">
        <v>0</v>
      </c>
      <c r="L519" s="2">
        <v>1</v>
      </c>
      <c r="M519" s="2">
        <v>0</v>
      </c>
      <c r="S519" t="s">
        <v>2640</v>
      </c>
      <c r="U519" t="s">
        <v>45</v>
      </c>
      <c r="V519" t="s">
        <v>46</v>
      </c>
      <c r="W519" t="s">
        <v>403</v>
      </c>
      <c r="X519" t="s">
        <v>404</v>
      </c>
      <c r="Y519" t="s">
        <v>161</v>
      </c>
      <c r="Z519" t="s">
        <v>162</v>
      </c>
      <c r="AA519" t="s">
        <v>49</v>
      </c>
      <c r="AC519" s="2"/>
    </row>
    <row r="520" spans="1:31" x14ac:dyDescent="0.25">
      <c r="A520" t="s">
        <v>2641</v>
      </c>
      <c r="B520" t="s">
        <v>2642</v>
      </c>
      <c r="C520" t="s">
        <v>2642</v>
      </c>
      <c r="D520" t="s">
        <v>153</v>
      </c>
      <c r="E520" t="s">
        <v>272</v>
      </c>
      <c r="F520" t="s">
        <v>2643</v>
      </c>
      <c r="H520" t="s">
        <v>38</v>
      </c>
      <c r="I520" t="s">
        <v>2644</v>
      </c>
      <c r="J520" s="2">
        <v>2181700</v>
      </c>
      <c r="K520" s="2">
        <v>10000</v>
      </c>
      <c r="L520" s="2">
        <v>15</v>
      </c>
      <c r="M520" s="2">
        <v>0</v>
      </c>
      <c r="N520" t="s">
        <v>40</v>
      </c>
      <c r="O520" t="s">
        <v>41</v>
      </c>
      <c r="P520" t="s">
        <v>42</v>
      </c>
      <c r="Q520" t="s">
        <v>43</v>
      </c>
      <c r="U520" t="s">
        <v>45</v>
      </c>
      <c r="V520" t="s">
        <v>46</v>
      </c>
      <c r="W520" t="s">
        <v>40</v>
      </c>
      <c r="X520" t="s">
        <v>41</v>
      </c>
      <c r="Y520" t="s">
        <v>47</v>
      </c>
      <c r="Z520" t="s">
        <v>48</v>
      </c>
      <c r="AA520" t="s">
        <v>1006</v>
      </c>
      <c r="AB520" t="s">
        <v>50</v>
      </c>
      <c r="AC520" s="2">
        <v>1981180.24</v>
      </c>
      <c r="AD520" t="s">
        <v>2645</v>
      </c>
    </row>
    <row r="521" spans="1:31" hidden="1" x14ac:dyDescent="0.25">
      <c r="J521" s="2">
        <v>1000</v>
      </c>
      <c r="K521" s="2">
        <v>0</v>
      </c>
      <c r="L521" s="2">
        <v>1</v>
      </c>
      <c r="M521" s="2">
        <v>0</v>
      </c>
      <c r="U521" t="s">
        <v>45</v>
      </c>
      <c r="V521" t="s">
        <v>46</v>
      </c>
      <c r="W521" t="s">
        <v>40</v>
      </c>
      <c r="X521" t="s">
        <v>41</v>
      </c>
      <c r="Y521" t="s">
        <v>47</v>
      </c>
      <c r="Z521" t="s">
        <v>48</v>
      </c>
      <c r="AA521" t="s">
        <v>49</v>
      </c>
      <c r="AC521" s="2"/>
    </row>
    <row r="522" spans="1:31" hidden="1" x14ac:dyDescent="0.25">
      <c r="I522" t="s">
        <v>2646</v>
      </c>
      <c r="J522" s="2">
        <v>1000</v>
      </c>
      <c r="K522" s="2">
        <v>0</v>
      </c>
      <c r="L522" s="2">
        <v>1</v>
      </c>
      <c r="M522" s="2">
        <v>0</v>
      </c>
      <c r="U522" t="s">
        <v>45</v>
      </c>
      <c r="V522" t="s">
        <v>46</v>
      </c>
      <c r="W522" t="s">
        <v>40</v>
      </c>
      <c r="X522" t="s">
        <v>41</v>
      </c>
      <c r="Y522" t="s">
        <v>47</v>
      </c>
      <c r="Z522" t="s">
        <v>48</v>
      </c>
      <c r="AA522" t="s">
        <v>49</v>
      </c>
      <c r="AC522" s="2"/>
    </row>
    <row r="523" spans="1:31" hidden="1" x14ac:dyDescent="0.25">
      <c r="I523" t="s">
        <v>2648</v>
      </c>
      <c r="J523" s="2">
        <v>21817</v>
      </c>
      <c r="K523" s="2">
        <v>100</v>
      </c>
      <c r="L523" s="2">
        <v>1</v>
      </c>
      <c r="M523" s="2">
        <v>0</v>
      </c>
      <c r="S523" t="s">
        <v>2649</v>
      </c>
      <c r="U523" t="s">
        <v>45</v>
      </c>
      <c r="V523" t="s">
        <v>46</v>
      </c>
      <c r="W523" t="s">
        <v>1362</v>
      </c>
      <c r="X523" t="s">
        <v>1360</v>
      </c>
      <c r="Y523" t="s">
        <v>137</v>
      </c>
      <c r="Z523" t="s">
        <v>717</v>
      </c>
      <c r="AA523" t="s">
        <v>49</v>
      </c>
      <c r="AC523" s="2"/>
    </row>
    <row r="524" spans="1:31" hidden="1" x14ac:dyDescent="0.25">
      <c r="I524" t="s">
        <v>2650</v>
      </c>
      <c r="J524" s="2">
        <v>21817</v>
      </c>
      <c r="K524" s="2">
        <v>100</v>
      </c>
      <c r="L524" s="2">
        <v>1</v>
      </c>
      <c r="M524" s="2">
        <v>0</v>
      </c>
      <c r="S524" t="s">
        <v>2651</v>
      </c>
      <c r="U524" t="s">
        <v>45</v>
      </c>
      <c r="V524" t="s">
        <v>46</v>
      </c>
      <c r="W524" t="s">
        <v>403</v>
      </c>
      <c r="X524" t="s">
        <v>404</v>
      </c>
      <c r="Y524" t="s">
        <v>161</v>
      </c>
      <c r="Z524" t="s">
        <v>162</v>
      </c>
      <c r="AA524" t="s">
        <v>49</v>
      </c>
      <c r="AC524" s="2"/>
    </row>
    <row r="525" spans="1:31" hidden="1" x14ac:dyDescent="0.25">
      <c r="I525" t="s">
        <v>2652</v>
      </c>
      <c r="J525" s="2">
        <v>3664</v>
      </c>
      <c r="K525" s="2">
        <v>0</v>
      </c>
      <c r="L525" s="2">
        <v>21</v>
      </c>
      <c r="M525" s="2">
        <v>0</v>
      </c>
      <c r="U525" t="s">
        <v>45</v>
      </c>
      <c r="V525" t="s">
        <v>46</v>
      </c>
      <c r="W525" t="s">
        <v>883</v>
      </c>
      <c r="X525" t="s">
        <v>881</v>
      </c>
      <c r="Y525" t="s">
        <v>161</v>
      </c>
      <c r="Z525" t="s">
        <v>162</v>
      </c>
      <c r="AA525" t="s">
        <v>49</v>
      </c>
      <c r="AC525" s="2"/>
    </row>
    <row r="526" spans="1:31" x14ac:dyDescent="0.25">
      <c r="A526" t="s">
        <v>2653</v>
      </c>
      <c r="B526" t="s">
        <v>2654</v>
      </c>
      <c r="C526" t="s">
        <v>2655</v>
      </c>
      <c r="D526" t="s">
        <v>1504</v>
      </c>
      <c r="E526" t="s">
        <v>77</v>
      </c>
      <c r="F526" t="s">
        <v>2656</v>
      </c>
      <c r="H526" t="s">
        <v>116</v>
      </c>
      <c r="I526" t="s">
        <v>2657</v>
      </c>
      <c r="J526" s="2">
        <v>218170</v>
      </c>
      <c r="K526" s="2">
        <v>1000</v>
      </c>
      <c r="L526" s="2">
        <v>15</v>
      </c>
      <c r="M526" s="2">
        <v>0</v>
      </c>
      <c r="N526" t="s">
        <v>118</v>
      </c>
      <c r="O526" t="s">
        <v>119</v>
      </c>
      <c r="P526" t="s">
        <v>120</v>
      </c>
      <c r="Q526" t="s">
        <v>121</v>
      </c>
      <c r="S526" t="s">
        <v>2658</v>
      </c>
      <c r="U526" t="s">
        <v>45</v>
      </c>
      <c r="V526" t="s">
        <v>46</v>
      </c>
      <c r="W526" t="s">
        <v>118</v>
      </c>
      <c r="X526" t="s">
        <v>119</v>
      </c>
      <c r="Y526" t="s">
        <v>121</v>
      </c>
      <c r="Z526" t="s">
        <v>94</v>
      </c>
      <c r="AA526" t="s">
        <v>49</v>
      </c>
      <c r="AB526" t="s">
        <v>50</v>
      </c>
      <c r="AC526" s="2">
        <v>218170</v>
      </c>
      <c r="AD526" t="s">
        <v>64</v>
      </c>
    </row>
    <row r="527" spans="1:31" x14ac:dyDescent="0.25">
      <c r="A527" t="s">
        <v>2659</v>
      </c>
      <c r="B527" t="s">
        <v>2660</v>
      </c>
      <c r="C527" t="s">
        <v>2660</v>
      </c>
      <c r="D527" t="s">
        <v>2661</v>
      </c>
      <c r="E527" t="s">
        <v>134</v>
      </c>
      <c r="F527" t="s">
        <v>2662</v>
      </c>
      <c r="G527" t="s">
        <v>519</v>
      </c>
      <c r="H527" t="s">
        <v>1581</v>
      </c>
      <c r="I527" t="s">
        <v>2663</v>
      </c>
      <c r="J527" s="2">
        <v>21817</v>
      </c>
      <c r="K527" s="2">
        <v>100</v>
      </c>
      <c r="L527" s="2">
        <v>7</v>
      </c>
      <c r="M527" s="2">
        <v>0</v>
      </c>
      <c r="N527" t="s">
        <v>203</v>
      </c>
      <c r="O527" t="s">
        <v>204</v>
      </c>
      <c r="P527" t="s">
        <v>205</v>
      </c>
      <c r="Q527" t="s">
        <v>206</v>
      </c>
      <c r="S527" t="s">
        <v>2664</v>
      </c>
      <c r="U527" t="s">
        <v>45</v>
      </c>
      <c r="V527" t="s">
        <v>46</v>
      </c>
      <c r="W527" t="s">
        <v>203</v>
      </c>
      <c r="X527" t="s">
        <v>204</v>
      </c>
      <c r="Y527" t="s">
        <v>161</v>
      </c>
      <c r="Z527" t="s">
        <v>162</v>
      </c>
      <c r="AA527" t="s">
        <v>49</v>
      </c>
      <c r="AB527" t="s">
        <v>50</v>
      </c>
      <c r="AC527" s="2">
        <v>21817</v>
      </c>
      <c r="AD527" t="s">
        <v>64</v>
      </c>
    </row>
    <row r="528" spans="1:31" x14ac:dyDescent="0.25">
      <c r="A528" t="s">
        <v>2665</v>
      </c>
      <c r="B528" t="s">
        <v>2666</v>
      </c>
      <c r="C528" t="s">
        <v>2666</v>
      </c>
      <c r="D528" t="s">
        <v>153</v>
      </c>
      <c r="E528" t="s">
        <v>272</v>
      </c>
      <c r="F528" t="s">
        <v>2667</v>
      </c>
      <c r="G528" t="s">
        <v>153</v>
      </c>
      <c r="H528" t="s">
        <v>881</v>
      </c>
      <c r="I528" t="s">
        <v>2668</v>
      </c>
      <c r="J528" s="2">
        <v>218170</v>
      </c>
      <c r="K528" s="2">
        <v>1000</v>
      </c>
      <c r="L528" s="2">
        <v>7</v>
      </c>
      <c r="M528" s="2">
        <v>0</v>
      </c>
      <c r="N528" t="s">
        <v>883</v>
      </c>
      <c r="O528" t="s">
        <v>881</v>
      </c>
      <c r="P528" t="s">
        <v>158</v>
      </c>
      <c r="Q528" t="s">
        <v>159</v>
      </c>
      <c r="S528" t="s">
        <v>2669</v>
      </c>
      <c r="U528" t="s">
        <v>45</v>
      </c>
      <c r="V528" t="s">
        <v>46</v>
      </c>
      <c r="W528" t="s">
        <v>883</v>
      </c>
      <c r="X528" t="s">
        <v>881</v>
      </c>
      <c r="Y528" t="s">
        <v>161</v>
      </c>
      <c r="Z528" t="s">
        <v>162</v>
      </c>
      <c r="AA528" t="s">
        <v>49</v>
      </c>
      <c r="AB528" t="s">
        <v>50</v>
      </c>
      <c r="AC528" s="2">
        <v>123297.26</v>
      </c>
      <c r="AD528" t="s">
        <v>2670</v>
      </c>
      <c r="AE528" t="s">
        <v>52</v>
      </c>
    </row>
    <row r="529" spans="1:31" x14ac:dyDescent="0.25">
      <c r="A529" t="s">
        <v>2671</v>
      </c>
      <c r="B529" t="s">
        <v>2672</v>
      </c>
      <c r="C529" t="s">
        <v>2672</v>
      </c>
      <c r="D529" t="s">
        <v>553</v>
      </c>
      <c r="E529" t="s">
        <v>167</v>
      </c>
      <c r="F529" t="s">
        <v>2673</v>
      </c>
      <c r="G529" t="s">
        <v>553</v>
      </c>
      <c r="H529" t="s">
        <v>38</v>
      </c>
      <c r="I529" t="s">
        <v>2674</v>
      </c>
      <c r="J529" s="2">
        <v>130902</v>
      </c>
      <c r="K529" s="2">
        <v>600</v>
      </c>
      <c r="L529" s="2">
        <v>15</v>
      </c>
      <c r="M529" s="2">
        <v>0</v>
      </c>
      <c r="N529" t="s">
        <v>40</v>
      </c>
      <c r="O529" t="s">
        <v>41</v>
      </c>
      <c r="P529" t="s">
        <v>61</v>
      </c>
      <c r="Q529" t="s">
        <v>62</v>
      </c>
      <c r="S529" t="s">
        <v>2675</v>
      </c>
      <c r="U529" t="s">
        <v>45</v>
      </c>
      <c r="V529" t="s">
        <v>46</v>
      </c>
      <c r="W529" t="s">
        <v>40</v>
      </c>
      <c r="X529" t="s">
        <v>41</v>
      </c>
      <c r="Y529" t="s">
        <v>47</v>
      </c>
      <c r="Z529" t="s">
        <v>48</v>
      </c>
      <c r="AA529" t="s">
        <v>49</v>
      </c>
      <c r="AB529" t="s">
        <v>50</v>
      </c>
      <c r="AC529" s="2">
        <v>125510.3</v>
      </c>
      <c r="AD529" t="s">
        <v>2676</v>
      </c>
    </row>
    <row r="530" spans="1:31" x14ac:dyDescent="0.25">
      <c r="A530" s="15" t="s">
        <v>2677</v>
      </c>
      <c r="B530" s="15" t="s">
        <v>2678</v>
      </c>
      <c r="C530" s="15" t="s">
        <v>2678</v>
      </c>
      <c r="D530" s="15" t="s">
        <v>55</v>
      </c>
      <c r="E530" s="15" t="s">
        <v>56</v>
      </c>
      <c r="F530" s="15" t="s">
        <v>2679</v>
      </c>
      <c r="H530" s="15" t="s">
        <v>265</v>
      </c>
      <c r="I530" t="s">
        <v>2680</v>
      </c>
      <c r="J530" s="2">
        <v>1000</v>
      </c>
      <c r="K530" s="2">
        <v>0</v>
      </c>
      <c r="L530" s="2">
        <v>1</v>
      </c>
      <c r="M530" s="2">
        <v>0</v>
      </c>
      <c r="N530" s="15" t="s">
        <v>267</v>
      </c>
      <c r="O530" s="15" t="s">
        <v>268</v>
      </c>
      <c r="P530" s="15" t="s">
        <v>2220</v>
      </c>
      <c r="Q530" s="15" t="s">
        <v>2221</v>
      </c>
      <c r="S530" t="s">
        <v>2681</v>
      </c>
      <c r="U530" t="s">
        <v>45</v>
      </c>
      <c r="V530" t="s">
        <v>46</v>
      </c>
      <c r="W530" t="s">
        <v>267</v>
      </c>
      <c r="X530" t="s">
        <v>268</v>
      </c>
      <c r="Y530" t="s">
        <v>106</v>
      </c>
      <c r="Z530" t="s">
        <v>107</v>
      </c>
      <c r="AA530" t="s">
        <v>49</v>
      </c>
      <c r="AB530" s="15" t="s">
        <v>50</v>
      </c>
      <c r="AC530" s="16">
        <v>-65262.77</v>
      </c>
      <c r="AD530" s="15" t="s">
        <v>2682</v>
      </c>
      <c r="AE530" s="15" t="s">
        <v>115</v>
      </c>
    </row>
    <row r="531" spans="1:31" hidden="1" x14ac:dyDescent="0.25">
      <c r="I531" t="s">
        <v>2683</v>
      </c>
      <c r="J531" s="2">
        <v>43634</v>
      </c>
      <c r="K531" s="2">
        <v>200</v>
      </c>
      <c r="L531" s="2">
        <v>15</v>
      </c>
      <c r="M531" s="2">
        <v>0</v>
      </c>
      <c r="S531" t="s">
        <v>2684</v>
      </c>
      <c r="U531" t="s">
        <v>45</v>
      </c>
      <c r="V531" t="s">
        <v>46</v>
      </c>
      <c r="W531" t="s">
        <v>267</v>
      </c>
      <c r="X531" t="s">
        <v>268</v>
      </c>
      <c r="Y531" t="s">
        <v>106</v>
      </c>
      <c r="Z531" t="s">
        <v>107</v>
      </c>
      <c r="AA531" t="s">
        <v>49</v>
      </c>
      <c r="AC531" s="2"/>
    </row>
    <row r="532" spans="1:31" x14ac:dyDescent="0.25">
      <c r="A532" t="s">
        <v>2685</v>
      </c>
      <c r="B532" t="s">
        <v>2686</v>
      </c>
      <c r="C532" t="s">
        <v>2686</v>
      </c>
      <c r="D532" t="s">
        <v>2687</v>
      </c>
      <c r="E532" t="s">
        <v>190</v>
      </c>
      <c r="F532" t="s">
        <v>2688</v>
      </c>
      <c r="G532" t="s">
        <v>1169</v>
      </c>
      <c r="H532" t="s">
        <v>170</v>
      </c>
      <c r="I532" t="s">
        <v>2689</v>
      </c>
      <c r="J532" s="2">
        <v>327255</v>
      </c>
      <c r="K532" s="2">
        <v>1500</v>
      </c>
      <c r="L532" s="2">
        <v>21</v>
      </c>
      <c r="M532" s="2">
        <v>0</v>
      </c>
      <c r="N532" t="s">
        <v>172</v>
      </c>
      <c r="O532" t="s">
        <v>173</v>
      </c>
      <c r="P532" t="s">
        <v>158</v>
      </c>
      <c r="Q532" t="s">
        <v>159</v>
      </c>
      <c r="S532" t="s">
        <v>2690</v>
      </c>
      <c r="U532" t="s">
        <v>45</v>
      </c>
      <c r="V532" t="s">
        <v>46</v>
      </c>
      <c r="W532" t="s">
        <v>172</v>
      </c>
      <c r="X532" t="s">
        <v>173</v>
      </c>
      <c r="Y532" t="s">
        <v>161</v>
      </c>
      <c r="Z532" t="s">
        <v>162</v>
      </c>
      <c r="AA532" t="s">
        <v>49</v>
      </c>
      <c r="AB532" t="s">
        <v>50</v>
      </c>
      <c r="AC532" s="2">
        <v>327255</v>
      </c>
      <c r="AD532" t="s">
        <v>64</v>
      </c>
    </row>
    <row r="533" spans="1:31" hidden="1" x14ac:dyDescent="0.25">
      <c r="I533" t="s">
        <v>2691</v>
      </c>
      <c r="J533" s="2">
        <v>1000</v>
      </c>
      <c r="K533" s="2">
        <v>0</v>
      </c>
      <c r="L533" s="2">
        <v>1</v>
      </c>
      <c r="M533" s="2">
        <v>0</v>
      </c>
      <c r="S533" t="s">
        <v>2692</v>
      </c>
      <c r="U533" t="s">
        <v>45</v>
      </c>
      <c r="V533" t="s">
        <v>46</v>
      </c>
      <c r="W533" t="s">
        <v>203</v>
      </c>
      <c r="X533" t="s">
        <v>204</v>
      </c>
      <c r="Y533" t="s">
        <v>161</v>
      </c>
      <c r="Z533" t="s">
        <v>162</v>
      </c>
      <c r="AA533" t="s">
        <v>49</v>
      </c>
      <c r="AC533" s="2"/>
    </row>
    <row r="534" spans="1:31" x14ac:dyDescent="0.25">
      <c r="A534" t="s">
        <v>2693</v>
      </c>
      <c r="B534" t="s">
        <v>2694</v>
      </c>
      <c r="C534" t="s">
        <v>2694</v>
      </c>
      <c r="D534" t="s">
        <v>166</v>
      </c>
      <c r="E534" t="s">
        <v>167</v>
      </c>
      <c r="F534" t="s">
        <v>2695</v>
      </c>
      <c r="G534" t="s">
        <v>773</v>
      </c>
      <c r="H534" t="s">
        <v>2696</v>
      </c>
      <c r="I534" t="s">
        <v>2697</v>
      </c>
      <c r="J534" s="2">
        <v>158792</v>
      </c>
      <c r="K534" s="2">
        <v>710</v>
      </c>
      <c r="L534" s="2">
        <v>21</v>
      </c>
      <c r="M534" s="2">
        <v>0</v>
      </c>
      <c r="N534" t="s">
        <v>1849</v>
      </c>
      <c r="O534" t="s">
        <v>1847</v>
      </c>
      <c r="P534" t="s">
        <v>120</v>
      </c>
      <c r="Q534" t="s">
        <v>121</v>
      </c>
      <c r="S534" t="s">
        <v>2698</v>
      </c>
      <c r="U534" t="s">
        <v>45</v>
      </c>
      <c r="V534" t="s">
        <v>46</v>
      </c>
      <c r="W534" t="s">
        <v>1849</v>
      </c>
      <c r="X534" t="s">
        <v>1847</v>
      </c>
      <c r="Y534" t="s">
        <v>121</v>
      </c>
      <c r="Z534" t="s">
        <v>94</v>
      </c>
      <c r="AA534" t="s">
        <v>49</v>
      </c>
      <c r="AB534" t="s">
        <v>50</v>
      </c>
      <c r="AC534" s="2">
        <v>157461.66</v>
      </c>
      <c r="AD534" t="s">
        <v>2699</v>
      </c>
    </row>
    <row r="535" spans="1:31" x14ac:dyDescent="0.25">
      <c r="A535" t="s">
        <v>2700</v>
      </c>
      <c r="B535" t="s">
        <v>2701</v>
      </c>
      <c r="C535" t="s">
        <v>2702</v>
      </c>
      <c r="D535" t="s">
        <v>166</v>
      </c>
      <c r="E535" t="s">
        <v>167</v>
      </c>
      <c r="F535" t="s">
        <v>2703</v>
      </c>
      <c r="G535" t="s">
        <v>1504</v>
      </c>
      <c r="H535" t="s">
        <v>402</v>
      </c>
      <c r="I535" t="s">
        <v>2704</v>
      </c>
      <c r="J535" s="2">
        <v>239987</v>
      </c>
      <c r="K535" s="2">
        <v>1100</v>
      </c>
      <c r="L535" s="2">
        <v>21</v>
      </c>
      <c r="M535" s="2">
        <v>0</v>
      </c>
      <c r="N535" t="s">
        <v>403</v>
      </c>
      <c r="O535" t="s">
        <v>404</v>
      </c>
      <c r="P535" t="s">
        <v>205</v>
      </c>
      <c r="Q535" t="s">
        <v>206</v>
      </c>
      <c r="S535" t="s">
        <v>2705</v>
      </c>
      <c r="U535" t="s">
        <v>45</v>
      </c>
      <c r="V535" t="s">
        <v>46</v>
      </c>
      <c r="W535" t="s">
        <v>403</v>
      </c>
      <c r="X535" t="s">
        <v>404</v>
      </c>
      <c r="Y535" t="s">
        <v>161</v>
      </c>
      <c r="Z535" t="s">
        <v>162</v>
      </c>
      <c r="AA535" t="s">
        <v>49</v>
      </c>
      <c r="AB535" t="s">
        <v>50</v>
      </c>
      <c r="AC535" s="2">
        <v>227399.8</v>
      </c>
      <c r="AD535" t="s">
        <v>2706</v>
      </c>
    </row>
    <row r="536" spans="1:31" hidden="1" x14ac:dyDescent="0.25">
      <c r="I536" t="s">
        <v>2707</v>
      </c>
      <c r="J536" s="2">
        <v>1000</v>
      </c>
      <c r="K536" s="2">
        <v>0</v>
      </c>
      <c r="L536" s="2">
        <v>21</v>
      </c>
      <c r="M536" s="2">
        <v>0</v>
      </c>
      <c r="S536" t="s">
        <v>2708</v>
      </c>
      <c r="U536" t="s">
        <v>45</v>
      </c>
      <c r="V536" t="s">
        <v>46</v>
      </c>
      <c r="W536" t="s">
        <v>203</v>
      </c>
      <c r="X536" t="s">
        <v>204</v>
      </c>
      <c r="Y536" t="s">
        <v>161</v>
      </c>
      <c r="Z536" t="s">
        <v>162</v>
      </c>
      <c r="AA536" t="s">
        <v>49</v>
      </c>
      <c r="AC536" s="2"/>
    </row>
    <row r="537" spans="1:31" x14ac:dyDescent="0.25">
      <c r="A537" t="s">
        <v>2709</v>
      </c>
      <c r="B537" t="s">
        <v>2710</v>
      </c>
      <c r="C537" t="s">
        <v>2710</v>
      </c>
      <c r="D537" t="s">
        <v>297</v>
      </c>
      <c r="E537" t="s">
        <v>167</v>
      </c>
      <c r="F537" t="s">
        <v>2711</v>
      </c>
      <c r="G537" t="s">
        <v>873</v>
      </c>
      <c r="H537" t="s">
        <v>2105</v>
      </c>
      <c r="I537" t="s">
        <v>2712</v>
      </c>
      <c r="J537" s="2">
        <v>327255</v>
      </c>
      <c r="K537" s="2">
        <v>1500</v>
      </c>
      <c r="L537" s="2">
        <v>21</v>
      </c>
      <c r="M537" s="2">
        <v>0</v>
      </c>
      <c r="N537" t="s">
        <v>1546</v>
      </c>
      <c r="O537" t="s">
        <v>1547</v>
      </c>
      <c r="P537" t="s">
        <v>103</v>
      </c>
      <c r="Q537" t="s">
        <v>104</v>
      </c>
      <c r="S537" t="s">
        <v>2713</v>
      </c>
      <c r="U537" t="s">
        <v>45</v>
      </c>
      <c r="V537" t="s">
        <v>46</v>
      </c>
      <c r="W537" t="s">
        <v>1546</v>
      </c>
      <c r="X537" t="s">
        <v>1547</v>
      </c>
      <c r="Y537" t="s">
        <v>279</v>
      </c>
      <c r="Z537" t="s">
        <v>280</v>
      </c>
      <c r="AA537" t="s">
        <v>49</v>
      </c>
      <c r="AB537" t="s">
        <v>50</v>
      </c>
      <c r="AC537" s="2">
        <v>327255</v>
      </c>
      <c r="AD537" t="s">
        <v>64</v>
      </c>
    </row>
    <row r="538" spans="1:31" hidden="1" x14ac:dyDescent="0.25">
      <c r="I538" t="s">
        <v>2714</v>
      </c>
      <c r="J538" s="2">
        <v>1000</v>
      </c>
      <c r="K538" s="2">
        <v>0</v>
      </c>
      <c r="L538" s="2">
        <v>7</v>
      </c>
      <c r="M538" s="2">
        <v>0</v>
      </c>
      <c r="S538" t="s">
        <v>2715</v>
      </c>
      <c r="U538" t="s">
        <v>45</v>
      </c>
      <c r="V538" t="s">
        <v>46</v>
      </c>
      <c r="W538" t="s">
        <v>302</v>
      </c>
      <c r="X538" t="s">
        <v>303</v>
      </c>
      <c r="Y538" t="s">
        <v>72</v>
      </c>
      <c r="Z538" t="s">
        <v>68</v>
      </c>
      <c r="AA538" t="s">
        <v>49</v>
      </c>
      <c r="AC538" s="2"/>
    </row>
    <row r="539" spans="1:31" x14ac:dyDescent="0.25">
      <c r="A539" t="s">
        <v>2716</v>
      </c>
      <c r="B539" t="s">
        <v>2717</v>
      </c>
      <c r="C539" t="s">
        <v>2717</v>
      </c>
      <c r="D539" t="s">
        <v>299</v>
      </c>
      <c r="E539" t="s">
        <v>167</v>
      </c>
      <c r="F539" t="s">
        <v>2718</v>
      </c>
      <c r="G539" t="s">
        <v>498</v>
      </c>
      <c r="H539" t="s">
        <v>2218</v>
      </c>
      <c r="I539" t="s">
        <v>2719</v>
      </c>
      <c r="J539" s="2">
        <v>425628</v>
      </c>
      <c r="K539" s="2">
        <v>1800</v>
      </c>
      <c r="L539" s="2">
        <v>30</v>
      </c>
      <c r="M539" s="2">
        <v>0</v>
      </c>
      <c r="N539" t="s">
        <v>664</v>
      </c>
      <c r="O539" t="s">
        <v>665</v>
      </c>
      <c r="P539" t="s">
        <v>103</v>
      </c>
      <c r="Q539" t="s">
        <v>104</v>
      </c>
      <c r="S539" t="s">
        <v>2720</v>
      </c>
      <c r="U539" t="s">
        <v>45</v>
      </c>
      <c r="V539" t="s">
        <v>46</v>
      </c>
      <c r="W539" t="s">
        <v>664</v>
      </c>
      <c r="X539" t="s">
        <v>665</v>
      </c>
      <c r="Y539" t="s">
        <v>106</v>
      </c>
      <c r="Z539" t="s">
        <v>107</v>
      </c>
      <c r="AA539" t="s">
        <v>49</v>
      </c>
      <c r="AB539" t="s">
        <v>50</v>
      </c>
      <c r="AC539" s="2">
        <v>92249.600000000006</v>
      </c>
      <c r="AD539" t="s">
        <v>2721</v>
      </c>
      <c r="AE539" t="s">
        <v>52</v>
      </c>
    </row>
    <row r="540" spans="1:31" hidden="1" x14ac:dyDescent="0.25">
      <c r="I540" t="s">
        <v>2722</v>
      </c>
      <c r="J540" s="2">
        <v>1000</v>
      </c>
      <c r="K540" s="2">
        <v>0</v>
      </c>
      <c r="L540" s="2">
        <v>1</v>
      </c>
      <c r="M540" s="2">
        <v>0</v>
      </c>
      <c r="S540" t="s">
        <v>2723</v>
      </c>
      <c r="U540" t="s">
        <v>45</v>
      </c>
      <c r="V540" t="s">
        <v>46</v>
      </c>
      <c r="W540" t="s">
        <v>172</v>
      </c>
      <c r="X540" t="s">
        <v>173</v>
      </c>
      <c r="Y540" t="s">
        <v>161</v>
      </c>
      <c r="Z540" t="s">
        <v>162</v>
      </c>
      <c r="AA540" t="s">
        <v>49</v>
      </c>
      <c r="AC540" s="2"/>
    </row>
    <row r="541" spans="1:31" x14ac:dyDescent="0.25">
      <c r="A541" t="s">
        <v>2724</v>
      </c>
      <c r="B541" t="s">
        <v>2725</v>
      </c>
      <c r="C541" t="s">
        <v>2726</v>
      </c>
      <c r="D541" t="s">
        <v>153</v>
      </c>
      <c r="E541" t="s">
        <v>272</v>
      </c>
      <c r="F541" t="s">
        <v>2727</v>
      </c>
      <c r="G541" t="s">
        <v>153</v>
      </c>
      <c r="H541" t="s">
        <v>1607</v>
      </c>
      <c r="I541" t="s">
        <v>2728</v>
      </c>
      <c r="J541" s="2">
        <v>436340</v>
      </c>
      <c r="K541" s="2">
        <v>2000</v>
      </c>
      <c r="L541" s="2">
        <v>30</v>
      </c>
      <c r="M541" s="2">
        <v>0</v>
      </c>
      <c r="N541" t="s">
        <v>1221</v>
      </c>
      <c r="O541" t="s">
        <v>1222</v>
      </c>
      <c r="P541" t="s">
        <v>205</v>
      </c>
      <c r="Q541" t="s">
        <v>206</v>
      </c>
      <c r="S541" t="s">
        <v>2729</v>
      </c>
      <c r="U541" t="s">
        <v>45</v>
      </c>
      <c r="V541" t="s">
        <v>46</v>
      </c>
      <c r="W541" t="s">
        <v>1221</v>
      </c>
      <c r="X541" t="s">
        <v>1222</v>
      </c>
      <c r="Y541" t="s">
        <v>161</v>
      </c>
      <c r="Z541" t="s">
        <v>162</v>
      </c>
      <c r="AA541" t="s">
        <v>49</v>
      </c>
      <c r="AB541" t="s">
        <v>50</v>
      </c>
      <c r="AC541" s="2">
        <v>261884.58</v>
      </c>
      <c r="AD541" t="s">
        <v>2730</v>
      </c>
      <c r="AE541" t="s">
        <v>52</v>
      </c>
    </row>
    <row r="542" spans="1:31" x14ac:dyDescent="0.25">
      <c r="A542" t="s">
        <v>2731</v>
      </c>
      <c r="B542" t="s">
        <v>2732</v>
      </c>
      <c r="C542" t="s">
        <v>2732</v>
      </c>
      <c r="D542" t="s">
        <v>984</v>
      </c>
      <c r="E542" t="s">
        <v>985</v>
      </c>
      <c r="F542" t="s">
        <v>2733</v>
      </c>
      <c r="G542" t="s">
        <v>178</v>
      </c>
      <c r="H542" t="s">
        <v>443</v>
      </c>
      <c r="I542" t="s">
        <v>2734</v>
      </c>
      <c r="J542" s="2">
        <v>730870</v>
      </c>
      <c r="K542" s="2">
        <v>3350</v>
      </c>
      <c r="L542" s="2">
        <v>21</v>
      </c>
      <c r="M542" s="2">
        <v>0</v>
      </c>
      <c r="N542" t="s">
        <v>445</v>
      </c>
      <c r="O542" t="s">
        <v>446</v>
      </c>
      <c r="P542" t="s">
        <v>69</v>
      </c>
      <c r="Q542" t="s">
        <v>70</v>
      </c>
      <c r="S542" t="s">
        <v>2735</v>
      </c>
      <c r="U542" t="s">
        <v>45</v>
      </c>
      <c r="V542" t="s">
        <v>46</v>
      </c>
      <c r="W542" t="s">
        <v>445</v>
      </c>
      <c r="X542" t="s">
        <v>446</v>
      </c>
      <c r="Y542" t="s">
        <v>72</v>
      </c>
      <c r="Z542" t="s">
        <v>68</v>
      </c>
      <c r="AA542" t="s">
        <v>49</v>
      </c>
      <c r="AB542" t="s">
        <v>50</v>
      </c>
      <c r="AC542" s="2">
        <v>670759.62</v>
      </c>
      <c r="AD542" t="s">
        <v>2736</v>
      </c>
      <c r="AE542" t="s">
        <v>115</v>
      </c>
    </row>
    <row r="543" spans="1:31" hidden="1" x14ac:dyDescent="0.25">
      <c r="I543" t="s">
        <v>2737</v>
      </c>
      <c r="J543" s="2">
        <v>1000</v>
      </c>
      <c r="K543" s="2">
        <v>0</v>
      </c>
      <c r="L543" s="2">
        <v>1</v>
      </c>
      <c r="M543" s="2">
        <v>0</v>
      </c>
      <c r="S543" t="s">
        <v>2738</v>
      </c>
      <c r="U543" t="s">
        <v>45</v>
      </c>
      <c r="V543" t="s">
        <v>46</v>
      </c>
      <c r="W543" t="s">
        <v>1362</v>
      </c>
      <c r="X543" t="s">
        <v>1360</v>
      </c>
      <c r="Y543" t="s">
        <v>1215</v>
      </c>
      <c r="Z543" t="s">
        <v>1216</v>
      </c>
      <c r="AA543" t="s">
        <v>49</v>
      </c>
      <c r="AC543" s="2"/>
    </row>
    <row r="544" spans="1:31" hidden="1" x14ac:dyDescent="0.25">
      <c r="I544" t="s">
        <v>2739</v>
      </c>
      <c r="J544" s="2">
        <v>1000</v>
      </c>
      <c r="K544" s="2">
        <v>0</v>
      </c>
      <c r="L544" s="2">
        <v>1</v>
      </c>
      <c r="M544" s="2">
        <v>0</v>
      </c>
      <c r="S544" t="s">
        <v>2740</v>
      </c>
      <c r="U544" t="s">
        <v>45</v>
      </c>
      <c r="V544" t="s">
        <v>46</v>
      </c>
      <c r="W544" t="s">
        <v>118</v>
      </c>
      <c r="X544" t="s">
        <v>119</v>
      </c>
      <c r="Y544" t="s">
        <v>121</v>
      </c>
      <c r="Z544" t="s">
        <v>94</v>
      </c>
      <c r="AA544" t="s">
        <v>49</v>
      </c>
      <c r="AC544" s="2"/>
    </row>
    <row r="545" spans="1:31" x14ac:dyDescent="0.25">
      <c r="A545" t="s">
        <v>2741</v>
      </c>
      <c r="B545" t="s">
        <v>2742</v>
      </c>
      <c r="C545" t="s">
        <v>2743</v>
      </c>
      <c r="D545" t="s">
        <v>125</v>
      </c>
      <c r="E545" t="s">
        <v>126</v>
      </c>
      <c r="F545" t="s">
        <v>2744</v>
      </c>
      <c r="G545" t="s">
        <v>35</v>
      </c>
      <c r="H545" t="s">
        <v>265</v>
      </c>
      <c r="I545" t="s">
        <v>2745</v>
      </c>
      <c r="J545" s="2">
        <v>5737871</v>
      </c>
      <c r="K545" s="2">
        <v>26300</v>
      </c>
      <c r="L545" s="2">
        <v>30</v>
      </c>
      <c r="M545" s="2">
        <v>0</v>
      </c>
      <c r="N545" t="s">
        <v>267</v>
      </c>
      <c r="O545" t="s">
        <v>268</v>
      </c>
      <c r="P545" t="s">
        <v>103</v>
      </c>
      <c r="Q545" t="s">
        <v>104</v>
      </c>
      <c r="S545" t="s">
        <v>2746</v>
      </c>
      <c r="U545" t="s">
        <v>45</v>
      </c>
      <c r="V545" t="s">
        <v>46</v>
      </c>
      <c r="W545" t="s">
        <v>267</v>
      </c>
      <c r="X545" t="s">
        <v>268</v>
      </c>
      <c r="Y545" t="s">
        <v>106</v>
      </c>
      <c r="Z545" t="s">
        <v>107</v>
      </c>
      <c r="AA545" t="s">
        <v>49</v>
      </c>
      <c r="AB545" t="s">
        <v>50</v>
      </c>
      <c r="AC545" s="2">
        <v>2803353.35</v>
      </c>
      <c r="AD545" t="s">
        <v>2747</v>
      </c>
      <c r="AE545" t="s">
        <v>115</v>
      </c>
    </row>
    <row r="546" spans="1:31" hidden="1" x14ac:dyDescent="0.25">
      <c r="I546" t="s">
        <v>2748</v>
      </c>
      <c r="J546" s="2">
        <v>1000</v>
      </c>
      <c r="K546" s="2">
        <v>0</v>
      </c>
      <c r="L546" s="2">
        <v>1</v>
      </c>
      <c r="M546" s="2">
        <v>0</v>
      </c>
      <c r="S546" t="s">
        <v>2749</v>
      </c>
      <c r="U546" t="s">
        <v>45</v>
      </c>
      <c r="V546" t="s">
        <v>46</v>
      </c>
      <c r="W546" t="s">
        <v>879</v>
      </c>
      <c r="X546" t="s">
        <v>877</v>
      </c>
      <c r="Y546" t="s">
        <v>72</v>
      </c>
      <c r="Z546" t="s">
        <v>68</v>
      </c>
      <c r="AA546" t="s">
        <v>49</v>
      </c>
      <c r="AC546" s="2"/>
    </row>
    <row r="547" spans="1:31" x14ac:dyDescent="0.25">
      <c r="A547" t="s">
        <v>2750</v>
      </c>
      <c r="B547" t="s">
        <v>2751</v>
      </c>
      <c r="C547" t="s">
        <v>2752</v>
      </c>
      <c r="D547" t="s">
        <v>1734</v>
      </c>
      <c r="E547" t="s">
        <v>224</v>
      </c>
      <c r="F547" t="s">
        <v>2753</v>
      </c>
      <c r="G547" t="s">
        <v>2754</v>
      </c>
      <c r="H547" t="s">
        <v>65</v>
      </c>
      <c r="I547" t="s">
        <v>2755</v>
      </c>
      <c r="J547" s="2">
        <v>410984</v>
      </c>
      <c r="K547" s="2">
        <v>1883.78</v>
      </c>
      <c r="L547" s="2">
        <v>10</v>
      </c>
      <c r="M547" s="2">
        <v>0</v>
      </c>
      <c r="N547" t="s">
        <v>67</v>
      </c>
      <c r="O547" t="s">
        <v>68</v>
      </c>
      <c r="P547" t="s">
        <v>69</v>
      </c>
      <c r="Q547" t="s">
        <v>70</v>
      </c>
      <c r="S547" t="s">
        <v>2756</v>
      </c>
      <c r="U547" t="s">
        <v>45</v>
      </c>
      <c r="V547" t="s">
        <v>46</v>
      </c>
      <c r="W547" t="s">
        <v>67</v>
      </c>
      <c r="X547" t="s">
        <v>68</v>
      </c>
      <c r="Y547" t="s">
        <v>72</v>
      </c>
      <c r="Z547" t="s">
        <v>68</v>
      </c>
      <c r="AA547" t="s">
        <v>49</v>
      </c>
      <c r="AB547" t="s">
        <v>50</v>
      </c>
      <c r="AC547" s="2">
        <v>410984</v>
      </c>
      <c r="AD547" t="s">
        <v>64</v>
      </c>
    </row>
    <row r="548" spans="1:31" x14ac:dyDescent="0.25">
      <c r="A548" t="s">
        <v>2757</v>
      </c>
      <c r="B548" t="s">
        <v>2758</v>
      </c>
      <c r="C548" t="s">
        <v>2758</v>
      </c>
      <c r="D548" t="s">
        <v>321</v>
      </c>
      <c r="E548" t="s">
        <v>224</v>
      </c>
      <c r="F548" t="s">
        <v>2759</v>
      </c>
      <c r="G548" t="s">
        <v>1289</v>
      </c>
      <c r="H548" t="s">
        <v>1425</v>
      </c>
      <c r="I548" t="s">
        <v>2760</v>
      </c>
      <c r="J548" s="2">
        <v>109085</v>
      </c>
      <c r="K548" s="2">
        <v>500</v>
      </c>
      <c r="L548" s="2">
        <v>15</v>
      </c>
      <c r="M548" s="2">
        <v>0</v>
      </c>
      <c r="N548" t="s">
        <v>1427</v>
      </c>
      <c r="O548" t="s">
        <v>1428</v>
      </c>
      <c r="P548" t="s">
        <v>82</v>
      </c>
      <c r="Q548" t="s">
        <v>83</v>
      </c>
      <c r="S548" t="s">
        <v>2761</v>
      </c>
      <c r="U548" t="s">
        <v>45</v>
      </c>
      <c r="V548" t="s">
        <v>46</v>
      </c>
      <c r="W548" t="s">
        <v>1427</v>
      </c>
      <c r="X548" t="s">
        <v>1430</v>
      </c>
      <c r="Y548" t="s">
        <v>85</v>
      </c>
      <c r="Z548" t="s">
        <v>86</v>
      </c>
      <c r="AA548" t="s">
        <v>49</v>
      </c>
      <c r="AB548" t="s">
        <v>50</v>
      </c>
      <c r="AC548" s="2">
        <v>109085</v>
      </c>
      <c r="AD548" t="s">
        <v>64</v>
      </c>
    </row>
    <row r="549" spans="1:31" hidden="1" x14ac:dyDescent="0.25">
      <c r="A549" s="10" t="s">
        <v>2762</v>
      </c>
      <c r="B549" s="10" t="s">
        <v>2763</v>
      </c>
      <c r="C549" t="s">
        <v>2763</v>
      </c>
      <c r="D549" t="s">
        <v>55</v>
      </c>
      <c r="E549" t="s">
        <v>56</v>
      </c>
      <c r="F549" t="s">
        <v>2764</v>
      </c>
      <c r="H549" t="s">
        <v>2765</v>
      </c>
      <c r="I549" t="s">
        <v>2766</v>
      </c>
      <c r="J549" s="2">
        <v>1000</v>
      </c>
      <c r="K549" s="2">
        <v>0</v>
      </c>
      <c r="L549" s="2">
        <v>1</v>
      </c>
      <c r="M549" s="2">
        <v>0</v>
      </c>
      <c r="N549" t="s">
        <v>2767</v>
      </c>
      <c r="O549" t="s">
        <v>2768</v>
      </c>
      <c r="P549" t="s">
        <v>941</v>
      </c>
      <c r="Q549" t="s">
        <v>139</v>
      </c>
      <c r="S549" t="s">
        <v>2769</v>
      </c>
      <c r="U549" t="s">
        <v>45</v>
      </c>
      <c r="V549" t="s">
        <v>46</v>
      </c>
      <c r="W549" t="s">
        <v>2767</v>
      </c>
      <c r="X549" t="s">
        <v>2768</v>
      </c>
      <c r="Y549" t="s">
        <v>72</v>
      </c>
      <c r="Z549" t="s">
        <v>68</v>
      </c>
      <c r="AA549" t="s">
        <v>49</v>
      </c>
      <c r="AB549" t="s">
        <v>142</v>
      </c>
      <c r="AC549" s="2">
        <v>1000</v>
      </c>
      <c r="AD549" t="s">
        <v>64</v>
      </c>
    </row>
    <row r="550" spans="1:31" hidden="1" x14ac:dyDescent="0.25">
      <c r="I550" t="s">
        <v>2770</v>
      </c>
      <c r="J550" s="2">
        <v>1728</v>
      </c>
      <c r="K550" s="2">
        <v>7.92</v>
      </c>
      <c r="L550" s="2">
        <v>1</v>
      </c>
      <c r="M550" s="2">
        <v>0</v>
      </c>
      <c r="S550" t="s">
        <v>2771</v>
      </c>
      <c r="U550" t="s">
        <v>45</v>
      </c>
      <c r="V550" t="s">
        <v>46</v>
      </c>
      <c r="W550" t="s">
        <v>276</v>
      </c>
      <c r="X550" t="s">
        <v>277</v>
      </c>
      <c r="Y550" t="s">
        <v>279</v>
      </c>
      <c r="Z550" t="s">
        <v>280</v>
      </c>
      <c r="AA550" t="s">
        <v>49</v>
      </c>
      <c r="AC550" s="2"/>
    </row>
    <row r="551" spans="1:31" x14ac:dyDescent="0.25">
      <c r="A551" t="s">
        <v>2772</v>
      </c>
      <c r="B551" t="s">
        <v>2773</v>
      </c>
      <c r="C551" t="s">
        <v>2773</v>
      </c>
      <c r="D551" t="s">
        <v>153</v>
      </c>
      <c r="E551" t="s">
        <v>272</v>
      </c>
      <c r="F551" t="s">
        <v>2774</v>
      </c>
      <c r="G551" t="s">
        <v>498</v>
      </c>
      <c r="H551" t="s">
        <v>2218</v>
      </c>
      <c r="I551" t="s">
        <v>2775</v>
      </c>
      <c r="J551" s="2">
        <v>152719</v>
      </c>
      <c r="K551" s="2">
        <v>700</v>
      </c>
      <c r="L551" s="2">
        <v>30</v>
      </c>
      <c r="M551" s="2">
        <v>0</v>
      </c>
      <c r="N551" t="s">
        <v>664</v>
      </c>
      <c r="O551" t="s">
        <v>665</v>
      </c>
      <c r="P551" t="s">
        <v>103</v>
      </c>
      <c r="Q551" t="s">
        <v>104</v>
      </c>
      <c r="S551" t="s">
        <v>2776</v>
      </c>
      <c r="U551" t="s">
        <v>45</v>
      </c>
      <c r="V551" t="s">
        <v>46</v>
      </c>
      <c r="W551" t="s">
        <v>664</v>
      </c>
      <c r="X551" t="s">
        <v>665</v>
      </c>
      <c r="Y551" t="s">
        <v>106</v>
      </c>
      <c r="Z551" t="s">
        <v>107</v>
      </c>
      <c r="AA551" t="s">
        <v>49</v>
      </c>
      <c r="AB551" t="s">
        <v>50</v>
      </c>
      <c r="AC551" s="2">
        <v>152719</v>
      </c>
      <c r="AD551" t="s">
        <v>64</v>
      </c>
    </row>
    <row r="552" spans="1:31" hidden="1" x14ac:dyDescent="0.25">
      <c r="I552" t="s">
        <v>2777</v>
      </c>
      <c r="J552" s="2">
        <v>32726</v>
      </c>
      <c r="K552" s="2">
        <v>150</v>
      </c>
      <c r="L552" s="2">
        <v>1</v>
      </c>
      <c r="M552" s="2">
        <v>0</v>
      </c>
      <c r="S552" t="s">
        <v>2778</v>
      </c>
      <c r="U552" t="s">
        <v>45</v>
      </c>
      <c r="V552" t="s">
        <v>46</v>
      </c>
      <c r="W552" t="s">
        <v>118</v>
      </c>
      <c r="X552" t="s">
        <v>119</v>
      </c>
      <c r="Y552" t="s">
        <v>121</v>
      </c>
      <c r="Z552" t="s">
        <v>94</v>
      </c>
      <c r="AA552" t="s">
        <v>49</v>
      </c>
      <c r="AC552" s="2"/>
    </row>
    <row r="553" spans="1:31" hidden="1" x14ac:dyDescent="0.25">
      <c r="I553" t="s">
        <v>2779</v>
      </c>
      <c r="J553" s="2">
        <v>1000</v>
      </c>
      <c r="K553" s="2">
        <v>0</v>
      </c>
      <c r="L553" s="2">
        <v>21</v>
      </c>
      <c r="M553" s="2">
        <v>0</v>
      </c>
      <c r="S553" t="s">
        <v>2780</v>
      </c>
      <c r="U553" t="s">
        <v>45</v>
      </c>
      <c r="V553" t="s">
        <v>46</v>
      </c>
      <c r="W553" t="s">
        <v>403</v>
      </c>
      <c r="X553" t="s">
        <v>404</v>
      </c>
      <c r="Y553" t="s">
        <v>161</v>
      </c>
      <c r="Z553" t="s">
        <v>162</v>
      </c>
      <c r="AA553" t="s">
        <v>49</v>
      </c>
      <c r="AC553" s="2"/>
    </row>
    <row r="554" spans="1:31" hidden="1" x14ac:dyDescent="0.25">
      <c r="J554" s="2">
        <v>1000</v>
      </c>
      <c r="K554" s="2">
        <v>0</v>
      </c>
      <c r="L554" s="2">
        <v>1</v>
      </c>
      <c r="M554" s="2">
        <v>0</v>
      </c>
      <c r="S554" t="s">
        <v>2781</v>
      </c>
      <c r="U554" t="s">
        <v>45</v>
      </c>
      <c r="V554" t="s">
        <v>46</v>
      </c>
      <c r="W554" t="s">
        <v>40</v>
      </c>
      <c r="X554" t="s">
        <v>41</v>
      </c>
      <c r="Y554" t="s">
        <v>47</v>
      </c>
      <c r="Z554" t="s">
        <v>48</v>
      </c>
      <c r="AA554" t="s">
        <v>49</v>
      </c>
      <c r="AC554" s="2"/>
    </row>
    <row r="555" spans="1:31" hidden="1" x14ac:dyDescent="0.25">
      <c r="A555" s="10" t="s">
        <v>2782</v>
      </c>
      <c r="B555" s="10" t="s">
        <v>2783</v>
      </c>
      <c r="C555" t="s">
        <v>2783</v>
      </c>
      <c r="D555" t="s">
        <v>55</v>
      </c>
      <c r="E555" t="s">
        <v>56</v>
      </c>
      <c r="F555" t="s">
        <v>2784</v>
      </c>
      <c r="H555" t="s">
        <v>751</v>
      </c>
      <c r="I555" t="s">
        <v>2785</v>
      </c>
      <c r="J555" s="2">
        <v>1000</v>
      </c>
      <c r="K555" s="2">
        <v>0</v>
      </c>
      <c r="L555" s="2">
        <v>30</v>
      </c>
      <c r="M555" s="2">
        <v>0</v>
      </c>
      <c r="N555" t="s">
        <v>753</v>
      </c>
      <c r="O555" t="s">
        <v>754</v>
      </c>
      <c r="P555" t="s">
        <v>61</v>
      </c>
      <c r="Q555" t="s">
        <v>62</v>
      </c>
      <c r="S555" t="s">
        <v>2786</v>
      </c>
      <c r="U555" t="s">
        <v>45</v>
      </c>
      <c r="V555" t="s">
        <v>46</v>
      </c>
      <c r="W555" t="s">
        <v>753</v>
      </c>
      <c r="X555" t="s">
        <v>754</v>
      </c>
      <c r="Y555" t="s">
        <v>47</v>
      </c>
      <c r="Z555" t="s">
        <v>48</v>
      </c>
      <c r="AA555" t="s">
        <v>49</v>
      </c>
      <c r="AB555" t="s">
        <v>142</v>
      </c>
      <c r="AC555" s="2">
        <v>1000</v>
      </c>
      <c r="AD555" t="s">
        <v>64</v>
      </c>
    </row>
    <row r="556" spans="1:31" x14ac:dyDescent="0.25">
      <c r="A556" t="s">
        <v>2787</v>
      </c>
      <c r="B556" t="s">
        <v>2788</v>
      </c>
      <c r="C556" t="s">
        <v>2788</v>
      </c>
      <c r="D556" t="s">
        <v>888</v>
      </c>
      <c r="E556" t="s">
        <v>167</v>
      </c>
      <c r="F556" t="s">
        <v>2789</v>
      </c>
      <c r="G556" t="s">
        <v>888</v>
      </c>
      <c r="H556" t="s">
        <v>443</v>
      </c>
      <c r="I556" t="s">
        <v>2790</v>
      </c>
      <c r="J556" s="2">
        <v>76360</v>
      </c>
      <c r="K556" s="2">
        <v>350</v>
      </c>
      <c r="L556" s="2">
        <v>15</v>
      </c>
      <c r="M556" s="2">
        <v>0</v>
      </c>
      <c r="N556" t="s">
        <v>445</v>
      </c>
      <c r="O556" t="s">
        <v>446</v>
      </c>
      <c r="P556" t="s">
        <v>69</v>
      </c>
      <c r="Q556" t="s">
        <v>70</v>
      </c>
      <c r="S556" t="s">
        <v>2791</v>
      </c>
      <c r="U556" t="s">
        <v>45</v>
      </c>
      <c r="V556" t="s">
        <v>46</v>
      </c>
      <c r="W556" t="s">
        <v>445</v>
      </c>
      <c r="X556" t="s">
        <v>446</v>
      </c>
      <c r="Y556" t="s">
        <v>72</v>
      </c>
      <c r="Z556" t="s">
        <v>68</v>
      </c>
      <c r="AA556" t="s">
        <v>49</v>
      </c>
      <c r="AB556" t="s">
        <v>50</v>
      </c>
      <c r="AC556" s="2">
        <v>3718.41</v>
      </c>
      <c r="AD556" t="s">
        <v>2792</v>
      </c>
      <c r="AE556" t="s">
        <v>52</v>
      </c>
    </row>
    <row r="557" spans="1:31" hidden="1" x14ac:dyDescent="0.25">
      <c r="J557" s="2">
        <v>1000</v>
      </c>
      <c r="K557" s="2">
        <v>0</v>
      </c>
      <c r="L557" s="2">
        <v>1</v>
      </c>
      <c r="M557" s="2">
        <v>0</v>
      </c>
      <c r="S557" t="s">
        <v>2795</v>
      </c>
      <c r="U557" t="s">
        <v>45</v>
      </c>
      <c r="V557" t="s">
        <v>46</v>
      </c>
      <c r="W557" t="s">
        <v>2793</v>
      </c>
      <c r="X557" t="s">
        <v>2794</v>
      </c>
      <c r="Y557" t="s">
        <v>279</v>
      </c>
      <c r="Z557" t="s">
        <v>280</v>
      </c>
      <c r="AA557" t="s">
        <v>49</v>
      </c>
      <c r="AC557" s="2"/>
    </row>
    <row r="558" spans="1:31" x14ac:dyDescent="0.25">
      <c r="A558" t="s">
        <v>2796</v>
      </c>
      <c r="B558" t="s">
        <v>2797</v>
      </c>
      <c r="C558" t="s">
        <v>2797</v>
      </c>
      <c r="D558" t="s">
        <v>125</v>
      </c>
      <c r="E558" t="s">
        <v>126</v>
      </c>
      <c r="F558" t="s">
        <v>2798</v>
      </c>
      <c r="G558" t="s">
        <v>153</v>
      </c>
      <c r="H558" t="s">
        <v>300</v>
      </c>
      <c r="I558" t="s">
        <v>2799</v>
      </c>
      <c r="J558" s="2">
        <v>332610</v>
      </c>
      <c r="K558" s="2">
        <v>1500</v>
      </c>
      <c r="L558" s="2">
        <v>21</v>
      </c>
      <c r="M558" s="2">
        <v>0</v>
      </c>
      <c r="N558" t="s">
        <v>302</v>
      </c>
      <c r="O558" t="s">
        <v>303</v>
      </c>
      <c r="P558" t="s">
        <v>304</v>
      </c>
      <c r="Q558" t="s">
        <v>72</v>
      </c>
      <c r="S558" t="s">
        <v>2800</v>
      </c>
      <c r="U558" t="s">
        <v>45</v>
      </c>
      <c r="V558" t="s">
        <v>46</v>
      </c>
      <c r="W558" t="s">
        <v>302</v>
      </c>
      <c r="X558" t="s">
        <v>303</v>
      </c>
      <c r="Y558" t="s">
        <v>72</v>
      </c>
      <c r="Z558" t="s">
        <v>68</v>
      </c>
      <c r="AA558" t="s">
        <v>49</v>
      </c>
      <c r="AB558" t="s">
        <v>50</v>
      </c>
      <c r="AC558" s="2">
        <v>290888.78999999998</v>
      </c>
      <c r="AD558" t="s">
        <v>2801</v>
      </c>
      <c r="AE558" t="s">
        <v>52</v>
      </c>
    </row>
    <row r="559" spans="1:31" x14ac:dyDescent="0.25">
      <c r="A559" t="s">
        <v>2802</v>
      </c>
      <c r="B559" t="s">
        <v>2803</v>
      </c>
      <c r="C559" t="s">
        <v>2803</v>
      </c>
      <c r="D559" t="s">
        <v>817</v>
      </c>
      <c r="E559" t="s">
        <v>224</v>
      </c>
      <c r="F559" t="s">
        <v>2804</v>
      </c>
      <c r="G559" t="s">
        <v>331</v>
      </c>
      <c r="H559" t="s">
        <v>2805</v>
      </c>
      <c r="J559" s="2">
        <v>218170</v>
      </c>
      <c r="K559" s="2">
        <v>1000</v>
      </c>
      <c r="L559" s="2">
        <v>15</v>
      </c>
      <c r="M559" s="2">
        <v>0</v>
      </c>
      <c r="N559" t="s">
        <v>2806</v>
      </c>
      <c r="O559" t="s">
        <v>2805</v>
      </c>
      <c r="P559" t="s">
        <v>61</v>
      </c>
      <c r="Q559" t="s">
        <v>62</v>
      </c>
      <c r="S559" t="s">
        <v>2807</v>
      </c>
      <c r="U559" t="s">
        <v>45</v>
      </c>
      <c r="V559" t="s">
        <v>46</v>
      </c>
      <c r="W559" t="s">
        <v>2806</v>
      </c>
      <c r="X559" t="s">
        <v>2805</v>
      </c>
      <c r="Y559" t="s">
        <v>47</v>
      </c>
      <c r="Z559" t="s">
        <v>48</v>
      </c>
      <c r="AA559" t="s">
        <v>49</v>
      </c>
      <c r="AB559" t="s">
        <v>50</v>
      </c>
      <c r="AC559" s="2">
        <v>188017.08</v>
      </c>
      <c r="AD559" t="s">
        <v>2808</v>
      </c>
    </row>
    <row r="560" spans="1:31" x14ac:dyDescent="0.25">
      <c r="A560" t="s">
        <v>2809</v>
      </c>
      <c r="B560" t="s">
        <v>2810</v>
      </c>
      <c r="C560" t="s">
        <v>2810</v>
      </c>
      <c r="D560" t="s">
        <v>125</v>
      </c>
      <c r="E560" t="s">
        <v>126</v>
      </c>
      <c r="F560" t="s">
        <v>2811</v>
      </c>
      <c r="G560" t="s">
        <v>125</v>
      </c>
      <c r="H560" t="s">
        <v>41</v>
      </c>
      <c r="I560" t="s">
        <v>2812</v>
      </c>
      <c r="J560" s="2">
        <v>523608</v>
      </c>
      <c r="K560" s="2">
        <v>2400</v>
      </c>
      <c r="L560" s="2">
        <v>15</v>
      </c>
      <c r="M560" s="2">
        <v>0</v>
      </c>
      <c r="N560" t="s">
        <v>40</v>
      </c>
      <c r="O560" t="s">
        <v>41</v>
      </c>
      <c r="P560" t="s">
        <v>61</v>
      </c>
      <c r="Q560" t="s">
        <v>62</v>
      </c>
      <c r="S560" t="s">
        <v>2813</v>
      </c>
      <c r="U560" t="s">
        <v>45</v>
      </c>
      <c r="V560" t="s">
        <v>46</v>
      </c>
      <c r="W560" t="s">
        <v>40</v>
      </c>
      <c r="X560" t="s">
        <v>41</v>
      </c>
      <c r="Y560" t="s">
        <v>47</v>
      </c>
      <c r="Z560" t="s">
        <v>48</v>
      </c>
      <c r="AA560" t="s">
        <v>49</v>
      </c>
      <c r="AB560" t="s">
        <v>50</v>
      </c>
      <c r="AC560" s="2">
        <v>448961.84</v>
      </c>
      <c r="AD560" t="s">
        <v>2814</v>
      </c>
      <c r="AE560" t="s">
        <v>52</v>
      </c>
    </row>
    <row r="561" spans="1:31" hidden="1" x14ac:dyDescent="0.25">
      <c r="I561" t="s">
        <v>2815</v>
      </c>
      <c r="J561" s="2">
        <v>1000</v>
      </c>
      <c r="K561" s="2">
        <v>0</v>
      </c>
      <c r="L561" s="2">
        <v>15</v>
      </c>
      <c r="M561" s="2">
        <v>0</v>
      </c>
      <c r="S561" t="s">
        <v>2816</v>
      </c>
      <c r="U561" t="s">
        <v>45</v>
      </c>
      <c r="V561" t="s">
        <v>46</v>
      </c>
      <c r="W561" t="s">
        <v>445</v>
      </c>
      <c r="X561" t="s">
        <v>446</v>
      </c>
      <c r="Y561" t="s">
        <v>72</v>
      </c>
      <c r="Z561" t="s">
        <v>68</v>
      </c>
      <c r="AA561" t="s">
        <v>49</v>
      </c>
      <c r="AC561" s="2"/>
    </row>
    <row r="562" spans="1:31" hidden="1" x14ac:dyDescent="0.25">
      <c r="A562" s="10" t="s">
        <v>2817</v>
      </c>
      <c r="B562" s="10" t="s">
        <v>2818</v>
      </c>
      <c r="C562" t="s">
        <v>2818</v>
      </c>
      <c r="D562" t="s">
        <v>55</v>
      </c>
      <c r="E562" t="s">
        <v>56</v>
      </c>
      <c r="F562" t="s">
        <v>2819</v>
      </c>
      <c r="H562" t="s">
        <v>38</v>
      </c>
      <c r="I562" t="s">
        <v>2820</v>
      </c>
      <c r="J562" s="2">
        <v>1000</v>
      </c>
      <c r="K562" s="2">
        <v>0</v>
      </c>
      <c r="L562" s="2">
        <v>1</v>
      </c>
      <c r="M562" s="2">
        <v>0</v>
      </c>
      <c r="N562" t="s">
        <v>40</v>
      </c>
      <c r="O562" t="s">
        <v>41</v>
      </c>
      <c r="P562" t="s">
        <v>61</v>
      </c>
      <c r="Q562" t="s">
        <v>62</v>
      </c>
      <c r="S562" t="s">
        <v>2821</v>
      </c>
      <c r="U562" t="s">
        <v>45</v>
      </c>
      <c r="V562" t="s">
        <v>46</v>
      </c>
      <c r="W562" t="s">
        <v>40</v>
      </c>
      <c r="X562" t="s">
        <v>41</v>
      </c>
      <c r="Y562" t="s">
        <v>47</v>
      </c>
      <c r="Z562" t="s">
        <v>48</v>
      </c>
      <c r="AA562" t="s">
        <v>49</v>
      </c>
      <c r="AB562" t="s">
        <v>142</v>
      </c>
      <c r="AC562" s="2">
        <v>1000</v>
      </c>
      <c r="AD562" t="s">
        <v>64</v>
      </c>
    </row>
    <row r="563" spans="1:31" x14ac:dyDescent="0.25">
      <c r="A563" t="s">
        <v>2822</v>
      </c>
      <c r="B563" t="s">
        <v>2823</v>
      </c>
      <c r="C563" t="s">
        <v>2823</v>
      </c>
      <c r="D563" t="s">
        <v>1939</v>
      </c>
      <c r="E563" t="s">
        <v>224</v>
      </c>
      <c r="F563" t="s">
        <v>2824</v>
      </c>
      <c r="G563" t="s">
        <v>773</v>
      </c>
      <c r="H563" t="s">
        <v>2696</v>
      </c>
      <c r="I563" t="s">
        <v>2825</v>
      </c>
      <c r="J563" s="2">
        <v>32726</v>
      </c>
      <c r="K563" s="2">
        <v>150</v>
      </c>
      <c r="L563" s="2">
        <v>1</v>
      </c>
      <c r="M563" s="2">
        <v>0</v>
      </c>
      <c r="N563" t="s">
        <v>1849</v>
      </c>
      <c r="O563" t="s">
        <v>1847</v>
      </c>
      <c r="P563" t="s">
        <v>120</v>
      </c>
      <c r="Q563" t="s">
        <v>121</v>
      </c>
      <c r="S563" t="s">
        <v>2826</v>
      </c>
      <c r="U563" t="s">
        <v>45</v>
      </c>
      <c r="V563" t="s">
        <v>46</v>
      </c>
      <c r="W563" t="s">
        <v>1849</v>
      </c>
      <c r="X563" t="s">
        <v>1847</v>
      </c>
      <c r="Y563" t="s">
        <v>121</v>
      </c>
      <c r="Z563" t="s">
        <v>94</v>
      </c>
      <c r="AA563" t="s">
        <v>49</v>
      </c>
      <c r="AB563" t="s">
        <v>50</v>
      </c>
      <c r="AC563" s="2">
        <v>21504.37</v>
      </c>
      <c r="AD563" t="s">
        <v>2827</v>
      </c>
    </row>
    <row r="564" spans="1:31" hidden="1" x14ac:dyDescent="0.25">
      <c r="A564" t="s">
        <v>2828</v>
      </c>
      <c r="B564" t="s">
        <v>2829</v>
      </c>
      <c r="C564" t="s">
        <v>2829</v>
      </c>
      <c r="F564" t="s">
        <v>2830</v>
      </c>
      <c r="H564" t="s">
        <v>2831</v>
      </c>
      <c r="I564" t="s">
        <v>2832</v>
      </c>
      <c r="J564" s="2">
        <v>21817</v>
      </c>
      <c r="K564" s="2">
        <v>100</v>
      </c>
      <c r="L564" s="2">
        <v>1</v>
      </c>
      <c r="M564" s="2">
        <v>0</v>
      </c>
      <c r="N564" t="s">
        <v>80</v>
      </c>
      <c r="O564" t="s">
        <v>81</v>
      </c>
      <c r="P564" t="s">
        <v>1363</v>
      </c>
      <c r="Q564" t="s">
        <v>1364</v>
      </c>
      <c r="S564" t="s">
        <v>2833</v>
      </c>
      <c r="U564" t="s">
        <v>45</v>
      </c>
      <c r="V564" t="s">
        <v>46</v>
      </c>
      <c r="W564" t="s">
        <v>80</v>
      </c>
      <c r="X564" t="s">
        <v>81</v>
      </c>
      <c r="Y564" t="s">
        <v>85</v>
      </c>
      <c r="Z564" t="s">
        <v>86</v>
      </c>
      <c r="AA564" t="s">
        <v>49</v>
      </c>
      <c r="AB564" t="s">
        <v>50</v>
      </c>
      <c r="AC564" s="2">
        <v>21817</v>
      </c>
      <c r="AD564" t="s">
        <v>64</v>
      </c>
    </row>
    <row r="565" spans="1:31" x14ac:dyDescent="0.25">
      <c r="A565" t="s">
        <v>2834</v>
      </c>
      <c r="B565" t="s">
        <v>2835</v>
      </c>
      <c r="C565" t="s">
        <v>2835</v>
      </c>
      <c r="D565" t="s">
        <v>35</v>
      </c>
      <c r="E565" t="s">
        <v>36</v>
      </c>
      <c r="F565" t="s">
        <v>2836</v>
      </c>
      <c r="G565" t="s">
        <v>649</v>
      </c>
      <c r="H565" t="s">
        <v>2837</v>
      </c>
      <c r="I565" t="s">
        <v>2838</v>
      </c>
      <c r="J565" s="2">
        <v>1173937</v>
      </c>
      <c r="K565" s="2">
        <v>5080</v>
      </c>
      <c r="L565" s="2">
        <v>21</v>
      </c>
      <c r="M565" s="2">
        <v>0</v>
      </c>
      <c r="N565" t="s">
        <v>966</v>
      </c>
      <c r="O565" t="s">
        <v>964</v>
      </c>
      <c r="P565" t="s">
        <v>304</v>
      </c>
      <c r="Q565" t="s">
        <v>72</v>
      </c>
      <c r="S565" t="s">
        <v>2839</v>
      </c>
      <c r="U565" t="s">
        <v>45</v>
      </c>
      <c r="V565" t="s">
        <v>46</v>
      </c>
      <c r="W565" t="s">
        <v>966</v>
      </c>
      <c r="X565" t="s">
        <v>964</v>
      </c>
      <c r="Y565" t="s">
        <v>72</v>
      </c>
      <c r="Z565" t="s">
        <v>68</v>
      </c>
      <c r="AA565" t="s">
        <v>49</v>
      </c>
      <c r="AB565" t="s">
        <v>50</v>
      </c>
      <c r="AC565" s="2">
        <v>577696.68999999994</v>
      </c>
      <c r="AD565" t="s">
        <v>2840</v>
      </c>
      <c r="AE565" t="s">
        <v>115</v>
      </c>
    </row>
    <row r="566" spans="1:31" x14ac:dyDescent="0.25">
      <c r="A566" s="15" t="s">
        <v>2841</v>
      </c>
      <c r="B566" s="15" t="s">
        <v>2842</v>
      </c>
      <c r="C566" s="15" t="s">
        <v>2842</v>
      </c>
      <c r="D566" s="15" t="s">
        <v>55</v>
      </c>
      <c r="E566" s="15" t="s">
        <v>56</v>
      </c>
      <c r="F566" s="15" t="s">
        <v>2843</v>
      </c>
      <c r="H566" s="15" t="s">
        <v>2844</v>
      </c>
      <c r="I566" t="s">
        <v>2845</v>
      </c>
      <c r="J566" s="2">
        <v>218</v>
      </c>
      <c r="K566" s="2">
        <v>1</v>
      </c>
      <c r="L566" s="2">
        <v>1</v>
      </c>
      <c r="M566" s="2">
        <v>0</v>
      </c>
      <c r="N566" s="15" t="s">
        <v>2846</v>
      </c>
      <c r="O566" s="15" t="s">
        <v>2844</v>
      </c>
      <c r="P566" s="15" t="s">
        <v>256</v>
      </c>
      <c r="Q566" s="15" t="s">
        <v>255</v>
      </c>
      <c r="S566" t="s">
        <v>2847</v>
      </c>
      <c r="U566" t="s">
        <v>45</v>
      </c>
      <c r="V566" t="s">
        <v>46</v>
      </c>
      <c r="W566" t="s">
        <v>2846</v>
      </c>
      <c r="X566" t="s">
        <v>2844</v>
      </c>
      <c r="Y566" t="s">
        <v>137</v>
      </c>
      <c r="Z566" t="s">
        <v>717</v>
      </c>
      <c r="AA566" t="s">
        <v>49</v>
      </c>
      <c r="AB566" s="15" t="s">
        <v>50</v>
      </c>
      <c r="AC566" s="16">
        <v>-31625.79</v>
      </c>
      <c r="AD566" s="15" t="s">
        <v>2848</v>
      </c>
      <c r="AE566" s="15" t="s">
        <v>115</v>
      </c>
    </row>
    <row r="567" spans="1:31" hidden="1" x14ac:dyDescent="0.25">
      <c r="I567" t="s">
        <v>2849</v>
      </c>
      <c r="J567" s="2">
        <v>10909</v>
      </c>
      <c r="K567" s="2">
        <v>50</v>
      </c>
      <c r="L567" s="2">
        <v>1</v>
      </c>
      <c r="M567" s="2">
        <v>0</v>
      </c>
      <c r="S567" t="s">
        <v>2850</v>
      </c>
      <c r="U567" t="s">
        <v>45</v>
      </c>
      <c r="V567" t="s">
        <v>46</v>
      </c>
      <c r="W567" t="s">
        <v>1900</v>
      </c>
      <c r="X567" t="s">
        <v>1901</v>
      </c>
      <c r="Y567" t="s">
        <v>161</v>
      </c>
      <c r="Z567" t="s">
        <v>162</v>
      </c>
      <c r="AA567" t="s">
        <v>49</v>
      </c>
      <c r="AC567" s="2"/>
    </row>
    <row r="568" spans="1:31" hidden="1" x14ac:dyDescent="0.25">
      <c r="I568" t="s">
        <v>2851</v>
      </c>
      <c r="J568" s="2">
        <v>1000</v>
      </c>
      <c r="K568" s="2">
        <v>0</v>
      </c>
      <c r="L568" s="2">
        <v>1</v>
      </c>
      <c r="M568" s="2">
        <v>0</v>
      </c>
      <c r="S568" t="s">
        <v>2852</v>
      </c>
      <c r="U568" t="s">
        <v>45</v>
      </c>
      <c r="V568" t="s">
        <v>46</v>
      </c>
      <c r="W568" t="s">
        <v>2384</v>
      </c>
      <c r="X568" t="s">
        <v>2385</v>
      </c>
      <c r="Y568" t="s">
        <v>106</v>
      </c>
      <c r="Z568" t="s">
        <v>107</v>
      </c>
      <c r="AA568" t="s">
        <v>49</v>
      </c>
      <c r="AC568" s="2"/>
    </row>
    <row r="569" spans="1:31" x14ac:dyDescent="0.25">
      <c r="A569" t="s">
        <v>2853</v>
      </c>
      <c r="B569" t="s">
        <v>2854</v>
      </c>
      <c r="C569" t="s">
        <v>2484</v>
      </c>
      <c r="D569" t="s">
        <v>297</v>
      </c>
      <c r="E569" t="s">
        <v>167</v>
      </c>
      <c r="F569" t="s">
        <v>2267</v>
      </c>
      <c r="G569" t="s">
        <v>299</v>
      </c>
      <c r="H569" t="s">
        <v>1607</v>
      </c>
      <c r="I569" t="s">
        <v>2855</v>
      </c>
      <c r="J569" s="2">
        <v>436340</v>
      </c>
      <c r="K569" s="2">
        <v>2000</v>
      </c>
      <c r="L569" s="2">
        <v>30</v>
      </c>
      <c r="M569" s="2">
        <v>0</v>
      </c>
      <c r="N569" t="s">
        <v>1221</v>
      </c>
      <c r="O569" t="s">
        <v>1222</v>
      </c>
      <c r="P569" t="s">
        <v>205</v>
      </c>
      <c r="Q569" t="s">
        <v>206</v>
      </c>
      <c r="S569" t="s">
        <v>2856</v>
      </c>
      <c r="U569" t="s">
        <v>45</v>
      </c>
      <c r="V569" t="s">
        <v>46</v>
      </c>
      <c r="W569" t="s">
        <v>1221</v>
      </c>
      <c r="X569" t="s">
        <v>1222</v>
      </c>
      <c r="Y569" t="s">
        <v>161</v>
      </c>
      <c r="Z569" t="s">
        <v>162</v>
      </c>
      <c r="AA569" t="s">
        <v>49</v>
      </c>
      <c r="AB569" t="s">
        <v>50</v>
      </c>
      <c r="AC569" s="2">
        <v>196931.48</v>
      </c>
      <c r="AD569" t="s">
        <v>2857</v>
      </c>
      <c r="AE569" t="s">
        <v>52</v>
      </c>
    </row>
    <row r="570" spans="1:31" hidden="1" x14ac:dyDescent="0.25">
      <c r="A570" t="s">
        <v>2858</v>
      </c>
      <c r="B570" t="s">
        <v>2859</v>
      </c>
      <c r="C570" t="s">
        <v>2859</v>
      </c>
      <c r="D570" t="s">
        <v>55</v>
      </c>
      <c r="E570" t="s">
        <v>56</v>
      </c>
      <c r="F570" t="s">
        <v>2860</v>
      </c>
      <c r="J570" s="2">
        <v>1000</v>
      </c>
      <c r="K570" s="2">
        <v>0</v>
      </c>
      <c r="L570" s="2">
        <v>21</v>
      </c>
      <c r="M570" s="2">
        <v>0</v>
      </c>
      <c r="N570" t="s">
        <v>1064</v>
      </c>
      <c r="O570" t="s">
        <v>1062</v>
      </c>
      <c r="P570" t="s">
        <v>304</v>
      </c>
      <c r="Q570" t="s">
        <v>72</v>
      </c>
      <c r="U570" t="s">
        <v>45</v>
      </c>
      <c r="V570" t="s">
        <v>46</v>
      </c>
      <c r="W570" t="s">
        <v>1064</v>
      </c>
      <c r="X570" t="s">
        <v>1062</v>
      </c>
      <c r="Y570" t="s">
        <v>72</v>
      </c>
      <c r="Z570" t="s">
        <v>68</v>
      </c>
      <c r="AA570" t="s">
        <v>49</v>
      </c>
      <c r="AB570" t="s">
        <v>50</v>
      </c>
      <c r="AC570" s="2">
        <v>1000</v>
      </c>
      <c r="AD570" t="s">
        <v>64</v>
      </c>
    </row>
    <row r="571" spans="1:31" hidden="1" x14ac:dyDescent="0.25">
      <c r="I571" t="s">
        <v>2863</v>
      </c>
      <c r="J571" s="2">
        <v>436340</v>
      </c>
      <c r="K571" s="2">
        <v>2000</v>
      </c>
      <c r="L571" s="2">
        <v>30</v>
      </c>
      <c r="M571" s="2">
        <v>0</v>
      </c>
      <c r="S571" t="s">
        <v>2864</v>
      </c>
      <c r="U571" t="s">
        <v>45</v>
      </c>
      <c r="V571" t="s">
        <v>46</v>
      </c>
      <c r="W571" t="s">
        <v>203</v>
      </c>
      <c r="X571" t="s">
        <v>204</v>
      </c>
      <c r="Y571" t="s">
        <v>161</v>
      </c>
      <c r="Z571" t="s">
        <v>162</v>
      </c>
      <c r="AA571" t="s">
        <v>49</v>
      </c>
      <c r="AC571" s="2"/>
    </row>
    <row r="572" spans="1:31" hidden="1" x14ac:dyDescent="0.25">
      <c r="A572" t="s">
        <v>2865</v>
      </c>
      <c r="B572" t="s">
        <v>2866</v>
      </c>
      <c r="C572" t="s">
        <v>2866</v>
      </c>
      <c r="D572" t="s">
        <v>55</v>
      </c>
      <c r="E572" t="s">
        <v>56</v>
      </c>
      <c r="F572" t="s">
        <v>2867</v>
      </c>
      <c r="J572" s="2">
        <v>436340</v>
      </c>
      <c r="K572" s="2">
        <v>2000</v>
      </c>
      <c r="L572" s="2">
        <v>21</v>
      </c>
      <c r="M572" s="2">
        <v>0</v>
      </c>
      <c r="N572" t="s">
        <v>403</v>
      </c>
      <c r="O572" t="s">
        <v>404</v>
      </c>
      <c r="P572" t="s">
        <v>205</v>
      </c>
      <c r="Q572" t="s">
        <v>206</v>
      </c>
      <c r="U572" t="s">
        <v>45</v>
      </c>
      <c r="V572" t="s">
        <v>46</v>
      </c>
      <c r="W572" t="s">
        <v>403</v>
      </c>
      <c r="X572" t="s">
        <v>404</v>
      </c>
      <c r="Y572" t="s">
        <v>161</v>
      </c>
      <c r="Z572" t="s">
        <v>162</v>
      </c>
      <c r="AA572" t="s">
        <v>49</v>
      </c>
      <c r="AB572" t="s">
        <v>50</v>
      </c>
      <c r="AC572" s="2">
        <v>436340</v>
      </c>
      <c r="AD572" t="s">
        <v>64</v>
      </c>
    </row>
    <row r="573" spans="1:31" x14ac:dyDescent="0.25">
      <c r="A573" t="s">
        <v>2868</v>
      </c>
      <c r="B573" t="s">
        <v>2869</v>
      </c>
      <c r="C573" t="s">
        <v>2870</v>
      </c>
      <c r="D573" t="s">
        <v>153</v>
      </c>
      <c r="E573" t="s">
        <v>272</v>
      </c>
      <c r="F573" t="s">
        <v>2871</v>
      </c>
      <c r="G573" t="s">
        <v>153</v>
      </c>
      <c r="H573" t="s">
        <v>402</v>
      </c>
      <c r="I573" t="s">
        <v>2872</v>
      </c>
      <c r="J573" s="2">
        <v>436340</v>
      </c>
      <c r="K573" s="2">
        <v>2000</v>
      </c>
      <c r="L573" s="2">
        <v>30</v>
      </c>
      <c r="M573" s="2">
        <v>0</v>
      </c>
      <c r="N573" t="s">
        <v>403</v>
      </c>
      <c r="O573" t="s">
        <v>404</v>
      </c>
      <c r="P573" t="s">
        <v>205</v>
      </c>
      <c r="Q573" t="s">
        <v>206</v>
      </c>
      <c r="S573" t="s">
        <v>2873</v>
      </c>
      <c r="U573" t="s">
        <v>45</v>
      </c>
      <c r="V573" t="s">
        <v>46</v>
      </c>
      <c r="W573" t="s">
        <v>403</v>
      </c>
      <c r="X573" t="s">
        <v>404</v>
      </c>
      <c r="Y573" t="s">
        <v>161</v>
      </c>
      <c r="Z573" t="s">
        <v>162</v>
      </c>
      <c r="AA573" t="s">
        <v>49</v>
      </c>
      <c r="AB573" t="s">
        <v>50</v>
      </c>
      <c r="AC573" s="2">
        <v>179694.69</v>
      </c>
      <c r="AD573" t="s">
        <v>2874</v>
      </c>
      <c r="AE573" t="s">
        <v>52</v>
      </c>
    </row>
    <row r="574" spans="1:31" x14ac:dyDescent="0.25">
      <c r="A574" t="s">
        <v>2875</v>
      </c>
      <c r="B574" t="s">
        <v>2876</v>
      </c>
      <c r="C574" t="s">
        <v>2877</v>
      </c>
      <c r="D574" t="s">
        <v>35</v>
      </c>
      <c r="E574" t="s">
        <v>36</v>
      </c>
      <c r="F574" t="s">
        <v>2867</v>
      </c>
      <c r="G574" t="s">
        <v>153</v>
      </c>
      <c r="H574" t="s">
        <v>1581</v>
      </c>
      <c r="I574" t="s">
        <v>2878</v>
      </c>
      <c r="J574" s="2">
        <v>436340</v>
      </c>
      <c r="K574" s="2">
        <v>2000</v>
      </c>
      <c r="L574" s="2">
        <v>30</v>
      </c>
      <c r="M574" s="2">
        <v>0</v>
      </c>
      <c r="N574" t="s">
        <v>203</v>
      </c>
      <c r="O574" t="s">
        <v>204</v>
      </c>
      <c r="P574" t="s">
        <v>205</v>
      </c>
      <c r="Q574" t="s">
        <v>206</v>
      </c>
      <c r="S574" t="s">
        <v>2879</v>
      </c>
      <c r="U574" t="s">
        <v>45</v>
      </c>
      <c r="V574" t="s">
        <v>46</v>
      </c>
      <c r="W574" t="s">
        <v>203</v>
      </c>
      <c r="X574" t="s">
        <v>204</v>
      </c>
      <c r="Y574" t="s">
        <v>161</v>
      </c>
      <c r="Z574" t="s">
        <v>162</v>
      </c>
      <c r="AA574" t="s">
        <v>49</v>
      </c>
      <c r="AB574" t="s">
        <v>50</v>
      </c>
      <c r="AC574" s="2">
        <v>362975.4</v>
      </c>
      <c r="AD574" t="s">
        <v>2880</v>
      </c>
      <c r="AE574" t="s">
        <v>52</v>
      </c>
    </row>
    <row r="575" spans="1:31" hidden="1" x14ac:dyDescent="0.25">
      <c r="I575" t="s">
        <v>2881</v>
      </c>
      <c r="J575" s="2">
        <v>436340</v>
      </c>
      <c r="K575" s="2">
        <v>2000</v>
      </c>
      <c r="L575" s="2">
        <v>30</v>
      </c>
      <c r="M575" s="2">
        <v>0</v>
      </c>
      <c r="S575" t="s">
        <v>2882</v>
      </c>
      <c r="U575" t="s">
        <v>45</v>
      </c>
      <c r="V575" t="s">
        <v>46</v>
      </c>
      <c r="W575" t="s">
        <v>203</v>
      </c>
      <c r="X575" t="s">
        <v>204</v>
      </c>
      <c r="Y575" t="s">
        <v>161</v>
      </c>
      <c r="Z575" t="s">
        <v>162</v>
      </c>
      <c r="AA575" t="s">
        <v>49</v>
      </c>
      <c r="AC575" s="2"/>
    </row>
    <row r="576" spans="1:31" x14ac:dyDescent="0.25">
      <c r="A576" t="s">
        <v>2883</v>
      </c>
      <c r="B576" t="s">
        <v>2884</v>
      </c>
      <c r="C576" t="s">
        <v>2877</v>
      </c>
      <c r="D576" t="s">
        <v>1291</v>
      </c>
      <c r="E576" t="s">
        <v>134</v>
      </c>
      <c r="F576" t="s">
        <v>2867</v>
      </c>
      <c r="H576" t="s">
        <v>1581</v>
      </c>
      <c r="I576" t="s">
        <v>2885</v>
      </c>
      <c r="J576" s="2">
        <v>436340</v>
      </c>
      <c r="K576" s="2">
        <v>2000</v>
      </c>
      <c r="L576" s="2">
        <v>30</v>
      </c>
      <c r="M576" s="2">
        <v>0</v>
      </c>
      <c r="N576" t="s">
        <v>203</v>
      </c>
      <c r="O576" t="s">
        <v>204</v>
      </c>
      <c r="P576" t="s">
        <v>205</v>
      </c>
      <c r="Q576" t="s">
        <v>206</v>
      </c>
      <c r="S576" t="s">
        <v>2886</v>
      </c>
      <c r="U576" t="s">
        <v>45</v>
      </c>
      <c r="V576" t="s">
        <v>46</v>
      </c>
      <c r="W576" t="s">
        <v>203</v>
      </c>
      <c r="X576" t="s">
        <v>204</v>
      </c>
      <c r="Y576" t="s">
        <v>161</v>
      </c>
      <c r="Z576" t="s">
        <v>162</v>
      </c>
      <c r="AA576" t="s">
        <v>49</v>
      </c>
      <c r="AB576" t="s">
        <v>50</v>
      </c>
      <c r="AC576" s="2">
        <v>436340</v>
      </c>
      <c r="AD576" t="s">
        <v>64</v>
      </c>
    </row>
    <row r="577" spans="1:31" hidden="1" x14ac:dyDescent="0.25">
      <c r="I577" t="s">
        <v>2887</v>
      </c>
      <c r="J577" s="2">
        <v>436340</v>
      </c>
      <c r="K577" s="2">
        <v>2000</v>
      </c>
      <c r="L577" s="2">
        <v>30</v>
      </c>
      <c r="M577" s="2">
        <v>0</v>
      </c>
      <c r="S577" t="s">
        <v>2888</v>
      </c>
      <c r="U577" t="s">
        <v>45</v>
      </c>
      <c r="V577" t="s">
        <v>46</v>
      </c>
      <c r="W577" t="s">
        <v>203</v>
      </c>
      <c r="X577" t="s">
        <v>204</v>
      </c>
      <c r="Y577" t="s">
        <v>161</v>
      </c>
      <c r="Z577" t="s">
        <v>162</v>
      </c>
      <c r="AA577" t="s">
        <v>49</v>
      </c>
      <c r="AC577" s="2"/>
    </row>
    <row r="578" spans="1:31" x14ac:dyDescent="0.25">
      <c r="A578" t="s">
        <v>2889</v>
      </c>
      <c r="B578" t="s">
        <v>2890</v>
      </c>
      <c r="C578" t="s">
        <v>2877</v>
      </c>
      <c r="D578" t="s">
        <v>153</v>
      </c>
      <c r="E578" t="s">
        <v>272</v>
      </c>
      <c r="F578" t="s">
        <v>2867</v>
      </c>
      <c r="G578" t="s">
        <v>153</v>
      </c>
      <c r="H578" t="s">
        <v>1581</v>
      </c>
      <c r="I578" t="s">
        <v>2891</v>
      </c>
      <c r="J578" s="2">
        <v>436340</v>
      </c>
      <c r="K578" s="2">
        <v>2000</v>
      </c>
      <c r="L578" s="2">
        <v>30</v>
      </c>
      <c r="M578" s="2">
        <v>0</v>
      </c>
      <c r="N578" t="s">
        <v>203</v>
      </c>
      <c r="O578" t="s">
        <v>204</v>
      </c>
      <c r="P578" t="s">
        <v>205</v>
      </c>
      <c r="Q578" t="s">
        <v>206</v>
      </c>
      <c r="S578" t="s">
        <v>2892</v>
      </c>
      <c r="U578" t="s">
        <v>45</v>
      </c>
      <c r="V578" t="s">
        <v>46</v>
      </c>
      <c r="W578" t="s">
        <v>203</v>
      </c>
      <c r="X578" t="s">
        <v>204</v>
      </c>
      <c r="Y578" t="s">
        <v>161</v>
      </c>
      <c r="Z578" t="s">
        <v>162</v>
      </c>
      <c r="AA578" t="s">
        <v>49</v>
      </c>
      <c r="AB578" t="s">
        <v>50</v>
      </c>
      <c r="AC578" s="2">
        <v>178844.24</v>
      </c>
      <c r="AD578" t="s">
        <v>2893</v>
      </c>
      <c r="AE578" t="s">
        <v>52</v>
      </c>
    </row>
    <row r="579" spans="1:31" x14ac:dyDescent="0.25">
      <c r="A579" t="s">
        <v>2894</v>
      </c>
      <c r="B579" t="s">
        <v>2895</v>
      </c>
      <c r="C579" t="s">
        <v>2896</v>
      </c>
      <c r="D579" t="s">
        <v>35</v>
      </c>
      <c r="E579" t="s">
        <v>36</v>
      </c>
      <c r="F579" t="s">
        <v>2897</v>
      </c>
      <c r="G579" t="s">
        <v>178</v>
      </c>
      <c r="H579" t="s">
        <v>1312</v>
      </c>
      <c r="I579" t="s">
        <v>2898</v>
      </c>
      <c r="J579" s="2">
        <v>109085</v>
      </c>
      <c r="K579" s="2">
        <v>500</v>
      </c>
      <c r="L579" s="2">
        <v>7</v>
      </c>
      <c r="M579" s="2">
        <v>0</v>
      </c>
      <c r="N579" t="s">
        <v>883</v>
      </c>
      <c r="O579" t="s">
        <v>881</v>
      </c>
      <c r="P579" t="s">
        <v>158</v>
      </c>
      <c r="Q579" t="s">
        <v>159</v>
      </c>
      <c r="U579" t="s">
        <v>45</v>
      </c>
      <c r="V579" t="s">
        <v>46</v>
      </c>
      <c r="W579" t="s">
        <v>883</v>
      </c>
      <c r="X579" t="s">
        <v>881</v>
      </c>
      <c r="Y579" t="s">
        <v>161</v>
      </c>
      <c r="Z579" t="s">
        <v>162</v>
      </c>
      <c r="AA579" t="s">
        <v>49</v>
      </c>
      <c r="AB579" t="s">
        <v>50</v>
      </c>
      <c r="AC579" s="2">
        <v>89631.65</v>
      </c>
      <c r="AD579" t="s">
        <v>2899</v>
      </c>
      <c r="AE579" t="s">
        <v>52</v>
      </c>
    </row>
    <row r="580" spans="1:31" x14ac:dyDescent="0.25">
      <c r="A580" t="s">
        <v>2900</v>
      </c>
      <c r="B580" t="s">
        <v>2901</v>
      </c>
      <c r="C580" t="s">
        <v>2902</v>
      </c>
      <c r="D580" t="s">
        <v>153</v>
      </c>
      <c r="E580" t="s">
        <v>272</v>
      </c>
      <c r="F580" t="s">
        <v>1700</v>
      </c>
      <c r="G580" t="s">
        <v>153</v>
      </c>
      <c r="H580" t="s">
        <v>1607</v>
      </c>
      <c r="J580" s="2">
        <v>436340</v>
      </c>
      <c r="K580" s="2">
        <v>2000</v>
      </c>
      <c r="L580" s="2">
        <v>30</v>
      </c>
      <c r="M580" s="2">
        <v>0</v>
      </c>
      <c r="N580" t="s">
        <v>1221</v>
      </c>
      <c r="O580" t="s">
        <v>1222</v>
      </c>
      <c r="P580" t="s">
        <v>205</v>
      </c>
      <c r="Q580" t="s">
        <v>206</v>
      </c>
      <c r="S580" t="s">
        <v>2903</v>
      </c>
      <c r="U580" t="s">
        <v>45</v>
      </c>
      <c r="V580" t="s">
        <v>46</v>
      </c>
      <c r="W580" t="s">
        <v>1221</v>
      </c>
      <c r="X580" t="s">
        <v>1222</v>
      </c>
      <c r="Y580" t="s">
        <v>161</v>
      </c>
      <c r="Z580" t="s">
        <v>162</v>
      </c>
      <c r="AA580" t="s">
        <v>49</v>
      </c>
      <c r="AB580" t="s">
        <v>50</v>
      </c>
      <c r="AC580" s="2">
        <v>241271.6</v>
      </c>
      <c r="AD580" t="s">
        <v>2904</v>
      </c>
      <c r="AE580" t="s">
        <v>52</v>
      </c>
    </row>
    <row r="581" spans="1:31" x14ac:dyDescent="0.25">
      <c r="A581" t="s">
        <v>2905</v>
      </c>
      <c r="B581" t="s">
        <v>2906</v>
      </c>
      <c r="C581" t="s">
        <v>2906</v>
      </c>
      <c r="D581" t="s">
        <v>166</v>
      </c>
      <c r="E581" t="s">
        <v>167</v>
      </c>
      <c r="F581" t="s">
        <v>1684</v>
      </c>
      <c r="G581" t="s">
        <v>553</v>
      </c>
      <c r="H581" t="s">
        <v>2382</v>
      </c>
      <c r="I581" t="s">
        <v>2907</v>
      </c>
      <c r="J581" s="2">
        <v>327255</v>
      </c>
      <c r="K581" s="2">
        <v>1500</v>
      </c>
      <c r="L581" s="2">
        <v>21</v>
      </c>
      <c r="M581" s="2">
        <v>0</v>
      </c>
      <c r="N581" t="s">
        <v>2384</v>
      </c>
      <c r="O581" t="s">
        <v>2385</v>
      </c>
      <c r="P581" t="s">
        <v>103</v>
      </c>
      <c r="Q581" t="s">
        <v>104</v>
      </c>
      <c r="S581" t="s">
        <v>2908</v>
      </c>
      <c r="U581" t="s">
        <v>45</v>
      </c>
      <c r="V581" t="s">
        <v>46</v>
      </c>
      <c r="W581" t="s">
        <v>2384</v>
      </c>
      <c r="X581" t="s">
        <v>2385</v>
      </c>
      <c r="Y581" t="s">
        <v>106</v>
      </c>
      <c r="Z581" t="s">
        <v>107</v>
      </c>
      <c r="AA581" t="s">
        <v>49</v>
      </c>
      <c r="AB581" t="s">
        <v>50</v>
      </c>
      <c r="AC581" s="2">
        <v>189624.91</v>
      </c>
      <c r="AD581" t="s">
        <v>2909</v>
      </c>
      <c r="AE581" t="s">
        <v>52</v>
      </c>
    </row>
    <row r="582" spans="1:31" hidden="1" x14ac:dyDescent="0.25">
      <c r="I582" t="s">
        <v>2910</v>
      </c>
      <c r="J582" s="2">
        <v>65451</v>
      </c>
      <c r="K582" s="2">
        <v>300</v>
      </c>
      <c r="L582" s="2">
        <v>1</v>
      </c>
      <c r="M582" s="2">
        <v>0</v>
      </c>
      <c r="S582" t="s">
        <v>2911</v>
      </c>
      <c r="U582" t="s">
        <v>45</v>
      </c>
      <c r="V582" t="s">
        <v>46</v>
      </c>
      <c r="W582" t="s">
        <v>664</v>
      </c>
      <c r="X582" t="s">
        <v>665</v>
      </c>
      <c r="Y582" t="s">
        <v>106</v>
      </c>
      <c r="Z582" t="s">
        <v>107</v>
      </c>
      <c r="AA582" t="s">
        <v>49</v>
      </c>
      <c r="AC582" s="2"/>
    </row>
    <row r="583" spans="1:31" x14ac:dyDescent="0.25">
      <c r="A583" t="s">
        <v>2912</v>
      </c>
      <c r="B583" t="s">
        <v>2913</v>
      </c>
      <c r="C583" t="s">
        <v>2913</v>
      </c>
      <c r="D583" t="s">
        <v>498</v>
      </c>
      <c r="E583" t="s">
        <v>190</v>
      </c>
      <c r="F583" t="s">
        <v>2914</v>
      </c>
      <c r="G583" t="s">
        <v>498</v>
      </c>
      <c r="H583" t="s">
        <v>1607</v>
      </c>
      <c r="I583" t="s">
        <v>2915</v>
      </c>
      <c r="J583" s="2">
        <v>76360</v>
      </c>
      <c r="K583" s="2">
        <v>350</v>
      </c>
      <c r="L583" s="2">
        <v>21</v>
      </c>
      <c r="M583" s="2">
        <v>0</v>
      </c>
      <c r="N583" t="s">
        <v>1221</v>
      </c>
      <c r="O583" t="s">
        <v>1222</v>
      </c>
      <c r="P583" t="s">
        <v>205</v>
      </c>
      <c r="Q583" t="s">
        <v>206</v>
      </c>
      <c r="S583" t="s">
        <v>2916</v>
      </c>
      <c r="U583" t="s">
        <v>45</v>
      </c>
      <c r="V583" t="s">
        <v>46</v>
      </c>
      <c r="W583" t="s">
        <v>1221</v>
      </c>
      <c r="X583" t="s">
        <v>1222</v>
      </c>
      <c r="Y583" t="s">
        <v>161</v>
      </c>
      <c r="Z583" t="s">
        <v>162</v>
      </c>
      <c r="AA583" t="s">
        <v>49</v>
      </c>
      <c r="AB583" t="s">
        <v>50</v>
      </c>
      <c r="AC583" s="2">
        <v>460.96</v>
      </c>
      <c r="AD583" t="s">
        <v>2917</v>
      </c>
      <c r="AE583" t="s">
        <v>115</v>
      </c>
    </row>
    <row r="584" spans="1:31" hidden="1" x14ac:dyDescent="0.25">
      <c r="I584" t="s">
        <v>2918</v>
      </c>
      <c r="J584" s="2">
        <v>1000</v>
      </c>
      <c r="K584" s="2">
        <v>0</v>
      </c>
      <c r="L584" s="2">
        <v>21</v>
      </c>
      <c r="M584" s="2">
        <v>0</v>
      </c>
      <c r="S584" t="s">
        <v>2921</v>
      </c>
      <c r="U584" t="s">
        <v>45</v>
      </c>
      <c r="V584" t="s">
        <v>46</v>
      </c>
      <c r="W584" t="s">
        <v>2919</v>
      </c>
      <c r="X584" t="s">
        <v>2920</v>
      </c>
      <c r="Y584" t="s">
        <v>72</v>
      </c>
      <c r="Z584" t="s">
        <v>68</v>
      </c>
      <c r="AA584" t="s">
        <v>49</v>
      </c>
      <c r="AC584" s="2"/>
    </row>
    <row r="585" spans="1:31" hidden="1" x14ac:dyDescent="0.25">
      <c r="A585" t="s">
        <v>2922</v>
      </c>
      <c r="B585" t="s">
        <v>2923</v>
      </c>
      <c r="C585" t="s">
        <v>2923</v>
      </c>
      <c r="D585" t="s">
        <v>55</v>
      </c>
      <c r="E585" t="s">
        <v>56</v>
      </c>
      <c r="F585" t="s">
        <v>2871</v>
      </c>
      <c r="J585" s="2">
        <v>1000</v>
      </c>
      <c r="K585" s="2">
        <v>0</v>
      </c>
      <c r="L585" s="2">
        <v>21</v>
      </c>
      <c r="M585" s="2">
        <v>0</v>
      </c>
      <c r="N585" t="s">
        <v>1221</v>
      </c>
      <c r="O585" t="s">
        <v>1222</v>
      </c>
      <c r="P585" t="s">
        <v>205</v>
      </c>
      <c r="Q585" t="s">
        <v>206</v>
      </c>
      <c r="U585" t="s">
        <v>45</v>
      </c>
      <c r="V585" t="s">
        <v>46</v>
      </c>
      <c r="W585" t="s">
        <v>1221</v>
      </c>
      <c r="X585" t="s">
        <v>1222</v>
      </c>
      <c r="Y585" t="s">
        <v>161</v>
      </c>
      <c r="Z585" t="s">
        <v>162</v>
      </c>
      <c r="AA585" t="s">
        <v>49</v>
      </c>
      <c r="AB585" t="s">
        <v>50</v>
      </c>
      <c r="AC585" s="2">
        <v>1000</v>
      </c>
      <c r="AD585" t="s">
        <v>64</v>
      </c>
    </row>
    <row r="586" spans="1:31" hidden="1" x14ac:dyDescent="0.25">
      <c r="A586" s="10" t="s">
        <v>2924</v>
      </c>
      <c r="B586" s="10" t="s">
        <v>2925</v>
      </c>
      <c r="C586" t="s">
        <v>2925</v>
      </c>
      <c r="D586" t="s">
        <v>55</v>
      </c>
      <c r="E586" t="s">
        <v>56</v>
      </c>
      <c r="F586" t="s">
        <v>2926</v>
      </c>
      <c r="H586" t="s">
        <v>366</v>
      </c>
      <c r="I586" t="s">
        <v>2927</v>
      </c>
      <c r="J586" s="2">
        <v>115525</v>
      </c>
      <c r="K586" s="2">
        <v>500</v>
      </c>
      <c r="L586" s="2">
        <v>21</v>
      </c>
      <c r="M586" s="2">
        <v>0</v>
      </c>
      <c r="N586" t="s">
        <v>348</v>
      </c>
      <c r="O586" t="s">
        <v>349</v>
      </c>
      <c r="P586" t="s">
        <v>316</v>
      </c>
      <c r="Q586" t="s">
        <v>317</v>
      </c>
      <c r="S586" t="s">
        <v>2928</v>
      </c>
      <c r="U586" t="s">
        <v>45</v>
      </c>
      <c r="V586" t="s">
        <v>46</v>
      </c>
      <c r="W586" t="s">
        <v>348</v>
      </c>
      <c r="X586" t="s">
        <v>349</v>
      </c>
      <c r="Y586" t="s">
        <v>317</v>
      </c>
      <c r="Z586" t="s">
        <v>349</v>
      </c>
      <c r="AA586" t="s">
        <v>49</v>
      </c>
      <c r="AB586" t="s">
        <v>142</v>
      </c>
      <c r="AC586" s="2">
        <v>115525</v>
      </c>
      <c r="AD586" t="s">
        <v>64</v>
      </c>
    </row>
    <row r="587" spans="1:31" x14ac:dyDescent="0.25">
      <c r="A587" t="s">
        <v>2929</v>
      </c>
      <c r="B587" t="s">
        <v>2930</v>
      </c>
      <c r="C587" t="s">
        <v>2861</v>
      </c>
      <c r="D587" t="s">
        <v>153</v>
      </c>
      <c r="E587" t="s">
        <v>272</v>
      </c>
      <c r="F587" t="s">
        <v>2862</v>
      </c>
      <c r="G587" t="s">
        <v>153</v>
      </c>
      <c r="H587" t="s">
        <v>38</v>
      </c>
      <c r="I587" t="s">
        <v>2931</v>
      </c>
      <c r="J587" s="2">
        <v>436340</v>
      </c>
      <c r="K587" s="2">
        <v>2000</v>
      </c>
      <c r="L587" s="2">
        <v>15</v>
      </c>
      <c r="M587" s="2">
        <v>0</v>
      </c>
      <c r="N587" t="s">
        <v>40</v>
      </c>
      <c r="O587" t="s">
        <v>41</v>
      </c>
      <c r="P587" t="s">
        <v>61</v>
      </c>
      <c r="Q587" t="s">
        <v>62</v>
      </c>
      <c r="S587" t="s">
        <v>2932</v>
      </c>
      <c r="U587" t="s">
        <v>45</v>
      </c>
      <c r="V587" t="s">
        <v>46</v>
      </c>
      <c r="W587" t="s">
        <v>40</v>
      </c>
      <c r="X587" t="s">
        <v>41</v>
      </c>
      <c r="Y587" t="s">
        <v>47</v>
      </c>
      <c r="Z587" t="s">
        <v>48</v>
      </c>
      <c r="AA587" t="s">
        <v>49</v>
      </c>
      <c r="AB587" t="s">
        <v>50</v>
      </c>
      <c r="AC587" s="2">
        <v>353846.29</v>
      </c>
      <c r="AD587" t="s">
        <v>2933</v>
      </c>
      <c r="AE587" t="s">
        <v>52</v>
      </c>
    </row>
    <row r="588" spans="1:31" x14ac:dyDescent="0.25">
      <c r="A588" s="15" t="s">
        <v>2934</v>
      </c>
      <c r="B588" s="15" t="s">
        <v>2935</v>
      </c>
      <c r="C588" s="15" t="s">
        <v>2935</v>
      </c>
      <c r="D588" s="15" t="s">
        <v>55</v>
      </c>
      <c r="E588" s="15" t="s">
        <v>56</v>
      </c>
      <c r="F588" s="15" t="s">
        <v>2936</v>
      </c>
      <c r="H588" s="15" t="s">
        <v>2647</v>
      </c>
      <c r="I588" t="s">
        <v>2937</v>
      </c>
      <c r="J588" s="2">
        <v>1000</v>
      </c>
      <c r="K588" s="2">
        <v>0</v>
      </c>
      <c r="L588" s="2">
        <v>1</v>
      </c>
      <c r="M588" s="2">
        <v>0</v>
      </c>
      <c r="N588" s="15" t="s">
        <v>1362</v>
      </c>
      <c r="O588" s="15" t="s">
        <v>1360</v>
      </c>
      <c r="P588" s="15" t="s">
        <v>669</v>
      </c>
      <c r="Q588" s="15" t="s">
        <v>670</v>
      </c>
      <c r="S588" t="s">
        <v>2938</v>
      </c>
      <c r="U588" t="s">
        <v>45</v>
      </c>
      <c r="V588" t="s">
        <v>46</v>
      </c>
      <c r="W588" t="s">
        <v>1362</v>
      </c>
      <c r="X588" t="s">
        <v>1360</v>
      </c>
      <c r="Y588" t="s">
        <v>1215</v>
      </c>
      <c r="Z588" t="s">
        <v>1216</v>
      </c>
      <c r="AA588" t="s">
        <v>49</v>
      </c>
      <c r="AB588" s="15" t="s">
        <v>50</v>
      </c>
      <c r="AC588" s="16">
        <v>-3195.36</v>
      </c>
      <c r="AD588" s="15" t="s">
        <v>2939</v>
      </c>
      <c r="AE588" s="15" t="s">
        <v>115</v>
      </c>
    </row>
    <row r="589" spans="1:31" hidden="1" x14ac:dyDescent="0.25">
      <c r="I589" t="s">
        <v>2940</v>
      </c>
      <c r="J589" s="2">
        <v>1000</v>
      </c>
      <c r="K589" s="2">
        <v>0</v>
      </c>
      <c r="L589" s="2">
        <v>1</v>
      </c>
      <c r="M589" s="2">
        <v>0</v>
      </c>
      <c r="S589" t="s">
        <v>2941</v>
      </c>
      <c r="U589" t="s">
        <v>45</v>
      </c>
      <c r="V589" t="s">
        <v>46</v>
      </c>
      <c r="W589" t="s">
        <v>2384</v>
      </c>
      <c r="X589" t="s">
        <v>2385</v>
      </c>
      <c r="Y589" t="s">
        <v>106</v>
      </c>
      <c r="Z589" t="s">
        <v>107</v>
      </c>
      <c r="AA589" t="s">
        <v>49</v>
      </c>
      <c r="AC589" s="2"/>
    </row>
    <row r="590" spans="1:31" x14ac:dyDescent="0.25">
      <c r="A590" s="15" t="s">
        <v>2942</v>
      </c>
      <c r="B590" s="15" t="s">
        <v>2943</v>
      </c>
      <c r="C590" s="15" t="s">
        <v>2943</v>
      </c>
      <c r="D590" s="15" t="s">
        <v>55</v>
      </c>
      <c r="E590" s="15" t="s">
        <v>56</v>
      </c>
      <c r="F590" s="15" t="s">
        <v>2944</v>
      </c>
      <c r="H590" s="15" t="s">
        <v>2647</v>
      </c>
      <c r="I590" t="s">
        <v>2945</v>
      </c>
      <c r="J590" s="2">
        <v>1000</v>
      </c>
      <c r="K590" s="2">
        <v>0</v>
      </c>
      <c r="L590" s="2">
        <v>1</v>
      </c>
      <c r="M590" s="2">
        <v>0</v>
      </c>
      <c r="N590" s="15" t="s">
        <v>1362</v>
      </c>
      <c r="O590" s="15" t="s">
        <v>1360</v>
      </c>
      <c r="P590" s="15" t="s">
        <v>669</v>
      </c>
      <c r="Q590" s="15" t="s">
        <v>670</v>
      </c>
      <c r="S590" t="s">
        <v>2946</v>
      </c>
      <c r="U590" t="s">
        <v>45</v>
      </c>
      <c r="V590" t="s">
        <v>46</v>
      </c>
      <c r="W590" t="s">
        <v>1362</v>
      </c>
      <c r="X590" t="s">
        <v>1360</v>
      </c>
      <c r="Y590" t="s">
        <v>1215</v>
      </c>
      <c r="Z590" t="s">
        <v>1216</v>
      </c>
      <c r="AA590" t="s">
        <v>49</v>
      </c>
      <c r="AB590" s="15" t="s">
        <v>50</v>
      </c>
      <c r="AC590" s="16">
        <v>599.77</v>
      </c>
      <c r="AD590" s="15" t="s">
        <v>2947</v>
      </c>
      <c r="AE590" s="15" t="s">
        <v>115</v>
      </c>
    </row>
    <row r="591" spans="1:31" x14ac:dyDescent="0.25">
      <c r="A591" t="s">
        <v>2948</v>
      </c>
      <c r="B591" t="s">
        <v>2949</v>
      </c>
      <c r="C591" t="s">
        <v>2949</v>
      </c>
      <c r="D591" t="s">
        <v>125</v>
      </c>
      <c r="E591" t="s">
        <v>126</v>
      </c>
      <c r="F591" t="s">
        <v>2950</v>
      </c>
      <c r="G591" t="s">
        <v>153</v>
      </c>
      <c r="H591" t="s">
        <v>2951</v>
      </c>
      <c r="I591" t="s">
        <v>2952</v>
      </c>
      <c r="J591" s="2">
        <v>1090850</v>
      </c>
      <c r="K591" s="2">
        <v>5000</v>
      </c>
      <c r="L591" s="2">
        <v>21</v>
      </c>
      <c r="M591" s="2">
        <v>0</v>
      </c>
      <c r="N591" t="s">
        <v>1725</v>
      </c>
      <c r="O591" t="s">
        <v>1723</v>
      </c>
      <c r="P591" t="s">
        <v>120</v>
      </c>
      <c r="Q591" t="s">
        <v>121</v>
      </c>
      <c r="S591" t="s">
        <v>2953</v>
      </c>
      <c r="U591" t="s">
        <v>45</v>
      </c>
      <c r="V591" t="s">
        <v>46</v>
      </c>
      <c r="W591" t="s">
        <v>1725</v>
      </c>
      <c r="X591" t="s">
        <v>1723</v>
      </c>
      <c r="Y591" t="s">
        <v>121</v>
      </c>
      <c r="Z591" t="s">
        <v>94</v>
      </c>
      <c r="AA591" t="s">
        <v>49</v>
      </c>
      <c r="AB591" t="s">
        <v>50</v>
      </c>
      <c r="AC591" s="2">
        <v>751397.1</v>
      </c>
      <c r="AD591" t="s">
        <v>2954</v>
      </c>
      <c r="AE591" t="s">
        <v>52</v>
      </c>
    </row>
    <row r="592" spans="1:31" hidden="1" x14ac:dyDescent="0.25">
      <c r="A592" s="10" t="s">
        <v>2955</v>
      </c>
      <c r="B592" s="10" t="s">
        <v>2956</v>
      </c>
      <c r="C592" t="s">
        <v>2956</v>
      </c>
      <c r="D592" t="s">
        <v>55</v>
      </c>
      <c r="E592" t="s">
        <v>56</v>
      </c>
      <c r="F592" t="s">
        <v>2957</v>
      </c>
      <c r="H592" t="s">
        <v>391</v>
      </c>
      <c r="I592" t="s">
        <v>2958</v>
      </c>
      <c r="J592" s="2">
        <v>1000</v>
      </c>
      <c r="K592" s="2">
        <v>4.33</v>
      </c>
      <c r="L592" s="2">
        <v>15</v>
      </c>
      <c r="M592" s="2">
        <v>0</v>
      </c>
      <c r="N592" t="s">
        <v>393</v>
      </c>
      <c r="O592" t="s">
        <v>394</v>
      </c>
      <c r="P592" t="s">
        <v>61</v>
      </c>
      <c r="Q592" t="s">
        <v>62</v>
      </c>
      <c r="S592" t="s">
        <v>2959</v>
      </c>
      <c r="U592" t="s">
        <v>45</v>
      </c>
      <c r="V592" t="s">
        <v>46</v>
      </c>
      <c r="W592" t="s">
        <v>393</v>
      </c>
      <c r="X592" t="s">
        <v>394</v>
      </c>
      <c r="Y592" t="s">
        <v>47</v>
      </c>
      <c r="Z592" t="s">
        <v>48</v>
      </c>
      <c r="AA592" t="s">
        <v>49</v>
      </c>
      <c r="AB592" t="s">
        <v>142</v>
      </c>
      <c r="AC592" s="2">
        <v>1000</v>
      </c>
      <c r="AD592" t="s">
        <v>64</v>
      </c>
    </row>
    <row r="593" spans="1:31" x14ac:dyDescent="0.25">
      <c r="A593" s="15" t="s">
        <v>2960</v>
      </c>
      <c r="B593" s="15" t="s">
        <v>2961</v>
      </c>
      <c r="C593" s="15" t="s">
        <v>2961</v>
      </c>
      <c r="D593" s="15" t="s">
        <v>55</v>
      </c>
      <c r="E593" s="15" t="s">
        <v>56</v>
      </c>
      <c r="F593" s="15" t="s">
        <v>2962</v>
      </c>
      <c r="H593" s="15" t="s">
        <v>2647</v>
      </c>
      <c r="I593" t="s">
        <v>2963</v>
      </c>
      <c r="J593" s="2">
        <v>1000</v>
      </c>
      <c r="K593" s="2">
        <v>0</v>
      </c>
      <c r="L593" s="2">
        <v>1</v>
      </c>
      <c r="M593" s="2">
        <v>0</v>
      </c>
      <c r="N593" s="15" t="s">
        <v>1362</v>
      </c>
      <c r="O593" s="15" t="s">
        <v>1360</v>
      </c>
      <c r="P593" s="15" t="s">
        <v>669</v>
      </c>
      <c r="Q593" s="15" t="s">
        <v>670</v>
      </c>
      <c r="S593" t="s">
        <v>2964</v>
      </c>
      <c r="U593" t="s">
        <v>45</v>
      </c>
      <c r="V593" t="s">
        <v>46</v>
      </c>
      <c r="W593" t="s">
        <v>1362</v>
      </c>
      <c r="X593" t="s">
        <v>1360</v>
      </c>
      <c r="Y593" t="s">
        <v>1215</v>
      </c>
      <c r="Z593" t="s">
        <v>1216</v>
      </c>
      <c r="AA593" t="s">
        <v>49</v>
      </c>
      <c r="AB593" s="15" t="s">
        <v>50</v>
      </c>
      <c r="AC593" s="16">
        <v>-19255.66</v>
      </c>
      <c r="AD593" s="15" t="s">
        <v>2965</v>
      </c>
      <c r="AE593" s="15" t="s">
        <v>115</v>
      </c>
    </row>
    <row r="594" spans="1:31" x14ac:dyDescent="0.25">
      <c r="A594" t="s">
        <v>2966</v>
      </c>
      <c r="B594" t="s">
        <v>2967</v>
      </c>
      <c r="C594" t="s">
        <v>2967</v>
      </c>
      <c r="D594" t="s">
        <v>2389</v>
      </c>
      <c r="E594" t="s">
        <v>134</v>
      </c>
      <c r="F594" t="s">
        <v>2968</v>
      </c>
      <c r="H594" t="s">
        <v>2969</v>
      </c>
      <c r="I594" t="s">
        <v>2970</v>
      </c>
      <c r="J594" s="2">
        <v>218170</v>
      </c>
      <c r="K594" s="2">
        <v>1000</v>
      </c>
      <c r="L594" s="2">
        <v>30</v>
      </c>
      <c r="M594" s="2">
        <v>0</v>
      </c>
      <c r="N594" t="s">
        <v>2846</v>
      </c>
      <c r="O594" t="s">
        <v>2844</v>
      </c>
      <c r="P594" t="s">
        <v>2320</v>
      </c>
      <c r="Q594" t="s">
        <v>2321</v>
      </c>
      <c r="S594" t="s">
        <v>2971</v>
      </c>
      <c r="U594" t="s">
        <v>45</v>
      </c>
      <c r="V594" t="s">
        <v>46</v>
      </c>
      <c r="W594" t="s">
        <v>2846</v>
      </c>
      <c r="X594" t="s">
        <v>2844</v>
      </c>
      <c r="Y594" t="s">
        <v>137</v>
      </c>
      <c r="Z594" t="s">
        <v>717</v>
      </c>
      <c r="AA594" t="s">
        <v>49</v>
      </c>
      <c r="AB594" t="s">
        <v>50</v>
      </c>
      <c r="AC594" s="2">
        <v>218170</v>
      </c>
      <c r="AD594" t="s">
        <v>64</v>
      </c>
    </row>
    <row r="595" spans="1:31" hidden="1" x14ac:dyDescent="0.25">
      <c r="I595" t="s">
        <v>2972</v>
      </c>
      <c r="J595" s="2">
        <v>1000</v>
      </c>
      <c r="K595" s="2">
        <v>0</v>
      </c>
      <c r="L595" s="2">
        <v>1</v>
      </c>
      <c r="M595" s="2">
        <v>0</v>
      </c>
      <c r="U595" t="s">
        <v>45</v>
      </c>
      <c r="V595" t="s">
        <v>46</v>
      </c>
      <c r="W595" t="s">
        <v>883</v>
      </c>
      <c r="X595" t="s">
        <v>881</v>
      </c>
      <c r="Y595" t="s">
        <v>161</v>
      </c>
      <c r="Z595" t="s">
        <v>162</v>
      </c>
      <c r="AA595" t="s">
        <v>49</v>
      </c>
      <c r="AC595" s="2"/>
    </row>
    <row r="596" spans="1:31" x14ac:dyDescent="0.25">
      <c r="A596" t="s">
        <v>2973</v>
      </c>
      <c r="B596" t="s">
        <v>2974</v>
      </c>
      <c r="C596" t="s">
        <v>2974</v>
      </c>
      <c r="D596" t="s">
        <v>178</v>
      </c>
      <c r="E596" t="s">
        <v>179</v>
      </c>
      <c r="F596" t="s">
        <v>2975</v>
      </c>
      <c r="G596" t="s">
        <v>1169</v>
      </c>
      <c r="H596" t="s">
        <v>1312</v>
      </c>
      <c r="I596" t="s">
        <v>2976</v>
      </c>
      <c r="J596" s="2">
        <v>2181700</v>
      </c>
      <c r="K596" s="2">
        <v>10000</v>
      </c>
      <c r="L596" s="2">
        <v>21</v>
      </c>
      <c r="M596" s="2">
        <v>0</v>
      </c>
      <c r="N596" t="s">
        <v>883</v>
      </c>
      <c r="O596" t="s">
        <v>881</v>
      </c>
      <c r="P596" t="s">
        <v>158</v>
      </c>
      <c r="Q596" t="s">
        <v>159</v>
      </c>
      <c r="U596" t="s">
        <v>45</v>
      </c>
      <c r="V596" t="s">
        <v>46</v>
      </c>
      <c r="W596" t="s">
        <v>883</v>
      </c>
      <c r="X596" t="s">
        <v>881</v>
      </c>
      <c r="Y596" t="s">
        <v>161</v>
      </c>
      <c r="Z596" t="s">
        <v>162</v>
      </c>
      <c r="AA596" t="s">
        <v>49</v>
      </c>
      <c r="AB596" t="s">
        <v>50</v>
      </c>
      <c r="AC596" s="2">
        <v>2117524.41</v>
      </c>
      <c r="AD596" t="s">
        <v>2977</v>
      </c>
    </row>
    <row r="597" spans="1:31" x14ac:dyDescent="0.25">
      <c r="A597" t="s">
        <v>2978</v>
      </c>
      <c r="B597" t="s">
        <v>2979</v>
      </c>
      <c r="C597" t="s">
        <v>2980</v>
      </c>
      <c r="D597" t="s">
        <v>189</v>
      </c>
      <c r="E597" t="s">
        <v>190</v>
      </c>
      <c r="F597" t="s">
        <v>2860</v>
      </c>
      <c r="G597" t="s">
        <v>1094</v>
      </c>
      <c r="H597" t="s">
        <v>2981</v>
      </c>
      <c r="I597" t="s">
        <v>2982</v>
      </c>
      <c r="J597" s="2">
        <v>619738</v>
      </c>
      <c r="K597" s="2">
        <v>2840.62</v>
      </c>
      <c r="L597" s="2">
        <v>30</v>
      </c>
      <c r="M597" s="2">
        <v>0</v>
      </c>
      <c r="N597" t="s">
        <v>302</v>
      </c>
      <c r="O597" t="s">
        <v>303</v>
      </c>
      <c r="P597" t="s">
        <v>2320</v>
      </c>
      <c r="Q597" t="s">
        <v>2321</v>
      </c>
      <c r="S597" t="s">
        <v>2983</v>
      </c>
      <c r="U597" t="s">
        <v>45</v>
      </c>
      <c r="V597" t="s">
        <v>46</v>
      </c>
      <c r="W597" t="s">
        <v>302</v>
      </c>
      <c r="X597" t="s">
        <v>303</v>
      </c>
      <c r="Y597" t="s">
        <v>72</v>
      </c>
      <c r="Z597" t="s">
        <v>68</v>
      </c>
      <c r="AA597" t="s">
        <v>49</v>
      </c>
      <c r="AB597" t="s">
        <v>50</v>
      </c>
      <c r="AC597" s="2">
        <v>585453.35</v>
      </c>
      <c r="AD597" t="s">
        <v>2984</v>
      </c>
      <c r="AE597" t="s">
        <v>115</v>
      </c>
    </row>
    <row r="598" spans="1:31" x14ac:dyDescent="0.25">
      <c r="A598" t="s">
        <v>2985</v>
      </c>
      <c r="B598" t="s">
        <v>2986</v>
      </c>
      <c r="C598" t="s">
        <v>2986</v>
      </c>
      <c r="D598" t="s">
        <v>153</v>
      </c>
      <c r="E598" t="s">
        <v>272</v>
      </c>
      <c r="F598" t="s">
        <v>2987</v>
      </c>
      <c r="G598" t="s">
        <v>344</v>
      </c>
      <c r="H598" t="s">
        <v>1312</v>
      </c>
      <c r="J598" s="2">
        <v>109085</v>
      </c>
      <c r="K598" s="2">
        <v>500</v>
      </c>
      <c r="L598" s="2">
        <v>1</v>
      </c>
      <c r="M598" s="2">
        <v>0</v>
      </c>
      <c r="N598" t="s">
        <v>883</v>
      </c>
      <c r="O598" t="s">
        <v>881</v>
      </c>
      <c r="P598" t="s">
        <v>158</v>
      </c>
      <c r="Q598" t="s">
        <v>159</v>
      </c>
      <c r="S598" t="s">
        <v>2988</v>
      </c>
      <c r="U598" t="s">
        <v>45</v>
      </c>
      <c r="V598" t="s">
        <v>46</v>
      </c>
      <c r="W598" t="s">
        <v>883</v>
      </c>
      <c r="X598" t="s">
        <v>881</v>
      </c>
      <c r="Y598" t="s">
        <v>161</v>
      </c>
      <c r="Z598" t="s">
        <v>162</v>
      </c>
      <c r="AA598" t="s">
        <v>49</v>
      </c>
      <c r="AB598" t="s">
        <v>50</v>
      </c>
      <c r="AC598" s="2">
        <v>109083.98</v>
      </c>
      <c r="AD598" t="s">
        <v>2989</v>
      </c>
    </row>
    <row r="599" spans="1:31" x14ac:dyDescent="0.25">
      <c r="A599" t="s">
        <v>2990</v>
      </c>
      <c r="B599" t="s">
        <v>2991</v>
      </c>
      <c r="C599" t="s">
        <v>2991</v>
      </c>
      <c r="D599" t="s">
        <v>153</v>
      </c>
      <c r="E599" t="s">
        <v>272</v>
      </c>
      <c r="F599" t="s">
        <v>2992</v>
      </c>
      <c r="G599" t="s">
        <v>153</v>
      </c>
      <c r="H599" t="s">
        <v>443</v>
      </c>
      <c r="I599" t="s">
        <v>2993</v>
      </c>
      <c r="J599" s="2">
        <v>1309020</v>
      </c>
      <c r="K599" s="2">
        <v>6000</v>
      </c>
      <c r="L599" s="2">
        <v>21</v>
      </c>
      <c r="M599" s="2">
        <v>0</v>
      </c>
      <c r="N599" t="s">
        <v>445</v>
      </c>
      <c r="O599" t="s">
        <v>446</v>
      </c>
      <c r="P599" t="s">
        <v>69</v>
      </c>
      <c r="Q599" t="s">
        <v>70</v>
      </c>
      <c r="S599" t="s">
        <v>2994</v>
      </c>
      <c r="U599" t="s">
        <v>45</v>
      </c>
      <c r="V599" t="s">
        <v>46</v>
      </c>
      <c r="W599" t="s">
        <v>445</v>
      </c>
      <c r="X599" t="s">
        <v>446</v>
      </c>
      <c r="Y599" t="s">
        <v>72</v>
      </c>
      <c r="Z599" t="s">
        <v>68</v>
      </c>
      <c r="AA599" t="s">
        <v>49</v>
      </c>
      <c r="AB599" t="s">
        <v>50</v>
      </c>
      <c r="AC599" s="2">
        <v>1196557.95</v>
      </c>
      <c r="AD599" t="s">
        <v>2995</v>
      </c>
      <c r="AE599" t="s">
        <v>52</v>
      </c>
    </row>
    <row r="600" spans="1:31" x14ac:dyDescent="0.25">
      <c r="A600" t="s">
        <v>2996</v>
      </c>
      <c r="B600" t="s">
        <v>2997</v>
      </c>
      <c r="C600" t="s">
        <v>2997</v>
      </c>
      <c r="D600" t="s">
        <v>649</v>
      </c>
      <c r="E600" t="s">
        <v>871</v>
      </c>
      <c r="F600" t="s">
        <v>2998</v>
      </c>
      <c r="G600" t="s">
        <v>192</v>
      </c>
      <c r="H600" t="s">
        <v>300</v>
      </c>
      <c r="I600" t="s">
        <v>2999</v>
      </c>
      <c r="J600" s="2">
        <v>327255</v>
      </c>
      <c r="K600" s="2">
        <v>1500</v>
      </c>
      <c r="L600" s="2">
        <v>21</v>
      </c>
      <c r="M600" s="2">
        <v>0</v>
      </c>
      <c r="N600" t="s">
        <v>302</v>
      </c>
      <c r="O600" t="s">
        <v>303</v>
      </c>
      <c r="P600" t="s">
        <v>304</v>
      </c>
      <c r="Q600" t="s">
        <v>72</v>
      </c>
      <c r="S600" t="s">
        <v>3000</v>
      </c>
      <c r="U600" t="s">
        <v>45</v>
      </c>
      <c r="V600" t="s">
        <v>46</v>
      </c>
      <c r="W600" t="s">
        <v>302</v>
      </c>
      <c r="X600" t="s">
        <v>303</v>
      </c>
      <c r="Y600" t="s">
        <v>72</v>
      </c>
      <c r="Z600" t="s">
        <v>68</v>
      </c>
      <c r="AA600" t="s">
        <v>49</v>
      </c>
      <c r="AB600" t="s">
        <v>50</v>
      </c>
      <c r="AC600" s="2">
        <v>327255</v>
      </c>
      <c r="AD600" t="s">
        <v>64</v>
      </c>
    </row>
    <row r="601" spans="1:31" hidden="1" x14ac:dyDescent="0.25">
      <c r="I601" t="s">
        <v>3001</v>
      </c>
      <c r="J601" s="2">
        <v>1000</v>
      </c>
      <c r="K601" s="2">
        <v>0</v>
      </c>
      <c r="L601" s="2">
        <v>1</v>
      </c>
      <c r="M601" s="2">
        <v>0</v>
      </c>
      <c r="S601" t="s">
        <v>3002</v>
      </c>
      <c r="U601" t="s">
        <v>45</v>
      </c>
      <c r="V601" t="s">
        <v>46</v>
      </c>
      <c r="W601" t="s">
        <v>156</v>
      </c>
      <c r="X601" t="s">
        <v>157</v>
      </c>
      <c r="Y601" t="s">
        <v>161</v>
      </c>
      <c r="Z601" t="s">
        <v>162</v>
      </c>
      <c r="AA601" t="s">
        <v>49</v>
      </c>
      <c r="AC601" s="2"/>
    </row>
    <row r="602" spans="1:31" hidden="1" x14ac:dyDescent="0.25">
      <c r="I602" t="s">
        <v>3003</v>
      </c>
      <c r="J602" s="2">
        <v>1000</v>
      </c>
      <c r="K602" s="2">
        <v>0</v>
      </c>
      <c r="L602" s="2">
        <v>1</v>
      </c>
      <c r="M602" s="2">
        <v>0</v>
      </c>
      <c r="S602" t="s">
        <v>3004</v>
      </c>
      <c r="U602" t="s">
        <v>45</v>
      </c>
      <c r="V602" t="s">
        <v>46</v>
      </c>
      <c r="W602" t="s">
        <v>1362</v>
      </c>
      <c r="X602" t="s">
        <v>1360</v>
      </c>
      <c r="Y602" t="s">
        <v>1215</v>
      </c>
      <c r="Z602" t="s">
        <v>1216</v>
      </c>
      <c r="AA602" t="s">
        <v>49</v>
      </c>
      <c r="AC602" s="2"/>
    </row>
    <row r="603" spans="1:31" x14ac:dyDescent="0.25">
      <c r="A603" t="s">
        <v>3005</v>
      </c>
      <c r="B603" t="s">
        <v>3006</v>
      </c>
      <c r="C603" t="s">
        <v>3006</v>
      </c>
      <c r="D603" t="s">
        <v>35</v>
      </c>
      <c r="E603" t="s">
        <v>36</v>
      </c>
      <c r="F603" t="s">
        <v>3007</v>
      </c>
      <c r="G603" t="s">
        <v>35</v>
      </c>
      <c r="H603" t="s">
        <v>366</v>
      </c>
      <c r="I603" t="s">
        <v>3008</v>
      </c>
      <c r="J603" s="2">
        <v>304674</v>
      </c>
      <c r="K603" s="2">
        <v>1232</v>
      </c>
      <c r="L603" s="2">
        <v>21</v>
      </c>
      <c r="M603" s="2">
        <v>0</v>
      </c>
      <c r="N603" t="s">
        <v>348</v>
      </c>
      <c r="O603" t="s">
        <v>349</v>
      </c>
      <c r="P603" t="s">
        <v>316</v>
      </c>
      <c r="Q603" t="s">
        <v>317</v>
      </c>
      <c r="S603" t="s">
        <v>3009</v>
      </c>
      <c r="U603" t="s">
        <v>45</v>
      </c>
      <c r="V603" t="s">
        <v>46</v>
      </c>
      <c r="W603" t="s">
        <v>348</v>
      </c>
      <c r="X603" t="s">
        <v>349</v>
      </c>
      <c r="Y603" t="s">
        <v>317</v>
      </c>
      <c r="Z603" t="s">
        <v>349</v>
      </c>
      <c r="AA603" t="s">
        <v>49</v>
      </c>
      <c r="AB603" t="s">
        <v>50</v>
      </c>
      <c r="AC603" s="2">
        <v>126840.79</v>
      </c>
      <c r="AD603" t="s">
        <v>3010</v>
      </c>
      <c r="AE603" t="s">
        <v>52</v>
      </c>
    </row>
    <row r="604" spans="1:31" x14ac:dyDescent="0.25">
      <c r="A604" t="s">
        <v>3011</v>
      </c>
      <c r="B604" t="s">
        <v>3012</v>
      </c>
      <c r="C604" t="s">
        <v>2980</v>
      </c>
      <c r="D604" t="s">
        <v>35</v>
      </c>
      <c r="E604" t="s">
        <v>36</v>
      </c>
      <c r="F604" t="s">
        <v>2860</v>
      </c>
      <c r="G604" t="s">
        <v>35</v>
      </c>
      <c r="H604" t="s">
        <v>1581</v>
      </c>
      <c r="I604" t="s">
        <v>3013</v>
      </c>
      <c r="J604" s="2">
        <v>436340</v>
      </c>
      <c r="K604" s="2">
        <v>2000</v>
      </c>
      <c r="L604" s="2">
        <v>30</v>
      </c>
      <c r="M604" s="2">
        <v>0</v>
      </c>
      <c r="N604" t="s">
        <v>203</v>
      </c>
      <c r="O604" t="s">
        <v>204</v>
      </c>
      <c r="P604" t="s">
        <v>205</v>
      </c>
      <c r="Q604" t="s">
        <v>206</v>
      </c>
      <c r="S604" t="s">
        <v>3014</v>
      </c>
      <c r="U604" t="s">
        <v>45</v>
      </c>
      <c r="V604" t="s">
        <v>46</v>
      </c>
      <c r="W604" t="s">
        <v>203</v>
      </c>
      <c r="X604" t="s">
        <v>204</v>
      </c>
      <c r="Y604" t="s">
        <v>161</v>
      </c>
      <c r="Z604" t="s">
        <v>162</v>
      </c>
      <c r="AA604" t="s">
        <v>49</v>
      </c>
      <c r="AB604" t="s">
        <v>50</v>
      </c>
      <c r="AC604" s="2">
        <v>157558.79</v>
      </c>
      <c r="AD604" t="s">
        <v>3015</v>
      </c>
      <c r="AE604" t="s">
        <v>52</v>
      </c>
    </row>
    <row r="605" spans="1:31" x14ac:dyDescent="0.25">
      <c r="A605" t="s">
        <v>3016</v>
      </c>
      <c r="B605" t="s">
        <v>3017</v>
      </c>
      <c r="C605" t="s">
        <v>3017</v>
      </c>
      <c r="D605" t="s">
        <v>331</v>
      </c>
      <c r="E605" t="s">
        <v>224</v>
      </c>
      <c r="F605" t="s">
        <v>3018</v>
      </c>
      <c r="G605" t="s">
        <v>1958</v>
      </c>
      <c r="H605" t="s">
        <v>252</v>
      </c>
      <c r="I605" t="s">
        <v>3019</v>
      </c>
      <c r="J605" s="2">
        <v>65451</v>
      </c>
      <c r="K605" s="2">
        <v>300</v>
      </c>
      <c r="L605" s="2">
        <v>15</v>
      </c>
      <c r="M605" s="2">
        <v>0</v>
      </c>
      <c r="N605" t="s">
        <v>254</v>
      </c>
      <c r="O605" t="s">
        <v>255</v>
      </c>
      <c r="P605" t="s">
        <v>256</v>
      </c>
      <c r="Q605" t="s">
        <v>255</v>
      </c>
      <c r="S605" t="s">
        <v>3020</v>
      </c>
      <c r="U605" t="s">
        <v>45</v>
      </c>
      <c r="V605" t="s">
        <v>46</v>
      </c>
      <c r="W605" t="s">
        <v>254</v>
      </c>
      <c r="X605" t="s">
        <v>255</v>
      </c>
      <c r="Y605" t="s">
        <v>258</v>
      </c>
      <c r="Z605" t="s">
        <v>259</v>
      </c>
      <c r="AA605" t="s">
        <v>49</v>
      </c>
      <c r="AB605" t="s">
        <v>50</v>
      </c>
      <c r="AC605" s="2">
        <v>65449.58</v>
      </c>
      <c r="AD605" t="s">
        <v>3021</v>
      </c>
      <c r="AE605" t="s">
        <v>115</v>
      </c>
    </row>
    <row r="606" spans="1:31" hidden="1" x14ac:dyDescent="0.25">
      <c r="A606" s="10" t="s">
        <v>3022</v>
      </c>
      <c r="B606" s="10" t="s">
        <v>3023</v>
      </c>
      <c r="C606" t="s">
        <v>3023</v>
      </c>
      <c r="D606" t="s">
        <v>55</v>
      </c>
      <c r="E606" t="s">
        <v>56</v>
      </c>
      <c r="F606" t="s">
        <v>3024</v>
      </c>
      <c r="H606" t="s">
        <v>38</v>
      </c>
      <c r="I606" t="s">
        <v>3025</v>
      </c>
      <c r="J606" s="2">
        <v>1000</v>
      </c>
      <c r="K606" s="2">
        <v>4.33</v>
      </c>
      <c r="L606" s="2">
        <v>1</v>
      </c>
      <c r="M606" s="2">
        <v>0</v>
      </c>
      <c r="N606" t="s">
        <v>40</v>
      </c>
      <c r="O606" t="s">
        <v>41</v>
      </c>
      <c r="P606" t="s">
        <v>61</v>
      </c>
      <c r="Q606" t="s">
        <v>62</v>
      </c>
      <c r="S606" t="s">
        <v>3026</v>
      </c>
      <c r="U606" t="s">
        <v>45</v>
      </c>
      <c r="V606" t="s">
        <v>46</v>
      </c>
      <c r="W606" t="s">
        <v>40</v>
      </c>
      <c r="X606" t="s">
        <v>41</v>
      </c>
      <c r="Y606" t="s">
        <v>47</v>
      </c>
      <c r="Z606" t="s">
        <v>48</v>
      </c>
      <c r="AA606" t="s">
        <v>49</v>
      </c>
      <c r="AB606" t="s">
        <v>142</v>
      </c>
      <c r="AC606" s="2">
        <v>1000</v>
      </c>
      <c r="AD606" t="s">
        <v>64</v>
      </c>
    </row>
    <row r="607" spans="1:31" hidden="1" x14ac:dyDescent="0.25">
      <c r="I607" t="s">
        <v>3027</v>
      </c>
      <c r="J607" s="2">
        <v>1000</v>
      </c>
      <c r="K607" s="2">
        <v>0</v>
      </c>
      <c r="L607" s="2">
        <v>21</v>
      </c>
      <c r="M607" s="2">
        <v>0</v>
      </c>
      <c r="S607" t="s">
        <v>3028</v>
      </c>
      <c r="U607" t="s">
        <v>45</v>
      </c>
      <c r="V607" t="s">
        <v>46</v>
      </c>
      <c r="W607" t="s">
        <v>700</v>
      </c>
      <c r="X607" t="s">
        <v>699</v>
      </c>
      <c r="Y607" t="s">
        <v>72</v>
      </c>
      <c r="Z607" t="s">
        <v>68</v>
      </c>
      <c r="AA607" t="s">
        <v>49</v>
      </c>
      <c r="AC607" s="2"/>
    </row>
    <row r="608" spans="1:31" hidden="1" x14ac:dyDescent="0.25">
      <c r="I608" t="s">
        <v>3029</v>
      </c>
      <c r="J608" s="2">
        <v>21817</v>
      </c>
      <c r="K608" s="2">
        <v>100</v>
      </c>
      <c r="L608" s="2">
        <v>10</v>
      </c>
      <c r="M608" s="2">
        <v>0</v>
      </c>
      <c r="S608" t="s">
        <v>3030</v>
      </c>
      <c r="U608" t="s">
        <v>45</v>
      </c>
      <c r="V608" t="s">
        <v>46</v>
      </c>
      <c r="W608" t="s">
        <v>67</v>
      </c>
      <c r="X608" t="s">
        <v>68</v>
      </c>
      <c r="Y608" t="s">
        <v>72</v>
      </c>
      <c r="Z608" t="s">
        <v>68</v>
      </c>
      <c r="AA608" t="s">
        <v>49</v>
      </c>
      <c r="AC608" s="2"/>
    </row>
    <row r="609" spans="1:31" hidden="1" x14ac:dyDescent="0.25">
      <c r="I609" t="s">
        <v>3031</v>
      </c>
      <c r="J609" s="2">
        <v>1000</v>
      </c>
      <c r="K609" s="2">
        <v>0</v>
      </c>
      <c r="L609" s="2">
        <v>1</v>
      </c>
      <c r="M609" s="2">
        <v>0</v>
      </c>
      <c r="S609" t="s">
        <v>3032</v>
      </c>
      <c r="U609" t="s">
        <v>45</v>
      </c>
      <c r="V609" t="s">
        <v>46</v>
      </c>
      <c r="W609" t="s">
        <v>1064</v>
      </c>
      <c r="X609" t="s">
        <v>1062</v>
      </c>
      <c r="Y609" t="s">
        <v>72</v>
      </c>
      <c r="Z609" t="s">
        <v>68</v>
      </c>
      <c r="AA609" t="s">
        <v>49</v>
      </c>
      <c r="AC609" s="2"/>
    </row>
    <row r="610" spans="1:31" x14ac:dyDescent="0.25">
      <c r="A610" t="s">
        <v>3033</v>
      </c>
      <c r="B610" t="s">
        <v>3034</v>
      </c>
      <c r="C610" t="s">
        <v>3034</v>
      </c>
      <c r="D610" t="s">
        <v>153</v>
      </c>
      <c r="E610" t="s">
        <v>272</v>
      </c>
      <c r="F610" t="s">
        <v>3035</v>
      </c>
      <c r="G610" t="s">
        <v>153</v>
      </c>
      <c r="H610" t="s">
        <v>300</v>
      </c>
      <c r="I610" t="s">
        <v>3036</v>
      </c>
      <c r="J610" s="2">
        <v>712358</v>
      </c>
      <c r="K610" s="2">
        <v>3050</v>
      </c>
      <c r="L610" s="2">
        <v>21</v>
      </c>
      <c r="M610" s="2">
        <v>0</v>
      </c>
      <c r="N610" t="s">
        <v>302</v>
      </c>
      <c r="O610" t="s">
        <v>303</v>
      </c>
      <c r="P610" t="s">
        <v>304</v>
      </c>
      <c r="Q610" t="s">
        <v>72</v>
      </c>
      <c r="S610" t="s">
        <v>3037</v>
      </c>
      <c r="U610" t="s">
        <v>45</v>
      </c>
      <c r="V610" t="s">
        <v>46</v>
      </c>
      <c r="W610" t="s">
        <v>302</v>
      </c>
      <c r="X610" t="s">
        <v>303</v>
      </c>
      <c r="Y610" t="s">
        <v>72</v>
      </c>
      <c r="Z610" t="s">
        <v>68</v>
      </c>
      <c r="AA610" t="s">
        <v>49</v>
      </c>
      <c r="AB610" t="s">
        <v>50</v>
      </c>
      <c r="AC610" s="2">
        <v>20784.240000000002</v>
      </c>
      <c r="AD610" t="s">
        <v>3038</v>
      </c>
      <c r="AE610" t="s">
        <v>52</v>
      </c>
    </row>
    <row r="611" spans="1:31" hidden="1" x14ac:dyDescent="0.25">
      <c r="I611" t="s">
        <v>3039</v>
      </c>
      <c r="J611" s="2">
        <v>1000</v>
      </c>
      <c r="K611" s="2">
        <v>0</v>
      </c>
      <c r="L611" s="2">
        <v>21</v>
      </c>
      <c r="M611" s="2">
        <v>0</v>
      </c>
      <c r="S611" t="s">
        <v>3040</v>
      </c>
      <c r="U611" t="s">
        <v>45</v>
      </c>
      <c r="V611" t="s">
        <v>46</v>
      </c>
      <c r="W611" t="s">
        <v>360</v>
      </c>
      <c r="X611" t="s">
        <v>361</v>
      </c>
      <c r="Y611" t="s">
        <v>47</v>
      </c>
      <c r="Z611" t="s">
        <v>48</v>
      </c>
      <c r="AA611" t="s">
        <v>49</v>
      </c>
      <c r="AC611" s="2"/>
    </row>
    <row r="612" spans="1:31" x14ac:dyDescent="0.25">
      <c r="A612" t="s">
        <v>3041</v>
      </c>
      <c r="B612" t="s">
        <v>3042</v>
      </c>
      <c r="C612" t="s">
        <v>3043</v>
      </c>
      <c r="D612" t="s">
        <v>1289</v>
      </c>
      <c r="E612" t="s">
        <v>224</v>
      </c>
      <c r="F612" t="s">
        <v>3044</v>
      </c>
      <c r="G612" t="s">
        <v>1289</v>
      </c>
      <c r="H612" t="s">
        <v>324</v>
      </c>
      <c r="I612" t="s">
        <v>3045</v>
      </c>
      <c r="J612" s="2">
        <v>610876</v>
      </c>
      <c r="K612" s="2">
        <v>2800</v>
      </c>
      <c r="L612" s="2">
        <v>25</v>
      </c>
      <c r="M612" s="2">
        <v>0</v>
      </c>
      <c r="N612" t="s">
        <v>326</v>
      </c>
      <c r="O612" t="s">
        <v>327</v>
      </c>
      <c r="P612" t="s">
        <v>120</v>
      </c>
      <c r="Q612" t="s">
        <v>121</v>
      </c>
      <c r="S612" t="s">
        <v>3046</v>
      </c>
      <c r="U612" t="s">
        <v>45</v>
      </c>
      <c r="V612" t="s">
        <v>46</v>
      </c>
      <c r="W612" t="s">
        <v>326</v>
      </c>
      <c r="X612" t="s">
        <v>327</v>
      </c>
      <c r="Y612" t="s">
        <v>121</v>
      </c>
      <c r="Z612" t="s">
        <v>94</v>
      </c>
      <c r="AA612" t="s">
        <v>49</v>
      </c>
      <c r="AB612" t="s">
        <v>50</v>
      </c>
      <c r="AC612" s="2">
        <v>303417.68</v>
      </c>
      <c r="AD612" t="s">
        <v>3047</v>
      </c>
      <c r="AE612" t="s">
        <v>115</v>
      </c>
    </row>
    <row r="613" spans="1:31" x14ac:dyDescent="0.25">
      <c r="A613" t="s">
        <v>3048</v>
      </c>
      <c r="B613" t="s">
        <v>3049</v>
      </c>
      <c r="C613" t="s">
        <v>3049</v>
      </c>
      <c r="D613" t="s">
        <v>166</v>
      </c>
      <c r="E613" t="s">
        <v>167</v>
      </c>
      <c r="F613" t="s">
        <v>3050</v>
      </c>
      <c r="H613" t="s">
        <v>1312</v>
      </c>
      <c r="I613" t="s">
        <v>3051</v>
      </c>
      <c r="J613" s="2">
        <v>174536</v>
      </c>
      <c r="K613" s="2">
        <v>800</v>
      </c>
      <c r="L613" s="2">
        <v>10</v>
      </c>
      <c r="M613" s="2">
        <v>0</v>
      </c>
      <c r="N613" t="s">
        <v>883</v>
      </c>
      <c r="O613" t="s">
        <v>881</v>
      </c>
      <c r="P613" t="s">
        <v>158</v>
      </c>
      <c r="Q613" t="s">
        <v>159</v>
      </c>
      <c r="S613" t="s">
        <v>3052</v>
      </c>
      <c r="U613" t="s">
        <v>45</v>
      </c>
      <c r="V613" t="s">
        <v>46</v>
      </c>
      <c r="W613" t="s">
        <v>883</v>
      </c>
      <c r="X613" t="s">
        <v>881</v>
      </c>
      <c r="Y613" t="s">
        <v>161</v>
      </c>
      <c r="Z613" t="s">
        <v>162</v>
      </c>
      <c r="AA613" t="s">
        <v>49</v>
      </c>
      <c r="AB613" t="s">
        <v>50</v>
      </c>
      <c r="AC613" s="2">
        <v>159736.38</v>
      </c>
      <c r="AD613" t="s">
        <v>3053</v>
      </c>
    </row>
    <row r="614" spans="1:31" x14ac:dyDescent="0.25">
      <c r="A614" t="s">
        <v>3054</v>
      </c>
      <c r="B614" t="s">
        <v>3055</v>
      </c>
      <c r="C614" t="s">
        <v>3055</v>
      </c>
      <c r="D614" t="s">
        <v>569</v>
      </c>
      <c r="E614" t="s">
        <v>570</v>
      </c>
      <c r="F614" t="s">
        <v>3056</v>
      </c>
      <c r="H614" t="s">
        <v>1095</v>
      </c>
      <c r="I614" t="s">
        <v>3057</v>
      </c>
      <c r="J614" s="2">
        <v>826317</v>
      </c>
      <c r="K614" s="2">
        <v>3787.49</v>
      </c>
      <c r="L614" s="2">
        <v>1</v>
      </c>
      <c r="M614" s="2">
        <v>0</v>
      </c>
      <c r="N614" t="s">
        <v>1038</v>
      </c>
      <c r="O614" t="s">
        <v>1039</v>
      </c>
      <c r="P614" t="s">
        <v>304</v>
      </c>
      <c r="Q614" t="s">
        <v>72</v>
      </c>
      <c r="S614" t="s">
        <v>3058</v>
      </c>
      <c r="U614" t="s">
        <v>3059</v>
      </c>
      <c r="V614" t="s">
        <v>46</v>
      </c>
      <c r="W614" t="s">
        <v>1038</v>
      </c>
      <c r="X614" t="s">
        <v>1039</v>
      </c>
      <c r="Y614" t="s">
        <v>72</v>
      </c>
      <c r="Z614" t="s">
        <v>68</v>
      </c>
      <c r="AA614" t="s">
        <v>49</v>
      </c>
      <c r="AB614" t="s">
        <v>50</v>
      </c>
      <c r="AC614" s="2">
        <v>760451.96</v>
      </c>
      <c r="AD614" t="s">
        <v>3060</v>
      </c>
      <c r="AE614" t="s">
        <v>115</v>
      </c>
    </row>
    <row r="615" spans="1:31" x14ac:dyDescent="0.25">
      <c r="A615" t="s">
        <v>3061</v>
      </c>
      <c r="B615" t="s">
        <v>3062</v>
      </c>
      <c r="C615" t="s">
        <v>3062</v>
      </c>
      <c r="D615" t="s">
        <v>125</v>
      </c>
      <c r="E615" t="s">
        <v>126</v>
      </c>
      <c r="F615" t="s">
        <v>3063</v>
      </c>
      <c r="G615" t="s">
        <v>178</v>
      </c>
      <c r="H615" t="s">
        <v>2105</v>
      </c>
      <c r="I615" t="s">
        <v>3064</v>
      </c>
      <c r="J615" s="2">
        <v>1090850</v>
      </c>
      <c r="K615" s="2">
        <v>5000</v>
      </c>
      <c r="L615" s="2">
        <v>30</v>
      </c>
      <c r="M615" s="2">
        <v>0</v>
      </c>
      <c r="N615" t="s">
        <v>1546</v>
      </c>
      <c r="O615" t="s">
        <v>1547</v>
      </c>
      <c r="P615" t="s">
        <v>103</v>
      </c>
      <c r="Q615" t="s">
        <v>104</v>
      </c>
      <c r="S615" t="s">
        <v>3065</v>
      </c>
      <c r="U615" t="s">
        <v>45</v>
      </c>
      <c r="V615" t="s">
        <v>46</v>
      </c>
      <c r="W615" t="s">
        <v>1546</v>
      </c>
      <c r="X615" t="s">
        <v>1547</v>
      </c>
      <c r="Y615" t="s">
        <v>279</v>
      </c>
      <c r="Z615" t="s">
        <v>280</v>
      </c>
      <c r="AA615" t="s">
        <v>49</v>
      </c>
      <c r="AB615" t="s">
        <v>50</v>
      </c>
      <c r="AC615" s="2">
        <v>1019698.4</v>
      </c>
      <c r="AD615" t="s">
        <v>3066</v>
      </c>
      <c r="AE615" t="s">
        <v>52</v>
      </c>
    </row>
    <row r="616" spans="1:31" x14ac:dyDescent="0.25">
      <c r="A616" t="s">
        <v>3067</v>
      </c>
      <c r="B616" t="s">
        <v>3068</v>
      </c>
      <c r="C616" t="s">
        <v>3069</v>
      </c>
      <c r="D616" t="s">
        <v>153</v>
      </c>
      <c r="E616" t="s">
        <v>272</v>
      </c>
      <c r="F616" t="s">
        <v>3070</v>
      </c>
      <c r="G616" t="s">
        <v>153</v>
      </c>
      <c r="H616" t="s">
        <v>3071</v>
      </c>
      <c r="I616" t="s">
        <v>3072</v>
      </c>
      <c r="J616" s="2">
        <v>1134484</v>
      </c>
      <c r="K616" s="2">
        <v>5200</v>
      </c>
      <c r="L616" s="2">
        <v>15</v>
      </c>
      <c r="M616" s="2">
        <v>0</v>
      </c>
      <c r="N616" t="s">
        <v>3073</v>
      </c>
      <c r="O616" t="s">
        <v>3074</v>
      </c>
      <c r="P616" t="s">
        <v>103</v>
      </c>
      <c r="Q616" t="s">
        <v>104</v>
      </c>
      <c r="S616" t="s">
        <v>3075</v>
      </c>
      <c r="U616" t="s">
        <v>45</v>
      </c>
      <c r="V616" t="s">
        <v>46</v>
      </c>
      <c r="W616" t="s">
        <v>3073</v>
      </c>
      <c r="X616" t="s">
        <v>3074</v>
      </c>
      <c r="Y616" t="s">
        <v>106</v>
      </c>
      <c r="Z616" t="s">
        <v>107</v>
      </c>
      <c r="AA616" t="s">
        <v>49</v>
      </c>
      <c r="AB616" t="s">
        <v>50</v>
      </c>
      <c r="AC616" s="2">
        <v>1020813.88</v>
      </c>
      <c r="AD616" t="s">
        <v>3076</v>
      </c>
      <c r="AE616" t="s">
        <v>52</v>
      </c>
    </row>
    <row r="617" spans="1:31" x14ac:dyDescent="0.25">
      <c r="A617" t="s">
        <v>3077</v>
      </c>
      <c r="B617" t="s">
        <v>3078</v>
      </c>
      <c r="C617" t="s">
        <v>3078</v>
      </c>
      <c r="D617" t="s">
        <v>569</v>
      </c>
      <c r="E617" t="s">
        <v>570</v>
      </c>
      <c r="F617" t="s">
        <v>3079</v>
      </c>
      <c r="G617" t="s">
        <v>297</v>
      </c>
      <c r="H617" t="s">
        <v>446</v>
      </c>
      <c r="I617" t="s">
        <v>3080</v>
      </c>
      <c r="J617" s="2">
        <v>218170</v>
      </c>
      <c r="K617" s="2">
        <v>1000</v>
      </c>
      <c r="L617" s="2">
        <v>15</v>
      </c>
      <c r="M617" s="2">
        <v>0</v>
      </c>
      <c r="N617" t="s">
        <v>445</v>
      </c>
      <c r="O617" t="s">
        <v>446</v>
      </c>
      <c r="P617" t="s">
        <v>69</v>
      </c>
      <c r="Q617" t="s">
        <v>70</v>
      </c>
      <c r="S617" t="s">
        <v>3081</v>
      </c>
      <c r="U617" t="s">
        <v>45</v>
      </c>
      <c r="V617" t="s">
        <v>46</v>
      </c>
      <c r="W617" t="s">
        <v>445</v>
      </c>
      <c r="X617" t="s">
        <v>446</v>
      </c>
      <c r="Y617" t="s">
        <v>72</v>
      </c>
      <c r="Z617" t="s">
        <v>68</v>
      </c>
      <c r="AA617" t="s">
        <v>49</v>
      </c>
      <c r="AB617" t="s">
        <v>50</v>
      </c>
      <c r="AC617" s="2">
        <v>218170</v>
      </c>
      <c r="AD617" t="s">
        <v>64</v>
      </c>
    </row>
    <row r="618" spans="1:31" x14ac:dyDescent="0.25">
      <c r="A618" t="s">
        <v>3082</v>
      </c>
      <c r="B618" t="s">
        <v>3083</v>
      </c>
      <c r="C618" t="s">
        <v>3083</v>
      </c>
      <c r="D618" t="s">
        <v>984</v>
      </c>
      <c r="E618" t="s">
        <v>985</v>
      </c>
      <c r="F618" t="s">
        <v>3084</v>
      </c>
      <c r="G618" t="s">
        <v>178</v>
      </c>
      <c r="H618" t="s">
        <v>650</v>
      </c>
      <c r="I618" t="s">
        <v>2734</v>
      </c>
      <c r="J618" s="2">
        <v>1090850</v>
      </c>
      <c r="K618" s="2">
        <v>5000</v>
      </c>
      <c r="L618" s="2">
        <v>21</v>
      </c>
      <c r="M618" s="2">
        <v>0</v>
      </c>
      <c r="N618" t="s">
        <v>652</v>
      </c>
      <c r="O618" t="s">
        <v>653</v>
      </c>
      <c r="P618" t="s">
        <v>69</v>
      </c>
      <c r="Q618" t="s">
        <v>70</v>
      </c>
      <c r="S618" t="s">
        <v>3085</v>
      </c>
      <c r="U618" t="s">
        <v>45</v>
      </c>
      <c r="V618" t="s">
        <v>46</v>
      </c>
      <c r="W618" t="s">
        <v>652</v>
      </c>
      <c r="X618" t="s">
        <v>653</v>
      </c>
      <c r="Y618" t="s">
        <v>72</v>
      </c>
      <c r="Z618" t="s">
        <v>68</v>
      </c>
      <c r="AA618" t="s">
        <v>49</v>
      </c>
      <c r="AB618" t="s">
        <v>50</v>
      </c>
      <c r="AC618" s="2">
        <v>1067440.23</v>
      </c>
      <c r="AD618" t="s">
        <v>3086</v>
      </c>
      <c r="AE618" t="s">
        <v>115</v>
      </c>
    </row>
    <row r="619" spans="1:31" x14ac:dyDescent="0.25">
      <c r="A619" t="s">
        <v>3087</v>
      </c>
      <c r="B619" t="s">
        <v>3088</v>
      </c>
      <c r="C619" t="s">
        <v>3088</v>
      </c>
      <c r="D619" t="s">
        <v>125</v>
      </c>
      <c r="E619" t="s">
        <v>126</v>
      </c>
      <c r="F619" t="s">
        <v>3089</v>
      </c>
      <c r="G619" t="s">
        <v>125</v>
      </c>
      <c r="H619" t="s">
        <v>41</v>
      </c>
      <c r="I619" t="s">
        <v>3090</v>
      </c>
      <c r="J619" s="2">
        <v>327255</v>
      </c>
      <c r="K619" s="2">
        <v>1500</v>
      </c>
      <c r="L619" s="2">
        <v>15</v>
      </c>
      <c r="M619" s="2">
        <v>0</v>
      </c>
      <c r="N619" t="s">
        <v>40</v>
      </c>
      <c r="O619" t="s">
        <v>41</v>
      </c>
      <c r="P619" t="s">
        <v>61</v>
      </c>
      <c r="Q619" t="s">
        <v>62</v>
      </c>
      <c r="S619" t="s">
        <v>3091</v>
      </c>
      <c r="U619" t="s">
        <v>45</v>
      </c>
      <c r="V619" t="s">
        <v>46</v>
      </c>
      <c r="W619" t="s">
        <v>40</v>
      </c>
      <c r="X619" t="s">
        <v>41</v>
      </c>
      <c r="Y619" t="s">
        <v>47</v>
      </c>
      <c r="Z619" t="s">
        <v>48</v>
      </c>
      <c r="AA619" t="s">
        <v>49</v>
      </c>
      <c r="AB619" t="s">
        <v>50</v>
      </c>
      <c r="AC619" s="2">
        <v>308115.94</v>
      </c>
      <c r="AD619" t="s">
        <v>3092</v>
      </c>
      <c r="AE619" t="s">
        <v>52</v>
      </c>
    </row>
    <row r="620" spans="1:31" hidden="1" x14ac:dyDescent="0.25">
      <c r="I620" t="s">
        <v>3093</v>
      </c>
      <c r="J620" s="2">
        <v>1000</v>
      </c>
      <c r="K620" s="2">
        <v>0</v>
      </c>
      <c r="L620" s="2">
        <v>21</v>
      </c>
      <c r="M620" s="2">
        <v>0</v>
      </c>
      <c r="S620" t="s">
        <v>3094</v>
      </c>
      <c r="U620" t="s">
        <v>45</v>
      </c>
      <c r="V620" t="s">
        <v>46</v>
      </c>
      <c r="W620" t="s">
        <v>40</v>
      </c>
      <c r="X620" t="s">
        <v>41</v>
      </c>
      <c r="Y620" t="s">
        <v>47</v>
      </c>
      <c r="Z620" t="s">
        <v>48</v>
      </c>
      <c r="AA620" t="s">
        <v>49</v>
      </c>
      <c r="AC620" s="2"/>
    </row>
    <row r="621" spans="1:31" x14ac:dyDescent="0.25">
      <c r="A621" t="s">
        <v>3095</v>
      </c>
      <c r="B621" t="s">
        <v>3096</v>
      </c>
      <c r="C621" t="s">
        <v>3096</v>
      </c>
      <c r="D621" t="s">
        <v>498</v>
      </c>
      <c r="E621" t="s">
        <v>190</v>
      </c>
      <c r="F621" t="s">
        <v>3097</v>
      </c>
      <c r="G621" t="s">
        <v>873</v>
      </c>
      <c r="H621" t="s">
        <v>443</v>
      </c>
      <c r="I621" t="s">
        <v>3098</v>
      </c>
      <c r="J621" s="2">
        <v>28362</v>
      </c>
      <c r="K621" s="2">
        <v>130</v>
      </c>
      <c r="L621" s="2">
        <v>15</v>
      </c>
      <c r="M621" s="2">
        <v>0</v>
      </c>
      <c r="N621" t="s">
        <v>445</v>
      </c>
      <c r="O621" t="s">
        <v>446</v>
      </c>
      <c r="P621" t="s">
        <v>69</v>
      </c>
      <c r="Q621" t="s">
        <v>70</v>
      </c>
      <c r="S621" t="s">
        <v>3099</v>
      </c>
      <c r="U621" t="s">
        <v>45</v>
      </c>
      <c r="V621" t="s">
        <v>46</v>
      </c>
      <c r="W621" t="s">
        <v>445</v>
      </c>
      <c r="X621" t="s">
        <v>446</v>
      </c>
      <c r="Y621" t="s">
        <v>72</v>
      </c>
      <c r="Z621" t="s">
        <v>68</v>
      </c>
      <c r="AA621" t="s">
        <v>49</v>
      </c>
      <c r="AB621" t="s">
        <v>50</v>
      </c>
      <c r="AC621" s="2">
        <v>14482.46</v>
      </c>
      <c r="AD621" t="s">
        <v>3100</v>
      </c>
    </row>
    <row r="622" spans="1:31" hidden="1" x14ac:dyDescent="0.25">
      <c r="I622" t="s">
        <v>3101</v>
      </c>
      <c r="J622" s="2">
        <v>1000</v>
      </c>
      <c r="K622" s="2">
        <v>0</v>
      </c>
      <c r="L622" s="2">
        <v>1</v>
      </c>
      <c r="M622" s="2">
        <v>0</v>
      </c>
      <c r="S622" t="s">
        <v>3102</v>
      </c>
      <c r="U622" t="s">
        <v>45</v>
      </c>
      <c r="V622" t="s">
        <v>46</v>
      </c>
      <c r="W622" t="s">
        <v>1592</v>
      </c>
      <c r="X622" t="s">
        <v>280</v>
      </c>
      <c r="Y622" t="s">
        <v>279</v>
      </c>
      <c r="Z622" t="s">
        <v>280</v>
      </c>
      <c r="AA622" t="s">
        <v>49</v>
      </c>
      <c r="AC622" s="2"/>
    </row>
    <row r="623" spans="1:31" hidden="1" x14ac:dyDescent="0.25">
      <c r="A623" s="10" t="s">
        <v>3103</v>
      </c>
      <c r="B623" s="10" t="s">
        <v>3104</v>
      </c>
      <c r="C623" t="s">
        <v>3104</v>
      </c>
      <c r="D623" t="s">
        <v>55</v>
      </c>
      <c r="E623" t="s">
        <v>56</v>
      </c>
      <c r="F623" t="s">
        <v>3105</v>
      </c>
      <c r="H623" t="s">
        <v>38</v>
      </c>
      <c r="I623" t="s">
        <v>3106</v>
      </c>
      <c r="J623" s="2">
        <v>1000</v>
      </c>
      <c r="K623" s="2">
        <v>0</v>
      </c>
      <c r="L623" s="2">
        <v>1</v>
      </c>
      <c r="M623" s="2">
        <v>0</v>
      </c>
      <c r="N623" t="s">
        <v>40</v>
      </c>
      <c r="O623" t="s">
        <v>41</v>
      </c>
      <c r="P623" t="s">
        <v>61</v>
      </c>
      <c r="Q623" t="s">
        <v>62</v>
      </c>
      <c r="S623" t="s">
        <v>3107</v>
      </c>
      <c r="U623" t="s">
        <v>45</v>
      </c>
      <c r="V623" t="s">
        <v>46</v>
      </c>
      <c r="W623" t="s">
        <v>40</v>
      </c>
      <c r="X623" t="s">
        <v>41</v>
      </c>
      <c r="Y623" t="s">
        <v>47</v>
      </c>
      <c r="Z623" t="s">
        <v>48</v>
      </c>
      <c r="AA623" t="s">
        <v>49</v>
      </c>
      <c r="AB623" t="s">
        <v>142</v>
      </c>
      <c r="AC623" s="2">
        <v>1000</v>
      </c>
      <c r="AD623" t="s">
        <v>64</v>
      </c>
    </row>
    <row r="624" spans="1:31" hidden="1" x14ac:dyDescent="0.25">
      <c r="I624" t="s">
        <v>3108</v>
      </c>
      <c r="J624" s="2">
        <v>21817</v>
      </c>
      <c r="K624" s="2">
        <v>100</v>
      </c>
      <c r="L624" s="2">
        <v>1</v>
      </c>
      <c r="M624" s="2">
        <v>0</v>
      </c>
      <c r="S624" t="s">
        <v>3109</v>
      </c>
      <c r="U624" t="s">
        <v>45</v>
      </c>
      <c r="V624" t="s">
        <v>46</v>
      </c>
      <c r="W624" t="s">
        <v>360</v>
      </c>
      <c r="X624" t="s">
        <v>361</v>
      </c>
      <c r="Y624" t="s">
        <v>47</v>
      </c>
      <c r="Z624" t="s">
        <v>48</v>
      </c>
      <c r="AA624" t="s">
        <v>49</v>
      </c>
      <c r="AC624" s="2"/>
    </row>
    <row r="625" spans="1:31" x14ac:dyDescent="0.25">
      <c r="A625" t="s">
        <v>3110</v>
      </c>
      <c r="B625" t="s">
        <v>3111</v>
      </c>
      <c r="C625" t="s">
        <v>3111</v>
      </c>
      <c r="D625" t="s">
        <v>166</v>
      </c>
      <c r="E625" t="s">
        <v>167</v>
      </c>
      <c r="F625" t="s">
        <v>3112</v>
      </c>
      <c r="H625" t="s">
        <v>1312</v>
      </c>
      <c r="I625" t="s">
        <v>3113</v>
      </c>
      <c r="J625" s="2">
        <v>109085</v>
      </c>
      <c r="K625" s="2">
        <v>500</v>
      </c>
      <c r="L625" s="2">
        <v>15</v>
      </c>
      <c r="M625" s="2">
        <v>0</v>
      </c>
      <c r="N625" t="s">
        <v>883</v>
      </c>
      <c r="O625" t="s">
        <v>881</v>
      </c>
      <c r="P625" t="s">
        <v>158</v>
      </c>
      <c r="Q625" t="s">
        <v>159</v>
      </c>
      <c r="S625" t="s">
        <v>3114</v>
      </c>
      <c r="U625" t="s">
        <v>45</v>
      </c>
      <c r="V625" t="s">
        <v>46</v>
      </c>
      <c r="W625" t="s">
        <v>883</v>
      </c>
      <c r="X625" t="s">
        <v>881</v>
      </c>
      <c r="Y625" t="s">
        <v>161</v>
      </c>
      <c r="Z625" t="s">
        <v>162</v>
      </c>
      <c r="AA625" t="s">
        <v>49</v>
      </c>
      <c r="AB625" t="s">
        <v>50</v>
      </c>
      <c r="AC625" s="2">
        <v>102418.07</v>
      </c>
      <c r="AD625" t="s">
        <v>3115</v>
      </c>
    </row>
    <row r="626" spans="1:31" hidden="1" x14ac:dyDescent="0.25">
      <c r="J626" s="2">
        <v>5504</v>
      </c>
      <c r="K626" s="2">
        <v>0</v>
      </c>
      <c r="L626" s="2">
        <v>7</v>
      </c>
      <c r="M626" s="2">
        <v>0</v>
      </c>
      <c r="U626" t="s">
        <v>45</v>
      </c>
      <c r="V626" t="s">
        <v>46</v>
      </c>
      <c r="W626" t="s">
        <v>883</v>
      </c>
      <c r="X626" t="s">
        <v>881</v>
      </c>
      <c r="Y626" t="s">
        <v>161</v>
      </c>
      <c r="Z626" t="s">
        <v>162</v>
      </c>
      <c r="AA626" t="s">
        <v>49</v>
      </c>
      <c r="AC626" s="2"/>
    </row>
    <row r="627" spans="1:31" hidden="1" x14ac:dyDescent="0.25">
      <c r="J627" s="2">
        <v>1000</v>
      </c>
      <c r="K627" s="2">
        <v>0</v>
      </c>
      <c r="L627" s="2">
        <v>1</v>
      </c>
      <c r="M627" s="2">
        <v>0</v>
      </c>
      <c r="U627" t="s">
        <v>45</v>
      </c>
      <c r="V627" t="s">
        <v>46</v>
      </c>
      <c r="W627" t="s">
        <v>40</v>
      </c>
      <c r="X627" t="s">
        <v>41</v>
      </c>
      <c r="Y627" t="s">
        <v>47</v>
      </c>
      <c r="Z627" t="s">
        <v>48</v>
      </c>
      <c r="AA627" t="s">
        <v>49</v>
      </c>
      <c r="AC627" s="2"/>
    </row>
    <row r="628" spans="1:31" x14ac:dyDescent="0.25">
      <c r="A628" s="15" t="s">
        <v>3116</v>
      </c>
      <c r="B628" s="15" t="s">
        <v>3117</v>
      </c>
      <c r="C628" s="15" t="s">
        <v>3117</v>
      </c>
      <c r="D628" s="15" t="s">
        <v>55</v>
      </c>
      <c r="E628" s="15" t="s">
        <v>56</v>
      </c>
      <c r="F628" s="15" t="s">
        <v>3118</v>
      </c>
      <c r="H628" s="15" t="s">
        <v>3119</v>
      </c>
      <c r="I628" t="s">
        <v>3120</v>
      </c>
      <c r="J628" s="2">
        <v>21817</v>
      </c>
      <c r="K628" s="2">
        <v>100</v>
      </c>
      <c r="L628" s="2">
        <v>1</v>
      </c>
      <c r="M628" s="2">
        <v>0</v>
      </c>
      <c r="N628" s="15" t="s">
        <v>3121</v>
      </c>
      <c r="O628" s="15" t="s">
        <v>3122</v>
      </c>
      <c r="P628" s="15" t="s">
        <v>1363</v>
      </c>
      <c r="Q628" s="15" t="s">
        <v>1364</v>
      </c>
      <c r="S628" t="s">
        <v>3123</v>
      </c>
      <c r="U628" t="s">
        <v>45</v>
      </c>
      <c r="V628" t="s">
        <v>46</v>
      </c>
      <c r="W628" t="s">
        <v>3121</v>
      </c>
      <c r="X628" t="s">
        <v>3124</v>
      </c>
      <c r="Y628" t="s">
        <v>1215</v>
      </c>
      <c r="Z628" t="s">
        <v>1216</v>
      </c>
      <c r="AA628" t="s">
        <v>49</v>
      </c>
      <c r="AB628" s="15" t="s">
        <v>50</v>
      </c>
      <c r="AC628" s="16">
        <v>19470.330000000002</v>
      </c>
      <c r="AD628" s="15" t="s">
        <v>3125</v>
      </c>
      <c r="AE628" s="15" t="s">
        <v>115</v>
      </c>
    </row>
    <row r="629" spans="1:31" hidden="1" x14ac:dyDescent="0.25">
      <c r="A629" s="10" t="s">
        <v>3126</v>
      </c>
      <c r="B629" s="10" t="s">
        <v>3127</v>
      </c>
      <c r="C629" t="s">
        <v>3127</v>
      </c>
      <c r="D629" t="s">
        <v>55</v>
      </c>
      <c r="E629" t="s">
        <v>56</v>
      </c>
      <c r="F629" t="s">
        <v>3128</v>
      </c>
      <c r="H629" t="s">
        <v>349</v>
      </c>
      <c r="I629" t="s">
        <v>3129</v>
      </c>
      <c r="J629" s="2">
        <v>43967</v>
      </c>
      <c r="K629" s="2">
        <v>190.29</v>
      </c>
      <c r="L629" s="2">
        <v>21</v>
      </c>
      <c r="M629" s="2">
        <v>0</v>
      </c>
      <c r="N629" t="s">
        <v>348</v>
      </c>
      <c r="O629" t="s">
        <v>349</v>
      </c>
      <c r="P629" t="s">
        <v>316</v>
      </c>
      <c r="Q629" t="s">
        <v>317</v>
      </c>
      <c r="S629" t="s">
        <v>3130</v>
      </c>
      <c r="U629" t="s">
        <v>45</v>
      </c>
      <c r="V629" t="s">
        <v>46</v>
      </c>
      <c r="W629" t="s">
        <v>348</v>
      </c>
      <c r="X629" t="s">
        <v>349</v>
      </c>
      <c r="Y629" t="s">
        <v>317</v>
      </c>
      <c r="Z629" t="s">
        <v>349</v>
      </c>
      <c r="AA629" t="s">
        <v>49</v>
      </c>
      <c r="AB629" t="s">
        <v>142</v>
      </c>
      <c r="AC629" s="2">
        <v>43967</v>
      </c>
      <c r="AD629" t="s">
        <v>64</v>
      </c>
    </row>
    <row r="630" spans="1:31" x14ac:dyDescent="0.25">
      <c r="A630" t="s">
        <v>3131</v>
      </c>
      <c r="B630" t="s">
        <v>3132</v>
      </c>
      <c r="C630" t="s">
        <v>3132</v>
      </c>
      <c r="D630" t="s">
        <v>153</v>
      </c>
      <c r="E630" t="s">
        <v>272</v>
      </c>
      <c r="F630" t="s">
        <v>3133</v>
      </c>
      <c r="G630" t="s">
        <v>153</v>
      </c>
      <c r="H630" t="s">
        <v>1312</v>
      </c>
      <c r="I630" t="s">
        <v>3134</v>
      </c>
      <c r="J630" s="2">
        <v>1142400</v>
      </c>
      <c r="K630" s="2">
        <v>5000</v>
      </c>
      <c r="L630" s="2">
        <v>30</v>
      </c>
      <c r="M630" s="2">
        <v>0</v>
      </c>
      <c r="N630" t="s">
        <v>883</v>
      </c>
      <c r="O630" t="s">
        <v>881</v>
      </c>
      <c r="P630" t="s">
        <v>158</v>
      </c>
      <c r="Q630" t="s">
        <v>159</v>
      </c>
      <c r="S630" t="s">
        <v>3135</v>
      </c>
      <c r="U630" t="s">
        <v>45</v>
      </c>
      <c r="V630" t="s">
        <v>46</v>
      </c>
      <c r="W630" t="s">
        <v>883</v>
      </c>
      <c r="X630" t="s">
        <v>881</v>
      </c>
      <c r="Y630" t="s">
        <v>161</v>
      </c>
      <c r="Z630" t="s">
        <v>162</v>
      </c>
      <c r="AA630" t="s">
        <v>49</v>
      </c>
      <c r="AB630" t="s">
        <v>50</v>
      </c>
      <c r="AC630" s="2">
        <v>165485.1</v>
      </c>
      <c r="AD630" t="s">
        <v>3136</v>
      </c>
      <c r="AE630" t="s">
        <v>52</v>
      </c>
    </row>
    <row r="631" spans="1:31" hidden="1" x14ac:dyDescent="0.25">
      <c r="I631" t="s">
        <v>3137</v>
      </c>
      <c r="J631" s="2">
        <v>180730</v>
      </c>
      <c r="K631" s="2">
        <v>0</v>
      </c>
      <c r="L631" s="2">
        <v>25</v>
      </c>
      <c r="M631" s="2">
        <v>0</v>
      </c>
      <c r="S631" t="s">
        <v>3138</v>
      </c>
      <c r="U631" t="s">
        <v>45</v>
      </c>
      <c r="V631" t="s">
        <v>46</v>
      </c>
      <c r="W631" t="s">
        <v>203</v>
      </c>
      <c r="X631" t="s">
        <v>204</v>
      </c>
      <c r="Y631" t="s">
        <v>161</v>
      </c>
      <c r="Z631" t="s">
        <v>162</v>
      </c>
      <c r="AA631" t="s">
        <v>49</v>
      </c>
      <c r="AC631" s="2"/>
    </row>
    <row r="632" spans="1:31" x14ac:dyDescent="0.25">
      <c r="A632" t="s">
        <v>3139</v>
      </c>
      <c r="B632" t="s">
        <v>3140</v>
      </c>
      <c r="C632" t="s">
        <v>3140</v>
      </c>
      <c r="D632" t="s">
        <v>344</v>
      </c>
      <c r="E632" t="s">
        <v>167</v>
      </c>
      <c r="F632" t="s">
        <v>3141</v>
      </c>
      <c r="G632" t="s">
        <v>344</v>
      </c>
      <c r="H632" t="s">
        <v>1312</v>
      </c>
      <c r="I632" t="s">
        <v>3142</v>
      </c>
      <c r="J632" s="2">
        <v>654510</v>
      </c>
      <c r="K632" s="2">
        <v>3000</v>
      </c>
      <c r="L632" s="2">
        <v>15</v>
      </c>
      <c r="M632" s="2">
        <v>0</v>
      </c>
      <c r="N632" t="s">
        <v>883</v>
      </c>
      <c r="O632" t="s">
        <v>881</v>
      </c>
      <c r="P632" t="s">
        <v>158</v>
      </c>
      <c r="Q632" t="s">
        <v>159</v>
      </c>
      <c r="S632" t="s">
        <v>3143</v>
      </c>
      <c r="U632" t="s">
        <v>45</v>
      </c>
      <c r="V632" t="s">
        <v>46</v>
      </c>
      <c r="W632" t="s">
        <v>883</v>
      </c>
      <c r="X632" t="s">
        <v>881</v>
      </c>
      <c r="Y632" t="s">
        <v>161</v>
      </c>
      <c r="Z632" t="s">
        <v>162</v>
      </c>
      <c r="AA632" t="s">
        <v>49</v>
      </c>
      <c r="AB632" t="s">
        <v>50</v>
      </c>
      <c r="AC632" s="2">
        <v>116451.2</v>
      </c>
      <c r="AD632" t="s">
        <v>3144</v>
      </c>
      <c r="AE632" t="s">
        <v>52</v>
      </c>
    </row>
    <row r="633" spans="1:31" x14ac:dyDescent="0.25">
      <c r="A633" t="s">
        <v>3145</v>
      </c>
      <c r="B633" t="s">
        <v>3146</v>
      </c>
      <c r="C633" t="s">
        <v>2484</v>
      </c>
      <c r="D633" t="s">
        <v>35</v>
      </c>
      <c r="E633" t="s">
        <v>36</v>
      </c>
      <c r="F633" t="s">
        <v>2267</v>
      </c>
      <c r="G633" t="s">
        <v>35</v>
      </c>
      <c r="H633" t="s">
        <v>1607</v>
      </c>
      <c r="I633" t="s">
        <v>3147</v>
      </c>
      <c r="J633" s="2">
        <v>1583064</v>
      </c>
      <c r="K633" s="2">
        <v>7200</v>
      </c>
      <c r="L633" s="2">
        <v>30</v>
      </c>
      <c r="M633" s="2">
        <v>0</v>
      </c>
      <c r="N633" t="s">
        <v>1221</v>
      </c>
      <c r="O633" t="s">
        <v>1222</v>
      </c>
      <c r="P633" t="s">
        <v>2320</v>
      </c>
      <c r="Q633" t="s">
        <v>2321</v>
      </c>
      <c r="S633" t="s">
        <v>3148</v>
      </c>
      <c r="U633" t="s">
        <v>45</v>
      </c>
      <c r="V633" t="s">
        <v>46</v>
      </c>
      <c r="W633" t="s">
        <v>1221</v>
      </c>
      <c r="X633" t="s">
        <v>1222</v>
      </c>
      <c r="Y633" t="s">
        <v>161</v>
      </c>
      <c r="Z633" t="s">
        <v>162</v>
      </c>
      <c r="AA633" t="s">
        <v>49</v>
      </c>
      <c r="AB633" t="s">
        <v>50</v>
      </c>
      <c r="AC633" s="2">
        <v>1185048.4099999999</v>
      </c>
      <c r="AD633" t="s">
        <v>3149</v>
      </c>
      <c r="AE633" t="s">
        <v>52</v>
      </c>
    </row>
    <row r="634" spans="1:31" x14ac:dyDescent="0.25">
      <c r="A634" t="s">
        <v>3150</v>
      </c>
      <c r="B634" t="s">
        <v>3151</v>
      </c>
      <c r="C634" t="s">
        <v>3151</v>
      </c>
      <c r="D634" t="s">
        <v>35</v>
      </c>
      <c r="E634" t="s">
        <v>36</v>
      </c>
      <c r="F634" t="s">
        <v>3152</v>
      </c>
      <c r="G634" t="s">
        <v>153</v>
      </c>
      <c r="H634" t="s">
        <v>181</v>
      </c>
      <c r="J634" s="2">
        <v>4862200</v>
      </c>
      <c r="K634" s="2">
        <v>20000</v>
      </c>
      <c r="L634" s="2">
        <v>30</v>
      </c>
      <c r="M634" s="2">
        <v>0</v>
      </c>
      <c r="N634" t="s">
        <v>183</v>
      </c>
      <c r="O634" t="s">
        <v>184</v>
      </c>
      <c r="P634" t="s">
        <v>158</v>
      </c>
      <c r="Q634" t="s">
        <v>159</v>
      </c>
      <c r="S634" t="s">
        <v>3153</v>
      </c>
      <c r="U634" t="s">
        <v>45</v>
      </c>
      <c r="V634" t="s">
        <v>46</v>
      </c>
      <c r="W634" t="s">
        <v>183</v>
      </c>
      <c r="X634" t="s">
        <v>184</v>
      </c>
      <c r="Y634" t="s">
        <v>161</v>
      </c>
      <c r="Z634" t="s">
        <v>162</v>
      </c>
      <c r="AA634" t="s">
        <v>49</v>
      </c>
      <c r="AB634" t="s">
        <v>50</v>
      </c>
      <c r="AC634" s="2">
        <v>512098.77</v>
      </c>
      <c r="AD634" t="s">
        <v>3154</v>
      </c>
      <c r="AE634" t="s">
        <v>52</v>
      </c>
    </row>
    <row r="635" spans="1:31" x14ac:dyDescent="0.25">
      <c r="A635" t="s">
        <v>3155</v>
      </c>
      <c r="B635" t="s">
        <v>3156</v>
      </c>
      <c r="C635" t="s">
        <v>3156</v>
      </c>
      <c r="D635" t="s">
        <v>125</v>
      </c>
      <c r="E635" t="s">
        <v>126</v>
      </c>
      <c r="F635" t="s">
        <v>658</v>
      </c>
      <c r="G635" t="s">
        <v>297</v>
      </c>
      <c r="H635" t="s">
        <v>300</v>
      </c>
      <c r="I635" t="s">
        <v>3157</v>
      </c>
      <c r="J635" s="2">
        <v>274120</v>
      </c>
      <c r="K635" s="2">
        <v>1100</v>
      </c>
      <c r="L635" s="2">
        <v>15</v>
      </c>
      <c r="M635" s="2">
        <v>0</v>
      </c>
      <c r="N635" t="s">
        <v>302</v>
      </c>
      <c r="O635" t="s">
        <v>303</v>
      </c>
      <c r="P635" t="s">
        <v>304</v>
      </c>
      <c r="Q635" t="s">
        <v>72</v>
      </c>
      <c r="S635" t="s">
        <v>3158</v>
      </c>
      <c r="U635" t="s">
        <v>45</v>
      </c>
      <c r="V635" t="s">
        <v>46</v>
      </c>
      <c r="W635" t="s">
        <v>302</v>
      </c>
      <c r="X635" t="s">
        <v>303</v>
      </c>
      <c r="Y635" t="s">
        <v>72</v>
      </c>
      <c r="Z635" t="s">
        <v>68</v>
      </c>
      <c r="AA635" t="s">
        <v>49</v>
      </c>
      <c r="AB635" t="s">
        <v>50</v>
      </c>
      <c r="AC635" s="2">
        <v>141429.14000000001</v>
      </c>
      <c r="AD635" t="s">
        <v>3159</v>
      </c>
      <c r="AE635" t="s">
        <v>52</v>
      </c>
    </row>
    <row r="636" spans="1:31" hidden="1" x14ac:dyDescent="0.25">
      <c r="I636" t="s">
        <v>3160</v>
      </c>
      <c r="J636" s="2">
        <v>436340</v>
      </c>
      <c r="K636" s="2">
        <v>2000</v>
      </c>
      <c r="L636" s="2">
        <v>21</v>
      </c>
      <c r="M636" s="2">
        <v>0</v>
      </c>
      <c r="S636" t="s">
        <v>3161</v>
      </c>
      <c r="U636" t="s">
        <v>45</v>
      </c>
      <c r="V636" t="s">
        <v>46</v>
      </c>
      <c r="W636" t="s">
        <v>1849</v>
      </c>
      <c r="X636" t="s">
        <v>1847</v>
      </c>
      <c r="Y636" t="s">
        <v>121</v>
      </c>
      <c r="Z636" t="s">
        <v>94</v>
      </c>
      <c r="AA636" t="s">
        <v>49</v>
      </c>
      <c r="AC636" s="2"/>
    </row>
    <row r="637" spans="1:31" x14ac:dyDescent="0.25">
      <c r="A637" t="s">
        <v>3162</v>
      </c>
      <c r="B637" t="s">
        <v>3163</v>
      </c>
      <c r="C637" t="s">
        <v>3163</v>
      </c>
      <c r="D637" t="s">
        <v>847</v>
      </c>
      <c r="E637" t="s">
        <v>848</v>
      </c>
      <c r="F637" t="s">
        <v>3164</v>
      </c>
      <c r="G637" t="s">
        <v>847</v>
      </c>
      <c r="H637" t="s">
        <v>902</v>
      </c>
      <c r="I637" t="s">
        <v>3165</v>
      </c>
      <c r="J637" s="2">
        <v>109085</v>
      </c>
      <c r="K637" s="2">
        <v>500</v>
      </c>
      <c r="L637" s="2">
        <v>15</v>
      </c>
      <c r="M637" s="2">
        <v>0</v>
      </c>
      <c r="N637" t="s">
        <v>904</v>
      </c>
      <c r="O637" t="s">
        <v>905</v>
      </c>
      <c r="P637" t="s">
        <v>304</v>
      </c>
      <c r="Q637" t="s">
        <v>72</v>
      </c>
      <c r="S637" t="s">
        <v>3166</v>
      </c>
      <c r="U637" t="s">
        <v>45</v>
      </c>
      <c r="V637" t="s">
        <v>46</v>
      </c>
      <c r="W637" t="s">
        <v>904</v>
      </c>
      <c r="X637" t="s">
        <v>905</v>
      </c>
      <c r="Y637" t="s">
        <v>72</v>
      </c>
      <c r="Z637" t="s">
        <v>68</v>
      </c>
      <c r="AA637" t="s">
        <v>49</v>
      </c>
      <c r="AB637" t="s">
        <v>50</v>
      </c>
      <c r="AC637" s="2">
        <v>-5334.26</v>
      </c>
      <c r="AD637" t="s">
        <v>3167</v>
      </c>
      <c r="AE637" t="s">
        <v>52</v>
      </c>
    </row>
    <row r="638" spans="1:31" x14ac:dyDescent="0.25">
      <c r="A638" t="s">
        <v>3168</v>
      </c>
      <c r="B638" t="s">
        <v>3169</v>
      </c>
      <c r="C638" t="s">
        <v>3169</v>
      </c>
      <c r="D638" t="s">
        <v>847</v>
      </c>
      <c r="E638" t="s">
        <v>848</v>
      </c>
      <c r="F638" t="s">
        <v>3170</v>
      </c>
      <c r="G638" t="s">
        <v>297</v>
      </c>
      <c r="H638" t="s">
        <v>116</v>
      </c>
      <c r="I638" t="s">
        <v>3171</v>
      </c>
      <c r="J638" s="2">
        <v>198535</v>
      </c>
      <c r="K638" s="2">
        <v>910</v>
      </c>
      <c r="L638" s="2">
        <v>21</v>
      </c>
      <c r="M638" s="2">
        <v>0</v>
      </c>
      <c r="N638" t="s">
        <v>118</v>
      </c>
      <c r="O638" t="s">
        <v>119</v>
      </c>
      <c r="P638" t="s">
        <v>120</v>
      </c>
      <c r="Q638" t="s">
        <v>121</v>
      </c>
      <c r="S638" t="s">
        <v>3172</v>
      </c>
      <c r="U638" t="s">
        <v>45</v>
      </c>
      <c r="V638" t="s">
        <v>46</v>
      </c>
      <c r="W638" t="s">
        <v>118</v>
      </c>
      <c r="X638" t="s">
        <v>119</v>
      </c>
      <c r="Y638" t="s">
        <v>121</v>
      </c>
      <c r="Z638" t="s">
        <v>94</v>
      </c>
      <c r="AA638" t="s">
        <v>49</v>
      </c>
      <c r="AB638" t="s">
        <v>50</v>
      </c>
      <c r="AC638" s="2">
        <v>165571.35999999999</v>
      </c>
      <c r="AD638" t="s">
        <v>3173</v>
      </c>
      <c r="AE638" t="s">
        <v>52</v>
      </c>
    </row>
    <row r="639" spans="1:31" x14ac:dyDescent="0.25">
      <c r="A639" t="s">
        <v>3174</v>
      </c>
      <c r="B639" t="s">
        <v>3175</v>
      </c>
      <c r="C639" t="s">
        <v>2877</v>
      </c>
      <c r="D639" t="s">
        <v>153</v>
      </c>
      <c r="E639" t="s">
        <v>272</v>
      </c>
      <c r="F639" t="s">
        <v>2867</v>
      </c>
      <c r="G639" t="s">
        <v>153</v>
      </c>
      <c r="H639" t="s">
        <v>402</v>
      </c>
      <c r="I639" t="s">
        <v>3176</v>
      </c>
      <c r="J639" s="2">
        <v>436340</v>
      </c>
      <c r="K639" s="2">
        <v>2000</v>
      </c>
      <c r="L639" s="2">
        <v>30</v>
      </c>
      <c r="M639" s="2">
        <v>0</v>
      </c>
      <c r="N639" t="s">
        <v>403</v>
      </c>
      <c r="O639" t="s">
        <v>404</v>
      </c>
      <c r="P639" t="s">
        <v>205</v>
      </c>
      <c r="Q639" t="s">
        <v>206</v>
      </c>
      <c r="S639" t="s">
        <v>3177</v>
      </c>
      <c r="U639" t="s">
        <v>45</v>
      </c>
      <c r="V639" t="s">
        <v>46</v>
      </c>
      <c r="W639" t="s">
        <v>403</v>
      </c>
      <c r="X639" t="s">
        <v>404</v>
      </c>
      <c r="Y639" t="s">
        <v>161</v>
      </c>
      <c r="Z639" t="s">
        <v>162</v>
      </c>
      <c r="AA639" t="s">
        <v>49</v>
      </c>
      <c r="AB639" t="s">
        <v>50</v>
      </c>
      <c r="AC639" s="2">
        <v>278460.95</v>
      </c>
      <c r="AD639" t="s">
        <v>3178</v>
      </c>
      <c r="AE639" t="s">
        <v>52</v>
      </c>
    </row>
    <row r="640" spans="1:31" x14ac:dyDescent="0.25">
      <c r="A640" t="s">
        <v>3179</v>
      </c>
      <c r="B640" t="s">
        <v>3180</v>
      </c>
      <c r="C640" t="s">
        <v>2980</v>
      </c>
      <c r="D640" t="s">
        <v>847</v>
      </c>
      <c r="E640" t="s">
        <v>848</v>
      </c>
      <c r="F640" t="s">
        <v>2860</v>
      </c>
      <c r="G640" t="s">
        <v>2661</v>
      </c>
      <c r="H640" t="s">
        <v>1444</v>
      </c>
      <c r="J640" s="2">
        <v>619738</v>
      </c>
      <c r="K640" s="2">
        <v>2840.62</v>
      </c>
      <c r="L640" s="2">
        <v>21</v>
      </c>
      <c r="M640" s="2">
        <v>0</v>
      </c>
      <c r="N640" t="s">
        <v>1064</v>
      </c>
      <c r="O640" t="s">
        <v>1062</v>
      </c>
      <c r="P640" t="s">
        <v>2320</v>
      </c>
      <c r="Q640" t="s">
        <v>2321</v>
      </c>
      <c r="S640" t="s">
        <v>2983</v>
      </c>
      <c r="U640" t="s">
        <v>45</v>
      </c>
      <c r="V640" t="s">
        <v>46</v>
      </c>
      <c r="W640" t="s">
        <v>1064</v>
      </c>
      <c r="X640" t="s">
        <v>1062</v>
      </c>
      <c r="Y640" t="s">
        <v>72</v>
      </c>
      <c r="Z640" t="s">
        <v>68</v>
      </c>
      <c r="AA640" t="s">
        <v>49</v>
      </c>
      <c r="AB640" t="s">
        <v>50</v>
      </c>
      <c r="AC640" s="2">
        <v>614265.55000000005</v>
      </c>
      <c r="AD640" t="s">
        <v>3181</v>
      </c>
    </row>
    <row r="641" spans="1:31" hidden="1" x14ac:dyDescent="0.25">
      <c r="I641" t="s">
        <v>3182</v>
      </c>
      <c r="J641" s="2">
        <v>1000</v>
      </c>
      <c r="K641" s="2">
        <v>0</v>
      </c>
      <c r="L641" s="2">
        <v>1</v>
      </c>
      <c r="M641" s="2">
        <v>0</v>
      </c>
      <c r="S641" t="s">
        <v>3183</v>
      </c>
      <c r="U641" t="s">
        <v>45</v>
      </c>
      <c r="V641" t="s">
        <v>46</v>
      </c>
      <c r="W641" t="s">
        <v>403</v>
      </c>
      <c r="X641" t="s">
        <v>404</v>
      </c>
      <c r="Y641" t="s">
        <v>161</v>
      </c>
      <c r="Z641" t="s">
        <v>162</v>
      </c>
      <c r="AA641" t="s">
        <v>49</v>
      </c>
      <c r="AC641" s="2"/>
    </row>
    <row r="642" spans="1:31" x14ac:dyDescent="0.25">
      <c r="A642" t="s">
        <v>3184</v>
      </c>
      <c r="B642" t="s">
        <v>3185</v>
      </c>
      <c r="C642" t="s">
        <v>3185</v>
      </c>
      <c r="D642" t="s">
        <v>299</v>
      </c>
      <c r="E642" t="s">
        <v>167</v>
      </c>
      <c r="F642" t="s">
        <v>3186</v>
      </c>
      <c r="G642" t="s">
        <v>299</v>
      </c>
      <c r="H642" t="s">
        <v>2508</v>
      </c>
      <c r="I642" t="s">
        <v>3187</v>
      </c>
      <c r="J642" s="2">
        <v>117630</v>
      </c>
      <c r="K642" s="2">
        <v>535</v>
      </c>
      <c r="L642" s="2">
        <v>15</v>
      </c>
      <c r="M642" s="2">
        <v>0</v>
      </c>
      <c r="N642" t="s">
        <v>700</v>
      </c>
      <c r="O642" t="s">
        <v>699</v>
      </c>
      <c r="P642" t="s">
        <v>69</v>
      </c>
      <c r="Q642" t="s">
        <v>70</v>
      </c>
      <c r="S642" t="s">
        <v>3188</v>
      </c>
      <c r="U642" t="s">
        <v>45</v>
      </c>
      <c r="V642" t="s">
        <v>46</v>
      </c>
      <c r="W642" t="s">
        <v>700</v>
      </c>
      <c r="X642" t="s">
        <v>699</v>
      </c>
      <c r="Y642" t="s">
        <v>72</v>
      </c>
      <c r="Z642" t="s">
        <v>68</v>
      </c>
      <c r="AA642" t="s">
        <v>49</v>
      </c>
      <c r="AB642" t="s">
        <v>50</v>
      </c>
      <c r="AC642" s="2">
        <v>-27983.439999999999</v>
      </c>
      <c r="AD642" t="s">
        <v>3189</v>
      </c>
      <c r="AE642" t="s">
        <v>52</v>
      </c>
    </row>
    <row r="643" spans="1:31" x14ac:dyDescent="0.25">
      <c r="A643" t="s">
        <v>3190</v>
      </c>
      <c r="B643" t="s">
        <v>3191</v>
      </c>
      <c r="C643" t="s">
        <v>3191</v>
      </c>
      <c r="D643" t="s">
        <v>3192</v>
      </c>
      <c r="E643" t="s">
        <v>224</v>
      </c>
      <c r="F643" t="s">
        <v>3193</v>
      </c>
      <c r="G643" t="s">
        <v>3194</v>
      </c>
      <c r="H643" t="s">
        <v>2831</v>
      </c>
      <c r="I643" t="s">
        <v>3195</v>
      </c>
      <c r="J643" s="2">
        <v>174536</v>
      </c>
      <c r="K643" s="2">
        <v>800</v>
      </c>
      <c r="L643" s="2">
        <v>15</v>
      </c>
      <c r="M643" s="2">
        <v>0</v>
      </c>
      <c r="N643" t="s">
        <v>80</v>
      </c>
      <c r="O643" t="s">
        <v>81</v>
      </c>
      <c r="P643" t="s">
        <v>557</v>
      </c>
      <c r="Q643" t="s">
        <v>558</v>
      </c>
      <c r="S643" t="s">
        <v>3196</v>
      </c>
      <c r="U643" t="s">
        <v>45</v>
      </c>
      <c r="V643" t="s">
        <v>46</v>
      </c>
      <c r="W643" t="s">
        <v>80</v>
      </c>
      <c r="X643" t="s">
        <v>81</v>
      </c>
      <c r="Y643" t="s">
        <v>85</v>
      </c>
      <c r="Z643" t="s">
        <v>86</v>
      </c>
      <c r="AA643" t="s">
        <v>49</v>
      </c>
      <c r="AB643" t="s">
        <v>50</v>
      </c>
      <c r="AC643" s="2">
        <v>174536</v>
      </c>
      <c r="AD643" t="s">
        <v>64</v>
      </c>
    </row>
    <row r="644" spans="1:31" x14ac:dyDescent="0.25">
      <c r="A644" t="s">
        <v>3197</v>
      </c>
      <c r="B644" t="s">
        <v>3198</v>
      </c>
      <c r="C644" t="s">
        <v>3199</v>
      </c>
      <c r="D644" t="s">
        <v>153</v>
      </c>
      <c r="E644" t="s">
        <v>272</v>
      </c>
      <c r="F644" t="s">
        <v>1700</v>
      </c>
      <c r="G644" t="s">
        <v>153</v>
      </c>
      <c r="H644" t="s">
        <v>1607</v>
      </c>
      <c r="I644" t="s">
        <v>3200</v>
      </c>
      <c r="J644" s="2">
        <v>545425</v>
      </c>
      <c r="K644" s="2">
        <v>2500</v>
      </c>
      <c r="L644" s="2">
        <v>30</v>
      </c>
      <c r="M644" s="2">
        <v>0</v>
      </c>
      <c r="N644" t="s">
        <v>1221</v>
      </c>
      <c r="O644" t="s">
        <v>1222</v>
      </c>
      <c r="P644" t="s">
        <v>205</v>
      </c>
      <c r="Q644" t="s">
        <v>206</v>
      </c>
      <c r="S644" t="s">
        <v>3201</v>
      </c>
      <c r="U644" t="s">
        <v>45</v>
      </c>
      <c r="V644" t="s">
        <v>46</v>
      </c>
      <c r="W644" t="s">
        <v>1221</v>
      </c>
      <c r="X644" t="s">
        <v>1222</v>
      </c>
      <c r="Y644" t="s">
        <v>161</v>
      </c>
      <c r="Z644" t="s">
        <v>162</v>
      </c>
      <c r="AA644" t="s">
        <v>49</v>
      </c>
      <c r="AB644" t="s">
        <v>50</v>
      </c>
      <c r="AC644" s="2">
        <v>328999.53000000003</v>
      </c>
      <c r="AD644" t="s">
        <v>3202</v>
      </c>
      <c r="AE644" t="s">
        <v>115</v>
      </c>
    </row>
    <row r="645" spans="1:31" x14ac:dyDescent="0.25">
      <c r="A645" t="s">
        <v>3203</v>
      </c>
      <c r="B645" t="s">
        <v>3204</v>
      </c>
      <c r="C645" t="s">
        <v>1242</v>
      </c>
      <c r="D645" t="s">
        <v>819</v>
      </c>
      <c r="E645" t="s">
        <v>224</v>
      </c>
      <c r="F645" t="s">
        <v>1244</v>
      </c>
      <c r="G645" t="s">
        <v>3192</v>
      </c>
      <c r="H645" t="s">
        <v>1444</v>
      </c>
      <c r="J645" s="2">
        <v>218170</v>
      </c>
      <c r="K645" s="2">
        <v>1000</v>
      </c>
      <c r="L645" s="2">
        <v>15</v>
      </c>
      <c r="M645" s="2">
        <v>0</v>
      </c>
      <c r="N645" t="s">
        <v>1064</v>
      </c>
      <c r="O645" t="s">
        <v>1062</v>
      </c>
      <c r="P645" t="s">
        <v>304</v>
      </c>
      <c r="Q645" t="s">
        <v>72</v>
      </c>
      <c r="S645" t="s">
        <v>3205</v>
      </c>
      <c r="U645" t="s">
        <v>45</v>
      </c>
      <c r="V645" t="s">
        <v>46</v>
      </c>
      <c r="W645" t="s">
        <v>1064</v>
      </c>
      <c r="X645" t="s">
        <v>1062</v>
      </c>
      <c r="Y645" t="s">
        <v>72</v>
      </c>
      <c r="Z645" t="s">
        <v>68</v>
      </c>
      <c r="AA645" t="s">
        <v>49</v>
      </c>
      <c r="AB645" t="s">
        <v>50</v>
      </c>
      <c r="AC645" s="2">
        <v>218170</v>
      </c>
      <c r="AD645" t="s">
        <v>64</v>
      </c>
    </row>
    <row r="646" spans="1:31" hidden="1" x14ac:dyDescent="0.25">
      <c r="I646" t="s">
        <v>3206</v>
      </c>
      <c r="J646" s="2">
        <v>1000</v>
      </c>
      <c r="K646" s="2">
        <v>0</v>
      </c>
      <c r="L646" s="2">
        <v>21</v>
      </c>
      <c r="M646" s="2">
        <v>0</v>
      </c>
      <c r="S646" t="s">
        <v>3207</v>
      </c>
      <c r="U646" t="s">
        <v>45</v>
      </c>
      <c r="V646" t="s">
        <v>46</v>
      </c>
      <c r="W646" t="s">
        <v>652</v>
      </c>
      <c r="X646" t="s">
        <v>653</v>
      </c>
      <c r="Y646" t="s">
        <v>72</v>
      </c>
      <c r="Z646" t="s">
        <v>68</v>
      </c>
      <c r="AA646" t="s">
        <v>49</v>
      </c>
      <c r="AC646" s="2"/>
    </row>
    <row r="647" spans="1:31" x14ac:dyDescent="0.25">
      <c r="A647" t="s">
        <v>3208</v>
      </c>
      <c r="B647" t="s">
        <v>3209</v>
      </c>
      <c r="C647" t="s">
        <v>3209</v>
      </c>
      <c r="D647" t="s">
        <v>133</v>
      </c>
      <c r="E647" t="s">
        <v>134</v>
      </c>
      <c r="F647" t="s">
        <v>3210</v>
      </c>
      <c r="H647" t="s">
        <v>402</v>
      </c>
      <c r="I647" t="s">
        <v>3211</v>
      </c>
      <c r="J647" s="2">
        <v>10909</v>
      </c>
      <c r="K647" s="2">
        <v>50</v>
      </c>
      <c r="L647" s="2">
        <v>1</v>
      </c>
      <c r="M647" s="2">
        <v>0</v>
      </c>
      <c r="N647" t="s">
        <v>403</v>
      </c>
      <c r="O647" t="s">
        <v>404</v>
      </c>
      <c r="P647" t="s">
        <v>205</v>
      </c>
      <c r="Q647" t="s">
        <v>206</v>
      </c>
      <c r="S647" t="s">
        <v>3212</v>
      </c>
      <c r="U647" t="s">
        <v>45</v>
      </c>
      <c r="V647" t="s">
        <v>46</v>
      </c>
      <c r="W647" t="s">
        <v>403</v>
      </c>
      <c r="X647" t="s">
        <v>404</v>
      </c>
      <c r="Y647" t="s">
        <v>161</v>
      </c>
      <c r="Z647" t="s">
        <v>162</v>
      </c>
      <c r="AA647" t="s">
        <v>49</v>
      </c>
      <c r="AB647" t="s">
        <v>50</v>
      </c>
      <c r="AC647" s="2">
        <v>10909</v>
      </c>
      <c r="AD647" t="s">
        <v>64</v>
      </c>
    </row>
    <row r="648" spans="1:31" x14ac:dyDescent="0.25">
      <c r="A648" t="s">
        <v>3213</v>
      </c>
      <c r="B648" t="s">
        <v>3214</v>
      </c>
      <c r="C648" t="s">
        <v>3214</v>
      </c>
      <c r="D648" t="s">
        <v>153</v>
      </c>
      <c r="E648" t="s">
        <v>272</v>
      </c>
      <c r="F648" t="s">
        <v>3215</v>
      </c>
      <c r="G648" t="s">
        <v>153</v>
      </c>
      <c r="H648" t="s">
        <v>184</v>
      </c>
      <c r="J648" s="2">
        <v>4363400</v>
      </c>
      <c r="K648" s="2">
        <v>20000</v>
      </c>
      <c r="L648" s="2">
        <v>30</v>
      </c>
      <c r="M648" s="2">
        <v>0</v>
      </c>
      <c r="N648" t="s">
        <v>183</v>
      </c>
      <c r="O648" t="s">
        <v>184</v>
      </c>
      <c r="P648" t="s">
        <v>158</v>
      </c>
      <c r="Q648" t="s">
        <v>159</v>
      </c>
      <c r="S648" t="s">
        <v>3216</v>
      </c>
      <c r="U648" t="s">
        <v>45</v>
      </c>
      <c r="V648" t="s">
        <v>46</v>
      </c>
      <c r="W648" t="s">
        <v>183</v>
      </c>
      <c r="X648" t="s">
        <v>184</v>
      </c>
      <c r="Y648" t="s">
        <v>161</v>
      </c>
      <c r="Z648" t="s">
        <v>162</v>
      </c>
      <c r="AA648" t="s">
        <v>49</v>
      </c>
      <c r="AB648" t="s">
        <v>50</v>
      </c>
      <c r="AC648" s="2">
        <v>186666.73</v>
      </c>
      <c r="AD648" t="s">
        <v>3217</v>
      </c>
      <c r="AE648" t="s">
        <v>52</v>
      </c>
    </row>
    <row r="649" spans="1:31" x14ac:dyDescent="0.25">
      <c r="A649" t="s">
        <v>3218</v>
      </c>
      <c r="B649" t="s">
        <v>3219</v>
      </c>
      <c r="C649" t="s">
        <v>3219</v>
      </c>
      <c r="D649" t="s">
        <v>1939</v>
      </c>
      <c r="E649" t="s">
        <v>224</v>
      </c>
      <c r="F649" t="s">
        <v>3220</v>
      </c>
      <c r="G649" t="s">
        <v>3221</v>
      </c>
      <c r="H649" t="s">
        <v>2831</v>
      </c>
      <c r="I649" t="s">
        <v>3222</v>
      </c>
      <c r="J649" s="2">
        <v>174536</v>
      </c>
      <c r="K649" s="2">
        <v>800</v>
      </c>
      <c r="L649" s="2">
        <v>15</v>
      </c>
      <c r="M649" s="2">
        <v>0</v>
      </c>
      <c r="N649" t="s">
        <v>80</v>
      </c>
      <c r="O649" t="s">
        <v>81</v>
      </c>
      <c r="P649" t="s">
        <v>557</v>
      </c>
      <c r="Q649" t="s">
        <v>558</v>
      </c>
      <c r="S649" t="s">
        <v>3223</v>
      </c>
      <c r="U649" t="s">
        <v>45</v>
      </c>
      <c r="V649" t="s">
        <v>46</v>
      </c>
      <c r="W649" t="s">
        <v>80</v>
      </c>
      <c r="X649" t="s">
        <v>81</v>
      </c>
      <c r="Y649" t="s">
        <v>85</v>
      </c>
      <c r="Z649" t="s">
        <v>86</v>
      </c>
      <c r="AA649" t="s">
        <v>49</v>
      </c>
      <c r="AB649" t="s">
        <v>50</v>
      </c>
      <c r="AC649" s="2">
        <v>174536</v>
      </c>
      <c r="AD649" t="s">
        <v>64</v>
      </c>
    </row>
    <row r="650" spans="1:31" hidden="1" x14ac:dyDescent="0.25">
      <c r="I650" t="s">
        <v>3224</v>
      </c>
      <c r="J650" s="2">
        <v>1000</v>
      </c>
      <c r="K650" s="2">
        <v>0</v>
      </c>
      <c r="L650" s="2">
        <v>1</v>
      </c>
      <c r="M650" s="2">
        <v>0</v>
      </c>
      <c r="S650" t="s">
        <v>3225</v>
      </c>
      <c r="U650" t="s">
        <v>45</v>
      </c>
      <c r="V650" t="s">
        <v>46</v>
      </c>
      <c r="W650" t="s">
        <v>80</v>
      </c>
      <c r="X650" t="s">
        <v>81</v>
      </c>
      <c r="Y650" t="s">
        <v>85</v>
      </c>
      <c r="Z650" t="s">
        <v>86</v>
      </c>
      <c r="AA650" t="s">
        <v>49</v>
      </c>
      <c r="AC650" s="2"/>
    </row>
    <row r="651" spans="1:31" x14ac:dyDescent="0.25">
      <c r="A651" t="s">
        <v>3226</v>
      </c>
      <c r="B651" t="s">
        <v>3227</v>
      </c>
      <c r="C651" t="s">
        <v>3228</v>
      </c>
      <c r="D651" t="s">
        <v>125</v>
      </c>
      <c r="E651" t="s">
        <v>126</v>
      </c>
      <c r="F651" t="s">
        <v>3229</v>
      </c>
      <c r="G651" t="s">
        <v>125</v>
      </c>
      <c r="H651" t="s">
        <v>3230</v>
      </c>
      <c r="I651" t="s">
        <v>3231</v>
      </c>
      <c r="J651" s="2">
        <v>1001565</v>
      </c>
      <c r="K651" s="2">
        <v>4050</v>
      </c>
      <c r="L651" s="2">
        <v>15</v>
      </c>
      <c r="M651" s="2">
        <v>0</v>
      </c>
      <c r="N651" t="s">
        <v>3232</v>
      </c>
      <c r="O651" t="s">
        <v>3233</v>
      </c>
      <c r="P651" t="s">
        <v>1212</v>
      </c>
      <c r="Q651" t="s">
        <v>1213</v>
      </c>
      <c r="S651" t="s">
        <v>3234</v>
      </c>
      <c r="U651" t="s">
        <v>45</v>
      </c>
      <c r="V651" t="s">
        <v>46</v>
      </c>
      <c r="W651" t="s">
        <v>3232</v>
      </c>
      <c r="X651" t="s">
        <v>3233</v>
      </c>
      <c r="Y651" t="s">
        <v>1215</v>
      </c>
      <c r="Z651" t="s">
        <v>1216</v>
      </c>
      <c r="AA651" t="s">
        <v>49</v>
      </c>
      <c r="AB651" t="s">
        <v>50</v>
      </c>
      <c r="AC651" s="2">
        <v>-9138.5300000000007</v>
      </c>
      <c r="AD651" t="s">
        <v>3235</v>
      </c>
      <c r="AE651" t="s">
        <v>52</v>
      </c>
    </row>
    <row r="652" spans="1:31" x14ac:dyDescent="0.25">
      <c r="A652" t="s">
        <v>3236</v>
      </c>
      <c r="B652" t="s">
        <v>3237</v>
      </c>
      <c r="C652" t="s">
        <v>3237</v>
      </c>
      <c r="D652" t="s">
        <v>125</v>
      </c>
      <c r="E652" t="s">
        <v>126</v>
      </c>
      <c r="F652" t="s">
        <v>3238</v>
      </c>
      <c r="G652" t="s">
        <v>153</v>
      </c>
      <c r="H652" t="s">
        <v>65</v>
      </c>
      <c r="I652" t="s">
        <v>3239</v>
      </c>
      <c r="J652" s="2">
        <v>654510</v>
      </c>
      <c r="K652" s="2">
        <v>3000</v>
      </c>
      <c r="L652" s="2">
        <v>15</v>
      </c>
      <c r="M652" s="2">
        <v>0</v>
      </c>
      <c r="N652" t="s">
        <v>67</v>
      </c>
      <c r="O652" t="s">
        <v>68</v>
      </c>
      <c r="P652" t="s">
        <v>69</v>
      </c>
      <c r="Q652" t="s">
        <v>70</v>
      </c>
      <c r="S652" t="s">
        <v>3240</v>
      </c>
      <c r="U652" t="s">
        <v>45</v>
      </c>
      <c r="V652" t="s">
        <v>46</v>
      </c>
      <c r="W652" t="s">
        <v>67</v>
      </c>
      <c r="X652" t="s">
        <v>68</v>
      </c>
      <c r="Y652" t="s">
        <v>72</v>
      </c>
      <c r="Z652" t="s">
        <v>68</v>
      </c>
      <c r="AA652" t="s">
        <v>49</v>
      </c>
      <c r="AB652" t="s">
        <v>50</v>
      </c>
      <c r="AC652" s="2">
        <v>614383.67000000004</v>
      </c>
      <c r="AD652" t="s">
        <v>3241</v>
      </c>
      <c r="AE652" t="s">
        <v>52</v>
      </c>
    </row>
    <row r="653" spans="1:31" x14ac:dyDescent="0.25">
      <c r="A653" t="s">
        <v>3242</v>
      </c>
      <c r="B653" t="s">
        <v>3243</v>
      </c>
      <c r="C653" t="s">
        <v>3243</v>
      </c>
      <c r="D653" t="s">
        <v>2126</v>
      </c>
      <c r="E653" t="s">
        <v>77</v>
      </c>
      <c r="F653" t="s">
        <v>3244</v>
      </c>
      <c r="H653" t="s">
        <v>2385</v>
      </c>
      <c r="I653" t="s">
        <v>3245</v>
      </c>
      <c r="J653" s="2">
        <v>27136</v>
      </c>
      <c r="K653" s="2">
        <v>124.38</v>
      </c>
      <c r="L653" s="2">
        <v>1</v>
      </c>
      <c r="M653" s="2">
        <v>0</v>
      </c>
      <c r="N653" t="s">
        <v>2384</v>
      </c>
      <c r="O653" t="s">
        <v>2385</v>
      </c>
      <c r="P653" t="s">
        <v>103</v>
      </c>
      <c r="Q653" t="s">
        <v>104</v>
      </c>
      <c r="S653" t="s">
        <v>3246</v>
      </c>
      <c r="U653" t="s">
        <v>45</v>
      </c>
      <c r="V653" t="s">
        <v>46</v>
      </c>
      <c r="W653" t="s">
        <v>2384</v>
      </c>
      <c r="X653" t="s">
        <v>2385</v>
      </c>
      <c r="Y653" t="s">
        <v>106</v>
      </c>
      <c r="Z653" t="s">
        <v>107</v>
      </c>
      <c r="AA653" t="s">
        <v>49</v>
      </c>
      <c r="AB653" t="s">
        <v>50</v>
      </c>
      <c r="AC653" s="2">
        <v>27136</v>
      </c>
      <c r="AD653" t="s">
        <v>64</v>
      </c>
    </row>
    <row r="654" spans="1:31" x14ac:dyDescent="0.25">
      <c r="A654" t="s">
        <v>3247</v>
      </c>
      <c r="B654" t="s">
        <v>3248</v>
      </c>
      <c r="C654" t="s">
        <v>3249</v>
      </c>
      <c r="D654" t="s">
        <v>35</v>
      </c>
      <c r="E654" t="s">
        <v>36</v>
      </c>
      <c r="F654" t="s">
        <v>3250</v>
      </c>
      <c r="G654" t="s">
        <v>35</v>
      </c>
      <c r="H654" t="s">
        <v>2831</v>
      </c>
      <c r="I654" t="s">
        <v>3251</v>
      </c>
      <c r="J654" s="2">
        <v>218170</v>
      </c>
      <c r="K654" s="2">
        <v>1000</v>
      </c>
      <c r="L654" s="2">
        <v>15</v>
      </c>
      <c r="M654" s="2">
        <v>0</v>
      </c>
      <c r="N654" t="s">
        <v>80</v>
      </c>
      <c r="O654" t="s">
        <v>81</v>
      </c>
      <c r="P654" t="s">
        <v>557</v>
      </c>
      <c r="Q654" t="s">
        <v>558</v>
      </c>
      <c r="S654" t="s">
        <v>3252</v>
      </c>
      <c r="U654" t="s">
        <v>45</v>
      </c>
      <c r="V654" t="s">
        <v>46</v>
      </c>
      <c r="W654" t="s">
        <v>80</v>
      </c>
      <c r="X654" t="s">
        <v>81</v>
      </c>
      <c r="Y654" t="s">
        <v>85</v>
      </c>
      <c r="Z654" t="s">
        <v>86</v>
      </c>
      <c r="AA654" t="s">
        <v>49</v>
      </c>
      <c r="AB654" t="s">
        <v>50</v>
      </c>
      <c r="AC654" s="2">
        <v>189959.29</v>
      </c>
      <c r="AD654" t="s">
        <v>3253</v>
      </c>
      <c r="AE654" t="s">
        <v>52</v>
      </c>
    </row>
    <row r="655" spans="1:31" hidden="1" x14ac:dyDescent="0.25">
      <c r="I655" t="s">
        <v>3255</v>
      </c>
      <c r="J655" s="2">
        <v>218170</v>
      </c>
      <c r="K655" s="2">
        <v>1000</v>
      </c>
      <c r="L655" s="2">
        <v>15</v>
      </c>
      <c r="M655" s="2">
        <v>0</v>
      </c>
      <c r="S655" t="s">
        <v>3258</v>
      </c>
      <c r="U655" t="s">
        <v>45</v>
      </c>
      <c r="V655" t="s">
        <v>46</v>
      </c>
      <c r="W655" t="s">
        <v>3256</v>
      </c>
      <c r="X655" t="s">
        <v>3257</v>
      </c>
      <c r="Y655" t="s">
        <v>1122</v>
      </c>
      <c r="Z655" t="s">
        <v>1122</v>
      </c>
      <c r="AA655" t="s">
        <v>49</v>
      </c>
      <c r="AC655" s="2"/>
    </row>
    <row r="656" spans="1:31" x14ac:dyDescent="0.25">
      <c r="A656" t="s">
        <v>3259</v>
      </c>
      <c r="B656" t="s">
        <v>3260</v>
      </c>
      <c r="C656" t="s">
        <v>3260</v>
      </c>
      <c r="D656" t="s">
        <v>35</v>
      </c>
      <c r="E656" t="s">
        <v>36</v>
      </c>
      <c r="F656" t="s">
        <v>3261</v>
      </c>
      <c r="G656" t="s">
        <v>35</v>
      </c>
      <c r="H656" t="s">
        <v>402</v>
      </c>
      <c r="I656" t="s">
        <v>1018</v>
      </c>
      <c r="J656" s="2">
        <v>436340</v>
      </c>
      <c r="K656" s="2">
        <v>2000</v>
      </c>
      <c r="L656" s="2">
        <v>30</v>
      </c>
      <c r="M656" s="2">
        <v>0</v>
      </c>
      <c r="N656" t="s">
        <v>403</v>
      </c>
      <c r="O656" t="s">
        <v>404</v>
      </c>
      <c r="P656" t="s">
        <v>205</v>
      </c>
      <c r="Q656" t="s">
        <v>206</v>
      </c>
      <c r="S656" t="s">
        <v>3262</v>
      </c>
      <c r="U656" t="s">
        <v>45</v>
      </c>
      <c r="V656" t="s">
        <v>46</v>
      </c>
      <c r="W656" t="s">
        <v>403</v>
      </c>
      <c r="X656" t="s">
        <v>404</v>
      </c>
      <c r="Y656" t="s">
        <v>161</v>
      </c>
      <c r="Z656" t="s">
        <v>162</v>
      </c>
      <c r="AA656" t="s">
        <v>49</v>
      </c>
      <c r="AB656" t="s">
        <v>50</v>
      </c>
      <c r="AC656" s="2">
        <v>-28329.84</v>
      </c>
      <c r="AD656" t="s">
        <v>3263</v>
      </c>
      <c r="AE656" t="s">
        <v>115</v>
      </c>
    </row>
    <row r="657" spans="1:31" x14ac:dyDescent="0.25">
      <c r="A657" t="s">
        <v>3264</v>
      </c>
      <c r="B657" t="s">
        <v>3265</v>
      </c>
      <c r="C657" t="s">
        <v>3265</v>
      </c>
      <c r="D657" t="s">
        <v>125</v>
      </c>
      <c r="E657" t="s">
        <v>126</v>
      </c>
      <c r="F657" t="s">
        <v>3266</v>
      </c>
      <c r="G657" t="s">
        <v>153</v>
      </c>
      <c r="H657" t="s">
        <v>170</v>
      </c>
      <c r="I657" t="s">
        <v>3267</v>
      </c>
      <c r="J657" s="2">
        <v>94584</v>
      </c>
      <c r="K657" s="2">
        <v>400</v>
      </c>
      <c r="L657" s="2">
        <v>5</v>
      </c>
      <c r="M657" s="2">
        <v>0</v>
      </c>
      <c r="N657" t="s">
        <v>172</v>
      </c>
      <c r="O657" t="s">
        <v>173</v>
      </c>
      <c r="P657" t="s">
        <v>158</v>
      </c>
      <c r="Q657" t="s">
        <v>159</v>
      </c>
      <c r="S657" t="s">
        <v>3268</v>
      </c>
      <c r="U657" t="s">
        <v>45</v>
      </c>
      <c r="V657" t="s">
        <v>46</v>
      </c>
      <c r="W657" t="s">
        <v>172</v>
      </c>
      <c r="X657" t="s">
        <v>173</v>
      </c>
      <c r="Y657" t="s">
        <v>161</v>
      </c>
      <c r="Z657" t="s">
        <v>162</v>
      </c>
      <c r="AA657" t="s">
        <v>49</v>
      </c>
      <c r="AB657" t="s">
        <v>50</v>
      </c>
      <c r="AC657" s="2">
        <v>44907.199999999997</v>
      </c>
      <c r="AD657" t="s">
        <v>3269</v>
      </c>
      <c r="AE657" t="s">
        <v>52</v>
      </c>
    </row>
    <row r="658" spans="1:31" x14ac:dyDescent="0.25">
      <c r="A658" t="s">
        <v>3270</v>
      </c>
      <c r="B658" t="s">
        <v>3271</v>
      </c>
      <c r="C658" t="s">
        <v>3272</v>
      </c>
      <c r="D658" t="s">
        <v>1243</v>
      </c>
      <c r="E658" t="s">
        <v>871</v>
      </c>
      <c r="F658" t="s">
        <v>2860</v>
      </c>
      <c r="G658" t="s">
        <v>1094</v>
      </c>
      <c r="H658" t="s">
        <v>1444</v>
      </c>
      <c r="I658" t="s">
        <v>3273</v>
      </c>
      <c r="J658" s="2">
        <v>654510</v>
      </c>
      <c r="K658" s="2">
        <v>3000</v>
      </c>
      <c r="L658" s="2">
        <v>30</v>
      </c>
      <c r="M658" s="2">
        <v>0</v>
      </c>
      <c r="N658" t="s">
        <v>1064</v>
      </c>
      <c r="O658" t="s">
        <v>1062</v>
      </c>
      <c r="P658" t="s">
        <v>2320</v>
      </c>
      <c r="Q658" t="s">
        <v>2321</v>
      </c>
      <c r="S658" t="s">
        <v>2983</v>
      </c>
      <c r="U658" t="s">
        <v>45</v>
      </c>
      <c r="V658" t="s">
        <v>46</v>
      </c>
      <c r="W658" t="s">
        <v>1064</v>
      </c>
      <c r="X658" t="s">
        <v>1062</v>
      </c>
      <c r="Y658" t="s">
        <v>72</v>
      </c>
      <c r="Z658" t="s">
        <v>68</v>
      </c>
      <c r="AA658" t="s">
        <v>49</v>
      </c>
      <c r="AB658" t="s">
        <v>50</v>
      </c>
      <c r="AC658" s="2">
        <v>588627.52</v>
      </c>
      <c r="AD658" t="s">
        <v>3274</v>
      </c>
      <c r="AE658" t="s">
        <v>115</v>
      </c>
    </row>
    <row r="659" spans="1:31" x14ac:dyDescent="0.25">
      <c r="A659" s="15" t="s">
        <v>3275</v>
      </c>
      <c r="B659" s="15" t="s">
        <v>3276</v>
      </c>
      <c r="C659" s="15" t="s">
        <v>3276</v>
      </c>
      <c r="D659" s="15" t="s">
        <v>55</v>
      </c>
      <c r="E659" s="15" t="s">
        <v>56</v>
      </c>
      <c r="F659" s="15" t="s">
        <v>3277</v>
      </c>
      <c r="H659" s="15" t="s">
        <v>402</v>
      </c>
      <c r="I659" t="s">
        <v>3278</v>
      </c>
      <c r="J659" s="2">
        <v>2182</v>
      </c>
      <c r="K659" s="2">
        <v>10</v>
      </c>
      <c r="L659" s="2">
        <v>1</v>
      </c>
      <c r="M659" s="2">
        <v>0</v>
      </c>
      <c r="N659" s="15" t="s">
        <v>403</v>
      </c>
      <c r="O659" s="15" t="s">
        <v>404</v>
      </c>
      <c r="P659" s="15" t="s">
        <v>205</v>
      </c>
      <c r="Q659" s="15" t="s">
        <v>206</v>
      </c>
      <c r="S659" t="s">
        <v>3279</v>
      </c>
      <c r="U659" t="s">
        <v>45</v>
      </c>
      <c r="V659" t="s">
        <v>46</v>
      </c>
      <c r="W659" t="s">
        <v>403</v>
      </c>
      <c r="X659" t="s">
        <v>404</v>
      </c>
      <c r="Y659" t="s">
        <v>161</v>
      </c>
      <c r="Z659" t="s">
        <v>162</v>
      </c>
      <c r="AA659" t="s">
        <v>49</v>
      </c>
      <c r="AB659" s="15" t="s">
        <v>50</v>
      </c>
      <c r="AC659" s="16">
        <v>-32875.279999999999</v>
      </c>
      <c r="AD659" s="15" t="s">
        <v>3280</v>
      </c>
      <c r="AE659" s="15" t="s">
        <v>115</v>
      </c>
    </row>
    <row r="660" spans="1:31" x14ac:dyDescent="0.25">
      <c r="A660" t="s">
        <v>3281</v>
      </c>
      <c r="B660" t="s">
        <v>3282</v>
      </c>
      <c r="C660" t="s">
        <v>3282</v>
      </c>
      <c r="D660" t="s">
        <v>321</v>
      </c>
      <c r="E660" t="s">
        <v>224</v>
      </c>
      <c r="F660" t="s">
        <v>2860</v>
      </c>
      <c r="G660" t="s">
        <v>76</v>
      </c>
      <c r="H660" t="s">
        <v>1444</v>
      </c>
      <c r="I660" t="s">
        <v>3283</v>
      </c>
      <c r="J660" s="2">
        <v>654510</v>
      </c>
      <c r="K660" s="2">
        <v>3000</v>
      </c>
      <c r="L660" s="2">
        <v>30</v>
      </c>
      <c r="M660" s="2">
        <v>0</v>
      </c>
      <c r="N660" t="s">
        <v>1064</v>
      </c>
      <c r="O660" t="s">
        <v>1062</v>
      </c>
      <c r="P660" t="s">
        <v>2320</v>
      </c>
      <c r="Q660" t="s">
        <v>2321</v>
      </c>
      <c r="S660" t="s">
        <v>2983</v>
      </c>
      <c r="U660" t="s">
        <v>45</v>
      </c>
      <c r="V660" t="s">
        <v>46</v>
      </c>
      <c r="W660" t="s">
        <v>1064</v>
      </c>
      <c r="X660" t="s">
        <v>1062</v>
      </c>
      <c r="Y660" t="s">
        <v>72</v>
      </c>
      <c r="Z660" t="s">
        <v>68</v>
      </c>
      <c r="AA660" t="s">
        <v>49</v>
      </c>
      <c r="AB660" t="s">
        <v>50</v>
      </c>
      <c r="AC660" s="2">
        <v>641367.96</v>
      </c>
      <c r="AD660" t="s">
        <v>3284</v>
      </c>
    </row>
    <row r="661" spans="1:31" hidden="1" x14ac:dyDescent="0.25">
      <c r="I661" t="s">
        <v>3285</v>
      </c>
      <c r="J661" s="2">
        <v>109085</v>
      </c>
      <c r="K661" s="2">
        <v>500</v>
      </c>
      <c r="L661" s="2">
        <v>15</v>
      </c>
      <c r="M661" s="2">
        <v>0</v>
      </c>
      <c r="S661" t="s">
        <v>3286</v>
      </c>
      <c r="U661" t="s">
        <v>45</v>
      </c>
      <c r="V661" t="s">
        <v>46</v>
      </c>
      <c r="W661" t="s">
        <v>40</v>
      </c>
      <c r="X661" t="s">
        <v>41</v>
      </c>
      <c r="Y661" t="s">
        <v>47</v>
      </c>
      <c r="Z661" t="s">
        <v>48</v>
      </c>
      <c r="AA661" t="s">
        <v>49</v>
      </c>
      <c r="AC661" s="2"/>
    </row>
    <row r="662" spans="1:31" x14ac:dyDescent="0.25">
      <c r="A662" t="s">
        <v>3287</v>
      </c>
      <c r="B662" t="s">
        <v>3288</v>
      </c>
      <c r="C662" t="s">
        <v>3289</v>
      </c>
      <c r="D662" t="s">
        <v>125</v>
      </c>
      <c r="E662" t="s">
        <v>126</v>
      </c>
      <c r="F662" t="s">
        <v>3290</v>
      </c>
      <c r="G662" t="s">
        <v>125</v>
      </c>
      <c r="H662" t="s">
        <v>2696</v>
      </c>
      <c r="I662" t="s">
        <v>3291</v>
      </c>
      <c r="J662" s="2">
        <v>67284</v>
      </c>
      <c r="K662" s="2">
        <v>270</v>
      </c>
      <c r="L662" s="2">
        <v>15</v>
      </c>
      <c r="M662" s="2">
        <v>0</v>
      </c>
      <c r="N662" t="s">
        <v>1849</v>
      </c>
      <c r="O662" t="s">
        <v>1847</v>
      </c>
      <c r="P662" t="s">
        <v>120</v>
      </c>
      <c r="Q662" t="s">
        <v>121</v>
      </c>
      <c r="S662" t="s">
        <v>3292</v>
      </c>
      <c r="U662" t="s">
        <v>45</v>
      </c>
      <c r="V662" t="s">
        <v>46</v>
      </c>
      <c r="W662" t="s">
        <v>1849</v>
      </c>
      <c r="X662" t="s">
        <v>1847</v>
      </c>
      <c r="Y662" t="s">
        <v>121</v>
      </c>
      <c r="Z662" t="s">
        <v>94</v>
      </c>
      <c r="AA662" t="s">
        <v>49</v>
      </c>
      <c r="AB662" t="s">
        <v>50</v>
      </c>
      <c r="AC662" s="2">
        <v>22629.07</v>
      </c>
      <c r="AD662" t="s">
        <v>3293</v>
      </c>
      <c r="AE662" t="s">
        <v>52</v>
      </c>
    </row>
    <row r="663" spans="1:31" hidden="1" x14ac:dyDescent="0.25">
      <c r="A663" t="s">
        <v>3294</v>
      </c>
      <c r="B663" t="s">
        <v>3295</v>
      </c>
      <c r="C663" t="s">
        <v>3295</v>
      </c>
      <c r="F663" t="s">
        <v>2727</v>
      </c>
      <c r="H663" t="s">
        <v>1607</v>
      </c>
      <c r="J663" s="2">
        <v>1000</v>
      </c>
      <c r="K663" s="2">
        <v>0</v>
      </c>
      <c r="L663" s="2">
        <v>1</v>
      </c>
      <c r="M663" s="2">
        <v>0</v>
      </c>
      <c r="N663" t="s">
        <v>1221</v>
      </c>
      <c r="O663" t="s">
        <v>1222</v>
      </c>
      <c r="P663" t="s">
        <v>205</v>
      </c>
      <c r="Q663" t="s">
        <v>206</v>
      </c>
      <c r="S663" t="s">
        <v>3296</v>
      </c>
      <c r="U663" t="s">
        <v>45</v>
      </c>
      <c r="V663" t="s">
        <v>46</v>
      </c>
      <c r="W663" t="s">
        <v>1221</v>
      </c>
      <c r="X663" t="s">
        <v>1222</v>
      </c>
      <c r="Y663" t="s">
        <v>161</v>
      </c>
      <c r="Z663" t="s">
        <v>162</v>
      </c>
      <c r="AA663" t="s">
        <v>49</v>
      </c>
      <c r="AB663" t="s">
        <v>50</v>
      </c>
      <c r="AC663" s="2">
        <v>1000</v>
      </c>
      <c r="AD663" t="s">
        <v>64</v>
      </c>
    </row>
    <row r="664" spans="1:31" x14ac:dyDescent="0.25">
      <c r="A664" t="s">
        <v>3297</v>
      </c>
      <c r="B664" t="s">
        <v>3298</v>
      </c>
      <c r="C664" t="s">
        <v>2726</v>
      </c>
      <c r="D664" t="s">
        <v>299</v>
      </c>
      <c r="E664" t="s">
        <v>167</v>
      </c>
      <c r="F664" t="s">
        <v>2727</v>
      </c>
      <c r="G664" t="s">
        <v>299</v>
      </c>
      <c r="H664" t="s">
        <v>3299</v>
      </c>
      <c r="I664" t="s">
        <v>3300</v>
      </c>
      <c r="J664" s="2">
        <v>436340</v>
      </c>
      <c r="K664" s="2">
        <v>2000</v>
      </c>
      <c r="L664" s="2">
        <v>30</v>
      </c>
      <c r="M664" s="2">
        <v>0</v>
      </c>
      <c r="N664" t="s">
        <v>3301</v>
      </c>
      <c r="O664" t="s">
        <v>3302</v>
      </c>
      <c r="P664" t="s">
        <v>205</v>
      </c>
      <c r="Q664" t="s">
        <v>206</v>
      </c>
      <c r="S664" t="s">
        <v>3303</v>
      </c>
      <c r="U664" t="s">
        <v>45</v>
      </c>
      <c r="V664" t="s">
        <v>46</v>
      </c>
      <c r="W664" t="s">
        <v>3301</v>
      </c>
      <c r="X664" t="s">
        <v>3302</v>
      </c>
      <c r="Y664" t="s">
        <v>72</v>
      </c>
      <c r="Z664" t="s">
        <v>68</v>
      </c>
      <c r="AA664" t="s">
        <v>49</v>
      </c>
      <c r="AB664" t="s">
        <v>50</v>
      </c>
      <c r="AC664" s="2">
        <v>366506.27</v>
      </c>
      <c r="AD664" t="s">
        <v>3304</v>
      </c>
      <c r="AE664" t="s">
        <v>52</v>
      </c>
    </row>
    <row r="665" spans="1:31" hidden="1" x14ac:dyDescent="0.25">
      <c r="I665" t="s">
        <v>3305</v>
      </c>
      <c r="J665" s="2">
        <v>1000</v>
      </c>
      <c r="K665" s="2">
        <v>0</v>
      </c>
      <c r="L665" s="2">
        <v>1</v>
      </c>
      <c r="M665" s="2">
        <v>0</v>
      </c>
      <c r="S665" t="s">
        <v>3306</v>
      </c>
      <c r="U665" t="s">
        <v>45</v>
      </c>
      <c r="V665" t="s">
        <v>46</v>
      </c>
      <c r="W665" t="s">
        <v>40</v>
      </c>
      <c r="X665" t="s">
        <v>41</v>
      </c>
      <c r="Y665" t="s">
        <v>47</v>
      </c>
      <c r="Z665" t="s">
        <v>48</v>
      </c>
      <c r="AA665" t="s">
        <v>49</v>
      </c>
      <c r="AC665" s="2"/>
    </row>
    <row r="666" spans="1:31" x14ac:dyDescent="0.25">
      <c r="A666" t="s">
        <v>3307</v>
      </c>
      <c r="B666" t="s">
        <v>3308</v>
      </c>
      <c r="C666" t="s">
        <v>3308</v>
      </c>
      <c r="D666" t="s">
        <v>35</v>
      </c>
      <c r="E666" t="s">
        <v>36</v>
      </c>
      <c r="F666" t="s">
        <v>3309</v>
      </c>
      <c r="G666" t="s">
        <v>153</v>
      </c>
      <c r="H666" t="s">
        <v>65</v>
      </c>
      <c r="I666" t="s">
        <v>3310</v>
      </c>
      <c r="J666" s="2">
        <v>261804</v>
      </c>
      <c r="K666" s="2">
        <v>1200</v>
      </c>
      <c r="L666" s="2">
        <v>15</v>
      </c>
      <c r="M666" s="2">
        <v>0</v>
      </c>
      <c r="N666" t="s">
        <v>67</v>
      </c>
      <c r="O666" t="s">
        <v>68</v>
      </c>
      <c r="P666" t="s">
        <v>69</v>
      </c>
      <c r="Q666" t="s">
        <v>70</v>
      </c>
      <c r="S666" t="s">
        <v>3311</v>
      </c>
      <c r="U666" t="s">
        <v>45</v>
      </c>
      <c r="V666" t="s">
        <v>46</v>
      </c>
      <c r="W666" t="s">
        <v>67</v>
      </c>
      <c r="X666" t="s">
        <v>68</v>
      </c>
      <c r="Y666" t="s">
        <v>72</v>
      </c>
      <c r="Z666" t="s">
        <v>68</v>
      </c>
      <c r="AA666" t="s">
        <v>49</v>
      </c>
      <c r="AB666" t="s">
        <v>50</v>
      </c>
      <c r="AC666" s="2">
        <v>199954.81</v>
      </c>
      <c r="AD666" t="s">
        <v>3312</v>
      </c>
      <c r="AE666" t="s">
        <v>52</v>
      </c>
    </row>
    <row r="667" spans="1:31" x14ac:dyDescent="0.25">
      <c r="A667" t="s">
        <v>3313</v>
      </c>
      <c r="B667" t="s">
        <v>3314</v>
      </c>
      <c r="C667" t="s">
        <v>3314</v>
      </c>
      <c r="D667" t="s">
        <v>153</v>
      </c>
      <c r="E667" t="s">
        <v>272</v>
      </c>
      <c r="F667" t="s">
        <v>3315</v>
      </c>
      <c r="G667" t="s">
        <v>153</v>
      </c>
      <c r="H667" t="s">
        <v>1531</v>
      </c>
      <c r="I667" t="s">
        <v>1584</v>
      </c>
      <c r="J667" s="2">
        <v>5137650</v>
      </c>
      <c r="K667" s="2">
        <v>21000</v>
      </c>
      <c r="L667" s="2">
        <v>30</v>
      </c>
      <c r="M667" s="2">
        <v>0</v>
      </c>
      <c r="N667" t="s">
        <v>585</v>
      </c>
      <c r="O667" t="s">
        <v>584</v>
      </c>
      <c r="P667" t="s">
        <v>158</v>
      </c>
      <c r="Q667" t="s">
        <v>159</v>
      </c>
      <c r="S667" t="s">
        <v>3316</v>
      </c>
      <c r="U667" t="s">
        <v>45</v>
      </c>
      <c r="V667" t="s">
        <v>46</v>
      </c>
      <c r="W667" t="s">
        <v>585</v>
      </c>
      <c r="X667" t="s">
        <v>584</v>
      </c>
      <c r="Y667" t="s">
        <v>161</v>
      </c>
      <c r="Z667" t="s">
        <v>162</v>
      </c>
      <c r="AA667" t="s">
        <v>49</v>
      </c>
      <c r="AB667" t="s">
        <v>50</v>
      </c>
      <c r="AC667" s="2">
        <v>288065.44</v>
      </c>
      <c r="AD667" t="s">
        <v>3317</v>
      </c>
      <c r="AE667" t="s">
        <v>115</v>
      </c>
    </row>
    <row r="668" spans="1:31" hidden="1" x14ac:dyDescent="0.25">
      <c r="I668" t="s">
        <v>681</v>
      </c>
      <c r="J668" s="2">
        <v>130902</v>
      </c>
      <c r="K668" s="2">
        <v>600</v>
      </c>
      <c r="L668" s="2">
        <v>21</v>
      </c>
      <c r="M668" s="2">
        <v>0</v>
      </c>
      <c r="S668" t="s">
        <v>3318</v>
      </c>
      <c r="U668" t="s">
        <v>45</v>
      </c>
      <c r="V668" t="s">
        <v>46</v>
      </c>
      <c r="W668" t="s">
        <v>348</v>
      </c>
      <c r="X668" t="s">
        <v>349</v>
      </c>
      <c r="Y668" t="s">
        <v>317</v>
      </c>
      <c r="Z668" t="s">
        <v>349</v>
      </c>
      <c r="AA668" t="s">
        <v>49</v>
      </c>
      <c r="AC668" s="2"/>
    </row>
    <row r="669" spans="1:31" x14ac:dyDescent="0.25">
      <c r="A669" t="s">
        <v>3319</v>
      </c>
      <c r="B669" t="s">
        <v>3320</v>
      </c>
      <c r="C669" t="s">
        <v>3321</v>
      </c>
      <c r="D669" t="s">
        <v>569</v>
      </c>
      <c r="E669" t="s">
        <v>570</v>
      </c>
      <c r="F669" t="s">
        <v>3322</v>
      </c>
      <c r="G669" t="s">
        <v>1960</v>
      </c>
      <c r="H669" t="s">
        <v>402</v>
      </c>
      <c r="I669" t="s">
        <v>3323</v>
      </c>
      <c r="J669" s="2">
        <v>130902</v>
      </c>
      <c r="K669" s="2">
        <v>600</v>
      </c>
      <c r="L669" s="2">
        <v>21</v>
      </c>
      <c r="M669" s="2">
        <v>0</v>
      </c>
      <c r="N669" t="s">
        <v>403</v>
      </c>
      <c r="O669" t="s">
        <v>404</v>
      </c>
      <c r="P669" t="s">
        <v>205</v>
      </c>
      <c r="Q669" t="s">
        <v>206</v>
      </c>
      <c r="S669" t="s">
        <v>3324</v>
      </c>
      <c r="U669" t="s">
        <v>45</v>
      </c>
      <c r="V669" t="s">
        <v>46</v>
      </c>
      <c r="W669" t="s">
        <v>403</v>
      </c>
      <c r="X669" t="s">
        <v>404</v>
      </c>
      <c r="Y669" t="s">
        <v>161</v>
      </c>
      <c r="Z669" t="s">
        <v>162</v>
      </c>
      <c r="AA669" t="s">
        <v>49</v>
      </c>
      <c r="AB669" t="s">
        <v>50</v>
      </c>
      <c r="AC669" s="2">
        <v>123781.61</v>
      </c>
      <c r="AD669" t="s">
        <v>3325</v>
      </c>
    </row>
    <row r="670" spans="1:31" hidden="1" x14ac:dyDescent="0.25">
      <c r="I670" t="s">
        <v>3326</v>
      </c>
      <c r="J670" s="2">
        <v>57600</v>
      </c>
      <c r="K670" s="2">
        <v>0</v>
      </c>
      <c r="L670" s="2">
        <v>21</v>
      </c>
      <c r="M670" s="2">
        <v>0</v>
      </c>
      <c r="S670" t="s">
        <v>3327</v>
      </c>
      <c r="U670" t="s">
        <v>45</v>
      </c>
      <c r="V670" t="s">
        <v>46</v>
      </c>
      <c r="W670" t="s">
        <v>1038</v>
      </c>
      <c r="X670" t="s">
        <v>1039</v>
      </c>
      <c r="Y670" t="s">
        <v>72</v>
      </c>
      <c r="Z670" t="s">
        <v>68</v>
      </c>
      <c r="AA670" t="s">
        <v>49</v>
      </c>
      <c r="AC670" s="2"/>
    </row>
    <row r="671" spans="1:31" x14ac:dyDescent="0.25">
      <c r="A671" t="s">
        <v>3328</v>
      </c>
      <c r="B671" t="s">
        <v>3329</v>
      </c>
      <c r="C671" t="s">
        <v>3329</v>
      </c>
      <c r="D671" t="s">
        <v>2288</v>
      </c>
      <c r="E671" t="s">
        <v>134</v>
      </c>
      <c r="F671" t="s">
        <v>3330</v>
      </c>
      <c r="G671" t="s">
        <v>621</v>
      </c>
      <c r="H671" t="s">
        <v>303</v>
      </c>
      <c r="I671" t="s">
        <v>1782</v>
      </c>
      <c r="J671" s="2">
        <v>654510</v>
      </c>
      <c r="K671" s="2">
        <v>3000</v>
      </c>
      <c r="L671" s="2">
        <v>21</v>
      </c>
      <c r="M671" s="2">
        <v>0</v>
      </c>
      <c r="N671" t="s">
        <v>302</v>
      </c>
      <c r="O671" t="s">
        <v>303</v>
      </c>
      <c r="P671" t="s">
        <v>304</v>
      </c>
      <c r="Q671" t="s">
        <v>72</v>
      </c>
      <c r="S671" t="s">
        <v>3331</v>
      </c>
      <c r="U671" t="s">
        <v>45</v>
      </c>
      <c r="V671" t="s">
        <v>46</v>
      </c>
      <c r="W671" t="s">
        <v>302</v>
      </c>
      <c r="X671" t="s">
        <v>303</v>
      </c>
      <c r="Y671" t="s">
        <v>72</v>
      </c>
      <c r="Z671" t="s">
        <v>68</v>
      </c>
      <c r="AA671" t="s">
        <v>49</v>
      </c>
      <c r="AB671" t="s">
        <v>50</v>
      </c>
      <c r="AC671" s="2">
        <v>652455.01</v>
      </c>
      <c r="AD671" t="s">
        <v>3332</v>
      </c>
    </row>
    <row r="672" spans="1:31" x14ac:dyDescent="0.25">
      <c r="A672" t="s">
        <v>3333</v>
      </c>
      <c r="B672" t="s">
        <v>3334</v>
      </c>
      <c r="C672" t="s">
        <v>3334</v>
      </c>
      <c r="D672" t="s">
        <v>166</v>
      </c>
      <c r="E672" t="s">
        <v>167</v>
      </c>
      <c r="F672" t="s">
        <v>3335</v>
      </c>
      <c r="G672" t="s">
        <v>1243</v>
      </c>
      <c r="H672" t="s">
        <v>170</v>
      </c>
      <c r="I672" t="s">
        <v>3336</v>
      </c>
      <c r="J672" s="2">
        <v>1155250</v>
      </c>
      <c r="K672" s="2">
        <v>5000</v>
      </c>
      <c r="L672" s="2">
        <v>21</v>
      </c>
      <c r="M672" s="2">
        <v>0</v>
      </c>
      <c r="N672" t="s">
        <v>172</v>
      </c>
      <c r="O672" t="s">
        <v>173</v>
      </c>
      <c r="P672" t="s">
        <v>158</v>
      </c>
      <c r="Q672" t="s">
        <v>159</v>
      </c>
      <c r="S672" t="s">
        <v>3337</v>
      </c>
      <c r="U672" t="s">
        <v>45</v>
      </c>
      <c r="V672" t="s">
        <v>46</v>
      </c>
      <c r="W672" t="s">
        <v>172</v>
      </c>
      <c r="X672" t="s">
        <v>173</v>
      </c>
      <c r="Y672" t="s">
        <v>161</v>
      </c>
      <c r="Z672" t="s">
        <v>162</v>
      </c>
      <c r="AA672" t="s">
        <v>49</v>
      </c>
      <c r="AB672" t="s">
        <v>50</v>
      </c>
      <c r="AC672" s="2">
        <v>1068940.4099999999</v>
      </c>
      <c r="AD672" t="s">
        <v>3338</v>
      </c>
    </row>
    <row r="673" spans="1:31" x14ac:dyDescent="0.25">
      <c r="A673" t="s">
        <v>3339</v>
      </c>
      <c r="B673" t="s">
        <v>3340</v>
      </c>
      <c r="C673" t="s">
        <v>3340</v>
      </c>
      <c r="D673" t="s">
        <v>35</v>
      </c>
      <c r="E673" t="s">
        <v>36</v>
      </c>
      <c r="F673" t="s">
        <v>3341</v>
      </c>
      <c r="G673" t="s">
        <v>344</v>
      </c>
      <c r="H673" t="s">
        <v>1901</v>
      </c>
      <c r="I673" t="s">
        <v>3342</v>
      </c>
      <c r="J673" s="2">
        <v>1527190</v>
      </c>
      <c r="K673" s="2">
        <v>7000</v>
      </c>
      <c r="L673" s="2">
        <v>15</v>
      </c>
      <c r="M673" s="2">
        <v>0</v>
      </c>
      <c r="N673" t="s">
        <v>1900</v>
      </c>
      <c r="O673" t="s">
        <v>1901</v>
      </c>
      <c r="P673" t="s">
        <v>158</v>
      </c>
      <c r="Q673" t="s">
        <v>159</v>
      </c>
      <c r="S673" t="s">
        <v>3343</v>
      </c>
      <c r="U673" t="s">
        <v>45</v>
      </c>
      <c r="V673" t="s">
        <v>46</v>
      </c>
      <c r="W673" t="s">
        <v>1900</v>
      </c>
      <c r="X673" t="s">
        <v>1901</v>
      </c>
      <c r="Y673" t="s">
        <v>161</v>
      </c>
      <c r="Z673" t="s">
        <v>162</v>
      </c>
      <c r="AA673" t="s">
        <v>49</v>
      </c>
      <c r="AB673" t="s">
        <v>50</v>
      </c>
      <c r="AC673" s="2">
        <v>906527.14</v>
      </c>
      <c r="AD673" t="s">
        <v>3344</v>
      </c>
      <c r="AE673" t="s">
        <v>52</v>
      </c>
    </row>
    <row r="674" spans="1:31" x14ac:dyDescent="0.25">
      <c r="A674" t="s">
        <v>3345</v>
      </c>
      <c r="B674" t="s">
        <v>3346</v>
      </c>
      <c r="C674" t="s">
        <v>3346</v>
      </c>
      <c r="D674" t="s">
        <v>1454</v>
      </c>
      <c r="E674" t="s">
        <v>224</v>
      </c>
      <c r="F674" t="s">
        <v>3347</v>
      </c>
      <c r="G674" t="s">
        <v>1941</v>
      </c>
      <c r="H674" t="s">
        <v>1444</v>
      </c>
      <c r="I674" t="s">
        <v>3348</v>
      </c>
      <c r="J674" s="2">
        <v>23646</v>
      </c>
      <c r="K674" s="2">
        <v>100</v>
      </c>
      <c r="L674" s="2">
        <v>1</v>
      </c>
      <c r="M674" s="2">
        <v>0</v>
      </c>
      <c r="N674" t="s">
        <v>1064</v>
      </c>
      <c r="O674" t="s">
        <v>1062</v>
      </c>
      <c r="P674" t="s">
        <v>304</v>
      </c>
      <c r="Q674" t="s">
        <v>72</v>
      </c>
      <c r="S674" t="s">
        <v>3349</v>
      </c>
      <c r="U674" t="s">
        <v>45</v>
      </c>
      <c r="V674" t="s">
        <v>46</v>
      </c>
      <c r="W674" t="s">
        <v>1064</v>
      </c>
      <c r="X674" t="s">
        <v>1062</v>
      </c>
      <c r="Y674" t="s">
        <v>72</v>
      </c>
      <c r="Z674" t="s">
        <v>68</v>
      </c>
      <c r="AA674" t="s">
        <v>49</v>
      </c>
      <c r="AB674" t="s">
        <v>50</v>
      </c>
      <c r="AC674" s="2">
        <v>23646</v>
      </c>
      <c r="AD674" t="s">
        <v>64</v>
      </c>
    </row>
    <row r="675" spans="1:31" x14ac:dyDescent="0.25">
      <c r="A675" t="s">
        <v>3350</v>
      </c>
      <c r="B675" t="s">
        <v>3351</v>
      </c>
      <c r="C675" t="s">
        <v>3352</v>
      </c>
      <c r="D675" t="s">
        <v>35</v>
      </c>
      <c r="E675" t="s">
        <v>36</v>
      </c>
      <c r="F675" t="s">
        <v>3353</v>
      </c>
      <c r="G675" t="s">
        <v>35</v>
      </c>
      <c r="H675" t="s">
        <v>38</v>
      </c>
      <c r="I675" t="s">
        <v>3354</v>
      </c>
      <c r="J675" s="2">
        <v>17137890</v>
      </c>
      <c r="K675" s="2">
        <v>69300</v>
      </c>
      <c r="L675" s="2">
        <v>30</v>
      </c>
      <c r="M675" s="2">
        <v>0</v>
      </c>
      <c r="N675" t="s">
        <v>40</v>
      </c>
      <c r="O675" t="s">
        <v>41</v>
      </c>
      <c r="P675" t="s">
        <v>61</v>
      </c>
      <c r="Q675" t="s">
        <v>62</v>
      </c>
      <c r="S675" t="s">
        <v>3355</v>
      </c>
      <c r="U675" t="s">
        <v>45</v>
      </c>
      <c r="V675" t="s">
        <v>46</v>
      </c>
      <c r="W675" t="s">
        <v>40</v>
      </c>
      <c r="X675" t="s">
        <v>41</v>
      </c>
      <c r="Y675" t="s">
        <v>47</v>
      </c>
      <c r="Z675" t="s">
        <v>48</v>
      </c>
      <c r="AA675" t="s">
        <v>49</v>
      </c>
      <c r="AB675" t="s">
        <v>50</v>
      </c>
      <c r="AC675" s="2">
        <v>-389256.03</v>
      </c>
      <c r="AD675" t="s">
        <v>3356</v>
      </c>
      <c r="AE675" t="s">
        <v>52</v>
      </c>
    </row>
    <row r="676" spans="1:31" hidden="1" x14ac:dyDescent="0.25">
      <c r="J676" s="2">
        <v>1000</v>
      </c>
      <c r="K676" s="2">
        <v>0</v>
      </c>
      <c r="L676" s="2">
        <v>7</v>
      </c>
      <c r="M676" s="2">
        <v>0</v>
      </c>
      <c r="S676" t="s">
        <v>3357</v>
      </c>
      <c r="U676" t="s">
        <v>45</v>
      </c>
      <c r="V676" t="s">
        <v>46</v>
      </c>
      <c r="W676" t="s">
        <v>403</v>
      </c>
      <c r="X676" t="s">
        <v>404</v>
      </c>
      <c r="Y676" t="s">
        <v>161</v>
      </c>
      <c r="Z676" t="s">
        <v>162</v>
      </c>
      <c r="AA676" t="s">
        <v>49</v>
      </c>
      <c r="AC676" s="2"/>
    </row>
    <row r="677" spans="1:31" x14ac:dyDescent="0.25">
      <c r="A677" t="s">
        <v>3358</v>
      </c>
      <c r="B677" t="s">
        <v>3359</v>
      </c>
      <c r="C677" t="s">
        <v>3359</v>
      </c>
      <c r="D677" t="s">
        <v>569</v>
      </c>
      <c r="E677" t="s">
        <v>570</v>
      </c>
      <c r="F677" t="s">
        <v>3360</v>
      </c>
      <c r="G677" t="s">
        <v>138</v>
      </c>
      <c r="H677" t="s">
        <v>38</v>
      </c>
      <c r="I677" t="s">
        <v>3361</v>
      </c>
      <c r="J677" s="2">
        <v>109085</v>
      </c>
      <c r="K677" s="2">
        <v>500</v>
      </c>
      <c r="L677" s="2">
        <v>15</v>
      </c>
      <c r="M677" s="2">
        <v>0</v>
      </c>
      <c r="N677" t="s">
        <v>40</v>
      </c>
      <c r="O677" t="s">
        <v>41</v>
      </c>
      <c r="P677" t="s">
        <v>61</v>
      </c>
      <c r="Q677" t="s">
        <v>62</v>
      </c>
      <c r="S677" t="s">
        <v>3362</v>
      </c>
      <c r="U677" t="s">
        <v>45</v>
      </c>
      <c r="V677" t="s">
        <v>46</v>
      </c>
      <c r="W677" t="s">
        <v>40</v>
      </c>
      <c r="X677" t="s">
        <v>41</v>
      </c>
      <c r="Y677" t="s">
        <v>47</v>
      </c>
      <c r="Z677" t="s">
        <v>48</v>
      </c>
      <c r="AA677" t="s">
        <v>49</v>
      </c>
      <c r="AB677" t="s">
        <v>50</v>
      </c>
      <c r="AC677" s="2">
        <v>95946.03</v>
      </c>
      <c r="AD677" t="s">
        <v>3363</v>
      </c>
      <c r="AE677" t="s">
        <v>115</v>
      </c>
    </row>
    <row r="678" spans="1:31" x14ac:dyDescent="0.25">
      <c r="A678" t="s">
        <v>3364</v>
      </c>
      <c r="B678" t="s">
        <v>3365</v>
      </c>
      <c r="C678" t="s">
        <v>3365</v>
      </c>
      <c r="D678" t="s">
        <v>125</v>
      </c>
      <c r="E678" t="s">
        <v>126</v>
      </c>
      <c r="F678" t="s">
        <v>3366</v>
      </c>
      <c r="G678" t="s">
        <v>153</v>
      </c>
      <c r="H678" t="s">
        <v>1312</v>
      </c>
      <c r="I678" t="s">
        <v>3367</v>
      </c>
      <c r="J678" s="2">
        <v>174536</v>
      </c>
      <c r="K678" s="2">
        <v>800</v>
      </c>
      <c r="L678" s="2">
        <v>15</v>
      </c>
      <c r="M678" s="2">
        <v>0</v>
      </c>
      <c r="N678" t="s">
        <v>883</v>
      </c>
      <c r="O678" t="s">
        <v>881</v>
      </c>
      <c r="P678" t="s">
        <v>158</v>
      </c>
      <c r="Q678" t="s">
        <v>159</v>
      </c>
      <c r="S678" t="s">
        <v>3368</v>
      </c>
      <c r="U678" t="s">
        <v>45</v>
      </c>
      <c r="V678" t="s">
        <v>46</v>
      </c>
      <c r="W678" t="s">
        <v>883</v>
      </c>
      <c r="X678" t="s">
        <v>881</v>
      </c>
      <c r="Y678" t="s">
        <v>161</v>
      </c>
      <c r="Z678" t="s">
        <v>162</v>
      </c>
      <c r="AA678" t="s">
        <v>49</v>
      </c>
      <c r="AB678" t="s">
        <v>50</v>
      </c>
      <c r="AC678" s="2">
        <v>148574.23000000001</v>
      </c>
      <c r="AD678" t="s">
        <v>3369</v>
      </c>
    </row>
    <row r="679" spans="1:31" hidden="1" x14ac:dyDescent="0.25">
      <c r="J679" s="2">
        <v>1000</v>
      </c>
      <c r="K679" s="2">
        <v>0</v>
      </c>
      <c r="L679" s="2">
        <v>1</v>
      </c>
      <c r="M679" s="2">
        <v>0</v>
      </c>
      <c r="S679" t="s">
        <v>3370</v>
      </c>
      <c r="U679" t="s">
        <v>45</v>
      </c>
      <c r="V679" t="s">
        <v>46</v>
      </c>
      <c r="W679" t="s">
        <v>40</v>
      </c>
      <c r="X679" t="s">
        <v>41</v>
      </c>
      <c r="Y679" t="s">
        <v>47</v>
      </c>
      <c r="Z679" t="s">
        <v>48</v>
      </c>
      <c r="AA679" t="s">
        <v>49</v>
      </c>
      <c r="AC679" s="2"/>
    </row>
    <row r="680" spans="1:31" x14ac:dyDescent="0.25">
      <c r="A680" t="s">
        <v>3371</v>
      </c>
      <c r="B680" t="s">
        <v>3372</v>
      </c>
      <c r="C680" t="s">
        <v>3372</v>
      </c>
      <c r="D680" t="s">
        <v>498</v>
      </c>
      <c r="E680" t="s">
        <v>190</v>
      </c>
      <c r="F680" t="s">
        <v>3373</v>
      </c>
      <c r="G680" t="s">
        <v>192</v>
      </c>
      <c r="H680" t="s">
        <v>300</v>
      </c>
      <c r="I680" t="s">
        <v>3374</v>
      </c>
      <c r="J680" s="2">
        <v>439740</v>
      </c>
      <c r="K680" s="2">
        <v>2000</v>
      </c>
      <c r="L680" s="2">
        <v>21</v>
      </c>
      <c r="M680" s="2">
        <v>0</v>
      </c>
      <c r="N680" t="s">
        <v>302</v>
      </c>
      <c r="O680" t="s">
        <v>303</v>
      </c>
      <c r="P680" t="s">
        <v>304</v>
      </c>
      <c r="Q680" t="s">
        <v>72</v>
      </c>
      <c r="S680" t="s">
        <v>3375</v>
      </c>
      <c r="U680" t="s">
        <v>45</v>
      </c>
      <c r="V680" t="s">
        <v>46</v>
      </c>
      <c r="W680" t="s">
        <v>302</v>
      </c>
      <c r="X680" t="s">
        <v>303</v>
      </c>
      <c r="Y680" t="s">
        <v>72</v>
      </c>
      <c r="Z680" t="s">
        <v>68</v>
      </c>
      <c r="AA680" t="s">
        <v>49</v>
      </c>
      <c r="AB680" t="s">
        <v>50</v>
      </c>
      <c r="AC680" s="2">
        <v>428443.72</v>
      </c>
      <c r="AD680" t="s">
        <v>3376</v>
      </c>
    </row>
    <row r="681" spans="1:31" x14ac:dyDescent="0.25">
      <c r="A681" t="s">
        <v>3377</v>
      </c>
      <c r="B681" t="s">
        <v>3378</v>
      </c>
      <c r="C681" t="s">
        <v>3378</v>
      </c>
      <c r="D681" t="s">
        <v>153</v>
      </c>
      <c r="E681" t="s">
        <v>272</v>
      </c>
      <c r="F681" t="s">
        <v>3379</v>
      </c>
      <c r="G681" t="s">
        <v>153</v>
      </c>
      <c r="H681" t="s">
        <v>81</v>
      </c>
      <c r="I681" t="s">
        <v>3380</v>
      </c>
      <c r="J681" s="2">
        <v>24730</v>
      </c>
      <c r="K681" s="2">
        <v>100</v>
      </c>
      <c r="L681" s="2">
        <v>7</v>
      </c>
      <c r="M681" s="2">
        <v>0</v>
      </c>
      <c r="N681" t="s">
        <v>80</v>
      </c>
      <c r="O681" t="s">
        <v>81</v>
      </c>
      <c r="P681" t="s">
        <v>82</v>
      </c>
      <c r="Q681" t="s">
        <v>83</v>
      </c>
      <c r="S681" t="s">
        <v>3381</v>
      </c>
      <c r="U681" t="s">
        <v>45</v>
      </c>
      <c r="V681" t="s">
        <v>46</v>
      </c>
      <c r="W681" t="s">
        <v>80</v>
      </c>
      <c r="X681" t="s">
        <v>81</v>
      </c>
      <c r="Y681" t="s">
        <v>85</v>
      </c>
      <c r="Z681" t="s">
        <v>86</v>
      </c>
      <c r="AA681" t="s">
        <v>49</v>
      </c>
      <c r="AB681" t="s">
        <v>50</v>
      </c>
      <c r="AC681" s="2">
        <v>17151.599999999999</v>
      </c>
      <c r="AD681" t="s">
        <v>3382</v>
      </c>
      <c r="AE681" t="s">
        <v>52</v>
      </c>
    </row>
    <row r="682" spans="1:31" x14ac:dyDescent="0.25">
      <c r="A682" t="s">
        <v>3383</v>
      </c>
      <c r="B682" t="s">
        <v>3384</v>
      </c>
      <c r="C682" t="s">
        <v>3384</v>
      </c>
      <c r="D682" t="s">
        <v>125</v>
      </c>
      <c r="E682" t="s">
        <v>126</v>
      </c>
      <c r="F682" t="s">
        <v>3385</v>
      </c>
      <c r="G682" t="s">
        <v>35</v>
      </c>
      <c r="H682" t="s">
        <v>1531</v>
      </c>
      <c r="I682" t="s">
        <v>3386</v>
      </c>
      <c r="J682" s="2">
        <v>654510</v>
      </c>
      <c r="K682" s="2">
        <v>3000</v>
      </c>
      <c r="L682" s="2">
        <v>15</v>
      </c>
      <c r="M682" s="2">
        <v>0</v>
      </c>
      <c r="N682" t="s">
        <v>585</v>
      </c>
      <c r="O682" t="s">
        <v>584</v>
      </c>
      <c r="P682" t="s">
        <v>158</v>
      </c>
      <c r="Q682" t="s">
        <v>159</v>
      </c>
      <c r="S682" t="s">
        <v>3387</v>
      </c>
      <c r="U682" t="s">
        <v>45</v>
      </c>
      <c r="V682" t="s">
        <v>46</v>
      </c>
      <c r="W682" t="s">
        <v>585</v>
      </c>
      <c r="X682" t="s">
        <v>584</v>
      </c>
      <c r="Y682" t="s">
        <v>161</v>
      </c>
      <c r="Z682" t="s">
        <v>162</v>
      </c>
      <c r="AA682" t="s">
        <v>49</v>
      </c>
      <c r="AB682" t="s">
        <v>50</v>
      </c>
      <c r="AC682" s="2">
        <v>494885.42</v>
      </c>
      <c r="AD682" t="s">
        <v>3388</v>
      </c>
      <c r="AE682" t="s">
        <v>52</v>
      </c>
    </row>
    <row r="683" spans="1:31" hidden="1" x14ac:dyDescent="0.25">
      <c r="A683" s="10" t="s">
        <v>3389</v>
      </c>
      <c r="B683" s="10" t="s">
        <v>3390</v>
      </c>
      <c r="C683" t="s">
        <v>3390</v>
      </c>
      <c r="D683" t="s">
        <v>55</v>
      </c>
      <c r="E683" t="s">
        <v>56</v>
      </c>
      <c r="F683" t="s">
        <v>3391</v>
      </c>
      <c r="H683" t="s">
        <v>38</v>
      </c>
      <c r="I683" t="s">
        <v>3392</v>
      </c>
      <c r="J683" s="2">
        <v>1000</v>
      </c>
      <c r="K683" s="2">
        <v>0</v>
      </c>
      <c r="L683" s="2">
        <v>15</v>
      </c>
      <c r="M683" s="2">
        <v>0</v>
      </c>
      <c r="N683" t="s">
        <v>40</v>
      </c>
      <c r="O683" t="s">
        <v>41</v>
      </c>
      <c r="P683" t="s">
        <v>61</v>
      </c>
      <c r="Q683" t="s">
        <v>62</v>
      </c>
      <c r="S683" t="s">
        <v>3393</v>
      </c>
      <c r="U683" t="s">
        <v>45</v>
      </c>
      <c r="V683" t="s">
        <v>46</v>
      </c>
      <c r="W683" t="s">
        <v>40</v>
      </c>
      <c r="X683" t="s">
        <v>41</v>
      </c>
      <c r="Y683" t="s">
        <v>47</v>
      </c>
      <c r="Z683" t="s">
        <v>48</v>
      </c>
      <c r="AA683" t="s">
        <v>49</v>
      </c>
      <c r="AB683" t="s">
        <v>142</v>
      </c>
      <c r="AC683" s="2">
        <v>1000</v>
      </c>
      <c r="AD683" t="s">
        <v>64</v>
      </c>
    </row>
    <row r="684" spans="1:31" hidden="1" x14ac:dyDescent="0.25">
      <c r="I684" t="s">
        <v>3394</v>
      </c>
      <c r="J684" s="2">
        <v>1000</v>
      </c>
      <c r="K684" s="2">
        <v>0</v>
      </c>
      <c r="L684" s="2">
        <v>1</v>
      </c>
      <c r="M684" s="2">
        <v>0</v>
      </c>
      <c r="S684" t="s">
        <v>3395</v>
      </c>
      <c r="U684" t="s">
        <v>45</v>
      </c>
      <c r="V684" t="s">
        <v>46</v>
      </c>
      <c r="W684" t="s">
        <v>326</v>
      </c>
      <c r="X684" t="s">
        <v>327</v>
      </c>
      <c r="Y684" t="s">
        <v>121</v>
      </c>
      <c r="Z684" t="s">
        <v>94</v>
      </c>
      <c r="AA684" t="s">
        <v>49</v>
      </c>
      <c r="AC684" s="2"/>
    </row>
    <row r="685" spans="1:31" hidden="1" x14ac:dyDescent="0.25">
      <c r="I685" t="s">
        <v>3397</v>
      </c>
      <c r="J685" s="2">
        <v>218170</v>
      </c>
      <c r="K685" s="2">
        <v>1000</v>
      </c>
      <c r="L685" s="2">
        <v>15</v>
      </c>
      <c r="M685" s="2">
        <v>0</v>
      </c>
      <c r="S685" t="s">
        <v>3400</v>
      </c>
      <c r="U685" t="s">
        <v>45</v>
      </c>
      <c r="V685" t="s">
        <v>46</v>
      </c>
      <c r="W685" t="s">
        <v>3398</v>
      </c>
      <c r="X685" t="s">
        <v>3399</v>
      </c>
      <c r="Y685" t="s">
        <v>72</v>
      </c>
      <c r="Z685" t="s">
        <v>68</v>
      </c>
      <c r="AA685" t="s">
        <v>49</v>
      </c>
      <c r="AC685" s="2"/>
    </row>
    <row r="686" spans="1:31" x14ac:dyDescent="0.25">
      <c r="A686" t="s">
        <v>3401</v>
      </c>
      <c r="B686" t="s">
        <v>491</v>
      </c>
      <c r="C686" t="s">
        <v>491</v>
      </c>
      <c r="D686" t="s">
        <v>262</v>
      </c>
      <c r="E686" t="s">
        <v>134</v>
      </c>
      <c r="F686" t="s">
        <v>401</v>
      </c>
      <c r="G686" t="s">
        <v>3402</v>
      </c>
      <c r="H686" t="s">
        <v>402</v>
      </c>
      <c r="I686" t="s">
        <v>3403</v>
      </c>
      <c r="J686" s="2">
        <v>1527190</v>
      </c>
      <c r="K686" s="2">
        <v>7000</v>
      </c>
      <c r="L686" s="2">
        <v>30</v>
      </c>
      <c r="M686" s="2">
        <v>0</v>
      </c>
      <c r="N686" t="s">
        <v>403</v>
      </c>
      <c r="O686" t="s">
        <v>404</v>
      </c>
      <c r="P686" t="s">
        <v>205</v>
      </c>
      <c r="Q686" t="s">
        <v>206</v>
      </c>
      <c r="S686" t="s">
        <v>3404</v>
      </c>
      <c r="U686" t="s">
        <v>45</v>
      </c>
      <c r="V686" t="s">
        <v>46</v>
      </c>
      <c r="W686" t="s">
        <v>403</v>
      </c>
      <c r="X686" t="s">
        <v>404</v>
      </c>
      <c r="Y686" t="s">
        <v>161</v>
      </c>
      <c r="Z686" t="s">
        <v>162</v>
      </c>
      <c r="AA686" t="s">
        <v>49</v>
      </c>
      <c r="AB686" t="s">
        <v>50</v>
      </c>
      <c r="AC686" s="2">
        <v>1527190</v>
      </c>
      <c r="AD686" t="s">
        <v>64</v>
      </c>
    </row>
    <row r="687" spans="1:31" x14ac:dyDescent="0.25">
      <c r="A687" t="s">
        <v>3405</v>
      </c>
      <c r="B687" t="s">
        <v>3406</v>
      </c>
      <c r="C687" t="s">
        <v>3406</v>
      </c>
      <c r="D687" t="s">
        <v>344</v>
      </c>
      <c r="E687" t="s">
        <v>167</v>
      </c>
      <c r="F687" t="s">
        <v>3407</v>
      </c>
      <c r="G687" t="s">
        <v>498</v>
      </c>
      <c r="H687" t="s">
        <v>1444</v>
      </c>
      <c r="I687" t="s">
        <v>3408</v>
      </c>
      <c r="J687" s="2">
        <v>76360</v>
      </c>
      <c r="K687" s="2">
        <v>350</v>
      </c>
      <c r="L687" s="2">
        <v>7</v>
      </c>
      <c r="M687" s="2">
        <v>0</v>
      </c>
      <c r="N687" t="s">
        <v>1064</v>
      </c>
      <c r="O687" t="s">
        <v>1062</v>
      </c>
      <c r="P687" t="s">
        <v>304</v>
      </c>
      <c r="Q687" t="s">
        <v>72</v>
      </c>
      <c r="S687" t="s">
        <v>3409</v>
      </c>
      <c r="U687" t="s">
        <v>45</v>
      </c>
      <c r="V687" t="s">
        <v>46</v>
      </c>
      <c r="W687" t="s">
        <v>1064</v>
      </c>
      <c r="X687" t="s">
        <v>1062</v>
      </c>
      <c r="Y687" t="s">
        <v>72</v>
      </c>
      <c r="Z687" t="s">
        <v>68</v>
      </c>
      <c r="AA687" t="s">
        <v>49</v>
      </c>
      <c r="AB687" t="s">
        <v>50</v>
      </c>
      <c r="AC687" s="2">
        <v>60462.59</v>
      </c>
      <c r="AD687" t="s">
        <v>3410</v>
      </c>
    </row>
    <row r="688" spans="1:31" x14ac:dyDescent="0.25">
      <c r="A688" t="s">
        <v>3411</v>
      </c>
      <c r="B688" t="s">
        <v>3412</v>
      </c>
      <c r="C688" t="s">
        <v>3412</v>
      </c>
      <c r="D688" t="s">
        <v>125</v>
      </c>
      <c r="E688" t="s">
        <v>126</v>
      </c>
      <c r="F688" t="s">
        <v>3413</v>
      </c>
      <c r="G688" t="s">
        <v>125</v>
      </c>
      <c r="H688" t="s">
        <v>119</v>
      </c>
      <c r="J688" s="2">
        <v>187896</v>
      </c>
      <c r="K688" s="2">
        <v>800</v>
      </c>
      <c r="L688" s="2">
        <v>21</v>
      </c>
      <c r="M688" s="2">
        <v>0</v>
      </c>
      <c r="N688" t="s">
        <v>118</v>
      </c>
      <c r="O688" t="s">
        <v>119</v>
      </c>
      <c r="P688" t="s">
        <v>120</v>
      </c>
      <c r="Q688" t="s">
        <v>121</v>
      </c>
      <c r="S688" t="s">
        <v>3414</v>
      </c>
      <c r="U688" t="s">
        <v>45</v>
      </c>
      <c r="V688" t="s">
        <v>46</v>
      </c>
      <c r="W688" t="s">
        <v>118</v>
      </c>
      <c r="X688" t="s">
        <v>119</v>
      </c>
      <c r="Y688" t="s">
        <v>121</v>
      </c>
      <c r="Z688" t="s">
        <v>94</v>
      </c>
      <c r="AA688" t="s">
        <v>49</v>
      </c>
      <c r="AB688" t="s">
        <v>50</v>
      </c>
      <c r="AC688" s="2">
        <v>59041.53</v>
      </c>
      <c r="AD688" t="s">
        <v>3415</v>
      </c>
      <c r="AE688" t="s">
        <v>52</v>
      </c>
    </row>
    <row r="689" spans="1:31" x14ac:dyDescent="0.25">
      <c r="A689" t="s">
        <v>3416</v>
      </c>
      <c r="B689" t="s">
        <v>3417</v>
      </c>
      <c r="C689" t="s">
        <v>3417</v>
      </c>
      <c r="D689" t="s">
        <v>297</v>
      </c>
      <c r="E689" t="s">
        <v>167</v>
      </c>
      <c r="F689" t="s">
        <v>3418</v>
      </c>
      <c r="G689" t="s">
        <v>344</v>
      </c>
      <c r="H689" t="s">
        <v>300</v>
      </c>
      <c r="I689" t="s">
        <v>3419</v>
      </c>
      <c r="J689" s="2">
        <v>436340</v>
      </c>
      <c r="K689" s="2">
        <v>2000</v>
      </c>
      <c r="L689" s="2">
        <v>21</v>
      </c>
      <c r="M689" s="2">
        <v>0</v>
      </c>
      <c r="N689" t="s">
        <v>302</v>
      </c>
      <c r="O689" t="s">
        <v>303</v>
      </c>
      <c r="P689" t="s">
        <v>304</v>
      </c>
      <c r="Q689" t="s">
        <v>72</v>
      </c>
      <c r="S689" t="s">
        <v>3420</v>
      </c>
      <c r="U689" t="s">
        <v>45</v>
      </c>
      <c r="V689" t="s">
        <v>46</v>
      </c>
      <c r="W689" t="s">
        <v>302</v>
      </c>
      <c r="X689" t="s">
        <v>303</v>
      </c>
      <c r="Y689" t="s">
        <v>72</v>
      </c>
      <c r="Z689" t="s">
        <v>68</v>
      </c>
      <c r="AA689" t="s">
        <v>49</v>
      </c>
      <c r="AB689" t="s">
        <v>50</v>
      </c>
      <c r="AC689" s="2">
        <v>385933.74</v>
      </c>
      <c r="AD689" t="s">
        <v>3421</v>
      </c>
      <c r="AE689" t="s">
        <v>52</v>
      </c>
    </row>
    <row r="690" spans="1:31" hidden="1" x14ac:dyDescent="0.25">
      <c r="I690" t="s">
        <v>3422</v>
      </c>
      <c r="J690" s="2">
        <v>2182</v>
      </c>
      <c r="K690" s="2">
        <v>10</v>
      </c>
      <c r="L690" s="2">
        <v>1</v>
      </c>
      <c r="M690" s="2">
        <v>0</v>
      </c>
      <c r="S690" t="s">
        <v>3423</v>
      </c>
      <c r="U690" t="s">
        <v>45</v>
      </c>
      <c r="V690" t="s">
        <v>46</v>
      </c>
      <c r="W690" t="s">
        <v>254</v>
      </c>
      <c r="X690" t="s">
        <v>255</v>
      </c>
      <c r="Y690" t="s">
        <v>72</v>
      </c>
      <c r="Z690" t="s">
        <v>68</v>
      </c>
      <c r="AA690" t="s">
        <v>49</v>
      </c>
      <c r="AC690" s="2"/>
    </row>
    <row r="691" spans="1:31" x14ac:dyDescent="0.25">
      <c r="A691" t="s">
        <v>3424</v>
      </c>
      <c r="B691" t="s">
        <v>3425</v>
      </c>
      <c r="C691" t="s">
        <v>3425</v>
      </c>
      <c r="D691" t="s">
        <v>125</v>
      </c>
      <c r="E691" t="s">
        <v>126</v>
      </c>
      <c r="F691" t="s">
        <v>3426</v>
      </c>
      <c r="G691" t="s">
        <v>153</v>
      </c>
      <c r="H691" t="s">
        <v>181</v>
      </c>
      <c r="I691" t="s">
        <v>1532</v>
      </c>
      <c r="J691" s="2">
        <v>239987</v>
      </c>
      <c r="K691" s="2">
        <v>1100</v>
      </c>
      <c r="L691" s="2">
        <v>21</v>
      </c>
      <c r="M691" s="2">
        <v>0</v>
      </c>
      <c r="N691" t="s">
        <v>183</v>
      </c>
      <c r="O691" t="s">
        <v>184</v>
      </c>
      <c r="P691" t="s">
        <v>158</v>
      </c>
      <c r="Q691" t="s">
        <v>159</v>
      </c>
      <c r="S691" t="s">
        <v>3427</v>
      </c>
      <c r="U691" t="s">
        <v>45</v>
      </c>
      <c r="V691" t="s">
        <v>46</v>
      </c>
      <c r="W691" t="s">
        <v>183</v>
      </c>
      <c r="X691" t="s">
        <v>184</v>
      </c>
      <c r="Y691" t="s">
        <v>161</v>
      </c>
      <c r="Z691" t="s">
        <v>162</v>
      </c>
      <c r="AA691" t="s">
        <v>49</v>
      </c>
      <c r="AB691" t="s">
        <v>50</v>
      </c>
      <c r="AC691" s="2">
        <v>76389.09</v>
      </c>
      <c r="AD691" t="s">
        <v>3428</v>
      </c>
      <c r="AE691" t="s">
        <v>52</v>
      </c>
    </row>
    <row r="692" spans="1:31" hidden="1" x14ac:dyDescent="0.25">
      <c r="I692" t="s">
        <v>3429</v>
      </c>
      <c r="J692" s="2">
        <v>1000</v>
      </c>
      <c r="K692" s="2">
        <v>0</v>
      </c>
      <c r="L692" s="2">
        <v>1</v>
      </c>
      <c r="M692" s="2">
        <v>0</v>
      </c>
      <c r="U692" t="s">
        <v>45</v>
      </c>
      <c r="V692" t="s">
        <v>46</v>
      </c>
      <c r="W692" t="s">
        <v>172</v>
      </c>
      <c r="X692" t="s">
        <v>173</v>
      </c>
      <c r="Y692" t="s">
        <v>161</v>
      </c>
      <c r="Z692" t="s">
        <v>162</v>
      </c>
      <c r="AA692" t="s">
        <v>49</v>
      </c>
      <c r="AC692" s="2"/>
    </row>
    <row r="693" spans="1:31" x14ac:dyDescent="0.25">
      <c r="A693" t="s">
        <v>3430</v>
      </c>
      <c r="B693" t="s">
        <v>3431</v>
      </c>
      <c r="C693" t="s">
        <v>3431</v>
      </c>
      <c r="D693" t="s">
        <v>3402</v>
      </c>
      <c r="E693" t="s">
        <v>134</v>
      </c>
      <c r="F693" t="s">
        <v>3432</v>
      </c>
      <c r="G693" t="s">
        <v>519</v>
      </c>
      <c r="H693" t="s">
        <v>1444</v>
      </c>
      <c r="I693" t="s">
        <v>3433</v>
      </c>
      <c r="J693" s="2">
        <v>152719</v>
      </c>
      <c r="K693" s="2">
        <v>700</v>
      </c>
      <c r="L693" s="2">
        <v>15</v>
      </c>
      <c r="M693" s="2">
        <v>0</v>
      </c>
      <c r="N693" t="s">
        <v>1064</v>
      </c>
      <c r="O693" t="s">
        <v>1062</v>
      </c>
      <c r="P693" t="s">
        <v>304</v>
      </c>
      <c r="Q693" t="s">
        <v>72</v>
      </c>
      <c r="S693" t="s">
        <v>3434</v>
      </c>
      <c r="U693" t="s">
        <v>45</v>
      </c>
      <c r="V693" t="s">
        <v>46</v>
      </c>
      <c r="W693" t="s">
        <v>1064</v>
      </c>
      <c r="X693" t="s">
        <v>1062</v>
      </c>
      <c r="Y693" t="s">
        <v>72</v>
      </c>
      <c r="Z693" t="s">
        <v>68</v>
      </c>
      <c r="AA693" t="s">
        <v>49</v>
      </c>
      <c r="AB693" t="s">
        <v>50</v>
      </c>
      <c r="AC693" s="2">
        <v>152719</v>
      </c>
      <c r="AD693" t="s">
        <v>64</v>
      </c>
    </row>
    <row r="694" spans="1:31" hidden="1" x14ac:dyDescent="0.25">
      <c r="I694" t="s">
        <v>3435</v>
      </c>
      <c r="J694" s="2">
        <v>1000</v>
      </c>
      <c r="K694" s="2">
        <v>0</v>
      </c>
      <c r="L694" s="2">
        <v>1</v>
      </c>
      <c r="M694" s="2">
        <v>0</v>
      </c>
      <c r="S694" t="s">
        <v>3436</v>
      </c>
      <c r="U694" t="s">
        <v>45</v>
      </c>
      <c r="V694" t="s">
        <v>46</v>
      </c>
      <c r="W694" t="s">
        <v>302</v>
      </c>
      <c r="X694" t="s">
        <v>303</v>
      </c>
      <c r="Y694" t="s">
        <v>72</v>
      </c>
      <c r="Z694" t="s">
        <v>68</v>
      </c>
      <c r="AA694" t="s">
        <v>49</v>
      </c>
      <c r="AC694" s="2"/>
    </row>
    <row r="695" spans="1:31" x14ac:dyDescent="0.25">
      <c r="A695" t="s">
        <v>3437</v>
      </c>
      <c r="B695" t="s">
        <v>3438</v>
      </c>
      <c r="C695" t="s">
        <v>3438</v>
      </c>
      <c r="D695" t="s">
        <v>153</v>
      </c>
      <c r="E695" t="s">
        <v>272</v>
      </c>
      <c r="F695" t="s">
        <v>3439</v>
      </c>
      <c r="G695" t="s">
        <v>153</v>
      </c>
      <c r="H695" t="s">
        <v>1607</v>
      </c>
      <c r="I695" t="s">
        <v>3440</v>
      </c>
      <c r="J695" s="2">
        <v>545425</v>
      </c>
      <c r="K695" s="2">
        <v>2500</v>
      </c>
      <c r="L695" s="2">
        <v>30</v>
      </c>
      <c r="M695" s="2">
        <v>0</v>
      </c>
      <c r="N695" t="s">
        <v>1221</v>
      </c>
      <c r="O695" t="s">
        <v>1222</v>
      </c>
      <c r="P695" t="s">
        <v>205</v>
      </c>
      <c r="Q695" t="s">
        <v>206</v>
      </c>
      <c r="S695" t="s">
        <v>3441</v>
      </c>
      <c r="U695" t="s">
        <v>45</v>
      </c>
      <c r="V695" t="s">
        <v>46</v>
      </c>
      <c r="W695" t="s">
        <v>1221</v>
      </c>
      <c r="X695" t="s">
        <v>1222</v>
      </c>
      <c r="Y695" t="s">
        <v>161</v>
      </c>
      <c r="Z695" t="s">
        <v>162</v>
      </c>
      <c r="AA695" t="s">
        <v>49</v>
      </c>
      <c r="AB695" t="s">
        <v>50</v>
      </c>
      <c r="AC695" s="2">
        <v>483899.22</v>
      </c>
      <c r="AD695" t="s">
        <v>3442</v>
      </c>
      <c r="AE695" t="s">
        <v>52</v>
      </c>
    </row>
    <row r="696" spans="1:31" x14ac:dyDescent="0.25">
      <c r="A696" t="s">
        <v>3443</v>
      </c>
      <c r="B696" t="s">
        <v>3444</v>
      </c>
      <c r="C696" t="s">
        <v>3444</v>
      </c>
      <c r="D696" t="s">
        <v>1941</v>
      </c>
      <c r="E696" t="s">
        <v>224</v>
      </c>
      <c r="F696" t="s">
        <v>3445</v>
      </c>
      <c r="G696" t="s">
        <v>1854</v>
      </c>
      <c r="H696" t="s">
        <v>1095</v>
      </c>
      <c r="I696" t="s">
        <v>3446</v>
      </c>
      <c r="J696" s="2">
        <v>32726</v>
      </c>
      <c r="K696" s="2">
        <v>150</v>
      </c>
      <c r="L696" s="2">
        <v>7</v>
      </c>
      <c r="M696" s="2">
        <v>0</v>
      </c>
      <c r="N696" t="s">
        <v>1038</v>
      </c>
      <c r="O696" t="s">
        <v>1039</v>
      </c>
      <c r="P696" t="s">
        <v>304</v>
      </c>
      <c r="Q696" t="s">
        <v>72</v>
      </c>
      <c r="S696" t="s">
        <v>3447</v>
      </c>
      <c r="U696" t="s">
        <v>45</v>
      </c>
      <c r="V696" t="s">
        <v>46</v>
      </c>
      <c r="W696" t="s">
        <v>1038</v>
      </c>
      <c r="X696" t="s">
        <v>1039</v>
      </c>
      <c r="Y696" t="s">
        <v>72</v>
      </c>
      <c r="Z696" t="s">
        <v>68</v>
      </c>
      <c r="AA696" t="s">
        <v>49</v>
      </c>
      <c r="AB696" t="s">
        <v>50</v>
      </c>
      <c r="AC696" s="2">
        <v>32726</v>
      </c>
      <c r="AD696" t="s">
        <v>64</v>
      </c>
    </row>
    <row r="697" spans="1:31" hidden="1" x14ac:dyDescent="0.25">
      <c r="I697" t="s">
        <v>3448</v>
      </c>
      <c r="J697" s="2">
        <v>1000</v>
      </c>
      <c r="K697" s="2">
        <v>0</v>
      </c>
      <c r="L697" s="2">
        <v>21</v>
      </c>
      <c r="M697" s="2">
        <v>0</v>
      </c>
      <c r="S697" t="s">
        <v>3449</v>
      </c>
      <c r="U697" t="s">
        <v>45</v>
      </c>
      <c r="V697" t="s">
        <v>46</v>
      </c>
      <c r="W697" t="s">
        <v>445</v>
      </c>
      <c r="X697" t="s">
        <v>446</v>
      </c>
      <c r="Y697" t="s">
        <v>72</v>
      </c>
      <c r="Z697" t="s">
        <v>68</v>
      </c>
      <c r="AA697" t="s">
        <v>49</v>
      </c>
      <c r="AC697" s="2"/>
    </row>
    <row r="698" spans="1:31" x14ac:dyDescent="0.25">
      <c r="A698" t="s">
        <v>3450</v>
      </c>
      <c r="B698" t="s">
        <v>3451</v>
      </c>
      <c r="C698" t="s">
        <v>3451</v>
      </c>
      <c r="D698" t="s">
        <v>125</v>
      </c>
      <c r="E698" t="s">
        <v>126</v>
      </c>
      <c r="F698" t="s">
        <v>3452</v>
      </c>
      <c r="G698" t="s">
        <v>125</v>
      </c>
      <c r="H698" t="s">
        <v>324</v>
      </c>
      <c r="I698" t="s">
        <v>3453</v>
      </c>
      <c r="J698" s="2">
        <v>2878260</v>
      </c>
      <c r="K698" s="2">
        <v>11550</v>
      </c>
      <c r="L698" s="2">
        <v>30</v>
      </c>
      <c r="M698" s="2">
        <v>0</v>
      </c>
      <c r="N698" t="s">
        <v>326</v>
      </c>
      <c r="O698" t="s">
        <v>327</v>
      </c>
      <c r="P698" t="s">
        <v>120</v>
      </c>
      <c r="Q698" t="s">
        <v>121</v>
      </c>
      <c r="S698" t="s">
        <v>3454</v>
      </c>
      <c r="U698" t="s">
        <v>45</v>
      </c>
      <c r="V698" t="s">
        <v>46</v>
      </c>
      <c r="W698" t="s">
        <v>326</v>
      </c>
      <c r="X698" t="s">
        <v>327</v>
      </c>
      <c r="Y698" t="s">
        <v>121</v>
      </c>
      <c r="Z698" t="s">
        <v>94</v>
      </c>
      <c r="AA698" t="s">
        <v>49</v>
      </c>
      <c r="AB698" t="s">
        <v>50</v>
      </c>
      <c r="AC698" s="2">
        <v>1622433.75</v>
      </c>
      <c r="AD698" t="s">
        <v>3455</v>
      </c>
      <c r="AE698" t="s">
        <v>52</v>
      </c>
    </row>
    <row r="699" spans="1:31" x14ac:dyDescent="0.25">
      <c r="A699" t="s">
        <v>3456</v>
      </c>
      <c r="B699" t="s">
        <v>3457</v>
      </c>
      <c r="C699" t="s">
        <v>3457</v>
      </c>
      <c r="D699" t="s">
        <v>153</v>
      </c>
      <c r="E699" t="s">
        <v>272</v>
      </c>
      <c r="F699" t="s">
        <v>3458</v>
      </c>
      <c r="G699" t="s">
        <v>153</v>
      </c>
      <c r="H699" t="s">
        <v>300</v>
      </c>
      <c r="I699" t="s">
        <v>3459</v>
      </c>
      <c r="J699" s="2">
        <v>1090850</v>
      </c>
      <c r="K699" s="2">
        <v>5000</v>
      </c>
      <c r="L699" s="2">
        <v>30</v>
      </c>
      <c r="M699" s="2">
        <v>0</v>
      </c>
      <c r="N699" t="s">
        <v>302</v>
      </c>
      <c r="O699" t="s">
        <v>303</v>
      </c>
      <c r="P699" t="s">
        <v>304</v>
      </c>
      <c r="Q699" t="s">
        <v>72</v>
      </c>
      <c r="S699" t="s">
        <v>3460</v>
      </c>
      <c r="U699" t="s">
        <v>45</v>
      </c>
      <c r="V699" t="s">
        <v>46</v>
      </c>
      <c r="W699" t="s">
        <v>302</v>
      </c>
      <c r="X699" t="s">
        <v>303</v>
      </c>
      <c r="Y699" t="s">
        <v>72</v>
      </c>
      <c r="Z699" t="s">
        <v>68</v>
      </c>
      <c r="AA699" t="s">
        <v>49</v>
      </c>
      <c r="AB699" t="s">
        <v>50</v>
      </c>
      <c r="AC699" s="2">
        <v>910419.09</v>
      </c>
      <c r="AD699" t="s">
        <v>3461</v>
      </c>
      <c r="AE699" t="s">
        <v>52</v>
      </c>
    </row>
    <row r="700" spans="1:31" x14ac:dyDescent="0.25">
      <c r="A700" t="s">
        <v>3462</v>
      </c>
      <c r="B700" t="s">
        <v>3463</v>
      </c>
      <c r="C700" t="s">
        <v>3464</v>
      </c>
      <c r="D700" t="s">
        <v>35</v>
      </c>
      <c r="E700" t="s">
        <v>36</v>
      </c>
      <c r="F700" t="s">
        <v>3465</v>
      </c>
      <c r="G700" t="s">
        <v>649</v>
      </c>
      <c r="H700" t="s">
        <v>300</v>
      </c>
      <c r="I700" t="s">
        <v>3466</v>
      </c>
      <c r="J700" s="2">
        <v>96716</v>
      </c>
      <c r="K700" s="2">
        <v>415</v>
      </c>
      <c r="L700" s="2">
        <v>15</v>
      </c>
      <c r="M700" s="2">
        <v>0</v>
      </c>
      <c r="N700" t="s">
        <v>302</v>
      </c>
      <c r="O700" t="s">
        <v>303</v>
      </c>
      <c r="P700" t="s">
        <v>304</v>
      </c>
      <c r="Q700" t="s">
        <v>72</v>
      </c>
      <c r="S700" t="s">
        <v>3467</v>
      </c>
      <c r="U700" t="s">
        <v>45</v>
      </c>
      <c r="V700" t="s">
        <v>46</v>
      </c>
      <c r="W700" t="s">
        <v>302</v>
      </c>
      <c r="X700" t="s">
        <v>303</v>
      </c>
      <c r="Y700" t="s">
        <v>72</v>
      </c>
      <c r="Z700" t="s">
        <v>68</v>
      </c>
      <c r="AA700" t="s">
        <v>49</v>
      </c>
      <c r="AB700" t="s">
        <v>50</v>
      </c>
      <c r="AC700" s="2">
        <v>5448.12</v>
      </c>
      <c r="AD700" t="s">
        <v>3468</v>
      </c>
      <c r="AE700" t="s">
        <v>115</v>
      </c>
    </row>
    <row r="701" spans="1:31" x14ac:dyDescent="0.25">
      <c r="A701" t="s">
        <v>3469</v>
      </c>
      <c r="B701" t="s">
        <v>3470</v>
      </c>
      <c r="C701" t="s">
        <v>3470</v>
      </c>
      <c r="D701" t="s">
        <v>125</v>
      </c>
      <c r="E701" t="s">
        <v>126</v>
      </c>
      <c r="F701" t="s">
        <v>3471</v>
      </c>
      <c r="G701" t="s">
        <v>3472</v>
      </c>
      <c r="H701" t="s">
        <v>300</v>
      </c>
      <c r="I701" t="s">
        <v>3473</v>
      </c>
      <c r="J701" s="2">
        <v>464702</v>
      </c>
      <c r="K701" s="2">
        <v>2130</v>
      </c>
      <c r="L701" s="2">
        <v>21</v>
      </c>
      <c r="M701" s="2">
        <v>0</v>
      </c>
      <c r="N701" t="s">
        <v>302</v>
      </c>
      <c r="O701" t="s">
        <v>303</v>
      </c>
      <c r="P701" t="s">
        <v>304</v>
      </c>
      <c r="Q701" t="s">
        <v>72</v>
      </c>
      <c r="S701" t="s">
        <v>3474</v>
      </c>
      <c r="U701" t="s">
        <v>45</v>
      </c>
      <c r="V701" t="s">
        <v>46</v>
      </c>
      <c r="W701" t="s">
        <v>302</v>
      </c>
      <c r="X701" t="s">
        <v>303</v>
      </c>
      <c r="Y701" t="s">
        <v>72</v>
      </c>
      <c r="Z701" t="s">
        <v>68</v>
      </c>
      <c r="AA701" t="s">
        <v>49</v>
      </c>
      <c r="AB701" t="s">
        <v>50</v>
      </c>
      <c r="AC701" s="2">
        <v>462258.6</v>
      </c>
      <c r="AD701" t="s">
        <v>3475</v>
      </c>
    </row>
    <row r="702" spans="1:31" hidden="1" x14ac:dyDescent="0.25">
      <c r="I702" t="s">
        <v>3476</v>
      </c>
      <c r="J702" s="2">
        <v>1000</v>
      </c>
      <c r="K702" s="2">
        <v>0</v>
      </c>
      <c r="L702" s="2">
        <v>1</v>
      </c>
      <c r="M702" s="2">
        <v>0</v>
      </c>
      <c r="S702" t="s">
        <v>3477</v>
      </c>
      <c r="U702" t="s">
        <v>45</v>
      </c>
      <c r="V702" t="s">
        <v>46</v>
      </c>
      <c r="W702" t="s">
        <v>302</v>
      </c>
      <c r="X702" t="s">
        <v>303</v>
      </c>
      <c r="Y702" t="s">
        <v>72</v>
      </c>
      <c r="Z702" t="s">
        <v>68</v>
      </c>
      <c r="AA702" t="s">
        <v>49</v>
      </c>
      <c r="AC702" s="2"/>
    </row>
    <row r="703" spans="1:31" x14ac:dyDescent="0.25">
      <c r="A703" t="s">
        <v>3478</v>
      </c>
      <c r="B703" t="s">
        <v>3479</v>
      </c>
      <c r="C703" t="s">
        <v>3479</v>
      </c>
      <c r="D703" t="s">
        <v>297</v>
      </c>
      <c r="E703" t="s">
        <v>167</v>
      </c>
      <c r="F703" t="s">
        <v>3480</v>
      </c>
      <c r="G703" t="s">
        <v>344</v>
      </c>
      <c r="H703" t="s">
        <v>300</v>
      </c>
      <c r="I703" t="s">
        <v>3481</v>
      </c>
      <c r="J703" s="2">
        <v>436340</v>
      </c>
      <c r="K703" s="2">
        <v>2000</v>
      </c>
      <c r="L703" s="2">
        <v>21</v>
      </c>
      <c r="M703" s="2">
        <v>0</v>
      </c>
      <c r="N703" t="s">
        <v>302</v>
      </c>
      <c r="O703" t="s">
        <v>303</v>
      </c>
      <c r="P703" t="s">
        <v>304</v>
      </c>
      <c r="Q703" t="s">
        <v>72</v>
      </c>
      <c r="S703" t="s">
        <v>3482</v>
      </c>
      <c r="U703" t="s">
        <v>45</v>
      </c>
      <c r="V703" t="s">
        <v>46</v>
      </c>
      <c r="W703" t="s">
        <v>302</v>
      </c>
      <c r="X703" t="s">
        <v>303</v>
      </c>
      <c r="Y703" t="s">
        <v>72</v>
      </c>
      <c r="Z703" t="s">
        <v>68</v>
      </c>
      <c r="AA703" t="s">
        <v>49</v>
      </c>
      <c r="AB703" t="s">
        <v>50</v>
      </c>
      <c r="AC703" s="2">
        <v>420229.17</v>
      </c>
      <c r="AD703" t="s">
        <v>3483</v>
      </c>
      <c r="AE703" t="s">
        <v>52</v>
      </c>
    </row>
    <row r="704" spans="1:31" hidden="1" x14ac:dyDescent="0.25">
      <c r="I704" t="s">
        <v>3484</v>
      </c>
      <c r="J704" s="2">
        <v>1000</v>
      </c>
      <c r="K704" s="2">
        <v>0</v>
      </c>
      <c r="L704" s="2">
        <v>15</v>
      </c>
      <c r="M704" s="2">
        <v>0</v>
      </c>
      <c r="S704" t="s">
        <v>3485</v>
      </c>
      <c r="U704" t="s">
        <v>45</v>
      </c>
      <c r="V704" t="s">
        <v>46</v>
      </c>
      <c r="W704" t="s">
        <v>302</v>
      </c>
      <c r="X704" t="s">
        <v>303</v>
      </c>
      <c r="Y704" t="s">
        <v>72</v>
      </c>
      <c r="Z704" t="s">
        <v>68</v>
      </c>
      <c r="AA704" t="s">
        <v>49</v>
      </c>
      <c r="AC704" s="2"/>
    </row>
    <row r="705" spans="1:31" hidden="1" x14ac:dyDescent="0.25">
      <c r="I705" t="s">
        <v>3486</v>
      </c>
      <c r="J705" s="2">
        <v>1000</v>
      </c>
      <c r="K705" s="2">
        <v>0</v>
      </c>
      <c r="L705" s="2">
        <v>15</v>
      </c>
      <c r="M705" s="2">
        <v>0</v>
      </c>
      <c r="S705" t="s">
        <v>3489</v>
      </c>
      <c r="U705" t="s">
        <v>45</v>
      </c>
      <c r="V705" t="s">
        <v>46</v>
      </c>
      <c r="W705" t="s">
        <v>1038</v>
      </c>
      <c r="X705" t="s">
        <v>1039</v>
      </c>
      <c r="Y705" t="s">
        <v>72</v>
      </c>
      <c r="Z705" t="s">
        <v>68</v>
      </c>
      <c r="AA705" t="s">
        <v>49</v>
      </c>
      <c r="AC705" s="2"/>
    </row>
    <row r="706" spans="1:31" hidden="1" x14ac:dyDescent="0.25">
      <c r="A706" t="s">
        <v>3490</v>
      </c>
      <c r="B706" t="s">
        <v>3491</v>
      </c>
      <c r="C706" t="s">
        <v>3491</v>
      </c>
      <c r="D706" t="s">
        <v>55</v>
      </c>
      <c r="E706" t="s">
        <v>56</v>
      </c>
      <c r="F706" t="s">
        <v>263</v>
      </c>
      <c r="J706" s="2">
        <v>1000</v>
      </c>
      <c r="K706" s="2">
        <v>0</v>
      </c>
      <c r="L706" s="2">
        <v>15</v>
      </c>
      <c r="M706" s="2">
        <v>0</v>
      </c>
      <c r="N706" t="s">
        <v>267</v>
      </c>
      <c r="O706" t="s">
        <v>268</v>
      </c>
      <c r="P706" t="s">
        <v>669</v>
      </c>
      <c r="Q706" t="s">
        <v>670</v>
      </c>
      <c r="U706" t="s">
        <v>45</v>
      </c>
      <c r="V706" t="s">
        <v>46</v>
      </c>
      <c r="W706" t="s">
        <v>267</v>
      </c>
      <c r="X706" t="s">
        <v>268</v>
      </c>
      <c r="Y706" t="s">
        <v>106</v>
      </c>
      <c r="Z706" t="s">
        <v>107</v>
      </c>
      <c r="AA706" t="s">
        <v>49</v>
      </c>
      <c r="AB706" t="s">
        <v>50</v>
      </c>
      <c r="AC706" s="2">
        <v>1000</v>
      </c>
      <c r="AD706" t="s">
        <v>64</v>
      </c>
    </row>
    <row r="707" spans="1:31" hidden="1" x14ac:dyDescent="0.25">
      <c r="I707" t="s">
        <v>3492</v>
      </c>
      <c r="J707" s="2">
        <v>1000</v>
      </c>
      <c r="K707" s="2">
        <v>0</v>
      </c>
      <c r="L707" s="2">
        <v>1</v>
      </c>
      <c r="M707" s="2">
        <v>0</v>
      </c>
      <c r="S707" t="s">
        <v>3493</v>
      </c>
      <c r="U707" t="s">
        <v>45</v>
      </c>
      <c r="V707" t="s">
        <v>46</v>
      </c>
      <c r="W707" t="s">
        <v>664</v>
      </c>
      <c r="X707" t="s">
        <v>665</v>
      </c>
      <c r="Y707" t="s">
        <v>106</v>
      </c>
      <c r="Z707" t="s">
        <v>107</v>
      </c>
      <c r="AA707" t="s">
        <v>49</v>
      </c>
      <c r="AC707" s="2"/>
    </row>
    <row r="708" spans="1:31" x14ac:dyDescent="0.25">
      <c r="A708" t="s">
        <v>3494</v>
      </c>
      <c r="B708" t="s">
        <v>3495</v>
      </c>
      <c r="C708" t="s">
        <v>3495</v>
      </c>
      <c r="D708" t="s">
        <v>35</v>
      </c>
      <c r="E708" t="s">
        <v>36</v>
      </c>
      <c r="F708" t="s">
        <v>3496</v>
      </c>
      <c r="G708" t="s">
        <v>35</v>
      </c>
      <c r="H708" t="s">
        <v>402</v>
      </c>
      <c r="I708" t="s">
        <v>3497</v>
      </c>
      <c r="J708" s="2">
        <v>279577</v>
      </c>
      <c r="K708" s="2">
        <v>1150</v>
      </c>
      <c r="L708" s="2">
        <v>21</v>
      </c>
      <c r="M708" s="2">
        <v>0</v>
      </c>
      <c r="N708" t="s">
        <v>403</v>
      </c>
      <c r="O708" t="s">
        <v>404</v>
      </c>
      <c r="P708" t="s">
        <v>205</v>
      </c>
      <c r="Q708" t="s">
        <v>206</v>
      </c>
      <c r="S708" t="s">
        <v>3498</v>
      </c>
      <c r="U708" t="s">
        <v>45</v>
      </c>
      <c r="V708" t="s">
        <v>46</v>
      </c>
      <c r="W708" t="s">
        <v>403</v>
      </c>
      <c r="X708" t="s">
        <v>404</v>
      </c>
      <c r="Y708" t="s">
        <v>161</v>
      </c>
      <c r="Z708" t="s">
        <v>162</v>
      </c>
      <c r="AA708" t="s">
        <v>49</v>
      </c>
      <c r="AB708" t="s">
        <v>50</v>
      </c>
      <c r="AC708" s="2">
        <v>70278.06</v>
      </c>
      <c r="AD708" t="s">
        <v>3499</v>
      </c>
      <c r="AE708" t="s">
        <v>52</v>
      </c>
    </row>
    <row r="709" spans="1:31" x14ac:dyDescent="0.25">
      <c r="A709" t="s">
        <v>3500</v>
      </c>
      <c r="B709" t="s">
        <v>3501</v>
      </c>
      <c r="C709" t="s">
        <v>3501</v>
      </c>
      <c r="D709" t="s">
        <v>153</v>
      </c>
      <c r="E709" t="s">
        <v>272</v>
      </c>
      <c r="F709" t="s">
        <v>3502</v>
      </c>
      <c r="G709" t="s">
        <v>649</v>
      </c>
      <c r="H709" t="s">
        <v>3503</v>
      </c>
      <c r="I709" t="s">
        <v>3504</v>
      </c>
      <c r="J709" s="2">
        <v>237711</v>
      </c>
      <c r="K709" s="2">
        <v>1020</v>
      </c>
      <c r="L709" s="2">
        <v>15</v>
      </c>
      <c r="M709" s="2">
        <v>0</v>
      </c>
      <c r="N709" t="s">
        <v>3505</v>
      </c>
      <c r="O709" t="s">
        <v>3506</v>
      </c>
      <c r="P709" t="s">
        <v>304</v>
      </c>
      <c r="Q709" t="s">
        <v>72</v>
      </c>
      <c r="S709" t="s">
        <v>3507</v>
      </c>
      <c r="U709" t="s">
        <v>45</v>
      </c>
      <c r="V709" t="s">
        <v>46</v>
      </c>
      <c r="W709" t="s">
        <v>3505</v>
      </c>
      <c r="X709" t="s">
        <v>3506</v>
      </c>
      <c r="Y709" t="s">
        <v>72</v>
      </c>
      <c r="Z709" t="s">
        <v>68</v>
      </c>
      <c r="AA709" t="s">
        <v>49</v>
      </c>
      <c r="AB709" t="s">
        <v>50</v>
      </c>
      <c r="AC709" s="2">
        <v>143485.48000000001</v>
      </c>
      <c r="AD709" t="s">
        <v>3508</v>
      </c>
      <c r="AE709" t="s">
        <v>115</v>
      </c>
    </row>
    <row r="710" spans="1:31" hidden="1" x14ac:dyDescent="0.25">
      <c r="I710" t="s">
        <v>3509</v>
      </c>
      <c r="J710" s="2">
        <v>1000</v>
      </c>
      <c r="K710" s="2">
        <v>0</v>
      </c>
      <c r="L710" s="2">
        <v>1</v>
      </c>
      <c r="M710" s="2">
        <v>0</v>
      </c>
      <c r="S710" t="s">
        <v>3510</v>
      </c>
      <c r="U710" t="s">
        <v>45</v>
      </c>
      <c r="V710" t="s">
        <v>46</v>
      </c>
      <c r="W710" t="s">
        <v>1064</v>
      </c>
      <c r="X710" t="s">
        <v>1062</v>
      </c>
      <c r="Y710" t="s">
        <v>72</v>
      </c>
      <c r="Z710" t="s">
        <v>68</v>
      </c>
      <c r="AA710" t="s">
        <v>49</v>
      </c>
      <c r="AC710" s="2"/>
    </row>
    <row r="711" spans="1:31" hidden="1" x14ac:dyDescent="0.25">
      <c r="A711" s="10" t="s">
        <v>3511</v>
      </c>
      <c r="B711" s="10" t="s">
        <v>3512</v>
      </c>
      <c r="C711" t="s">
        <v>3512</v>
      </c>
      <c r="D711" t="s">
        <v>55</v>
      </c>
      <c r="E711" t="s">
        <v>56</v>
      </c>
      <c r="F711" t="s">
        <v>3513</v>
      </c>
      <c r="H711" t="s">
        <v>1444</v>
      </c>
      <c r="I711" t="s">
        <v>3514</v>
      </c>
      <c r="J711" s="2">
        <v>1000</v>
      </c>
      <c r="K711" s="2">
        <v>0</v>
      </c>
      <c r="L711" s="2">
        <v>1</v>
      </c>
      <c r="M711" s="2">
        <v>0</v>
      </c>
      <c r="N711" t="s">
        <v>1064</v>
      </c>
      <c r="O711" t="s">
        <v>1062</v>
      </c>
      <c r="P711" t="s">
        <v>941</v>
      </c>
      <c r="Q711" t="s">
        <v>139</v>
      </c>
      <c r="S711" t="s">
        <v>3515</v>
      </c>
      <c r="U711" t="s">
        <v>45</v>
      </c>
      <c r="V711" t="s">
        <v>46</v>
      </c>
      <c r="W711" t="s">
        <v>1064</v>
      </c>
      <c r="X711" t="s">
        <v>1062</v>
      </c>
      <c r="Y711" t="s">
        <v>72</v>
      </c>
      <c r="Z711" t="s">
        <v>68</v>
      </c>
      <c r="AA711" t="s">
        <v>49</v>
      </c>
      <c r="AB711" t="s">
        <v>142</v>
      </c>
      <c r="AC711" s="2">
        <v>1000</v>
      </c>
      <c r="AD711" t="s">
        <v>64</v>
      </c>
    </row>
    <row r="712" spans="1:31" hidden="1" x14ac:dyDescent="0.25">
      <c r="I712" t="s">
        <v>3516</v>
      </c>
      <c r="J712" s="2">
        <v>1000</v>
      </c>
      <c r="K712" s="2">
        <v>0</v>
      </c>
      <c r="L712" s="2">
        <v>7</v>
      </c>
      <c r="M712" s="2">
        <v>0</v>
      </c>
      <c r="S712" t="s">
        <v>3517</v>
      </c>
      <c r="U712" t="s">
        <v>45</v>
      </c>
      <c r="V712" t="s">
        <v>46</v>
      </c>
      <c r="W712" t="s">
        <v>1064</v>
      </c>
      <c r="X712" t="s">
        <v>1062</v>
      </c>
      <c r="Y712" t="s">
        <v>72</v>
      </c>
      <c r="Z712" t="s">
        <v>68</v>
      </c>
      <c r="AA712" t="s">
        <v>49</v>
      </c>
      <c r="AC712" s="2"/>
    </row>
    <row r="713" spans="1:31" hidden="1" x14ac:dyDescent="0.25">
      <c r="I713" t="s">
        <v>3518</v>
      </c>
      <c r="J713" s="2">
        <v>1000</v>
      </c>
      <c r="K713" s="2">
        <v>0</v>
      </c>
      <c r="L713" s="2">
        <v>15</v>
      </c>
      <c r="M713" s="2">
        <v>0</v>
      </c>
      <c r="S713" t="s">
        <v>3519</v>
      </c>
      <c r="U713" t="s">
        <v>45</v>
      </c>
      <c r="V713" t="s">
        <v>46</v>
      </c>
      <c r="W713" t="s">
        <v>1038</v>
      </c>
      <c r="X713" t="s">
        <v>1039</v>
      </c>
      <c r="Y713" t="s">
        <v>72</v>
      </c>
      <c r="Z713" t="s">
        <v>68</v>
      </c>
      <c r="AA713" t="s">
        <v>49</v>
      </c>
      <c r="AC713" s="2"/>
    </row>
    <row r="714" spans="1:31" x14ac:dyDescent="0.25">
      <c r="A714" t="s">
        <v>3520</v>
      </c>
      <c r="B714" t="s">
        <v>3521</v>
      </c>
      <c r="C714" t="s">
        <v>3522</v>
      </c>
      <c r="D714" t="s">
        <v>153</v>
      </c>
      <c r="E714" t="s">
        <v>272</v>
      </c>
      <c r="F714" t="s">
        <v>2267</v>
      </c>
      <c r="G714" t="s">
        <v>153</v>
      </c>
      <c r="H714" t="s">
        <v>1607</v>
      </c>
      <c r="J714" s="2">
        <v>436340</v>
      </c>
      <c r="K714" s="2">
        <v>2000</v>
      </c>
      <c r="L714" s="2">
        <v>30</v>
      </c>
      <c r="M714" s="2">
        <v>0</v>
      </c>
      <c r="N714" t="s">
        <v>1221</v>
      </c>
      <c r="O714" t="s">
        <v>1222</v>
      </c>
      <c r="P714" t="s">
        <v>205</v>
      </c>
      <c r="Q714" t="s">
        <v>206</v>
      </c>
      <c r="S714" t="s">
        <v>3523</v>
      </c>
      <c r="U714" t="s">
        <v>45</v>
      </c>
      <c r="V714" t="s">
        <v>46</v>
      </c>
      <c r="W714" t="s">
        <v>1221</v>
      </c>
      <c r="X714" t="s">
        <v>1222</v>
      </c>
      <c r="Y714" t="s">
        <v>161</v>
      </c>
      <c r="Z714" t="s">
        <v>162</v>
      </c>
      <c r="AA714" t="s">
        <v>49</v>
      </c>
      <c r="AB714" t="s">
        <v>50</v>
      </c>
      <c r="AC714" s="2">
        <v>375605.98</v>
      </c>
      <c r="AD714" t="s">
        <v>3524</v>
      </c>
      <c r="AE714" t="s">
        <v>52</v>
      </c>
    </row>
    <row r="715" spans="1:31" x14ac:dyDescent="0.25">
      <c r="A715" t="s">
        <v>3525</v>
      </c>
      <c r="B715" t="s">
        <v>3526</v>
      </c>
      <c r="C715" t="s">
        <v>2870</v>
      </c>
      <c r="D715" t="s">
        <v>153</v>
      </c>
      <c r="E715" t="s">
        <v>272</v>
      </c>
      <c r="F715" t="s">
        <v>2871</v>
      </c>
      <c r="G715" t="s">
        <v>153</v>
      </c>
      <c r="H715" t="s">
        <v>1607</v>
      </c>
      <c r="I715" t="s">
        <v>3527</v>
      </c>
      <c r="J715" s="2">
        <v>436340</v>
      </c>
      <c r="K715" s="2">
        <v>2000</v>
      </c>
      <c r="L715" s="2">
        <v>30</v>
      </c>
      <c r="M715" s="2">
        <v>0</v>
      </c>
      <c r="N715" t="s">
        <v>1221</v>
      </c>
      <c r="O715" t="s">
        <v>1222</v>
      </c>
      <c r="P715" t="s">
        <v>205</v>
      </c>
      <c r="Q715" t="s">
        <v>206</v>
      </c>
      <c r="S715" t="s">
        <v>3528</v>
      </c>
      <c r="U715" t="s">
        <v>45</v>
      </c>
      <c r="V715" t="s">
        <v>46</v>
      </c>
      <c r="W715" t="s">
        <v>1221</v>
      </c>
      <c r="X715" t="s">
        <v>1222</v>
      </c>
      <c r="Y715" t="s">
        <v>161</v>
      </c>
      <c r="Z715" t="s">
        <v>162</v>
      </c>
      <c r="AA715" t="s">
        <v>49</v>
      </c>
      <c r="AB715" t="s">
        <v>50</v>
      </c>
      <c r="AC715" s="2">
        <v>243521.13</v>
      </c>
      <c r="AD715" t="s">
        <v>3529</v>
      </c>
      <c r="AE715" t="s">
        <v>52</v>
      </c>
    </row>
    <row r="716" spans="1:31" x14ac:dyDescent="0.25">
      <c r="A716" s="15" t="s">
        <v>3530</v>
      </c>
      <c r="B716" s="15" t="s">
        <v>3531</v>
      </c>
      <c r="C716" s="15" t="s">
        <v>3531</v>
      </c>
      <c r="D716" s="15" t="s">
        <v>55</v>
      </c>
      <c r="E716" s="15" t="s">
        <v>56</v>
      </c>
      <c r="F716" s="15" t="s">
        <v>3532</v>
      </c>
      <c r="H716" s="15" t="s">
        <v>1444</v>
      </c>
      <c r="I716" t="s">
        <v>3533</v>
      </c>
      <c r="J716" s="2">
        <v>21817</v>
      </c>
      <c r="K716" s="2">
        <v>100</v>
      </c>
      <c r="L716" s="2">
        <v>30</v>
      </c>
      <c r="M716" s="2">
        <v>0</v>
      </c>
      <c r="N716" s="15" t="s">
        <v>1064</v>
      </c>
      <c r="O716" s="15" t="s">
        <v>1062</v>
      </c>
      <c r="P716" s="15" t="s">
        <v>3534</v>
      </c>
      <c r="Q716" s="15" t="s">
        <v>3535</v>
      </c>
      <c r="S716" t="s">
        <v>3536</v>
      </c>
      <c r="U716" t="s">
        <v>45</v>
      </c>
      <c r="V716" t="s">
        <v>46</v>
      </c>
      <c r="W716" t="s">
        <v>1064</v>
      </c>
      <c r="X716" t="s">
        <v>1062</v>
      </c>
      <c r="Y716" t="s">
        <v>72</v>
      </c>
      <c r="Z716" t="s">
        <v>68</v>
      </c>
      <c r="AA716" t="s">
        <v>49</v>
      </c>
      <c r="AB716" s="15" t="s">
        <v>50</v>
      </c>
      <c r="AC716" s="16">
        <v>21281.82</v>
      </c>
      <c r="AD716" s="15" t="s">
        <v>3537</v>
      </c>
      <c r="AE716" s="15" t="s">
        <v>115</v>
      </c>
    </row>
    <row r="717" spans="1:31" x14ac:dyDescent="0.25">
      <c r="A717" t="s">
        <v>3538</v>
      </c>
      <c r="B717" t="s">
        <v>3539</v>
      </c>
      <c r="C717" t="s">
        <v>3540</v>
      </c>
      <c r="D717" t="s">
        <v>847</v>
      </c>
      <c r="E717" t="s">
        <v>848</v>
      </c>
      <c r="F717" t="s">
        <v>2860</v>
      </c>
      <c r="H717" t="s">
        <v>402</v>
      </c>
      <c r="I717" t="s">
        <v>3541</v>
      </c>
      <c r="J717" s="2">
        <v>436340</v>
      </c>
      <c r="K717" s="2">
        <v>2000</v>
      </c>
      <c r="L717" s="2">
        <v>30</v>
      </c>
      <c r="M717" s="2">
        <v>0</v>
      </c>
      <c r="N717" t="s">
        <v>403</v>
      </c>
      <c r="O717" t="s">
        <v>404</v>
      </c>
      <c r="P717" t="s">
        <v>205</v>
      </c>
      <c r="Q717" t="s">
        <v>206</v>
      </c>
      <c r="S717" t="s">
        <v>3542</v>
      </c>
      <c r="U717" t="s">
        <v>45</v>
      </c>
      <c r="V717" t="s">
        <v>46</v>
      </c>
      <c r="W717" t="s">
        <v>403</v>
      </c>
      <c r="X717" t="s">
        <v>404</v>
      </c>
      <c r="Y717" t="s">
        <v>161</v>
      </c>
      <c r="Z717" t="s">
        <v>162</v>
      </c>
      <c r="AA717" t="s">
        <v>49</v>
      </c>
      <c r="AB717" t="s">
        <v>50</v>
      </c>
      <c r="AC717" s="2">
        <v>415591.81</v>
      </c>
      <c r="AD717" t="s">
        <v>3543</v>
      </c>
    </row>
    <row r="718" spans="1:31" hidden="1" x14ac:dyDescent="0.25">
      <c r="A718" t="s">
        <v>3544</v>
      </c>
      <c r="B718" t="s">
        <v>3545</v>
      </c>
      <c r="C718" t="s">
        <v>3545</v>
      </c>
      <c r="D718" t="s">
        <v>55</v>
      </c>
      <c r="E718" t="s">
        <v>56</v>
      </c>
      <c r="F718" t="s">
        <v>2998</v>
      </c>
      <c r="J718" s="2">
        <v>1000</v>
      </c>
      <c r="K718" s="2">
        <v>0</v>
      </c>
      <c r="L718" s="2">
        <v>1</v>
      </c>
      <c r="M718" s="2">
        <v>0</v>
      </c>
      <c r="N718" t="s">
        <v>302</v>
      </c>
      <c r="O718" t="s">
        <v>303</v>
      </c>
      <c r="P718" t="s">
        <v>304</v>
      </c>
      <c r="Q718" t="s">
        <v>72</v>
      </c>
      <c r="U718" t="s">
        <v>45</v>
      </c>
      <c r="V718" t="s">
        <v>46</v>
      </c>
      <c r="W718" t="s">
        <v>302</v>
      </c>
      <c r="X718" t="s">
        <v>303</v>
      </c>
      <c r="Y718" t="s">
        <v>72</v>
      </c>
      <c r="Z718" t="s">
        <v>68</v>
      </c>
      <c r="AA718" t="s">
        <v>49</v>
      </c>
      <c r="AB718" t="s">
        <v>50</v>
      </c>
      <c r="AC718" s="2">
        <v>1000</v>
      </c>
      <c r="AD718" t="s">
        <v>64</v>
      </c>
    </row>
    <row r="719" spans="1:31" x14ac:dyDescent="0.25">
      <c r="A719" t="s">
        <v>3546</v>
      </c>
      <c r="B719" t="s">
        <v>3547</v>
      </c>
      <c r="C719" t="s">
        <v>2997</v>
      </c>
      <c r="D719" t="s">
        <v>125</v>
      </c>
      <c r="E719" t="s">
        <v>126</v>
      </c>
      <c r="F719" t="s">
        <v>2998</v>
      </c>
      <c r="G719" t="s">
        <v>35</v>
      </c>
      <c r="H719" t="s">
        <v>1444</v>
      </c>
      <c r="I719" t="s">
        <v>3548</v>
      </c>
      <c r="J719" s="2">
        <v>283621</v>
      </c>
      <c r="K719" s="2">
        <v>1300</v>
      </c>
      <c r="L719" s="2">
        <v>21</v>
      </c>
      <c r="M719" s="2">
        <v>0</v>
      </c>
      <c r="N719" t="s">
        <v>1064</v>
      </c>
      <c r="O719" t="s">
        <v>1062</v>
      </c>
      <c r="P719" t="s">
        <v>304</v>
      </c>
      <c r="Q719" t="s">
        <v>72</v>
      </c>
      <c r="S719" t="s">
        <v>3549</v>
      </c>
      <c r="U719" t="s">
        <v>45</v>
      </c>
      <c r="V719" t="s">
        <v>46</v>
      </c>
      <c r="W719" t="s">
        <v>1064</v>
      </c>
      <c r="X719" t="s">
        <v>1062</v>
      </c>
      <c r="Y719" t="s">
        <v>72</v>
      </c>
      <c r="Z719" t="s">
        <v>68</v>
      </c>
      <c r="AA719" t="s">
        <v>49</v>
      </c>
      <c r="AB719" t="s">
        <v>50</v>
      </c>
      <c r="AC719" s="2">
        <v>214047.94</v>
      </c>
      <c r="AD719" t="s">
        <v>3550</v>
      </c>
      <c r="AE719" t="s">
        <v>115</v>
      </c>
    </row>
    <row r="720" spans="1:31" x14ac:dyDescent="0.25">
      <c r="A720" t="s">
        <v>3551</v>
      </c>
      <c r="B720" t="s">
        <v>3552</v>
      </c>
      <c r="C720" t="s">
        <v>3552</v>
      </c>
      <c r="D720" t="s">
        <v>125</v>
      </c>
      <c r="E720" t="s">
        <v>126</v>
      </c>
      <c r="F720" t="s">
        <v>3553</v>
      </c>
      <c r="G720" t="s">
        <v>297</v>
      </c>
      <c r="H720" t="s">
        <v>300</v>
      </c>
      <c r="I720" t="s">
        <v>3554</v>
      </c>
      <c r="J720" s="2">
        <v>815960</v>
      </c>
      <c r="K720" s="2">
        <v>3350</v>
      </c>
      <c r="L720" s="2">
        <v>30</v>
      </c>
      <c r="M720" s="2">
        <v>0</v>
      </c>
      <c r="N720" t="s">
        <v>302</v>
      </c>
      <c r="O720" t="s">
        <v>303</v>
      </c>
      <c r="P720" t="s">
        <v>304</v>
      </c>
      <c r="Q720" t="s">
        <v>72</v>
      </c>
      <c r="S720" t="s">
        <v>3555</v>
      </c>
      <c r="U720" t="s">
        <v>45</v>
      </c>
      <c r="V720" t="s">
        <v>46</v>
      </c>
      <c r="W720" t="s">
        <v>302</v>
      </c>
      <c r="X720" t="s">
        <v>303</v>
      </c>
      <c r="Y720" t="s">
        <v>72</v>
      </c>
      <c r="Z720" t="s">
        <v>68</v>
      </c>
      <c r="AA720" t="s">
        <v>49</v>
      </c>
      <c r="AB720" t="s">
        <v>50</v>
      </c>
      <c r="AC720" s="2">
        <v>106979.92</v>
      </c>
      <c r="AD720" t="s">
        <v>3556</v>
      </c>
      <c r="AE720" t="s">
        <v>115</v>
      </c>
    </row>
    <row r="721" spans="1:31" hidden="1" x14ac:dyDescent="0.25">
      <c r="I721" t="s">
        <v>3557</v>
      </c>
      <c r="J721" s="2">
        <v>109085</v>
      </c>
      <c r="K721" s="2">
        <v>500</v>
      </c>
      <c r="L721" s="2">
        <v>7</v>
      </c>
      <c r="M721" s="2">
        <v>0</v>
      </c>
      <c r="S721" t="s">
        <v>3558</v>
      </c>
      <c r="U721" t="s">
        <v>45</v>
      </c>
      <c r="V721" t="s">
        <v>46</v>
      </c>
      <c r="W721" t="s">
        <v>1064</v>
      </c>
      <c r="X721" t="s">
        <v>1062</v>
      </c>
      <c r="Y721" t="s">
        <v>72</v>
      </c>
      <c r="Z721" t="s">
        <v>68</v>
      </c>
      <c r="AA721" t="s">
        <v>49</v>
      </c>
      <c r="AC721" s="2"/>
    </row>
    <row r="722" spans="1:31" hidden="1" x14ac:dyDescent="0.25">
      <c r="J722" s="2">
        <v>436340</v>
      </c>
      <c r="K722" s="2">
        <v>2000</v>
      </c>
      <c r="L722" s="2">
        <v>15</v>
      </c>
      <c r="M722" s="2">
        <v>0</v>
      </c>
      <c r="S722" t="s">
        <v>3559</v>
      </c>
      <c r="U722" t="s">
        <v>45</v>
      </c>
      <c r="V722" t="s">
        <v>46</v>
      </c>
      <c r="W722" t="s">
        <v>80</v>
      </c>
      <c r="X722" t="s">
        <v>81</v>
      </c>
      <c r="Y722" t="s">
        <v>85</v>
      </c>
      <c r="Z722" t="s">
        <v>86</v>
      </c>
      <c r="AA722" t="s">
        <v>49</v>
      </c>
      <c r="AC722" s="2"/>
    </row>
    <row r="723" spans="1:31" x14ac:dyDescent="0.25">
      <c r="A723" t="s">
        <v>3560</v>
      </c>
      <c r="B723" t="s">
        <v>3561</v>
      </c>
      <c r="C723" t="s">
        <v>3562</v>
      </c>
      <c r="D723" t="s">
        <v>555</v>
      </c>
      <c r="E723" t="s">
        <v>1502</v>
      </c>
      <c r="F723" t="s">
        <v>3563</v>
      </c>
      <c r="G723" t="s">
        <v>1633</v>
      </c>
      <c r="H723" t="s">
        <v>300</v>
      </c>
      <c r="I723" t="s">
        <v>3564</v>
      </c>
      <c r="J723" s="2">
        <v>22396</v>
      </c>
      <c r="K723" s="2">
        <v>100</v>
      </c>
      <c r="L723" s="2">
        <v>30</v>
      </c>
      <c r="M723" s="2">
        <v>0</v>
      </c>
      <c r="N723" t="s">
        <v>302</v>
      </c>
      <c r="O723" t="s">
        <v>303</v>
      </c>
      <c r="P723" t="s">
        <v>304</v>
      </c>
      <c r="Q723" t="s">
        <v>72</v>
      </c>
      <c r="S723" t="s">
        <v>3565</v>
      </c>
      <c r="U723" t="s">
        <v>45</v>
      </c>
      <c r="V723" t="s">
        <v>46</v>
      </c>
      <c r="W723" t="s">
        <v>302</v>
      </c>
      <c r="X723" t="s">
        <v>303</v>
      </c>
      <c r="Y723" t="s">
        <v>72</v>
      </c>
      <c r="Z723" t="s">
        <v>68</v>
      </c>
      <c r="AA723" t="s">
        <v>49</v>
      </c>
      <c r="AB723" t="s">
        <v>50</v>
      </c>
      <c r="AC723" s="2">
        <v>22396</v>
      </c>
      <c r="AD723" t="s">
        <v>64</v>
      </c>
    </row>
    <row r="724" spans="1:31" hidden="1" x14ac:dyDescent="0.25">
      <c r="I724" t="s">
        <v>3566</v>
      </c>
      <c r="J724" s="2">
        <v>1000</v>
      </c>
      <c r="K724" s="2">
        <v>0</v>
      </c>
      <c r="L724" s="2">
        <v>21</v>
      </c>
      <c r="M724" s="2">
        <v>0</v>
      </c>
      <c r="S724" t="s">
        <v>3567</v>
      </c>
      <c r="U724" t="s">
        <v>45</v>
      </c>
      <c r="V724" t="s">
        <v>46</v>
      </c>
      <c r="W724" t="s">
        <v>302</v>
      </c>
      <c r="X724" t="s">
        <v>303</v>
      </c>
      <c r="Y724" t="s">
        <v>72</v>
      </c>
      <c r="Z724" t="s">
        <v>68</v>
      </c>
      <c r="AA724" t="s">
        <v>49</v>
      </c>
      <c r="AC724" s="2"/>
    </row>
    <row r="725" spans="1:31" x14ac:dyDescent="0.25">
      <c r="A725" t="s">
        <v>3568</v>
      </c>
      <c r="B725" t="s">
        <v>3569</v>
      </c>
      <c r="C725" t="s">
        <v>3569</v>
      </c>
      <c r="D725" t="s">
        <v>577</v>
      </c>
      <c r="E725" t="s">
        <v>134</v>
      </c>
      <c r="F725" t="s">
        <v>3570</v>
      </c>
      <c r="G725" t="s">
        <v>2485</v>
      </c>
      <c r="H725" t="s">
        <v>3571</v>
      </c>
      <c r="I725" t="s">
        <v>3572</v>
      </c>
      <c r="J725" s="2">
        <v>130902</v>
      </c>
      <c r="K725" s="2">
        <v>600</v>
      </c>
      <c r="L725" s="2">
        <v>15</v>
      </c>
      <c r="M725" s="2">
        <v>0</v>
      </c>
      <c r="N725" t="s">
        <v>2113</v>
      </c>
      <c r="O725" t="s">
        <v>2114</v>
      </c>
      <c r="P725" t="s">
        <v>103</v>
      </c>
      <c r="Q725" t="s">
        <v>104</v>
      </c>
      <c r="S725" t="s">
        <v>3573</v>
      </c>
      <c r="U725" t="s">
        <v>45</v>
      </c>
      <c r="V725" t="s">
        <v>46</v>
      </c>
      <c r="W725" t="s">
        <v>2113</v>
      </c>
      <c r="X725" t="s">
        <v>2114</v>
      </c>
      <c r="Y725" t="s">
        <v>106</v>
      </c>
      <c r="Z725" t="s">
        <v>107</v>
      </c>
      <c r="AA725" t="s">
        <v>49</v>
      </c>
      <c r="AB725" t="s">
        <v>50</v>
      </c>
      <c r="AC725" s="2">
        <v>130902</v>
      </c>
      <c r="AD725" t="s">
        <v>64</v>
      </c>
    </row>
    <row r="726" spans="1:31" hidden="1" x14ac:dyDescent="0.25">
      <c r="I726" t="s">
        <v>3574</v>
      </c>
      <c r="J726" s="2">
        <v>1000</v>
      </c>
      <c r="K726" s="2">
        <v>0</v>
      </c>
      <c r="L726" s="2">
        <v>15</v>
      </c>
      <c r="M726" s="2">
        <v>0</v>
      </c>
      <c r="S726" t="s">
        <v>3575</v>
      </c>
      <c r="U726" t="s">
        <v>45</v>
      </c>
      <c r="V726" t="s">
        <v>46</v>
      </c>
      <c r="W726" t="s">
        <v>1064</v>
      </c>
      <c r="X726" t="s">
        <v>1062</v>
      </c>
      <c r="Y726" t="s">
        <v>72</v>
      </c>
      <c r="Z726" t="s">
        <v>68</v>
      </c>
      <c r="AA726" t="s">
        <v>49</v>
      </c>
      <c r="AC726" s="2"/>
    </row>
    <row r="727" spans="1:31" x14ac:dyDescent="0.25">
      <c r="A727" t="s">
        <v>3576</v>
      </c>
      <c r="B727" t="s">
        <v>3577</v>
      </c>
      <c r="C727" t="s">
        <v>3577</v>
      </c>
      <c r="D727" t="s">
        <v>125</v>
      </c>
      <c r="E727" t="s">
        <v>126</v>
      </c>
      <c r="F727" t="s">
        <v>3578</v>
      </c>
      <c r="G727" t="s">
        <v>153</v>
      </c>
      <c r="H727" t="s">
        <v>902</v>
      </c>
      <c r="I727" t="s">
        <v>3579</v>
      </c>
      <c r="J727" s="2">
        <v>938131</v>
      </c>
      <c r="K727" s="2">
        <v>4300</v>
      </c>
      <c r="L727" s="2">
        <v>21</v>
      </c>
      <c r="M727" s="2">
        <v>0</v>
      </c>
      <c r="N727" t="s">
        <v>904</v>
      </c>
      <c r="O727" t="s">
        <v>905</v>
      </c>
      <c r="P727" t="s">
        <v>304</v>
      </c>
      <c r="Q727" t="s">
        <v>72</v>
      </c>
      <c r="S727" t="s">
        <v>3580</v>
      </c>
      <c r="U727" t="s">
        <v>45</v>
      </c>
      <c r="V727" t="s">
        <v>46</v>
      </c>
      <c r="W727" t="s">
        <v>904</v>
      </c>
      <c r="X727" t="s">
        <v>905</v>
      </c>
      <c r="Y727" t="s">
        <v>72</v>
      </c>
      <c r="Z727" t="s">
        <v>68</v>
      </c>
      <c r="AA727" t="s">
        <v>49</v>
      </c>
      <c r="AB727" t="s">
        <v>50</v>
      </c>
      <c r="AC727" s="2">
        <v>848232.36</v>
      </c>
      <c r="AD727" t="s">
        <v>3581</v>
      </c>
      <c r="AE727" t="s">
        <v>52</v>
      </c>
    </row>
    <row r="728" spans="1:31" x14ac:dyDescent="0.25">
      <c r="A728" s="15" t="s">
        <v>3582</v>
      </c>
      <c r="B728" s="15" t="s">
        <v>3583</v>
      </c>
      <c r="C728" s="15" t="s">
        <v>3583</v>
      </c>
      <c r="D728" s="15" t="s">
        <v>55</v>
      </c>
      <c r="E728" s="15" t="s">
        <v>56</v>
      </c>
      <c r="F728" s="15" t="s">
        <v>3584</v>
      </c>
      <c r="H728" s="15" t="s">
        <v>402</v>
      </c>
      <c r="I728" t="s">
        <v>3585</v>
      </c>
      <c r="J728" s="2">
        <v>9174</v>
      </c>
      <c r="K728" s="2">
        <v>0</v>
      </c>
      <c r="L728" s="2">
        <v>21</v>
      </c>
      <c r="M728" s="2">
        <v>0</v>
      </c>
      <c r="N728" s="15" t="s">
        <v>403</v>
      </c>
      <c r="O728" s="15" t="s">
        <v>404</v>
      </c>
      <c r="P728" s="15" t="s">
        <v>205</v>
      </c>
      <c r="Q728" s="15" t="s">
        <v>206</v>
      </c>
      <c r="S728" t="s">
        <v>3586</v>
      </c>
      <c r="U728" t="s">
        <v>45</v>
      </c>
      <c r="V728" t="s">
        <v>46</v>
      </c>
      <c r="W728" t="s">
        <v>403</v>
      </c>
      <c r="X728" t="s">
        <v>404</v>
      </c>
      <c r="Y728" t="s">
        <v>161</v>
      </c>
      <c r="Z728" t="s">
        <v>162</v>
      </c>
      <c r="AA728" t="s">
        <v>49</v>
      </c>
      <c r="AB728" s="15" t="s">
        <v>50</v>
      </c>
      <c r="AC728" s="16">
        <v>3483.78</v>
      </c>
      <c r="AD728" s="15" t="s">
        <v>3587</v>
      </c>
      <c r="AE728" s="15" t="s">
        <v>115</v>
      </c>
    </row>
    <row r="729" spans="1:31" x14ac:dyDescent="0.25">
      <c r="A729" s="15" t="s">
        <v>3588</v>
      </c>
      <c r="B729" s="15" t="s">
        <v>3589</v>
      </c>
      <c r="C729" s="15" t="s">
        <v>3589</v>
      </c>
      <c r="D729" s="15" t="s">
        <v>55</v>
      </c>
      <c r="E729" s="15" t="s">
        <v>56</v>
      </c>
      <c r="F729" s="15" t="s">
        <v>3590</v>
      </c>
      <c r="H729" s="15" t="s">
        <v>300</v>
      </c>
      <c r="I729" t="s">
        <v>3591</v>
      </c>
      <c r="J729" s="2">
        <v>25687</v>
      </c>
      <c r="K729" s="2">
        <v>0</v>
      </c>
      <c r="L729" s="2">
        <v>30</v>
      </c>
      <c r="M729" s="2">
        <v>0</v>
      </c>
      <c r="N729" s="15" t="s">
        <v>302</v>
      </c>
      <c r="O729" s="15" t="s">
        <v>303</v>
      </c>
      <c r="P729" s="15" t="s">
        <v>304</v>
      </c>
      <c r="Q729" s="15" t="s">
        <v>72</v>
      </c>
      <c r="S729" t="s">
        <v>3592</v>
      </c>
      <c r="U729" t="s">
        <v>45</v>
      </c>
      <c r="V729" t="s">
        <v>46</v>
      </c>
      <c r="W729" t="s">
        <v>302</v>
      </c>
      <c r="X729" t="s">
        <v>303</v>
      </c>
      <c r="Y729" t="s">
        <v>72</v>
      </c>
      <c r="Z729" t="s">
        <v>68</v>
      </c>
      <c r="AA729" t="s">
        <v>49</v>
      </c>
      <c r="AB729" s="15" t="s">
        <v>50</v>
      </c>
      <c r="AC729" s="16">
        <v>-8076.03</v>
      </c>
      <c r="AD729" s="15" t="s">
        <v>3593</v>
      </c>
      <c r="AE729" s="15" t="s">
        <v>115</v>
      </c>
    </row>
    <row r="730" spans="1:31" hidden="1" x14ac:dyDescent="0.25">
      <c r="I730" t="s">
        <v>3594</v>
      </c>
      <c r="J730" s="2">
        <v>14678</v>
      </c>
      <c r="K730" s="2">
        <v>0</v>
      </c>
      <c r="L730" s="2">
        <v>21</v>
      </c>
      <c r="M730" s="2">
        <v>0</v>
      </c>
      <c r="S730" t="s">
        <v>3595</v>
      </c>
      <c r="U730" t="s">
        <v>45</v>
      </c>
      <c r="V730" t="s">
        <v>46</v>
      </c>
      <c r="W730" t="s">
        <v>302</v>
      </c>
      <c r="X730" t="s">
        <v>303</v>
      </c>
      <c r="Y730" t="s">
        <v>72</v>
      </c>
      <c r="Z730" t="s">
        <v>68</v>
      </c>
      <c r="AA730" t="s">
        <v>49</v>
      </c>
      <c r="AC730" s="2"/>
    </row>
    <row r="731" spans="1:31" x14ac:dyDescent="0.25">
      <c r="A731" t="s">
        <v>3596</v>
      </c>
      <c r="B731" t="s">
        <v>3597</v>
      </c>
      <c r="C731" t="s">
        <v>3597</v>
      </c>
      <c r="D731" t="s">
        <v>847</v>
      </c>
      <c r="E731" t="s">
        <v>848</v>
      </c>
      <c r="F731" t="s">
        <v>3598</v>
      </c>
      <c r="G731" t="s">
        <v>297</v>
      </c>
      <c r="H731" t="s">
        <v>1444</v>
      </c>
      <c r="I731" t="s">
        <v>3599</v>
      </c>
      <c r="J731" s="2">
        <v>729330</v>
      </c>
      <c r="K731" s="2">
        <v>3000</v>
      </c>
      <c r="L731" s="2">
        <v>30</v>
      </c>
      <c r="M731" s="2">
        <v>0</v>
      </c>
      <c r="N731" t="s">
        <v>1064</v>
      </c>
      <c r="O731" t="s">
        <v>1062</v>
      </c>
      <c r="P731" t="s">
        <v>304</v>
      </c>
      <c r="Q731" t="s">
        <v>72</v>
      </c>
      <c r="S731" t="s">
        <v>3600</v>
      </c>
      <c r="U731" t="s">
        <v>45</v>
      </c>
      <c r="V731" t="s">
        <v>46</v>
      </c>
      <c r="W731" t="s">
        <v>1064</v>
      </c>
      <c r="X731" t="s">
        <v>1062</v>
      </c>
      <c r="Y731" t="s">
        <v>72</v>
      </c>
      <c r="Z731" t="s">
        <v>68</v>
      </c>
      <c r="AA731" t="s">
        <v>49</v>
      </c>
      <c r="AB731" t="s">
        <v>50</v>
      </c>
      <c r="AC731" s="2">
        <v>417649.03</v>
      </c>
      <c r="AD731" t="s">
        <v>3601</v>
      </c>
      <c r="AE731" t="s">
        <v>52</v>
      </c>
    </row>
    <row r="732" spans="1:31" hidden="1" x14ac:dyDescent="0.25">
      <c r="I732" t="s">
        <v>3602</v>
      </c>
      <c r="J732" s="2">
        <v>22200</v>
      </c>
      <c r="K732" s="2">
        <v>0</v>
      </c>
      <c r="L732" s="2">
        <v>15</v>
      </c>
      <c r="M732" s="2">
        <v>0</v>
      </c>
      <c r="S732" t="s">
        <v>3603</v>
      </c>
      <c r="U732" t="s">
        <v>45</v>
      </c>
      <c r="V732" t="s">
        <v>46</v>
      </c>
      <c r="W732" t="s">
        <v>326</v>
      </c>
      <c r="X732" t="s">
        <v>327</v>
      </c>
      <c r="Y732" t="s">
        <v>121</v>
      </c>
      <c r="Z732" t="s">
        <v>94</v>
      </c>
      <c r="AA732" t="s">
        <v>49</v>
      </c>
      <c r="AC732" s="2"/>
    </row>
    <row r="733" spans="1:31" x14ac:dyDescent="0.25">
      <c r="A733" t="s">
        <v>3604</v>
      </c>
      <c r="B733" t="s">
        <v>3605</v>
      </c>
      <c r="C733" t="s">
        <v>3605</v>
      </c>
      <c r="D733" t="s">
        <v>35</v>
      </c>
      <c r="E733" t="s">
        <v>36</v>
      </c>
      <c r="F733" t="s">
        <v>3606</v>
      </c>
      <c r="G733" t="s">
        <v>478</v>
      </c>
      <c r="H733" t="s">
        <v>1444</v>
      </c>
      <c r="I733" t="s">
        <v>3607</v>
      </c>
      <c r="J733" s="2">
        <v>119994</v>
      </c>
      <c r="K733" s="2">
        <v>550</v>
      </c>
      <c r="L733" s="2">
        <v>15</v>
      </c>
      <c r="M733" s="2">
        <v>0</v>
      </c>
      <c r="N733" t="s">
        <v>1064</v>
      </c>
      <c r="O733" t="s">
        <v>1062</v>
      </c>
      <c r="P733" t="s">
        <v>304</v>
      </c>
      <c r="Q733" t="s">
        <v>72</v>
      </c>
      <c r="S733" t="s">
        <v>3608</v>
      </c>
      <c r="U733" t="s">
        <v>45</v>
      </c>
      <c r="V733" t="s">
        <v>46</v>
      </c>
      <c r="W733" t="s">
        <v>1064</v>
      </c>
      <c r="X733" t="s">
        <v>1062</v>
      </c>
      <c r="Y733" t="s">
        <v>72</v>
      </c>
      <c r="Z733" t="s">
        <v>68</v>
      </c>
      <c r="AA733" t="s">
        <v>49</v>
      </c>
      <c r="AB733" t="s">
        <v>50</v>
      </c>
      <c r="AC733" s="2">
        <v>10055.219999999999</v>
      </c>
      <c r="AD733" t="s">
        <v>3609</v>
      </c>
      <c r="AE733" t="s">
        <v>115</v>
      </c>
    </row>
    <row r="734" spans="1:31" hidden="1" x14ac:dyDescent="0.25">
      <c r="I734" t="s">
        <v>3610</v>
      </c>
      <c r="J734" s="2">
        <v>1000</v>
      </c>
      <c r="K734" s="2">
        <v>0</v>
      </c>
      <c r="L734" s="2">
        <v>1</v>
      </c>
      <c r="M734" s="2">
        <v>0</v>
      </c>
      <c r="S734" t="s">
        <v>3611</v>
      </c>
      <c r="U734" t="s">
        <v>45</v>
      </c>
      <c r="V734" t="s">
        <v>46</v>
      </c>
      <c r="W734" t="s">
        <v>1038</v>
      </c>
      <c r="X734" t="s">
        <v>1039</v>
      </c>
      <c r="Y734" t="s">
        <v>72</v>
      </c>
      <c r="Z734" t="s">
        <v>68</v>
      </c>
      <c r="AA734" t="s">
        <v>49</v>
      </c>
      <c r="AC734" s="2"/>
    </row>
    <row r="735" spans="1:31" x14ac:dyDescent="0.25">
      <c r="A735" t="s">
        <v>3612</v>
      </c>
      <c r="B735" t="s">
        <v>3613</v>
      </c>
      <c r="C735" t="s">
        <v>3613</v>
      </c>
      <c r="D735" t="s">
        <v>1245</v>
      </c>
      <c r="E735" t="s">
        <v>224</v>
      </c>
      <c r="F735" t="s">
        <v>3614</v>
      </c>
      <c r="G735" t="s">
        <v>1289</v>
      </c>
      <c r="H735" t="s">
        <v>300</v>
      </c>
      <c r="I735" t="s">
        <v>3615</v>
      </c>
      <c r="J735" s="2">
        <v>218170</v>
      </c>
      <c r="K735" s="2">
        <v>1000</v>
      </c>
      <c r="L735" s="2">
        <v>7</v>
      </c>
      <c r="M735" s="2">
        <v>0</v>
      </c>
      <c r="N735" t="s">
        <v>302</v>
      </c>
      <c r="O735" t="s">
        <v>303</v>
      </c>
      <c r="P735" t="s">
        <v>304</v>
      </c>
      <c r="Q735" t="s">
        <v>72</v>
      </c>
      <c r="S735" t="s">
        <v>3616</v>
      </c>
      <c r="U735" t="s">
        <v>45</v>
      </c>
      <c r="V735" t="s">
        <v>46</v>
      </c>
      <c r="W735" t="s">
        <v>302</v>
      </c>
      <c r="X735" t="s">
        <v>303</v>
      </c>
      <c r="Y735" t="s">
        <v>72</v>
      </c>
      <c r="Z735" t="s">
        <v>68</v>
      </c>
      <c r="AA735" t="s">
        <v>49</v>
      </c>
      <c r="AB735" t="s">
        <v>50</v>
      </c>
      <c r="AC735" s="2">
        <v>218170</v>
      </c>
      <c r="AD735" t="s">
        <v>64</v>
      </c>
    </row>
    <row r="736" spans="1:31" x14ac:dyDescent="0.25">
      <c r="A736" t="s">
        <v>3617</v>
      </c>
      <c r="B736" t="s">
        <v>3618</v>
      </c>
      <c r="C736" t="s">
        <v>3618</v>
      </c>
      <c r="D736" t="s">
        <v>870</v>
      </c>
      <c r="E736" t="s">
        <v>871</v>
      </c>
      <c r="F736" t="s">
        <v>3619</v>
      </c>
      <c r="G736" t="s">
        <v>321</v>
      </c>
      <c r="H736" t="s">
        <v>65</v>
      </c>
      <c r="I736" t="s">
        <v>3620</v>
      </c>
      <c r="J736" s="2">
        <v>54543</v>
      </c>
      <c r="K736" s="2">
        <v>250</v>
      </c>
      <c r="L736" s="2">
        <v>21</v>
      </c>
      <c r="M736" s="2">
        <v>0</v>
      </c>
      <c r="N736" t="s">
        <v>67</v>
      </c>
      <c r="O736" t="s">
        <v>68</v>
      </c>
      <c r="P736" t="s">
        <v>69</v>
      </c>
      <c r="Q736" t="s">
        <v>70</v>
      </c>
      <c r="S736" t="s">
        <v>3621</v>
      </c>
      <c r="U736" t="s">
        <v>45</v>
      </c>
      <c r="V736" t="s">
        <v>46</v>
      </c>
      <c r="W736" t="s">
        <v>67</v>
      </c>
      <c r="X736" t="s">
        <v>68</v>
      </c>
      <c r="Y736" t="s">
        <v>72</v>
      </c>
      <c r="Z736" t="s">
        <v>68</v>
      </c>
      <c r="AA736" t="s">
        <v>49</v>
      </c>
      <c r="AB736" t="s">
        <v>50</v>
      </c>
      <c r="AC736" s="2">
        <v>54543</v>
      </c>
      <c r="AD736" t="s">
        <v>64</v>
      </c>
    </row>
    <row r="737" spans="1:31" hidden="1" x14ac:dyDescent="0.25">
      <c r="I737" t="s">
        <v>1923</v>
      </c>
      <c r="J737" s="2">
        <v>18500</v>
      </c>
      <c r="K737" s="2">
        <v>0</v>
      </c>
      <c r="L737" s="2">
        <v>21</v>
      </c>
      <c r="M737" s="2">
        <v>0</v>
      </c>
      <c r="S737" t="s">
        <v>3623</v>
      </c>
      <c r="U737" t="s">
        <v>45</v>
      </c>
      <c r="V737" t="s">
        <v>46</v>
      </c>
      <c r="W737" t="s">
        <v>1730</v>
      </c>
      <c r="X737" t="s">
        <v>1728</v>
      </c>
      <c r="Y737" t="s">
        <v>121</v>
      </c>
      <c r="Z737" t="s">
        <v>94</v>
      </c>
      <c r="AA737" t="s">
        <v>49</v>
      </c>
      <c r="AC737" s="2"/>
    </row>
    <row r="738" spans="1:31" x14ac:dyDescent="0.25">
      <c r="A738" t="s">
        <v>3624</v>
      </c>
      <c r="B738" t="s">
        <v>3625</v>
      </c>
      <c r="C738" t="s">
        <v>3625</v>
      </c>
      <c r="D738" t="s">
        <v>125</v>
      </c>
      <c r="E738" t="s">
        <v>126</v>
      </c>
      <c r="F738" t="s">
        <v>3626</v>
      </c>
      <c r="G738" t="s">
        <v>297</v>
      </c>
      <c r="H738" t="s">
        <v>38</v>
      </c>
      <c r="I738" t="s">
        <v>3627</v>
      </c>
      <c r="J738" s="2">
        <v>174536</v>
      </c>
      <c r="K738" s="2">
        <v>800</v>
      </c>
      <c r="L738" s="2">
        <v>21</v>
      </c>
      <c r="M738" s="2">
        <v>0</v>
      </c>
      <c r="N738" t="s">
        <v>40</v>
      </c>
      <c r="O738" t="s">
        <v>41</v>
      </c>
      <c r="P738" t="s">
        <v>61</v>
      </c>
      <c r="Q738" t="s">
        <v>62</v>
      </c>
      <c r="S738" t="s">
        <v>3628</v>
      </c>
      <c r="U738" t="s">
        <v>45</v>
      </c>
      <c r="V738" t="s">
        <v>46</v>
      </c>
      <c r="W738" t="s">
        <v>40</v>
      </c>
      <c r="X738" t="s">
        <v>41</v>
      </c>
      <c r="Y738" t="s">
        <v>47</v>
      </c>
      <c r="Z738" t="s">
        <v>48</v>
      </c>
      <c r="AA738" t="s">
        <v>49</v>
      </c>
      <c r="AB738" t="s">
        <v>50</v>
      </c>
      <c r="AC738" s="2">
        <v>142167.51</v>
      </c>
      <c r="AD738" t="s">
        <v>3629</v>
      </c>
      <c r="AE738" t="s">
        <v>52</v>
      </c>
    </row>
    <row r="739" spans="1:31" x14ac:dyDescent="0.25">
      <c r="A739" t="s">
        <v>3630</v>
      </c>
      <c r="B739" t="s">
        <v>3631</v>
      </c>
      <c r="C739" t="s">
        <v>3631</v>
      </c>
      <c r="D739" t="s">
        <v>569</v>
      </c>
      <c r="E739" t="s">
        <v>570</v>
      </c>
      <c r="F739" t="s">
        <v>3632</v>
      </c>
      <c r="G739" t="s">
        <v>1329</v>
      </c>
      <c r="H739" t="s">
        <v>1607</v>
      </c>
      <c r="I739" t="s">
        <v>3633</v>
      </c>
      <c r="J739" s="2">
        <v>65451</v>
      </c>
      <c r="K739" s="2">
        <v>300</v>
      </c>
      <c r="L739" s="2">
        <v>1</v>
      </c>
      <c r="M739" s="2">
        <v>0</v>
      </c>
      <c r="N739" t="s">
        <v>1221</v>
      </c>
      <c r="O739" t="s">
        <v>1222</v>
      </c>
      <c r="P739" t="s">
        <v>205</v>
      </c>
      <c r="Q739" t="s">
        <v>206</v>
      </c>
      <c r="S739" t="s">
        <v>3634</v>
      </c>
      <c r="U739" t="s">
        <v>45</v>
      </c>
      <c r="V739" t="s">
        <v>46</v>
      </c>
      <c r="W739" t="s">
        <v>1221</v>
      </c>
      <c r="X739" t="s">
        <v>1222</v>
      </c>
      <c r="Y739" t="s">
        <v>161</v>
      </c>
      <c r="Z739" t="s">
        <v>162</v>
      </c>
      <c r="AA739" t="s">
        <v>49</v>
      </c>
      <c r="AB739" t="s">
        <v>50</v>
      </c>
      <c r="AC739" s="2">
        <v>65451</v>
      </c>
      <c r="AD739" t="s">
        <v>64</v>
      </c>
    </row>
    <row r="740" spans="1:31" x14ac:dyDescent="0.25">
      <c r="A740" t="s">
        <v>3635</v>
      </c>
      <c r="B740" t="s">
        <v>3636</v>
      </c>
      <c r="C740" t="s">
        <v>3636</v>
      </c>
      <c r="D740" t="s">
        <v>125</v>
      </c>
      <c r="E740" t="s">
        <v>126</v>
      </c>
      <c r="F740" t="s">
        <v>3637</v>
      </c>
      <c r="G740" t="s">
        <v>553</v>
      </c>
      <c r="H740" t="s">
        <v>38</v>
      </c>
      <c r="I740" t="s">
        <v>3638</v>
      </c>
      <c r="J740" s="2">
        <v>109085</v>
      </c>
      <c r="K740" s="2">
        <v>500</v>
      </c>
      <c r="L740" s="2">
        <v>15</v>
      </c>
      <c r="M740" s="2">
        <v>0</v>
      </c>
      <c r="N740" t="s">
        <v>40</v>
      </c>
      <c r="O740" t="s">
        <v>41</v>
      </c>
      <c r="P740" t="s">
        <v>61</v>
      </c>
      <c r="Q740" t="s">
        <v>62</v>
      </c>
      <c r="S740" t="s">
        <v>3639</v>
      </c>
      <c r="U740" t="s">
        <v>45</v>
      </c>
      <c r="V740" t="s">
        <v>46</v>
      </c>
      <c r="W740" t="s">
        <v>40</v>
      </c>
      <c r="X740" t="s">
        <v>41</v>
      </c>
      <c r="Y740" t="s">
        <v>47</v>
      </c>
      <c r="Z740" t="s">
        <v>48</v>
      </c>
      <c r="AA740" t="s">
        <v>49</v>
      </c>
      <c r="AB740" t="s">
        <v>50</v>
      </c>
      <c r="AC740" s="2">
        <v>109084.42</v>
      </c>
      <c r="AD740" t="s">
        <v>3640</v>
      </c>
    </row>
    <row r="741" spans="1:31" hidden="1" x14ac:dyDescent="0.25">
      <c r="I741" t="s">
        <v>3641</v>
      </c>
      <c r="J741" s="2">
        <v>1000</v>
      </c>
      <c r="K741" s="2">
        <v>0</v>
      </c>
      <c r="L741" s="2">
        <v>1</v>
      </c>
      <c r="M741" s="2">
        <v>0</v>
      </c>
      <c r="U741" t="s">
        <v>45</v>
      </c>
      <c r="V741" t="s">
        <v>46</v>
      </c>
      <c r="W741" t="s">
        <v>118</v>
      </c>
      <c r="X741" t="s">
        <v>119</v>
      </c>
      <c r="Y741" t="s">
        <v>121</v>
      </c>
      <c r="Z741" t="s">
        <v>94</v>
      </c>
      <c r="AA741" t="s">
        <v>49</v>
      </c>
      <c r="AC741" s="2"/>
    </row>
    <row r="742" spans="1:31" hidden="1" x14ac:dyDescent="0.25">
      <c r="A742" s="10" t="s">
        <v>3642</v>
      </c>
      <c r="B742" s="10" t="s">
        <v>3643</v>
      </c>
      <c r="C742" t="s">
        <v>3643</v>
      </c>
      <c r="D742" t="s">
        <v>55</v>
      </c>
      <c r="E742" t="s">
        <v>56</v>
      </c>
      <c r="F742" t="s">
        <v>3644</v>
      </c>
      <c r="H742" t="s">
        <v>38</v>
      </c>
      <c r="I742" t="s">
        <v>3645</v>
      </c>
      <c r="J742" s="2">
        <v>1000</v>
      </c>
      <c r="K742" s="2">
        <v>0</v>
      </c>
      <c r="L742" s="2">
        <v>1</v>
      </c>
      <c r="M742" s="2">
        <v>0</v>
      </c>
      <c r="N742" t="s">
        <v>40</v>
      </c>
      <c r="O742" t="s">
        <v>41</v>
      </c>
      <c r="P742" t="s">
        <v>61</v>
      </c>
      <c r="Q742" t="s">
        <v>62</v>
      </c>
      <c r="S742" t="s">
        <v>3646</v>
      </c>
      <c r="U742" t="s">
        <v>45</v>
      </c>
      <c r="V742" t="s">
        <v>46</v>
      </c>
      <c r="W742" t="s">
        <v>40</v>
      </c>
      <c r="X742" t="s">
        <v>41</v>
      </c>
      <c r="Y742" t="s">
        <v>47</v>
      </c>
      <c r="Z742" t="s">
        <v>48</v>
      </c>
      <c r="AA742" t="s">
        <v>49</v>
      </c>
      <c r="AB742" t="s">
        <v>142</v>
      </c>
      <c r="AC742" s="2">
        <v>1000</v>
      </c>
      <c r="AD742" t="s">
        <v>64</v>
      </c>
    </row>
    <row r="743" spans="1:31" hidden="1" x14ac:dyDescent="0.25">
      <c r="A743" s="10" t="s">
        <v>3647</v>
      </c>
      <c r="B743" s="10" t="s">
        <v>3648</v>
      </c>
      <c r="C743" t="s">
        <v>3648</v>
      </c>
      <c r="D743" t="s">
        <v>55</v>
      </c>
      <c r="E743" t="s">
        <v>56</v>
      </c>
      <c r="F743" t="s">
        <v>3649</v>
      </c>
      <c r="H743" t="s">
        <v>38</v>
      </c>
      <c r="I743" t="s">
        <v>3650</v>
      </c>
      <c r="J743" s="2">
        <v>1000</v>
      </c>
      <c r="K743" s="2">
        <v>0</v>
      </c>
      <c r="L743" s="2">
        <v>15</v>
      </c>
      <c r="M743" s="2">
        <v>0</v>
      </c>
      <c r="N743" t="s">
        <v>40</v>
      </c>
      <c r="O743" t="s">
        <v>41</v>
      </c>
      <c r="P743" t="s">
        <v>61</v>
      </c>
      <c r="Q743" t="s">
        <v>62</v>
      </c>
      <c r="S743" t="s">
        <v>3651</v>
      </c>
      <c r="U743" t="s">
        <v>45</v>
      </c>
      <c r="V743" t="s">
        <v>46</v>
      </c>
      <c r="W743" t="s">
        <v>40</v>
      </c>
      <c r="X743" t="s">
        <v>41</v>
      </c>
      <c r="Y743" t="s">
        <v>47</v>
      </c>
      <c r="Z743" t="s">
        <v>48</v>
      </c>
      <c r="AA743" t="s">
        <v>49</v>
      </c>
      <c r="AB743" t="s">
        <v>142</v>
      </c>
      <c r="AC743" s="2">
        <v>1000</v>
      </c>
      <c r="AD743" t="s">
        <v>64</v>
      </c>
    </row>
    <row r="744" spans="1:31" x14ac:dyDescent="0.25">
      <c r="A744" t="s">
        <v>3652</v>
      </c>
      <c r="B744" t="s">
        <v>3653</v>
      </c>
      <c r="C744" t="s">
        <v>3653</v>
      </c>
      <c r="D744" t="s">
        <v>498</v>
      </c>
      <c r="E744" t="s">
        <v>190</v>
      </c>
      <c r="F744" t="s">
        <v>3654</v>
      </c>
      <c r="G744" t="s">
        <v>498</v>
      </c>
      <c r="H744" t="s">
        <v>358</v>
      </c>
      <c r="I744" t="s">
        <v>3655</v>
      </c>
      <c r="J744" s="2">
        <v>21817</v>
      </c>
      <c r="K744" s="2">
        <v>100</v>
      </c>
      <c r="L744" s="2">
        <v>1</v>
      </c>
      <c r="M744" s="2">
        <v>0</v>
      </c>
      <c r="N744" t="s">
        <v>360</v>
      </c>
      <c r="O744" t="s">
        <v>361</v>
      </c>
      <c r="P744" t="s">
        <v>61</v>
      </c>
      <c r="Q744" t="s">
        <v>62</v>
      </c>
      <c r="S744" t="s">
        <v>3656</v>
      </c>
      <c r="U744" t="s">
        <v>45</v>
      </c>
      <c r="V744" t="s">
        <v>46</v>
      </c>
      <c r="W744" t="s">
        <v>360</v>
      </c>
      <c r="X744" t="s">
        <v>361</v>
      </c>
      <c r="Y744" t="s">
        <v>47</v>
      </c>
      <c r="Z744" t="s">
        <v>48</v>
      </c>
      <c r="AA744" t="s">
        <v>49</v>
      </c>
      <c r="AB744" t="s">
        <v>50</v>
      </c>
      <c r="AC744" s="2">
        <v>21817</v>
      </c>
      <c r="AD744" t="s">
        <v>64</v>
      </c>
    </row>
    <row r="745" spans="1:31" hidden="1" x14ac:dyDescent="0.25">
      <c r="I745" t="s">
        <v>3657</v>
      </c>
      <c r="J745" s="2">
        <v>436340</v>
      </c>
      <c r="K745" s="2">
        <v>2000</v>
      </c>
      <c r="L745" s="2">
        <v>21</v>
      </c>
      <c r="M745" s="2">
        <v>0</v>
      </c>
      <c r="S745" t="s">
        <v>3658</v>
      </c>
      <c r="U745" t="s">
        <v>45</v>
      </c>
      <c r="V745" t="s">
        <v>46</v>
      </c>
      <c r="W745" t="s">
        <v>1064</v>
      </c>
      <c r="X745" t="s">
        <v>1062</v>
      </c>
      <c r="Y745" t="s">
        <v>72</v>
      </c>
      <c r="Z745" t="s">
        <v>68</v>
      </c>
      <c r="AA745" t="s">
        <v>49</v>
      </c>
      <c r="AC745" s="2"/>
    </row>
    <row r="746" spans="1:31" hidden="1" x14ac:dyDescent="0.25">
      <c r="I746" t="s">
        <v>3659</v>
      </c>
      <c r="J746" s="2">
        <v>1000</v>
      </c>
      <c r="K746" s="2">
        <v>0</v>
      </c>
      <c r="L746" s="2">
        <v>1</v>
      </c>
      <c r="M746" s="2">
        <v>0</v>
      </c>
      <c r="S746" t="s">
        <v>3660</v>
      </c>
      <c r="U746" t="s">
        <v>45</v>
      </c>
      <c r="V746" t="s">
        <v>46</v>
      </c>
      <c r="W746" t="s">
        <v>1332</v>
      </c>
      <c r="X746" t="s">
        <v>1330</v>
      </c>
      <c r="Y746" t="s">
        <v>72</v>
      </c>
      <c r="Z746" t="s">
        <v>68</v>
      </c>
      <c r="AA746" t="s">
        <v>49</v>
      </c>
      <c r="AC746" s="2"/>
    </row>
    <row r="747" spans="1:31" hidden="1" x14ac:dyDescent="0.25">
      <c r="I747" t="s">
        <v>3661</v>
      </c>
      <c r="J747" s="2">
        <v>1000</v>
      </c>
      <c r="K747" s="2">
        <v>0</v>
      </c>
      <c r="L747" s="2">
        <v>1</v>
      </c>
      <c r="M747" s="2">
        <v>0</v>
      </c>
      <c r="S747" t="s">
        <v>3662</v>
      </c>
      <c r="U747" t="s">
        <v>45</v>
      </c>
      <c r="V747" t="s">
        <v>46</v>
      </c>
      <c r="W747" t="s">
        <v>302</v>
      </c>
      <c r="X747" t="s">
        <v>303</v>
      </c>
      <c r="Y747" t="s">
        <v>72</v>
      </c>
      <c r="Z747" t="s">
        <v>68</v>
      </c>
      <c r="AA747" t="s">
        <v>49</v>
      </c>
      <c r="AC747" s="2"/>
    </row>
    <row r="748" spans="1:31" x14ac:dyDescent="0.25">
      <c r="A748" t="s">
        <v>3663</v>
      </c>
      <c r="B748" t="s">
        <v>3664</v>
      </c>
      <c r="C748" t="s">
        <v>3664</v>
      </c>
      <c r="D748" t="s">
        <v>1410</v>
      </c>
      <c r="E748" t="s">
        <v>871</v>
      </c>
      <c r="F748" t="s">
        <v>3665</v>
      </c>
      <c r="G748" t="s">
        <v>1633</v>
      </c>
      <c r="H748" t="s">
        <v>3302</v>
      </c>
      <c r="I748" t="s">
        <v>3666</v>
      </c>
      <c r="J748" s="2">
        <v>545425</v>
      </c>
      <c r="K748" s="2">
        <v>2500</v>
      </c>
      <c r="L748" s="2">
        <v>21</v>
      </c>
      <c r="M748" s="2">
        <v>0</v>
      </c>
      <c r="N748" t="s">
        <v>3301</v>
      </c>
      <c r="O748" t="s">
        <v>3302</v>
      </c>
      <c r="P748" t="s">
        <v>205</v>
      </c>
      <c r="Q748" t="s">
        <v>206</v>
      </c>
      <c r="S748" t="s">
        <v>3667</v>
      </c>
      <c r="U748" t="s">
        <v>45</v>
      </c>
      <c r="V748" t="s">
        <v>46</v>
      </c>
      <c r="W748" t="s">
        <v>3301</v>
      </c>
      <c r="X748" t="s">
        <v>3302</v>
      </c>
      <c r="Y748" t="s">
        <v>161</v>
      </c>
      <c r="Z748" t="s">
        <v>162</v>
      </c>
      <c r="AA748" t="s">
        <v>49</v>
      </c>
      <c r="AB748" t="s">
        <v>50</v>
      </c>
      <c r="AC748" s="2">
        <v>491260.34</v>
      </c>
      <c r="AD748" t="s">
        <v>3668</v>
      </c>
    </row>
    <row r="749" spans="1:31" hidden="1" x14ac:dyDescent="0.25">
      <c r="J749" s="2">
        <v>152719</v>
      </c>
      <c r="K749" s="2">
        <v>700</v>
      </c>
      <c r="L749" s="2">
        <v>15</v>
      </c>
      <c r="M749" s="2">
        <v>0</v>
      </c>
      <c r="S749" t="s">
        <v>3669</v>
      </c>
      <c r="U749" t="s">
        <v>45</v>
      </c>
      <c r="V749" t="s">
        <v>46</v>
      </c>
      <c r="W749" t="s">
        <v>2846</v>
      </c>
      <c r="X749" t="s">
        <v>2844</v>
      </c>
      <c r="Y749" t="s">
        <v>137</v>
      </c>
      <c r="Z749" t="s">
        <v>717</v>
      </c>
      <c r="AA749" t="s">
        <v>49</v>
      </c>
      <c r="AC749" s="2"/>
    </row>
    <row r="750" spans="1:31" x14ac:dyDescent="0.25">
      <c r="A750" t="s">
        <v>3670</v>
      </c>
      <c r="B750" t="s">
        <v>3671</v>
      </c>
      <c r="C750" t="s">
        <v>2870</v>
      </c>
      <c r="D750" t="s">
        <v>35</v>
      </c>
      <c r="E750" t="s">
        <v>36</v>
      </c>
      <c r="F750" t="s">
        <v>2871</v>
      </c>
      <c r="G750" t="s">
        <v>35</v>
      </c>
      <c r="H750" t="s">
        <v>1581</v>
      </c>
      <c r="I750" t="s">
        <v>3672</v>
      </c>
      <c r="J750" s="2">
        <v>436340</v>
      </c>
      <c r="K750" s="2">
        <v>2000</v>
      </c>
      <c r="L750" s="2">
        <v>30</v>
      </c>
      <c r="M750" s="2">
        <v>0</v>
      </c>
      <c r="N750" t="s">
        <v>203</v>
      </c>
      <c r="O750" t="s">
        <v>204</v>
      </c>
      <c r="P750" t="s">
        <v>205</v>
      </c>
      <c r="Q750" t="s">
        <v>206</v>
      </c>
      <c r="S750" t="s">
        <v>3673</v>
      </c>
      <c r="U750" t="s">
        <v>45</v>
      </c>
      <c r="V750" t="s">
        <v>46</v>
      </c>
      <c r="W750" t="s">
        <v>203</v>
      </c>
      <c r="X750" t="s">
        <v>204</v>
      </c>
      <c r="Y750" t="s">
        <v>161</v>
      </c>
      <c r="Z750" t="s">
        <v>162</v>
      </c>
      <c r="AA750" t="s">
        <v>49</v>
      </c>
      <c r="AB750" t="s">
        <v>50</v>
      </c>
      <c r="AC750" s="2">
        <v>379867.3</v>
      </c>
      <c r="AD750" t="s">
        <v>3674</v>
      </c>
      <c r="AE750" t="s">
        <v>52</v>
      </c>
    </row>
    <row r="751" spans="1:31" x14ac:dyDescent="0.25">
      <c r="A751" t="s">
        <v>3675</v>
      </c>
      <c r="B751" t="s">
        <v>3676</v>
      </c>
      <c r="C751" t="s">
        <v>3676</v>
      </c>
      <c r="D751" t="s">
        <v>125</v>
      </c>
      <c r="E751" t="s">
        <v>126</v>
      </c>
      <c r="F751" t="s">
        <v>3677</v>
      </c>
      <c r="G751" t="s">
        <v>153</v>
      </c>
      <c r="H751" t="s">
        <v>324</v>
      </c>
      <c r="I751" t="s">
        <v>3678</v>
      </c>
      <c r="J751" s="2">
        <v>130902</v>
      </c>
      <c r="K751" s="2">
        <v>600</v>
      </c>
      <c r="L751" s="2">
        <v>15</v>
      </c>
      <c r="M751" s="2">
        <v>0</v>
      </c>
      <c r="N751" t="s">
        <v>326</v>
      </c>
      <c r="O751" t="s">
        <v>327</v>
      </c>
      <c r="P751" t="s">
        <v>120</v>
      </c>
      <c r="Q751" t="s">
        <v>121</v>
      </c>
      <c r="S751" t="s">
        <v>3679</v>
      </c>
      <c r="U751" t="s">
        <v>45</v>
      </c>
      <c r="V751" t="s">
        <v>46</v>
      </c>
      <c r="W751" t="s">
        <v>326</v>
      </c>
      <c r="X751" t="s">
        <v>327</v>
      </c>
      <c r="Y751" t="s">
        <v>121</v>
      </c>
      <c r="Z751" t="s">
        <v>94</v>
      </c>
      <c r="AA751" t="s">
        <v>49</v>
      </c>
      <c r="AB751" t="s">
        <v>50</v>
      </c>
      <c r="AC751" s="2">
        <v>72478.240000000005</v>
      </c>
      <c r="AD751" t="s">
        <v>3680</v>
      </c>
      <c r="AE751" t="s">
        <v>52</v>
      </c>
    </row>
    <row r="752" spans="1:31" x14ac:dyDescent="0.25">
      <c r="A752" t="s">
        <v>3681</v>
      </c>
      <c r="B752" t="s">
        <v>3682</v>
      </c>
      <c r="C752" t="s">
        <v>3682</v>
      </c>
      <c r="D752" t="s">
        <v>297</v>
      </c>
      <c r="E752" t="s">
        <v>167</v>
      </c>
      <c r="F752" t="s">
        <v>3683</v>
      </c>
      <c r="G752" t="s">
        <v>344</v>
      </c>
      <c r="H752" t="s">
        <v>402</v>
      </c>
      <c r="I752" t="s">
        <v>3684</v>
      </c>
      <c r="J752" s="2">
        <v>130902</v>
      </c>
      <c r="K752" s="2">
        <v>600</v>
      </c>
      <c r="L752" s="2">
        <v>15</v>
      </c>
      <c r="M752" s="2">
        <v>0</v>
      </c>
      <c r="N752" t="s">
        <v>403</v>
      </c>
      <c r="O752" t="s">
        <v>404</v>
      </c>
      <c r="P752" t="s">
        <v>205</v>
      </c>
      <c r="Q752" t="s">
        <v>206</v>
      </c>
      <c r="S752" t="s">
        <v>3685</v>
      </c>
      <c r="U752" t="s">
        <v>45</v>
      </c>
      <c r="V752" t="s">
        <v>46</v>
      </c>
      <c r="W752" t="s">
        <v>403</v>
      </c>
      <c r="X752" t="s">
        <v>404</v>
      </c>
      <c r="Y752" t="s">
        <v>161</v>
      </c>
      <c r="Z752" t="s">
        <v>162</v>
      </c>
      <c r="AA752" t="s">
        <v>49</v>
      </c>
      <c r="AB752" t="s">
        <v>50</v>
      </c>
      <c r="AC752" s="2">
        <v>124372.56</v>
      </c>
      <c r="AD752" t="s">
        <v>3686</v>
      </c>
      <c r="AE752" t="s">
        <v>115</v>
      </c>
    </row>
    <row r="753" spans="1:31" hidden="1" x14ac:dyDescent="0.25">
      <c r="I753" t="s">
        <v>3687</v>
      </c>
      <c r="J753" s="2">
        <v>1000</v>
      </c>
      <c r="K753" s="2">
        <v>0</v>
      </c>
      <c r="L753" s="2">
        <v>1</v>
      </c>
      <c r="M753" s="2">
        <v>0</v>
      </c>
      <c r="S753" t="s">
        <v>3688</v>
      </c>
      <c r="U753" t="s">
        <v>45</v>
      </c>
      <c r="V753" t="s">
        <v>46</v>
      </c>
      <c r="W753" t="s">
        <v>2113</v>
      </c>
      <c r="X753" t="s">
        <v>2114</v>
      </c>
      <c r="Y753" t="s">
        <v>106</v>
      </c>
      <c r="Z753" t="s">
        <v>107</v>
      </c>
      <c r="AA753" t="s">
        <v>49</v>
      </c>
      <c r="AC753" s="2"/>
    </row>
    <row r="754" spans="1:31" hidden="1" x14ac:dyDescent="0.25">
      <c r="A754" s="10" t="s">
        <v>3689</v>
      </c>
      <c r="B754" s="10" t="s">
        <v>3690</v>
      </c>
      <c r="C754" t="s">
        <v>3690</v>
      </c>
      <c r="D754" t="s">
        <v>55</v>
      </c>
      <c r="E754" t="s">
        <v>56</v>
      </c>
      <c r="F754" t="s">
        <v>3691</v>
      </c>
      <c r="H754" t="s">
        <v>366</v>
      </c>
      <c r="I754" t="s">
        <v>3692</v>
      </c>
      <c r="J754" s="2">
        <v>1000</v>
      </c>
      <c r="K754" s="2">
        <v>4.33</v>
      </c>
      <c r="L754" s="2">
        <v>1</v>
      </c>
      <c r="M754" s="2">
        <v>0</v>
      </c>
      <c r="N754" t="s">
        <v>348</v>
      </c>
      <c r="O754" t="s">
        <v>349</v>
      </c>
      <c r="P754" t="s">
        <v>316</v>
      </c>
      <c r="Q754" t="s">
        <v>317</v>
      </c>
      <c r="S754" t="s">
        <v>3693</v>
      </c>
      <c r="U754" t="s">
        <v>45</v>
      </c>
      <c r="V754" t="s">
        <v>46</v>
      </c>
      <c r="W754" t="s">
        <v>348</v>
      </c>
      <c r="X754" t="s">
        <v>349</v>
      </c>
      <c r="Y754" t="s">
        <v>317</v>
      </c>
      <c r="Z754" t="s">
        <v>349</v>
      </c>
      <c r="AA754" t="s">
        <v>49</v>
      </c>
      <c r="AB754" t="s">
        <v>142</v>
      </c>
      <c r="AC754" s="2">
        <v>1000</v>
      </c>
      <c r="AD754" t="s">
        <v>64</v>
      </c>
    </row>
    <row r="755" spans="1:31" hidden="1" x14ac:dyDescent="0.25">
      <c r="I755" t="s">
        <v>3694</v>
      </c>
      <c r="J755" s="2">
        <v>1000</v>
      </c>
      <c r="K755" s="2">
        <v>0</v>
      </c>
      <c r="L755" s="2">
        <v>1</v>
      </c>
      <c r="M755" s="2">
        <v>0</v>
      </c>
      <c r="S755" t="s">
        <v>3695</v>
      </c>
      <c r="U755" t="s">
        <v>45</v>
      </c>
      <c r="V755" t="s">
        <v>46</v>
      </c>
      <c r="W755" t="s">
        <v>445</v>
      </c>
      <c r="X755" t="s">
        <v>446</v>
      </c>
      <c r="Y755" t="s">
        <v>72</v>
      </c>
      <c r="Z755" t="s">
        <v>68</v>
      </c>
      <c r="AA755" t="s">
        <v>49</v>
      </c>
      <c r="AC755" s="2"/>
    </row>
    <row r="756" spans="1:31" x14ac:dyDescent="0.25">
      <c r="A756" t="s">
        <v>3696</v>
      </c>
      <c r="B756" t="s">
        <v>3697</v>
      </c>
      <c r="C756" t="s">
        <v>2726</v>
      </c>
      <c r="D756" t="s">
        <v>178</v>
      </c>
      <c r="E756" t="s">
        <v>179</v>
      </c>
      <c r="F756" t="s">
        <v>2727</v>
      </c>
      <c r="G756" t="s">
        <v>299</v>
      </c>
      <c r="H756" t="s">
        <v>1607</v>
      </c>
      <c r="I756" t="s">
        <v>3698</v>
      </c>
      <c r="J756" s="2">
        <v>436340</v>
      </c>
      <c r="K756" s="2">
        <v>2000</v>
      </c>
      <c r="L756" s="2">
        <v>30</v>
      </c>
      <c r="M756" s="2">
        <v>0</v>
      </c>
      <c r="N756" t="s">
        <v>1221</v>
      </c>
      <c r="O756" t="s">
        <v>1222</v>
      </c>
      <c r="P756" t="s">
        <v>205</v>
      </c>
      <c r="Q756" t="s">
        <v>206</v>
      </c>
      <c r="S756" t="s">
        <v>3699</v>
      </c>
      <c r="U756" t="s">
        <v>45</v>
      </c>
      <c r="V756" t="s">
        <v>46</v>
      </c>
      <c r="W756" t="s">
        <v>1221</v>
      </c>
      <c r="X756" t="s">
        <v>1222</v>
      </c>
      <c r="Y756" t="s">
        <v>161</v>
      </c>
      <c r="Z756" t="s">
        <v>162</v>
      </c>
      <c r="AA756" t="s">
        <v>49</v>
      </c>
      <c r="AB756" t="s">
        <v>50</v>
      </c>
      <c r="AC756" s="2">
        <v>343126.44</v>
      </c>
      <c r="AD756" t="s">
        <v>3700</v>
      </c>
      <c r="AE756" t="s">
        <v>52</v>
      </c>
    </row>
    <row r="757" spans="1:31" x14ac:dyDescent="0.25">
      <c r="A757" t="s">
        <v>3701</v>
      </c>
      <c r="B757" t="s">
        <v>3702</v>
      </c>
      <c r="C757" t="s">
        <v>2484</v>
      </c>
      <c r="D757" t="s">
        <v>35</v>
      </c>
      <c r="E757" t="s">
        <v>36</v>
      </c>
      <c r="F757" t="s">
        <v>2267</v>
      </c>
      <c r="G757" t="s">
        <v>35</v>
      </c>
      <c r="H757" t="s">
        <v>1222</v>
      </c>
      <c r="J757" s="2">
        <v>568790</v>
      </c>
      <c r="K757" s="2">
        <v>2300</v>
      </c>
      <c r="L757" s="2">
        <v>30</v>
      </c>
      <c r="M757" s="2">
        <v>0</v>
      </c>
      <c r="N757" t="s">
        <v>1221</v>
      </c>
      <c r="O757" t="s">
        <v>1222</v>
      </c>
      <c r="P757" t="s">
        <v>2320</v>
      </c>
      <c r="Q757" t="s">
        <v>2321</v>
      </c>
      <c r="S757" t="s">
        <v>3703</v>
      </c>
      <c r="U757" t="s">
        <v>45</v>
      </c>
      <c r="V757" t="s">
        <v>46</v>
      </c>
      <c r="W757" t="s">
        <v>1221</v>
      </c>
      <c r="X757" t="s">
        <v>1222</v>
      </c>
      <c r="Y757" t="s">
        <v>161</v>
      </c>
      <c r="Z757" t="s">
        <v>162</v>
      </c>
      <c r="AA757" t="s">
        <v>49</v>
      </c>
      <c r="AB757" t="s">
        <v>50</v>
      </c>
      <c r="AC757" s="2">
        <v>78270.740000000005</v>
      </c>
      <c r="AD757" t="s">
        <v>3704</v>
      </c>
      <c r="AE757" t="s">
        <v>52</v>
      </c>
    </row>
    <row r="758" spans="1:31" x14ac:dyDescent="0.25">
      <c r="A758" t="s">
        <v>3705</v>
      </c>
      <c r="B758" t="s">
        <v>3706</v>
      </c>
      <c r="C758" t="s">
        <v>3706</v>
      </c>
      <c r="D758" t="s">
        <v>2118</v>
      </c>
      <c r="E758" t="s">
        <v>871</v>
      </c>
      <c r="F758" t="s">
        <v>3707</v>
      </c>
      <c r="G758" t="s">
        <v>2118</v>
      </c>
      <c r="H758" t="s">
        <v>1330</v>
      </c>
      <c r="I758" t="s">
        <v>3708</v>
      </c>
      <c r="J758" s="2">
        <v>32726</v>
      </c>
      <c r="K758" s="2">
        <v>150</v>
      </c>
      <c r="L758" s="2">
        <v>1</v>
      </c>
      <c r="M758" s="2">
        <v>0</v>
      </c>
      <c r="N758" t="s">
        <v>1332</v>
      </c>
      <c r="O758" t="s">
        <v>1330</v>
      </c>
      <c r="P758" t="s">
        <v>69</v>
      </c>
      <c r="Q758" t="s">
        <v>70</v>
      </c>
      <c r="S758" t="s">
        <v>3709</v>
      </c>
      <c r="U758" t="s">
        <v>45</v>
      </c>
      <c r="V758" t="s">
        <v>46</v>
      </c>
      <c r="W758" t="s">
        <v>1332</v>
      </c>
      <c r="X758" t="s">
        <v>1330</v>
      </c>
      <c r="Y758" t="s">
        <v>137</v>
      </c>
      <c r="Z758" t="s">
        <v>717</v>
      </c>
      <c r="AA758" t="s">
        <v>49</v>
      </c>
      <c r="AB758" t="s">
        <v>50</v>
      </c>
      <c r="AC758" s="2">
        <v>32726</v>
      </c>
      <c r="AD758" t="s">
        <v>64</v>
      </c>
    </row>
    <row r="759" spans="1:31" hidden="1" x14ac:dyDescent="0.25">
      <c r="I759" t="s">
        <v>3710</v>
      </c>
      <c r="J759" s="2">
        <v>65451</v>
      </c>
      <c r="K759" s="2">
        <v>300</v>
      </c>
      <c r="L759" s="2">
        <v>15</v>
      </c>
      <c r="M759" s="2">
        <v>0</v>
      </c>
      <c r="S759" t="s">
        <v>3711</v>
      </c>
      <c r="U759" t="s">
        <v>45</v>
      </c>
      <c r="V759" t="s">
        <v>46</v>
      </c>
      <c r="W759" t="s">
        <v>40</v>
      </c>
      <c r="X759" t="s">
        <v>41</v>
      </c>
      <c r="Y759" t="s">
        <v>47</v>
      </c>
      <c r="Z759" t="s">
        <v>48</v>
      </c>
      <c r="AA759" t="s">
        <v>49</v>
      </c>
      <c r="AC759" s="2"/>
    </row>
    <row r="760" spans="1:31" x14ac:dyDescent="0.25">
      <c r="A760" t="s">
        <v>3712</v>
      </c>
      <c r="B760" t="s">
        <v>3713</v>
      </c>
      <c r="C760" t="s">
        <v>3713</v>
      </c>
      <c r="D760" t="s">
        <v>153</v>
      </c>
      <c r="E760" t="s">
        <v>272</v>
      </c>
      <c r="F760" t="s">
        <v>3714</v>
      </c>
      <c r="G760" t="s">
        <v>299</v>
      </c>
      <c r="H760" t="s">
        <v>2382</v>
      </c>
      <c r="I760" t="s">
        <v>3715</v>
      </c>
      <c r="J760" s="2">
        <v>43634</v>
      </c>
      <c r="K760" s="2">
        <v>200</v>
      </c>
      <c r="L760" s="2">
        <v>14</v>
      </c>
      <c r="M760" s="2">
        <v>0</v>
      </c>
      <c r="N760" t="s">
        <v>2384</v>
      </c>
      <c r="O760" t="s">
        <v>2385</v>
      </c>
      <c r="P760" t="s">
        <v>103</v>
      </c>
      <c r="Q760" t="s">
        <v>104</v>
      </c>
      <c r="S760" t="s">
        <v>3716</v>
      </c>
      <c r="U760" t="s">
        <v>45</v>
      </c>
      <c r="V760" t="s">
        <v>46</v>
      </c>
      <c r="W760" t="s">
        <v>2384</v>
      </c>
      <c r="X760" t="s">
        <v>2385</v>
      </c>
      <c r="Y760" t="s">
        <v>106</v>
      </c>
      <c r="Z760" t="s">
        <v>107</v>
      </c>
      <c r="AA760" t="s">
        <v>49</v>
      </c>
      <c r="AB760" t="s">
        <v>50</v>
      </c>
      <c r="AC760" s="2">
        <v>20262.080000000002</v>
      </c>
      <c r="AD760" t="s">
        <v>3717</v>
      </c>
      <c r="AE760" t="s">
        <v>52</v>
      </c>
    </row>
    <row r="761" spans="1:31" hidden="1" x14ac:dyDescent="0.25">
      <c r="I761" t="s">
        <v>3718</v>
      </c>
      <c r="J761" s="2">
        <v>1000</v>
      </c>
      <c r="K761" s="2">
        <v>0</v>
      </c>
      <c r="L761" s="2">
        <v>1</v>
      </c>
      <c r="M761" s="2">
        <v>0</v>
      </c>
      <c r="S761" t="s">
        <v>3719</v>
      </c>
      <c r="U761" t="s">
        <v>45</v>
      </c>
      <c r="V761" t="s">
        <v>46</v>
      </c>
      <c r="W761" t="s">
        <v>101</v>
      </c>
      <c r="X761" t="s">
        <v>102</v>
      </c>
      <c r="Y761" t="s">
        <v>106</v>
      </c>
      <c r="Z761" t="s">
        <v>107</v>
      </c>
      <c r="AA761" t="s">
        <v>49</v>
      </c>
      <c r="AC761" s="2"/>
    </row>
    <row r="762" spans="1:31" x14ac:dyDescent="0.25">
      <c r="A762" t="s">
        <v>3720</v>
      </c>
      <c r="B762" t="s">
        <v>3721</v>
      </c>
      <c r="C762" t="s">
        <v>3721</v>
      </c>
      <c r="D762" t="s">
        <v>169</v>
      </c>
      <c r="E762" t="s">
        <v>190</v>
      </c>
      <c r="F762" t="s">
        <v>3722</v>
      </c>
      <c r="G762" t="s">
        <v>169</v>
      </c>
      <c r="H762" t="s">
        <v>1039</v>
      </c>
      <c r="I762" t="s">
        <v>3723</v>
      </c>
      <c r="J762" s="2">
        <v>174536</v>
      </c>
      <c r="K762" s="2">
        <v>800</v>
      </c>
      <c r="L762" s="2">
        <v>21</v>
      </c>
      <c r="M762" s="2">
        <v>0</v>
      </c>
      <c r="N762" t="s">
        <v>1038</v>
      </c>
      <c r="O762" t="s">
        <v>1039</v>
      </c>
      <c r="P762" t="s">
        <v>304</v>
      </c>
      <c r="Q762" t="s">
        <v>72</v>
      </c>
      <c r="S762" t="s">
        <v>3724</v>
      </c>
      <c r="U762" t="s">
        <v>45</v>
      </c>
      <c r="V762" t="s">
        <v>46</v>
      </c>
      <c r="W762" t="s">
        <v>1038</v>
      </c>
      <c r="X762" t="s">
        <v>1039</v>
      </c>
      <c r="Y762" t="s">
        <v>72</v>
      </c>
      <c r="Z762" t="s">
        <v>68</v>
      </c>
      <c r="AA762" t="s">
        <v>49</v>
      </c>
      <c r="AB762" t="s">
        <v>50</v>
      </c>
      <c r="AC762" s="2">
        <v>55463.19</v>
      </c>
      <c r="AD762" t="s">
        <v>3725</v>
      </c>
      <c r="AE762" t="s">
        <v>52</v>
      </c>
    </row>
    <row r="763" spans="1:31" x14ac:dyDescent="0.25">
      <c r="A763" t="s">
        <v>3726</v>
      </c>
      <c r="B763" t="s">
        <v>3727</v>
      </c>
      <c r="C763" t="s">
        <v>3727</v>
      </c>
      <c r="D763" t="s">
        <v>35</v>
      </c>
      <c r="E763" t="s">
        <v>36</v>
      </c>
      <c r="F763" t="s">
        <v>3728</v>
      </c>
      <c r="G763" t="s">
        <v>3194</v>
      </c>
      <c r="H763" t="s">
        <v>3729</v>
      </c>
      <c r="I763" t="s">
        <v>1570</v>
      </c>
      <c r="J763" s="2">
        <v>54543</v>
      </c>
      <c r="K763" s="2">
        <v>250</v>
      </c>
      <c r="L763" s="2">
        <v>15</v>
      </c>
      <c r="M763" s="2">
        <v>0</v>
      </c>
      <c r="N763" t="s">
        <v>1332</v>
      </c>
      <c r="O763" t="s">
        <v>1330</v>
      </c>
      <c r="P763" t="s">
        <v>69</v>
      </c>
      <c r="Q763" t="s">
        <v>70</v>
      </c>
      <c r="S763" t="s">
        <v>3730</v>
      </c>
      <c r="U763" t="s">
        <v>45</v>
      </c>
      <c r="V763" t="s">
        <v>46</v>
      </c>
      <c r="W763" t="s">
        <v>1332</v>
      </c>
      <c r="X763" t="s">
        <v>1330</v>
      </c>
      <c r="Y763" t="s">
        <v>72</v>
      </c>
      <c r="Z763" t="s">
        <v>68</v>
      </c>
      <c r="AA763" t="s">
        <v>49</v>
      </c>
      <c r="AB763" t="s">
        <v>50</v>
      </c>
      <c r="AC763" s="2">
        <v>49766</v>
      </c>
      <c r="AD763" t="s">
        <v>3731</v>
      </c>
    </row>
    <row r="764" spans="1:31" hidden="1" x14ac:dyDescent="0.25">
      <c r="A764" s="10" t="s">
        <v>3732</v>
      </c>
      <c r="B764" s="10" t="s">
        <v>3733</v>
      </c>
      <c r="C764" t="s">
        <v>3733</v>
      </c>
      <c r="D764" t="s">
        <v>55</v>
      </c>
      <c r="E764" t="s">
        <v>56</v>
      </c>
      <c r="F764" t="s">
        <v>3734</v>
      </c>
      <c r="H764" t="s">
        <v>38</v>
      </c>
      <c r="I764" t="s">
        <v>3735</v>
      </c>
      <c r="J764" s="2">
        <v>1000</v>
      </c>
      <c r="K764" s="2">
        <v>4.33</v>
      </c>
      <c r="L764" s="2">
        <v>1</v>
      </c>
      <c r="M764" s="2">
        <v>0</v>
      </c>
      <c r="N764" t="s">
        <v>40</v>
      </c>
      <c r="O764" t="s">
        <v>41</v>
      </c>
      <c r="P764" t="s">
        <v>316</v>
      </c>
      <c r="Q764" t="s">
        <v>317</v>
      </c>
      <c r="S764" t="s">
        <v>3736</v>
      </c>
      <c r="U764" t="s">
        <v>45</v>
      </c>
      <c r="V764" t="s">
        <v>46</v>
      </c>
      <c r="W764" t="s">
        <v>40</v>
      </c>
      <c r="X764" t="s">
        <v>41</v>
      </c>
      <c r="Y764" t="s">
        <v>47</v>
      </c>
      <c r="Z764" t="s">
        <v>48</v>
      </c>
      <c r="AA764" t="s">
        <v>49</v>
      </c>
      <c r="AB764" t="s">
        <v>142</v>
      </c>
      <c r="AC764" s="2">
        <v>1000</v>
      </c>
      <c r="AD764" t="s">
        <v>64</v>
      </c>
    </row>
    <row r="765" spans="1:31" hidden="1" x14ac:dyDescent="0.25">
      <c r="I765" t="s">
        <v>3737</v>
      </c>
      <c r="J765" s="2">
        <v>1000</v>
      </c>
      <c r="K765" s="2">
        <v>0</v>
      </c>
      <c r="L765" s="2">
        <v>10</v>
      </c>
      <c r="M765" s="2">
        <v>0</v>
      </c>
      <c r="S765" t="s">
        <v>3738</v>
      </c>
      <c r="U765" t="s">
        <v>45</v>
      </c>
      <c r="V765" t="s">
        <v>46</v>
      </c>
      <c r="W765" t="s">
        <v>302</v>
      </c>
      <c r="X765" t="s">
        <v>303</v>
      </c>
      <c r="Y765" t="s">
        <v>72</v>
      </c>
      <c r="Z765" t="s">
        <v>68</v>
      </c>
      <c r="AA765" t="s">
        <v>49</v>
      </c>
      <c r="AC765" s="2"/>
    </row>
    <row r="766" spans="1:31" x14ac:dyDescent="0.25">
      <c r="A766" t="s">
        <v>3739</v>
      </c>
      <c r="B766" t="s">
        <v>3740</v>
      </c>
      <c r="C766" t="s">
        <v>3740</v>
      </c>
      <c r="D766" t="s">
        <v>847</v>
      </c>
      <c r="E766" t="s">
        <v>848</v>
      </c>
      <c r="F766" t="s">
        <v>3741</v>
      </c>
      <c r="G766" t="s">
        <v>178</v>
      </c>
      <c r="H766" t="s">
        <v>38</v>
      </c>
      <c r="I766" t="s">
        <v>3742</v>
      </c>
      <c r="J766" s="2">
        <v>274176</v>
      </c>
      <c r="K766" s="2">
        <v>1200</v>
      </c>
      <c r="L766" s="2">
        <v>15</v>
      </c>
      <c r="M766" s="2">
        <v>0</v>
      </c>
      <c r="N766" t="s">
        <v>40</v>
      </c>
      <c r="O766" t="s">
        <v>41</v>
      </c>
      <c r="P766" t="s">
        <v>61</v>
      </c>
      <c r="Q766" t="s">
        <v>62</v>
      </c>
      <c r="S766" t="s">
        <v>3743</v>
      </c>
      <c r="U766" t="s">
        <v>45</v>
      </c>
      <c r="V766" t="s">
        <v>46</v>
      </c>
      <c r="W766" t="s">
        <v>40</v>
      </c>
      <c r="X766" t="s">
        <v>41</v>
      </c>
      <c r="Y766" t="s">
        <v>47</v>
      </c>
      <c r="Z766" t="s">
        <v>48</v>
      </c>
      <c r="AA766" t="s">
        <v>49</v>
      </c>
      <c r="AB766" t="s">
        <v>50</v>
      </c>
      <c r="AC766" s="2">
        <v>262309.88</v>
      </c>
      <c r="AD766" t="s">
        <v>3744</v>
      </c>
      <c r="AE766" t="s">
        <v>52</v>
      </c>
    </row>
    <row r="767" spans="1:31" hidden="1" x14ac:dyDescent="0.25">
      <c r="I767" t="s">
        <v>3745</v>
      </c>
      <c r="J767" s="2">
        <v>1000</v>
      </c>
      <c r="K767" s="2">
        <v>0</v>
      </c>
      <c r="L767" s="2">
        <v>1</v>
      </c>
      <c r="M767" s="2">
        <v>0</v>
      </c>
      <c r="S767" t="s">
        <v>3746</v>
      </c>
      <c r="U767" t="s">
        <v>45</v>
      </c>
      <c r="V767" t="s">
        <v>46</v>
      </c>
      <c r="W767" t="s">
        <v>2919</v>
      </c>
      <c r="X767" t="s">
        <v>2920</v>
      </c>
      <c r="Y767" t="s">
        <v>72</v>
      </c>
      <c r="Z767" t="s">
        <v>68</v>
      </c>
      <c r="AA767" t="s">
        <v>49</v>
      </c>
      <c r="AC767" s="2"/>
    </row>
    <row r="768" spans="1:31" x14ac:dyDescent="0.25">
      <c r="A768" t="s">
        <v>3747</v>
      </c>
      <c r="B768" t="s">
        <v>3748</v>
      </c>
      <c r="C768" t="s">
        <v>3748</v>
      </c>
      <c r="D768" t="s">
        <v>35</v>
      </c>
      <c r="E768" t="s">
        <v>36</v>
      </c>
      <c r="F768" t="s">
        <v>3749</v>
      </c>
      <c r="G768" t="s">
        <v>153</v>
      </c>
      <c r="H768" t="s">
        <v>3750</v>
      </c>
      <c r="I768" t="s">
        <v>3751</v>
      </c>
      <c r="J768" s="2">
        <v>939480</v>
      </c>
      <c r="K768" s="2">
        <v>4000</v>
      </c>
      <c r="L768" s="2">
        <v>7</v>
      </c>
      <c r="M768" s="2">
        <v>0</v>
      </c>
      <c r="N768" t="s">
        <v>3752</v>
      </c>
      <c r="O768" t="s">
        <v>3753</v>
      </c>
      <c r="P768" t="s">
        <v>158</v>
      </c>
      <c r="Q768" t="s">
        <v>159</v>
      </c>
      <c r="S768" t="s">
        <v>3754</v>
      </c>
      <c r="U768" t="s">
        <v>45</v>
      </c>
      <c r="V768" t="s">
        <v>46</v>
      </c>
      <c r="W768" t="s">
        <v>3752</v>
      </c>
      <c r="X768" t="s">
        <v>3753</v>
      </c>
      <c r="Y768" t="s">
        <v>161</v>
      </c>
      <c r="Z768" t="s">
        <v>162</v>
      </c>
      <c r="AA768" t="s">
        <v>49</v>
      </c>
      <c r="AB768" t="s">
        <v>50</v>
      </c>
      <c r="AC768" s="2">
        <v>902893.27</v>
      </c>
      <c r="AD768" t="s">
        <v>3755</v>
      </c>
      <c r="AE768" t="s">
        <v>52</v>
      </c>
    </row>
    <row r="769" spans="1:31" hidden="1" x14ac:dyDescent="0.25">
      <c r="I769" t="s">
        <v>3756</v>
      </c>
      <c r="J769" s="2">
        <v>218170</v>
      </c>
      <c r="K769" s="2">
        <v>1000</v>
      </c>
      <c r="L769" s="2">
        <v>1</v>
      </c>
      <c r="M769" s="2">
        <v>0</v>
      </c>
      <c r="S769" t="s">
        <v>3757</v>
      </c>
      <c r="U769" t="s">
        <v>45</v>
      </c>
      <c r="V769" t="s">
        <v>46</v>
      </c>
      <c r="W769" t="s">
        <v>3073</v>
      </c>
      <c r="X769" t="s">
        <v>3074</v>
      </c>
      <c r="Y769" t="s">
        <v>106</v>
      </c>
      <c r="Z769" t="s">
        <v>107</v>
      </c>
      <c r="AA769" t="s">
        <v>49</v>
      </c>
      <c r="AC769" s="2"/>
    </row>
    <row r="770" spans="1:31" x14ac:dyDescent="0.25">
      <c r="A770" t="s">
        <v>3758</v>
      </c>
      <c r="B770" t="s">
        <v>3759</v>
      </c>
      <c r="C770" t="s">
        <v>3759</v>
      </c>
      <c r="D770" t="s">
        <v>519</v>
      </c>
      <c r="E770" t="s">
        <v>77</v>
      </c>
      <c r="F770" t="s">
        <v>3760</v>
      </c>
      <c r="H770" t="s">
        <v>402</v>
      </c>
      <c r="I770" t="s">
        <v>3761</v>
      </c>
      <c r="J770" s="2">
        <v>109085</v>
      </c>
      <c r="K770" s="2">
        <v>500</v>
      </c>
      <c r="L770" s="2">
        <v>15</v>
      </c>
      <c r="M770" s="2">
        <v>0</v>
      </c>
      <c r="N770" t="s">
        <v>403</v>
      </c>
      <c r="O770" t="s">
        <v>404</v>
      </c>
      <c r="P770" t="s">
        <v>205</v>
      </c>
      <c r="Q770" t="s">
        <v>206</v>
      </c>
      <c r="S770" t="s">
        <v>3762</v>
      </c>
      <c r="U770" t="s">
        <v>45</v>
      </c>
      <c r="V770" t="s">
        <v>46</v>
      </c>
      <c r="W770" t="s">
        <v>403</v>
      </c>
      <c r="X770" t="s">
        <v>404</v>
      </c>
      <c r="Y770" t="s">
        <v>161</v>
      </c>
      <c r="Z770" t="s">
        <v>162</v>
      </c>
      <c r="AA770" t="s">
        <v>49</v>
      </c>
      <c r="AB770" t="s">
        <v>50</v>
      </c>
      <c r="AC770" s="2">
        <v>89034.79</v>
      </c>
      <c r="AD770" t="s">
        <v>3763</v>
      </c>
      <c r="AE770" t="s">
        <v>115</v>
      </c>
    </row>
    <row r="771" spans="1:31" hidden="1" x14ac:dyDescent="0.25">
      <c r="I771" t="s">
        <v>3764</v>
      </c>
      <c r="J771" s="2">
        <v>1000</v>
      </c>
      <c r="K771" s="2">
        <v>0</v>
      </c>
      <c r="L771" s="2">
        <v>1</v>
      </c>
      <c r="M771" s="2">
        <v>0</v>
      </c>
      <c r="S771" t="s">
        <v>3765</v>
      </c>
      <c r="U771" t="s">
        <v>45</v>
      </c>
      <c r="V771" t="s">
        <v>46</v>
      </c>
      <c r="W771" t="s">
        <v>883</v>
      </c>
      <c r="X771" t="s">
        <v>881</v>
      </c>
      <c r="Y771" t="s">
        <v>161</v>
      </c>
      <c r="Z771" t="s">
        <v>162</v>
      </c>
      <c r="AA771" t="s">
        <v>49</v>
      </c>
      <c r="AC771" s="2"/>
    </row>
    <row r="772" spans="1:31" x14ac:dyDescent="0.25">
      <c r="A772" t="s">
        <v>3766</v>
      </c>
      <c r="B772" t="s">
        <v>3767</v>
      </c>
      <c r="C772" t="s">
        <v>3767</v>
      </c>
      <c r="D772" t="s">
        <v>297</v>
      </c>
      <c r="E772" t="s">
        <v>167</v>
      </c>
      <c r="F772" t="s">
        <v>3768</v>
      </c>
      <c r="G772" t="s">
        <v>817</v>
      </c>
      <c r="H772" t="s">
        <v>1581</v>
      </c>
      <c r="I772" t="s">
        <v>3769</v>
      </c>
      <c r="J772" s="2">
        <v>21817</v>
      </c>
      <c r="K772" s="2">
        <v>100</v>
      </c>
      <c r="L772" s="2">
        <v>21</v>
      </c>
      <c r="M772" s="2">
        <v>0</v>
      </c>
      <c r="N772" t="s">
        <v>203</v>
      </c>
      <c r="O772" t="s">
        <v>204</v>
      </c>
      <c r="P772" t="s">
        <v>205</v>
      </c>
      <c r="Q772" t="s">
        <v>206</v>
      </c>
      <c r="S772" t="s">
        <v>3770</v>
      </c>
      <c r="U772" t="s">
        <v>45</v>
      </c>
      <c r="V772" t="s">
        <v>46</v>
      </c>
      <c r="W772" t="s">
        <v>203</v>
      </c>
      <c r="X772" t="s">
        <v>204</v>
      </c>
      <c r="Y772" t="s">
        <v>161</v>
      </c>
      <c r="Z772" t="s">
        <v>162</v>
      </c>
      <c r="AA772" t="s">
        <v>49</v>
      </c>
      <c r="AB772" t="s">
        <v>50</v>
      </c>
      <c r="AC772" s="2">
        <v>21817</v>
      </c>
      <c r="AD772" t="s">
        <v>64</v>
      </c>
    </row>
    <row r="773" spans="1:31" hidden="1" x14ac:dyDescent="0.25">
      <c r="I773" t="s">
        <v>3771</v>
      </c>
      <c r="J773" s="2">
        <v>109085</v>
      </c>
      <c r="K773" s="2">
        <v>500</v>
      </c>
      <c r="L773" s="2">
        <v>21</v>
      </c>
      <c r="M773" s="2">
        <v>0</v>
      </c>
      <c r="S773" t="s">
        <v>3772</v>
      </c>
      <c r="U773" t="s">
        <v>45</v>
      </c>
      <c r="V773" t="s">
        <v>46</v>
      </c>
      <c r="W773" t="s">
        <v>1108</v>
      </c>
      <c r="X773" t="s">
        <v>1106</v>
      </c>
      <c r="Y773" t="s">
        <v>1112</v>
      </c>
      <c r="Z773" t="s">
        <v>1113</v>
      </c>
      <c r="AA773" t="s">
        <v>49</v>
      </c>
      <c r="AC773" s="2"/>
    </row>
    <row r="774" spans="1:31" x14ac:dyDescent="0.25">
      <c r="A774" t="s">
        <v>3773</v>
      </c>
      <c r="B774" t="s">
        <v>3774</v>
      </c>
      <c r="C774" t="s">
        <v>3774</v>
      </c>
      <c r="D774" t="s">
        <v>35</v>
      </c>
      <c r="E774" t="s">
        <v>36</v>
      </c>
      <c r="F774" t="s">
        <v>3775</v>
      </c>
      <c r="G774" t="s">
        <v>35</v>
      </c>
      <c r="H774" t="s">
        <v>1961</v>
      </c>
      <c r="I774" t="s">
        <v>3776</v>
      </c>
      <c r="J774" s="2">
        <v>654510</v>
      </c>
      <c r="K774" s="2">
        <v>3000</v>
      </c>
      <c r="L774" s="2">
        <v>15</v>
      </c>
      <c r="M774" s="2">
        <v>0</v>
      </c>
      <c r="N774" t="s">
        <v>1592</v>
      </c>
      <c r="O774" t="s">
        <v>280</v>
      </c>
      <c r="P774" t="s">
        <v>103</v>
      </c>
      <c r="Q774" t="s">
        <v>104</v>
      </c>
      <c r="S774" t="s">
        <v>3777</v>
      </c>
      <c r="U774" t="s">
        <v>45</v>
      </c>
      <c r="V774" t="s">
        <v>46</v>
      </c>
      <c r="W774" t="s">
        <v>1592</v>
      </c>
      <c r="X774" t="s">
        <v>280</v>
      </c>
      <c r="Y774" t="s">
        <v>279</v>
      </c>
      <c r="Z774" t="s">
        <v>280</v>
      </c>
      <c r="AA774" t="s">
        <v>49</v>
      </c>
      <c r="AB774" t="s">
        <v>50</v>
      </c>
      <c r="AC774" s="2">
        <v>232668.9</v>
      </c>
      <c r="AD774" t="s">
        <v>3778</v>
      </c>
      <c r="AE774" t="s">
        <v>52</v>
      </c>
    </row>
    <row r="775" spans="1:31" x14ac:dyDescent="0.25">
      <c r="A775" t="s">
        <v>3779</v>
      </c>
      <c r="B775" t="s">
        <v>3780</v>
      </c>
      <c r="C775" t="s">
        <v>3780</v>
      </c>
      <c r="D775" t="s">
        <v>1245</v>
      </c>
      <c r="E775" t="s">
        <v>224</v>
      </c>
      <c r="F775" t="s">
        <v>3781</v>
      </c>
      <c r="H775" t="s">
        <v>3750</v>
      </c>
      <c r="I775" t="s">
        <v>3782</v>
      </c>
      <c r="J775" s="2">
        <v>174536</v>
      </c>
      <c r="K775" s="2">
        <v>800</v>
      </c>
      <c r="L775" s="2">
        <v>7</v>
      </c>
      <c r="M775" s="2">
        <v>0</v>
      </c>
      <c r="N775" t="s">
        <v>3752</v>
      </c>
      <c r="O775" t="s">
        <v>3753</v>
      </c>
      <c r="P775" t="s">
        <v>158</v>
      </c>
      <c r="Q775" t="s">
        <v>159</v>
      </c>
      <c r="S775" t="s">
        <v>3783</v>
      </c>
      <c r="U775" t="s">
        <v>45</v>
      </c>
      <c r="V775" t="s">
        <v>46</v>
      </c>
      <c r="W775" t="s">
        <v>3752</v>
      </c>
      <c r="X775" t="s">
        <v>3753</v>
      </c>
      <c r="Y775" t="s">
        <v>161</v>
      </c>
      <c r="Z775" t="s">
        <v>162</v>
      </c>
      <c r="AA775" t="s">
        <v>49</v>
      </c>
      <c r="AB775" t="s">
        <v>50</v>
      </c>
      <c r="AC775" s="2">
        <v>174536</v>
      </c>
      <c r="AD775" t="s">
        <v>64</v>
      </c>
    </row>
    <row r="776" spans="1:31" hidden="1" x14ac:dyDescent="0.25">
      <c r="A776" t="s">
        <v>3784</v>
      </c>
      <c r="B776" t="s">
        <v>3785</v>
      </c>
      <c r="C776" t="s">
        <v>3785</v>
      </c>
      <c r="F776" t="s">
        <v>3786</v>
      </c>
      <c r="H776" t="s">
        <v>3750</v>
      </c>
      <c r="I776" t="s">
        <v>3787</v>
      </c>
      <c r="J776" s="2">
        <v>218170</v>
      </c>
      <c r="K776" s="2">
        <v>1000</v>
      </c>
      <c r="L776" s="2">
        <v>21</v>
      </c>
      <c r="M776" s="2">
        <v>0</v>
      </c>
      <c r="N776" t="s">
        <v>3752</v>
      </c>
      <c r="O776" t="s">
        <v>3753</v>
      </c>
      <c r="P776" t="s">
        <v>158</v>
      </c>
      <c r="Q776" t="s">
        <v>159</v>
      </c>
      <c r="S776" t="s">
        <v>3788</v>
      </c>
      <c r="U776" t="s">
        <v>45</v>
      </c>
      <c r="V776" t="s">
        <v>46</v>
      </c>
      <c r="W776" t="s">
        <v>3752</v>
      </c>
      <c r="X776" t="s">
        <v>3753</v>
      </c>
      <c r="Y776" t="s">
        <v>161</v>
      </c>
      <c r="Z776" t="s">
        <v>162</v>
      </c>
      <c r="AA776" t="s">
        <v>49</v>
      </c>
      <c r="AB776" t="s">
        <v>50</v>
      </c>
      <c r="AC776" s="2">
        <v>218170</v>
      </c>
      <c r="AD776" t="s">
        <v>64</v>
      </c>
    </row>
    <row r="777" spans="1:31" hidden="1" x14ac:dyDescent="0.25">
      <c r="I777" t="s">
        <v>3789</v>
      </c>
      <c r="J777" s="2">
        <v>1832</v>
      </c>
      <c r="K777" s="2">
        <v>0</v>
      </c>
      <c r="L777" s="2">
        <v>7</v>
      </c>
      <c r="M777" s="2">
        <v>0</v>
      </c>
      <c r="S777" t="s">
        <v>3790</v>
      </c>
      <c r="U777" t="s">
        <v>45</v>
      </c>
      <c r="V777" t="s">
        <v>46</v>
      </c>
      <c r="W777" t="s">
        <v>3752</v>
      </c>
      <c r="X777" t="s">
        <v>3753</v>
      </c>
      <c r="Y777" t="s">
        <v>161</v>
      </c>
      <c r="Z777" t="s">
        <v>162</v>
      </c>
      <c r="AA777" t="s">
        <v>49</v>
      </c>
      <c r="AC777" s="2"/>
    </row>
    <row r="778" spans="1:31" x14ac:dyDescent="0.25">
      <c r="A778" t="s">
        <v>3791</v>
      </c>
      <c r="B778" t="s">
        <v>3792</v>
      </c>
      <c r="C778" t="s">
        <v>3792</v>
      </c>
      <c r="D778" t="s">
        <v>344</v>
      </c>
      <c r="E778" t="s">
        <v>167</v>
      </c>
      <c r="F778" t="s">
        <v>3793</v>
      </c>
      <c r="G778" t="s">
        <v>1754</v>
      </c>
      <c r="H778" t="s">
        <v>1312</v>
      </c>
      <c r="I778" t="s">
        <v>3794</v>
      </c>
      <c r="J778" s="2">
        <v>872680</v>
      </c>
      <c r="K778" s="2">
        <v>4000</v>
      </c>
      <c r="L778" s="2">
        <v>21</v>
      </c>
      <c r="M778" s="2">
        <v>0</v>
      </c>
      <c r="N778" t="s">
        <v>883</v>
      </c>
      <c r="O778" t="s">
        <v>881</v>
      </c>
      <c r="P778" t="s">
        <v>158</v>
      </c>
      <c r="Q778" t="s">
        <v>159</v>
      </c>
      <c r="U778" t="s">
        <v>45</v>
      </c>
      <c r="V778" t="s">
        <v>46</v>
      </c>
      <c r="W778" t="s">
        <v>883</v>
      </c>
      <c r="X778" t="s">
        <v>881</v>
      </c>
      <c r="Y778" t="s">
        <v>161</v>
      </c>
      <c r="Z778" t="s">
        <v>162</v>
      </c>
      <c r="AA778" t="s">
        <v>49</v>
      </c>
      <c r="AB778" t="s">
        <v>50</v>
      </c>
      <c r="AC778" s="2">
        <v>653515.38</v>
      </c>
      <c r="AD778" t="s">
        <v>3795</v>
      </c>
    </row>
    <row r="779" spans="1:31" x14ac:dyDescent="0.25">
      <c r="A779" t="s">
        <v>3796</v>
      </c>
      <c r="B779" t="s">
        <v>3797</v>
      </c>
      <c r="C779" t="s">
        <v>3797</v>
      </c>
      <c r="D779" t="s">
        <v>166</v>
      </c>
      <c r="E779" t="s">
        <v>167</v>
      </c>
      <c r="F779" t="s">
        <v>3798</v>
      </c>
      <c r="G779" t="s">
        <v>166</v>
      </c>
      <c r="H779" t="s">
        <v>3233</v>
      </c>
      <c r="I779" t="s">
        <v>3799</v>
      </c>
      <c r="J779" s="2">
        <v>65451</v>
      </c>
      <c r="K779" s="2">
        <v>300</v>
      </c>
      <c r="L779" s="2">
        <v>15</v>
      </c>
      <c r="M779" s="2">
        <v>0</v>
      </c>
      <c r="N779" t="s">
        <v>3232</v>
      </c>
      <c r="O779" t="s">
        <v>3233</v>
      </c>
      <c r="P779" t="s">
        <v>1421</v>
      </c>
      <c r="Q779" t="s">
        <v>1422</v>
      </c>
      <c r="S779" t="s">
        <v>3800</v>
      </c>
      <c r="U779" t="s">
        <v>45</v>
      </c>
      <c r="V779" t="s">
        <v>46</v>
      </c>
      <c r="W779" t="s">
        <v>3232</v>
      </c>
      <c r="X779" t="s">
        <v>3233</v>
      </c>
      <c r="Y779" t="s">
        <v>1215</v>
      </c>
      <c r="Z779" t="s">
        <v>1216</v>
      </c>
      <c r="AA779" t="s">
        <v>49</v>
      </c>
      <c r="AB779" t="s">
        <v>50</v>
      </c>
      <c r="AC779" s="2">
        <v>55440.160000000003</v>
      </c>
      <c r="AD779" t="s">
        <v>3801</v>
      </c>
      <c r="AE779" t="s">
        <v>52</v>
      </c>
    </row>
    <row r="780" spans="1:31" hidden="1" x14ac:dyDescent="0.25">
      <c r="A780" s="10" t="s">
        <v>3802</v>
      </c>
      <c r="B780" s="10" t="s">
        <v>3803</v>
      </c>
      <c r="C780" t="s">
        <v>3803</v>
      </c>
      <c r="D780" t="s">
        <v>55</v>
      </c>
      <c r="E780" t="s">
        <v>56</v>
      </c>
      <c r="F780" t="s">
        <v>3804</v>
      </c>
      <c r="H780" t="s">
        <v>38</v>
      </c>
      <c r="I780" t="s">
        <v>3805</v>
      </c>
      <c r="J780" s="2">
        <v>1000</v>
      </c>
      <c r="K780" s="2">
        <v>0</v>
      </c>
      <c r="L780" s="2">
        <v>1</v>
      </c>
      <c r="M780" s="2">
        <v>0</v>
      </c>
      <c r="N780" t="s">
        <v>40</v>
      </c>
      <c r="O780" t="s">
        <v>41</v>
      </c>
      <c r="P780" t="s">
        <v>61</v>
      </c>
      <c r="Q780" t="s">
        <v>62</v>
      </c>
      <c r="S780" t="s">
        <v>3806</v>
      </c>
      <c r="U780" t="s">
        <v>45</v>
      </c>
      <c r="V780" t="s">
        <v>46</v>
      </c>
      <c r="W780" t="s">
        <v>40</v>
      </c>
      <c r="X780" t="s">
        <v>41</v>
      </c>
      <c r="Y780" t="s">
        <v>47</v>
      </c>
      <c r="Z780" t="s">
        <v>48</v>
      </c>
      <c r="AA780" t="s">
        <v>49</v>
      </c>
      <c r="AB780" t="s">
        <v>142</v>
      </c>
      <c r="AC780" s="2">
        <v>1000</v>
      </c>
      <c r="AD780" t="s">
        <v>64</v>
      </c>
    </row>
    <row r="781" spans="1:31" x14ac:dyDescent="0.25">
      <c r="A781" t="s">
        <v>3807</v>
      </c>
      <c r="B781" t="s">
        <v>3808</v>
      </c>
      <c r="C781" t="s">
        <v>3808</v>
      </c>
      <c r="D781" t="s">
        <v>1245</v>
      </c>
      <c r="E781" t="s">
        <v>224</v>
      </c>
      <c r="F781" t="s">
        <v>3809</v>
      </c>
      <c r="G781" t="s">
        <v>264</v>
      </c>
      <c r="H781" t="s">
        <v>3571</v>
      </c>
      <c r="I781" t="s">
        <v>3810</v>
      </c>
      <c r="J781" s="2">
        <v>130902</v>
      </c>
      <c r="K781" s="2">
        <v>600</v>
      </c>
      <c r="L781" s="2">
        <v>15</v>
      </c>
      <c r="M781" s="2">
        <v>0</v>
      </c>
      <c r="N781" t="s">
        <v>2113</v>
      </c>
      <c r="O781" t="s">
        <v>2114</v>
      </c>
      <c r="P781" t="s">
        <v>103</v>
      </c>
      <c r="Q781" t="s">
        <v>104</v>
      </c>
      <c r="S781" t="s">
        <v>3811</v>
      </c>
      <c r="U781" t="s">
        <v>45</v>
      </c>
      <c r="V781" t="s">
        <v>46</v>
      </c>
      <c r="W781" t="s">
        <v>2113</v>
      </c>
      <c r="X781" t="s">
        <v>2114</v>
      </c>
      <c r="Y781" t="s">
        <v>106</v>
      </c>
      <c r="Z781" t="s">
        <v>107</v>
      </c>
      <c r="AA781" t="s">
        <v>49</v>
      </c>
      <c r="AB781" t="s">
        <v>50</v>
      </c>
      <c r="AC781" s="2">
        <v>130902</v>
      </c>
      <c r="AD781" t="s">
        <v>64</v>
      </c>
    </row>
    <row r="782" spans="1:31" hidden="1" x14ac:dyDescent="0.25">
      <c r="I782" t="s">
        <v>3812</v>
      </c>
      <c r="J782" s="2">
        <v>10909</v>
      </c>
      <c r="K782" s="2">
        <v>50</v>
      </c>
      <c r="L782" s="2">
        <v>1</v>
      </c>
      <c r="M782" s="2">
        <v>0</v>
      </c>
      <c r="S782" t="s">
        <v>3813</v>
      </c>
      <c r="U782" t="s">
        <v>45</v>
      </c>
      <c r="V782" t="s">
        <v>46</v>
      </c>
      <c r="W782" t="s">
        <v>1064</v>
      </c>
      <c r="X782" t="s">
        <v>1062</v>
      </c>
      <c r="Y782" t="s">
        <v>72</v>
      </c>
      <c r="Z782" t="s">
        <v>68</v>
      </c>
      <c r="AA782" t="s">
        <v>49</v>
      </c>
      <c r="AC782" s="2"/>
    </row>
    <row r="783" spans="1:31" hidden="1" x14ac:dyDescent="0.25">
      <c r="I783" t="s">
        <v>3814</v>
      </c>
      <c r="J783" s="2">
        <v>43634</v>
      </c>
      <c r="K783" s="2">
        <v>200</v>
      </c>
      <c r="L783" s="2">
        <v>1</v>
      </c>
      <c r="M783" s="2">
        <v>0</v>
      </c>
      <c r="S783" t="s">
        <v>3815</v>
      </c>
      <c r="U783" t="s">
        <v>45</v>
      </c>
      <c r="V783" t="s">
        <v>46</v>
      </c>
      <c r="W783" t="s">
        <v>101</v>
      </c>
      <c r="X783" t="s">
        <v>102</v>
      </c>
      <c r="Y783" t="s">
        <v>106</v>
      </c>
      <c r="Z783" t="s">
        <v>107</v>
      </c>
      <c r="AA783" t="s">
        <v>49</v>
      </c>
      <c r="AC783" s="2"/>
    </row>
    <row r="784" spans="1:31" hidden="1" x14ac:dyDescent="0.25">
      <c r="I784" t="s">
        <v>3816</v>
      </c>
      <c r="J784" s="2">
        <v>1000</v>
      </c>
      <c r="K784" s="2">
        <v>0</v>
      </c>
      <c r="L784" s="2">
        <v>1</v>
      </c>
      <c r="M784" s="2">
        <v>0</v>
      </c>
      <c r="S784" t="s">
        <v>3817</v>
      </c>
      <c r="U784" t="s">
        <v>45</v>
      </c>
      <c r="V784" t="s">
        <v>46</v>
      </c>
      <c r="W784" t="s">
        <v>664</v>
      </c>
      <c r="X784" t="s">
        <v>665</v>
      </c>
      <c r="Y784" t="s">
        <v>106</v>
      </c>
      <c r="Z784" t="s">
        <v>107</v>
      </c>
      <c r="AA784" t="s">
        <v>49</v>
      </c>
      <c r="AC784" s="2"/>
    </row>
    <row r="785" spans="1:31" x14ac:dyDescent="0.25">
      <c r="A785" t="s">
        <v>3818</v>
      </c>
      <c r="B785" t="s">
        <v>3819</v>
      </c>
      <c r="C785" t="s">
        <v>3819</v>
      </c>
      <c r="D785" t="s">
        <v>2687</v>
      </c>
      <c r="E785" t="s">
        <v>190</v>
      </c>
      <c r="F785" t="s">
        <v>3820</v>
      </c>
      <c r="G785" t="s">
        <v>2139</v>
      </c>
      <c r="H785" t="s">
        <v>99</v>
      </c>
      <c r="I785" t="s">
        <v>3821</v>
      </c>
      <c r="J785" s="2">
        <v>43634</v>
      </c>
      <c r="K785" s="2">
        <v>200</v>
      </c>
      <c r="L785" s="2">
        <v>1</v>
      </c>
      <c r="M785" s="2">
        <v>0</v>
      </c>
      <c r="N785" t="s">
        <v>101</v>
      </c>
      <c r="O785" t="s">
        <v>102</v>
      </c>
      <c r="P785" t="s">
        <v>103</v>
      </c>
      <c r="Q785" t="s">
        <v>104</v>
      </c>
      <c r="S785" t="s">
        <v>3822</v>
      </c>
      <c r="U785" t="s">
        <v>45</v>
      </c>
      <c r="V785" t="s">
        <v>46</v>
      </c>
      <c r="W785" t="s">
        <v>101</v>
      </c>
      <c r="X785" t="s">
        <v>102</v>
      </c>
      <c r="Y785" t="s">
        <v>106</v>
      </c>
      <c r="Z785" t="s">
        <v>107</v>
      </c>
      <c r="AA785" t="s">
        <v>49</v>
      </c>
      <c r="AB785" t="s">
        <v>50</v>
      </c>
      <c r="AC785" s="2">
        <v>43634</v>
      </c>
      <c r="AD785" t="s">
        <v>64</v>
      </c>
    </row>
    <row r="786" spans="1:31" hidden="1" x14ac:dyDescent="0.25">
      <c r="I786" t="s">
        <v>3823</v>
      </c>
      <c r="J786" s="2">
        <v>1000</v>
      </c>
      <c r="K786" s="2">
        <v>0</v>
      </c>
      <c r="L786" s="2">
        <v>1</v>
      </c>
      <c r="M786" s="2">
        <v>0</v>
      </c>
      <c r="S786" t="s">
        <v>3824</v>
      </c>
      <c r="U786" t="s">
        <v>45</v>
      </c>
      <c r="V786" t="s">
        <v>46</v>
      </c>
      <c r="W786" t="s">
        <v>156</v>
      </c>
      <c r="X786" t="s">
        <v>157</v>
      </c>
      <c r="Y786" t="s">
        <v>161</v>
      </c>
      <c r="Z786" t="s">
        <v>162</v>
      </c>
      <c r="AA786" t="s">
        <v>49</v>
      </c>
      <c r="AC786" s="2"/>
    </row>
    <row r="787" spans="1:31" hidden="1" x14ac:dyDescent="0.25">
      <c r="A787" t="s">
        <v>3825</v>
      </c>
      <c r="B787" t="s">
        <v>3826</v>
      </c>
      <c r="C787" t="s">
        <v>3826</v>
      </c>
      <c r="D787" t="s">
        <v>55</v>
      </c>
      <c r="E787" t="s">
        <v>56</v>
      </c>
      <c r="F787" t="s">
        <v>3827</v>
      </c>
      <c r="J787" s="2">
        <v>1000</v>
      </c>
      <c r="K787" s="2">
        <v>0</v>
      </c>
      <c r="L787" s="2">
        <v>21</v>
      </c>
      <c r="M787" s="2">
        <v>0</v>
      </c>
      <c r="N787" t="s">
        <v>302</v>
      </c>
      <c r="O787" t="s">
        <v>303</v>
      </c>
      <c r="P787" t="s">
        <v>304</v>
      </c>
      <c r="Q787" t="s">
        <v>72</v>
      </c>
      <c r="U787" t="s">
        <v>45</v>
      </c>
      <c r="V787" t="s">
        <v>46</v>
      </c>
      <c r="W787" t="s">
        <v>302</v>
      </c>
      <c r="X787" t="s">
        <v>303</v>
      </c>
      <c r="Y787" t="s">
        <v>72</v>
      </c>
      <c r="Z787" t="s">
        <v>68</v>
      </c>
      <c r="AA787" t="s">
        <v>49</v>
      </c>
      <c r="AB787" t="s">
        <v>50</v>
      </c>
      <c r="AC787" s="2">
        <v>1000</v>
      </c>
      <c r="AD787" t="s">
        <v>64</v>
      </c>
    </row>
    <row r="788" spans="1:31" x14ac:dyDescent="0.25">
      <c r="A788" t="s">
        <v>3828</v>
      </c>
      <c r="B788" t="s">
        <v>3829</v>
      </c>
      <c r="C788" t="s">
        <v>3830</v>
      </c>
      <c r="D788" t="s">
        <v>344</v>
      </c>
      <c r="E788" t="s">
        <v>167</v>
      </c>
      <c r="F788" t="s">
        <v>3827</v>
      </c>
      <c r="G788" t="s">
        <v>344</v>
      </c>
      <c r="H788" t="s">
        <v>1444</v>
      </c>
      <c r="I788" t="s">
        <v>3831</v>
      </c>
      <c r="J788" s="2">
        <v>545425</v>
      </c>
      <c r="K788" s="2">
        <v>2500</v>
      </c>
      <c r="L788" s="2">
        <v>21</v>
      </c>
      <c r="M788" s="2">
        <v>0</v>
      </c>
      <c r="N788" t="s">
        <v>1064</v>
      </c>
      <c r="O788" t="s">
        <v>1062</v>
      </c>
      <c r="P788" t="s">
        <v>304</v>
      </c>
      <c r="Q788" t="s">
        <v>72</v>
      </c>
      <c r="S788" t="s">
        <v>3832</v>
      </c>
      <c r="U788" t="s">
        <v>45</v>
      </c>
      <c r="V788" t="s">
        <v>46</v>
      </c>
      <c r="W788" t="s">
        <v>1064</v>
      </c>
      <c r="X788" t="s">
        <v>1062</v>
      </c>
      <c r="Y788" t="s">
        <v>72</v>
      </c>
      <c r="Z788" t="s">
        <v>68</v>
      </c>
      <c r="AA788" t="s">
        <v>49</v>
      </c>
      <c r="AB788" t="s">
        <v>50</v>
      </c>
      <c r="AC788" s="2">
        <v>511308.14</v>
      </c>
      <c r="AD788" t="s">
        <v>3833</v>
      </c>
      <c r="AE788" t="s">
        <v>52</v>
      </c>
    </row>
    <row r="789" spans="1:31" x14ac:dyDescent="0.25">
      <c r="A789" t="s">
        <v>3834</v>
      </c>
      <c r="B789" t="s">
        <v>3835</v>
      </c>
      <c r="C789" t="s">
        <v>3835</v>
      </c>
      <c r="D789" t="s">
        <v>153</v>
      </c>
      <c r="E789" t="s">
        <v>272</v>
      </c>
      <c r="F789" t="s">
        <v>3827</v>
      </c>
      <c r="G789" t="s">
        <v>153</v>
      </c>
      <c r="H789" t="s">
        <v>300</v>
      </c>
      <c r="I789" t="s">
        <v>3831</v>
      </c>
      <c r="J789" s="2">
        <v>654510</v>
      </c>
      <c r="K789" s="2">
        <v>3000</v>
      </c>
      <c r="L789" s="2">
        <v>21</v>
      </c>
      <c r="M789" s="2">
        <v>0</v>
      </c>
      <c r="N789" t="s">
        <v>302</v>
      </c>
      <c r="O789" t="s">
        <v>303</v>
      </c>
      <c r="P789" t="s">
        <v>304</v>
      </c>
      <c r="Q789" t="s">
        <v>72</v>
      </c>
      <c r="S789" t="s">
        <v>3832</v>
      </c>
      <c r="U789" t="s">
        <v>45</v>
      </c>
      <c r="V789" t="s">
        <v>46</v>
      </c>
      <c r="W789" t="s">
        <v>302</v>
      </c>
      <c r="X789" t="s">
        <v>303</v>
      </c>
      <c r="Y789" t="s">
        <v>72</v>
      </c>
      <c r="Z789" t="s">
        <v>68</v>
      </c>
      <c r="AA789" t="s">
        <v>49</v>
      </c>
      <c r="AB789" t="s">
        <v>50</v>
      </c>
      <c r="AC789" s="2">
        <v>497961.42</v>
      </c>
      <c r="AD789" t="s">
        <v>3836</v>
      </c>
      <c r="AE789" t="s">
        <v>52</v>
      </c>
    </row>
    <row r="790" spans="1:31" x14ac:dyDescent="0.25">
      <c r="A790" t="s">
        <v>3837</v>
      </c>
      <c r="B790" t="s">
        <v>3838</v>
      </c>
      <c r="C790" t="s">
        <v>3839</v>
      </c>
      <c r="D790" t="s">
        <v>847</v>
      </c>
      <c r="E790" t="s">
        <v>848</v>
      </c>
      <c r="F790" t="s">
        <v>3840</v>
      </c>
      <c r="G790" t="s">
        <v>169</v>
      </c>
      <c r="H790" t="s">
        <v>358</v>
      </c>
      <c r="I790" t="s">
        <v>3841</v>
      </c>
      <c r="J790" s="2">
        <v>218170</v>
      </c>
      <c r="K790" s="2">
        <v>1000</v>
      </c>
      <c r="L790" s="2">
        <v>15</v>
      </c>
      <c r="M790" s="2">
        <v>0</v>
      </c>
      <c r="N790" t="s">
        <v>360</v>
      </c>
      <c r="O790" t="s">
        <v>361</v>
      </c>
      <c r="P790" t="s">
        <v>61</v>
      </c>
      <c r="Q790" t="s">
        <v>62</v>
      </c>
      <c r="S790" t="s">
        <v>3842</v>
      </c>
      <c r="U790" t="s">
        <v>45</v>
      </c>
      <c r="V790" t="s">
        <v>46</v>
      </c>
      <c r="W790" t="s">
        <v>360</v>
      </c>
      <c r="X790" t="s">
        <v>361</v>
      </c>
      <c r="Y790" t="s">
        <v>47</v>
      </c>
      <c r="Z790" t="s">
        <v>48</v>
      </c>
      <c r="AA790" t="s">
        <v>49</v>
      </c>
      <c r="AB790" t="s">
        <v>50</v>
      </c>
      <c r="AC790" s="2">
        <v>217079.29</v>
      </c>
      <c r="AD790" t="s">
        <v>3843</v>
      </c>
      <c r="AE790" t="s">
        <v>115</v>
      </c>
    </row>
    <row r="791" spans="1:31" hidden="1" x14ac:dyDescent="0.25">
      <c r="I791" t="s">
        <v>3844</v>
      </c>
      <c r="J791" s="2">
        <v>436340</v>
      </c>
      <c r="K791" s="2">
        <v>2000</v>
      </c>
      <c r="L791" s="2">
        <v>21</v>
      </c>
      <c r="M791" s="2">
        <v>0</v>
      </c>
      <c r="S791" t="s">
        <v>3845</v>
      </c>
      <c r="U791" t="s">
        <v>45</v>
      </c>
      <c r="V791" t="s">
        <v>46</v>
      </c>
      <c r="W791" t="s">
        <v>1221</v>
      </c>
      <c r="X791" t="s">
        <v>1222</v>
      </c>
      <c r="Y791" t="s">
        <v>161</v>
      </c>
      <c r="Z791" t="s">
        <v>162</v>
      </c>
      <c r="AA791" t="s">
        <v>49</v>
      </c>
      <c r="AC791" s="2"/>
    </row>
    <row r="792" spans="1:31" x14ac:dyDescent="0.25">
      <c r="A792" t="s">
        <v>3846</v>
      </c>
      <c r="B792" t="s">
        <v>3847</v>
      </c>
      <c r="C792" t="s">
        <v>3847</v>
      </c>
      <c r="D792" t="s">
        <v>35</v>
      </c>
      <c r="E792" t="s">
        <v>36</v>
      </c>
      <c r="F792" t="s">
        <v>3848</v>
      </c>
      <c r="G792" t="s">
        <v>35</v>
      </c>
      <c r="H792" t="s">
        <v>653</v>
      </c>
      <c r="J792" s="2">
        <v>3646650</v>
      </c>
      <c r="K792" s="2">
        <v>15000</v>
      </c>
      <c r="L792" s="2">
        <v>30</v>
      </c>
      <c r="M792" s="2">
        <v>0</v>
      </c>
      <c r="N792" t="s">
        <v>652</v>
      </c>
      <c r="O792" t="s">
        <v>653</v>
      </c>
      <c r="P792" t="s">
        <v>69</v>
      </c>
      <c r="Q792" t="s">
        <v>70</v>
      </c>
      <c r="S792" t="s">
        <v>3849</v>
      </c>
      <c r="U792" t="s">
        <v>45</v>
      </c>
      <c r="V792" t="s">
        <v>46</v>
      </c>
      <c r="W792" t="s">
        <v>652</v>
      </c>
      <c r="X792" t="s">
        <v>653</v>
      </c>
      <c r="Y792" t="s">
        <v>72</v>
      </c>
      <c r="Z792" t="s">
        <v>68</v>
      </c>
      <c r="AA792" t="s">
        <v>49</v>
      </c>
      <c r="AB792" t="s">
        <v>50</v>
      </c>
      <c r="AC792" s="2">
        <v>2627297.2000000002</v>
      </c>
      <c r="AD792" t="s">
        <v>3850</v>
      </c>
      <c r="AE792" t="s">
        <v>115</v>
      </c>
    </row>
    <row r="793" spans="1:31" hidden="1" x14ac:dyDescent="0.25">
      <c r="I793" t="s">
        <v>3851</v>
      </c>
      <c r="J793" s="2">
        <v>1000</v>
      </c>
      <c r="K793" s="2">
        <v>0</v>
      </c>
      <c r="L793" s="2">
        <v>21</v>
      </c>
      <c r="M793" s="2">
        <v>0</v>
      </c>
      <c r="S793" t="s">
        <v>3852</v>
      </c>
      <c r="U793" t="s">
        <v>45</v>
      </c>
      <c r="V793" t="s">
        <v>46</v>
      </c>
      <c r="W793" t="s">
        <v>1221</v>
      </c>
      <c r="X793" t="s">
        <v>1222</v>
      </c>
      <c r="Y793" t="s">
        <v>161</v>
      </c>
      <c r="Z793" t="s">
        <v>162</v>
      </c>
      <c r="AA793" t="s">
        <v>49</v>
      </c>
      <c r="AC793" s="2"/>
    </row>
    <row r="794" spans="1:31" x14ac:dyDescent="0.25">
      <c r="A794" t="s">
        <v>3853</v>
      </c>
      <c r="B794" t="s">
        <v>3854</v>
      </c>
      <c r="C794" t="s">
        <v>3854</v>
      </c>
      <c r="D794" t="s">
        <v>3855</v>
      </c>
      <c r="E794" t="s">
        <v>134</v>
      </c>
      <c r="F794" t="s">
        <v>3856</v>
      </c>
      <c r="G794" t="s">
        <v>3857</v>
      </c>
      <c r="H794" t="s">
        <v>38</v>
      </c>
      <c r="I794" t="s">
        <v>3858</v>
      </c>
      <c r="J794" s="2">
        <v>109085</v>
      </c>
      <c r="K794" s="2">
        <v>500</v>
      </c>
      <c r="L794" s="2">
        <v>15</v>
      </c>
      <c r="M794" s="2">
        <v>0</v>
      </c>
      <c r="N794" t="s">
        <v>40</v>
      </c>
      <c r="O794" t="s">
        <v>41</v>
      </c>
      <c r="P794" t="s">
        <v>61</v>
      </c>
      <c r="Q794" t="s">
        <v>62</v>
      </c>
      <c r="S794" t="s">
        <v>3859</v>
      </c>
      <c r="U794" t="s">
        <v>45</v>
      </c>
      <c r="V794" t="s">
        <v>46</v>
      </c>
      <c r="W794" t="s">
        <v>40</v>
      </c>
      <c r="X794" t="s">
        <v>41</v>
      </c>
      <c r="Y794" t="s">
        <v>47</v>
      </c>
      <c r="Z794" t="s">
        <v>48</v>
      </c>
      <c r="AA794" t="s">
        <v>49</v>
      </c>
      <c r="AB794" t="s">
        <v>50</v>
      </c>
      <c r="AC794" s="2">
        <v>109085</v>
      </c>
      <c r="AD794" t="s">
        <v>64</v>
      </c>
    </row>
    <row r="795" spans="1:31" hidden="1" x14ac:dyDescent="0.25">
      <c r="I795" t="s">
        <v>3860</v>
      </c>
      <c r="J795" s="2">
        <v>7372</v>
      </c>
      <c r="K795" s="2">
        <v>0</v>
      </c>
      <c r="L795" s="2">
        <v>15</v>
      </c>
      <c r="M795" s="2">
        <v>0</v>
      </c>
      <c r="S795" t="s">
        <v>3861</v>
      </c>
      <c r="U795" t="s">
        <v>45</v>
      </c>
      <c r="V795" t="s">
        <v>46</v>
      </c>
      <c r="W795" t="s">
        <v>302</v>
      </c>
      <c r="X795" t="s">
        <v>303</v>
      </c>
      <c r="Y795" t="s">
        <v>72</v>
      </c>
      <c r="Z795" t="s">
        <v>68</v>
      </c>
      <c r="AA795" t="s">
        <v>49</v>
      </c>
      <c r="AC795" s="2"/>
    </row>
    <row r="796" spans="1:31" hidden="1" x14ac:dyDescent="0.25">
      <c r="I796" t="s">
        <v>3862</v>
      </c>
      <c r="J796" s="2">
        <v>1000</v>
      </c>
      <c r="K796" s="2">
        <v>0</v>
      </c>
      <c r="L796" s="2">
        <v>15</v>
      </c>
      <c r="M796" s="2">
        <v>0</v>
      </c>
      <c r="S796" t="s">
        <v>3863</v>
      </c>
      <c r="U796" t="s">
        <v>45</v>
      </c>
      <c r="V796" t="s">
        <v>46</v>
      </c>
      <c r="W796" t="s">
        <v>403</v>
      </c>
      <c r="X796" t="s">
        <v>404</v>
      </c>
      <c r="Y796" t="s">
        <v>161</v>
      </c>
      <c r="Z796" t="s">
        <v>162</v>
      </c>
      <c r="AA796" t="s">
        <v>49</v>
      </c>
      <c r="AC796" s="2"/>
    </row>
    <row r="797" spans="1:31" x14ac:dyDescent="0.25">
      <c r="A797" t="s">
        <v>3864</v>
      </c>
      <c r="B797" t="s">
        <v>3865</v>
      </c>
      <c r="C797" t="s">
        <v>3865</v>
      </c>
      <c r="D797" t="s">
        <v>498</v>
      </c>
      <c r="E797" t="s">
        <v>190</v>
      </c>
      <c r="F797" t="s">
        <v>3866</v>
      </c>
      <c r="G797" t="s">
        <v>1169</v>
      </c>
      <c r="H797" t="s">
        <v>1312</v>
      </c>
      <c r="I797" t="s">
        <v>3867</v>
      </c>
      <c r="J797" s="2">
        <v>545425</v>
      </c>
      <c r="K797" s="2">
        <v>2500</v>
      </c>
      <c r="L797" s="2">
        <v>21</v>
      </c>
      <c r="M797" s="2">
        <v>0</v>
      </c>
      <c r="N797" t="s">
        <v>883</v>
      </c>
      <c r="O797" t="s">
        <v>881</v>
      </c>
      <c r="P797" t="s">
        <v>158</v>
      </c>
      <c r="Q797" t="s">
        <v>159</v>
      </c>
      <c r="S797" t="s">
        <v>3427</v>
      </c>
      <c r="U797" t="s">
        <v>45</v>
      </c>
      <c r="V797" t="s">
        <v>46</v>
      </c>
      <c r="W797" t="s">
        <v>883</v>
      </c>
      <c r="X797" t="s">
        <v>881</v>
      </c>
      <c r="Y797" t="s">
        <v>161</v>
      </c>
      <c r="Z797" t="s">
        <v>162</v>
      </c>
      <c r="AA797" t="s">
        <v>49</v>
      </c>
      <c r="AB797" t="s">
        <v>50</v>
      </c>
      <c r="AC797" s="2">
        <v>528585.64</v>
      </c>
      <c r="AD797" t="s">
        <v>3868</v>
      </c>
    </row>
    <row r="798" spans="1:31" x14ac:dyDescent="0.25">
      <c r="A798" t="s">
        <v>3869</v>
      </c>
      <c r="B798" t="s">
        <v>3870</v>
      </c>
      <c r="C798" t="s">
        <v>3871</v>
      </c>
      <c r="D798" t="s">
        <v>125</v>
      </c>
      <c r="E798" t="s">
        <v>126</v>
      </c>
      <c r="F798" t="s">
        <v>3872</v>
      </c>
      <c r="G798" t="s">
        <v>569</v>
      </c>
      <c r="H798" t="s">
        <v>939</v>
      </c>
      <c r="I798" t="s">
        <v>3873</v>
      </c>
      <c r="J798" s="2">
        <v>305438</v>
      </c>
      <c r="K798" s="2">
        <v>1400</v>
      </c>
      <c r="L798" s="2">
        <v>21</v>
      </c>
      <c r="M798" s="2">
        <v>0</v>
      </c>
      <c r="N798" t="s">
        <v>879</v>
      </c>
      <c r="O798" t="s">
        <v>877</v>
      </c>
      <c r="P798" t="s">
        <v>69</v>
      </c>
      <c r="Q798" t="s">
        <v>70</v>
      </c>
      <c r="S798" t="s">
        <v>3874</v>
      </c>
      <c r="U798" t="s">
        <v>45</v>
      </c>
      <c r="V798" t="s">
        <v>46</v>
      </c>
      <c r="W798" t="s">
        <v>879</v>
      </c>
      <c r="X798" t="s">
        <v>877</v>
      </c>
      <c r="Y798" t="s">
        <v>72</v>
      </c>
      <c r="Z798" t="s">
        <v>68</v>
      </c>
      <c r="AA798" t="s">
        <v>49</v>
      </c>
      <c r="AB798" t="s">
        <v>50</v>
      </c>
      <c r="AC798" s="2">
        <v>224645.53</v>
      </c>
      <c r="AD798" t="s">
        <v>3875</v>
      </c>
      <c r="AE798" t="s">
        <v>52</v>
      </c>
    </row>
    <row r="799" spans="1:31" x14ac:dyDescent="0.25">
      <c r="A799" t="s">
        <v>3876</v>
      </c>
      <c r="B799" t="s">
        <v>3877</v>
      </c>
      <c r="C799" t="s">
        <v>3877</v>
      </c>
      <c r="D799" t="s">
        <v>1734</v>
      </c>
      <c r="E799" t="s">
        <v>224</v>
      </c>
      <c r="F799" t="s">
        <v>3878</v>
      </c>
      <c r="G799" t="s">
        <v>1734</v>
      </c>
      <c r="H799" t="s">
        <v>1607</v>
      </c>
      <c r="I799" t="s">
        <v>3879</v>
      </c>
      <c r="J799" s="2">
        <v>21817</v>
      </c>
      <c r="K799" s="2">
        <v>100</v>
      </c>
      <c r="L799" s="2">
        <v>7</v>
      </c>
      <c r="M799" s="2">
        <v>0</v>
      </c>
      <c r="N799" t="s">
        <v>1221</v>
      </c>
      <c r="O799" t="s">
        <v>1222</v>
      </c>
      <c r="P799" t="s">
        <v>205</v>
      </c>
      <c r="Q799" t="s">
        <v>206</v>
      </c>
      <c r="S799" t="s">
        <v>3880</v>
      </c>
      <c r="U799" t="s">
        <v>45</v>
      </c>
      <c r="V799" t="s">
        <v>46</v>
      </c>
      <c r="W799" t="s">
        <v>1221</v>
      </c>
      <c r="X799" t="s">
        <v>1222</v>
      </c>
      <c r="Y799" t="s">
        <v>161</v>
      </c>
      <c r="Z799" t="s">
        <v>162</v>
      </c>
      <c r="AA799" t="s">
        <v>49</v>
      </c>
      <c r="AB799" t="s">
        <v>50</v>
      </c>
      <c r="AC799" s="2">
        <v>21816.639999999999</v>
      </c>
      <c r="AD799" t="s">
        <v>3881</v>
      </c>
    </row>
    <row r="800" spans="1:31" x14ac:dyDescent="0.25">
      <c r="A800" t="s">
        <v>3882</v>
      </c>
      <c r="B800" t="s">
        <v>3883</v>
      </c>
      <c r="C800" t="s">
        <v>3884</v>
      </c>
      <c r="D800" t="s">
        <v>153</v>
      </c>
      <c r="E800" t="s">
        <v>272</v>
      </c>
      <c r="F800" t="s">
        <v>2860</v>
      </c>
      <c r="G800" t="s">
        <v>153</v>
      </c>
      <c r="H800" t="s">
        <v>1581</v>
      </c>
      <c r="J800" s="2">
        <v>436340</v>
      </c>
      <c r="K800" s="2">
        <v>2000</v>
      </c>
      <c r="L800" s="2">
        <v>30</v>
      </c>
      <c r="M800" s="2">
        <v>0</v>
      </c>
      <c r="N800" t="s">
        <v>203</v>
      </c>
      <c r="O800" t="s">
        <v>204</v>
      </c>
      <c r="P800" t="s">
        <v>205</v>
      </c>
      <c r="Q800" t="s">
        <v>206</v>
      </c>
      <c r="S800" t="s">
        <v>3885</v>
      </c>
      <c r="U800" t="s">
        <v>45</v>
      </c>
      <c r="V800" t="s">
        <v>46</v>
      </c>
      <c r="W800" t="s">
        <v>203</v>
      </c>
      <c r="X800" t="s">
        <v>204</v>
      </c>
      <c r="Y800" t="s">
        <v>161</v>
      </c>
      <c r="Z800" t="s">
        <v>162</v>
      </c>
      <c r="AA800" t="s">
        <v>49</v>
      </c>
      <c r="AB800" t="s">
        <v>50</v>
      </c>
      <c r="AC800" s="2">
        <v>400256.3</v>
      </c>
      <c r="AD800" t="s">
        <v>3886</v>
      </c>
      <c r="AE800" t="s">
        <v>52</v>
      </c>
    </row>
    <row r="801" spans="1:31" hidden="1" x14ac:dyDescent="0.25">
      <c r="I801" t="s">
        <v>3887</v>
      </c>
      <c r="J801" s="2">
        <v>109085</v>
      </c>
      <c r="K801" s="2">
        <v>500</v>
      </c>
      <c r="L801" s="2">
        <v>1</v>
      </c>
      <c r="M801" s="2">
        <v>0</v>
      </c>
      <c r="S801" t="s">
        <v>3888</v>
      </c>
      <c r="U801" t="s">
        <v>45</v>
      </c>
      <c r="V801" t="s">
        <v>46</v>
      </c>
      <c r="W801" t="s">
        <v>2384</v>
      </c>
      <c r="X801" t="s">
        <v>2385</v>
      </c>
      <c r="Y801" t="s">
        <v>106</v>
      </c>
      <c r="Z801" t="s">
        <v>107</v>
      </c>
      <c r="AA801" t="s">
        <v>49</v>
      </c>
      <c r="AC801" s="2"/>
    </row>
    <row r="802" spans="1:31" hidden="1" x14ac:dyDescent="0.25">
      <c r="A802" t="s">
        <v>3889</v>
      </c>
      <c r="B802" t="s">
        <v>3890</v>
      </c>
      <c r="C802" t="s">
        <v>725</v>
      </c>
      <c r="F802" t="s">
        <v>726</v>
      </c>
      <c r="H802" t="s">
        <v>154</v>
      </c>
      <c r="I802" t="s">
        <v>3891</v>
      </c>
      <c r="J802" s="2">
        <v>1000</v>
      </c>
      <c r="K802" s="2">
        <v>0</v>
      </c>
      <c r="L802" s="2">
        <v>1</v>
      </c>
      <c r="M802" s="2">
        <v>0</v>
      </c>
      <c r="N802" t="s">
        <v>156</v>
      </c>
      <c r="O802" t="s">
        <v>157</v>
      </c>
      <c r="P802" t="s">
        <v>158</v>
      </c>
      <c r="Q802" t="s">
        <v>159</v>
      </c>
      <c r="S802" t="s">
        <v>3892</v>
      </c>
      <c r="U802" t="s">
        <v>45</v>
      </c>
      <c r="V802" t="s">
        <v>46</v>
      </c>
      <c r="W802" t="s">
        <v>156</v>
      </c>
      <c r="X802" t="s">
        <v>157</v>
      </c>
      <c r="Y802" t="s">
        <v>161</v>
      </c>
      <c r="Z802" t="s">
        <v>162</v>
      </c>
      <c r="AA802" t="s">
        <v>49</v>
      </c>
      <c r="AB802" t="s">
        <v>50</v>
      </c>
      <c r="AC802" s="2">
        <v>1000</v>
      </c>
      <c r="AD802" t="s">
        <v>64</v>
      </c>
    </row>
    <row r="803" spans="1:31" hidden="1" x14ac:dyDescent="0.25">
      <c r="I803" t="s">
        <v>3893</v>
      </c>
      <c r="J803" s="2">
        <v>14678</v>
      </c>
      <c r="K803" s="2">
        <v>0</v>
      </c>
      <c r="L803" s="2">
        <v>21</v>
      </c>
      <c r="M803" s="2">
        <v>0</v>
      </c>
      <c r="S803" t="s">
        <v>3894</v>
      </c>
      <c r="U803" t="s">
        <v>45</v>
      </c>
      <c r="V803" t="s">
        <v>46</v>
      </c>
      <c r="W803" t="s">
        <v>203</v>
      </c>
      <c r="X803" t="s">
        <v>204</v>
      </c>
      <c r="Y803" t="s">
        <v>161</v>
      </c>
      <c r="Z803" t="s">
        <v>162</v>
      </c>
      <c r="AA803" t="s">
        <v>49</v>
      </c>
      <c r="AC803" s="2"/>
    </row>
    <row r="804" spans="1:31" x14ac:dyDescent="0.25">
      <c r="A804" t="s">
        <v>3895</v>
      </c>
      <c r="B804" t="s">
        <v>3896</v>
      </c>
      <c r="C804" t="s">
        <v>3897</v>
      </c>
      <c r="D804" t="s">
        <v>178</v>
      </c>
      <c r="E804" t="s">
        <v>179</v>
      </c>
      <c r="F804" t="s">
        <v>3898</v>
      </c>
      <c r="G804" t="s">
        <v>223</v>
      </c>
      <c r="H804" t="s">
        <v>611</v>
      </c>
      <c r="I804" t="s">
        <v>3899</v>
      </c>
      <c r="J804" s="2">
        <v>109085</v>
      </c>
      <c r="K804" s="2">
        <v>500</v>
      </c>
      <c r="L804" s="2">
        <v>25</v>
      </c>
      <c r="M804" s="2">
        <v>0</v>
      </c>
      <c r="N804" t="s">
        <v>613</v>
      </c>
      <c r="O804" t="s">
        <v>614</v>
      </c>
      <c r="P804" t="s">
        <v>91</v>
      </c>
      <c r="Q804" t="s">
        <v>92</v>
      </c>
      <c r="S804" t="s">
        <v>3900</v>
      </c>
      <c r="U804" t="s">
        <v>45</v>
      </c>
      <c r="V804" t="s">
        <v>46</v>
      </c>
      <c r="W804" t="s">
        <v>613</v>
      </c>
      <c r="X804" t="s">
        <v>614</v>
      </c>
      <c r="Y804" t="s">
        <v>92</v>
      </c>
      <c r="Z804" t="s">
        <v>94</v>
      </c>
      <c r="AA804" t="s">
        <v>49</v>
      </c>
      <c r="AB804" t="s">
        <v>50</v>
      </c>
      <c r="AC804" s="2">
        <v>109085</v>
      </c>
      <c r="AD804" t="s">
        <v>64</v>
      </c>
    </row>
    <row r="805" spans="1:31" x14ac:dyDescent="0.25">
      <c r="A805" t="s">
        <v>3901</v>
      </c>
      <c r="B805" t="s">
        <v>3902</v>
      </c>
      <c r="C805" t="s">
        <v>3902</v>
      </c>
      <c r="D805" t="s">
        <v>35</v>
      </c>
      <c r="E805" t="s">
        <v>36</v>
      </c>
      <c r="F805" t="s">
        <v>3903</v>
      </c>
      <c r="G805" t="s">
        <v>35</v>
      </c>
      <c r="H805" t="s">
        <v>3904</v>
      </c>
      <c r="I805" t="s">
        <v>3905</v>
      </c>
      <c r="J805" s="2">
        <v>545425</v>
      </c>
      <c r="K805" s="2">
        <v>2500</v>
      </c>
      <c r="L805" s="2">
        <v>15</v>
      </c>
      <c r="M805" s="2">
        <v>0</v>
      </c>
      <c r="N805" t="s">
        <v>2324</v>
      </c>
      <c r="O805" t="s">
        <v>2325</v>
      </c>
      <c r="P805" t="s">
        <v>42</v>
      </c>
      <c r="Q805" t="s">
        <v>43</v>
      </c>
      <c r="S805" t="s">
        <v>3906</v>
      </c>
      <c r="U805" t="s">
        <v>45</v>
      </c>
      <c r="V805" t="s">
        <v>46</v>
      </c>
      <c r="W805" t="s">
        <v>2324</v>
      </c>
      <c r="X805" t="s">
        <v>2325</v>
      </c>
      <c r="Y805" t="s">
        <v>47</v>
      </c>
      <c r="Z805" t="s">
        <v>48</v>
      </c>
      <c r="AA805" t="s">
        <v>49</v>
      </c>
      <c r="AB805" t="s">
        <v>50</v>
      </c>
      <c r="AC805" s="2">
        <v>82595.75</v>
      </c>
      <c r="AD805" t="s">
        <v>3907</v>
      </c>
      <c r="AE805" t="s">
        <v>115</v>
      </c>
    </row>
    <row r="806" spans="1:31" hidden="1" x14ac:dyDescent="0.25">
      <c r="J806" s="2">
        <v>37074</v>
      </c>
      <c r="K806" s="2">
        <v>0</v>
      </c>
      <c r="L806" s="2">
        <v>21</v>
      </c>
      <c r="M806" s="2">
        <v>0</v>
      </c>
      <c r="S806" t="s">
        <v>3908</v>
      </c>
      <c r="U806" t="s">
        <v>45</v>
      </c>
      <c r="V806" t="s">
        <v>46</v>
      </c>
      <c r="W806" t="s">
        <v>172</v>
      </c>
      <c r="X806" t="s">
        <v>173</v>
      </c>
      <c r="Y806" t="s">
        <v>161</v>
      </c>
      <c r="Z806" t="s">
        <v>162</v>
      </c>
      <c r="AA806" t="s">
        <v>49</v>
      </c>
      <c r="AC806" s="2"/>
    </row>
    <row r="807" spans="1:31" x14ac:dyDescent="0.25">
      <c r="A807" t="s">
        <v>3909</v>
      </c>
      <c r="B807" t="s">
        <v>3910</v>
      </c>
      <c r="C807" t="s">
        <v>1486</v>
      </c>
      <c r="D807" t="s">
        <v>178</v>
      </c>
      <c r="E807" t="s">
        <v>179</v>
      </c>
      <c r="F807" t="s">
        <v>1159</v>
      </c>
      <c r="G807" t="s">
        <v>178</v>
      </c>
      <c r="H807" t="s">
        <v>3911</v>
      </c>
      <c r="I807" t="s">
        <v>3912</v>
      </c>
      <c r="J807" s="2">
        <v>174536</v>
      </c>
      <c r="K807" s="2">
        <v>800</v>
      </c>
      <c r="L807" s="2">
        <v>21</v>
      </c>
      <c r="M807" s="2">
        <v>0</v>
      </c>
      <c r="N807" t="s">
        <v>585</v>
      </c>
      <c r="O807" t="s">
        <v>584</v>
      </c>
      <c r="P807" t="s">
        <v>158</v>
      </c>
      <c r="Q807" t="s">
        <v>159</v>
      </c>
      <c r="S807" t="s">
        <v>3913</v>
      </c>
      <c r="U807" t="s">
        <v>45</v>
      </c>
      <c r="V807" t="s">
        <v>46</v>
      </c>
      <c r="W807" t="s">
        <v>585</v>
      </c>
      <c r="X807" t="s">
        <v>584</v>
      </c>
      <c r="Y807" t="s">
        <v>161</v>
      </c>
      <c r="Z807" t="s">
        <v>162</v>
      </c>
      <c r="AA807" t="s">
        <v>49</v>
      </c>
      <c r="AB807" t="s">
        <v>50</v>
      </c>
      <c r="AC807" s="2">
        <v>97905.37</v>
      </c>
      <c r="AD807" t="s">
        <v>3914</v>
      </c>
      <c r="AE807" t="s">
        <v>52</v>
      </c>
    </row>
    <row r="808" spans="1:31" hidden="1" x14ac:dyDescent="0.25">
      <c r="A808" s="10" t="s">
        <v>3915</v>
      </c>
      <c r="B808" s="10" t="s">
        <v>3916</v>
      </c>
      <c r="C808" t="s">
        <v>3916</v>
      </c>
      <c r="D808" t="s">
        <v>55</v>
      </c>
      <c r="E808" t="s">
        <v>56</v>
      </c>
      <c r="F808" t="s">
        <v>3917</v>
      </c>
      <c r="H808" t="s">
        <v>38</v>
      </c>
      <c r="I808" t="s">
        <v>3918</v>
      </c>
      <c r="J808" s="2">
        <v>43634</v>
      </c>
      <c r="K808" s="2">
        <v>200</v>
      </c>
      <c r="L808" s="2">
        <v>15</v>
      </c>
      <c r="M808" s="2">
        <v>0</v>
      </c>
      <c r="N808" t="s">
        <v>40</v>
      </c>
      <c r="O808" t="s">
        <v>41</v>
      </c>
      <c r="P808" t="s">
        <v>61</v>
      </c>
      <c r="Q808" t="s">
        <v>62</v>
      </c>
      <c r="S808" t="s">
        <v>3919</v>
      </c>
      <c r="U808" t="s">
        <v>45</v>
      </c>
      <c r="V808" t="s">
        <v>46</v>
      </c>
      <c r="W808" t="s">
        <v>40</v>
      </c>
      <c r="X808" t="s">
        <v>41</v>
      </c>
      <c r="Y808" t="s">
        <v>47</v>
      </c>
      <c r="Z808" t="s">
        <v>48</v>
      </c>
      <c r="AA808" t="s">
        <v>49</v>
      </c>
      <c r="AB808" t="s">
        <v>142</v>
      </c>
      <c r="AC808" s="2">
        <v>43634</v>
      </c>
      <c r="AD808" t="s">
        <v>64</v>
      </c>
    </row>
    <row r="809" spans="1:31" x14ac:dyDescent="0.25">
      <c r="A809" s="15" t="s">
        <v>3920</v>
      </c>
      <c r="B809" s="15" t="s">
        <v>3921</v>
      </c>
      <c r="C809" s="15" t="s">
        <v>3921</v>
      </c>
      <c r="D809" s="15" t="s">
        <v>55</v>
      </c>
      <c r="E809" s="15" t="s">
        <v>56</v>
      </c>
      <c r="F809" s="15" t="s">
        <v>3922</v>
      </c>
      <c r="H809" s="15" t="s">
        <v>38</v>
      </c>
      <c r="I809" t="s">
        <v>3923</v>
      </c>
      <c r="J809" s="2">
        <v>1000</v>
      </c>
      <c r="K809" s="2">
        <v>0</v>
      </c>
      <c r="L809" s="2">
        <v>1</v>
      </c>
      <c r="M809" s="2">
        <v>0</v>
      </c>
      <c r="N809" s="15" t="s">
        <v>40</v>
      </c>
      <c r="O809" s="15" t="s">
        <v>41</v>
      </c>
      <c r="P809" s="15" t="s">
        <v>42</v>
      </c>
      <c r="Q809" s="15" t="s">
        <v>43</v>
      </c>
      <c r="S809" t="s">
        <v>3924</v>
      </c>
      <c r="U809" t="s">
        <v>45</v>
      </c>
      <c r="V809" t="s">
        <v>46</v>
      </c>
      <c r="W809" t="s">
        <v>40</v>
      </c>
      <c r="X809" t="s">
        <v>41</v>
      </c>
      <c r="Y809" t="s">
        <v>47</v>
      </c>
      <c r="Z809" t="s">
        <v>48</v>
      </c>
      <c r="AA809" t="s">
        <v>49</v>
      </c>
      <c r="AB809" s="15" t="s">
        <v>50</v>
      </c>
      <c r="AC809" s="16">
        <v>-3895.79</v>
      </c>
      <c r="AD809" s="15" t="s">
        <v>3925</v>
      </c>
      <c r="AE809" s="15" t="s">
        <v>115</v>
      </c>
    </row>
    <row r="810" spans="1:31" x14ac:dyDescent="0.25">
      <c r="A810" t="s">
        <v>3926</v>
      </c>
      <c r="B810" t="s">
        <v>3927</v>
      </c>
      <c r="C810" t="s">
        <v>3927</v>
      </c>
      <c r="D810" t="s">
        <v>125</v>
      </c>
      <c r="E810" t="s">
        <v>126</v>
      </c>
      <c r="F810" t="s">
        <v>3928</v>
      </c>
      <c r="G810" t="s">
        <v>35</v>
      </c>
      <c r="H810" t="s">
        <v>3750</v>
      </c>
      <c r="I810" t="s">
        <v>3929</v>
      </c>
      <c r="J810" s="2">
        <v>872680</v>
      </c>
      <c r="K810" s="2">
        <v>4000</v>
      </c>
      <c r="L810" s="2">
        <v>15</v>
      </c>
      <c r="M810" s="2">
        <v>0</v>
      </c>
      <c r="N810" t="s">
        <v>3752</v>
      </c>
      <c r="O810" t="s">
        <v>3753</v>
      </c>
      <c r="P810" t="s">
        <v>158</v>
      </c>
      <c r="Q810" t="s">
        <v>159</v>
      </c>
      <c r="U810" t="s">
        <v>45</v>
      </c>
      <c r="V810" t="s">
        <v>46</v>
      </c>
      <c r="W810" t="s">
        <v>3752</v>
      </c>
      <c r="X810" t="s">
        <v>3753</v>
      </c>
      <c r="Y810" t="s">
        <v>161</v>
      </c>
      <c r="Z810" t="s">
        <v>162</v>
      </c>
      <c r="AA810" t="s">
        <v>49</v>
      </c>
      <c r="AB810" t="s">
        <v>50</v>
      </c>
      <c r="AC810" s="2">
        <v>646185.99</v>
      </c>
      <c r="AD810" t="s">
        <v>3930</v>
      </c>
      <c r="AE810" t="s">
        <v>52</v>
      </c>
    </row>
    <row r="811" spans="1:31" x14ac:dyDescent="0.25">
      <c r="A811" t="s">
        <v>3931</v>
      </c>
      <c r="B811" t="s">
        <v>3932</v>
      </c>
      <c r="C811" t="s">
        <v>3932</v>
      </c>
      <c r="D811" t="s">
        <v>35</v>
      </c>
      <c r="E811" t="s">
        <v>36</v>
      </c>
      <c r="F811" t="s">
        <v>3933</v>
      </c>
      <c r="G811" t="s">
        <v>35</v>
      </c>
      <c r="H811" t="s">
        <v>650</v>
      </c>
      <c r="I811" t="s">
        <v>3934</v>
      </c>
      <c r="J811" s="2">
        <v>185445</v>
      </c>
      <c r="K811" s="2">
        <v>850</v>
      </c>
      <c r="L811" s="2">
        <v>7</v>
      </c>
      <c r="M811" s="2">
        <v>0</v>
      </c>
      <c r="N811" t="s">
        <v>652</v>
      </c>
      <c r="O811" t="s">
        <v>653</v>
      </c>
      <c r="P811" t="s">
        <v>69</v>
      </c>
      <c r="Q811" t="s">
        <v>70</v>
      </c>
      <c r="S811" t="s">
        <v>3935</v>
      </c>
      <c r="U811" t="s">
        <v>45</v>
      </c>
      <c r="V811" t="s">
        <v>46</v>
      </c>
      <c r="W811" t="s">
        <v>652</v>
      </c>
      <c r="X811" t="s">
        <v>653</v>
      </c>
      <c r="Y811" t="s">
        <v>72</v>
      </c>
      <c r="Z811" t="s">
        <v>68</v>
      </c>
      <c r="AA811" t="s">
        <v>49</v>
      </c>
      <c r="AB811" t="s">
        <v>50</v>
      </c>
      <c r="AC811" s="2">
        <v>113018.98</v>
      </c>
      <c r="AD811" t="s">
        <v>3936</v>
      </c>
      <c r="AE811" t="s">
        <v>52</v>
      </c>
    </row>
    <row r="812" spans="1:31" x14ac:dyDescent="0.25">
      <c r="A812" t="s">
        <v>3937</v>
      </c>
      <c r="B812" t="s">
        <v>3938</v>
      </c>
      <c r="C812" t="s">
        <v>3938</v>
      </c>
      <c r="D812" t="s">
        <v>569</v>
      </c>
      <c r="E812" t="s">
        <v>570</v>
      </c>
      <c r="F812" t="s">
        <v>3939</v>
      </c>
      <c r="G812" t="s">
        <v>569</v>
      </c>
      <c r="H812" t="s">
        <v>87</v>
      </c>
      <c r="I812" t="s">
        <v>3940</v>
      </c>
      <c r="J812" s="2">
        <v>1090850</v>
      </c>
      <c r="K812" s="2">
        <v>5000</v>
      </c>
      <c r="L812" s="2">
        <v>15</v>
      </c>
      <c r="M812" s="2">
        <v>0</v>
      </c>
      <c r="N812" t="s">
        <v>89</v>
      </c>
      <c r="O812" t="s">
        <v>90</v>
      </c>
      <c r="P812" t="s">
        <v>91</v>
      </c>
      <c r="Q812" t="s">
        <v>92</v>
      </c>
      <c r="S812" t="s">
        <v>3941</v>
      </c>
      <c r="U812" t="s">
        <v>45</v>
      </c>
      <c r="V812" t="s">
        <v>46</v>
      </c>
      <c r="W812" t="s">
        <v>89</v>
      </c>
      <c r="X812" t="s">
        <v>90</v>
      </c>
      <c r="Y812" t="s">
        <v>92</v>
      </c>
      <c r="Z812" t="s">
        <v>94</v>
      </c>
      <c r="AA812" t="s">
        <v>49</v>
      </c>
      <c r="AB812" t="s">
        <v>50</v>
      </c>
      <c r="AC812" s="2">
        <v>885810.77</v>
      </c>
      <c r="AD812" t="s">
        <v>3942</v>
      </c>
      <c r="AE812" t="s">
        <v>52</v>
      </c>
    </row>
    <row r="813" spans="1:31" hidden="1" x14ac:dyDescent="0.25">
      <c r="I813" t="s">
        <v>3943</v>
      </c>
      <c r="J813" s="2">
        <v>21817</v>
      </c>
      <c r="K813" s="2">
        <v>100</v>
      </c>
      <c r="L813" s="2">
        <v>1</v>
      </c>
      <c r="M813" s="2">
        <v>0</v>
      </c>
      <c r="S813" t="s">
        <v>3944</v>
      </c>
      <c r="U813" t="s">
        <v>45</v>
      </c>
      <c r="V813" t="s">
        <v>46</v>
      </c>
      <c r="W813" t="s">
        <v>89</v>
      </c>
      <c r="X813" t="s">
        <v>90</v>
      </c>
      <c r="Y813" t="s">
        <v>92</v>
      </c>
      <c r="Z813" t="s">
        <v>94</v>
      </c>
      <c r="AA813" t="s">
        <v>49</v>
      </c>
      <c r="AC813" s="2"/>
    </row>
    <row r="814" spans="1:31" x14ac:dyDescent="0.25">
      <c r="A814" t="s">
        <v>3945</v>
      </c>
      <c r="B814" t="s">
        <v>3946</v>
      </c>
      <c r="C814" t="s">
        <v>3947</v>
      </c>
      <c r="D814" t="s">
        <v>35</v>
      </c>
      <c r="E814" t="s">
        <v>36</v>
      </c>
      <c r="F814" t="s">
        <v>3948</v>
      </c>
      <c r="G814" t="s">
        <v>35</v>
      </c>
      <c r="H814" t="s">
        <v>248</v>
      </c>
      <c r="I814" t="s">
        <v>3949</v>
      </c>
      <c r="J814" s="2">
        <v>174536</v>
      </c>
      <c r="K814" s="2">
        <v>800</v>
      </c>
      <c r="L814" s="2">
        <v>15</v>
      </c>
      <c r="M814" s="2">
        <v>0</v>
      </c>
      <c r="N814" t="s">
        <v>249</v>
      </c>
      <c r="O814" t="s">
        <v>250</v>
      </c>
      <c r="P814" t="s">
        <v>91</v>
      </c>
      <c r="Q814" t="s">
        <v>92</v>
      </c>
      <c r="S814" t="s">
        <v>3950</v>
      </c>
      <c r="U814" t="s">
        <v>45</v>
      </c>
      <c r="V814" t="s">
        <v>46</v>
      </c>
      <c r="W814" t="s">
        <v>249</v>
      </c>
      <c r="X814" t="s">
        <v>250</v>
      </c>
      <c r="Y814" t="s">
        <v>92</v>
      </c>
      <c r="Z814" t="s">
        <v>94</v>
      </c>
      <c r="AA814" t="s">
        <v>49</v>
      </c>
      <c r="AB814" t="s">
        <v>50</v>
      </c>
      <c r="AC814" s="2">
        <v>94483.5</v>
      </c>
      <c r="AD814" t="s">
        <v>3951</v>
      </c>
      <c r="AE814" t="s">
        <v>52</v>
      </c>
    </row>
    <row r="815" spans="1:31" x14ac:dyDescent="0.25">
      <c r="A815" t="s">
        <v>3952</v>
      </c>
      <c r="B815" t="s">
        <v>3953</v>
      </c>
      <c r="C815" t="s">
        <v>3953</v>
      </c>
      <c r="D815" t="s">
        <v>153</v>
      </c>
      <c r="E815" t="s">
        <v>272</v>
      </c>
      <c r="F815" t="s">
        <v>3954</v>
      </c>
      <c r="G815" t="s">
        <v>153</v>
      </c>
      <c r="H815" t="s">
        <v>300</v>
      </c>
      <c r="I815" t="s">
        <v>3036</v>
      </c>
      <c r="J815" s="2">
        <v>556425</v>
      </c>
      <c r="K815" s="2">
        <v>2250</v>
      </c>
      <c r="L815" s="2">
        <v>21</v>
      </c>
      <c r="M815" s="2">
        <v>0</v>
      </c>
      <c r="N815" t="s">
        <v>302</v>
      </c>
      <c r="O815" t="s">
        <v>303</v>
      </c>
      <c r="P815" t="s">
        <v>304</v>
      </c>
      <c r="Q815" t="s">
        <v>72</v>
      </c>
      <c r="S815" t="s">
        <v>3955</v>
      </c>
      <c r="U815" t="s">
        <v>45</v>
      </c>
      <c r="V815" t="s">
        <v>46</v>
      </c>
      <c r="W815" t="s">
        <v>302</v>
      </c>
      <c r="X815" t="s">
        <v>303</v>
      </c>
      <c r="Y815" t="s">
        <v>72</v>
      </c>
      <c r="Z815" t="s">
        <v>68</v>
      </c>
      <c r="AA815" t="s">
        <v>49</v>
      </c>
      <c r="AB815" t="s">
        <v>50</v>
      </c>
      <c r="AC815" s="2">
        <v>114084.54</v>
      </c>
      <c r="AD815" t="s">
        <v>3956</v>
      </c>
      <c r="AE815" t="s">
        <v>52</v>
      </c>
    </row>
    <row r="816" spans="1:31" hidden="1" x14ac:dyDescent="0.25">
      <c r="I816" t="s">
        <v>626</v>
      </c>
      <c r="J816" s="2">
        <v>1000</v>
      </c>
      <c r="K816" s="2">
        <v>0</v>
      </c>
      <c r="L816" s="2">
        <v>15</v>
      </c>
      <c r="M816" s="2">
        <v>0</v>
      </c>
      <c r="S816" t="s">
        <v>3957</v>
      </c>
      <c r="U816" t="s">
        <v>45</v>
      </c>
      <c r="V816" t="s">
        <v>46</v>
      </c>
      <c r="W816" t="s">
        <v>445</v>
      </c>
      <c r="X816" t="s">
        <v>446</v>
      </c>
      <c r="Y816" t="s">
        <v>72</v>
      </c>
      <c r="Z816" t="s">
        <v>68</v>
      </c>
      <c r="AA816" t="s">
        <v>49</v>
      </c>
      <c r="AC816" s="2"/>
    </row>
    <row r="817" spans="1:31" x14ac:dyDescent="0.25">
      <c r="A817" t="s">
        <v>3958</v>
      </c>
      <c r="B817" t="s">
        <v>3959</v>
      </c>
      <c r="C817" t="s">
        <v>3959</v>
      </c>
      <c r="D817" t="s">
        <v>125</v>
      </c>
      <c r="E817" t="s">
        <v>126</v>
      </c>
      <c r="F817" t="s">
        <v>3960</v>
      </c>
      <c r="H817" t="s">
        <v>38</v>
      </c>
      <c r="J817" s="2">
        <v>21817</v>
      </c>
      <c r="K817" s="2">
        <v>100</v>
      </c>
      <c r="L817" s="2">
        <v>15</v>
      </c>
      <c r="M817" s="2">
        <v>0</v>
      </c>
      <c r="N817" t="s">
        <v>40</v>
      </c>
      <c r="O817" t="s">
        <v>41</v>
      </c>
      <c r="P817" t="s">
        <v>42</v>
      </c>
      <c r="Q817" t="s">
        <v>43</v>
      </c>
      <c r="U817" t="s">
        <v>45</v>
      </c>
      <c r="V817" t="s">
        <v>46</v>
      </c>
      <c r="W817" t="s">
        <v>40</v>
      </c>
      <c r="X817" t="s">
        <v>41</v>
      </c>
      <c r="Y817" t="s">
        <v>47</v>
      </c>
      <c r="Z817" t="s">
        <v>48</v>
      </c>
      <c r="AA817" t="s">
        <v>141</v>
      </c>
      <c r="AB817" t="s">
        <v>50</v>
      </c>
      <c r="AC817" s="2">
        <v>18370.57</v>
      </c>
      <c r="AD817" t="s">
        <v>3961</v>
      </c>
    </row>
    <row r="818" spans="1:31" hidden="1" x14ac:dyDescent="0.25">
      <c r="I818" t="s">
        <v>3963</v>
      </c>
      <c r="J818" s="2">
        <v>109085</v>
      </c>
      <c r="K818" s="2">
        <v>500</v>
      </c>
      <c r="L818" s="2">
        <v>15</v>
      </c>
      <c r="M818" s="2">
        <v>0</v>
      </c>
      <c r="S818" t="s">
        <v>3964</v>
      </c>
      <c r="U818" t="s">
        <v>45</v>
      </c>
      <c r="V818" t="s">
        <v>46</v>
      </c>
      <c r="W818" t="s">
        <v>1038</v>
      </c>
      <c r="X818" t="s">
        <v>1039</v>
      </c>
      <c r="Y818" t="s">
        <v>72</v>
      </c>
      <c r="Z818" t="s">
        <v>68</v>
      </c>
      <c r="AA818" t="s">
        <v>49</v>
      </c>
      <c r="AC818" s="2"/>
    </row>
    <row r="819" spans="1:31" x14ac:dyDescent="0.25">
      <c r="A819" t="s">
        <v>3965</v>
      </c>
      <c r="B819" t="s">
        <v>3966</v>
      </c>
      <c r="C819" t="s">
        <v>3966</v>
      </c>
      <c r="D819" t="s">
        <v>569</v>
      </c>
      <c r="E819" t="s">
        <v>570</v>
      </c>
      <c r="F819" t="s">
        <v>3967</v>
      </c>
      <c r="G819" t="s">
        <v>178</v>
      </c>
      <c r="H819" t="s">
        <v>3968</v>
      </c>
      <c r="I819" t="s">
        <v>3969</v>
      </c>
      <c r="J819" s="2">
        <v>436340</v>
      </c>
      <c r="K819" s="2">
        <v>2000</v>
      </c>
      <c r="L819" s="2">
        <v>21</v>
      </c>
      <c r="M819" s="2">
        <v>0</v>
      </c>
      <c r="N819" t="s">
        <v>3752</v>
      </c>
      <c r="O819" t="s">
        <v>3753</v>
      </c>
      <c r="P819" t="s">
        <v>158</v>
      </c>
      <c r="Q819" t="s">
        <v>159</v>
      </c>
      <c r="S819" t="s">
        <v>3970</v>
      </c>
      <c r="U819" t="s">
        <v>45</v>
      </c>
      <c r="V819" t="s">
        <v>46</v>
      </c>
      <c r="W819" t="s">
        <v>3752</v>
      </c>
      <c r="X819" t="s">
        <v>3753</v>
      </c>
      <c r="Y819" t="s">
        <v>161</v>
      </c>
      <c r="Z819" t="s">
        <v>162</v>
      </c>
      <c r="AA819" t="s">
        <v>49</v>
      </c>
      <c r="AB819" t="s">
        <v>50</v>
      </c>
      <c r="AC819" s="2">
        <v>360223.11</v>
      </c>
      <c r="AD819" t="s">
        <v>3971</v>
      </c>
      <c r="AE819" t="s">
        <v>52</v>
      </c>
    </row>
    <row r="820" spans="1:31" x14ac:dyDescent="0.25">
      <c r="A820" t="s">
        <v>3972</v>
      </c>
      <c r="B820" t="s">
        <v>3973</v>
      </c>
      <c r="C820" t="s">
        <v>3973</v>
      </c>
      <c r="D820" t="s">
        <v>35</v>
      </c>
      <c r="E820" t="s">
        <v>36</v>
      </c>
      <c r="F820" t="s">
        <v>3974</v>
      </c>
      <c r="G820" t="s">
        <v>35</v>
      </c>
      <c r="H820" t="s">
        <v>181</v>
      </c>
      <c r="I820" t="s">
        <v>3975</v>
      </c>
      <c r="J820" s="2">
        <v>190814</v>
      </c>
      <c r="K820" s="2">
        <v>794</v>
      </c>
      <c r="L820" s="2">
        <v>12</v>
      </c>
      <c r="M820" s="2">
        <v>0</v>
      </c>
      <c r="N820" t="s">
        <v>183</v>
      </c>
      <c r="O820" t="s">
        <v>184</v>
      </c>
      <c r="P820" t="s">
        <v>158</v>
      </c>
      <c r="Q820" t="s">
        <v>159</v>
      </c>
      <c r="S820" t="s">
        <v>3976</v>
      </c>
      <c r="U820" t="s">
        <v>45</v>
      </c>
      <c r="V820" t="s">
        <v>46</v>
      </c>
      <c r="W820" t="s">
        <v>183</v>
      </c>
      <c r="X820" t="s">
        <v>184</v>
      </c>
      <c r="Y820" t="s">
        <v>161</v>
      </c>
      <c r="Z820" t="s">
        <v>162</v>
      </c>
      <c r="AA820" t="s">
        <v>49</v>
      </c>
      <c r="AB820" t="s">
        <v>50</v>
      </c>
      <c r="AC820" s="2">
        <v>-93385.85</v>
      </c>
      <c r="AD820" t="s">
        <v>3977</v>
      </c>
      <c r="AE820" t="s">
        <v>52</v>
      </c>
    </row>
    <row r="821" spans="1:31" hidden="1" x14ac:dyDescent="0.25">
      <c r="I821" t="s">
        <v>3978</v>
      </c>
      <c r="J821" s="2">
        <v>21817</v>
      </c>
      <c r="K821" s="2">
        <v>100</v>
      </c>
      <c r="L821" s="2">
        <v>1</v>
      </c>
      <c r="M821" s="2">
        <v>0</v>
      </c>
      <c r="S821" t="s">
        <v>3979</v>
      </c>
      <c r="U821" t="s">
        <v>45</v>
      </c>
      <c r="V821" t="s">
        <v>46</v>
      </c>
      <c r="W821" t="s">
        <v>89</v>
      </c>
      <c r="X821" t="s">
        <v>90</v>
      </c>
      <c r="Y821" t="s">
        <v>92</v>
      </c>
      <c r="Z821" t="s">
        <v>94</v>
      </c>
      <c r="AA821" t="s">
        <v>49</v>
      </c>
      <c r="AC821" s="2"/>
    </row>
    <row r="822" spans="1:31" hidden="1" x14ac:dyDescent="0.25">
      <c r="A822" t="s">
        <v>3980</v>
      </c>
      <c r="B822" t="s">
        <v>3981</v>
      </c>
      <c r="C822" t="s">
        <v>3981</v>
      </c>
      <c r="D822" t="s">
        <v>55</v>
      </c>
      <c r="E822" t="s">
        <v>56</v>
      </c>
      <c r="F822" t="s">
        <v>78</v>
      </c>
      <c r="H822" t="s">
        <v>79</v>
      </c>
      <c r="J822" s="2">
        <v>1000</v>
      </c>
      <c r="K822" s="2">
        <v>0</v>
      </c>
      <c r="L822" s="2">
        <v>1</v>
      </c>
      <c r="M822" s="2">
        <v>0</v>
      </c>
      <c r="N822" t="s">
        <v>495</v>
      </c>
      <c r="O822" t="s">
        <v>79</v>
      </c>
      <c r="P822" t="s">
        <v>82</v>
      </c>
      <c r="Q822" t="s">
        <v>83</v>
      </c>
      <c r="U822" t="s">
        <v>45</v>
      </c>
      <c r="V822" t="s">
        <v>46</v>
      </c>
      <c r="W822" t="s">
        <v>495</v>
      </c>
      <c r="X822" t="s">
        <v>79</v>
      </c>
      <c r="Y822" t="s">
        <v>79</v>
      </c>
      <c r="Z822" t="s">
        <v>94</v>
      </c>
      <c r="AA822" t="s">
        <v>49</v>
      </c>
      <c r="AB822" t="s">
        <v>50</v>
      </c>
      <c r="AC822" s="2">
        <v>1000</v>
      </c>
      <c r="AD822" t="s">
        <v>64</v>
      </c>
    </row>
    <row r="823" spans="1:31" x14ac:dyDescent="0.25">
      <c r="A823" t="s">
        <v>3982</v>
      </c>
      <c r="B823" t="s">
        <v>3983</v>
      </c>
      <c r="C823" t="s">
        <v>3983</v>
      </c>
      <c r="D823" t="s">
        <v>1846</v>
      </c>
      <c r="E823" t="s">
        <v>134</v>
      </c>
      <c r="F823" t="s">
        <v>3984</v>
      </c>
      <c r="G823" t="s">
        <v>1846</v>
      </c>
      <c r="H823" t="s">
        <v>922</v>
      </c>
      <c r="I823" t="s">
        <v>3985</v>
      </c>
      <c r="J823" s="2">
        <v>21817</v>
      </c>
      <c r="K823" s="2">
        <v>100</v>
      </c>
      <c r="L823" s="2">
        <v>1</v>
      </c>
      <c r="M823" s="2">
        <v>0</v>
      </c>
      <c r="N823" t="s">
        <v>822</v>
      </c>
      <c r="O823" t="s">
        <v>820</v>
      </c>
      <c r="P823" t="s">
        <v>91</v>
      </c>
      <c r="Q823" t="s">
        <v>92</v>
      </c>
      <c r="S823" t="s">
        <v>3986</v>
      </c>
      <c r="U823" t="s">
        <v>45</v>
      </c>
      <c r="V823" t="s">
        <v>46</v>
      </c>
      <c r="W823" t="s">
        <v>822</v>
      </c>
      <c r="X823" t="s">
        <v>820</v>
      </c>
      <c r="Y823" t="s">
        <v>92</v>
      </c>
      <c r="Z823" t="s">
        <v>94</v>
      </c>
      <c r="AA823" t="s">
        <v>49</v>
      </c>
      <c r="AB823" t="s">
        <v>50</v>
      </c>
      <c r="AC823" s="2">
        <v>21817</v>
      </c>
      <c r="AD823" t="s">
        <v>64</v>
      </c>
    </row>
    <row r="824" spans="1:31" x14ac:dyDescent="0.25">
      <c r="A824" t="s">
        <v>3987</v>
      </c>
      <c r="B824" t="s">
        <v>3988</v>
      </c>
      <c r="C824" t="s">
        <v>3988</v>
      </c>
      <c r="D824" t="s">
        <v>153</v>
      </c>
      <c r="E824" t="s">
        <v>272</v>
      </c>
      <c r="F824" t="s">
        <v>3989</v>
      </c>
      <c r="G824" t="s">
        <v>153</v>
      </c>
      <c r="H824" t="s">
        <v>181</v>
      </c>
      <c r="I824" t="s">
        <v>3990</v>
      </c>
      <c r="J824" s="2">
        <v>65451</v>
      </c>
      <c r="K824" s="2">
        <v>300</v>
      </c>
      <c r="L824" s="2">
        <v>5</v>
      </c>
      <c r="M824" s="2">
        <v>0</v>
      </c>
      <c r="N824" t="s">
        <v>183</v>
      </c>
      <c r="O824" t="s">
        <v>184</v>
      </c>
      <c r="P824" t="s">
        <v>158</v>
      </c>
      <c r="Q824" t="s">
        <v>159</v>
      </c>
      <c r="S824" t="s">
        <v>3991</v>
      </c>
      <c r="U824" t="s">
        <v>45</v>
      </c>
      <c r="V824" t="s">
        <v>46</v>
      </c>
      <c r="W824" t="s">
        <v>183</v>
      </c>
      <c r="X824" t="s">
        <v>184</v>
      </c>
      <c r="Y824" t="s">
        <v>161</v>
      </c>
      <c r="Z824" t="s">
        <v>162</v>
      </c>
      <c r="AA824" t="s">
        <v>49</v>
      </c>
      <c r="AB824" t="s">
        <v>50</v>
      </c>
      <c r="AC824" s="2">
        <v>-26342.28</v>
      </c>
      <c r="AD824" t="s">
        <v>3992</v>
      </c>
      <c r="AE824" t="s">
        <v>52</v>
      </c>
    </row>
    <row r="825" spans="1:31" x14ac:dyDescent="0.25">
      <c r="A825" t="s">
        <v>3993</v>
      </c>
      <c r="B825" t="s">
        <v>3994</v>
      </c>
      <c r="C825" t="s">
        <v>2997</v>
      </c>
      <c r="D825" t="s">
        <v>153</v>
      </c>
      <c r="E825" t="s">
        <v>272</v>
      </c>
      <c r="F825" t="s">
        <v>2998</v>
      </c>
      <c r="G825" t="s">
        <v>178</v>
      </c>
      <c r="H825" t="s">
        <v>300</v>
      </c>
      <c r="I825" t="s">
        <v>3995</v>
      </c>
      <c r="J825" s="2">
        <v>269095</v>
      </c>
      <c r="K825" s="2">
        <v>1233.42</v>
      </c>
      <c r="L825" s="2">
        <v>30</v>
      </c>
      <c r="M825" s="2">
        <v>0</v>
      </c>
      <c r="N825" t="s">
        <v>302</v>
      </c>
      <c r="O825" t="s">
        <v>303</v>
      </c>
      <c r="P825" t="s">
        <v>304</v>
      </c>
      <c r="Q825" t="s">
        <v>72</v>
      </c>
      <c r="S825" t="s">
        <v>3549</v>
      </c>
      <c r="U825" t="s">
        <v>45</v>
      </c>
      <c r="V825" t="s">
        <v>46</v>
      </c>
      <c r="W825" t="s">
        <v>302</v>
      </c>
      <c r="X825" t="s">
        <v>303</v>
      </c>
      <c r="Y825" t="s">
        <v>72</v>
      </c>
      <c r="Z825" t="s">
        <v>68</v>
      </c>
      <c r="AA825" t="s">
        <v>49</v>
      </c>
      <c r="AB825" t="s">
        <v>50</v>
      </c>
      <c r="AC825" s="2">
        <v>157008.57</v>
      </c>
      <c r="AD825" t="s">
        <v>3996</v>
      </c>
      <c r="AE825" t="s">
        <v>52</v>
      </c>
    </row>
    <row r="826" spans="1:31" hidden="1" x14ac:dyDescent="0.25">
      <c r="A826" t="s">
        <v>3997</v>
      </c>
      <c r="B826" t="s">
        <v>3998</v>
      </c>
      <c r="C826" t="s">
        <v>3998</v>
      </c>
      <c r="D826" t="s">
        <v>55</v>
      </c>
      <c r="E826" t="s">
        <v>56</v>
      </c>
      <c r="F826" t="s">
        <v>3999</v>
      </c>
      <c r="J826" s="2">
        <v>1000</v>
      </c>
      <c r="K826" s="2">
        <v>0</v>
      </c>
      <c r="L826" s="2">
        <v>1</v>
      </c>
      <c r="M826" s="2">
        <v>0</v>
      </c>
      <c r="N826" t="s">
        <v>1427</v>
      </c>
      <c r="O826" t="s">
        <v>1428</v>
      </c>
      <c r="P826" t="s">
        <v>557</v>
      </c>
      <c r="Q826" t="s">
        <v>558</v>
      </c>
      <c r="U826" t="s">
        <v>45</v>
      </c>
      <c r="V826" t="s">
        <v>46</v>
      </c>
      <c r="W826" t="s">
        <v>1427</v>
      </c>
      <c r="X826" t="s">
        <v>1430</v>
      </c>
      <c r="Y826" t="s">
        <v>85</v>
      </c>
      <c r="Z826" t="s">
        <v>86</v>
      </c>
      <c r="AA826" t="s">
        <v>49</v>
      </c>
      <c r="AB826" t="s">
        <v>50</v>
      </c>
      <c r="AC826" s="2">
        <v>1000</v>
      </c>
      <c r="AD826" t="s">
        <v>64</v>
      </c>
    </row>
    <row r="827" spans="1:31" hidden="1" x14ac:dyDescent="0.25">
      <c r="I827" t="s">
        <v>4000</v>
      </c>
      <c r="J827" s="2">
        <v>7200</v>
      </c>
      <c r="K827" s="2">
        <v>0</v>
      </c>
      <c r="L827" s="2">
        <v>15</v>
      </c>
      <c r="M827" s="2">
        <v>0</v>
      </c>
      <c r="S827" t="s">
        <v>4001</v>
      </c>
      <c r="U827" t="s">
        <v>45</v>
      </c>
      <c r="V827" t="s">
        <v>46</v>
      </c>
      <c r="W827" t="s">
        <v>40</v>
      </c>
      <c r="X827" t="s">
        <v>41</v>
      </c>
      <c r="Y827" t="s">
        <v>47</v>
      </c>
      <c r="Z827" t="s">
        <v>48</v>
      </c>
      <c r="AA827" t="s">
        <v>49</v>
      </c>
      <c r="AC827" s="2"/>
    </row>
    <row r="828" spans="1:31" x14ac:dyDescent="0.25">
      <c r="A828" t="s">
        <v>4002</v>
      </c>
      <c r="B828" t="s">
        <v>4003</v>
      </c>
      <c r="C828" t="s">
        <v>4003</v>
      </c>
      <c r="D828" t="s">
        <v>478</v>
      </c>
      <c r="E828" t="s">
        <v>190</v>
      </c>
      <c r="F828" t="s">
        <v>4004</v>
      </c>
      <c r="G828" t="s">
        <v>262</v>
      </c>
      <c r="H828" t="s">
        <v>638</v>
      </c>
      <c r="I828" t="s">
        <v>4005</v>
      </c>
      <c r="J828" s="2">
        <v>1090850</v>
      </c>
      <c r="K828" s="2">
        <v>5000</v>
      </c>
      <c r="L828" s="2">
        <v>30</v>
      </c>
      <c r="M828" s="2">
        <v>0</v>
      </c>
      <c r="N828" t="s">
        <v>640</v>
      </c>
      <c r="O828" t="s">
        <v>641</v>
      </c>
      <c r="P828" t="s">
        <v>91</v>
      </c>
      <c r="Q828" t="s">
        <v>92</v>
      </c>
      <c r="S828" t="s">
        <v>4006</v>
      </c>
      <c r="U828" t="s">
        <v>45</v>
      </c>
      <c r="V828" t="s">
        <v>46</v>
      </c>
      <c r="W828" t="s">
        <v>640</v>
      </c>
      <c r="X828" t="s">
        <v>641</v>
      </c>
      <c r="Y828" t="s">
        <v>92</v>
      </c>
      <c r="Z828" t="s">
        <v>94</v>
      </c>
      <c r="AA828" t="s">
        <v>49</v>
      </c>
      <c r="AB828" t="s">
        <v>50</v>
      </c>
      <c r="AC828" s="2">
        <v>1090850</v>
      </c>
      <c r="AD828" t="s">
        <v>64</v>
      </c>
    </row>
    <row r="829" spans="1:31" hidden="1" x14ac:dyDescent="0.25">
      <c r="I829" t="s">
        <v>4007</v>
      </c>
      <c r="J829" s="2">
        <v>1000</v>
      </c>
      <c r="K829" s="2">
        <v>0</v>
      </c>
      <c r="L829" s="2">
        <v>1</v>
      </c>
      <c r="M829" s="2">
        <v>0</v>
      </c>
      <c r="S829" t="s">
        <v>4008</v>
      </c>
      <c r="U829" t="s">
        <v>45</v>
      </c>
      <c r="V829" t="s">
        <v>46</v>
      </c>
      <c r="W829" t="s">
        <v>652</v>
      </c>
      <c r="X829" t="s">
        <v>653</v>
      </c>
      <c r="Y829" t="s">
        <v>72</v>
      </c>
      <c r="Z829" t="s">
        <v>68</v>
      </c>
      <c r="AA829" t="s">
        <v>49</v>
      </c>
      <c r="AC829" s="2"/>
    </row>
    <row r="830" spans="1:31" hidden="1" x14ac:dyDescent="0.25">
      <c r="A830" t="s">
        <v>4009</v>
      </c>
      <c r="B830" t="s">
        <v>4010</v>
      </c>
      <c r="C830" t="s">
        <v>4010</v>
      </c>
      <c r="F830" t="s">
        <v>4011</v>
      </c>
      <c r="H830" t="s">
        <v>2218</v>
      </c>
      <c r="J830" s="2">
        <v>1000</v>
      </c>
      <c r="K830" s="2">
        <v>0</v>
      </c>
      <c r="L830" s="2">
        <v>1</v>
      </c>
      <c r="M830" s="2">
        <v>0</v>
      </c>
      <c r="N830" t="s">
        <v>664</v>
      </c>
      <c r="O830" t="s">
        <v>665</v>
      </c>
      <c r="P830" t="s">
        <v>669</v>
      </c>
      <c r="Q830" t="s">
        <v>670</v>
      </c>
      <c r="S830" t="s">
        <v>4012</v>
      </c>
      <c r="U830" t="s">
        <v>45</v>
      </c>
      <c r="V830" t="s">
        <v>46</v>
      </c>
      <c r="W830" t="s">
        <v>664</v>
      </c>
      <c r="X830" t="s">
        <v>665</v>
      </c>
      <c r="Y830" t="s">
        <v>106</v>
      </c>
      <c r="Z830" t="s">
        <v>107</v>
      </c>
      <c r="AA830" t="s">
        <v>49</v>
      </c>
      <c r="AB830" t="s">
        <v>50</v>
      </c>
      <c r="AC830" s="2">
        <v>1000</v>
      </c>
      <c r="AD830" t="s">
        <v>64</v>
      </c>
    </row>
    <row r="831" spans="1:31" hidden="1" x14ac:dyDescent="0.25">
      <c r="I831" t="s">
        <v>4013</v>
      </c>
      <c r="J831" s="2">
        <v>21817</v>
      </c>
      <c r="K831" s="2">
        <v>100</v>
      </c>
      <c r="L831" s="2">
        <v>1</v>
      </c>
      <c r="M831" s="2">
        <v>0</v>
      </c>
      <c r="S831" t="s">
        <v>4014</v>
      </c>
      <c r="U831" t="s">
        <v>45</v>
      </c>
      <c r="V831" t="s">
        <v>46</v>
      </c>
      <c r="W831" t="s">
        <v>1357</v>
      </c>
      <c r="X831" t="s">
        <v>1358</v>
      </c>
      <c r="Y831" t="s">
        <v>92</v>
      </c>
      <c r="Z831" t="s">
        <v>94</v>
      </c>
      <c r="AA831" t="s">
        <v>49</v>
      </c>
      <c r="AC831" s="2"/>
    </row>
    <row r="832" spans="1:31" x14ac:dyDescent="0.25">
      <c r="A832" t="s">
        <v>4015</v>
      </c>
      <c r="B832" t="s">
        <v>4016</v>
      </c>
      <c r="C832" t="s">
        <v>4016</v>
      </c>
      <c r="D832" t="s">
        <v>569</v>
      </c>
      <c r="E832" t="s">
        <v>570</v>
      </c>
      <c r="F832" t="s">
        <v>4017</v>
      </c>
      <c r="G832" t="s">
        <v>569</v>
      </c>
      <c r="H832" t="s">
        <v>38</v>
      </c>
      <c r="J832" s="2">
        <v>174536</v>
      </c>
      <c r="K832" s="2">
        <v>800</v>
      </c>
      <c r="L832" s="2">
        <v>21</v>
      </c>
      <c r="M832" s="2">
        <v>0</v>
      </c>
      <c r="N832" t="s">
        <v>40</v>
      </c>
      <c r="O832" t="s">
        <v>41</v>
      </c>
      <c r="P832" t="s">
        <v>61</v>
      </c>
      <c r="Q832" t="s">
        <v>62</v>
      </c>
      <c r="S832" t="s">
        <v>4018</v>
      </c>
      <c r="U832" t="s">
        <v>45</v>
      </c>
      <c r="V832" t="s">
        <v>46</v>
      </c>
      <c r="W832" t="s">
        <v>40</v>
      </c>
      <c r="X832" t="s">
        <v>41</v>
      </c>
      <c r="Y832" t="s">
        <v>47</v>
      </c>
      <c r="Z832" t="s">
        <v>48</v>
      </c>
      <c r="AA832" t="s">
        <v>49</v>
      </c>
      <c r="AB832" t="s">
        <v>50</v>
      </c>
      <c r="AC832" s="2">
        <v>167950.18</v>
      </c>
      <c r="AD832" t="s">
        <v>4019</v>
      </c>
      <c r="AE832" t="s">
        <v>52</v>
      </c>
    </row>
    <row r="833" spans="1:31" x14ac:dyDescent="0.25">
      <c r="A833" t="s">
        <v>4020</v>
      </c>
      <c r="B833" t="s">
        <v>4021</v>
      </c>
      <c r="C833" t="s">
        <v>4021</v>
      </c>
      <c r="D833" t="s">
        <v>35</v>
      </c>
      <c r="E833" t="s">
        <v>36</v>
      </c>
      <c r="F833" t="s">
        <v>4022</v>
      </c>
      <c r="G833" t="s">
        <v>35</v>
      </c>
      <c r="H833" t="s">
        <v>402</v>
      </c>
      <c r="I833" t="s">
        <v>1018</v>
      </c>
      <c r="J833" s="2">
        <v>777504</v>
      </c>
      <c r="K833" s="2">
        <v>3120</v>
      </c>
      <c r="L833" s="2">
        <v>30</v>
      </c>
      <c r="M833" s="2">
        <v>0</v>
      </c>
      <c r="N833" t="s">
        <v>403</v>
      </c>
      <c r="O833" t="s">
        <v>404</v>
      </c>
      <c r="P833" t="s">
        <v>205</v>
      </c>
      <c r="Q833" t="s">
        <v>206</v>
      </c>
      <c r="S833" t="s">
        <v>4023</v>
      </c>
      <c r="U833" t="s">
        <v>45</v>
      </c>
      <c r="V833" t="s">
        <v>46</v>
      </c>
      <c r="W833" t="s">
        <v>403</v>
      </c>
      <c r="X833" t="s">
        <v>404</v>
      </c>
      <c r="Y833" t="s">
        <v>161</v>
      </c>
      <c r="Z833" t="s">
        <v>162</v>
      </c>
      <c r="AA833" t="s">
        <v>49</v>
      </c>
      <c r="AB833" t="s">
        <v>50</v>
      </c>
      <c r="AC833" s="2">
        <v>173187.47</v>
      </c>
      <c r="AD833" t="s">
        <v>4024</v>
      </c>
      <c r="AE833" t="s">
        <v>52</v>
      </c>
    </row>
    <row r="834" spans="1:31" x14ac:dyDescent="0.25">
      <c r="A834" t="s">
        <v>4025</v>
      </c>
      <c r="B834" t="s">
        <v>4026</v>
      </c>
      <c r="C834" t="s">
        <v>4026</v>
      </c>
      <c r="D834" t="s">
        <v>847</v>
      </c>
      <c r="E834" t="s">
        <v>848</v>
      </c>
      <c r="F834" t="s">
        <v>4027</v>
      </c>
      <c r="G834" t="s">
        <v>847</v>
      </c>
      <c r="H834" t="s">
        <v>87</v>
      </c>
      <c r="I834" t="s">
        <v>4028</v>
      </c>
      <c r="J834" s="2">
        <v>569419</v>
      </c>
      <c r="K834" s="2">
        <v>2609.98</v>
      </c>
      <c r="L834" s="2">
        <v>15</v>
      </c>
      <c r="M834" s="2">
        <v>0</v>
      </c>
      <c r="N834" t="s">
        <v>89</v>
      </c>
      <c r="O834" t="s">
        <v>90</v>
      </c>
      <c r="P834" t="s">
        <v>91</v>
      </c>
      <c r="Q834" t="s">
        <v>92</v>
      </c>
      <c r="S834" t="s">
        <v>4029</v>
      </c>
      <c r="U834" t="s">
        <v>45</v>
      </c>
      <c r="V834" t="s">
        <v>46</v>
      </c>
      <c r="W834" t="s">
        <v>89</v>
      </c>
      <c r="X834" t="s">
        <v>90</v>
      </c>
      <c r="Y834" t="s">
        <v>92</v>
      </c>
      <c r="Z834" t="s">
        <v>94</v>
      </c>
      <c r="AA834" t="s">
        <v>49</v>
      </c>
      <c r="AB834" t="s">
        <v>50</v>
      </c>
      <c r="AC834" s="2">
        <v>168642.8</v>
      </c>
      <c r="AD834" t="s">
        <v>4030</v>
      </c>
      <c r="AE834" t="s">
        <v>115</v>
      </c>
    </row>
    <row r="835" spans="1:31" hidden="1" x14ac:dyDescent="0.25">
      <c r="I835" t="s">
        <v>4031</v>
      </c>
      <c r="J835" s="2">
        <v>1000</v>
      </c>
      <c r="K835" s="2">
        <v>0</v>
      </c>
      <c r="L835" s="2">
        <v>1</v>
      </c>
      <c r="M835" s="2">
        <v>0</v>
      </c>
      <c r="S835" t="s">
        <v>4032</v>
      </c>
      <c r="U835" t="s">
        <v>45</v>
      </c>
      <c r="V835" t="s">
        <v>46</v>
      </c>
      <c r="W835" t="s">
        <v>40</v>
      </c>
      <c r="X835" t="s">
        <v>41</v>
      </c>
      <c r="Y835" t="s">
        <v>47</v>
      </c>
      <c r="Z835" t="s">
        <v>48</v>
      </c>
      <c r="AA835" t="s">
        <v>49</v>
      </c>
      <c r="AC835" s="2"/>
    </row>
    <row r="836" spans="1:31" x14ac:dyDescent="0.25">
      <c r="A836" t="s">
        <v>4033</v>
      </c>
      <c r="B836" t="s">
        <v>4034</v>
      </c>
      <c r="C836" t="s">
        <v>4034</v>
      </c>
      <c r="D836" t="s">
        <v>178</v>
      </c>
      <c r="E836" t="s">
        <v>179</v>
      </c>
      <c r="F836" t="s">
        <v>4035</v>
      </c>
      <c r="G836" t="s">
        <v>178</v>
      </c>
      <c r="H836" t="s">
        <v>1312</v>
      </c>
      <c r="I836" t="s">
        <v>4036</v>
      </c>
      <c r="J836" s="2">
        <v>32726</v>
      </c>
      <c r="K836" s="2">
        <v>150</v>
      </c>
      <c r="L836" s="2">
        <v>7</v>
      </c>
      <c r="M836" s="2">
        <v>0</v>
      </c>
      <c r="N836" t="s">
        <v>883</v>
      </c>
      <c r="O836" t="s">
        <v>881</v>
      </c>
      <c r="P836" t="s">
        <v>158</v>
      </c>
      <c r="Q836" t="s">
        <v>159</v>
      </c>
      <c r="U836" t="s">
        <v>45</v>
      </c>
      <c r="V836" t="s">
        <v>46</v>
      </c>
      <c r="W836" t="s">
        <v>883</v>
      </c>
      <c r="X836" t="s">
        <v>881</v>
      </c>
      <c r="Y836" t="s">
        <v>161</v>
      </c>
      <c r="Z836" t="s">
        <v>162</v>
      </c>
      <c r="AA836" t="s">
        <v>49</v>
      </c>
      <c r="AB836" t="s">
        <v>50</v>
      </c>
      <c r="AC836" s="2">
        <v>-3515.01</v>
      </c>
      <c r="AD836" t="s">
        <v>4037</v>
      </c>
      <c r="AE836" t="s">
        <v>52</v>
      </c>
    </row>
    <row r="837" spans="1:31" x14ac:dyDescent="0.25">
      <c r="A837" t="s">
        <v>4038</v>
      </c>
      <c r="B837" t="s">
        <v>4039</v>
      </c>
      <c r="C837" t="s">
        <v>4039</v>
      </c>
      <c r="D837" t="s">
        <v>35</v>
      </c>
      <c r="E837" t="s">
        <v>36</v>
      </c>
      <c r="F837" t="s">
        <v>4040</v>
      </c>
      <c r="G837" t="s">
        <v>35</v>
      </c>
      <c r="H837" t="s">
        <v>443</v>
      </c>
      <c r="I837" t="s">
        <v>4041</v>
      </c>
      <c r="J837" s="2">
        <v>252358</v>
      </c>
      <c r="K837" s="2">
        <v>1020</v>
      </c>
      <c r="L837" s="2">
        <v>21</v>
      </c>
      <c r="M837" s="2">
        <v>0</v>
      </c>
      <c r="N837" t="s">
        <v>445</v>
      </c>
      <c r="O837" t="s">
        <v>446</v>
      </c>
      <c r="P837" t="s">
        <v>69</v>
      </c>
      <c r="Q837" t="s">
        <v>70</v>
      </c>
      <c r="S837" t="s">
        <v>4042</v>
      </c>
      <c r="U837" t="s">
        <v>45</v>
      </c>
      <c r="V837" t="s">
        <v>46</v>
      </c>
      <c r="W837" t="s">
        <v>445</v>
      </c>
      <c r="X837" t="s">
        <v>446</v>
      </c>
      <c r="Y837" t="s">
        <v>72</v>
      </c>
      <c r="Z837" t="s">
        <v>68</v>
      </c>
      <c r="AA837" t="s">
        <v>49</v>
      </c>
      <c r="AB837" t="s">
        <v>50</v>
      </c>
      <c r="AC837" s="2">
        <v>39344.120000000003</v>
      </c>
      <c r="AD837" t="s">
        <v>4043</v>
      </c>
      <c r="AE837" t="s">
        <v>52</v>
      </c>
    </row>
    <row r="838" spans="1:31" x14ac:dyDescent="0.25">
      <c r="A838" t="s">
        <v>4044</v>
      </c>
      <c r="B838" t="s">
        <v>4045</v>
      </c>
      <c r="C838" t="s">
        <v>4046</v>
      </c>
      <c r="D838" t="s">
        <v>569</v>
      </c>
      <c r="E838" t="s">
        <v>570</v>
      </c>
      <c r="F838" t="s">
        <v>4047</v>
      </c>
      <c r="G838" t="s">
        <v>297</v>
      </c>
      <c r="H838" t="s">
        <v>443</v>
      </c>
      <c r="I838" t="s">
        <v>4048</v>
      </c>
      <c r="J838" s="2">
        <v>152719</v>
      </c>
      <c r="K838" s="2">
        <v>700</v>
      </c>
      <c r="L838" s="2">
        <v>15</v>
      </c>
      <c r="M838" s="2">
        <v>0</v>
      </c>
      <c r="N838" t="s">
        <v>445</v>
      </c>
      <c r="O838" t="s">
        <v>446</v>
      </c>
      <c r="P838" t="s">
        <v>69</v>
      </c>
      <c r="Q838" t="s">
        <v>70</v>
      </c>
      <c r="S838" t="s">
        <v>4049</v>
      </c>
      <c r="U838" t="s">
        <v>45</v>
      </c>
      <c r="V838" t="s">
        <v>46</v>
      </c>
      <c r="W838" t="s">
        <v>445</v>
      </c>
      <c r="X838" t="s">
        <v>446</v>
      </c>
      <c r="Y838" t="s">
        <v>72</v>
      </c>
      <c r="Z838" t="s">
        <v>68</v>
      </c>
      <c r="AA838" t="s">
        <v>49</v>
      </c>
      <c r="AB838" t="s">
        <v>50</v>
      </c>
      <c r="AC838" s="2">
        <v>152337.07999999999</v>
      </c>
      <c r="AD838" t="s">
        <v>4050</v>
      </c>
      <c r="AE838" t="s">
        <v>115</v>
      </c>
    </row>
    <row r="839" spans="1:31" x14ac:dyDescent="0.25">
      <c r="A839" t="s">
        <v>4051</v>
      </c>
      <c r="B839" t="s">
        <v>4052</v>
      </c>
      <c r="C839" t="s">
        <v>4052</v>
      </c>
      <c r="D839" t="s">
        <v>773</v>
      </c>
      <c r="E839" t="s">
        <v>224</v>
      </c>
      <c r="F839" t="s">
        <v>4053</v>
      </c>
      <c r="G839" t="s">
        <v>1289</v>
      </c>
      <c r="H839" t="s">
        <v>4054</v>
      </c>
      <c r="J839" s="2">
        <v>436340</v>
      </c>
      <c r="K839" s="2">
        <v>2000</v>
      </c>
      <c r="L839" s="2">
        <v>30</v>
      </c>
      <c r="M839" s="2">
        <v>0</v>
      </c>
      <c r="N839" t="s">
        <v>4055</v>
      </c>
      <c r="O839" t="s">
        <v>4056</v>
      </c>
      <c r="P839" t="s">
        <v>205</v>
      </c>
      <c r="Q839" t="s">
        <v>206</v>
      </c>
      <c r="S839" t="s">
        <v>4057</v>
      </c>
      <c r="U839" t="s">
        <v>45</v>
      </c>
      <c r="V839" t="s">
        <v>46</v>
      </c>
      <c r="W839" t="s">
        <v>4055</v>
      </c>
      <c r="X839" t="s">
        <v>4056</v>
      </c>
      <c r="Y839" t="s">
        <v>161</v>
      </c>
      <c r="Z839" t="s">
        <v>162</v>
      </c>
      <c r="AA839" t="s">
        <v>49</v>
      </c>
      <c r="AB839" t="s">
        <v>50</v>
      </c>
      <c r="AC839" s="2">
        <v>436340</v>
      </c>
      <c r="AD839" t="s">
        <v>64</v>
      </c>
    </row>
    <row r="840" spans="1:31" hidden="1" x14ac:dyDescent="0.25">
      <c r="I840" t="s">
        <v>4058</v>
      </c>
      <c r="J840" s="2">
        <v>1000</v>
      </c>
      <c r="K840" s="2">
        <v>0</v>
      </c>
      <c r="L840" s="2">
        <v>1</v>
      </c>
      <c r="M840" s="2">
        <v>0</v>
      </c>
      <c r="S840" t="s">
        <v>4059</v>
      </c>
      <c r="U840" t="s">
        <v>45</v>
      </c>
      <c r="V840" t="s">
        <v>46</v>
      </c>
      <c r="W840" t="s">
        <v>267</v>
      </c>
      <c r="X840" t="s">
        <v>268</v>
      </c>
      <c r="Y840" t="s">
        <v>106</v>
      </c>
      <c r="Z840" t="s">
        <v>107</v>
      </c>
      <c r="AA840" t="s">
        <v>49</v>
      </c>
      <c r="AC840" s="2"/>
    </row>
    <row r="841" spans="1:31" hidden="1" x14ac:dyDescent="0.25">
      <c r="I841" t="s">
        <v>4060</v>
      </c>
      <c r="J841" s="2">
        <v>218170</v>
      </c>
      <c r="K841" s="2">
        <v>1000</v>
      </c>
      <c r="L841" s="2">
        <v>21</v>
      </c>
      <c r="M841" s="2">
        <v>0</v>
      </c>
      <c r="S841" t="s">
        <v>4061</v>
      </c>
      <c r="U841" t="s">
        <v>45</v>
      </c>
      <c r="V841" t="s">
        <v>46</v>
      </c>
      <c r="W841" t="s">
        <v>445</v>
      </c>
      <c r="X841" t="s">
        <v>446</v>
      </c>
      <c r="Y841" t="s">
        <v>72</v>
      </c>
      <c r="Z841" t="s">
        <v>68</v>
      </c>
      <c r="AA841" t="s">
        <v>49</v>
      </c>
      <c r="AC841" s="2"/>
    </row>
    <row r="842" spans="1:31" hidden="1" x14ac:dyDescent="0.25">
      <c r="I842" t="s">
        <v>4062</v>
      </c>
      <c r="J842" s="2">
        <v>1000</v>
      </c>
      <c r="K842" s="2">
        <v>0</v>
      </c>
      <c r="L842" s="2">
        <v>1</v>
      </c>
      <c r="M842" s="2">
        <v>0</v>
      </c>
      <c r="S842" t="s">
        <v>4063</v>
      </c>
      <c r="U842" t="s">
        <v>45</v>
      </c>
      <c r="V842" t="s">
        <v>46</v>
      </c>
      <c r="W842" t="s">
        <v>183</v>
      </c>
      <c r="X842" t="s">
        <v>184</v>
      </c>
      <c r="Y842" t="s">
        <v>161</v>
      </c>
      <c r="Z842" t="s">
        <v>162</v>
      </c>
      <c r="AA842" t="s">
        <v>49</v>
      </c>
      <c r="AC842" s="2"/>
    </row>
    <row r="843" spans="1:31" hidden="1" x14ac:dyDescent="0.25">
      <c r="I843" t="s">
        <v>4064</v>
      </c>
      <c r="J843" s="2">
        <v>12950</v>
      </c>
      <c r="K843" s="2">
        <v>0</v>
      </c>
      <c r="L843" s="2">
        <v>15</v>
      </c>
      <c r="M843" s="2">
        <v>0</v>
      </c>
      <c r="S843" t="s">
        <v>4065</v>
      </c>
      <c r="U843" t="s">
        <v>45</v>
      </c>
      <c r="V843" t="s">
        <v>46</v>
      </c>
      <c r="W843" t="s">
        <v>118</v>
      </c>
      <c r="X843" t="s">
        <v>119</v>
      </c>
      <c r="Y843" t="s">
        <v>121</v>
      </c>
      <c r="Z843" t="s">
        <v>94</v>
      </c>
      <c r="AA843" t="s">
        <v>49</v>
      </c>
      <c r="AC843" s="2"/>
    </row>
    <row r="844" spans="1:31" hidden="1" x14ac:dyDescent="0.25">
      <c r="I844" t="s">
        <v>4066</v>
      </c>
      <c r="J844" s="2">
        <v>65451</v>
      </c>
      <c r="K844" s="2">
        <v>300</v>
      </c>
      <c r="L844" s="2">
        <v>15</v>
      </c>
      <c r="M844" s="2">
        <v>0</v>
      </c>
      <c r="S844" t="s">
        <v>4067</v>
      </c>
      <c r="U844" t="s">
        <v>45</v>
      </c>
      <c r="V844" t="s">
        <v>46</v>
      </c>
      <c r="W844" t="s">
        <v>1725</v>
      </c>
      <c r="X844" t="s">
        <v>1723</v>
      </c>
      <c r="Y844" t="s">
        <v>121</v>
      </c>
      <c r="Z844" t="s">
        <v>94</v>
      </c>
      <c r="AA844" t="s">
        <v>49</v>
      </c>
      <c r="AC844" s="2"/>
    </row>
    <row r="845" spans="1:31" x14ac:dyDescent="0.25">
      <c r="A845" t="s">
        <v>4068</v>
      </c>
      <c r="B845" t="s">
        <v>4069</v>
      </c>
      <c r="C845" t="s">
        <v>4069</v>
      </c>
      <c r="D845" t="s">
        <v>485</v>
      </c>
      <c r="E845" t="s">
        <v>224</v>
      </c>
      <c r="F845" t="s">
        <v>4070</v>
      </c>
      <c r="G845" t="s">
        <v>2485</v>
      </c>
      <c r="H845" t="s">
        <v>662</v>
      </c>
      <c r="I845" t="s">
        <v>4071</v>
      </c>
      <c r="J845" s="2">
        <v>109085</v>
      </c>
      <c r="K845" s="2">
        <v>500</v>
      </c>
      <c r="L845" s="2">
        <v>1</v>
      </c>
      <c r="M845" s="2">
        <v>0</v>
      </c>
      <c r="N845" t="s">
        <v>664</v>
      </c>
      <c r="O845" t="s">
        <v>665</v>
      </c>
      <c r="P845" t="s">
        <v>103</v>
      </c>
      <c r="Q845" t="s">
        <v>104</v>
      </c>
      <c r="S845" t="s">
        <v>4072</v>
      </c>
      <c r="U845" t="s">
        <v>45</v>
      </c>
      <c r="V845" t="s">
        <v>46</v>
      </c>
      <c r="W845" t="s">
        <v>664</v>
      </c>
      <c r="X845" t="s">
        <v>665</v>
      </c>
      <c r="Y845" t="s">
        <v>106</v>
      </c>
      <c r="Z845" t="s">
        <v>107</v>
      </c>
      <c r="AA845" t="s">
        <v>49</v>
      </c>
      <c r="AB845" t="s">
        <v>50</v>
      </c>
      <c r="AC845" s="2">
        <v>109085</v>
      </c>
      <c r="AD845" t="s">
        <v>64</v>
      </c>
    </row>
    <row r="846" spans="1:31" x14ac:dyDescent="0.25">
      <c r="A846" t="s">
        <v>4073</v>
      </c>
      <c r="B846" t="s">
        <v>4074</v>
      </c>
      <c r="C846" t="s">
        <v>4074</v>
      </c>
      <c r="D846" t="s">
        <v>2389</v>
      </c>
      <c r="E846" t="s">
        <v>134</v>
      </c>
      <c r="F846" t="s">
        <v>4075</v>
      </c>
      <c r="H846" t="s">
        <v>154</v>
      </c>
      <c r="I846" t="s">
        <v>4076</v>
      </c>
      <c r="J846" s="2">
        <v>109085</v>
      </c>
      <c r="K846" s="2">
        <v>500</v>
      </c>
      <c r="L846" s="2">
        <v>15</v>
      </c>
      <c r="M846" s="2">
        <v>0</v>
      </c>
      <c r="N846" t="s">
        <v>156</v>
      </c>
      <c r="O846" t="s">
        <v>157</v>
      </c>
      <c r="P846" t="s">
        <v>158</v>
      </c>
      <c r="Q846" t="s">
        <v>159</v>
      </c>
      <c r="S846" t="s">
        <v>4077</v>
      </c>
      <c r="U846" t="s">
        <v>45</v>
      </c>
      <c r="V846" t="s">
        <v>46</v>
      </c>
      <c r="W846" t="s">
        <v>156</v>
      </c>
      <c r="X846" t="s">
        <v>157</v>
      </c>
      <c r="Y846" t="s">
        <v>161</v>
      </c>
      <c r="Z846" t="s">
        <v>162</v>
      </c>
      <c r="AA846" t="s">
        <v>49</v>
      </c>
      <c r="AB846" t="s">
        <v>50</v>
      </c>
      <c r="AC846" s="2">
        <v>109085</v>
      </c>
      <c r="AD846" t="s">
        <v>64</v>
      </c>
    </row>
    <row r="847" spans="1:31" x14ac:dyDescent="0.25">
      <c r="A847" t="s">
        <v>4078</v>
      </c>
      <c r="B847" t="s">
        <v>4079</v>
      </c>
      <c r="C847" t="s">
        <v>4079</v>
      </c>
      <c r="D847" t="s">
        <v>153</v>
      </c>
      <c r="E847" t="s">
        <v>272</v>
      </c>
      <c r="F847" t="s">
        <v>4080</v>
      </c>
      <c r="G847" t="s">
        <v>153</v>
      </c>
      <c r="H847" t="s">
        <v>4081</v>
      </c>
      <c r="I847" t="s">
        <v>4082</v>
      </c>
      <c r="J847" s="2">
        <v>65451</v>
      </c>
      <c r="K847" s="2">
        <v>300</v>
      </c>
      <c r="L847" s="2">
        <v>7</v>
      </c>
      <c r="M847" s="2">
        <v>0</v>
      </c>
      <c r="N847" t="s">
        <v>4083</v>
      </c>
      <c r="O847" t="s">
        <v>4084</v>
      </c>
      <c r="P847" t="s">
        <v>103</v>
      </c>
      <c r="Q847" t="s">
        <v>104</v>
      </c>
      <c r="S847" t="s">
        <v>4085</v>
      </c>
      <c r="U847" t="s">
        <v>45</v>
      </c>
      <c r="V847" t="s">
        <v>46</v>
      </c>
      <c r="W847" t="s">
        <v>4083</v>
      </c>
      <c r="X847" t="s">
        <v>4084</v>
      </c>
      <c r="Y847" t="s">
        <v>106</v>
      </c>
      <c r="Z847" t="s">
        <v>107</v>
      </c>
      <c r="AA847" t="s">
        <v>49</v>
      </c>
      <c r="AB847" t="s">
        <v>50</v>
      </c>
      <c r="AC847" s="2">
        <v>22995.95</v>
      </c>
      <c r="AD847" t="s">
        <v>4086</v>
      </c>
      <c r="AE847" t="s">
        <v>52</v>
      </c>
    </row>
    <row r="848" spans="1:31" hidden="1" x14ac:dyDescent="0.25">
      <c r="A848" s="10" t="s">
        <v>4087</v>
      </c>
      <c r="B848" s="10" t="s">
        <v>4088</v>
      </c>
      <c r="C848" t="s">
        <v>1202</v>
      </c>
      <c r="D848" t="s">
        <v>55</v>
      </c>
      <c r="E848" t="s">
        <v>56</v>
      </c>
      <c r="F848" t="s">
        <v>4089</v>
      </c>
      <c r="H848" t="s">
        <v>38</v>
      </c>
      <c r="I848" t="s">
        <v>4090</v>
      </c>
      <c r="J848" s="2">
        <v>1000</v>
      </c>
      <c r="K848" s="2">
        <v>4.33</v>
      </c>
      <c r="L848" s="2">
        <v>10</v>
      </c>
      <c r="M848" s="2">
        <v>0</v>
      </c>
      <c r="N848" t="s">
        <v>40</v>
      </c>
      <c r="O848" t="s">
        <v>41</v>
      </c>
      <c r="P848" t="s">
        <v>61</v>
      </c>
      <c r="Q848" t="s">
        <v>62</v>
      </c>
      <c r="S848" t="s">
        <v>4091</v>
      </c>
      <c r="U848" t="s">
        <v>45</v>
      </c>
      <c r="V848" t="s">
        <v>46</v>
      </c>
      <c r="W848" t="s">
        <v>40</v>
      </c>
      <c r="X848" t="s">
        <v>41</v>
      </c>
      <c r="Y848" t="s">
        <v>47</v>
      </c>
      <c r="Z848" t="s">
        <v>48</v>
      </c>
      <c r="AA848" t="s">
        <v>49</v>
      </c>
      <c r="AB848" t="s">
        <v>142</v>
      </c>
      <c r="AC848" s="2">
        <v>1000</v>
      </c>
      <c r="AD848" t="s">
        <v>64</v>
      </c>
    </row>
    <row r="849" spans="1:31" hidden="1" x14ac:dyDescent="0.25">
      <c r="J849" s="2">
        <v>1000</v>
      </c>
      <c r="K849" s="2">
        <v>0</v>
      </c>
      <c r="L849" s="2">
        <v>1</v>
      </c>
      <c r="M849" s="2">
        <v>0</v>
      </c>
      <c r="S849" t="s">
        <v>4092</v>
      </c>
      <c r="U849" t="s">
        <v>45</v>
      </c>
      <c r="V849" t="s">
        <v>46</v>
      </c>
      <c r="W849" t="s">
        <v>40</v>
      </c>
      <c r="X849" t="s">
        <v>41</v>
      </c>
      <c r="Y849" t="s">
        <v>47</v>
      </c>
      <c r="Z849" t="s">
        <v>48</v>
      </c>
      <c r="AA849" t="s">
        <v>49</v>
      </c>
      <c r="AC849" s="2"/>
    </row>
    <row r="850" spans="1:31" hidden="1" x14ac:dyDescent="0.25">
      <c r="I850" t="s">
        <v>4093</v>
      </c>
      <c r="J850" s="2">
        <v>218</v>
      </c>
      <c r="K850" s="2">
        <v>1</v>
      </c>
      <c r="L850" s="2">
        <v>1</v>
      </c>
      <c r="M850" s="2">
        <v>0</v>
      </c>
      <c r="S850" t="s">
        <v>4094</v>
      </c>
      <c r="U850" t="s">
        <v>45</v>
      </c>
      <c r="V850" t="s">
        <v>46</v>
      </c>
      <c r="W850" t="s">
        <v>254</v>
      </c>
      <c r="X850" t="s">
        <v>255</v>
      </c>
      <c r="Y850" t="s">
        <v>137</v>
      </c>
      <c r="Z850" t="s">
        <v>717</v>
      </c>
      <c r="AA850" t="s">
        <v>49</v>
      </c>
      <c r="AC850" s="2"/>
    </row>
    <row r="851" spans="1:31" x14ac:dyDescent="0.25">
      <c r="A851" t="s">
        <v>4095</v>
      </c>
      <c r="B851" t="s">
        <v>4096</v>
      </c>
      <c r="C851" t="s">
        <v>4096</v>
      </c>
      <c r="D851" t="s">
        <v>35</v>
      </c>
      <c r="E851" t="s">
        <v>36</v>
      </c>
      <c r="F851" t="s">
        <v>4097</v>
      </c>
      <c r="G851" t="s">
        <v>569</v>
      </c>
      <c r="H851" t="s">
        <v>90</v>
      </c>
      <c r="I851" t="s">
        <v>4098</v>
      </c>
      <c r="J851" s="2">
        <v>1589491</v>
      </c>
      <c r="K851" s="2">
        <v>6497</v>
      </c>
      <c r="L851" s="2">
        <v>30</v>
      </c>
      <c r="M851" s="2">
        <v>0</v>
      </c>
      <c r="N851" t="s">
        <v>89</v>
      </c>
      <c r="O851" t="s">
        <v>90</v>
      </c>
      <c r="P851" t="s">
        <v>91</v>
      </c>
      <c r="Q851" t="s">
        <v>92</v>
      </c>
      <c r="S851" t="s">
        <v>4099</v>
      </c>
      <c r="U851" t="s">
        <v>45</v>
      </c>
      <c r="V851" t="s">
        <v>46</v>
      </c>
      <c r="W851" t="s">
        <v>89</v>
      </c>
      <c r="X851" t="s">
        <v>90</v>
      </c>
      <c r="Y851" t="s">
        <v>92</v>
      </c>
      <c r="Z851" t="s">
        <v>94</v>
      </c>
      <c r="AA851" t="s">
        <v>49</v>
      </c>
      <c r="AB851" t="s">
        <v>50</v>
      </c>
      <c r="AC851" s="2">
        <v>521574.56</v>
      </c>
      <c r="AD851" t="s">
        <v>4100</v>
      </c>
      <c r="AE851" t="s">
        <v>115</v>
      </c>
    </row>
    <row r="852" spans="1:31" hidden="1" x14ac:dyDescent="0.25">
      <c r="I852" t="s">
        <v>4101</v>
      </c>
      <c r="J852" s="2">
        <v>218</v>
      </c>
      <c r="K852" s="2">
        <v>1</v>
      </c>
      <c r="L852" s="2">
        <v>1</v>
      </c>
      <c r="M852" s="2">
        <v>0</v>
      </c>
      <c r="S852" t="s">
        <v>4102</v>
      </c>
      <c r="U852" t="s">
        <v>45</v>
      </c>
      <c r="V852" t="s">
        <v>46</v>
      </c>
      <c r="W852" t="s">
        <v>254</v>
      </c>
      <c r="X852" t="s">
        <v>255</v>
      </c>
      <c r="Y852" t="s">
        <v>137</v>
      </c>
      <c r="Z852" t="s">
        <v>717</v>
      </c>
      <c r="AA852" t="s">
        <v>49</v>
      </c>
      <c r="AC852" s="2"/>
    </row>
    <row r="853" spans="1:31" hidden="1" x14ac:dyDescent="0.25">
      <c r="A853" s="10" t="s">
        <v>4103</v>
      </c>
      <c r="B853" s="10" t="s">
        <v>4104</v>
      </c>
      <c r="C853" t="s">
        <v>4104</v>
      </c>
      <c r="D853" t="s">
        <v>55</v>
      </c>
      <c r="E853" t="s">
        <v>56</v>
      </c>
      <c r="F853" t="s">
        <v>4105</v>
      </c>
      <c r="H853" t="s">
        <v>38</v>
      </c>
      <c r="J853" s="2">
        <v>69315</v>
      </c>
      <c r="K853" s="2">
        <v>300</v>
      </c>
      <c r="L853" s="2">
        <v>15</v>
      </c>
      <c r="M853" s="2">
        <v>0</v>
      </c>
      <c r="N853" t="s">
        <v>40</v>
      </c>
      <c r="O853" t="s">
        <v>41</v>
      </c>
      <c r="P853" t="s">
        <v>61</v>
      </c>
      <c r="Q853" t="s">
        <v>62</v>
      </c>
      <c r="S853" t="s">
        <v>4106</v>
      </c>
      <c r="U853" t="s">
        <v>45</v>
      </c>
      <c r="V853" t="s">
        <v>46</v>
      </c>
      <c r="W853" t="s">
        <v>40</v>
      </c>
      <c r="X853" t="s">
        <v>41</v>
      </c>
      <c r="Y853" t="s">
        <v>47</v>
      </c>
      <c r="Z853" t="s">
        <v>48</v>
      </c>
      <c r="AA853" t="s">
        <v>49</v>
      </c>
      <c r="AB853" t="s">
        <v>142</v>
      </c>
      <c r="AC853" s="2">
        <v>69315</v>
      </c>
      <c r="AD853" t="s">
        <v>64</v>
      </c>
    </row>
    <row r="854" spans="1:31" hidden="1" x14ac:dyDescent="0.25">
      <c r="J854" s="2">
        <v>1000</v>
      </c>
      <c r="K854" s="2">
        <v>0</v>
      </c>
      <c r="L854" s="2">
        <v>1</v>
      </c>
      <c r="M854" s="2">
        <v>0</v>
      </c>
      <c r="U854" t="s">
        <v>45</v>
      </c>
      <c r="V854" t="s">
        <v>46</v>
      </c>
      <c r="W854" t="s">
        <v>40</v>
      </c>
      <c r="X854" t="s">
        <v>41</v>
      </c>
      <c r="Y854" t="s">
        <v>47</v>
      </c>
      <c r="Z854" t="s">
        <v>48</v>
      </c>
      <c r="AA854" t="s">
        <v>49</v>
      </c>
      <c r="AC854" s="2"/>
    </row>
    <row r="855" spans="1:31" x14ac:dyDescent="0.25">
      <c r="A855" t="s">
        <v>4107</v>
      </c>
      <c r="B855" t="s">
        <v>4108</v>
      </c>
      <c r="C855" t="s">
        <v>4108</v>
      </c>
      <c r="D855" t="s">
        <v>297</v>
      </c>
      <c r="E855" t="s">
        <v>167</v>
      </c>
      <c r="F855" t="s">
        <v>4109</v>
      </c>
      <c r="G855" t="s">
        <v>297</v>
      </c>
      <c r="H855" t="s">
        <v>87</v>
      </c>
      <c r="I855" t="s">
        <v>4110</v>
      </c>
      <c r="J855" s="2">
        <v>109085</v>
      </c>
      <c r="K855" s="2">
        <v>500</v>
      </c>
      <c r="L855" s="2">
        <v>15</v>
      </c>
      <c r="M855" s="2">
        <v>0</v>
      </c>
      <c r="N855" t="s">
        <v>89</v>
      </c>
      <c r="O855" t="s">
        <v>90</v>
      </c>
      <c r="P855" t="s">
        <v>91</v>
      </c>
      <c r="Q855" t="s">
        <v>92</v>
      </c>
      <c r="S855" t="s">
        <v>4111</v>
      </c>
      <c r="U855" t="s">
        <v>45</v>
      </c>
      <c r="V855" t="s">
        <v>46</v>
      </c>
      <c r="W855" t="s">
        <v>89</v>
      </c>
      <c r="X855" t="s">
        <v>90</v>
      </c>
      <c r="Y855" t="s">
        <v>92</v>
      </c>
      <c r="Z855" t="s">
        <v>94</v>
      </c>
      <c r="AA855" t="s">
        <v>49</v>
      </c>
      <c r="AB855" t="s">
        <v>50</v>
      </c>
      <c r="AC855" s="2">
        <v>-1035.02</v>
      </c>
      <c r="AD855" t="s">
        <v>4112</v>
      </c>
      <c r="AE855" t="s">
        <v>115</v>
      </c>
    </row>
    <row r="856" spans="1:31" hidden="1" x14ac:dyDescent="0.25">
      <c r="I856" t="s">
        <v>4113</v>
      </c>
      <c r="J856" s="2">
        <v>21817</v>
      </c>
      <c r="K856" s="2">
        <v>100</v>
      </c>
      <c r="L856" s="2">
        <v>1</v>
      </c>
      <c r="M856" s="2">
        <v>0</v>
      </c>
      <c r="S856" t="s">
        <v>4114</v>
      </c>
      <c r="U856" t="s">
        <v>45</v>
      </c>
      <c r="V856" t="s">
        <v>46</v>
      </c>
      <c r="W856" t="s">
        <v>822</v>
      </c>
      <c r="X856" t="s">
        <v>820</v>
      </c>
      <c r="Y856" t="s">
        <v>92</v>
      </c>
      <c r="Z856" t="s">
        <v>94</v>
      </c>
      <c r="AA856" t="s">
        <v>49</v>
      </c>
      <c r="AC856" s="2"/>
    </row>
    <row r="857" spans="1:31" hidden="1" x14ac:dyDescent="0.25">
      <c r="A857" s="10" t="s">
        <v>4115</v>
      </c>
      <c r="B857" s="10" t="s">
        <v>4116</v>
      </c>
      <c r="C857" t="s">
        <v>4116</v>
      </c>
      <c r="D857" t="s">
        <v>55</v>
      </c>
      <c r="E857" t="s">
        <v>56</v>
      </c>
      <c r="F857" t="s">
        <v>4117</v>
      </c>
      <c r="H857" t="s">
        <v>87</v>
      </c>
      <c r="I857" t="s">
        <v>4118</v>
      </c>
      <c r="J857" s="2">
        <v>218170</v>
      </c>
      <c r="K857" s="2">
        <v>1000</v>
      </c>
      <c r="L857" s="2">
        <v>1</v>
      </c>
      <c r="M857" s="2">
        <v>0</v>
      </c>
      <c r="N857" t="s">
        <v>89</v>
      </c>
      <c r="O857" t="s">
        <v>90</v>
      </c>
      <c r="P857" t="s">
        <v>91</v>
      </c>
      <c r="Q857" t="s">
        <v>92</v>
      </c>
      <c r="S857" t="s">
        <v>4119</v>
      </c>
      <c r="U857" t="s">
        <v>45</v>
      </c>
      <c r="V857" t="s">
        <v>46</v>
      </c>
      <c r="W857" t="s">
        <v>89</v>
      </c>
      <c r="X857" t="s">
        <v>90</v>
      </c>
      <c r="Y857" t="s">
        <v>92</v>
      </c>
      <c r="Z857" t="s">
        <v>94</v>
      </c>
      <c r="AA857" t="s">
        <v>49</v>
      </c>
      <c r="AB857" t="s">
        <v>142</v>
      </c>
      <c r="AC857" s="2">
        <v>218170</v>
      </c>
      <c r="AD857" t="s">
        <v>64</v>
      </c>
    </row>
    <row r="858" spans="1:31" hidden="1" x14ac:dyDescent="0.25">
      <c r="I858" t="s">
        <v>4120</v>
      </c>
      <c r="J858" s="2">
        <v>1000</v>
      </c>
      <c r="K858" s="2">
        <v>0</v>
      </c>
      <c r="L858" s="2">
        <v>1</v>
      </c>
      <c r="M858" s="2">
        <v>0</v>
      </c>
      <c r="S858" t="s">
        <v>4121</v>
      </c>
      <c r="U858" t="s">
        <v>45</v>
      </c>
      <c r="V858" t="s">
        <v>46</v>
      </c>
      <c r="W858" t="s">
        <v>2806</v>
      </c>
      <c r="X858" t="s">
        <v>2805</v>
      </c>
      <c r="Y858" t="s">
        <v>47</v>
      </c>
      <c r="Z858" t="s">
        <v>48</v>
      </c>
      <c r="AA858" t="s">
        <v>49</v>
      </c>
      <c r="AC858" s="2"/>
    </row>
    <row r="859" spans="1:31" x14ac:dyDescent="0.25">
      <c r="A859" t="s">
        <v>4122</v>
      </c>
      <c r="B859" t="s">
        <v>4123</v>
      </c>
      <c r="C859" t="s">
        <v>4123</v>
      </c>
      <c r="D859" t="s">
        <v>847</v>
      </c>
      <c r="E859" t="s">
        <v>848</v>
      </c>
      <c r="F859" t="s">
        <v>4124</v>
      </c>
      <c r="J859" s="2">
        <v>54543</v>
      </c>
      <c r="K859" s="2">
        <v>250</v>
      </c>
      <c r="L859" s="2">
        <v>15</v>
      </c>
      <c r="M859" s="2">
        <v>0</v>
      </c>
      <c r="N859" t="s">
        <v>40</v>
      </c>
      <c r="O859" t="s">
        <v>41</v>
      </c>
      <c r="P859" t="s">
        <v>42</v>
      </c>
      <c r="Q859" t="s">
        <v>43</v>
      </c>
      <c r="U859" t="s">
        <v>45</v>
      </c>
      <c r="V859" t="s">
        <v>46</v>
      </c>
      <c r="W859" t="s">
        <v>40</v>
      </c>
      <c r="X859" t="s">
        <v>41</v>
      </c>
      <c r="Y859" t="s">
        <v>47</v>
      </c>
      <c r="Z859" t="s">
        <v>48</v>
      </c>
      <c r="AA859" t="s">
        <v>141</v>
      </c>
      <c r="AB859" t="s">
        <v>50</v>
      </c>
      <c r="AC859" s="2">
        <v>54543</v>
      </c>
      <c r="AD859" t="s">
        <v>64</v>
      </c>
    </row>
    <row r="860" spans="1:31" x14ac:dyDescent="0.25">
      <c r="A860" t="s">
        <v>4125</v>
      </c>
      <c r="B860" t="s">
        <v>4126</v>
      </c>
      <c r="C860" t="s">
        <v>4126</v>
      </c>
      <c r="D860" t="s">
        <v>153</v>
      </c>
      <c r="E860" t="s">
        <v>272</v>
      </c>
      <c r="F860" t="s">
        <v>4127</v>
      </c>
      <c r="H860" t="s">
        <v>38</v>
      </c>
      <c r="I860" t="s">
        <v>4128</v>
      </c>
      <c r="J860" s="2">
        <v>21817</v>
      </c>
      <c r="K860" s="2">
        <v>100</v>
      </c>
      <c r="L860" s="2">
        <v>15</v>
      </c>
      <c r="M860" s="2">
        <v>0</v>
      </c>
      <c r="N860" t="s">
        <v>40</v>
      </c>
      <c r="O860" t="s">
        <v>41</v>
      </c>
      <c r="P860" t="s">
        <v>42</v>
      </c>
      <c r="Q860" t="s">
        <v>43</v>
      </c>
      <c r="S860" t="s">
        <v>4129</v>
      </c>
      <c r="U860" t="s">
        <v>45</v>
      </c>
      <c r="V860" t="s">
        <v>46</v>
      </c>
      <c r="W860" t="s">
        <v>40</v>
      </c>
      <c r="X860" t="s">
        <v>41</v>
      </c>
      <c r="Y860" t="s">
        <v>47</v>
      </c>
      <c r="Z860" t="s">
        <v>48</v>
      </c>
      <c r="AA860" t="s">
        <v>141</v>
      </c>
      <c r="AB860" t="s">
        <v>50</v>
      </c>
      <c r="AC860" s="2">
        <v>21817</v>
      </c>
      <c r="AD860" t="s">
        <v>64</v>
      </c>
    </row>
    <row r="861" spans="1:31" hidden="1" x14ac:dyDescent="0.25">
      <c r="I861" t="s">
        <v>831</v>
      </c>
      <c r="J861" s="2">
        <v>1832</v>
      </c>
      <c r="K861" s="2">
        <v>0</v>
      </c>
      <c r="L861" s="2">
        <v>21</v>
      </c>
      <c r="M861" s="2">
        <v>0</v>
      </c>
      <c r="S861" t="s">
        <v>4131</v>
      </c>
      <c r="U861" t="s">
        <v>45</v>
      </c>
      <c r="V861" t="s">
        <v>46</v>
      </c>
      <c r="W861" t="s">
        <v>254</v>
      </c>
      <c r="X861" t="s">
        <v>255</v>
      </c>
      <c r="Y861" t="s">
        <v>137</v>
      </c>
      <c r="Z861" t="s">
        <v>717</v>
      </c>
      <c r="AA861" t="s">
        <v>49</v>
      </c>
      <c r="AC861" s="2"/>
    </row>
    <row r="862" spans="1:31" x14ac:dyDescent="0.25">
      <c r="A862" t="s">
        <v>4132</v>
      </c>
      <c r="B862" t="s">
        <v>4133</v>
      </c>
      <c r="C862" t="s">
        <v>4133</v>
      </c>
      <c r="D862" t="s">
        <v>569</v>
      </c>
      <c r="E862" t="s">
        <v>570</v>
      </c>
      <c r="F862" t="s">
        <v>4134</v>
      </c>
      <c r="G862" t="s">
        <v>569</v>
      </c>
      <c r="H862" t="s">
        <v>4135</v>
      </c>
      <c r="I862" t="s">
        <v>4136</v>
      </c>
      <c r="J862" s="2">
        <v>436340</v>
      </c>
      <c r="K862" s="2">
        <v>2000</v>
      </c>
      <c r="L862" s="2">
        <v>21</v>
      </c>
      <c r="M862" s="2">
        <v>0</v>
      </c>
      <c r="N862" t="s">
        <v>596</v>
      </c>
      <c r="O862" t="s">
        <v>597</v>
      </c>
      <c r="P862" t="s">
        <v>91</v>
      </c>
      <c r="Q862" t="s">
        <v>92</v>
      </c>
      <c r="S862" t="s">
        <v>4137</v>
      </c>
      <c r="U862" t="s">
        <v>45</v>
      </c>
      <c r="V862" t="s">
        <v>46</v>
      </c>
      <c r="W862" t="s">
        <v>596</v>
      </c>
      <c r="X862" t="s">
        <v>597</v>
      </c>
      <c r="Y862" t="s">
        <v>92</v>
      </c>
      <c r="Z862" t="s">
        <v>94</v>
      </c>
      <c r="AA862" t="s">
        <v>49</v>
      </c>
      <c r="AB862" t="s">
        <v>50</v>
      </c>
      <c r="AC862" s="2">
        <v>251492.89</v>
      </c>
      <c r="AD862" t="s">
        <v>4138</v>
      </c>
      <c r="AE862" t="s">
        <v>52</v>
      </c>
    </row>
    <row r="863" spans="1:31" hidden="1" x14ac:dyDescent="0.25">
      <c r="J863" s="2">
        <v>1000</v>
      </c>
      <c r="K863" s="2">
        <v>0</v>
      </c>
      <c r="L863" s="2">
        <v>1</v>
      </c>
      <c r="M863" s="2">
        <v>0</v>
      </c>
      <c r="S863" t="s">
        <v>4139</v>
      </c>
      <c r="U863" t="s">
        <v>45</v>
      </c>
      <c r="V863" t="s">
        <v>46</v>
      </c>
      <c r="W863" t="s">
        <v>267</v>
      </c>
      <c r="X863" t="s">
        <v>268</v>
      </c>
      <c r="Y863" t="s">
        <v>106</v>
      </c>
      <c r="Z863" t="s">
        <v>107</v>
      </c>
      <c r="AA863" t="s">
        <v>49</v>
      </c>
      <c r="AC863" s="2"/>
    </row>
    <row r="864" spans="1:31" hidden="1" x14ac:dyDescent="0.25">
      <c r="I864" t="s">
        <v>4140</v>
      </c>
      <c r="J864" s="2">
        <v>14678</v>
      </c>
      <c r="K864" s="2">
        <v>0</v>
      </c>
      <c r="L864" s="2">
        <v>21</v>
      </c>
      <c r="M864" s="2">
        <v>0</v>
      </c>
      <c r="S864" t="s">
        <v>4141</v>
      </c>
      <c r="U864" t="s">
        <v>45</v>
      </c>
      <c r="V864" t="s">
        <v>46</v>
      </c>
      <c r="W864" t="s">
        <v>203</v>
      </c>
      <c r="X864" t="s">
        <v>204</v>
      </c>
      <c r="Y864" t="s">
        <v>161</v>
      </c>
      <c r="Z864" t="s">
        <v>162</v>
      </c>
      <c r="AA864" t="s">
        <v>49</v>
      </c>
      <c r="AC864" s="2"/>
    </row>
    <row r="865" spans="1:31" hidden="1" x14ac:dyDescent="0.25">
      <c r="I865" t="s">
        <v>4143</v>
      </c>
      <c r="J865" s="2">
        <v>1000</v>
      </c>
      <c r="K865" s="2">
        <v>0</v>
      </c>
      <c r="L865" s="2">
        <v>1</v>
      </c>
      <c r="M865" s="2">
        <v>0</v>
      </c>
      <c r="U865" t="s">
        <v>45</v>
      </c>
      <c r="V865" t="s">
        <v>46</v>
      </c>
      <c r="W865" t="s">
        <v>40</v>
      </c>
      <c r="X865" t="s">
        <v>41</v>
      </c>
      <c r="Y865" t="s">
        <v>47</v>
      </c>
      <c r="Z865" t="s">
        <v>48</v>
      </c>
      <c r="AA865" t="s">
        <v>49</v>
      </c>
      <c r="AC865" s="2"/>
    </row>
    <row r="866" spans="1:31" x14ac:dyDescent="0.25">
      <c r="A866" t="s">
        <v>4144</v>
      </c>
      <c r="B866" t="s">
        <v>4145</v>
      </c>
      <c r="C866" t="s">
        <v>4145</v>
      </c>
      <c r="D866" t="s">
        <v>35</v>
      </c>
      <c r="E866" t="s">
        <v>36</v>
      </c>
      <c r="F866" t="s">
        <v>4146</v>
      </c>
      <c r="G866" t="s">
        <v>569</v>
      </c>
      <c r="H866" t="s">
        <v>922</v>
      </c>
      <c r="I866" t="s">
        <v>4147</v>
      </c>
      <c r="J866" s="2">
        <v>2727125</v>
      </c>
      <c r="K866" s="2">
        <v>12500</v>
      </c>
      <c r="L866" s="2">
        <v>21</v>
      </c>
      <c r="M866" s="2">
        <v>0</v>
      </c>
      <c r="N866" t="s">
        <v>822</v>
      </c>
      <c r="O866" t="s">
        <v>820</v>
      </c>
      <c r="P866" t="s">
        <v>91</v>
      </c>
      <c r="Q866" t="s">
        <v>92</v>
      </c>
      <c r="S866" t="s">
        <v>4148</v>
      </c>
      <c r="U866" t="s">
        <v>45</v>
      </c>
      <c r="V866" t="s">
        <v>46</v>
      </c>
      <c r="W866" t="s">
        <v>822</v>
      </c>
      <c r="X866" t="s">
        <v>820</v>
      </c>
      <c r="Y866" t="s">
        <v>92</v>
      </c>
      <c r="Z866" t="s">
        <v>94</v>
      </c>
      <c r="AA866" t="s">
        <v>49</v>
      </c>
      <c r="AB866" t="s">
        <v>50</v>
      </c>
      <c r="AC866" s="2">
        <v>767870.43</v>
      </c>
      <c r="AD866" t="s">
        <v>4149</v>
      </c>
      <c r="AE866" t="s">
        <v>115</v>
      </c>
    </row>
    <row r="867" spans="1:31" hidden="1" x14ac:dyDescent="0.25">
      <c r="A867" t="s">
        <v>4150</v>
      </c>
      <c r="B867" t="s">
        <v>4151</v>
      </c>
      <c r="C867" t="s">
        <v>4151</v>
      </c>
      <c r="D867" t="s">
        <v>55</v>
      </c>
      <c r="E867" t="s">
        <v>56</v>
      </c>
      <c r="F867" t="s">
        <v>1722</v>
      </c>
      <c r="J867" s="2">
        <v>1000</v>
      </c>
      <c r="K867" s="2">
        <v>0</v>
      </c>
      <c r="L867" s="2">
        <v>18</v>
      </c>
      <c r="M867" s="2">
        <v>0</v>
      </c>
      <c r="N867" t="s">
        <v>118</v>
      </c>
      <c r="O867" t="s">
        <v>119</v>
      </c>
      <c r="P867" t="s">
        <v>120</v>
      </c>
      <c r="Q867" t="s">
        <v>121</v>
      </c>
      <c r="U867" t="s">
        <v>45</v>
      </c>
      <c r="V867" t="s">
        <v>46</v>
      </c>
      <c r="W867" t="s">
        <v>118</v>
      </c>
      <c r="X867" t="s">
        <v>119</v>
      </c>
      <c r="Y867" t="s">
        <v>121</v>
      </c>
      <c r="Z867" t="s">
        <v>94</v>
      </c>
      <c r="AA867" t="s">
        <v>49</v>
      </c>
      <c r="AB867" t="s">
        <v>50</v>
      </c>
      <c r="AC867" s="2">
        <v>1000</v>
      </c>
      <c r="AD867" t="s">
        <v>64</v>
      </c>
    </row>
    <row r="868" spans="1:31" x14ac:dyDescent="0.25">
      <c r="A868" t="s">
        <v>4152</v>
      </c>
      <c r="B868" t="s">
        <v>4153</v>
      </c>
      <c r="C868" t="s">
        <v>4154</v>
      </c>
      <c r="D868" t="s">
        <v>297</v>
      </c>
      <c r="E868" t="s">
        <v>167</v>
      </c>
      <c r="F868" t="s">
        <v>1722</v>
      </c>
      <c r="G868" t="s">
        <v>297</v>
      </c>
      <c r="H868" t="s">
        <v>116</v>
      </c>
      <c r="J868" s="2">
        <v>207035</v>
      </c>
      <c r="K868" s="2">
        <v>850</v>
      </c>
      <c r="L868" s="2">
        <v>15</v>
      </c>
      <c r="M868" s="2">
        <v>0</v>
      </c>
      <c r="N868" t="s">
        <v>118</v>
      </c>
      <c r="O868" t="s">
        <v>119</v>
      </c>
      <c r="P868" t="s">
        <v>120</v>
      </c>
      <c r="Q868" t="s">
        <v>121</v>
      </c>
      <c r="S868" t="s">
        <v>1726</v>
      </c>
      <c r="U868" t="s">
        <v>45</v>
      </c>
      <c r="V868" t="s">
        <v>46</v>
      </c>
      <c r="W868" t="s">
        <v>118</v>
      </c>
      <c r="X868" t="s">
        <v>119</v>
      </c>
      <c r="Y868" t="s">
        <v>121</v>
      </c>
      <c r="Z868" t="s">
        <v>94</v>
      </c>
      <c r="AA868" t="s">
        <v>49</v>
      </c>
      <c r="AB868" t="s">
        <v>50</v>
      </c>
      <c r="AC868" s="2">
        <v>90667.14</v>
      </c>
      <c r="AD868" t="s">
        <v>4155</v>
      </c>
      <c r="AE868" t="s">
        <v>52</v>
      </c>
    </row>
    <row r="869" spans="1:31" hidden="1" x14ac:dyDescent="0.25">
      <c r="J869" s="2">
        <v>21817</v>
      </c>
      <c r="K869" s="2">
        <v>100</v>
      </c>
      <c r="L869" s="2">
        <v>1</v>
      </c>
      <c r="M869" s="2">
        <v>0</v>
      </c>
      <c r="U869" t="s">
        <v>45</v>
      </c>
      <c r="V869" t="s">
        <v>46</v>
      </c>
      <c r="W869" t="s">
        <v>40</v>
      </c>
      <c r="X869" t="s">
        <v>41</v>
      </c>
      <c r="Y869" t="s">
        <v>47</v>
      </c>
      <c r="Z869" t="s">
        <v>48</v>
      </c>
      <c r="AA869" t="s">
        <v>141</v>
      </c>
      <c r="AC869" s="2"/>
    </row>
    <row r="870" spans="1:31" hidden="1" x14ac:dyDescent="0.25">
      <c r="I870" t="s">
        <v>4156</v>
      </c>
      <c r="J870" s="2">
        <v>1000</v>
      </c>
      <c r="K870" s="2">
        <v>0</v>
      </c>
      <c r="L870" s="2">
        <v>1</v>
      </c>
      <c r="M870" s="2">
        <v>0</v>
      </c>
      <c r="S870" t="s">
        <v>4157</v>
      </c>
      <c r="U870" t="s">
        <v>45</v>
      </c>
      <c r="V870" t="s">
        <v>46</v>
      </c>
      <c r="W870" t="s">
        <v>276</v>
      </c>
      <c r="X870" t="s">
        <v>277</v>
      </c>
      <c r="Y870" t="s">
        <v>279</v>
      </c>
      <c r="Z870" t="s">
        <v>280</v>
      </c>
      <c r="AA870" t="s">
        <v>49</v>
      </c>
      <c r="AC870" s="2"/>
    </row>
    <row r="871" spans="1:31" hidden="1" x14ac:dyDescent="0.25">
      <c r="J871" s="2">
        <v>21817</v>
      </c>
      <c r="K871" s="2">
        <v>100</v>
      </c>
      <c r="L871" s="2">
        <v>1</v>
      </c>
      <c r="M871" s="2">
        <v>0</v>
      </c>
      <c r="S871" t="s">
        <v>4158</v>
      </c>
      <c r="U871" t="s">
        <v>45</v>
      </c>
      <c r="V871" t="s">
        <v>46</v>
      </c>
      <c r="W871" t="s">
        <v>1362</v>
      </c>
      <c r="X871" t="s">
        <v>1360</v>
      </c>
      <c r="Y871" t="s">
        <v>1215</v>
      </c>
      <c r="Z871" t="s">
        <v>1216</v>
      </c>
      <c r="AA871" t="s">
        <v>49</v>
      </c>
      <c r="AC871" s="2"/>
    </row>
    <row r="872" spans="1:31" x14ac:dyDescent="0.25">
      <c r="A872" t="s">
        <v>4159</v>
      </c>
      <c r="B872" t="s">
        <v>4160</v>
      </c>
      <c r="C872" t="s">
        <v>4160</v>
      </c>
      <c r="D872" t="s">
        <v>262</v>
      </c>
      <c r="E872" t="s">
        <v>134</v>
      </c>
      <c r="F872" t="s">
        <v>4161</v>
      </c>
      <c r="H872" t="s">
        <v>402</v>
      </c>
      <c r="I872" t="s">
        <v>4162</v>
      </c>
      <c r="J872" s="2">
        <v>43634</v>
      </c>
      <c r="K872" s="2">
        <v>200</v>
      </c>
      <c r="L872" s="2">
        <v>1</v>
      </c>
      <c r="M872" s="2">
        <v>0</v>
      </c>
      <c r="N872" t="s">
        <v>403</v>
      </c>
      <c r="O872" t="s">
        <v>404</v>
      </c>
      <c r="P872" t="s">
        <v>205</v>
      </c>
      <c r="Q872" t="s">
        <v>206</v>
      </c>
      <c r="S872" t="s">
        <v>4163</v>
      </c>
      <c r="U872" t="s">
        <v>45</v>
      </c>
      <c r="V872" t="s">
        <v>46</v>
      </c>
      <c r="W872" t="s">
        <v>403</v>
      </c>
      <c r="X872" t="s">
        <v>404</v>
      </c>
      <c r="Y872" t="s">
        <v>161</v>
      </c>
      <c r="Z872" t="s">
        <v>162</v>
      </c>
      <c r="AA872" t="s">
        <v>49</v>
      </c>
      <c r="AB872" t="s">
        <v>50</v>
      </c>
      <c r="AC872" s="2">
        <v>43634</v>
      </c>
      <c r="AD872" t="s">
        <v>64</v>
      </c>
    </row>
    <row r="873" spans="1:31" x14ac:dyDescent="0.25">
      <c r="A873" t="s">
        <v>4164</v>
      </c>
      <c r="B873" t="s">
        <v>4165</v>
      </c>
      <c r="C873" t="s">
        <v>4165</v>
      </c>
      <c r="D873" t="s">
        <v>35</v>
      </c>
      <c r="E873" t="s">
        <v>36</v>
      </c>
      <c r="F873" t="s">
        <v>4166</v>
      </c>
      <c r="G873" t="s">
        <v>153</v>
      </c>
      <c r="H873" t="s">
        <v>443</v>
      </c>
      <c r="I873" t="s">
        <v>4167</v>
      </c>
      <c r="J873" s="2">
        <v>2618040</v>
      </c>
      <c r="K873" s="2">
        <v>12000</v>
      </c>
      <c r="L873" s="2">
        <v>21</v>
      </c>
      <c r="M873" s="2">
        <v>0</v>
      </c>
      <c r="N873" t="s">
        <v>445</v>
      </c>
      <c r="O873" t="s">
        <v>446</v>
      </c>
      <c r="P873" t="s">
        <v>69</v>
      </c>
      <c r="Q873" t="s">
        <v>70</v>
      </c>
      <c r="S873" t="s">
        <v>4168</v>
      </c>
      <c r="U873" t="s">
        <v>45</v>
      </c>
      <c r="V873" t="s">
        <v>46</v>
      </c>
      <c r="W873" t="s">
        <v>445</v>
      </c>
      <c r="X873" t="s">
        <v>446</v>
      </c>
      <c r="Y873" t="s">
        <v>72</v>
      </c>
      <c r="Z873" t="s">
        <v>68</v>
      </c>
      <c r="AA873" t="s">
        <v>49</v>
      </c>
      <c r="AB873" t="s">
        <v>50</v>
      </c>
      <c r="AC873" s="2">
        <v>1902296.21</v>
      </c>
      <c r="AD873" t="s">
        <v>4169</v>
      </c>
      <c r="AE873" t="s">
        <v>52</v>
      </c>
    </row>
    <row r="874" spans="1:31" x14ac:dyDescent="0.25">
      <c r="A874" t="s">
        <v>4170</v>
      </c>
      <c r="B874" t="s">
        <v>4171</v>
      </c>
      <c r="C874" t="s">
        <v>4171</v>
      </c>
      <c r="D874" t="s">
        <v>178</v>
      </c>
      <c r="E874" t="s">
        <v>179</v>
      </c>
      <c r="F874" t="s">
        <v>4172</v>
      </c>
      <c r="G874" t="s">
        <v>553</v>
      </c>
      <c r="H874" t="s">
        <v>366</v>
      </c>
      <c r="I874" t="s">
        <v>4173</v>
      </c>
      <c r="J874" s="2">
        <v>119994</v>
      </c>
      <c r="K874" s="2">
        <v>550</v>
      </c>
      <c r="L874" s="2">
        <v>15</v>
      </c>
      <c r="M874" s="2">
        <v>0</v>
      </c>
      <c r="N874" t="s">
        <v>348</v>
      </c>
      <c r="O874" t="s">
        <v>349</v>
      </c>
      <c r="P874" t="s">
        <v>316</v>
      </c>
      <c r="Q874" t="s">
        <v>317</v>
      </c>
      <c r="S874" t="s">
        <v>4174</v>
      </c>
      <c r="U874" t="s">
        <v>45</v>
      </c>
      <c r="V874" t="s">
        <v>46</v>
      </c>
      <c r="W874" t="s">
        <v>348</v>
      </c>
      <c r="X874" t="s">
        <v>349</v>
      </c>
      <c r="Y874" t="s">
        <v>317</v>
      </c>
      <c r="Z874" t="s">
        <v>349</v>
      </c>
      <c r="AA874" t="s">
        <v>49</v>
      </c>
      <c r="AB874" t="s">
        <v>50</v>
      </c>
      <c r="AC874" s="2">
        <v>101388.19</v>
      </c>
      <c r="AD874" t="s">
        <v>4175</v>
      </c>
      <c r="AE874" t="s">
        <v>52</v>
      </c>
    </row>
    <row r="875" spans="1:31" x14ac:dyDescent="0.25">
      <c r="A875" t="s">
        <v>4176</v>
      </c>
      <c r="B875" t="s">
        <v>4177</v>
      </c>
      <c r="C875" t="s">
        <v>4178</v>
      </c>
      <c r="D875" t="s">
        <v>1846</v>
      </c>
      <c r="E875" t="s">
        <v>134</v>
      </c>
      <c r="F875" t="s">
        <v>4179</v>
      </c>
      <c r="G875" t="s">
        <v>2661</v>
      </c>
      <c r="H875" t="s">
        <v>4180</v>
      </c>
      <c r="I875" t="s">
        <v>4181</v>
      </c>
      <c r="J875" s="2">
        <v>1090850</v>
      </c>
      <c r="K875" s="2">
        <v>5000</v>
      </c>
      <c r="L875" s="2">
        <v>30</v>
      </c>
      <c r="M875" s="2">
        <v>0</v>
      </c>
      <c r="N875" t="s">
        <v>1398</v>
      </c>
      <c r="O875" t="s">
        <v>1396</v>
      </c>
      <c r="P875" t="s">
        <v>2320</v>
      </c>
      <c r="Q875" t="s">
        <v>2321</v>
      </c>
      <c r="S875" t="s">
        <v>4182</v>
      </c>
      <c r="U875" t="s">
        <v>45</v>
      </c>
      <c r="V875" t="s">
        <v>46</v>
      </c>
      <c r="W875" t="s">
        <v>1398</v>
      </c>
      <c r="X875" t="s">
        <v>1396</v>
      </c>
      <c r="Y875" t="s">
        <v>121</v>
      </c>
      <c r="Z875" t="s">
        <v>94</v>
      </c>
      <c r="AA875" t="s">
        <v>49</v>
      </c>
      <c r="AB875" t="s">
        <v>50</v>
      </c>
      <c r="AC875" s="2">
        <v>1090850</v>
      </c>
      <c r="AD875" t="s">
        <v>64</v>
      </c>
    </row>
    <row r="876" spans="1:31" x14ac:dyDescent="0.25">
      <c r="A876" t="s">
        <v>4183</v>
      </c>
      <c r="B876" t="s">
        <v>4184</v>
      </c>
      <c r="C876" t="s">
        <v>4185</v>
      </c>
      <c r="D876" t="s">
        <v>1094</v>
      </c>
      <c r="E876" t="s">
        <v>134</v>
      </c>
      <c r="F876" t="s">
        <v>4186</v>
      </c>
      <c r="G876" t="s">
        <v>2661</v>
      </c>
      <c r="H876" t="s">
        <v>324</v>
      </c>
      <c r="I876" t="s">
        <v>4181</v>
      </c>
      <c r="J876" s="2">
        <v>1090850</v>
      </c>
      <c r="K876" s="2">
        <v>5000</v>
      </c>
      <c r="L876" s="2">
        <v>30</v>
      </c>
      <c r="M876" s="2">
        <v>0</v>
      </c>
      <c r="N876" t="s">
        <v>326</v>
      </c>
      <c r="O876" t="s">
        <v>327</v>
      </c>
      <c r="P876" t="s">
        <v>2320</v>
      </c>
      <c r="Q876" t="s">
        <v>2321</v>
      </c>
      <c r="S876" t="s">
        <v>4187</v>
      </c>
      <c r="U876" t="s">
        <v>45</v>
      </c>
      <c r="V876" t="s">
        <v>46</v>
      </c>
      <c r="W876" t="s">
        <v>326</v>
      </c>
      <c r="X876" t="s">
        <v>327</v>
      </c>
      <c r="Y876" t="s">
        <v>121</v>
      </c>
      <c r="Z876" t="s">
        <v>94</v>
      </c>
      <c r="AA876" t="s">
        <v>49</v>
      </c>
      <c r="AB876" t="s">
        <v>50</v>
      </c>
      <c r="AC876" s="2">
        <v>1090850</v>
      </c>
      <c r="AD876" t="s">
        <v>64</v>
      </c>
    </row>
    <row r="877" spans="1:31" x14ac:dyDescent="0.25">
      <c r="A877" t="s">
        <v>4188</v>
      </c>
      <c r="B877" t="s">
        <v>4189</v>
      </c>
      <c r="C877" t="s">
        <v>4189</v>
      </c>
      <c r="D877" t="s">
        <v>888</v>
      </c>
      <c r="E877" t="s">
        <v>167</v>
      </c>
      <c r="F877" t="s">
        <v>4190</v>
      </c>
      <c r="G877" t="s">
        <v>888</v>
      </c>
      <c r="H877" t="s">
        <v>38</v>
      </c>
      <c r="J877" s="2">
        <v>699150</v>
      </c>
      <c r="K877" s="2">
        <v>3000</v>
      </c>
      <c r="L877" s="2">
        <v>21</v>
      </c>
      <c r="M877" s="2">
        <v>0</v>
      </c>
      <c r="N877" t="s">
        <v>40</v>
      </c>
      <c r="O877" t="s">
        <v>41</v>
      </c>
      <c r="P877" t="s">
        <v>61</v>
      </c>
      <c r="Q877" t="s">
        <v>62</v>
      </c>
      <c r="S877" t="s">
        <v>4191</v>
      </c>
      <c r="U877" t="s">
        <v>45</v>
      </c>
      <c r="V877" t="s">
        <v>46</v>
      </c>
      <c r="W877" t="s">
        <v>40</v>
      </c>
      <c r="X877" t="s">
        <v>41</v>
      </c>
      <c r="Y877" t="s">
        <v>47</v>
      </c>
      <c r="Z877" t="s">
        <v>48</v>
      </c>
      <c r="AA877" t="s">
        <v>49</v>
      </c>
      <c r="AB877" t="s">
        <v>50</v>
      </c>
      <c r="AC877" s="2">
        <v>600231.62</v>
      </c>
      <c r="AD877" t="s">
        <v>4192</v>
      </c>
      <c r="AE877" t="s">
        <v>52</v>
      </c>
    </row>
    <row r="878" spans="1:31" x14ac:dyDescent="0.25">
      <c r="A878" s="15" t="s">
        <v>4193</v>
      </c>
      <c r="B878" s="15" t="s">
        <v>4194</v>
      </c>
      <c r="C878" s="15" t="s">
        <v>4194</v>
      </c>
      <c r="D878" s="15" t="s">
        <v>55</v>
      </c>
      <c r="E878" s="15" t="s">
        <v>56</v>
      </c>
      <c r="F878" s="15" t="s">
        <v>4195</v>
      </c>
      <c r="H878" s="15" t="s">
        <v>41</v>
      </c>
      <c r="J878" s="2">
        <v>1000</v>
      </c>
      <c r="K878" s="2">
        <v>0</v>
      </c>
      <c r="L878" s="2">
        <v>15</v>
      </c>
      <c r="M878" s="2">
        <v>0</v>
      </c>
      <c r="N878" s="15" t="s">
        <v>40</v>
      </c>
      <c r="O878" s="15" t="s">
        <v>41</v>
      </c>
      <c r="P878" s="15" t="s">
        <v>42</v>
      </c>
      <c r="Q878" s="15" t="s">
        <v>43</v>
      </c>
      <c r="U878" t="s">
        <v>45</v>
      </c>
      <c r="V878" t="s">
        <v>46</v>
      </c>
      <c r="W878" t="s">
        <v>40</v>
      </c>
      <c r="X878" t="s">
        <v>41</v>
      </c>
      <c r="Y878" t="s">
        <v>47</v>
      </c>
      <c r="Z878" t="s">
        <v>48</v>
      </c>
      <c r="AA878" t="s">
        <v>49</v>
      </c>
      <c r="AB878" s="15" t="s">
        <v>50</v>
      </c>
      <c r="AC878" s="16">
        <v>999.73</v>
      </c>
      <c r="AD878" s="15" t="s">
        <v>4196</v>
      </c>
      <c r="AE878" s="15" t="s">
        <v>115</v>
      </c>
    </row>
    <row r="879" spans="1:31" hidden="1" x14ac:dyDescent="0.25">
      <c r="A879" t="s">
        <v>4197</v>
      </c>
      <c r="B879" t="s">
        <v>4198</v>
      </c>
      <c r="C879" t="s">
        <v>4198</v>
      </c>
      <c r="D879" t="s">
        <v>55</v>
      </c>
      <c r="E879" t="s">
        <v>56</v>
      </c>
      <c r="F879" t="s">
        <v>4199</v>
      </c>
      <c r="J879" s="2">
        <v>1000</v>
      </c>
      <c r="K879" s="2">
        <v>0</v>
      </c>
      <c r="L879" s="2">
        <v>1</v>
      </c>
      <c r="M879" s="2">
        <v>0</v>
      </c>
      <c r="N879" t="s">
        <v>302</v>
      </c>
      <c r="O879" t="s">
        <v>303</v>
      </c>
      <c r="P879" t="s">
        <v>941</v>
      </c>
      <c r="Q879" t="s">
        <v>139</v>
      </c>
      <c r="U879" t="s">
        <v>45</v>
      </c>
      <c r="V879" t="s">
        <v>46</v>
      </c>
      <c r="W879" t="s">
        <v>302</v>
      </c>
      <c r="X879" t="s">
        <v>303</v>
      </c>
      <c r="Y879" t="s">
        <v>72</v>
      </c>
      <c r="Z879" t="s">
        <v>68</v>
      </c>
      <c r="AA879" t="s">
        <v>49</v>
      </c>
      <c r="AB879" t="s">
        <v>50</v>
      </c>
      <c r="AC879" s="2">
        <v>1000</v>
      </c>
      <c r="AD879" t="s">
        <v>64</v>
      </c>
    </row>
    <row r="880" spans="1:31" hidden="1" x14ac:dyDescent="0.25">
      <c r="I880" t="s">
        <v>4200</v>
      </c>
      <c r="J880" s="2">
        <v>1000</v>
      </c>
      <c r="K880" s="2">
        <v>0</v>
      </c>
      <c r="L880" s="2">
        <v>1</v>
      </c>
      <c r="M880" s="2">
        <v>0</v>
      </c>
      <c r="U880" t="s">
        <v>45</v>
      </c>
      <c r="V880" t="s">
        <v>46</v>
      </c>
      <c r="W880" t="s">
        <v>40</v>
      </c>
      <c r="X880" t="s">
        <v>41</v>
      </c>
      <c r="Y880" t="s">
        <v>47</v>
      </c>
      <c r="Z880" t="s">
        <v>48</v>
      </c>
      <c r="AA880" t="s">
        <v>49</v>
      </c>
      <c r="AC880" s="2"/>
    </row>
    <row r="881" spans="1:31" hidden="1" x14ac:dyDescent="0.25">
      <c r="I881" t="s">
        <v>4201</v>
      </c>
      <c r="J881" s="2">
        <v>1000</v>
      </c>
      <c r="K881" s="2">
        <v>0</v>
      </c>
      <c r="L881" s="2">
        <v>1</v>
      </c>
      <c r="M881" s="2">
        <v>0</v>
      </c>
      <c r="S881" t="s">
        <v>4202</v>
      </c>
      <c r="U881" t="s">
        <v>45</v>
      </c>
      <c r="V881" t="s">
        <v>46</v>
      </c>
      <c r="W881" t="s">
        <v>302</v>
      </c>
      <c r="X881" t="s">
        <v>303</v>
      </c>
      <c r="Y881" t="s">
        <v>72</v>
      </c>
      <c r="Z881" t="s">
        <v>68</v>
      </c>
      <c r="AA881" t="s">
        <v>49</v>
      </c>
      <c r="AC881" s="2"/>
    </row>
    <row r="882" spans="1:31" x14ac:dyDescent="0.25">
      <c r="A882" t="s">
        <v>4203</v>
      </c>
      <c r="B882" t="s">
        <v>4204</v>
      </c>
      <c r="C882" t="s">
        <v>4204</v>
      </c>
      <c r="D882" t="s">
        <v>297</v>
      </c>
      <c r="E882" t="s">
        <v>167</v>
      </c>
      <c r="F882" t="s">
        <v>4205</v>
      </c>
      <c r="G882" t="s">
        <v>1454</v>
      </c>
      <c r="H882" t="s">
        <v>87</v>
      </c>
      <c r="I882" t="s">
        <v>4206</v>
      </c>
      <c r="J882" s="2">
        <v>654510</v>
      </c>
      <c r="K882" s="2">
        <v>3000</v>
      </c>
      <c r="L882" s="2">
        <v>15</v>
      </c>
      <c r="M882" s="2">
        <v>0</v>
      </c>
      <c r="N882" t="s">
        <v>89</v>
      </c>
      <c r="O882" t="s">
        <v>90</v>
      </c>
      <c r="P882" t="s">
        <v>91</v>
      </c>
      <c r="Q882" t="s">
        <v>92</v>
      </c>
      <c r="S882" t="s">
        <v>4207</v>
      </c>
      <c r="U882" t="s">
        <v>45</v>
      </c>
      <c r="V882" t="s">
        <v>46</v>
      </c>
      <c r="W882" t="s">
        <v>89</v>
      </c>
      <c r="X882" t="s">
        <v>90</v>
      </c>
      <c r="Y882" t="s">
        <v>92</v>
      </c>
      <c r="Z882" t="s">
        <v>94</v>
      </c>
      <c r="AA882" t="s">
        <v>49</v>
      </c>
      <c r="AB882" t="s">
        <v>50</v>
      </c>
      <c r="AC882" s="2">
        <v>350734.45</v>
      </c>
      <c r="AD882" t="s">
        <v>4208</v>
      </c>
    </row>
    <row r="883" spans="1:31" hidden="1" x14ac:dyDescent="0.25">
      <c r="I883" t="s">
        <v>4209</v>
      </c>
      <c r="J883" s="2">
        <v>21817</v>
      </c>
      <c r="K883" s="2">
        <v>100</v>
      </c>
      <c r="L883" s="2">
        <v>1</v>
      </c>
      <c r="M883" s="2">
        <v>0</v>
      </c>
      <c r="S883" t="s">
        <v>4210</v>
      </c>
      <c r="U883" t="s">
        <v>45</v>
      </c>
      <c r="V883" t="s">
        <v>46</v>
      </c>
      <c r="W883" t="s">
        <v>3073</v>
      </c>
      <c r="X883" t="s">
        <v>3074</v>
      </c>
      <c r="Y883" t="s">
        <v>106</v>
      </c>
      <c r="Z883" t="s">
        <v>107</v>
      </c>
      <c r="AA883" t="s">
        <v>49</v>
      </c>
      <c r="AC883" s="2"/>
    </row>
    <row r="884" spans="1:31" x14ac:dyDescent="0.25">
      <c r="A884" t="s">
        <v>4211</v>
      </c>
      <c r="B884" t="s">
        <v>4212</v>
      </c>
      <c r="C884" t="s">
        <v>4212</v>
      </c>
      <c r="D884" t="s">
        <v>125</v>
      </c>
      <c r="E884" t="s">
        <v>126</v>
      </c>
      <c r="F884" t="s">
        <v>4213</v>
      </c>
      <c r="G884" t="s">
        <v>125</v>
      </c>
      <c r="H884" t="s">
        <v>238</v>
      </c>
      <c r="I884" t="s">
        <v>4214</v>
      </c>
      <c r="J884" s="2">
        <v>1090850</v>
      </c>
      <c r="K884" s="2">
        <v>5000</v>
      </c>
      <c r="L884" s="2">
        <v>25</v>
      </c>
      <c r="M884" s="2">
        <v>0</v>
      </c>
      <c r="N884" t="s">
        <v>118</v>
      </c>
      <c r="O884" t="s">
        <v>119</v>
      </c>
      <c r="P884" t="s">
        <v>120</v>
      </c>
      <c r="Q884" t="s">
        <v>121</v>
      </c>
      <c r="S884" t="s">
        <v>4215</v>
      </c>
      <c r="U884" t="s">
        <v>45</v>
      </c>
      <c r="V884" t="s">
        <v>46</v>
      </c>
      <c r="W884" t="s">
        <v>118</v>
      </c>
      <c r="X884" t="s">
        <v>119</v>
      </c>
      <c r="Y884" t="s">
        <v>121</v>
      </c>
      <c r="Z884" t="s">
        <v>94</v>
      </c>
      <c r="AA884" t="s">
        <v>49</v>
      </c>
      <c r="AB884" t="s">
        <v>50</v>
      </c>
      <c r="AC884" s="2">
        <v>933191.83</v>
      </c>
      <c r="AD884" t="s">
        <v>4216</v>
      </c>
      <c r="AE884" t="s">
        <v>52</v>
      </c>
    </row>
    <row r="885" spans="1:31" hidden="1" x14ac:dyDescent="0.25">
      <c r="I885" t="s">
        <v>4217</v>
      </c>
      <c r="J885" s="2">
        <v>65451</v>
      </c>
      <c r="K885" s="2">
        <v>300</v>
      </c>
      <c r="L885" s="2">
        <v>21</v>
      </c>
      <c r="M885" s="2">
        <v>0</v>
      </c>
      <c r="S885" t="s">
        <v>4218</v>
      </c>
      <c r="U885" t="s">
        <v>45</v>
      </c>
      <c r="V885" t="s">
        <v>46</v>
      </c>
      <c r="W885" t="s">
        <v>1725</v>
      </c>
      <c r="X885" t="s">
        <v>1723</v>
      </c>
      <c r="Y885" t="s">
        <v>121</v>
      </c>
      <c r="Z885" t="s">
        <v>94</v>
      </c>
      <c r="AA885" t="s">
        <v>49</v>
      </c>
      <c r="AC885" s="2"/>
    </row>
    <row r="886" spans="1:31" x14ac:dyDescent="0.25">
      <c r="A886" t="s">
        <v>4219</v>
      </c>
      <c r="B886" t="s">
        <v>4220</v>
      </c>
      <c r="C886" t="s">
        <v>4220</v>
      </c>
      <c r="D886" t="s">
        <v>4221</v>
      </c>
      <c r="E886" t="s">
        <v>77</v>
      </c>
      <c r="F886" t="s">
        <v>4222</v>
      </c>
      <c r="H886" t="s">
        <v>4223</v>
      </c>
      <c r="I886" t="s">
        <v>4224</v>
      </c>
      <c r="J886" s="2">
        <v>109085</v>
      </c>
      <c r="K886" s="2">
        <v>500</v>
      </c>
      <c r="L886" s="2">
        <v>15</v>
      </c>
      <c r="M886" s="2">
        <v>0</v>
      </c>
      <c r="N886" t="s">
        <v>4225</v>
      </c>
      <c r="O886" t="s">
        <v>4226</v>
      </c>
      <c r="P886" t="s">
        <v>82</v>
      </c>
      <c r="Q886" t="s">
        <v>83</v>
      </c>
      <c r="S886" t="s">
        <v>4227</v>
      </c>
      <c r="U886" t="s">
        <v>45</v>
      </c>
      <c r="V886" t="s">
        <v>46</v>
      </c>
      <c r="W886" t="s">
        <v>4225</v>
      </c>
      <c r="X886" t="s">
        <v>4226</v>
      </c>
      <c r="Y886" t="s">
        <v>85</v>
      </c>
      <c r="Z886" t="s">
        <v>86</v>
      </c>
      <c r="AA886" t="s">
        <v>49</v>
      </c>
      <c r="AB886" t="s">
        <v>50</v>
      </c>
      <c r="AC886" s="2">
        <v>109085</v>
      </c>
      <c r="AD886" t="s">
        <v>64</v>
      </c>
    </row>
    <row r="887" spans="1:31" hidden="1" x14ac:dyDescent="0.25">
      <c r="I887" t="s">
        <v>4228</v>
      </c>
      <c r="J887" s="2">
        <v>1000</v>
      </c>
      <c r="K887" s="2">
        <v>0</v>
      </c>
      <c r="L887" s="2">
        <v>1</v>
      </c>
      <c r="M887" s="2">
        <v>0</v>
      </c>
      <c r="S887" t="s">
        <v>4229</v>
      </c>
      <c r="U887" t="s">
        <v>45</v>
      </c>
      <c r="V887" t="s">
        <v>46</v>
      </c>
      <c r="W887" t="s">
        <v>118</v>
      </c>
      <c r="X887" t="s">
        <v>119</v>
      </c>
      <c r="Y887" t="s">
        <v>121</v>
      </c>
      <c r="Z887" t="s">
        <v>94</v>
      </c>
      <c r="AA887" t="s">
        <v>49</v>
      </c>
      <c r="AC887" s="2"/>
    </row>
    <row r="888" spans="1:31" x14ac:dyDescent="0.25">
      <c r="A888" t="s">
        <v>4230</v>
      </c>
      <c r="B888" t="s">
        <v>4231</v>
      </c>
      <c r="C888" t="s">
        <v>4231</v>
      </c>
      <c r="D888" t="s">
        <v>35</v>
      </c>
      <c r="E888" t="s">
        <v>36</v>
      </c>
      <c r="F888" t="s">
        <v>4232</v>
      </c>
      <c r="G888" t="s">
        <v>35</v>
      </c>
      <c r="H888" t="s">
        <v>300</v>
      </c>
      <c r="I888" t="s">
        <v>4233</v>
      </c>
      <c r="J888" s="2">
        <v>1647576</v>
      </c>
      <c r="K888" s="2">
        <v>6820</v>
      </c>
      <c r="L888" s="2">
        <v>21</v>
      </c>
      <c r="M888" s="2">
        <v>0</v>
      </c>
      <c r="N888" t="s">
        <v>302</v>
      </c>
      <c r="O888" t="s">
        <v>303</v>
      </c>
      <c r="P888" t="s">
        <v>304</v>
      </c>
      <c r="Q888" t="s">
        <v>72</v>
      </c>
      <c r="S888" t="s">
        <v>4234</v>
      </c>
      <c r="U888" t="s">
        <v>45</v>
      </c>
      <c r="V888" t="s">
        <v>46</v>
      </c>
      <c r="W888" t="s">
        <v>302</v>
      </c>
      <c r="X888" t="s">
        <v>303</v>
      </c>
      <c r="Y888" t="s">
        <v>72</v>
      </c>
      <c r="Z888" t="s">
        <v>68</v>
      </c>
      <c r="AA888" t="s">
        <v>49</v>
      </c>
      <c r="AB888" t="s">
        <v>50</v>
      </c>
      <c r="AC888" s="2">
        <v>133179.20000000001</v>
      </c>
      <c r="AD888" t="s">
        <v>4235</v>
      </c>
      <c r="AE888" t="s">
        <v>52</v>
      </c>
    </row>
    <row r="889" spans="1:31" hidden="1" x14ac:dyDescent="0.25">
      <c r="A889" s="10" t="s">
        <v>4236</v>
      </c>
      <c r="B889" s="10" t="s">
        <v>4237</v>
      </c>
      <c r="C889" t="s">
        <v>4237</v>
      </c>
      <c r="D889" t="s">
        <v>55</v>
      </c>
      <c r="E889" t="s">
        <v>56</v>
      </c>
      <c r="F889" t="s">
        <v>4238</v>
      </c>
      <c r="H889" t="s">
        <v>38</v>
      </c>
      <c r="I889" t="s">
        <v>4239</v>
      </c>
      <c r="J889" s="2">
        <v>3700</v>
      </c>
      <c r="K889" s="2">
        <v>0</v>
      </c>
      <c r="L889" s="2">
        <v>21</v>
      </c>
      <c r="M889" s="2">
        <v>0</v>
      </c>
      <c r="N889" t="s">
        <v>40</v>
      </c>
      <c r="O889" t="s">
        <v>41</v>
      </c>
      <c r="P889" t="s">
        <v>61</v>
      </c>
      <c r="Q889" t="s">
        <v>62</v>
      </c>
      <c r="S889" t="s">
        <v>4240</v>
      </c>
      <c r="U889" t="s">
        <v>45</v>
      </c>
      <c r="V889" t="s">
        <v>46</v>
      </c>
      <c r="W889" t="s">
        <v>40</v>
      </c>
      <c r="X889" t="s">
        <v>41</v>
      </c>
      <c r="Y889" t="s">
        <v>47</v>
      </c>
      <c r="Z889" t="s">
        <v>48</v>
      </c>
      <c r="AA889" t="s">
        <v>49</v>
      </c>
      <c r="AB889" t="s">
        <v>142</v>
      </c>
      <c r="AC889" s="2">
        <v>3700</v>
      </c>
      <c r="AD889" t="s">
        <v>64</v>
      </c>
    </row>
    <row r="890" spans="1:31" hidden="1" x14ac:dyDescent="0.25">
      <c r="I890" t="s">
        <v>4241</v>
      </c>
      <c r="J890" s="2">
        <v>1000</v>
      </c>
      <c r="K890" s="2">
        <v>0</v>
      </c>
      <c r="L890" s="2">
        <v>1</v>
      </c>
      <c r="M890" s="2">
        <v>0</v>
      </c>
      <c r="S890" t="s">
        <v>4242</v>
      </c>
      <c r="U890" t="s">
        <v>45</v>
      </c>
      <c r="V890" t="s">
        <v>46</v>
      </c>
      <c r="W890" t="s">
        <v>360</v>
      </c>
      <c r="X890" t="s">
        <v>361</v>
      </c>
      <c r="Y890" t="s">
        <v>47</v>
      </c>
      <c r="Z890" t="s">
        <v>48</v>
      </c>
      <c r="AA890" t="s">
        <v>49</v>
      </c>
      <c r="AC890" s="2"/>
    </row>
    <row r="891" spans="1:31" hidden="1" x14ac:dyDescent="0.25">
      <c r="A891" t="s">
        <v>4243</v>
      </c>
      <c r="B891" t="s">
        <v>4244</v>
      </c>
      <c r="C891" t="s">
        <v>4244</v>
      </c>
      <c r="D891" t="s">
        <v>55</v>
      </c>
      <c r="E891" t="s">
        <v>56</v>
      </c>
      <c r="F891" t="s">
        <v>4245</v>
      </c>
      <c r="J891" s="2">
        <v>1000</v>
      </c>
      <c r="K891" s="2">
        <v>0</v>
      </c>
      <c r="L891" s="2">
        <v>1</v>
      </c>
      <c r="M891" s="2">
        <v>0</v>
      </c>
      <c r="N891" t="s">
        <v>118</v>
      </c>
      <c r="O891" t="s">
        <v>119</v>
      </c>
      <c r="P891" t="s">
        <v>120</v>
      </c>
      <c r="Q891" t="s">
        <v>121</v>
      </c>
      <c r="U891" t="s">
        <v>45</v>
      </c>
      <c r="V891" t="s">
        <v>46</v>
      </c>
      <c r="W891" t="s">
        <v>118</v>
      </c>
      <c r="X891" t="s">
        <v>119</v>
      </c>
      <c r="Y891" t="s">
        <v>121</v>
      </c>
      <c r="Z891" t="s">
        <v>94</v>
      </c>
      <c r="AA891" t="s">
        <v>49</v>
      </c>
      <c r="AB891" t="s">
        <v>50</v>
      </c>
      <c r="AC891" s="2">
        <v>1000</v>
      </c>
      <c r="AD891" t="s">
        <v>64</v>
      </c>
    </row>
    <row r="892" spans="1:31" x14ac:dyDescent="0.25">
      <c r="A892" t="s">
        <v>4246</v>
      </c>
      <c r="B892" t="s">
        <v>4247</v>
      </c>
      <c r="C892" t="s">
        <v>4248</v>
      </c>
      <c r="D892" t="s">
        <v>125</v>
      </c>
      <c r="E892" t="s">
        <v>126</v>
      </c>
      <c r="F892" t="s">
        <v>4245</v>
      </c>
      <c r="G892" t="s">
        <v>125</v>
      </c>
      <c r="H892" t="s">
        <v>116</v>
      </c>
      <c r="I892" t="s">
        <v>4249</v>
      </c>
      <c r="J892" s="2">
        <v>1701770</v>
      </c>
      <c r="K892" s="2">
        <v>7000</v>
      </c>
      <c r="L892" s="2">
        <v>30</v>
      </c>
      <c r="M892" s="2">
        <v>0</v>
      </c>
      <c r="N892" t="s">
        <v>118</v>
      </c>
      <c r="O892" t="s">
        <v>119</v>
      </c>
      <c r="P892" t="s">
        <v>120</v>
      </c>
      <c r="Q892" t="s">
        <v>121</v>
      </c>
      <c r="S892" t="s">
        <v>4250</v>
      </c>
      <c r="U892" t="s">
        <v>45</v>
      </c>
      <c r="V892" t="s">
        <v>46</v>
      </c>
      <c r="W892" t="s">
        <v>118</v>
      </c>
      <c r="X892" t="s">
        <v>119</v>
      </c>
      <c r="Y892" t="s">
        <v>121</v>
      </c>
      <c r="Z892" t="s">
        <v>94</v>
      </c>
      <c r="AA892" t="s">
        <v>49</v>
      </c>
      <c r="AB892" t="s">
        <v>50</v>
      </c>
      <c r="AC892" s="2">
        <v>21809.439999999999</v>
      </c>
      <c r="AD892" t="s">
        <v>4251</v>
      </c>
      <c r="AE892" t="s">
        <v>52</v>
      </c>
    </row>
    <row r="893" spans="1:31" hidden="1" x14ac:dyDescent="0.25">
      <c r="J893" s="2">
        <v>1000</v>
      </c>
      <c r="K893" s="2">
        <v>0</v>
      </c>
      <c r="L893" s="2">
        <v>1</v>
      </c>
      <c r="M893" s="2">
        <v>0</v>
      </c>
      <c r="S893" t="s">
        <v>4252</v>
      </c>
      <c r="U893" t="s">
        <v>45</v>
      </c>
      <c r="V893" t="s">
        <v>46</v>
      </c>
      <c r="W893" t="s">
        <v>1221</v>
      </c>
      <c r="X893" t="s">
        <v>1222</v>
      </c>
      <c r="Y893" t="s">
        <v>161</v>
      </c>
      <c r="Z893" t="s">
        <v>162</v>
      </c>
      <c r="AA893" t="s">
        <v>49</v>
      </c>
      <c r="AC893" s="2"/>
    </row>
    <row r="894" spans="1:31" hidden="1" x14ac:dyDescent="0.25">
      <c r="J894" s="2">
        <v>218170</v>
      </c>
      <c r="K894" s="2">
        <v>1000</v>
      </c>
      <c r="L894" s="2">
        <v>21</v>
      </c>
      <c r="M894" s="2">
        <v>0</v>
      </c>
      <c r="S894" t="s">
        <v>4253</v>
      </c>
      <c r="U894" t="s">
        <v>45</v>
      </c>
      <c r="V894" t="s">
        <v>46</v>
      </c>
      <c r="W894" t="s">
        <v>1221</v>
      </c>
      <c r="X894" t="s">
        <v>1222</v>
      </c>
      <c r="Y894" t="s">
        <v>161</v>
      </c>
      <c r="Z894" t="s">
        <v>162</v>
      </c>
      <c r="AA894" t="s">
        <v>49</v>
      </c>
      <c r="AC894" s="2"/>
    </row>
    <row r="895" spans="1:31" x14ac:dyDescent="0.25">
      <c r="A895" t="s">
        <v>4254</v>
      </c>
      <c r="B895" t="s">
        <v>4255</v>
      </c>
      <c r="C895" t="s">
        <v>4255</v>
      </c>
      <c r="D895" t="s">
        <v>153</v>
      </c>
      <c r="E895" t="s">
        <v>272</v>
      </c>
      <c r="F895" t="s">
        <v>4256</v>
      </c>
      <c r="G895" t="s">
        <v>153</v>
      </c>
      <c r="H895" t="s">
        <v>443</v>
      </c>
      <c r="I895" t="s">
        <v>4257</v>
      </c>
      <c r="J895" s="2">
        <v>43634</v>
      </c>
      <c r="K895" s="2">
        <v>200</v>
      </c>
      <c r="L895" s="2">
        <v>5</v>
      </c>
      <c r="M895" s="2">
        <v>0</v>
      </c>
      <c r="N895" t="s">
        <v>445</v>
      </c>
      <c r="O895" t="s">
        <v>446</v>
      </c>
      <c r="P895" t="s">
        <v>69</v>
      </c>
      <c r="Q895" t="s">
        <v>70</v>
      </c>
      <c r="S895" t="s">
        <v>4258</v>
      </c>
      <c r="U895" t="s">
        <v>45</v>
      </c>
      <c r="V895" t="s">
        <v>46</v>
      </c>
      <c r="W895" t="s">
        <v>445</v>
      </c>
      <c r="X895" t="s">
        <v>446</v>
      </c>
      <c r="Y895" t="s">
        <v>72</v>
      </c>
      <c r="Z895" t="s">
        <v>68</v>
      </c>
      <c r="AA895" t="s">
        <v>49</v>
      </c>
      <c r="AB895" t="s">
        <v>50</v>
      </c>
      <c r="AC895" s="2">
        <v>25046.959999999999</v>
      </c>
      <c r="AD895" t="s">
        <v>4259</v>
      </c>
      <c r="AE895" t="s">
        <v>52</v>
      </c>
    </row>
    <row r="896" spans="1:31" hidden="1" x14ac:dyDescent="0.25">
      <c r="J896" s="2">
        <v>130902</v>
      </c>
      <c r="K896" s="2">
        <v>600</v>
      </c>
      <c r="L896" s="2">
        <v>15</v>
      </c>
      <c r="M896" s="2">
        <v>0</v>
      </c>
      <c r="S896" t="s">
        <v>4260</v>
      </c>
      <c r="U896" t="s">
        <v>45</v>
      </c>
      <c r="V896" t="s">
        <v>46</v>
      </c>
      <c r="W896" t="s">
        <v>40</v>
      </c>
      <c r="X896" t="s">
        <v>41</v>
      </c>
      <c r="Y896" t="s">
        <v>47</v>
      </c>
      <c r="Z896" t="s">
        <v>48</v>
      </c>
      <c r="AA896" t="s">
        <v>49</v>
      </c>
      <c r="AC896" s="2"/>
    </row>
    <row r="897" spans="1:31" x14ac:dyDescent="0.25">
      <c r="A897" t="s">
        <v>4261</v>
      </c>
      <c r="B897" t="s">
        <v>4262</v>
      </c>
      <c r="C897" t="s">
        <v>4262</v>
      </c>
      <c r="D897" t="s">
        <v>35</v>
      </c>
      <c r="E897" t="s">
        <v>36</v>
      </c>
      <c r="F897" t="s">
        <v>4263</v>
      </c>
      <c r="G897" t="s">
        <v>178</v>
      </c>
      <c r="H897" t="s">
        <v>3299</v>
      </c>
      <c r="I897" t="s">
        <v>4264</v>
      </c>
      <c r="J897" s="2">
        <v>436340</v>
      </c>
      <c r="K897" s="2">
        <v>2000</v>
      </c>
      <c r="L897" s="2">
        <v>21</v>
      </c>
      <c r="M897" s="2">
        <v>0</v>
      </c>
      <c r="N897" t="s">
        <v>3301</v>
      </c>
      <c r="O897" t="s">
        <v>3302</v>
      </c>
      <c r="P897" t="s">
        <v>205</v>
      </c>
      <c r="Q897" t="s">
        <v>206</v>
      </c>
      <c r="S897" t="s">
        <v>4265</v>
      </c>
      <c r="U897" t="s">
        <v>45</v>
      </c>
      <c r="V897" t="s">
        <v>46</v>
      </c>
      <c r="W897" t="s">
        <v>3301</v>
      </c>
      <c r="X897" t="s">
        <v>3302</v>
      </c>
      <c r="Y897" t="s">
        <v>161</v>
      </c>
      <c r="Z897" t="s">
        <v>162</v>
      </c>
      <c r="AA897" t="s">
        <v>49</v>
      </c>
      <c r="AB897" t="s">
        <v>50</v>
      </c>
      <c r="AC897" s="2">
        <v>379867.52</v>
      </c>
      <c r="AD897" t="s">
        <v>4266</v>
      </c>
      <c r="AE897" t="s">
        <v>52</v>
      </c>
    </row>
    <row r="898" spans="1:31" x14ac:dyDescent="0.25">
      <c r="A898" t="s">
        <v>4267</v>
      </c>
      <c r="B898" t="s">
        <v>4268</v>
      </c>
      <c r="C898" t="s">
        <v>4268</v>
      </c>
      <c r="D898" t="s">
        <v>178</v>
      </c>
      <c r="E898" t="s">
        <v>179</v>
      </c>
      <c r="F898" t="s">
        <v>4269</v>
      </c>
      <c r="G898" t="s">
        <v>178</v>
      </c>
      <c r="H898" t="s">
        <v>1444</v>
      </c>
      <c r="I898" t="s">
        <v>4270</v>
      </c>
      <c r="J898" s="2">
        <v>120160</v>
      </c>
      <c r="K898" s="2">
        <v>500</v>
      </c>
      <c r="L898" s="2">
        <v>7</v>
      </c>
      <c r="M898" s="2">
        <v>0</v>
      </c>
      <c r="N898" t="s">
        <v>1064</v>
      </c>
      <c r="O898" t="s">
        <v>1062</v>
      </c>
      <c r="P898" t="s">
        <v>304</v>
      </c>
      <c r="Q898" t="s">
        <v>72</v>
      </c>
      <c r="S898" t="s">
        <v>4271</v>
      </c>
      <c r="U898" t="s">
        <v>45</v>
      </c>
      <c r="V898" t="s">
        <v>46</v>
      </c>
      <c r="W898" t="s">
        <v>1064</v>
      </c>
      <c r="X898" t="s">
        <v>1062</v>
      </c>
      <c r="Y898" t="s">
        <v>72</v>
      </c>
      <c r="Z898" t="s">
        <v>68</v>
      </c>
      <c r="AA898" t="s">
        <v>49</v>
      </c>
      <c r="AB898" t="s">
        <v>50</v>
      </c>
      <c r="AC898" s="2">
        <v>86279.05</v>
      </c>
      <c r="AD898" t="s">
        <v>4272</v>
      </c>
      <c r="AE898" t="s">
        <v>52</v>
      </c>
    </row>
    <row r="899" spans="1:31" x14ac:dyDescent="0.25">
      <c r="A899" t="s">
        <v>4273</v>
      </c>
      <c r="B899" t="s">
        <v>4274</v>
      </c>
      <c r="C899" t="s">
        <v>4275</v>
      </c>
      <c r="D899" t="s">
        <v>35</v>
      </c>
      <c r="E899" t="s">
        <v>36</v>
      </c>
      <c r="F899" t="s">
        <v>4276</v>
      </c>
      <c r="G899" t="s">
        <v>35</v>
      </c>
      <c r="H899" t="s">
        <v>1898</v>
      </c>
      <c r="I899" t="s">
        <v>4277</v>
      </c>
      <c r="J899" s="2">
        <v>654510</v>
      </c>
      <c r="K899" s="2">
        <v>3000</v>
      </c>
      <c r="L899" s="2">
        <v>15</v>
      </c>
      <c r="M899" s="2">
        <v>0</v>
      </c>
      <c r="N899" t="s">
        <v>1900</v>
      </c>
      <c r="O899" t="s">
        <v>1901</v>
      </c>
      <c r="P899" t="s">
        <v>158</v>
      </c>
      <c r="Q899" t="s">
        <v>159</v>
      </c>
      <c r="S899" t="s">
        <v>4278</v>
      </c>
      <c r="U899" t="s">
        <v>45</v>
      </c>
      <c r="V899" t="s">
        <v>46</v>
      </c>
      <c r="W899" t="s">
        <v>1900</v>
      </c>
      <c r="X899" t="s">
        <v>1901</v>
      </c>
      <c r="Y899" t="s">
        <v>161</v>
      </c>
      <c r="Z899" t="s">
        <v>162</v>
      </c>
      <c r="AA899" t="s">
        <v>49</v>
      </c>
      <c r="AB899" t="s">
        <v>50</v>
      </c>
      <c r="AC899" s="2">
        <v>534074.1</v>
      </c>
      <c r="AD899" t="s">
        <v>4279</v>
      </c>
      <c r="AE899" t="s">
        <v>52</v>
      </c>
    </row>
    <row r="900" spans="1:31" x14ac:dyDescent="0.25">
      <c r="A900" t="s">
        <v>4280</v>
      </c>
      <c r="B900" t="s">
        <v>4281</v>
      </c>
      <c r="C900" t="s">
        <v>4281</v>
      </c>
      <c r="D900" t="s">
        <v>153</v>
      </c>
      <c r="E900" t="s">
        <v>272</v>
      </c>
      <c r="F900" t="s">
        <v>4282</v>
      </c>
      <c r="G900" t="s">
        <v>153</v>
      </c>
      <c r="H900" t="s">
        <v>1898</v>
      </c>
      <c r="I900" t="s">
        <v>4283</v>
      </c>
      <c r="J900" s="2">
        <v>1527190</v>
      </c>
      <c r="K900" s="2">
        <v>7000</v>
      </c>
      <c r="L900" s="2">
        <v>21</v>
      </c>
      <c r="M900" s="2">
        <v>0</v>
      </c>
      <c r="N900" t="s">
        <v>1900</v>
      </c>
      <c r="O900" t="s">
        <v>1901</v>
      </c>
      <c r="P900" t="s">
        <v>158</v>
      </c>
      <c r="Q900" t="s">
        <v>159</v>
      </c>
      <c r="S900" t="s">
        <v>4284</v>
      </c>
      <c r="U900" t="s">
        <v>45</v>
      </c>
      <c r="V900" t="s">
        <v>46</v>
      </c>
      <c r="W900" t="s">
        <v>1900</v>
      </c>
      <c r="X900" t="s">
        <v>1901</v>
      </c>
      <c r="Y900" t="s">
        <v>161</v>
      </c>
      <c r="Z900" t="s">
        <v>162</v>
      </c>
      <c r="AA900" t="s">
        <v>49</v>
      </c>
      <c r="AB900" t="s">
        <v>50</v>
      </c>
      <c r="AC900" s="2">
        <v>919428.91</v>
      </c>
      <c r="AD900" t="s">
        <v>4285</v>
      </c>
      <c r="AE900" t="s">
        <v>52</v>
      </c>
    </row>
    <row r="901" spans="1:31" x14ac:dyDescent="0.25">
      <c r="A901" t="s">
        <v>4286</v>
      </c>
      <c r="B901" t="s">
        <v>4287</v>
      </c>
      <c r="C901" t="s">
        <v>4287</v>
      </c>
      <c r="D901" t="s">
        <v>2288</v>
      </c>
      <c r="E901" t="s">
        <v>134</v>
      </c>
      <c r="F901" t="s">
        <v>4288</v>
      </c>
      <c r="G901" t="s">
        <v>2485</v>
      </c>
      <c r="H901" t="s">
        <v>653</v>
      </c>
      <c r="I901" t="s">
        <v>4289</v>
      </c>
      <c r="J901" s="2">
        <v>174536</v>
      </c>
      <c r="K901" s="2">
        <v>800</v>
      </c>
      <c r="L901" s="2">
        <v>15</v>
      </c>
      <c r="M901" s="2">
        <v>0</v>
      </c>
      <c r="N901" t="s">
        <v>652</v>
      </c>
      <c r="O901" t="s">
        <v>653</v>
      </c>
      <c r="P901" t="s">
        <v>69</v>
      </c>
      <c r="Q901" t="s">
        <v>70</v>
      </c>
      <c r="S901" t="s">
        <v>4290</v>
      </c>
      <c r="U901" t="s">
        <v>45</v>
      </c>
      <c r="V901" t="s">
        <v>46</v>
      </c>
      <c r="W901" t="s">
        <v>652</v>
      </c>
      <c r="X901" t="s">
        <v>653</v>
      </c>
      <c r="Y901" t="s">
        <v>72</v>
      </c>
      <c r="Z901" t="s">
        <v>68</v>
      </c>
      <c r="AA901" t="s">
        <v>49</v>
      </c>
      <c r="AB901" t="s">
        <v>50</v>
      </c>
      <c r="AC901" s="2">
        <v>174536</v>
      </c>
      <c r="AD901" t="s">
        <v>64</v>
      </c>
    </row>
    <row r="902" spans="1:31" x14ac:dyDescent="0.25">
      <c r="A902" t="s">
        <v>4291</v>
      </c>
      <c r="B902" t="s">
        <v>4292</v>
      </c>
      <c r="C902" t="s">
        <v>4292</v>
      </c>
      <c r="D902" t="s">
        <v>153</v>
      </c>
      <c r="E902" t="s">
        <v>272</v>
      </c>
      <c r="F902" t="s">
        <v>4293</v>
      </c>
      <c r="G902" t="s">
        <v>1410</v>
      </c>
      <c r="H902" t="s">
        <v>300</v>
      </c>
      <c r="I902" t="s">
        <v>4294</v>
      </c>
      <c r="J902" s="2">
        <v>218170</v>
      </c>
      <c r="K902" s="2">
        <v>1000</v>
      </c>
      <c r="L902" s="2">
        <v>15</v>
      </c>
      <c r="M902" s="2">
        <v>0</v>
      </c>
      <c r="N902" t="s">
        <v>302</v>
      </c>
      <c r="O902" t="s">
        <v>303</v>
      </c>
      <c r="P902" t="s">
        <v>304</v>
      </c>
      <c r="Q902" t="s">
        <v>72</v>
      </c>
      <c r="S902" t="s">
        <v>4295</v>
      </c>
      <c r="U902" t="s">
        <v>45</v>
      </c>
      <c r="V902" t="s">
        <v>46</v>
      </c>
      <c r="W902" t="s">
        <v>302</v>
      </c>
      <c r="X902" t="s">
        <v>303</v>
      </c>
      <c r="Y902" t="s">
        <v>72</v>
      </c>
      <c r="Z902" t="s">
        <v>68</v>
      </c>
      <c r="AA902" t="s">
        <v>49</v>
      </c>
      <c r="AB902" t="s">
        <v>50</v>
      </c>
      <c r="AC902" s="2">
        <v>218170</v>
      </c>
      <c r="AD902" t="s">
        <v>64</v>
      </c>
      <c r="AE902" t="s">
        <v>115</v>
      </c>
    </row>
    <row r="903" spans="1:31" x14ac:dyDescent="0.25">
      <c r="A903" t="s">
        <v>4296</v>
      </c>
      <c r="B903" t="s">
        <v>4297</v>
      </c>
      <c r="C903" t="s">
        <v>4298</v>
      </c>
      <c r="D903" t="s">
        <v>35</v>
      </c>
      <c r="E903" t="s">
        <v>36</v>
      </c>
      <c r="F903" t="s">
        <v>4299</v>
      </c>
      <c r="G903" t="s">
        <v>35</v>
      </c>
      <c r="H903" t="s">
        <v>4300</v>
      </c>
      <c r="J903" s="2">
        <v>2181700</v>
      </c>
      <c r="K903" s="2">
        <v>10000</v>
      </c>
      <c r="L903" s="2">
        <v>30</v>
      </c>
      <c r="M903" s="2">
        <v>0</v>
      </c>
      <c r="N903" t="s">
        <v>4301</v>
      </c>
      <c r="O903" t="s">
        <v>4302</v>
      </c>
      <c r="P903" t="s">
        <v>158</v>
      </c>
      <c r="Q903" t="s">
        <v>159</v>
      </c>
      <c r="S903" t="s">
        <v>4303</v>
      </c>
      <c r="U903" t="s">
        <v>45</v>
      </c>
      <c r="V903" t="s">
        <v>46</v>
      </c>
      <c r="W903" t="s">
        <v>4301</v>
      </c>
      <c r="X903" t="s">
        <v>4302</v>
      </c>
      <c r="Y903" t="s">
        <v>161</v>
      </c>
      <c r="Z903" t="s">
        <v>162</v>
      </c>
      <c r="AA903" t="s">
        <v>49</v>
      </c>
      <c r="AB903" t="s">
        <v>50</v>
      </c>
      <c r="AC903" s="2">
        <v>618576.55000000005</v>
      </c>
      <c r="AD903" t="s">
        <v>4304</v>
      </c>
      <c r="AE903" t="s">
        <v>52</v>
      </c>
    </row>
    <row r="904" spans="1:31" hidden="1" x14ac:dyDescent="0.25">
      <c r="I904" t="s">
        <v>4305</v>
      </c>
      <c r="J904" s="2">
        <v>21817</v>
      </c>
      <c r="K904" s="2">
        <v>100</v>
      </c>
      <c r="L904" s="2">
        <v>1</v>
      </c>
      <c r="M904" s="2">
        <v>0</v>
      </c>
      <c r="S904" t="s">
        <v>4306</v>
      </c>
      <c r="U904" t="s">
        <v>45</v>
      </c>
      <c r="V904" t="s">
        <v>46</v>
      </c>
      <c r="W904" t="s">
        <v>822</v>
      </c>
      <c r="X904" t="s">
        <v>820</v>
      </c>
      <c r="Y904" t="s">
        <v>92</v>
      </c>
      <c r="Z904" t="s">
        <v>94</v>
      </c>
      <c r="AA904" t="s">
        <v>49</v>
      </c>
      <c r="AC904" s="2"/>
    </row>
    <row r="905" spans="1:31" hidden="1" x14ac:dyDescent="0.25">
      <c r="I905" t="s">
        <v>4307</v>
      </c>
      <c r="J905" s="2">
        <v>1000</v>
      </c>
      <c r="K905" s="2">
        <v>0</v>
      </c>
      <c r="L905" s="2">
        <v>1</v>
      </c>
      <c r="M905" s="2">
        <v>0</v>
      </c>
      <c r="S905" t="s">
        <v>4308</v>
      </c>
      <c r="U905" t="s">
        <v>45</v>
      </c>
      <c r="V905" t="s">
        <v>46</v>
      </c>
      <c r="W905" t="s">
        <v>445</v>
      </c>
      <c r="X905" t="s">
        <v>446</v>
      </c>
      <c r="Y905" t="s">
        <v>72</v>
      </c>
      <c r="Z905" t="s">
        <v>68</v>
      </c>
      <c r="AA905" t="s">
        <v>49</v>
      </c>
      <c r="AC905" s="2"/>
    </row>
    <row r="906" spans="1:31" hidden="1" x14ac:dyDescent="0.25">
      <c r="I906" t="s">
        <v>1069</v>
      </c>
      <c r="J906" s="2">
        <v>2182</v>
      </c>
      <c r="K906" s="2">
        <v>10</v>
      </c>
      <c r="L906" s="2">
        <v>1</v>
      </c>
      <c r="M906" s="2">
        <v>0</v>
      </c>
      <c r="S906" t="s">
        <v>4309</v>
      </c>
      <c r="U906" t="s">
        <v>45</v>
      </c>
      <c r="V906" t="s">
        <v>46</v>
      </c>
      <c r="W906" t="s">
        <v>966</v>
      </c>
      <c r="X906" t="s">
        <v>964</v>
      </c>
      <c r="Y906" t="s">
        <v>72</v>
      </c>
      <c r="Z906" t="s">
        <v>68</v>
      </c>
      <c r="AA906" t="s">
        <v>49</v>
      </c>
      <c r="AC906" s="2"/>
    </row>
    <row r="907" spans="1:31" x14ac:dyDescent="0.25">
      <c r="A907" t="s">
        <v>4310</v>
      </c>
      <c r="B907" t="s">
        <v>4311</v>
      </c>
      <c r="C907" t="s">
        <v>4311</v>
      </c>
      <c r="D907" t="s">
        <v>569</v>
      </c>
      <c r="E907" t="s">
        <v>570</v>
      </c>
      <c r="F907" t="s">
        <v>4312</v>
      </c>
      <c r="G907" t="s">
        <v>297</v>
      </c>
      <c r="H907" t="s">
        <v>4313</v>
      </c>
      <c r="I907" t="s">
        <v>4314</v>
      </c>
      <c r="J907" s="2">
        <v>100123</v>
      </c>
      <c r="K907" s="2">
        <v>458.92</v>
      </c>
      <c r="L907" s="2">
        <v>1</v>
      </c>
      <c r="M907" s="2">
        <v>0</v>
      </c>
      <c r="N907" t="s">
        <v>624</v>
      </c>
      <c r="O907" t="s">
        <v>622</v>
      </c>
      <c r="P907" t="s">
        <v>4315</v>
      </c>
      <c r="Q907" t="s">
        <v>4316</v>
      </c>
      <c r="S907" t="s">
        <v>4317</v>
      </c>
      <c r="U907" t="s">
        <v>45</v>
      </c>
      <c r="V907" t="s">
        <v>46</v>
      </c>
      <c r="W907" t="s">
        <v>624</v>
      </c>
      <c r="X907" t="s">
        <v>622</v>
      </c>
      <c r="Y907" t="s">
        <v>92</v>
      </c>
      <c r="Z907" t="s">
        <v>94</v>
      </c>
      <c r="AA907" t="s">
        <v>49</v>
      </c>
      <c r="AB907" t="s">
        <v>50</v>
      </c>
      <c r="AC907" s="2">
        <v>100123</v>
      </c>
      <c r="AD907" t="s">
        <v>64</v>
      </c>
    </row>
    <row r="908" spans="1:31" x14ac:dyDescent="0.25">
      <c r="A908" t="s">
        <v>4318</v>
      </c>
      <c r="B908" t="s">
        <v>4319</v>
      </c>
      <c r="C908" t="s">
        <v>4319</v>
      </c>
      <c r="D908" t="s">
        <v>35</v>
      </c>
      <c r="E908" t="s">
        <v>36</v>
      </c>
      <c r="F908" t="s">
        <v>4320</v>
      </c>
      <c r="H908" t="s">
        <v>38</v>
      </c>
      <c r="I908" t="s">
        <v>4321</v>
      </c>
      <c r="J908" s="2">
        <v>21817</v>
      </c>
      <c r="K908" s="2">
        <v>100</v>
      </c>
      <c r="L908" s="2">
        <v>15</v>
      </c>
      <c r="M908" s="2">
        <v>0</v>
      </c>
      <c r="N908" t="s">
        <v>40</v>
      </c>
      <c r="O908" t="s">
        <v>41</v>
      </c>
      <c r="P908" t="s">
        <v>42</v>
      </c>
      <c r="Q908" t="s">
        <v>43</v>
      </c>
      <c r="S908" t="s">
        <v>4322</v>
      </c>
      <c r="U908" t="s">
        <v>45</v>
      </c>
      <c r="V908" t="s">
        <v>46</v>
      </c>
      <c r="W908" t="s">
        <v>40</v>
      </c>
      <c r="X908" t="s">
        <v>41</v>
      </c>
      <c r="Y908" t="s">
        <v>47</v>
      </c>
      <c r="Z908" t="s">
        <v>48</v>
      </c>
      <c r="AA908" t="s">
        <v>141</v>
      </c>
      <c r="AB908" t="s">
        <v>50</v>
      </c>
      <c r="AC908" s="2">
        <v>20609.18</v>
      </c>
      <c r="AD908" t="s">
        <v>4323</v>
      </c>
    </row>
    <row r="909" spans="1:31" x14ac:dyDescent="0.25">
      <c r="A909" t="s">
        <v>4324</v>
      </c>
      <c r="B909" t="s">
        <v>4325</v>
      </c>
      <c r="C909" t="s">
        <v>4325</v>
      </c>
      <c r="D909" t="s">
        <v>35</v>
      </c>
      <c r="E909" t="s">
        <v>36</v>
      </c>
      <c r="F909" t="s">
        <v>4326</v>
      </c>
      <c r="G909" t="s">
        <v>153</v>
      </c>
      <c r="H909" t="s">
        <v>1062</v>
      </c>
      <c r="I909" t="s">
        <v>4327</v>
      </c>
      <c r="J909" s="2">
        <v>159264</v>
      </c>
      <c r="K909" s="2">
        <v>730</v>
      </c>
      <c r="L909" s="2">
        <v>15</v>
      </c>
      <c r="M909" s="2">
        <v>0</v>
      </c>
      <c r="N909" t="s">
        <v>1064</v>
      </c>
      <c r="O909" t="s">
        <v>1062</v>
      </c>
      <c r="P909" t="s">
        <v>304</v>
      </c>
      <c r="Q909" t="s">
        <v>72</v>
      </c>
      <c r="S909" t="s">
        <v>4328</v>
      </c>
      <c r="U909" t="s">
        <v>45</v>
      </c>
      <c r="V909" t="s">
        <v>46</v>
      </c>
      <c r="W909" t="s">
        <v>1064</v>
      </c>
      <c r="X909" t="s">
        <v>1062</v>
      </c>
      <c r="Y909" t="s">
        <v>72</v>
      </c>
      <c r="Z909" t="s">
        <v>68</v>
      </c>
      <c r="AA909" t="s">
        <v>49</v>
      </c>
      <c r="AB909" t="s">
        <v>50</v>
      </c>
      <c r="AC909" s="2">
        <v>87409.23</v>
      </c>
      <c r="AD909" t="s">
        <v>4329</v>
      </c>
      <c r="AE909" t="s">
        <v>115</v>
      </c>
    </row>
    <row r="910" spans="1:31" x14ac:dyDescent="0.25">
      <c r="A910" t="s">
        <v>4330</v>
      </c>
      <c r="B910" t="s">
        <v>4331</v>
      </c>
      <c r="C910" t="s">
        <v>4331</v>
      </c>
      <c r="D910" t="s">
        <v>344</v>
      </c>
      <c r="E910" t="s">
        <v>167</v>
      </c>
      <c r="F910" t="s">
        <v>4332</v>
      </c>
      <c r="G910" t="s">
        <v>344</v>
      </c>
      <c r="H910" t="s">
        <v>1581</v>
      </c>
      <c r="I910" t="s">
        <v>4333</v>
      </c>
      <c r="J910" s="2">
        <v>218170</v>
      </c>
      <c r="K910" s="2">
        <v>1000</v>
      </c>
      <c r="L910" s="2">
        <v>18</v>
      </c>
      <c r="M910" s="2">
        <v>0</v>
      </c>
      <c r="N910" t="s">
        <v>203</v>
      </c>
      <c r="O910" t="s">
        <v>204</v>
      </c>
      <c r="P910" t="s">
        <v>205</v>
      </c>
      <c r="Q910" t="s">
        <v>206</v>
      </c>
      <c r="S910" t="s">
        <v>4334</v>
      </c>
      <c r="U910" t="s">
        <v>45</v>
      </c>
      <c r="V910" t="s">
        <v>46</v>
      </c>
      <c r="W910" t="s">
        <v>203</v>
      </c>
      <c r="X910" t="s">
        <v>204</v>
      </c>
      <c r="Y910" t="s">
        <v>161</v>
      </c>
      <c r="Z910" t="s">
        <v>162</v>
      </c>
      <c r="AA910" t="s">
        <v>49</v>
      </c>
      <c r="AB910" t="s">
        <v>50</v>
      </c>
      <c r="AC910" s="2">
        <v>97791.26</v>
      </c>
      <c r="AD910" t="s">
        <v>4335</v>
      </c>
      <c r="AE910" t="s">
        <v>52</v>
      </c>
    </row>
    <row r="911" spans="1:31" hidden="1" x14ac:dyDescent="0.25">
      <c r="A911" s="10" t="s">
        <v>4336</v>
      </c>
      <c r="B911" s="10" t="s">
        <v>4337</v>
      </c>
      <c r="C911" t="s">
        <v>4337</v>
      </c>
      <c r="D911" t="s">
        <v>55</v>
      </c>
      <c r="E911" t="s">
        <v>56</v>
      </c>
      <c r="F911" t="s">
        <v>4338</v>
      </c>
      <c r="H911" t="s">
        <v>38</v>
      </c>
      <c r="I911" t="s">
        <v>4339</v>
      </c>
      <c r="J911" s="2">
        <v>10915</v>
      </c>
      <c r="K911" s="2">
        <v>0</v>
      </c>
      <c r="L911" s="2">
        <v>15</v>
      </c>
      <c r="M911" s="2">
        <v>0</v>
      </c>
      <c r="N911" t="s">
        <v>40</v>
      </c>
      <c r="O911" t="s">
        <v>41</v>
      </c>
      <c r="P911" t="s">
        <v>61</v>
      </c>
      <c r="Q911" t="s">
        <v>62</v>
      </c>
      <c r="S911" t="s">
        <v>4340</v>
      </c>
      <c r="U911" t="s">
        <v>45</v>
      </c>
      <c r="V911" t="s">
        <v>46</v>
      </c>
      <c r="W911" t="s">
        <v>40</v>
      </c>
      <c r="X911" t="s">
        <v>41</v>
      </c>
      <c r="Y911" t="s">
        <v>47</v>
      </c>
      <c r="Z911" t="s">
        <v>48</v>
      </c>
      <c r="AA911" t="s">
        <v>49</v>
      </c>
      <c r="AB911" t="s">
        <v>142</v>
      </c>
      <c r="AC911" s="2">
        <v>10915</v>
      </c>
      <c r="AD911" t="s">
        <v>64</v>
      </c>
    </row>
    <row r="912" spans="1:31" x14ac:dyDescent="0.25">
      <c r="A912" t="s">
        <v>4341</v>
      </c>
      <c r="B912" t="s">
        <v>4342</v>
      </c>
      <c r="C912" t="s">
        <v>4342</v>
      </c>
      <c r="D912" t="s">
        <v>870</v>
      </c>
      <c r="E912" t="s">
        <v>871</v>
      </c>
      <c r="F912" t="s">
        <v>4343</v>
      </c>
      <c r="G912" t="s">
        <v>1329</v>
      </c>
      <c r="H912" t="s">
        <v>1898</v>
      </c>
      <c r="I912" t="s">
        <v>4344</v>
      </c>
      <c r="J912" s="2">
        <v>1527190</v>
      </c>
      <c r="K912" s="2">
        <v>7000</v>
      </c>
      <c r="L912" s="2">
        <v>15</v>
      </c>
      <c r="M912" s="2">
        <v>0</v>
      </c>
      <c r="N912" t="s">
        <v>1900</v>
      </c>
      <c r="O912" t="s">
        <v>1901</v>
      </c>
      <c r="P912" t="s">
        <v>158</v>
      </c>
      <c r="Q912" t="s">
        <v>159</v>
      </c>
      <c r="S912" t="s">
        <v>4345</v>
      </c>
      <c r="U912" t="s">
        <v>45</v>
      </c>
      <c r="V912" t="s">
        <v>46</v>
      </c>
      <c r="W912" t="s">
        <v>1900</v>
      </c>
      <c r="X912" t="s">
        <v>1901</v>
      </c>
      <c r="Y912" t="s">
        <v>161</v>
      </c>
      <c r="Z912" t="s">
        <v>162</v>
      </c>
      <c r="AA912" t="s">
        <v>49</v>
      </c>
      <c r="AB912" t="s">
        <v>50</v>
      </c>
      <c r="AC912" s="2">
        <v>1399774.33</v>
      </c>
      <c r="AD912" t="s">
        <v>4346</v>
      </c>
    </row>
    <row r="913" spans="1:31" x14ac:dyDescent="0.25">
      <c r="A913" t="s">
        <v>4347</v>
      </c>
      <c r="B913" t="s">
        <v>4348</v>
      </c>
      <c r="C913" t="s">
        <v>4348</v>
      </c>
      <c r="D913" t="s">
        <v>870</v>
      </c>
      <c r="E913" t="s">
        <v>871</v>
      </c>
      <c r="F913" t="s">
        <v>4349</v>
      </c>
      <c r="G913" t="s">
        <v>2288</v>
      </c>
      <c r="H913" t="s">
        <v>443</v>
      </c>
      <c r="I913" t="s">
        <v>4350</v>
      </c>
      <c r="J913" s="2">
        <v>76360</v>
      </c>
      <c r="K913" s="2">
        <v>350</v>
      </c>
      <c r="L913" s="2">
        <v>10</v>
      </c>
      <c r="M913" s="2">
        <v>0</v>
      </c>
      <c r="N913" t="s">
        <v>445</v>
      </c>
      <c r="O913" t="s">
        <v>446</v>
      </c>
      <c r="P913" t="s">
        <v>69</v>
      </c>
      <c r="Q913" t="s">
        <v>70</v>
      </c>
      <c r="S913" t="s">
        <v>4351</v>
      </c>
      <c r="U913" t="s">
        <v>45</v>
      </c>
      <c r="V913" t="s">
        <v>46</v>
      </c>
      <c r="W913" t="s">
        <v>445</v>
      </c>
      <c r="X913" t="s">
        <v>446</v>
      </c>
      <c r="Y913" t="s">
        <v>72</v>
      </c>
      <c r="Z913" t="s">
        <v>68</v>
      </c>
      <c r="AA913" t="s">
        <v>49</v>
      </c>
      <c r="AB913" t="s">
        <v>50</v>
      </c>
      <c r="AC913" s="2">
        <v>76360</v>
      </c>
      <c r="AD913" t="s">
        <v>64</v>
      </c>
    </row>
    <row r="914" spans="1:31" x14ac:dyDescent="0.25">
      <c r="A914" t="s">
        <v>4352</v>
      </c>
      <c r="B914" t="s">
        <v>4353</v>
      </c>
      <c r="C914" t="s">
        <v>4353</v>
      </c>
      <c r="D914" t="s">
        <v>153</v>
      </c>
      <c r="E914" t="s">
        <v>272</v>
      </c>
      <c r="F914" t="s">
        <v>4354</v>
      </c>
      <c r="G914" t="s">
        <v>478</v>
      </c>
      <c r="H914" t="s">
        <v>116</v>
      </c>
      <c r="I914" t="s">
        <v>4355</v>
      </c>
      <c r="J914" s="2">
        <v>109085</v>
      </c>
      <c r="K914" s="2">
        <v>500</v>
      </c>
      <c r="L914" s="2">
        <v>15</v>
      </c>
      <c r="M914" s="2">
        <v>0</v>
      </c>
      <c r="N914" t="s">
        <v>118</v>
      </c>
      <c r="O914" t="s">
        <v>119</v>
      </c>
      <c r="P914" t="s">
        <v>120</v>
      </c>
      <c r="Q914" t="s">
        <v>121</v>
      </c>
      <c r="S914" t="s">
        <v>4356</v>
      </c>
      <c r="U914" t="s">
        <v>45</v>
      </c>
      <c r="V914" t="s">
        <v>46</v>
      </c>
      <c r="W914" t="s">
        <v>118</v>
      </c>
      <c r="X914" t="s">
        <v>119</v>
      </c>
      <c r="Y914" t="s">
        <v>121</v>
      </c>
      <c r="Z914" t="s">
        <v>94</v>
      </c>
      <c r="AA914" t="s">
        <v>49</v>
      </c>
      <c r="AB914" t="s">
        <v>50</v>
      </c>
      <c r="AC914" s="2">
        <v>72716.77</v>
      </c>
      <c r="AD914" t="s">
        <v>4357</v>
      </c>
      <c r="AE914" t="s">
        <v>52</v>
      </c>
    </row>
    <row r="915" spans="1:31" hidden="1" x14ac:dyDescent="0.25">
      <c r="I915" t="s">
        <v>4358</v>
      </c>
      <c r="J915" s="2">
        <v>13311</v>
      </c>
      <c r="K915" s="2">
        <v>0</v>
      </c>
      <c r="L915" s="2">
        <v>15</v>
      </c>
      <c r="M915" s="2">
        <v>0</v>
      </c>
      <c r="S915" t="s">
        <v>4359</v>
      </c>
      <c r="U915" t="s">
        <v>45</v>
      </c>
      <c r="V915" t="s">
        <v>46</v>
      </c>
      <c r="W915" t="s">
        <v>118</v>
      </c>
      <c r="X915" t="s">
        <v>119</v>
      </c>
      <c r="Y915" t="s">
        <v>121</v>
      </c>
      <c r="Z915" t="s">
        <v>94</v>
      </c>
      <c r="AA915" t="s">
        <v>49</v>
      </c>
      <c r="AC915" s="2"/>
    </row>
    <row r="916" spans="1:31" hidden="1" x14ac:dyDescent="0.25">
      <c r="I916" t="s">
        <v>4360</v>
      </c>
      <c r="J916" s="2">
        <v>1000</v>
      </c>
      <c r="K916" s="2">
        <v>0</v>
      </c>
      <c r="L916" s="2">
        <v>21</v>
      </c>
      <c r="M916" s="2">
        <v>0</v>
      </c>
      <c r="S916" t="s">
        <v>4361</v>
      </c>
      <c r="U916" t="s">
        <v>45</v>
      </c>
      <c r="V916" t="s">
        <v>46</v>
      </c>
      <c r="W916" t="s">
        <v>302</v>
      </c>
      <c r="X916" t="s">
        <v>303</v>
      </c>
      <c r="Y916" t="s">
        <v>72</v>
      </c>
      <c r="Z916" t="s">
        <v>68</v>
      </c>
      <c r="AA916" t="s">
        <v>49</v>
      </c>
      <c r="AC916" s="2"/>
    </row>
    <row r="917" spans="1:31" x14ac:dyDescent="0.25">
      <c r="A917" t="s">
        <v>4362</v>
      </c>
      <c r="B917" t="s">
        <v>4363</v>
      </c>
      <c r="C917" t="s">
        <v>4363</v>
      </c>
      <c r="D917" t="s">
        <v>35</v>
      </c>
      <c r="E917" t="s">
        <v>36</v>
      </c>
      <c r="F917" t="s">
        <v>4364</v>
      </c>
      <c r="G917" t="s">
        <v>35</v>
      </c>
      <c r="H917" t="s">
        <v>402</v>
      </c>
      <c r="I917" t="s">
        <v>4365</v>
      </c>
      <c r="J917" s="2">
        <v>117435</v>
      </c>
      <c r="K917" s="2">
        <v>500</v>
      </c>
      <c r="L917" s="2">
        <v>15</v>
      </c>
      <c r="M917" s="2">
        <v>0</v>
      </c>
      <c r="N917" t="s">
        <v>403</v>
      </c>
      <c r="O917" t="s">
        <v>404</v>
      </c>
      <c r="P917" t="s">
        <v>205</v>
      </c>
      <c r="Q917" t="s">
        <v>206</v>
      </c>
      <c r="S917" t="s">
        <v>4366</v>
      </c>
      <c r="U917" t="s">
        <v>45</v>
      </c>
      <c r="V917" t="s">
        <v>46</v>
      </c>
      <c r="W917" t="s">
        <v>403</v>
      </c>
      <c r="X917" t="s">
        <v>404</v>
      </c>
      <c r="Y917" t="s">
        <v>161</v>
      </c>
      <c r="Z917" t="s">
        <v>162</v>
      </c>
      <c r="AA917" t="s">
        <v>49</v>
      </c>
      <c r="AB917" t="s">
        <v>50</v>
      </c>
      <c r="AC917" s="2">
        <v>-10227.89</v>
      </c>
      <c r="AD917" t="s">
        <v>4367</v>
      </c>
      <c r="AE917" t="s">
        <v>52</v>
      </c>
    </row>
    <row r="918" spans="1:31" hidden="1" x14ac:dyDescent="0.25">
      <c r="I918" t="s">
        <v>3476</v>
      </c>
      <c r="J918" s="2">
        <v>1000</v>
      </c>
      <c r="K918" s="2">
        <v>0</v>
      </c>
      <c r="L918" s="2">
        <v>1</v>
      </c>
      <c r="M918" s="2">
        <v>0</v>
      </c>
      <c r="S918" t="s">
        <v>4368</v>
      </c>
      <c r="U918" t="s">
        <v>45</v>
      </c>
      <c r="V918" t="s">
        <v>46</v>
      </c>
      <c r="W918" t="s">
        <v>1064</v>
      </c>
      <c r="X918" t="s">
        <v>1062</v>
      </c>
      <c r="Y918" t="s">
        <v>72</v>
      </c>
      <c r="Z918" t="s">
        <v>68</v>
      </c>
      <c r="AA918" t="s">
        <v>49</v>
      </c>
      <c r="AC918" s="2"/>
    </row>
    <row r="919" spans="1:31" hidden="1" x14ac:dyDescent="0.25">
      <c r="I919" t="s">
        <v>4372</v>
      </c>
      <c r="J919" s="2">
        <v>1199935</v>
      </c>
      <c r="K919" s="2">
        <v>5500</v>
      </c>
      <c r="L919" s="2">
        <v>21</v>
      </c>
      <c r="M919" s="2">
        <v>0</v>
      </c>
      <c r="S919" t="s">
        <v>4376</v>
      </c>
      <c r="U919" t="s">
        <v>45</v>
      </c>
      <c r="V919" t="s">
        <v>46</v>
      </c>
      <c r="W919" t="s">
        <v>4373</v>
      </c>
      <c r="X919" t="s">
        <v>4371</v>
      </c>
      <c r="Y919" t="s">
        <v>258</v>
      </c>
      <c r="Z919" t="s">
        <v>259</v>
      </c>
      <c r="AA919" t="s">
        <v>49</v>
      </c>
      <c r="AC919" s="2"/>
    </row>
    <row r="920" spans="1:31" x14ac:dyDescent="0.25">
      <c r="A920" t="s">
        <v>4377</v>
      </c>
      <c r="B920" t="s">
        <v>4378</v>
      </c>
      <c r="C920" t="s">
        <v>4378</v>
      </c>
      <c r="D920" t="s">
        <v>153</v>
      </c>
      <c r="E920" t="s">
        <v>272</v>
      </c>
      <c r="F920" t="s">
        <v>4379</v>
      </c>
      <c r="G920" t="s">
        <v>2687</v>
      </c>
      <c r="H920" t="s">
        <v>4054</v>
      </c>
      <c r="I920" t="s">
        <v>4380</v>
      </c>
      <c r="J920" s="2">
        <v>545425</v>
      </c>
      <c r="K920" s="2">
        <v>2500</v>
      </c>
      <c r="L920" s="2">
        <v>21</v>
      </c>
      <c r="M920" s="2">
        <v>0</v>
      </c>
      <c r="N920" t="s">
        <v>4055</v>
      </c>
      <c r="O920" t="s">
        <v>4056</v>
      </c>
      <c r="P920" t="s">
        <v>205</v>
      </c>
      <c r="Q920" t="s">
        <v>206</v>
      </c>
      <c r="S920" t="s">
        <v>4381</v>
      </c>
      <c r="U920" t="s">
        <v>45</v>
      </c>
      <c r="V920" t="s">
        <v>46</v>
      </c>
      <c r="W920" t="s">
        <v>4055</v>
      </c>
      <c r="X920" t="s">
        <v>4056</v>
      </c>
      <c r="Y920" t="s">
        <v>161</v>
      </c>
      <c r="Z920" t="s">
        <v>162</v>
      </c>
      <c r="AA920" t="s">
        <v>49</v>
      </c>
      <c r="AB920" t="s">
        <v>50</v>
      </c>
      <c r="AC920" s="2">
        <v>545424.05000000005</v>
      </c>
      <c r="AD920" t="s">
        <v>4382</v>
      </c>
    </row>
    <row r="921" spans="1:31" hidden="1" x14ac:dyDescent="0.25">
      <c r="I921" t="s">
        <v>4383</v>
      </c>
      <c r="J921" s="2">
        <v>3700</v>
      </c>
      <c r="K921" s="2">
        <v>0</v>
      </c>
      <c r="L921" s="2">
        <v>7</v>
      </c>
      <c r="M921" s="2">
        <v>0</v>
      </c>
      <c r="S921" t="s">
        <v>4384</v>
      </c>
      <c r="U921" t="s">
        <v>45</v>
      </c>
      <c r="V921" t="s">
        <v>46</v>
      </c>
      <c r="W921" t="s">
        <v>118</v>
      </c>
      <c r="X921" t="s">
        <v>119</v>
      </c>
      <c r="Y921" t="s">
        <v>121</v>
      </c>
      <c r="Z921" t="s">
        <v>94</v>
      </c>
      <c r="AA921" t="s">
        <v>49</v>
      </c>
      <c r="AC921" s="2"/>
    </row>
    <row r="922" spans="1:31" hidden="1" x14ac:dyDescent="0.25">
      <c r="J922" s="2">
        <v>1000</v>
      </c>
      <c r="K922" s="2">
        <v>0</v>
      </c>
      <c r="L922" s="2">
        <v>1</v>
      </c>
      <c r="M922" s="2">
        <v>0</v>
      </c>
      <c r="S922" t="s">
        <v>4387</v>
      </c>
      <c r="U922" t="s">
        <v>45</v>
      </c>
      <c r="V922" t="s">
        <v>46</v>
      </c>
      <c r="W922" t="s">
        <v>4385</v>
      </c>
      <c r="X922" t="s">
        <v>4386</v>
      </c>
      <c r="Y922" t="s">
        <v>72</v>
      </c>
      <c r="Z922" t="s">
        <v>68</v>
      </c>
      <c r="AA922" t="s">
        <v>49</v>
      </c>
      <c r="AC922" s="2"/>
    </row>
    <row r="923" spans="1:31" x14ac:dyDescent="0.25">
      <c r="A923" t="s">
        <v>4388</v>
      </c>
      <c r="B923" t="s">
        <v>4389</v>
      </c>
      <c r="C923" t="s">
        <v>4390</v>
      </c>
      <c r="D923" t="s">
        <v>2120</v>
      </c>
      <c r="E923" t="s">
        <v>224</v>
      </c>
      <c r="F923" t="s">
        <v>505</v>
      </c>
      <c r="G923" t="s">
        <v>4391</v>
      </c>
      <c r="H923" t="s">
        <v>87</v>
      </c>
      <c r="I923" t="s">
        <v>4392</v>
      </c>
      <c r="J923" s="2">
        <v>218170</v>
      </c>
      <c r="K923" s="2">
        <v>1000</v>
      </c>
      <c r="L923" s="2">
        <v>21</v>
      </c>
      <c r="M923" s="2">
        <v>0</v>
      </c>
      <c r="N923" t="s">
        <v>89</v>
      </c>
      <c r="O923" t="s">
        <v>90</v>
      </c>
      <c r="P923" t="s">
        <v>91</v>
      </c>
      <c r="Q923" t="s">
        <v>92</v>
      </c>
      <c r="S923" t="s">
        <v>4393</v>
      </c>
      <c r="U923" t="s">
        <v>45</v>
      </c>
      <c r="V923" t="s">
        <v>46</v>
      </c>
      <c r="W923" t="s">
        <v>89</v>
      </c>
      <c r="X923" t="s">
        <v>90</v>
      </c>
      <c r="Y923" t="s">
        <v>92</v>
      </c>
      <c r="Z923" t="s">
        <v>94</v>
      </c>
      <c r="AA923" t="s">
        <v>49</v>
      </c>
      <c r="AB923" t="s">
        <v>50</v>
      </c>
      <c r="AC923" s="2">
        <v>155104.57</v>
      </c>
      <c r="AD923" t="s">
        <v>4394</v>
      </c>
    </row>
    <row r="924" spans="1:31" x14ac:dyDescent="0.25">
      <c r="A924" t="s">
        <v>4395</v>
      </c>
      <c r="B924" t="s">
        <v>4396</v>
      </c>
      <c r="C924" t="s">
        <v>4396</v>
      </c>
      <c r="D924" t="s">
        <v>569</v>
      </c>
      <c r="E924" t="s">
        <v>570</v>
      </c>
      <c r="F924" t="s">
        <v>4397</v>
      </c>
      <c r="G924" t="s">
        <v>178</v>
      </c>
      <c r="H924" t="s">
        <v>358</v>
      </c>
      <c r="J924" s="2">
        <v>436340</v>
      </c>
      <c r="K924" s="2">
        <v>2000</v>
      </c>
      <c r="L924" s="2">
        <v>15</v>
      </c>
      <c r="M924" s="2">
        <v>0</v>
      </c>
      <c r="N924" t="s">
        <v>360</v>
      </c>
      <c r="O924" t="s">
        <v>361</v>
      </c>
      <c r="P924" t="s">
        <v>61</v>
      </c>
      <c r="Q924" t="s">
        <v>62</v>
      </c>
      <c r="S924" t="s">
        <v>4398</v>
      </c>
      <c r="U924" t="s">
        <v>45</v>
      </c>
      <c r="V924" t="s">
        <v>46</v>
      </c>
      <c r="W924" t="s">
        <v>360</v>
      </c>
      <c r="X924" t="s">
        <v>361</v>
      </c>
      <c r="Y924" t="s">
        <v>47</v>
      </c>
      <c r="Z924" t="s">
        <v>48</v>
      </c>
      <c r="AA924" t="s">
        <v>49</v>
      </c>
      <c r="AB924" t="s">
        <v>50</v>
      </c>
      <c r="AC924" s="2">
        <v>301704.78000000003</v>
      </c>
      <c r="AD924" t="s">
        <v>4399</v>
      </c>
      <c r="AE924" t="s">
        <v>115</v>
      </c>
    </row>
    <row r="925" spans="1:31" x14ac:dyDescent="0.25">
      <c r="A925" t="s">
        <v>4400</v>
      </c>
      <c r="B925" t="s">
        <v>4401</v>
      </c>
      <c r="C925" t="s">
        <v>4401</v>
      </c>
      <c r="D925" t="s">
        <v>4402</v>
      </c>
      <c r="E925" t="s">
        <v>134</v>
      </c>
      <c r="F925" t="s">
        <v>4403</v>
      </c>
      <c r="G925" t="s">
        <v>1094</v>
      </c>
      <c r="H925" t="s">
        <v>255</v>
      </c>
      <c r="J925" s="2">
        <v>109085</v>
      </c>
      <c r="K925" s="2">
        <v>500</v>
      </c>
      <c r="L925" s="2">
        <v>15</v>
      </c>
      <c r="M925" s="2">
        <v>0</v>
      </c>
      <c r="N925" t="s">
        <v>254</v>
      </c>
      <c r="O925" t="s">
        <v>255</v>
      </c>
      <c r="P925" t="s">
        <v>3534</v>
      </c>
      <c r="Q925" t="s">
        <v>3535</v>
      </c>
      <c r="S925" t="s">
        <v>4404</v>
      </c>
      <c r="U925" t="s">
        <v>45</v>
      </c>
      <c r="V925" t="s">
        <v>46</v>
      </c>
      <c r="W925" t="s">
        <v>254</v>
      </c>
      <c r="X925" t="s">
        <v>255</v>
      </c>
      <c r="Y925" t="s">
        <v>258</v>
      </c>
      <c r="Z925" t="s">
        <v>259</v>
      </c>
      <c r="AA925" t="s">
        <v>49</v>
      </c>
      <c r="AB925" t="s">
        <v>50</v>
      </c>
      <c r="AC925" s="2">
        <v>24372.81</v>
      </c>
      <c r="AD925" t="s">
        <v>4405</v>
      </c>
      <c r="AE925" t="s">
        <v>115</v>
      </c>
    </row>
    <row r="926" spans="1:31" hidden="1" x14ac:dyDescent="0.25">
      <c r="I926" t="s">
        <v>4406</v>
      </c>
      <c r="J926" s="2">
        <v>1000</v>
      </c>
      <c r="K926" s="2">
        <v>0</v>
      </c>
      <c r="L926" s="2">
        <v>1</v>
      </c>
      <c r="M926" s="2">
        <v>0</v>
      </c>
      <c r="S926" t="s">
        <v>4407</v>
      </c>
      <c r="U926" t="s">
        <v>45</v>
      </c>
      <c r="V926" t="s">
        <v>46</v>
      </c>
      <c r="W926" t="s">
        <v>445</v>
      </c>
      <c r="X926" t="s">
        <v>446</v>
      </c>
      <c r="Y926" t="s">
        <v>72</v>
      </c>
      <c r="Z926" t="s">
        <v>68</v>
      </c>
      <c r="AA926" t="s">
        <v>49</v>
      </c>
      <c r="AC926" s="2"/>
    </row>
    <row r="927" spans="1:31" x14ac:dyDescent="0.25">
      <c r="A927" t="s">
        <v>4408</v>
      </c>
      <c r="B927" t="s">
        <v>4409</v>
      </c>
      <c r="C927" t="s">
        <v>4409</v>
      </c>
      <c r="D927" t="s">
        <v>35</v>
      </c>
      <c r="E927" t="s">
        <v>36</v>
      </c>
      <c r="F927" t="s">
        <v>4410</v>
      </c>
      <c r="G927" t="s">
        <v>569</v>
      </c>
      <c r="H927" t="s">
        <v>4411</v>
      </c>
      <c r="J927" s="2">
        <v>536055</v>
      </c>
      <c r="K927" s="2">
        <v>2267</v>
      </c>
      <c r="L927" s="2">
        <v>30</v>
      </c>
      <c r="M927" s="2">
        <v>0</v>
      </c>
      <c r="N927" t="s">
        <v>4412</v>
      </c>
      <c r="O927" t="s">
        <v>4413</v>
      </c>
      <c r="P927" t="s">
        <v>91</v>
      </c>
      <c r="Q927" t="s">
        <v>92</v>
      </c>
      <c r="S927" t="s">
        <v>4414</v>
      </c>
      <c r="U927" t="s">
        <v>45</v>
      </c>
      <c r="V927" t="s">
        <v>46</v>
      </c>
      <c r="W927" t="s">
        <v>4412</v>
      </c>
      <c r="X927" t="s">
        <v>4413</v>
      </c>
      <c r="Y927" t="s">
        <v>92</v>
      </c>
      <c r="Z927" t="s">
        <v>94</v>
      </c>
      <c r="AA927" t="s">
        <v>49</v>
      </c>
      <c r="AB927" t="s">
        <v>50</v>
      </c>
      <c r="AC927" s="2">
        <v>118388.61</v>
      </c>
      <c r="AD927" t="s">
        <v>4415</v>
      </c>
      <c r="AE927" t="s">
        <v>52</v>
      </c>
    </row>
    <row r="928" spans="1:31" hidden="1" x14ac:dyDescent="0.25">
      <c r="A928" t="s">
        <v>4416</v>
      </c>
      <c r="B928" t="s">
        <v>4417</v>
      </c>
      <c r="C928" t="s">
        <v>4417</v>
      </c>
      <c r="D928" t="s">
        <v>55</v>
      </c>
      <c r="E928" t="s">
        <v>56</v>
      </c>
      <c r="F928" t="s">
        <v>648</v>
      </c>
      <c r="J928" s="2">
        <v>1000</v>
      </c>
      <c r="K928" s="2">
        <v>0</v>
      </c>
      <c r="L928" s="2">
        <v>1</v>
      </c>
      <c r="M928" s="2">
        <v>0</v>
      </c>
      <c r="N928" t="s">
        <v>652</v>
      </c>
      <c r="O928" t="s">
        <v>653</v>
      </c>
      <c r="P928" t="s">
        <v>304</v>
      </c>
      <c r="Q928" t="s">
        <v>72</v>
      </c>
      <c r="U928" t="s">
        <v>45</v>
      </c>
      <c r="V928" t="s">
        <v>46</v>
      </c>
      <c r="W928" t="s">
        <v>652</v>
      </c>
      <c r="X928" t="s">
        <v>653</v>
      </c>
      <c r="Y928" t="s">
        <v>72</v>
      </c>
      <c r="Z928" t="s">
        <v>68</v>
      </c>
      <c r="AA928" t="s">
        <v>49</v>
      </c>
      <c r="AB928" t="s">
        <v>50</v>
      </c>
      <c r="AC928" s="2">
        <v>1000</v>
      </c>
      <c r="AD928" t="s">
        <v>64</v>
      </c>
    </row>
    <row r="929" spans="1:31" x14ac:dyDescent="0.25">
      <c r="A929" t="s">
        <v>4418</v>
      </c>
      <c r="B929" t="s">
        <v>4419</v>
      </c>
      <c r="C929" t="s">
        <v>4419</v>
      </c>
      <c r="D929" t="s">
        <v>35</v>
      </c>
      <c r="E929" t="s">
        <v>36</v>
      </c>
      <c r="F929" t="s">
        <v>4420</v>
      </c>
      <c r="G929" t="s">
        <v>153</v>
      </c>
      <c r="H929" t="s">
        <v>4421</v>
      </c>
      <c r="I929" t="s">
        <v>4422</v>
      </c>
      <c r="J929" s="2">
        <v>152719</v>
      </c>
      <c r="K929" s="2">
        <v>700</v>
      </c>
      <c r="L929" s="2">
        <v>15</v>
      </c>
      <c r="M929" s="2">
        <v>0</v>
      </c>
      <c r="N929" t="s">
        <v>4423</v>
      </c>
      <c r="O929" t="s">
        <v>4424</v>
      </c>
      <c r="P929" t="s">
        <v>120</v>
      </c>
      <c r="Q929" t="s">
        <v>121</v>
      </c>
      <c r="S929" t="s">
        <v>4425</v>
      </c>
      <c r="U929" t="s">
        <v>45</v>
      </c>
      <c r="V929" t="s">
        <v>46</v>
      </c>
      <c r="W929" t="s">
        <v>4423</v>
      </c>
      <c r="X929" t="s">
        <v>4424</v>
      </c>
      <c r="Y929" t="s">
        <v>121</v>
      </c>
      <c r="Z929" t="s">
        <v>94</v>
      </c>
      <c r="AA929" t="s">
        <v>49</v>
      </c>
      <c r="AB929" t="s">
        <v>50</v>
      </c>
      <c r="AC929" s="2">
        <v>152688.71</v>
      </c>
      <c r="AD929" t="s">
        <v>4426</v>
      </c>
    </row>
    <row r="930" spans="1:31" x14ac:dyDescent="0.25">
      <c r="A930" t="s">
        <v>4427</v>
      </c>
      <c r="B930" t="s">
        <v>4428</v>
      </c>
      <c r="C930" t="s">
        <v>4428</v>
      </c>
      <c r="D930" t="s">
        <v>344</v>
      </c>
      <c r="E930" t="s">
        <v>167</v>
      </c>
      <c r="F930" t="s">
        <v>4429</v>
      </c>
      <c r="G930" t="s">
        <v>344</v>
      </c>
      <c r="H930" t="s">
        <v>324</v>
      </c>
      <c r="I930" t="s">
        <v>4430</v>
      </c>
      <c r="J930" s="2">
        <v>174536</v>
      </c>
      <c r="K930" s="2">
        <v>800</v>
      </c>
      <c r="L930" s="2">
        <v>21</v>
      </c>
      <c r="M930" s="2">
        <v>0</v>
      </c>
      <c r="N930" t="s">
        <v>326</v>
      </c>
      <c r="O930" t="s">
        <v>327</v>
      </c>
      <c r="P930" t="s">
        <v>120</v>
      </c>
      <c r="Q930" t="s">
        <v>121</v>
      </c>
      <c r="S930" t="s">
        <v>4431</v>
      </c>
      <c r="U930" t="s">
        <v>45</v>
      </c>
      <c r="V930" t="s">
        <v>46</v>
      </c>
      <c r="W930" t="s">
        <v>326</v>
      </c>
      <c r="X930" t="s">
        <v>327</v>
      </c>
      <c r="Y930" t="s">
        <v>121</v>
      </c>
      <c r="Z930" t="s">
        <v>94</v>
      </c>
      <c r="AA930" t="s">
        <v>49</v>
      </c>
      <c r="AB930" t="s">
        <v>50</v>
      </c>
      <c r="AC930" s="2">
        <v>138807.60999999999</v>
      </c>
      <c r="AD930" t="s">
        <v>4432</v>
      </c>
      <c r="AE930" t="s">
        <v>52</v>
      </c>
    </row>
    <row r="931" spans="1:31" hidden="1" x14ac:dyDescent="0.25">
      <c r="I931" t="s">
        <v>4433</v>
      </c>
      <c r="J931" s="2">
        <v>21817</v>
      </c>
      <c r="K931" s="2">
        <v>100</v>
      </c>
      <c r="L931" s="2">
        <v>1</v>
      </c>
      <c r="M931" s="2">
        <v>0</v>
      </c>
      <c r="S931" t="s">
        <v>4434</v>
      </c>
      <c r="U931" t="s">
        <v>45</v>
      </c>
      <c r="V931" t="s">
        <v>46</v>
      </c>
      <c r="W931" t="s">
        <v>1362</v>
      </c>
      <c r="X931" t="s">
        <v>1360</v>
      </c>
      <c r="Y931" t="s">
        <v>1215</v>
      </c>
      <c r="Z931" t="s">
        <v>1216</v>
      </c>
      <c r="AA931" t="s">
        <v>49</v>
      </c>
      <c r="AC931" s="2"/>
    </row>
    <row r="932" spans="1:31" x14ac:dyDescent="0.25">
      <c r="A932" t="s">
        <v>4435</v>
      </c>
      <c r="B932" t="s">
        <v>4436</v>
      </c>
      <c r="C932" t="s">
        <v>4437</v>
      </c>
      <c r="D932" t="s">
        <v>35</v>
      </c>
      <c r="E932" t="s">
        <v>36</v>
      </c>
      <c r="F932" t="s">
        <v>4438</v>
      </c>
      <c r="G932" t="s">
        <v>649</v>
      </c>
      <c r="H932" t="s">
        <v>4421</v>
      </c>
      <c r="I932" t="s">
        <v>4439</v>
      </c>
      <c r="J932" s="2">
        <v>327255</v>
      </c>
      <c r="K932" s="2">
        <v>1500</v>
      </c>
      <c r="L932" s="2">
        <v>21</v>
      </c>
      <c r="M932" s="2">
        <v>0</v>
      </c>
      <c r="N932" t="s">
        <v>4423</v>
      </c>
      <c r="O932" t="s">
        <v>4424</v>
      </c>
      <c r="P932" t="s">
        <v>120</v>
      </c>
      <c r="Q932" t="s">
        <v>121</v>
      </c>
      <c r="S932" t="s">
        <v>4440</v>
      </c>
      <c r="U932" t="s">
        <v>45</v>
      </c>
      <c r="V932" t="s">
        <v>46</v>
      </c>
      <c r="W932" t="s">
        <v>4423</v>
      </c>
      <c r="X932" t="s">
        <v>4424</v>
      </c>
      <c r="Y932" t="s">
        <v>121</v>
      </c>
      <c r="Z932" t="s">
        <v>94</v>
      </c>
      <c r="AA932" t="s">
        <v>49</v>
      </c>
      <c r="AB932" t="s">
        <v>50</v>
      </c>
      <c r="AC932" s="2">
        <v>138555.84</v>
      </c>
      <c r="AD932" t="s">
        <v>4441</v>
      </c>
    </row>
    <row r="933" spans="1:31" x14ac:dyDescent="0.25">
      <c r="A933" t="s">
        <v>4442</v>
      </c>
      <c r="B933" t="s">
        <v>4443</v>
      </c>
      <c r="C933" t="s">
        <v>4443</v>
      </c>
      <c r="D933" t="s">
        <v>125</v>
      </c>
      <c r="E933" t="s">
        <v>126</v>
      </c>
      <c r="F933" t="s">
        <v>4444</v>
      </c>
      <c r="G933" t="s">
        <v>35</v>
      </c>
      <c r="H933" t="s">
        <v>324</v>
      </c>
      <c r="I933" t="s">
        <v>4445</v>
      </c>
      <c r="J933" s="2">
        <v>135119</v>
      </c>
      <c r="K933" s="2">
        <v>550</v>
      </c>
      <c r="L933" s="2">
        <v>1</v>
      </c>
      <c r="M933" s="2">
        <v>0</v>
      </c>
      <c r="N933" t="s">
        <v>326</v>
      </c>
      <c r="O933" t="s">
        <v>327</v>
      </c>
      <c r="P933" t="s">
        <v>120</v>
      </c>
      <c r="Q933" t="s">
        <v>121</v>
      </c>
      <c r="S933" t="s">
        <v>4446</v>
      </c>
      <c r="U933" t="s">
        <v>45</v>
      </c>
      <c r="V933" t="s">
        <v>46</v>
      </c>
      <c r="W933" t="s">
        <v>326</v>
      </c>
      <c r="X933" t="s">
        <v>327</v>
      </c>
      <c r="Y933" t="s">
        <v>121</v>
      </c>
      <c r="Z933" t="s">
        <v>94</v>
      </c>
      <c r="AA933" t="s">
        <v>49</v>
      </c>
      <c r="AB933" t="s">
        <v>50</v>
      </c>
      <c r="AC933" s="2">
        <v>95446.46</v>
      </c>
      <c r="AD933" t="s">
        <v>4447</v>
      </c>
      <c r="AE933" t="s">
        <v>115</v>
      </c>
    </row>
    <row r="934" spans="1:31" hidden="1" x14ac:dyDescent="0.25">
      <c r="I934" t="s">
        <v>4448</v>
      </c>
      <c r="J934" s="2">
        <v>3700</v>
      </c>
      <c r="K934" s="2">
        <v>0</v>
      </c>
      <c r="L934" s="2">
        <v>7</v>
      </c>
      <c r="M934" s="2">
        <v>0</v>
      </c>
      <c r="S934" t="s">
        <v>4451</v>
      </c>
      <c r="U934" t="s">
        <v>45</v>
      </c>
      <c r="V934" t="s">
        <v>46</v>
      </c>
      <c r="W934" t="s">
        <v>4449</v>
      </c>
      <c r="X934" t="s">
        <v>4450</v>
      </c>
      <c r="Y934" t="s">
        <v>2157</v>
      </c>
      <c r="Z934" t="s">
        <v>48</v>
      </c>
      <c r="AA934" t="s">
        <v>49</v>
      </c>
      <c r="AC934" s="2"/>
    </row>
    <row r="935" spans="1:31" x14ac:dyDescent="0.25">
      <c r="A935" t="s">
        <v>4452</v>
      </c>
      <c r="B935" t="s">
        <v>4453</v>
      </c>
      <c r="C935" t="s">
        <v>4453</v>
      </c>
      <c r="D935" t="s">
        <v>189</v>
      </c>
      <c r="E935" t="s">
        <v>190</v>
      </c>
      <c r="F935" t="s">
        <v>4454</v>
      </c>
      <c r="G935" t="s">
        <v>169</v>
      </c>
      <c r="H935" t="s">
        <v>1607</v>
      </c>
      <c r="I935" t="s">
        <v>4455</v>
      </c>
      <c r="J935" s="2">
        <v>234870</v>
      </c>
      <c r="K935" s="2">
        <v>1000</v>
      </c>
      <c r="L935" s="2">
        <v>15</v>
      </c>
      <c r="M935" s="2">
        <v>0</v>
      </c>
      <c r="N935" t="s">
        <v>1221</v>
      </c>
      <c r="O935" t="s">
        <v>1222</v>
      </c>
      <c r="P935" t="s">
        <v>158</v>
      </c>
      <c r="Q935" t="s">
        <v>159</v>
      </c>
      <c r="S935" t="s">
        <v>4456</v>
      </c>
      <c r="U935" t="s">
        <v>45</v>
      </c>
      <c r="V935" t="s">
        <v>46</v>
      </c>
      <c r="W935" t="s">
        <v>1221</v>
      </c>
      <c r="X935" t="s">
        <v>1222</v>
      </c>
      <c r="Y935" t="s">
        <v>161</v>
      </c>
      <c r="Z935" t="s">
        <v>162</v>
      </c>
      <c r="AA935" t="s">
        <v>49</v>
      </c>
      <c r="AB935" t="s">
        <v>50</v>
      </c>
      <c r="AC935" s="2">
        <v>234870</v>
      </c>
      <c r="AD935" t="s">
        <v>64</v>
      </c>
    </row>
    <row r="936" spans="1:31" hidden="1" x14ac:dyDescent="0.25">
      <c r="I936" t="s">
        <v>4457</v>
      </c>
      <c r="J936" s="2">
        <v>43634</v>
      </c>
      <c r="K936" s="2">
        <v>200</v>
      </c>
      <c r="L936" s="2">
        <v>1</v>
      </c>
      <c r="M936" s="2">
        <v>0</v>
      </c>
      <c r="S936" t="s">
        <v>4458</v>
      </c>
      <c r="U936" t="s">
        <v>45</v>
      </c>
      <c r="V936" t="s">
        <v>46</v>
      </c>
      <c r="W936" t="s">
        <v>445</v>
      </c>
      <c r="X936" t="s">
        <v>446</v>
      </c>
      <c r="Y936" t="s">
        <v>72</v>
      </c>
      <c r="Z936" t="s">
        <v>68</v>
      </c>
      <c r="AA936" t="s">
        <v>49</v>
      </c>
      <c r="AC936" s="2"/>
    </row>
    <row r="937" spans="1:31" hidden="1" x14ac:dyDescent="0.25">
      <c r="J937" s="2">
        <v>1000</v>
      </c>
      <c r="K937" s="2">
        <v>0</v>
      </c>
      <c r="L937" s="2">
        <v>1</v>
      </c>
      <c r="M937" s="2">
        <v>0</v>
      </c>
      <c r="S937" t="s">
        <v>4459</v>
      </c>
      <c r="U937" t="s">
        <v>45</v>
      </c>
      <c r="V937" t="s">
        <v>46</v>
      </c>
      <c r="W937" t="s">
        <v>254</v>
      </c>
      <c r="X937" t="s">
        <v>255</v>
      </c>
      <c r="Y937" t="s">
        <v>258</v>
      </c>
      <c r="Z937" t="s">
        <v>259</v>
      </c>
      <c r="AA937" t="s">
        <v>49</v>
      </c>
      <c r="AC937" s="2"/>
    </row>
    <row r="938" spans="1:31" hidden="1" x14ac:dyDescent="0.25">
      <c r="J938" s="2">
        <v>1945</v>
      </c>
      <c r="K938" s="2">
        <v>0</v>
      </c>
      <c r="L938" s="2">
        <v>15</v>
      </c>
      <c r="M938" s="2">
        <v>0</v>
      </c>
      <c r="S938" t="s">
        <v>4460</v>
      </c>
      <c r="U938" t="s">
        <v>45</v>
      </c>
      <c r="V938" t="s">
        <v>46</v>
      </c>
      <c r="W938" t="s">
        <v>1221</v>
      </c>
      <c r="X938" t="s">
        <v>1222</v>
      </c>
      <c r="Y938" t="s">
        <v>161</v>
      </c>
      <c r="Z938" t="s">
        <v>162</v>
      </c>
      <c r="AA938" t="s">
        <v>49</v>
      </c>
      <c r="AC938" s="2"/>
    </row>
    <row r="939" spans="1:31" x14ac:dyDescent="0.25">
      <c r="A939" t="s">
        <v>4461</v>
      </c>
      <c r="B939" t="s">
        <v>4462</v>
      </c>
      <c r="C939" t="s">
        <v>4462</v>
      </c>
      <c r="D939" t="s">
        <v>569</v>
      </c>
      <c r="E939" t="s">
        <v>570</v>
      </c>
      <c r="F939" t="s">
        <v>4463</v>
      </c>
      <c r="G939" t="s">
        <v>569</v>
      </c>
      <c r="H939" t="s">
        <v>41</v>
      </c>
      <c r="I939" t="s">
        <v>4464</v>
      </c>
      <c r="J939" s="2">
        <v>152719</v>
      </c>
      <c r="K939" s="2">
        <v>700</v>
      </c>
      <c r="L939" s="2">
        <v>15</v>
      </c>
      <c r="M939" s="2">
        <v>0</v>
      </c>
      <c r="N939" t="s">
        <v>40</v>
      </c>
      <c r="O939" t="s">
        <v>41</v>
      </c>
      <c r="P939" t="s">
        <v>61</v>
      </c>
      <c r="Q939" t="s">
        <v>62</v>
      </c>
      <c r="S939" t="s">
        <v>4465</v>
      </c>
      <c r="U939" t="s">
        <v>45</v>
      </c>
      <c r="V939" t="s">
        <v>46</v>
      </c>
      <c r="W939" t="s">
        <v>40</v>
      </c>
      <c r="X939" t="s">
        <v>41</v>
      </c>
      <c r="Y939" t="s">
        <v>47</v>
      </c>
      <c r="Z939" t="s">
        <v>48</v>
      </c>
      <c r="AA939" t="s">
        <v>49</v>
      </c>
      <c r="AB939" t="s">
        <v>50</v>
      </c>
      <c r="AC939" s="2">
        <v>90310.66</v>
      </c>
      <c r="AD939" t="s">
        <v>4466</v>
      </c>
      <c r="AE939" t="s">
        <v>52</v>
      </c>
    </row>
    <row r="940" spans="1:31" x14ac:dyDescent="0.25">
      <c r="A940" t="s">
        <v>4467</v>
      </c>
      <c r="B940" t="s">
        <v>4468</v>
      </c>
      <c r="C940" t="s">
        <v>4468</v>
      </c>
      <c r="D940" t="s">
        <v>125</v>
      </c>
      <c r="E940" t="s">
        <v>126</v>
      </c>
      <c r="F940" t="s">
        <v>4469</v>
      </c>
      <c r="G940" t="s">
        <v>125</v>
      </c>
      <c r="H940" t="s">
        <v>2647</v>
      </c>
      <c r="I940" t="s">
        <v>4470</v>
      </c>
      <c r="J940" s="2">
        <v>377040</v>
      </c>
      <c r="K940" s="2">
        <v>1513</v>
      </c>
      <c r="L940" s="2">
        <v>15</v>
      </c>
      <c r="M940" s="2">
        <v>0</v>
      </c>
      <c r="N940" t="s">
        <v>1362</v>
      </c>
      <c r="O940" t="s">
        <v>1360</v>
      </c>
      <c r="P940" t="s">
        <v>1421</v>
      </c>
      <c r="Q940" t="s">
        <v>1422</v>
      </c>
      <c r="S940" t="s">
        <v>4471</v>
      </c>
      <c r="U940" t="s">
        <v>45</v>
      </c>
      <c r="V940" t="s">
        <v>46</v>
      </c>
      <c r="W940" t="s">
        <v>1362</v>
      </c>
      <c r="X940" t="s">
        <v>1360</v>
      </c>
      <c r="Y940" t="s">
        <v>1215</v>
      </c>
      <c r="Z940" t="s">
        <v>1216</v>
      </c>
      <c r="AA940" t="s">
        <v>49</v>
      </c>
      <c r="AB940" t="s">
        <v>50</v>
      </c>
      <c r="AC940" s="2">
        <v>32771.019999999997</v>
      </c>
      <c r="AD940" t="s">
        <v>4472</v>
      </c>
      <c r="AE940" t="s">
        <v>52</v>
      </c>
    </row>
    <row r="941" spans="1:31" x14ac:dyDescent="0.25">
      <c r="A941" t="s">
        <v>4473</v>
      </c>
      <c r="B941" t="s">
        <v>4474</v>
      </c>
      <c r="C941" t="s">
        <v>4474</v>
      </c>
      <c r="D941" t="s">
        <v>35</v>
      </c>
      <c r="E941" t="s">
        <v>36</v>
      </c>
      <c r="F941" t="s">
        <v>4475</v>
      </c>
      <c r="G941" t="s">
        <v>847</v>
      </c>
      <c r="H941" t="s">
        <v>2831</v>
      </c>
      <c r="J941" s="2">
        <v>109085</v>
      </c>
      <c r="K941" s="2">
        <v>500</v>
      </c>
      <c r="L941" s="2">
        <v>15</v>
      </c>
      <c r="M941" s="2">
        <v>0</v>
      </c>
      <c r="N941" t="s">
        <v>80</v>
      </c>
      <c r="O941" t="s">
        <v>81</v>
      </c>
      <c r="P941" t="s">
        <v>557</v>
      </c>
      <c r="Q941" t="s">
        <v>558</v>
      </c>
      <c r="S941" t="s">
        <v>4476</v>
      </c>
      <c r="U941" t="s">
        <v>45</v>
      </c>
      <c r="V941" t="s">
        <v>46</v>
      </c>
      <c r="W941" t="s">
        <v>80</v>
      </c>
      <c r="X941" t="s">
        <v>81</v>
      </c>
      <c r="Y941" t="s">
        <v>85</v>
      </c>
      <c r="Z941" t="s">
        <v>86</v>
      </c>
      <c r="AA941" t="s">
        <v>49</v>
      </c>
      <c r="AB941" t="s">
        <v>50</v>
      </c>
      <c r="AC941" s="2">
        <v>109085</v>
      </c>
      <c r="AD941" t="s">
        <v>64</v>
      </c>
    </row>
    <row r="942" spans="1:31" x14ac:dyDescent="0.25">
      <c r="A942" t="s">
        <v>4477</v>
      </c>
      <c r="B942" t="s">
        <v>4478</v>
      </c>
      <c r="C942" t="s">
        <v>4478</v>
      </c>
      <c r="D942" t="s">
        <v>344</v>
      </c>
      <c r="E942" t="s">
        <v>167</v>
      </c>
      <c r="F942" t="s">
        <v>4479</v>
      </c>
      <c r="G942" t="s">
        <v>344</v>
      </c>
      <c r="H942" t="s">
        <v>1607</v>
      </c>
      <c r="J942" s="2">
        <v>109085</v>
      </c>
      <c r="K942" s="2">
        <v>500</v>
      </c>
      <c r="L942" s="2">
        <v>10</v>
      </c>
      <c r="M942" s="2">
        <v>0</v>
      </c>
      <c r="N942" t="s">
        <v>1221</v>
      </c>
      <c r="O942" t="s">
        <v>1222</v>
      </c>
      <c r="P942" t="s">
        <v>205</v>
      </c>
      <c r="Q942" t="s">
        <v>206</v>
      </c>
      <c r="S942" t="s">
        <v>4480</v>
      </c>
      <c r="U942" t="s">
        <v>45</v>
      </c>
      <c r="V942" t="s">
        <v>46</v>
      </c>
      <c r="W942" t="s">
        <v>1221</v>
      </c>
      <c r="X942" t="s">
        <v>1222</v>
      </c>
      <c r="Y942" t="s">
        <v>161</v>
      </c>
      <c r="Z942" t="s">
        <v>162</v>
      </c>
      <c r="AA942" t="s">
        <v>49</v>
      </c>
      <c r="AB942" t="s">
        <v>50</v>
      </c>
      <c r="AC942" s="2">
        <v>48983.45</v>
      </c>
      <c r="AD942" t="s">
        <v>4481</v>
      </c>
      <c r="AE942" t="s">
        <v>52</v>
      </c>
    </row>
    <row r="943" spans="1:31" hidden="1" x14ac:dyDescent="0.25">
      <c r="I943" t="s">
        <v>4482</v>
      </c>
      <c r="J943" s="2">
        <v>21817</v>
      </c>
      <c r="K943" s="2">
        <v>100</v>
      </c>
      <c r="L943" s="2">
        <v>1</v>
      </c>
      <c r="M943" s="2">
        <v>0</v>
      </c>
      <c r="S943" t="s">
        <v>4483</v>
      </c>
      <c r="U943" t="s">
        <v>45</v>
      </c>
      <c r="V943" t="s">
        <v>46</v>
      </c>
      <c r="W943" t="s">
        <v>89</v>
      </c>
      <c r="X943" t="s">
        <v>90</v>
      </c>
      <c r="Y943" t="s">
        <v>92</v>
      </c>
      <c r="Z943" t="s">
        <v>94</v>
      </c>
      <c r="AA943" t="s">
        <v>49</v>
      </c>
      <c r="AC943" s="2"/>
    </row>
    <row r="944" spans="1:31" x14ac:dyDescent="0.25">
      <c r="A944" t="s">
        <v>4484</v>
      </c>
      <c r="B944" t="s">
        <v>4485</v>
      </c>
      <c r="C944" t="s">
        <v>4485</v>
      </c>
      <c r="D944" t="s">
        <v>553</v>
      </c>
      <c r="E944" t="s">
        <v>167</v>
      </c>
      <c r="F944" t="s">
        <v>4486</v>
      </c>
      <c r="G944" t="s">
        <v>553</v>
      </c>
      <c r="H944" t="s">
        <v>4487</v>
      </c>
      <c r="J944" s="2">
        <v>327255</v>
      </c>
      <c r="K944" s="2">
        <v>1500</v>
      </c>
      <c r="L944" s="2">
        <v>15</v>
      </c>
      <c r="M944" s="2">
        <v>0</v>
      </c>
      <c r="N944" t="s">
        <v>4488</v>
      </c>
      <c r="O944" t="s">
        <v>4487</v>
      </c>
      <c r="P944" t="s">
        <v>103</v>
      </c>
      <c r="Q944" t="s">
        <v>104</v>
      </c>
      <c r="S944" t="s">
        <v>4489</v>
      </c>
      <c r="U944" t="s">
        <v>45</v>
      </c>
      <c r="V944" t="s">
        <v>46</v>
      </c>
      <c r="W944" t="s">
        <v>4488</v>
      </c>
      <c r="X944" t="s">
        <v>4487</v>
      </c>
      <c r="Y944" t="s">
        <v>106</v>
      </c>
      <c r="Z944" t="s">
        <v>107</v>
      </c>
      <c r="AA944" t="s">
        <v>49</v>
      </c>
      <c r="AB944" t="s">
        <v>50</v>
      </c>
      <c r="AC944" s="2">
        <v>41577.32</v>
      </c>
      <c r="AD944" t="s">
        <v>4490</v>
      </c>
      <c r="AE944" t="s">
        <v>52</v>
      </c>
    </row>
    <row r="945" spans="1:31" x14ac:dyDescent="0.25">
      <c r="A945" t="s">
        <v>4491</v>
      </c>
      <c r="B945" t="s">
        <v>4492</v>
      </c>
      <c r="C945" t="s">
        <v>4492</v>
      </c>
      <c r="D945" t="s">
        <v>262</v>
      </c>
      <c r="E945" t="s">
        <v>134</v>
      </c>
      <c r="F945" t="s">
        <v>4493</v>
      </c>
      <c r="G945" t="s">
        <v>4494</v>
      </c>
      <c r="H945" t="s">
        <v>4495</v>
      </c>
      <c r="I945" t="s">
        <v>4496</v>
      </c>
      <c r="J945" s="2">
        <v>218170</v>
      </c>
      <c r="K945" s="2">
        <v>1000</v>
      </c>
      <c r="L945" s="2">
        <v>21</v>
      </c>
      <c r="M945" s="2">
        <v>0</v>
      </c>
      <c r="N945" t="s">
        <v>254</v>
      </c>
      <c r="O945" t="s">
        <v>255</v>
      </c>
      <c r="P945" t="s">
        <v>4374</v>
      </c>
      <c r="Q945" t="s">
        <v>4375</v>
      </c>
      <c r="S945" t="s">
        <v>4497</v>
      </c>
      <c r="U945" t="s">
        <v>45</v>
      </c>
      <c r="V945" t="s">
        <v>46</v>
      </c>
      <c r="W945" t="s">
        <v>254</v>
      </c>
      <c r="X945" t="s">
        <v>255</v>
      </c>
      <c r="Y945" t="s">
        <v>258</v>
      </c>
      <c r="Z945" t="s">
        <v>259</v>
      </c>
      <c r="AA945" t="s">
        <v>49</v>
      </c>
      <c r="AB945" t="s">
        <v>50</v>
      </c>
      <c r="AC945" s="2">
        <v>218170</v>
      </c>
      <c r="AD945" t="s">
        <v>64</v>
      </c>
    </row>
    <row r="946" spans="1:31" hidden="1" x14ac:dyDescent="0.25">
      <c r="J946" s="2">
        <v>1000</v>
      </c>
      <c r="K946" s="2">
        <v>0</v>
      </c>
      <c r="L946" s="2">
        <v>1</v>
      </c>
      <c r="M946" s="2">
        <v>0</v>
      </c>
      <c r="S946" t="s">
        <v>4498</v>
      </c>
      <c r="U946" t="s">
        <v>45</v>
      </c>
      <c r="V946" t="s">
        <v>46</v>
      </c>
      <c r="W946" t="s">
        <v>254</v>
      </c>
      <c r="X946" t="s">
        <v>255</v>
      </c>
      <c r="Y946" t="s">
        <v>258</v>
      </c>
      <c r="Z946" t="s">
        <v>259</v>
      </c>
      <c r="AA946" t="s">
        <v>49</v>
      </c>
      <c r="AC946" s="2"/>
    </row>
    <row r="947" spans="1:31" x14ac:dyDescent="0.25">
      <c r="A947" t="s">
        <v>4499</v>
      </c>
      <c r="B947" t="s">
        <v>4500</v>
      </c>
      <c r="C947" t="s">
        <v>4500</v>
      </c>
      <c r="D947" t="s">
        <v>569</v>
      </c>
      <c r="E947" t="s">
        <v>570</v>
      </c>
      <c r="F947" t="s">
        <v>4501</v>
      </c>
      <c r="G947" t="s">
        <v>569</v>
      </c>
      <c r="H947" t="s">
        <v>4502</v>
      </c>
      <c r="I947" t="s">
        <v>4503</v>
      </c>
      <c r="J947" s="2">
        <v>599968</v>
      </c>
      <c r="K947" s="2">
        <v>2750</v>
      </c>
      <c r="L947" s="2">
        <v>21</v>
      </c>
      <c r="M947" s="2">
        <v>0</v>
      </c>
      <c r="N947" t="s">
        <v>4504</v>
      </c>
      <c r="O947" t="s">
        <v>4505</v>
      </c>
      <c r="P947" t="s">
        <v>91</v>
      </c>
      <c r="Q947" t="s">
        <v>92</v>
      </c>
      <c r="S947" t="s">
        <v>4506</v>
      </c>
      <c r="U947" t="s">
        <v>45</v>
      </c>
      <c r="V947" t="s">
        <v>46</v>
      </c>
      <c r="W947" t="s">
        <v>4504</v>
      </c>
      <c r="X947" t="s">
        <v>4505</v>
      </c>
      <c r="Y947" t="s">
        <v>92</v>
      </c>
      <c r="Z947" t="s">
        <v>94</v>
      </c>
      <c r="AA947" t="s">
        <v>49</v>
      </c>
      <c r="AB947" t="s">
        <v>50</v>
      </c>
      <c r="AC947" s="2">
        <v>2564.0700000000002</v>
      </c>
      <c r="AD947" t="s">
        <v>4507</v>
      </c>
      <c r="AE947" t="s">
        <v>52</v>
      </c>
    </row>
    <row r="948" spans="1:31" hidden="1" x14ac:dyDescent="0.25">
      <c r="I948" t="s">
        <v>4508</v>
      </c>
      <c r="J948" s="2">
        <v>21817</v>
      </c>
      <c r="K948" s="2">
        <v>100</v>
      </c>
      <c r="L948" s="2">
        <v>1</v>
      </c>
      <c r="M948" s="2">
        <v>0</v>
      </c>
      <c r="S948" t="s">
        <v>4509</v>
      </c>
      <c r="U948" t="s">
        <v>45</v>
      </c>
      <c r="V948" t="s">
        <v>46</v>
      </c>
      <c r="W948" t="s">
        <v>1362</v>
      </c>
      <c r="X948" t="s">
        <v>1360</v>
      </c>
      <c r="Y948" t="s">
        <v>1215</v>
      </c>
      <c r="Z948" t="s">
        <v>1216</v>
      </c>
      <c r="AA948" t="s">
        <v>49</v>
      </c>
      <c r="AC948" s="2"/>
    </row>
    <row r="949" spans="1:31" x14ac:dyDescent="0.25">
      <c r="A949" t="s">
        <v>4510</v>
      </c>
      <c r="B949" t="s">
        <v>4511</v>
      </c>
      <c r="C949" t="s">
        <v>4511</v>
      </c>
      <c r="D949" t="s">
        <v>153</v>
      </c>
      <c r="E949" t="s">
        <v>272</v>
      </c>
      <c r="F949" t="s">
        <v>4512</v>
      </c>
      <c r="G949" t="s">
        <v>569</v>
      </c>
      <c r="H949" t="s">
        <v>1062</v>
      </c>
      <c r="I949" t="s">
        <v>4513</v>
      </c>
      <c r="J949" s="2">
        <v>328199</v>
      </c>
      <c r="K949" s="2">
        <v>1350</v>
      </c>
      <c r="L949" s="2">
        <v>30</v>
      </c>
      <c r="M949" s="2">
        <v>0</v>
      </c>
      <c r="N949" t="s">
        <v>1064</v>
      </c>
      <c r="O949" t="s">
        <v>1062</v>
      </c>
      <c r="P949" t="s">
        <v>304</v>
      </c>
      <c r="Q949" t="s">
        <v>72</v>
      </c>
      <c r="S949" t="s">
        <v>4514</v>
      </c>
      <c r="U949" t="s">
        <v>45</v>
      </c>
      <c r="V949" t="s">
        <v>46</v>
      </c>
      <c r="W949" t="s">
        <v>1064</v>
      </c>
      <c r="X949" t="s">
        <v>1062</v>
      </c>
      <c r="Y949" t="s">
        <v>72</v>
      </c>
      <c r="Z949" t="s">
        <v>68</v>
      </c>
      <c r="AA949" t="s">
        <v>49</v>
      </c>
      <c r="AB949" t="s">
        <v>50</v>
      </c>
      <c r="AC949" s="2">
        <v>115943.55</v>
      </c>
      <c r="AD949" t="s">
        <v>4515</v>
      </c>
      <c r="AE949" t="s">
        <v>52</v>
      </c>
    </row>
    <row r="950" spans="1:31" x14ac:dyDescent="0.25">
      <c r="A950" t="s">
        <v>4516</v>
      </c>
      <c r="B950" t="s">
        <v>4517</v>
      </c>
      <c r="C950" t="s">
        <v>4517</v>
      </c>
      <c r="D950" t="s">
        <v>4391</v>
      </c>
      <c r="E950" t="s">
        <v>134</v>
      </c>
      <c r="F950" t="s">
        <v>4518</v>
      </c>
      <c r="G950" t="s">
        <v>3857</v>
      </c>
      <c r="H950" t="s">
        <v>300</v>
      </c>
      <c r="I950" t="s">
        <v>4519</v>
      </c>
      <c r="J950" s="2">
        <v>109085</v>
      </c>
      <c r="K950" s="2">
        <v>500</v>
      </c>
      <c r="L950" s="2">
        <v>30</v>
      </c>
      <c r="M950" s="2">
        <v>0</v>
      </c>
      <c r="N950" t="s">
        <v>302</v>
      </c>
      <c r="O950" t="s">
        <v>303</v>
      </c>
      <c r="P950" t="s">
        <v>304</v>
      </c>
      <c r="Q950" t="s">
        <v>72</v>
      </c>
      <c r="S950" t="s">
        <v>4520</v>
      </c>
      <c r="U950" t="s">
        <v>45</v>
      </c>
      <c r="V950" t="s">
        <v>46</v>
      </c>
      <c r="W950" t="s">
        <v>302</v>
      </c>
      <c r="X950" t="s">
        <v>303</v>
      </c>
      <c r="Y950" t="s">
        <v>72</v>
      </c>
      <c r="Z950" t="s">
        <v>68</v>
      </c>
      <c r="AA950" t="s">
        <v>49</v>
      </c>
      <c r="AB950" t="s">
        <v>50</v>
      </c>
      <c r="AC950" s="2">
        <v>109085</v>
      </c>
      <c r="AD950" t="s">
        <v>64</v>
      </c>
    </row>
    <row r="951" spans="1:31" hidden="1" x14ac:dyDescent="0.25">
      <c r="I951" t="s">
        <v>4521</v>
      </c>
      <c r="J951" s="2">
        <v>21817</v>
      </c>
      <c r="K951" s="2">
        <v>100</v>
      </c>
      <c r="L951" s="2">
        <v>1</v>
      </c>
      <c r="M951" s="2">
        <v>0</v>
      </c>
      <c r="S951" t="s">
        <v>4522</v>
      </c>
      <c r="U951" t="s">
        <v>45</v>
      </c>
      <c r="V951" t="s">
        <v>46</v>
      </c>
      <c r="W951" t="s">
        <v>1362</v>
      </c>
      <c r="X951" t="s">
        <v>1360</v>
      </c>
      <c r="Y951" t="s">
        <v>1215</v>
      </c>
      <c r="Z951" t="s">
        <v>1216</v>
      </c>
      <c r="AA951" t="s">
        <v>49</v>
      </c>
      <c r="AC951" s="2"/>
    </row>
    <row r="952" spans="1:31" hidden="1" x14ac:dyDescent="0.25">
      <c r="I952" t="s">
        <v>4523</v>
      </c>
      <c r="J952" s="2">
        <v>109085</v>
      </c>
      <c r="K952" s="2">
        <v>500</v>
      </c>
      <c r="L952" s="2">
        <v>15</v>
      </c>
      <c r="M952" s="2">
        <v>0</v>
      </c>
      <c r="S952" t="s">
        <v>4524</v>
      </c>
      <c r="U952" t="s">
        <v>45</v>
      </c>
      <c r="V952" t="s">
        <v>46</v>
      </c>
      <c r="W952" t="s">
        <v>1221</v>
      </c>
      <c r="X952" t="s">
        <v>1222</v>
      </c>
      <c r="Y952" t="s">
        <v>161</v>
      </c>
      <c r="Z952" t="s">
        <v>162</v>
      </c>
      <c r="AA952" t="s">
        <v>49</v>
      </c>
      <c r="AC952" s="2"/>
    </row>
    <row r="953" spans="1:31" x14ac:dyDescent="0.25">
      <c r="A953" t="s">
        <v>4525</v>
      </c>
      <c r="B953" t="s">
        <v>4526</v>
      </c>
      <c r="C953" t="s">
        <v>4526</v>
      </c>
      <c r="D953" t="s">
        <v>478</v>
      </c>
      <c r="E953" t="s">
        <v>190</v>
      </c>
      <c r="F953" t="s">
        <v>4527</v>
      </c>
      <c r="G953" t="s">
        <v>478</v>
      </c>
      <c r="H953" t="s">
        <v>721</v>
      </c>
      <c r="I953" t="s">
        <v>4528</v>
      </c>
      <c r="J953" s="2">
        <v>3413400</v>
      </c>
      <c r="K953" s="2">
        <v>15000</v>
      </c>
      <c r="L953" s="2">
        <v>30</v>
      </c>
      <c r="M953" s="2">
        <v>0</v>
      </c>
      <c r="N953" t="s">
        <v>722</v>
      </c>
      <c r="O953" t="s">
        <v>721</v>
      </c>
      <c r="P953" t="s">
        <v>205</v>
      </c>
      <c r="Q953" t="s">
        <v>206</v>
      </c>
      <c r="S953" t="s">
        <v>4529</v>
      </c>
      <c r="U953" t="s">
        <v>45</v>
      </c>
      <c r="V953" t="s">
        <v>46</v>
      </c>
      <c r="W953" t="s">
        <v>722</v>
      </c>
      <c r="X953" t="s">
        <v>721</v>
      </c>
      <c r="Y953" t="s">
        <v>161</v>
      </c>
      <c r="Z953" t="s">
        <v>162</v>
      </c>
      <c r="AA953" t="s">
        <v>49</v>
      </c>
      <c r="AB953" t="s">
        <v>50</v>
      </c>
      <c r="AC953" s="2">
        <v>342309.52</v>
      </c>
      <c r="AD953" t="s">
        <v>4530</v>
      </c>
      <c r="AE953" t="s">
        <v>52</v>
      </c>
    </row>
    <row r="954" spans="1:31" x14ac:dyDescent="0.25">
      <c r="A954" t="s">
        <v>4531</v>
      </c>
      <c r="B954" t="s">
        <v>4532</v>
      </c>
      <c r="C954" t="s">
        <v>4532</v>
      </c>
      <c r="D954" t="s">
        <v>847</v>
      </c>
      <c r="E954" t="s">
        <v>848</v>
      </c>
      <c r="F954" t="s">
        <v>4533</v>
      </c>
      <c r="H954" t="s">
        <v>38</v>
      </c>
      <c r="I954" t="s">
        <v>4534</v>
      </c>
      <c r="J954" s="2">
        <v>21817</v>
      </c>
      <c r="K954" s="2">
        <v>100</v>
      </c>
      <c r="L954" s="2">
        <v>10</v>
      </c>
      <c r="M954" s="2">
        <v>0</v>
      </c>
      <c r="N954" t="s">
        <v>40</v>
      </c>
      <c r="O954" t="s">
        <v>41</v>
      </c>
      <c r="P954" t="s">
        <v>42</v>
      </c>
      <c r="Q954" t="s">
        <v>43</v>
      </c>
      <c r="S954" t="s">
        <v>38</v>
      </c>
      <c r="U954" t="s">
        <v>45</v>
      </c>
      <c r="V954" t="s">
        <v>46</v>
      </c>
      <c r="W954" t="s">
        <v>40</v>
      </c>
      <c r="X954" t="s">
        <v>41</v>
      </c>
      <c r="Y954" t="s">
        <v>47</v>
      </c>
      <c r="Z954" t="s">
        <v>48</v>
      </c>
      <c r="AA954" t="s">
        <v>141</v>
      </c>
      <c r="AB954" t="s">
        <v>50</v>
      </c>
      <c r="AC954" s="2">
        <v>21306.32</v>
      </c>
      <c r="AD954" t="s">
        <v>4535</v>
      </c>
    </row>
    <row r="955" spans="1:31" x14ac:dyDescent="0.25">
      <c r="A955" t="s">
        <v>4536</v>
      </c>
      <c r="B955" t="s">
        <v>4537</v>
      </c>
      <c r="C955" t="s">
        <v>4538</v>
      </c>
      <c r="D955" t="s">
        <v>125</v>
      </c>
      <c r="E955" t="s">
        <v>126</v>
      </c>
      <c r="F955" t="s">
        <v>4539</v>
      </c>
      <c r="G955" t="s">
        <v>125</v>
      </c>
      <c r="H955" t="s">
        <v>38</v>
      </c>
      <c r="I955" t="s">
        <v>4540</v>
      </c>
      <c r="J955" s="2">
        <v>545425</v>
      </c>
      <c r="K955" s="2">
        <v>2500</v>
      </c>
      <c r="L955" s="2">
        <v>15</v>
      </c>
      <c r="M955" s="2">
        <v>0</v>
      </c>
      <c r="N955" t="s">
        <v>40</v>
      </c>
      <c r="O955" t="s">
        <v>41</v>
      </c>
      <c r="P955" t="s">
        <v>61</v>
      </c>
      <c r="Q955" t="s">
        <v>62</v>
      </c>
      <c r="S955" t="s">
        <v>4541</v>
      </c>
      <c r="U955" t="s">
        <v>45</v>
      </c>
      <c r="V955" t="s">
        <v>46</v>
      </c>
      <c r="W955" t="s">
        <v>40</v>
      </c>
      <c r="X955" t="s">
        <v>41</v>
      </c>
      <c r="Y955" t="s">
        <v>47</v>
      </c>
      <c r="Z955" t="s">
        <v>48</v>
      </c>
      <c r="AA955" t="s">
        <v>49</v>
      </c>
      <c r="AB955" t="s">
        <v>50</v>
      </c>
      <c r="AC955" s="2">
        <v>112047.34</v>
      </c>
      <c r="AD955" t="s">
        <v>4542</v>
      </c>
      <c r="AE955" t="s">
        <v>52</v>
      </c>
    </row>
    <row r="956" spans="1:31" x14ac:dyDescent="0.25">
      <c r="A956" t="s">
        <v>4543</v>
      </c>
      <c r="B956" t="s">
        <v>4544</v>
      </c>
      <c r="C956" t="s">
        <v>4538</v>
      </c>
      <c r="D956" t="s">
        <v>847</v>
      </c>
      <c r="E956" t="s">
        <v>848</v>
      </c>
      <c r="F956" t="s">
        <v>4539</v>
      </c>
      <c r="G956" t="s">
        <v>847</v>
      </c>
      <c r="H956" t="s">
        <v>38</v>
      </c>
      <c r="I956" t="s">
        <v>4545</v>
      </c>
      <c r="J956" s="2">
        <v>545425</v>
      </c>
      <c r="K956" s="2">
        <v>2500</v>
      </c>
      <c r="L956" s="2">
        <v>15</v>
      </c>
      <c r="M956" s="2">
        <v>0</v>
      </c>
      <c r="N956" t="s">
        <v>40</v>
      </c>
      <c r="O956" t="s">
        <v>41</v>
      </c>
      <c r="P956" t="s">
        <v>61</v>
      </c>
      <c r="Q956" t="s">
        <v>62</v>
      </c>
      <c r="S956" t="s">
        <v>4541</v>
      </c>
      <c r="U956" t="s">
        <v>45</v>
      </c>
      <c r="V956" t="s">
        <v>46</v>
      </c>
      <c r="W956" t="s">
        <v>40</v>
      </c>
      <c r="X956" t="s">
        <v>41</v>
      </c>
      <c r="Y956" t="s">
        <v>47</v>
      </c>
      <c r="Z956" t="s">
        <v>48</v>
      </c>
      <c r="AA956" t="s">
        <v>49</v>
      </c>
      <c r="AB956" t="s">
        <v>50</v>
      </c>
      <c r="AC956" s="2">
        <v>502756.72</v>
      </c>
      <c r="AD956" t="s">
        <v>4546</v>
      </c>
      <c r="AE956" t="s">
        <v>52</v>
      </c>
    </row>
    <row r="957" spans="1:31" x14ac:dyDescent="0.25">
      <c r="A957" t="s">
        <v>4547</v>
      </c>
      <c r="B957" t="s">
        <v>4548</v>
      </c>
      <c r="C957" t="s">
        <v>4548</v>
      </c>
      <c r="D957" t="s">
        <v>178</v>
      </c>
      <c r="E957" t="s">
        <v>179</v>
      </c>
      <c r="F957" t="s">
        <v>4549</v>
      </c>
      <c r="G957" t="s">
        <v>178</v>
      </c>
      <c r="H957" t="s">
        <v>1607</v>
      </c>
      <c r="I957" t="s">
        <v>4550</v>
      </c>
      <c r="J957" s="2">
        <v>115630</v>
      </c>
      <c r="K957" s="2">
        <v>530</v>
      </c>
      <c r="L957" s="2">
        <v>15</v>
      </c>
      <c r="M957" s="2">
        <v>0</v>
      </c>
      <c r="N957" t="s">
        <v>1221</v>
      </c>
      <c r="O957" t="s">
        <v>1222</v>
      </c>
      <c r="P957" t="s">
        <v>205</v>
      </c>
      <c r="Q957" t="s">
        <v>206</v>
      </c>
      <c r="S957" t="s">
        <v>4551</v>
      </c>
      <c r="U957" t="s">
        <v>45</v>
      </c>
      <c r="V957" t="s">
        <v>46</v>
      </c>
      <c r="W957" t="s">
        <v>1221</v>
      </c>
      <c r="X957" t="s">
        <v>1222</v>
      </c>
      <c r="Y957" t="s">
        <v>161</v>
      </c>
      <c r="Z957" t="s">
        <v>162</v>
      </c>
      <c r="AA957" t="s">
        <v>49</v>
      </c>
      <c r="AB957" t="s">
        <v>50</v>
      </c>
      <c r="AC957" s="2">
        <v>45732.91</v>
      </c>
      <c r="AD957" t="s">
        <v>4552</v>
      </c>
      <c r="AE957" t="s">
        <v>52</v>
      </c>
    </row>
    <row r="958" spans="1:31" x14ac:dyDescent="0.25">
      <c r="A958" t="s">
        <v>4553</v>
      </c>
      <c r="B958" t="s">
        <v>4554</v>
      </c>
      <c r="C958" t="s">
        <v>4554</v>
      </c>
      <c r="D958" t="s">
        <v>153</v>
      </c>
      <c r="E958" t="s">
        <v>272</v>
      </c>
      <c r="F958" t="s">
        <v>4555</v>
      </c>
      <c r="H958" t="s">
        <v>41</v>
      </c>
      <c r="I958" t="s">
        <v>4556</v>
      </c>
      <c r="J958" s="2">
        <v>21817</v>
      </c>
      <c r="K958" s="2">
        <v>100</v>
      </c>
      <c r="L958" s="2">
        <v>15</v>
      </c>
      <c r="M958" s="2">
        <v>0</v>
      </c>
      <c r="N958" t="s">
        <v>40</v>
      </c>
      <c r="O958" t="s">
        <v>41</v>
      </c>
      <c r="P958" t="s">
        <v>42</v>
      </c>
      <c r="Q958" t="s">
        <v>43</v>
      </c>
      <c r="S958" t="s">
        <v>38</v>
      </c>
      <c r="U958" t="s">
        <v>45</v>
      </c>
      <c r="V958" t="s">
        <v>46</v>
      </c>
      <c r="W958" t="s">
        <v>40</v>
      </c>
      <c r="X958" t="s">
        <v>41</v>
      </c>
      <c r="Y958" t="s">
        <v>47</v>
      </c>
      <c r="Z958" t="s">
        <v>48</v>
      </c>
      <c r="AA958" t="s">
        <v>141</v>
      </c>
      <c r="AB958" t="s">
        <v>50</v>
      </c>
      <c r="AC958" s="2">
        <v>21817</v>
      </c>
      <c r="AD958" t="s">
        <v>64</v>
      </c>
    </row>
    <row r="959" spans="1:31" x14ac:dyDescent="0.25">
      <c r="A959" t="s">
        <v>4557</v>
      </c>
      <c r="B959" t="s">
        <v>4558</v>
      </c>
      <c r="C959" t="s">
        <v>4558</v>
      </c>
      <c r="D959" t="s">
        <v>847</v>
      </c>
      <c r="E959" t="s">
        <v>848</v>
      </c>
      <c r="F959" t="s">
        <v>4559</v>
      </c>
      <c r="H959" t="s">
        <v>38</v>
      </c>
      <c r="J959" s="2">
        <v>21817</v>
      </c>
      <c r="K959" s="2">
        <v>100</v>
      </c>
      <c r="L959" s="2">
        <v>1</v>
      </c>
      <c r="M959" s="2">
        <v>0</v>
      </c>
      <c r="N959" t="s">
        <v>40</v>
      </c>
      <c r="O959" t="s">
        <v>41</v>
      </c>
      <c r="P959" t="s">
        <v>42</v>
      </c>
      <c r="Q959" t="s">
        <v>43</v>
      </c>
      <c r="S959" t="s">
        <v>38</v>
      </c>
      <c r="U959" t="s">
        <v>45</v>
      </c>
      <c r="V959" t="s">
        <v>46</v>
      </c>
      <c r="W959" t="s">
        <v>40</v>
      </c>
      <c r="X959" t="s">
        <v>41</v>
      </c>
      <c r="Y959" t="s">
        <v>47</v>
      </c>
      <c r="Z959" t="s">
        <v>48</v>
      </c>
      <c r="AA959" t="s">
        <v>141</v>
      </c>
      <c r="AB959" t="s">
        <v>50</v>
      </c>
      <c r="AC959" s="2">
        <v>21817</v>
      </c>
      <c r="AD959" t="s">
        <v>64</v>
      </c>
    </row>
    <row r="960" spans="1:31" x14ac:dyDescent="0.25">
      <c r="A960" t="s">
        <v>4560</v>
      </c>
      <c r="B960" t="s">
        <v>4561</v>
      </c>
      <c r="C960" t="s">
        <v>4561</v>
      </c>
      <c r="D960" t="s">
        <v>178</v>
      </c>
      <c r="E960" t="s">
        <v>179</v>
      </c>
      <c r="F960" t="s">
        <v>4562</v>
      </c>
      <c r="H960" t="s">
        <v>4563</v>
      </c>
      <c r="I960" t="s">
        <v>4564</v>
      </c>
      <c r="J960" s="2">
        <v>1728</v>
      </c>
      <c r="K960" s="2">
        <v>7.92</v>
      </c>
      <c r="L960" s="2">
        <v>1</v>
      </c>
      <c r="M960" s="2">
        <v>0</v>
      </c>
      <c r="N960" t="s">
        <v>4565</v>
      </c>
      <c r="O960" t="s">
        <v>4566</v>
      </c>
      <c r="P960" t="s">
        <v>103</v>
      </c>
      <c r="Q960" t="s">
        <v>104</v>
      </c>
      <c r="S960" t="s">
        <v>4567</v>
      </c>
      <c r="U960" t="s">
        <v>45</v>
      </c>
      <c r="V960" t="s">
        <v>46</v>
      </c>
      <c r="W960" t="s">
        <v>4565</v>
      </c>
      <c r="X960" t="s">
        <v>4566</v>
      </c>
      <c r="Y960" t="s">
        <v>279</v>
      </c>
      <c r="Z960" t="s">
        <v>280</v>
      </c>
      <c r="AA960" t="s">
        <v>49</v>
      </c>
      <c r="AB960" t="s">
        <v>50</v>
      </c>
      <c r="AC960" s="2">
        <v>1728</v>
      </c>
      <c r="AD960" t="s">
        <v>64</v>
      </c>
    </row>
    <row r="961" spans="1:31" x14ac:dyDescent="0.25">
      <c r="A961" t="s">
        <v>4568</v>
      </c>
      <c r="B961" t="s">
        <v>4569</v>
      </c>
      <c r="C961" t="s">
        <v>4569</v>
      </c>
      <c r="D961" t="s">
        <v>35</v>
      </c>
      <c r="E961" t="s">
        <v>36</v>
      </c>
      <c r="F961" t="s">
        <v>4570</v>
      </c>
      <c r="G961" t="s">
        <v>35</v>
      </c>
      <c r="H961" t="s">
        <v>418</v>
      </c>
      <c r="J961" s="2">
        <v>109085</v>
      </c>
      <c r="K961" s="2">
        <v>500</v>
      </c>
      <c r="L961" s="2">
        <v>15</v>
      </c>
      <c r="M961" s="2">
        <v>0</v>
      </c>
      <c r="N961" t="s">
        <v>417</v>
      </c>
      <c r="O961" t="s">
        <v>418</v>
      </c>
      <c r="P961" t="s">
        <v>61</v>
      </c>
      <c r="Q961" t="s">
        <v>62</v>
      </c>
      <c r="S961" t="s">
        <v>4571</v>
      </c>
      <c r="U961" t="s">
        <v>45</v>
      </c>
      <c r="V961" t="s">
        <v>46</v>
      </c>
      <c r="W961" t="s">
        <v>417</v>
      </c>
      <c r="X961" t="s">
        <v>418</v>
      </c>
      <c r="Y961" t="s">
        <v>47</v>
      </c>
      <c r="Z961" t="s">
        <v>48</v>
      </c>
      <c r="AA961" t="s">
        <v>49</v>
      </c>
      <c r="AB961" t="s">
        <v>50</v>
      </c>
      <c r="AC961" s="2">
        <v>61126.41</v>
      </c>
      <c r="AD961" t="s">
        <v>4572</v>
      </c>
      <c r="AE961" t="s">
        <v>52</v>
      </c>
    </row>
    <row r="962" spans="1:31" x14ac:dyDescent="0.25">
      <c r="A962" t="s">
        <v>4573</v>
      </c>
      <c r="B962" t="s">
        <v>4574</v>
      </c>
      <c r="C962" t="s">
        <v>4574</v>
      </c>
      <c r="D962" t="s">
        <v>125</v>
      </c>
      <c r="E962" t="s">
        <v>126</v>
      </c>
      <c r="F962" t="s">
        <v>4575</v>
      </c>
      <c r="G962" t="s">
        <v>35</v>
      </c>
      <c r="H962" t="s">
        <v>1444</v>
      </c>
      <c r="I962" t="s">
        <v>2008</v>
      </c>
      <c r="J962" s="2">
        <v>571200</v>
      </c>
      <c r="K962" s="2">
        <v>2500</v>
      </c>
      <c r="L962" s="2">
        <v>21</v>
      </c>
      <c r="M962" s="2">
        <v>0</v>
      </c>
      <c r="N962" t="s">
        <v>1064</v>
      </c>
      <c r="O962" t="s">
        <v>1062</v>
      </c>
      <c r="P962" t="s">
        <v>304</v>
      </c>
      <c r="Q962" t="s">
        <v>72</v>
      </c>
      <c r="S962" t="s">
        <v>4576</v>
      </c>
      <c r="U962" t="s">
        <v>45</v>
      </c>
      <c r="V962" t="s">
        <v>46</v>
      </c>
      <c r="W962" t="s">
        <v>1064</v>
      </c>
      <c r="X962" t="s">
        <v>1062</v>
      </c>
      <c r="Y962" t="s">
        <v>72</v>
      </c>
      <c r="Z962" t="s">
        <v>68</v>
      </c>
      <c r="AA962" t="s">
        <v>49</v>
      </c>
      <c r="AB962" t="s">
        <v>50</v>
      </c>
      <c r="AC962" s="2">
        <v>429120.34</v>
      </c>
      <c r="AD962" t="s">
        <v>4577</v>
      </c>
      <c r="AE962" t="s">
        <v>52</v>
      </c>
    </row>
    <row r="963" spans="1:31" x14ac:dyDescent="0.25">
      <c r="A963" t="s">
        <v>4578</v>
      </c>
      <c r="B963" t="s">
        <v>4579</v>
      </c>
      <c r="C963" t="s">
        <v>4579</v>
      </c>
      <c r="D963" t="s">
        <v>2120</v>
      </c>
      <c r="E963" t="s">
        <v>224</v>
      </c>
      <c r="F963" t="s">
        <v>4580</v>
      </c>
      <c r="G963" t="s">
        <v>1169</v>
      </c>
      <c r="H963" t="s">
        <v>1312</v>
      </c>
      <c r="I963" t="s">
        <v>4581</v>
      </c>
      <c r="J963" s="2">
        <v>218170</v>
      </c>
      <c r="K963" s="2">
        <v>1000</v>
      </c>
      <c r="L963" s="2">
        <v>21</v>
      </c>
      <c r="M963" s="2">
        <v>0</v>
      </c>
      <c r="N963" t="s">
        <v>883</v>
      </c>
      <c r="O963" t="s">
        <v>881</v>
      </c>
      <c r="P963" t="s">
        <v>158</v>
      </c>
      <c r="Q963" t="s">
        <v>159</v>
      </c>
      <c r="S963" t="s">
        <v>4582</v>
      </c>
      <c r="U963" t="s">
        <v>45</v>
      </c>
      <c r="V963" t="s">
        <v>46</v>
      </c>
      <c r="W963" t="s">
        <v>883</v>
      </c>
      <c r="X963" t="s">
        <v>881</v>
      </c>
      <c r="Y963" t="s">
        <v>161</v>
      </c>
      <c r="Z963" t="s">
        <v>162</v>
      </c>
      <c r="AA963" t="s">
        <v>49</v>
      </c>
      <c r="AB963" t="s">
        <v>50</v>
      </c>
      <c r="AC963" s="2">
        <v>218170</v>
      </c>
      <c r="AD963" t="s">
        <v>64</v>
      </c>
    </row>
    <row r="964" spans="1:31" hidden="1" x14ac:dyDescent="0.25">
      <c r="A964" s="10" t="s">
        <v>4583</v>
      </c>
      <c r="B964" s="10" t="s">
        <v>4584</v>
      </c>
      <c r="C964" t="s">
        <v>4584</v>
      </c>
      <c r="D964" t="s">
        <v>55</v>
      </c>
      <c r="E964" t="s">
        <v>56</v>
      </c>
      <c r="F964" t="s">
        <v>4585</v>
      </c>
      <c r="H964" t="s">
        <v>38</v>
      </c>
      <c r="I964" t="s">
        <v>4586</v>
      </c>
      <c r="J964" s="2">
        <v>11100</v>
      </c>
      <c r="K964" s="2">
        <v>0</v>
      </c>
      <c r="L964" s="2">
        <v>15</v>
      </c>
      <c r="M964" s="2">
        <v>0</v>
      </c>
      <c r="N964" t="s">
        <v>40</v>
      </c>
      <c r="O964" t="s">
        <v>41</v>
      </c>
      <c r="P964" t="s">
        <v>61</v>
      </c>
      <c r="Q964" t="s">
        <v>62</v>
      </c>
      <c r="S964" t="s">
        <v>4587</v>
      </c>
      <c r="U964" t="s">
        <v>45</v>
      </c>
      <c r="V964" t="s">
        <v>46</v>
      </c>
      <c r="W964" t="s">
        <v>40</v>
      </c>
      <c r="X964" t="s">
        <v>41</v>
      </c>
      <c r="Y964" t="s">
        <v>47</v>
      </c>
      <c r="Z964" t="s">
        <v>48</v>
      </c>
      <c r="AA964" t="s">
        <v>49</v>
      </c>
      <c r="AB964" t="s">
        <v>142</v>
      </c>
      <c r="AC964" s="2">
        <v>11100</v>
      </c>
      <c r="AD964" t="s">
        <v>64</v>
      </c>
    </row>
    <row r="965" spans="1:31" x14ac:dyDescent="0.25">
      <c r="A965" t="s">
        <v>4588</v>
      </c>
      <c r="B965" t="s">
        <v>4589</v>
      </c>
      <c r="C965" t="s">
        <v>2484</v>
      </c>
      <c r="D965" t="s">
        <v>299</v>
      </c>
      <c r="E965" t="s">
        <v>167</v>
      </c>
      <c r="F965" t="s">
        <v>2267</v>
      </c>
      <c r="G965" t="s">
        <v>344</v>
      </c>
      <c r="H965" t="s">
        <v>1607</v>
      </c>
      <c r="I965" t="s">
        <v>4590</v>
      </c>
      <c r="J965" s="2">
        <v>436340</v>
      </c>
      <c r="K965" s="2">
        <v>2000</v>
      </c>
      <c r="L965" s="2">
        <v>30</v>
      </c>
      <c r="M965" s="2">
        <v>0</v>
      </c>
      <c r="N965" t="s">
        <v>1221</v>
      </c>
      <c r="O965" t="s">
        <v>1222</v>
      </c>
      <c r="P965" t="s">
        <v>205</v>
      </c>
      <c r="Q965" t="s">
        <v>206</v>
      </c>
      <c r="S965" t="s">
        <v>4591</v>
      </c>
      <c r="U965" t="s">
        <v>45</v>
      </c>
      <c r="V965" t="s">
        <v>46</v>
      </c>
      <c r="W965" t="s">
        <v>1221</v>
      </c>
      <c r="X965" t="s">
        <v>1222</v>
      </c>
      <c r="Y965" t="s">
        <v>161</v>
      </c>
      <c r="Z965" t="s">
        <v>162</v>
      </c>
      <c r="AA965" t="s">
        <v>49</v>
      </c>
      <c r="AB965" t="s">
        <v>50</v>
      </c>
      <c r="AC965" s="2">
        <v>274304.82</v>
      </c>
      <c r="AD965" t="s">
        <v>4592</v>
      </c>
      <c r="AE965" t="s">
        <v>52</v>
      </c>
    </row>
    <row r="966" spans="1:31" x14ac:dyDescent="0.25">
      <c r="A966" t="s">
        <v>4593</v>
      </c>
      <c r="B966" t="s">
        <v>4594</v>
      </c>
      <c r="C966" t="s">
        <v>4594</v>
      </c>
      <c r="D966" t="s">
        <v>569</v>
      </c>
      <c r="E966" t="s">
        <v>570</v>
      </c>
      <c r="F966" t="s">
        <v>4595</v>
      </c>
      <c r="G966" t="s">
        <v>1754</v>
      </c>
      <c r="H966" t="s">
        <v>402</v>
      </c>
      <c r="I966" t="s">
        <v>4596</v>
      </c>
      <c r="J966" s="2">
        <v>109085</v>
      </c>
      <c r="K966" s="2">
        <v>500</v>
      </c>
      <c r="L966" s="2">
        <v>15</v>
      </c>
      <c r="M966" s="2">
        <v>0</v>
      </c>
      <c r="N966" t="s">
        <v>403</v>
      </c>
      <c r="O966" t="s">
        <v>404</v>
      </c>
      <c r="P966" t="s">
        <v>205</v>
      </c>
      <c r="Q966" t="s">
        <v>206</v>
      </c>
      <c r="S966" t="s">
        <v>4597</v>
      </c>
      <c r="U966" t="s">
        <v>45</v>
      </c>
      <c r="V966" t="s">
        <v>46</v>
      </c>
      <c r="W966" t="s">
        <v>403</v>
      </c>
      <c r="X966" t="s">
        <v>404</v>
      </c>
      <c r="Y966" t="s">
        <v>161</v>
      </c>
      <c r="Z966" t="s">
        <v>162</v>
      </c>
      <c r="AA966" t="s">
        <v>49</v>
      </c>
      <c r="AB966" t="s">
        <v>50</v>
      </c>
      <c r="AC966" s="2">
        <v>109085</v>
      </c>
      <c r="AD966" t="s">
        <v>64</v>
      </c>
    </row>
    <row r="967" spans="1:31" hidden="1" x14ac:dyDescent="0.25">
      <c r="I967" t="s">
        <v>4598</v>
      </c>
      <c r="J967" s="2">
        <v>21450</v>
      </c>
      <c r="K967" s="2">
        <v>0</v>
      </c>
      <c r="L967" s="2">
        <v>15</v>
      </c>
      <c r="M967" s="2">
        <v>0</v>
      </c>
      <c r="S967" t="s">
        <v>4599</v>
      </c>
      <c r="U967" t="s">
        <v>45</v>
      </c>
      <c r="V967" t="s">
        <v>46</v>
      </c>
      <c r="W967" t="s">
        <v>276</v>
      </c>
      <c r="X967" t="s">
        <v>277</v>
      </c>
      <c r="Y967" t="s">
        <v>279</v>
      </c>
      <c r="Z967" t="s">
        <v>280</v>
      </c>
      <c r="AA967" t="s">
        <v>49</v>
      </c>
      <c r="AC967" s="2"/>
    </row>
    <row r="968" spans="1:31" hidden="1" x14ac:dyDescent="0.25">
      <c r="A968" s="10" t="s">
        <v>4600</v>
      </c>
      <c r="B968" s="10" t="s">
        <v>4601</v>
      </c>
      <c r="C968" t="s">
        <v>4601</v>
      </c>
      <c r="D968" t="s">
        <v>55</v>
      </c>
      <c r="E968" t="s">
        <v>56</v>
      </c>
      <c r="F968" t="s">
        <v>4602</v>
      </c>
      <c r="H968" t="s">
        <v>38</v>
      </c>
      <c r="I968" t="s">
        <v>4603</v>
      </c>
      <c r="J968" s="2">
        <v>1000</v>
      </c>
      <c r="K968" s="2">
        <v>0</v>
      </c>
      <c r="L968" s="2">
        <v>1</v>
      </c>
      <c r="M968" s="2">
        <v>0</v>
      </c>
      <c r="N968" t="s">
        <v>40</v>
      </c>
      <c r="O968" t="s">
        <v>41</v>
      </c>
      <c r="P968" t="s">
        <v>61</v>
      </c>
      <c r="Q968" t="s">
        <v>62</v>
      </c>
      <c r="S968" t="s">
        <v>4604</v>
      </c>
      <c r="U968" t="s">
        <v>45</v>
      </c>
      <c r="V968" t="s">
        <v>46</v>
      </c>
      <c r="W968" t="s">
        <v>40</v>
      </c>
      <c r="X968" t="s">
        <v>41</v>
      </c>
      <c r="Y968" t="s">
        <v>47</v>
      </c>
      <c r="Z968" t="s">
        <v>48</v>
      </c>
      <c r="AA968" t="s">
        <v>49</v>
      </c>
      <c r="AB968" t="s">
        <v>142</v>
      </c>
      <c r="AC968" s="2">
        <v>1000</v>
      </c>
      <c r="AD968" t="s">
        <v>64</v>
      </c>
    </row>
    <row r="969" spans="1:31" x14ac:dyDescent="0.25">
      <c r="A969" t="s">
        <v>4605</v>
      </c>
      <c r="B969" t="s">
        <v>4606</v>
      </c>
      <c r="C969" t="s">
        <v>4606</v>
      </c>
      <c r="D969" t="s">
        <v>125</v>
      </c>
      <c r="E969" t="s">
        <v>126</v>
      </c>
      <c r="F969" t="s">
        <v>4607</v>
      </c>
      <c r="G969" t="s">
        <v>35</v>
      </c>
      <c r="H969" t="s">
        <v>41</v>
      </c>
      <c r="I969" t="s">
        <v>4608</v>
      </c>
      <c r="J969" s="2">
        <v>135520</v>
      </c>
      <c r="K969" s="2">
        <v>548</v>
      </c>
      <c r="L969" s="2">
        <v>15</v>
      </c>
      <c r="M969" s="2">
        <v>0</v>
      </c>
      <c r="N969" t="s">
        <v>40</v>
      </c>
      <c r="O969" t="s">
        <v>41</v>
      </c>
      <c r="P969" t="s">
        <v>61</v>
      </c>
      <c r="Q969" t="s">
        <v>62</v>
      </c>
      <c r="S969" t="s">
        <v>4609</v>
      </c>
      <c r="U969" t="s">
        <v>45</v>
      </c>
      <c r="V969" t="s">
        <v>46</v>
      </c>
      <c r="W969" t="s">
        <v>40</v>
      </c>
      <c r="X969" t="s">
        <v>41</v>
      </c>
      <c r="Y969" t="s">
        <v>47</v>
      </c>
      <c r="Z969" t="s">
        <v>48</v>
      </c>
      <c r="AA969" t="s">
        <v>49</v>
      </c>
      <c r="AB969" t="s">
        <v>50</v>
      </c>
      <c r="AC969" s="2">
        <v>1671.42</v>
      </c>
      <c r="AD969" t="s">
        <v>4610</v>
      </c>
      <c r="AE969" t="s">
        <v>52</v>
      </c>
    </row>
    <row r="970" spans="1:31" x14ac:dyDescent="0.25">
      <c r="A970" t="s">
        <v>4611</v>
      </c>
      <c r="B970" t="s">
        <v>4612</v>
      </c>
      <c r="C970" t="s">
        <v>4612</v>
      </c>
      <c r="D970" t="s">
        <v>153</v>
      </c>
      <c r="E970" t="s">
        <v>272</v>
      </c>
      <c r="F970" t="s">
        <v>4613</v>
      </c>
      <c r="G970" t="s">
        <v>153</v>
      </c>
      <c r="H970" t="s">
        <v>1531</v>
      </c>
      <c r="I970" t="s">
        <v>4614</v>
      </c>
      <c r="J970" s="2">
        <v>123650</v>
      </c>
      <c r="K970" s="2">
        <v>500</v>
      </c>
      <c r="L970" s="2">
        <v>1</v>
      </c>
      <c r="M970" s="2">
        <v>0</v>
      </c>
      <c r="N970" t="s">
        <v>585</v>
      </c>
      <c r="O970" t="s">
        <v>584</v>
      </c>
      <c r="P970" t="s">
        <v>158</v>
      </c>
      <c r="Q970" t="s">
        <v>159</v>
      </c>
      <c r="S970" t="s">
        <v>4615</v>
      </c>
      <c r="U970" t="s">
        <v>45</v>
      </c>
      <c r="V970" t="s">
        <v>46</v>
      </c>
      <c r="W970" t="s">
        <v>585</v>
      </c>
      <c r="X970" t="s">
        <v>584</v>
      </c>
      <c r="Y970" t="s">
        <v>161</v>
      </c>
      <c r="Z970" t="s">
        <v>162</v>
      </c>
      <c r="AA970" t="s">
        <v>49</v>
      </c>
      <c r="AB970" t="s">
        <v>50</v>
      </c>
      <c r="AC970" s="2">
        <v>2208.91</v>
      </c>
      <c r="AD970" t="s">
        <v>4616</v>
      </c>
      <c r="AE970" t="s">
        <v>115</v>
      </c>
    </row>
    <row r="971" spans="1:31" x14ac:dyDescent="0.25">
      <c r="A971" t="s">
        <v>4617</v>
      </c>
      <c r="B971" t="s">
        <v>4618</v>
      </c>
      <c r="C971" t="s">
        <v>4618</v>
      </c>
      <c r="D971" t="s">
        <v>35</v>
      </c>
      <c r="E971" t="s">
        <v>36</v>
      </c>
      <c r="F971" t="s">
        <v>4619</v>
      </c>
      <c r="G971" t="s">
        <v>35</v>
      </c>
      <c r="H971" t="s">
        <v>4620</v>
      </c>
      <c r="J971" s="2">
        <v>218170</v>
      </c>
      <c r="K971" s="2">
        <v>1000</v>
      </c>
      <c r="L971" s="2">
        <v>21</v>
      </c>
      <c r="M971" s="2">
        <v>0</v>
      </c>
      <c r="N971" t="s">
        <v>4621</v>
      </c>
      <c r="O971" t="s">
        <v>4622</v>
      </c>
      <c r="P971" t="s">
        <v>205</v>
      </c>
      <c r="Q971" t="s">
        <v>206</v>
      </c>
      <c r="S971" t="s">
        <v>4623</v>
      </c>
      <c r="U971" t="s">
        <v>45</v>
      </c>
      <c r="V971" t="s">
        <v>46</v>
      </c>
      <c r="W971" t="s">
        <v>4621</v>
      </c>
      <c r="X971" t="s">
        <v>4622</v>
      </c>
      <c r="Y971" t="s">
        <v>72</v>
      </c>
      <c r="Z971" t="s">
        <v>68</v>
      </c>
      <c r="AA971" t="s">
        <v>49</v>
      </c>
      <c r="AB971" t="s">
        <v>50</v>
      </c>
      <c r="AC971" s="2">
        <v>189094.36</v>
      </c>
      <c r="AD971" t="s">
        <v>4624</v>
      </c>
    </row>
    <row r="972" spans="1:31" x14ac:dyDescent="0.25">
      <c r="A972" t="s">
        <v>4625</v>
      </c>
      <c r="B972" t="s">
        <v>4626</v>
      </c>
      <c r="C972" t="s">
        <v>4626</v>
      </c>
      <c r="D972" t="s">
        <v>35</v>
      </c>
      <c r="E972" t="s">
        <v>36</v>
      </c>
      <c r="F972" t="s">
        <v>4627</v>
      </c>
      <c r="G972" t="s">
        <v>35</v>
      </c>
      <c r="H972" t="s">
        <v>751</v>
      </c>
      <c r="I972" t="s">
        <v>4628</v>
      </c>
      <c r="J972" s="2">
        <v>1236500</v>
      </c>
      <c r="K972" s="2">
        <v>5000</v>
      </c>
      <c r="L972" s="2">
        <v>21</v>
      </c>
      <c r="M972" s="2">
        <v>0</v>
      </c>
      <c r="N972" t="s">
        <v>753</v>
      </c>
      <c r="O972" t="s">
        <v>754</v>
      </c>
      <c r="P972" t="s">
        <v>61</v>
      </c>
      <c r="Q972" t="s">
        <v>62</v>
      </c>
      <c r="S972" t="s">
        <v>4629</v>
      </c>
      <c r="U972" t="s">
        <v>45</v>
      </c>
      <c r="V972" t="s">
        <v>46</v>
      </c>
      <c r="W972" t="s">
        <v>753</v>
      </c>
      <c r="X972" t="s">
        <v>754</v>
      </c>
      <c r="Y972" t="s">
        <v>47</v>
      </c>
      <c r="Z972" t="s">
        <v>48</v>
      </c>
      <c r="AA972" t="s">
        <v>49</v>
      </c>
      <c r="AB972" t="s">
        <v>50</v>
      </c>
      <c r="AC972" s="2">
        <v>6117.32</v>
      </c>
      <c r="AD972" t="s">
        <v>4630</v>
      </c>
      <c r="AE972" t="s">
        <v>115</v>
      </c>
    </row>
    <row r="973" spans="1:31" hidden="1" x14ac:dyDescent="0.25">
      <c r="I973" t="s">
        <v>4631</v>
      </c>
      <c r="J973" s="2">
        <v>7400</v>
      </c>
      <c r="K973" s="2">
        <v>0</v>
      </c>
      <c r="L973" s="2">
        <v>21</v>
      </c>
      <c r="M973" s="2">
        <v>0</v>
      </c>
      <c r="S973" t="s">
        <v>4632</v>
      </c>
      <c r="U973" t="s">
        <v>45</v>
      </c>
      <c r="V973" t="s">
        <v>46</v>
      </c>
      <c r="W973" t="s">
        <v>118</v>
      </c>
      <c r="X973" t="s">
        <v>119</v>
      </c>
      <c r="Y973" t="s">
        <v>121</v>
      </c>
      <c r="Z973" t="s">
        <v>94</v>
      </c>
      <c r="AA973" t="s">
        <v>49</v>
      </c>
      <c r="AC973" s="2"/>
    </row>
    <row r="974" spans="1:31" x14ac:dyDescent="0.25">
      <c r="A974" t="s">
        <v>4633</v>
      </c>
      <c r="B974" t="s">
        <v>4634</v>
      </c>
      <c r="C974" t="s">
        <v>4635</v>
      </c>
      <c r="D974" t="s">
        <v>619</v>
      </c>
      <c r="E974" t="s">
        <v>77</v>
      </c>
      <c r="F974" t="s">
        <v>4636</v>
      </c>
      <c r="H974" t="s">
        <v>2831</v>
      </c>
      <c r="I974" t="s">
        <v>4637</v>
      </c>
      <c r="J974" s="2">
        <v>174536</v>
      </c>
      <c r="K974" s="2">
        <v>800</v>
      </c>
      <c r="L974" s="2">
        <v>15</v>
      </c>
      <c r="M974" s="2">
        <v>0</v>
      </c>
      <c r="N974" t="s">
        <v>80</v>
      </c>
      <c r="O974" t="s">
        <v>81</v>
      </c>
      <c r="P974" t="s">
        <v>82</v>
      </c>
      <c r="Q974" t="s">
        <v>83</v>
      </c>
      <c r="S974" t="s">
        <v>4638</v>
      </c>
      <c r="U974" t="s">
        <v>45</v>
      </c>
      <c r="V974" t="s">
        <v>46</v>
      </c>
      <c r="W974" t="s">
        <v>80</v>
      </c>
      <c r="X974" t="s">
        <v>81</v>
      </c>
      <c r="Y974" t="s">
        <v>85</v>
      </c>
      <c r="Z974" t="s">
        <v>86</v>
      </c>
      <c r="AA974" t="s">
        <v>49</v>
      </c>
      <c r="AB974" t="s">
        <v>50</v>
      </c>
      <c r="AC974" s="2">
        <v>174536</v>
      </c>
      <c r="AD974" t="s">
        <v>64</v>
      </c>
    </row>
    <row r="975" spans="1:31" x14ac:dyDescent="0.25">
      <c r="A975" t="s">
        <v>4639</v>
      </c>
      <c r="B975" t="s">
        <v>4640</v>
      </c>
      <c r="C975" t="s">
        <v>4640</v>
      </c>
      <c r="D975" t="s">
        <v>569</v>
      </c>
      <c r="E975" t="s">
        <v>570</v>
      </c>
      <c r="F975" t="s">
        <v>4641</v>
      </c>
      <c r="G975" t="s">
        <v>299</v>
      </c>
      <c r="H975" t="s">
        <v>932</v>
      </c>
      <c r="I975" t="s">
        <v>4642</v>
      </c>
      <c r="J975" s="2">
        <v>676327</v>
      </c>
      <c r="K975" s="2">
        <v>3100</v>
      </c>
      <c r="L975" s="2">
        <v>21</v>
      </c>
      <c r="M975" s="2">
        <v>0</v>
      </c>
      <c r="N975" t="s">
        <v>933</v>
      </c>
      <c r="O975" t="s">
        <v>932</v>
      </c>
      <c r="P975" t="s">
        <v>103</v>
      </c>
      <c r="Q975" t="s">
        <v>104</v>
      </c>
      <c r="S975" t="s">
        <v>4643</v>
      </c>
      <c r="U975" t="s">
        <v>45</v>
      </c>
      <c r="V975" t="s">
        <v>46</v>
      </c>
      <c r="W975" t="s">
        <v>933</v>
      </c>
      <c r="X975" t="s">
        <v>932</v>
      </c>
      <c r="Y975" t="s">
        <v>279</v>
      </c>
      <c r="Z975" t="s">
        <v>280</v>
      </c>
      <c r="AA975" t="s">
        <v>49</v>
      </c>
      <c r="AB975" t="s">
        <v>50</v>
      </c>
      <c r="AC975" s="2">
        <v>140627.1</v>
      </c>
      <c r="AD975" t="s">
        <v>4644</v>
      </c>
      <c r="AE975" t="s">
        <v>52</v>
      </c>
    </row>
    <row r="976" spans="1:31" x14ac:dyDescent="0.25">
      <c r="A976" t="s">
        <v>4645</v>
      </c>
      <c r="B976" t="s">
        <v>4646</v>
      </c>
      <c r="C976" t="s">
        <v>4646</v>
      </c>
      <c r="D976" t="s">
        <v>4647</v>
      </c>
      <c r="E976" t="s">
        <v>224</v>
      </c>
      <c r="F976" t="s">
        <v>4648</v>
      </c>
      <c r="G976" t="s">
        <v>1734</v>
      </c>
      <c r="H976" t="s">
        <v>41</v>
      </c>
      <c r="I976" t="s">
        <v>4649</v>
      </c>
      <c r="J976" s="2">
        <v>32726</v>
      </c>
      <c r="K976" s="2">
        <v>150</v>
      </c>
      <c r="L976" s="2">
        <v>15</v>
      </c>
      <c r="M976" s="2">
        <v>0</v>
      </c>
      <c r="N976" t="s">
        <v>40</v>
      </c>
      <c r="O976" t="s">
        <v>41</v>
      </c>
      <c r="P976" t="s">
        <v>61</v>
      </c>
      <c r="Q976" t="s">
        <v>62</v>
      </c>
      <c r="S976" t="s">
        <v>4650</v>
      </c>
      <c r="U976" t="s">
        <v>45</v>
      </c>
      <c r="V976" t="s">
        <v>46</v>
      </c>
      <c r="W976" t="s">
        <v>40</v>
      </c>
      <c r="X976" t="s">
        <v>41</v>
      </c>
      <c r="Y976" t="s">
        <v>47</v>
      </c>
      <c r="Z976" t="s">
        <v>48</v>
      </c>
      <c r="AA976" t="s">
        <v>49</v>
      </c>
      <c r="AB976" t="s">
        <v>50</v>
      </c>
      <c r="AC976" s="2">
        <v>32726</v>
      </c>
      <c r="AD976" t="s">
        <v>64</v>
      </c>
    </row>
    <row r="977" spans="1:31" x14ac:dyDescent="0.25">
      <c r="A977" t="s">
        <v>4651</v>
      </c>
      <c r="B977" t="s">
        <v>4652</v>
      </c>
      <c r="C977" t="s">
        <v>4652</v>
      </c>
      <c r="D977" t="s">
        <v>847</v>
      </c>
      <c r="E977" t="s">
        <v>848</v>
      </c>
      <c r="F977" t="s">
        <v>4653</v>
      </c>
      <c r="G977" t="s">
        <v>178</v>
      </c>
      <c r="H977" t="s">
        <v>361</v>
      </c>
      <c r="I977" t="s">
        <v>4654</v>
      </c>
      <c r="J977" s="2">
        <v>218170</v>
      </c>
      <c r="K977" s="2">
        <v>1000</v>
      </c>
      <c r="L977" s="2">
        <v>15</v>
      </c>
      <c r="M977" s="2">
        <v>0</v>
      </c>
      <c r="N977" t="s">
        <v>360</v>
      </c>
      <c r="O977" t="s">
        <v>361</v>
      </c>
      <c r="P977" t="s">
        <v>61</v>
      </c>
      <c r="Q977" t="s">
        <v>62</v>
      </c>
      <c r="S977" t="s">
        <v>4655</v>
      </c>
      <c r="U977" t="s">
        <v>45</v>
      </c>
      <c r="V977" t="s">
        <v>46</v>
      </c>
      <c r="W977" t="s">
        <v>360</v>
      </c>
      <c r="X977" t="s">
        <v>361</v>
      </c>
      <c r="Y977" t="s">
        <v>47</v>
      </c>
      <c r="Z977" t="s">
        <v>48</v>
      </c>
      <c r="AA977" t="s">
        <v>49</v>
      </c>
      <c r="AB977" t="s">
        <v>50</v>
      </c>
      <c r="AC977" s="2">
        <v>218170</v>
      </c>
      <c r="AD977" t="s">
        <v>64</v>
      </c>
    </row>
    <row r="978" spans="1:31" x14ac:dyDescent="0.25">
      <c r="A978" t="s">
        <v>4656</v>
      </c>
      <c r="B978" t="s">
        <v>4657</v>
      </c>
      <c r="C978" t="s">
        <v>4658</v>
      </c>
      <c r="D978" t="s">
        <v>35</v>
      </c>
      <c r="E978" t="s">
        <v>36</v>
      </c>
      <c r="F978" t="s">
        <v>338</v>
      </c>
      <c r="G978" t="s">
        <v>178</v>
      </c>
      <c r="H978" t="s">
        <v>2012</v>
      </c>
      <c r="I978" t="s">
        <v>4659</v>
      </c>
      <c r="J978" s="2">
        <v>130902</v>
      </c>
      <c r="K978" s="2">
        <v>600</v>
      </c>
      <c r="L978" s="2">
        <v>15</v>
      </c>
      <c r="M978" s="2">
        <v>0</v>
      </c>
      <c r="N978" t="s">
        <v>2013</v>
      </c>
      <c r="O978" t="s">
        <v>2012</v>
      </c>
      <c r="P978" t="s">
        <v>61</v>
      </c>
      <c r="Q978" t="s">
        <v>62</v>
      </c>
      <c r="S978" t="s">
        <v>4660</v>
      </c>
      <c r="U978" t="s">
        <v>45</v>
      </c>
      <c r="V978" t="s">
        <v>46</v>
      </c>
      <c r="W978" t="s">
        <v>2013</v>
      </c>
      <c r="X978" t="s">
        <v>2012</v>
      </c>
      <c r="Y978" t="s">
        <v>47</v>
      </c>
      <c r="Z978" t="s">
        <v>48</v>
      </c>
      <c r="AA978" t="s">
        <v>49</v>
      </c>
      <c r="AB978" t="s">
        <v>50</v>
      </c>
      <c r="AC978" s="2">
        <v>91759.86</v>
      </c>
      <c r="AD978" t="s">
        <v>4661</v>
      </c>
      <c r="AE978" t="s">
        <v>52</v>
      </c>
    </row>
    <row r="979" spans="1:31" x14ac:dyDescent="0.25">
      <c r="A979" t="s">
        <v>4662</v>
      </c>
      <c r="B979" t="s">
        <v>4663</v>
      </c>
      <c r="C979" t="s">
        <v>4664</v>
      </c>
      <c r="D979" t="s">
        <v>847</v>
      </c>
      <c r="E979" t="s">
        <v>848</v>
      </c>
      <c r="F979" t="s">
        <v>4665</v>
      </c>
      <c r="G979" t="s">
        <v>297</v>
      </c>
      <c r="H979" t="s">
        <v>443</v>
      </c>
      <c r="I979" t="s">
        <v>4060</v>
      </c>
      <c r="J979" s="2">
        <v>428951</v>
      </c>
      <c r="K979" s="2">
        <v>1885</v>
      </c>
      <c r="L979" s="2">
        <v>21</v>
      </c>
      <c r="M979" s="2">
        <v>0</v>
      </c>
      <c r="N979" t="s">
        <v>445</v>
      </c>
      <c r="O979" t="s">
        <v>446</v>
      </c>
      <c r="P979" t="s">
        <v>69</v>
      </c>
      <c r="Q979" t="s">
        <v>70</v>
      </c>
      <c r="S979" t="s">
        <v>4666</v>
      </c>
      <c r="U979" t="s">
        <v>45</v>
      </c>
      <c r="V979" t="s">
        <v>46</v>
      </c>
      <c r="W979" t="s">
        <v>445</v>
      </c>
      <c r="X979" t="s">
        <v>446</v>
      </c>
      <c r="Y979" t="s">
        <v>72</v>
      </c>
      <c r="Z979" t="s">
        <v>68</v>
      </c>
      <c r="AA979" t="s">
        <v>49</v>
      </c>
      <c r="AB979" t="s">
        <v>50</v>
      </c>
      <c r="AC979" s="2">
        <v>152567.24</v>
      </c>
      <c r="AD979" t="s">
        <v>4667</v>
      </c>
      <c r="AE979" t="s">
        <v>115</v>
      </c>
    </row>
    <row r="980" spans="1:31" x14ac:dyDescent="0.25">
      <c r="A980" t="s">
        <v>4668</v>
      </c>
      <c r="B980" t="s">
        <v>4669</v>
      </c>
      <c r="C980" t="s">
        <v>4669</v>
      </c>
      <c r="D980" t="s">
        <v>2687</v>
      </c>
      <c r="E980" t="s">
        <v>190</v>
      </c>
      <c r="F980" t="s">
        <v>4670</v>
      </c>
      <c r="G980" t="s">
        <v>1865</v>
      </c>
      <c r="H980" t="s">
        <v>1222</v>
      </c>
      <c r="I980" t="s">
        <v>4671</v>
      </c>
      <c r="J980" s="2">
        <v>218170</v>
      </c>
      <c r="K980" s="2">
        <v>1000</v>
      </c>
      <c r="L980" s="2">
        <v>15</v>
      </c>
      <c r="M980" s="2">
        <v>0</v>
      </c>
      <c r="N980" t="s">
        <v>1221</v>
      </c>
      <c r="O980" t="s">
        <v>1222</v>
      </c>
      <c r="P980" t="s">
        <v>205</v>
      </c>
      <c r="Q980" t="s">
        <v>206</v>
      </c>
      <c r="S980" t="s">
        <v>4672</v>
      </c>
      <c r="U980" t="s">
        <v>45</v>
      </c>
      <c r="V980" t="s">
        <v>46</v>
      </c>
      <c r="W980" t="s">
        <v>1221</v>
      </c>
      <c r="X980" t="s">
        <v>1222</v>
      </c>
      <c r="Y980" t="s">
        <v>161</v>
      </c>
      <c r="Z980" t="s">
        <v>162</v>
      </c>
      <c r="AA980" t="s">
        <v>49</v>
      </c>
      <c r="AB980" t="s">
        <v>50</v>
      </c>
      <c r="AC980" s="2">
        <v>218170</v>
      </c>
      <c r="AD980" t="s">
        <v>64</v>
      </c>
    </row>
    <row r="981" spans="1:31" x14ac:dyDescent="0.25">
      <c r="A981" t="s">
        <v>4673</v>
      </c>
      <c r="B981" t="s">
        <v>4674</v>
      </c>
      <c r="C981" t="s">
        <v>4674</v>
      </c>
      <c r="D981" t="s">
        <v>178</v>
      </c>
      <c r="E981" t="s">
        <v>179</v>
      </c>
      <c r="F981" t="s">
        <v>4675</v>
      </c>
      <c r="G981" t="s">
        <v>344</v>
      </c>
      <c r="H981" t="s">
        <v>1901</v>
      </c>
      <c r="I981" t="s">
        <v>4676</v>
      </c>
      <c r="J981" s="2">
        <v>1527190</v>
      </c>
      <c r="K981" s="2">
        <v>7000</v>
      </c>
      <c r="L981" s="2">
        <v>15</v>
      </c>
      <c r="M981" s="2">
        <v>0</v>
      </c>
      <c r="N981" t="s">
        <v>1900</v>
      </c>
      <c r="O981" t="s">
        <v>1901</v>
      </c>
      <c r="P981" t="s">
        <v>158</v>
      </c>
      <c r="Q981" t="s">
        <v>159</v>
      </c>
      <c r="S981" t="s">
        <v>4677</v>
      </c>
      <c r="U981" t="s">
        <v>45</v>
      </c>
      <c r="V981" t="s">
        <v>46</v>
      </c>
      <c r="W981" t="s">
        <v>1900</v>
      </c>
      <c r="X981" t="s">
        <v>1901</v>
      </c>
      <c r="Y981" t="s">
        <v>161</v>
      </c>
      <c r="Z981" t="s">
        <v>162</v>
      </c>
      <c r="AA981" t="s">
        <v>49</v>
      </c>
      <c r="AB981" t="s">
        <v>50</v>
      </c>
      <c r="AC981" s="2">
        <v>1527189.9</v>
      </c>
      <c r="AD981" t="s">
        <v>4678</v>
      </c>
    </row>
    <row r="982" spans="1:31" x14ac:dyDescent="0.25">
      <c r="A982" t="s">
        <v>4679</v>
      </c>
      <c r="B982" t="s">
        <v>4680</v>
      </c>
      <c r="C982" t="s">
        <v>4680</v>
      </c>
      <c r="D982" t="s">
        <v>569</v>
      </c>
      <c r="E982" t="s">
        <v>570</v>
      </c>
      <c r="F982" t="s">
        <v>4681</v>
      </c>
      <c r="G982" t="s">
        <v>498</v>
      </c>
      <c r="H982" t="s">
        <v>404</v>
      </c>
      <c r="I982" t="s">
        <v>4682</v>
      </c>
      <c r="J982" s="2">
        <v>109085</v>
      </c>
      <c r="K982" s="2">
        <v>500</v>
      </c>
      <c r="L982" s="2">
        <v>21</v>
      </c>
      <c r="M982" s="2">
        <v>0</v>
      </c>
      <c r="N982" t="s">
        <v>403</v>
      </c>
      <c r="O982" t="s">
        <v>404</v>
      </c>
      <c r="P982" t="s">
        <v>205</v>
      </c>
      <c r="Q982" t="s">
        <v>206</v>
      </c>
      <c r="S982" t="s">
        <v>4683</v>
      </c>
      <c r="U982" t="s">
        <v>45</v>
      </c>
      <c r="V982" t="s">
        <v>46</v>
      </c>
      <c r="W982" t="s">
        <v>403</v>
      </c>
      <c r="X982" t="s">
        <v>404</v>
      </c>
      <c r="Y982" t="s">
        <v>161</v>
      </c>
      <c r="Z982" t="s">
        <v>162</v>
      </c>
      <c r="AA982" t="s">
        <v>49</v>
      </c>
      <c r="AB982" t="s">
        <v>50</v>
      </c>
      <c r="AC982" s="2">
        <v>109085</v>
      </c>
      <c r="AD982" t="s">
        <v>64</v>
      </c>
    </row>
    <row r="983" spans="1:31" hidden="1" x14ac:dyDescent="0.25">
      <c r="I983" t="s">
        <v>4684</v>
      </c>
      <c r="J983" s="2">
        <v>21817</v>
      </c>
      <c r="K983" s="2">
        <v>100</v>
      </c>
      <c r="L983" s="2">
        <v>1</v>
      </c>
      <c r="M983" s="2">
        <v>0</v>
      </c>
      <c r="S983" t="s">
        <v>4685</v>
      </c>
      <c r="U983" t="s">
        <v>45</v>
      </c>
      <c r="V983" t="s">
        <v>46</v>
      </c>
      <c r="W983" t="s">
        <v>89</v>
      </c>
      <c r="X983" t="s">
        <v>90</v>
      </c>
      <c r="Y983" t="s">
        <v>92</v>
      </c>
      <c r="Z983" t="s">
        <v>94</v>
      </c>
      <c r="AA983" t="s">
        <v>49</v>
      </c>
      <c r="AC983" s="2"/>
    </row>
    <row r="984" spans="1:31" hidden="1" x14ac:dyDescent="0.25">
      <c r="I984" t="s">
        <v>4686</v>
      </c>
      <c r="J984" s="2">
        <v>76360</v>
      </c>
      <c r="K984" s="2">
        <v>350</v>
      </c>
      <c r="L984" s="2">
        <v>7</v>
      </c>
      <c r="M984" s="2">
        <v>0</v>
      </c>
      <c r="S984" t="s">
        <v>4687</v>
      </c>
      <c r="U984" t="s">
        <v>45</v>
      </c>
      <c r="V984" t="s">
        <v>46</v>
      </c>
      <c r="W984" t="s">
        <v>904</v>
      </c>
      <c r="X984" t="s">
        <v>905</v>
      </c>
      <c r="Y984" t="s">
        <v>72</v>
      </c>
      <c r="Z984" t="s">
        <v>68</v>
      </c>
      <c r="AA984" t="s">
        <v>49</v>
      </c>
      <c r="AC984" s="2"/>
    </row>
    <row r="985" spans="1:31" x14ac:dyDescent="0.25">
      <c r="A985" t="s">
        <v>4688</v>
      </c>
      <c r="B985" t="s">
        <v>4689</v>
      </c>
      <c r="C985" t="s">
        <v>4689</v>
      </c>
      <c r="D985" t="s">
        <v>344</v>
      </c>
      <c r="E985" t="s">
        <v>167</v>
      </c>
      <c r="F985" t="s">
        <v>4690</v>
      </c>
      <c r="G985" t="s">
        <v>344</v>
      </c>
      <c r="H985" t="s">
        <v>2920</v>
      </c>
      <c r="I985" t="s">
        <v>4691</v>
      </c>
      <c r="J985" s="2">
        <v>218170</v>
      </c>
      <c r="K985" s="2">
        <v>1000</v>
      </c>
      <c r="L985" s="2">
        <v>30</v>
      </c>
      <c r="M985" s="2">
        <v>0</v>
      </c>
      <c r="N985" t="s">
        <v>2919</v>
      </c>
      <c r="O985" t="s">
        <v>2920</v>
      </c>
      <c r="P985" t="s">
        <v>304</v>
      </c>
      <c r="Q985" t="s">
        <v>72</v>
      </c>
      <c r="S985" t="s">
        <v>4692</v>
      </c>
      <c r="U985" t="s">
        <v>45</v>
      </c>
      <c r="V985" t="s">
        <v>46</v>
      </c>
      <c r="W985" t="s">
        <v>2919</v>
      </c>
      <c r="X985" t="s">
        <v>2920</v>
      </c>
      <c r="Y985" t="s">
        <v>72</v>
      </c>
      <c r="Z985" t="s">
        <v>68</v>
      </c>
      <c r="AA985" t="s">
        <v>49</v>
      </c>
      <c r="AB985" t="s">
        <v>50</v>
      </c>
      <c r="AC985" s="2">
        <v>192304.1</v>
      </c>
      <c r="AD985" t="s">
        <v>4693</v>
      </c>
      <c r="AE985" t="s">
        <v>52</v>
      </c>
    </row>
    <row r="986" spans="1:31" x14ac:dyDescent="0.25">
      <c r="A986" t="s">
        <v>4694</v>
      </c>
      <c r="B986" t="s">
        <v>4695</v>
      </c>
      <c r="C986" t="s">
        <v>4538</v>
      </c>
      <c r="D986" t="s">
        <v>153</v>
      </c>
      <c r="E986" t="s">
        <v>272</v>
      </c>
      <c r="F986" t="s">
        <v>4539</v>
      </c>
      <c r="G986" t="s">
        <v>153</v>
      </c>
      <c r="H986" t="s">
        <v>38</v>
      </c>
      <c r="I986" t="s">
        <v>4696</v>
      </c>
      <c r="J986" s="2">
        <v>545425</v>
      </c>
      <c r="K986" s="2">
        <v>2500</v>
      </c>
      <c r="L986" s="2">
        <v>15</v>
      </c>
      <c r="M986" s="2">
        <v>0</v>
      </c>
      <c r="N986" t="s">
        <v>40</v>
      </c>
      <c r="O986" t="s">
        <v>41</v>
      </c>
      <c r="P986" t="s">
        <v>61</v>
      </c>
      <c r="Q986" t="s">
        <v>62</v>
      </c>
      <c r="S986" t="s">
        <v>4697</v>
      </c>
      <c r="U986" t="s">
        <v>45</v>
      </c>
      <c r="V986" t="s">
        <v>46</v>
      </c>
      <c r="W986" t="s">
        <v>40</v>
      </c>
      <c r="X986" t="s">
        <v>41</v>
      </c>
      <c r="Y986" t="s">
        <v>47</v>
      </c>
      <c r="Z986" t="s">
        <v>48</v>
      </c>
      <c r="AA986" t="s">
        <v>49</v>
      </c>
      <c r="AB986" t="s">
        <v>50</v>
      </c>
      <c r="AC986" s="2">
        <v>467081.02</v>
      </c>
      <c r="AD986" t="s">
        <v>4698</v>
      </c>
      <c r="AE986" t="s">
        <v>52</v>
      </c>
    </row>
    <row r="987" spans="1:31" x14ac:dyDescent="0.25">
      <c r="A987" t="s">
        <v>4699</v>
      </c>
      <c r="B987" t="s">
        <v>4700</v>
      </c>
      <c r="C987" t="s">
        <v>4701</v>
      </c>
      <c r="D987" t="s">
        <v>35</v>
      </c>
      <c r="E987" t="s">
        <v>36</v>
      </c>
      <c r="F987" t="s">
        <v>4702</v>
      </c>
      <c r="G987" t="s">
        <v>35</v>
      </c>
      <c r="H987" t="s">
        <v>404</v>
      </c>
      <c r="J987" s="2">
        <v>327255</v>
      </c>
      <c r="K987" s="2">
        <v>1500</v>
      </c>
      <c r="L987" s="2">
        <v>30</v>
      </c>
      <c r="M987" s="2">
        <v>0</v>
      </c>
      <c r="N987" t="s">
        <v>403</v>
      </c>
      <c r="O987" t="s">
        <v>404</v>
      </c>
      <c r="P987" t="s">
        <v>205</v>
      </c>
      <c r="Q987" t="s">
        <v>206</v>
      </c>
      <c r="S987" t="s">
        <v>4703</v>
      </c>
      <c r="U987" t="s">
        <v>45</v>
      </c>
      <c r="V987" t="s">
        <v>46</v>
      </c>
      <c r="W987" t="s">
        <v>403</v>
      </c>
      <c r="X987" t="s">
        <v>404</v>
      </c>
      <c r="Y987" t="s">
        <v>161</v>
      </c>
      <c r="Z987" t="s">
        <v>162</v>
      </c>
      <c r="AA987" t="s">
        <v>49</v>
      </c>
      <c r="AB987" t="s">
        <v>50</v>
      </c>
      <c r="AC987" s="2">
        <v>187901.92</v>
      </c>
      <c r="AD987" t="s">
        <v>4704</v>
      </c>
      <c r="AE987" t="s">
        <v>115</v>
      </c>
    </row>
    <row r="988" spans="1:31" hidden="1" x14ac:dyDescent="0.25">
      <c r="A988" s="10" t="s">
        <v>4705</v>
      </c>
      <c r="B988" s="10" t="s">
        <v>4706</v>
      </c>
      <c r="C988" t="s">
        <v>4706</v>
      </c>
      <c r="D988" t="s">
        <v>4647</v>
      </c>
      <c r="E988" t="s">
        <v>224</v>
      </c>
      <c r="F988" t="s">
        <v>4707</v>
      </c>
      <c r="H988" t="s">
        <v>213</v>
      </c>
      <c r="I988" t="s">
        <v>4708</v>
      </c>
      <c r="J988" s="2">
        <v>43634</v>
      </c>
      <c r="K988" s="2">
        <v>200</v>
      </c>
      <c r="L988" s="2">
        <v>1</v>
      </c>
      <c r="M988" s="2">
        <v>0</v>
      </c>
      <c r="N988" t="s">
        <v>212</v>
      </c>
      <c r="O988" t="s">
        <v>213</v>
      </c>
      <c r="P988" t="s">
        <v>61</v>
      </c>
      <c r="Q988" t="s">
        <v>62</v>
      </c>
      <c r="S988" t="s">
        <v>4709</v>
      </c>
      <c r="U988" t="s">
        <v>45</v>
      </c>
      <c r="V988" t="s">
        <v>46</v>
      </c>
      <c r="W988" t="s">
        <v>212</v>
      </c>
      <c r="X988" t="s">
        <v>213</v>
      </c>
      <c r="Y988" t="s">
        <v>47</v>
      </c>
      <c r="Z988" t="s">
        <v>48</v>
      </c>
      <c r="AA988" t="s">
        <v>49</v>
      </c>
      <c r="AB988" t="s">
        <v>142</v>
      </c>
      <c r="AC988" s="2">
        <v>43634</v>
      </c>
      <c r="AD988" t="s">
        <v>64</v>
      </c>
    </row>
    <row r="989" spans="1:31" hidden="1" x14ac:dyDescent="0.25">
      <c r="I989" t="s">
        <v>4710</v>
      </c>
      <c r="J989" s="2">
        <v>130902</v>
      </c>
      <c r="K989" s="2">
        <v>600</v>
      </c>
      <c r="L989" s="2">
        <v>25</v>
      </c>
      <c r="M989" s="2">
        <v>0</v>
      </c>
      <c r="S989" t="s">
        <v>4711</v>
      </c>
      <c r="U989" t="s">
        <v>45</v>
      </c>
      <c r="V989" t="s">
        <v>46</v>
      </c>
      <c r="W989" t="s">
        <v>254</v>
      </c>
      <c r="X989" t="s">
        <v>255</v>
      </c>
      <c r="Y989" t="s">
        <v>161</v>
      </c>
      <c r="Z989" t="s">
        <v>162</v>
      </c>
      <c r="AA989" t="s">
        <v>49</v>
      </c>
      <c r="AC989" s="2"/>
    </row>
    <row r="990" spans="1:31" hidden="1" x14ac:dyDescent="0.25">
      <c r="J990" s="2">
        <v>1000</v>
      </c>
      <c r="K990" s="2">
        <v>0</v>
      </c>
      <c r="L990" s="2">
        <v>1</v>
      </c>
      <c r="M990" s="2">
        <v>0</v>
      </c>
      <c r="S990" t="s">
        <v>4712</v>
      </c>
      <c r="U990" t="s">
        <v>45</v>
      </c>
      <c r="V990" t="s">
        <v>46</v>
      </c>
      <c r="W990" t="s">
        <v>254</v>
      </c>
      <c r="X990" t="s">
        <v>255</v>
      </c>
      <c r="Y990" t="s">
        <v>258</v>
      </c>
      <c r="Z990" t="s">
        <v>259</v>
      </c>
      <c r="AA990" t="s">
        <v>49</v>
      </c>
      <c r="AC990" s="2"/>
    </row>
    <row r="991" spans="1:31" hidden="1" x14ac:dyDescent="0.25">
      <c r="A991" t="s">
        <v>4713</v>
      </c>
      <c r="B991" t="s">
        <v>4714</v>
      </c>
      <c r="C991" t="s">
        <v>4714</v>
      </c>
      <c r="D991" t="s">
        <v>55</v>
      </c>
      <c r="E991" t="s">
        <v>56</v>
      </c>
      <c r="F991" t="s">
        <v>4627</v>
      </c>
      <c r="H991" t="s">
        <v>754</v>
      </c>
      <c r="I991" t="s">
        <v>4628</v>
      </c>
      <c r="J991" s="2">
        <v>1000</v>
      </c>
      <c r="K991" s="2">
        <v>0</v>
      </c>
      <c r="L991" s="2">
        <v>15</v>
      </c>
      <c r="M991" s="2">
        <v>0</v>
      </c>
      <c r="N991" t="s">
        <v>753</v>
      </c>
      <c r="O991" t="s">
        <v>754</v>
      </c>
      <c r="P991" t="s">
        <v>61</v>
      </c>
      <c r="Q991" t="s">
        <v>62</v>
      </c>
      <c r="S991" t="s">
        <v>4715</v>
      </c>
      <c r="U991" t="s">
        <v>45</v>
      </c>
      <c r="V991" t="s">
        <v>46</v>
      </c>
      <c r="W991" t="s">
        <v>753</v>
      </c>
      <c r="X991" t="s">
        <v>754</v>
      </c>
      <c r="Y991" t="s">
        <v>47</v>
      </c>
      <c r="Z991" t="s">
        <v>48</v>
      </c>
      <c r="AA991" t="s">
        <v>49</v>
      </c>
      <c r="AB991" t="s">
        <v>50</v>
      </c>
      <c r="AC991" s="2">
        <v>1000</v>
      </c>
      <c r="AD991" t="s">
        <v>64</v>
      </c>
    </row>
    <row r="992" spans="1:31" hidden="1" x14ac:dyDescent="0.25">
      <c r="A992" s="10" t="s">
        <v>4716</v>
      </c>
      <c r="B992" s="10" t="s">
        <v>4717</v>
      </c>
      <c r="C992" t="s">
        <v>4717</v>
      </c>
      <c r="D992" t="s">
        <v>55</v>
      </c>
      <c r="E992" t="s">
        <v>56</v>
      </c>
      <c r="F992" t="s">
        <v>4627</v>
      </c>
      <c r="H992" t="s">
        <v>754</v>
      </c>
      <c r="I992" t="s">
        <v>4628</v>
      </c>
      <c r="J992" s="2">
        <v>1000</v>
      </c>
      <c r="K992" s="2">
        <v>0</v>
      </c>
      <c r="L992" s="2">
        <v>15</v>
      </c>
      <c r="M992" s="2">
        <v>0</v>
      </c>
      <c r="N992" t="s">
        <v>753</v>
      </c>
      <c r="O992" t="s">
        <v>754</v>
      </c>
      <c r="P992" t="s">
        <v>61</v>
      </c>
      <c r="Q992" t="s">
        <v>62</v>
      </c>
      <c r="S992" t="s">
        <v>4718</v>
      </c>
      <c r="U992" t="s">
        <v>45</v>
      </c>
      <c r="V992" t="s">
        <v>46</v>
      </c>
      <c r="W992" t="s">
        <v>753</v>
      </c>
      <c r="X992" t="s">
        <v>754</v>
      </c>
      <c r="Y992" t="s">
        <v>47</v>
      </c>
      <c r="Z992" t="s">
        <v>48</v>
      </c>
      <c r="AA992" t="s">
        <v>49</v>
      </c>
      <c r="AB992" t="s">
        <v>142</v>
      </c>
      <c r="AC992" s="2">
        <v>1000</v>
      </c>
      <c r="AD992" t="s">
        <v>64</v>
      </c>
    </row>
    <row r="993" spans="1:31" hidden="1" x14ac:dyDescent="0.25">
      <c r="I993" t="s">
        <v>4719</v>
      </c>
      <c r="J993" s="2">
        <v>21817</v>
      </c>
      <c r="K993" s="2">
        <v>100</v>
      </c>
      <c r="L993" s="2">
        <v>45</v>
      </c>
      <c r="M993" s="2">
        <v>0</v>
      </c>
      <c r="S993" t="s">
        <v>4720</v>
      </c>
      <c r="U993" t="s">
        <v>45</v>
      </c>
      <c r="V993" t="s">
        <v>46</v>
      </c>
      <c r="W993" t="s">
        <v>613</v>
      </c>
      <c r="X993" t="s">
        <v>614</v>
      </c>
      <c r="Y993" t="s">
        <v>92</v>
      </c>
      <c r="Z993" t="s">
        <v>94</v>
      </c>
      <c r="AA993" t="s">
        <v>49</v>
      </c>
      <c r="AC993" s="2"/>
    </row>
    <row r="994" spans="1:31" x14ac:dyDescent="0.25">
      <c r="A994" s="15" t="s">
        <v>4721</v>
      </c>
      <c r="B994" s="15" t="s">
        <v>4722</v>
      </c>
      <c r="C994" s="15" t="s">
        <v>4723</v>
      </c>
      <c r="D994" s="15" t="s">
        <v>55</v>
      </c>
      <c r="E994" s="15" t="s">
        <v>56</v>
      </c>
      <c r="F994" s="15" t="s">
        <v>4724</v>
      </c>
      <c r="H994" s="15" t="s">
        <v>614</v>
      </c>
      <c r="I994" t="s">
        <v>4719</v>
      </c>
      <c r="J994" s="2">
        <v>21817</v>
      </c>
      <c r="K994" s="2">
        <v>100</v>
      </c>
      <c r="L994" s="2">
        <v>45</v>
      </c>
      <c r="M994" s="2">
        <v>0</v>
      </c>
      <c r="N994" s="15" t="s">
        <v>613</v>
      </c>
      <c r="O994" s="15" t="s">
        <v>614</v>
      </c>
      <c r="P994" s="15" t="s">
        <v>91</v>
      </c>
      <c r="Q994" s="15" t="s">
        <v>92</v>
      </c>
      <c r="S994" t="s">
        <v>4725</v>
      </c>
      <c r="U994" t="s">
        <v>45</v>
      </c>
      <c r="V994" t="s">
        <v>46</v>
      </c>
      <c r="W994" t="s">
        <v>613</v>
      </c>
      <c r="X994" t="s">
        <v>614</v>
      </c>
      <c r="Y994" t="s">
        <v>92</v>
      </c>
      <c r="Z994" t="s">
        <v>94</v>
      </c>
      <c r="AA994" t="s">
        <v>49</v>
      </c>
      <c r="AB994" s="15" t="s">
        <v>50</v>
      </c>
      <c r="AC994" s="16">
        <v>20286.46</v>
      </c>
      <c r="AD994" s="15" t="s">
        <v>4726</v>
      </c>
      <c r="AE994" s="15" t="s">
        <v>115</v>
      </c>
    </row>
    <row r="995" spans="1:31" hidden="1" x14ac:dyDescent="0.25">
      <c r="J995" s="2">
        <v>3889</v>
      </c>
      <c r="K995" s="2">
        <v>0</v>
      </c>
      <c r="L995" s="2">
        <v>7</v>
      </c>
      <c r="M995" s="2">
        <v>0</v>
      </c>
      <c r="S995" t="s">
        <v>4727</v>
      </c>
      <c r="U995" t="s">
        <v>45</v>
      </c>
      <c r="V995" t="s">
        <v>46</v>
      </c>
      <c r="W995" t="s">
        <v>403</v>
      </c>
      <c r="X995" t="s">
        <v>404</v>
      </c>
      <c r="Y995" t="s">
        <v>161</v>
      </c>
      <c r="Z995" t="s">
        <v>162</v>
      </c>
      <c r="AA995" t="s">
        <v>49</v>
      </c>
      <c r="AC995" s="2"/>
    </row>
    <row r="996" spans="1:31" x14ac:dyDescent="0.25">
      <c r="A996" t="s">
        <v>4728</v>
      </c>
      <c r="B996" t="s">
        <v>4729</v>
      </c>
      <c r="C996" t="s">
        <v>4729</v>
      </c>
      <c r="D996" t="s">
        <v>344</v>
      </c>
      <c r="E996" t="s">
        <v>167</v>
      </c>
      <c r="F996" t="s">
        <v>4730</v>
      </c>
      <c r="G996" t="s">
        <v>1865</v>
      </c>
      <c r="H996" t="s">
        <v>1123</v>
      </c>
      <c r="I996" t="s">
        <v>4731</v>
      </c>
      <c r="J996" s="2">
        <v>654510</v>
      </c>
      <c r="K996" s="2">
        <v>3000</v>
      </c>
      <c r="L996" s="2">
        <v>21</v>
      </c>
      <c r="M996" s="2">
        <v>0</v>
      </c>
      <c r="N996" t="s">
        <v>1125</v>
      </c>
      <c r="O996" t="s">
        <v>1123</v>
      </c>
      <c r="P996" t="s">
        <v>158</v>
      </c>
      <c r="Q996" t="s">
        <v>159</v>
      </c>
      <c r="S996" t="s">
        <v>4732</v>
      </c>
      <c r="U996" t="s">
        <v>45</v>
      </c>
      <c r="V996" t="s">
        <v>46</v>
      </c>
      <c r="W996" t="s">
        <v>1125</v>
      </c>
      <c r="X996" t="s">
        <v>1123</v>
      </c>
      <c r="Y996" t="s">
        <v>161</v>
      </c>
      <c r="Z996" t="s">
        <v>162</v>
      </c>
      <c r="AA996" t="s">
        <v>49</v>
      </c>
      <c r="AB996" t="s">
        <v>50</v>
      </c>
      <c r="AC996" s="2">
        <v>654510</v>
      </c>
      <c r="AD996" t="s">
        <v>64</v>
      </c>
    </row>
    <row r="997" spans="1:31" hidden="1" x14ac:dyDescent="0.25">
      <c r="I997" t="s">
        <v>4733</v>
      </c>
      <c r="J997" s="2">
        <v>1000</v>
      </c>
      <c r="K997" s="2">
        <v>0</v>
      </c>
      <c r="L997" s="2">
        <v>1</v>
      </c>
      <c r="M997" s="2">
        <v>0</v>
      </c>
      <c r="S997" t="s">
        <v>4734</v>
      </c>
      <c r="U997" t="s">
        <v>45</v>
      </c>
      <c r="V997" t="s">
        <v>46</v>
      </c>
      <c r="W997" t="s">
        <v>80</v>
      </c>
      <c r="X997" t="s">
        <v>81</v>
      </c>
      <c r="Y997" t="s">
        <v>85</v>
      </c>
      <c r="Z997" t="s">
        <v>86</v>
      </c>
      <c r="AA997" t="s">
        <v>49</v>
      </c>
      <c r="AC997" s="2"/>
    </row>
    <row r="998" spans="1:31" hidden="1" x14ac:dyDescent="0.25">
      <c r="I998" t="s">
        <v>4735</v>
      </c>
      <c r="J998" s="2">
        <v>32726</v>
      </c>
      <c r="K998" s="2">
        <v>150</v>
      </c>
      <c r="L998" s="2">
        <v>1</v>
      </c>
      <c r="M998" s="2">
        <v>0</v>
      </c>
      <c r="S998" t="s">
        <v>4736</v>
      </c>
      <c r="U998" t="s">
        <v>45</v>
      </c>
      <c r="V998" t="s">
        <v>46</v>
      </c>
      <c r="W998" t="s">
        <v>118</v>
      </c>
      <c r="X998" t="s">
        <v>119</v>
      </c>
      <c r="Y998" t="s">
        <v>121</v>
      </c>
      <c r="Z998" t="s">
        <v>94</v>
      </c>
      <c r="AA998" t="s">
        <v>49</v>
      </c>
      <c r="AC998" s="2"/>
    </row>
    <row r="999" spans="1:31" hidden="1" x14ac:dyDescent="0.25">
      <c r="A999" s="10" t="s">
        <v>4737</v>
      </c>
      <c r="B999" s="10" t="s">
        <v>4738</v>
      </c>
      <c r="C999" t="s">
        <v>4738</v>
      </c>
      <c r="D999" t="s">
        <v>55</v>
      </c>
      <c r="E999" t="s">
        <v>56</v>
      </c>
      <c r="F999" t="s">
        <v>4739</v>
      </c>
      <c r="H999" t="s">
        <v>1039</v>
      </c>
      <c r="I999" t="s">
        <v>4740</v>
      </c>
      <c r="J999" s="2">
        <v>1000</v>
      </c>
      <c r="K999" s="2">
        <v>0</v>
      </c>
      <c r="L999" s="2">
        <v>15</v>
      </c>
      <c r="M999" s="2">
        <v>0</v>
      </c>
      <c r="N999" t="s">
        <v>1038</v>
      </c>
      <c r="O999" t="s">
        <v>1039</v>
      </c>
      <c r="P999" t="s">
        <v>941</v>
      </c>
      <c r="Q999" t="s">
        <v>139</v>
      </c>
      <c r="S999" t="s">
        <v>4741</v>
      </c>
      <c r="U999" t="s">
        <v>45</v>
      </c>
      <c r="V999" t="s">
        <v>46</v>
      </c>
      <c r="W999" t="s">
        <v>1038</v>
      </c>
      <c r="X999" t="s">
        <v>1039</v>
      </c>
      <c r="Y999" t="s">
        <v>72</v>
      </c>
      <c r="Z999" t="s">
        <v>68</v>
      </c>
      <c r="AA999" t="s">
        <v>49</v>
      </c>
      <c r="AB999" t="s">
        <v>142</v>
      </c>
      <c r="AC999" s="2">
        <v>1000</v>
      </c>
      <c r="AD999" t="s">
        <v>64</v>
      </c>
    </row>
    <row r="1000" spans="1:31" hidden="1" x14ac:dyDescent="0.25">
      <c r="I1000" t="s">
        <v>4742</v>
      </c>
      <c r="J1000" s="2">
        <v>109085</v>
      </c>
      <c r="K1000" s="2">
        <v>500</v>
      </c>
      <c r="L1000" s="2">
        <v>1</v>
      </c>
      <c r="M1000" s="2">
        <v>0</v>
      </c>
      <c r="S1000" t="s">
        <v>4743</v>
      </c>
      <c r="U1000" t="s">
        <v>45</v>
      </c>
      <c r="V1000" t="s">
        <v>46</v>
      </c>
      <c r="W1000" t="s">
        <v>1221</v>
      </c>
      <c r="X1000" t="s">
        <v>1222</v>
      </c>
      <c r="Y1000" t="s">
        <v>161</v>
      </c>
      <c r="Z1000" t="s">
        <v>162</v>
      </c>
      <c r="AA1000" t="s">
        <v>49</v>
      </c>
      <c r="AC1000" s="2"/>
    </row>
    <row r="1001" spans="1:31" x14ac:dyDescent="0.25">
      <c r="A1001" t="s">
        <v>4744</v>
      </c>
      <c r="B1001" t="s">
        <v>4745</v>
      </c>
      <c r="C1001" t="s">
        <v>4745</v>
      </c>
      <c r="D1001" t="s">
        <v>1289</v>
      </c>
      <c r="E1001" t="s">
        <v>224</v>
      </c>
      <c r="F1001" t="s">
        <v>4746</v>
      </c>
      <c r="G1001" t="s">
        <v>577</v>
      </c>
      <c r="H1001" t="s">
        <v>1396</v>
      </c>
      <c r="I1001" t="s">
        <v>4747</v>
      </c>
      <c r="J1001" s="2">
        <v>218170</v>
      </c>
      <c r="K1001" s="2">
        <v>1000</v>
      </c>
      <c r="L1001" s="2">
        <v>15</v>
      </c>
      <c r="M1001" s="2">
        <v>0</v>
      </c>
      <c r="N1001" t="s">
        <v>1398</v>
      </c>
      <c r="O1001" t="s">
        <v>1396</v>
      </c>
      <c r="P1001" t="s">
        <v>120</v>
      </c>
      <c r="Q1001" t="s">
        <v>121</v>
      </c>
      <c r="S1001" t="s">
        <v>4748</v>
      </c>
      <c r="U1001" t="s">
        <v>45</v>
      </c>
      <c r="V1001" t="s">
        <v>46</v>
      </c>
      <c r="W1001" t="s">
        <v>1398</v>
      </c>
      <c r="X1001" t="s">
        <v>1396</v>
      </c>
      <c r="Y1001" t="s">
        <v>121</v>
      </c>
      <c r="Z1001" t="s">
        <v>94</v>
      </c>
      <c r="AA1001" t="s">
        <v>49</v>
      </c>
      <c r="AB1001" t="s">
        <v>50</v>
      </c>
      <c r="AC1001" s="2">
        <v>218170</v>
      </c>
      <c r="AD1001" t="s">
        <v>64</v>
      </c>
    </row>
    <row r="1002" spans="1:31" x14ac:dyDescent="0.25">
      <c r="A1002" t="s">
        <v>4749</v>
      </c>
      <c r="B1002" t="s">
        <v>4750</v>
      </c>
      <c r="C1002" t="s">
        <v>4750</v>
      </c>
      <c r="D1002" t="s">
        <v>35</v>
      </c>
      <c r="E1002" t="s">
        <v>36</v>
      </c>
      <c r="F1002" t="s">
        <v>4751</v>
      </c>
      <c r="G1002" t="s">
        <v>569</v>
      </c>
      <c r="H1002" t="s">
        <v>820</v>
      </c>
      <c r="I1002" t="s">
        <v>4752</v>
      </c>
      <c r="J1002" s="2">
        <v>545425</v>
      </c>
      <c r="K1002" s="2">
        <v>2500</v>
      </c>
      <c r="L1002" s="2">
        <v>15</v>
      </c>
      <c r="M1002" s="2">
        <v>0</v>
      </c>
      <c r="N1002" t="s">
        <v>822</v>
      </c>
      <c r="O1002" t="s">
        <v>820</v>
      </c>
      <c r="P1002" t="s">
        <v>91</v>
      </c>
      <c r="Q1002" t="s">
        <v>92</v>
      </c>
      <c r="S1002" t="s">
        <v>4753</v>
      </c>
      <c r="U1002" t="s">
        <v>45</v>
      </c>
      <c r="V1002" t="s">
        <v>46</v>
      </c>
      <c r="W1002" t="s">
        <v>822</v>
      </c>
      <c r="X1002" t="s">
        <v>820</v>
      </c>
      <c r="Y1002" t="s">
        <v>92</v>
      </c>
      <c r="Z1002" t="s">
        <v>94</v>
      </c>
      <c r="AA1002" t="s">
        <v>49</v>
      </c>
      <c r="AB1002" t="s">
        <v>50</v>
      </c>
      <c r="AC1002" s="2">
        <v>459374.51</v>
      </c>
      <c r="AD1002" t="s">
        <v>4754</v>
      </c>
      <c r="AE1002" t="s">
        <v>52</v>
      </c>
    </row>
    <row r="1003" spans="1:31" hidden="1" x14ac:dyDescent="0.25">
      <c r="A1003" s="10" t="s">
        <v>4755</v>
      </c>
      <c r="B1003" s="10" t="s">
        <v>4756</v>
      </c>
      <c r="C1003" t="s">
        <v>4756</v>
      </c>
      <c r="D1003" t="s">
        <v>55</v>
      </c>
      <c r="E1003" t="s">
        <v>56</v>
      </c>
      <c r="F1003" t="s">
        <v>4757</v>
      </c>
      <c r="H1003" t="s">
        <v>611</v>
      </c>
      <c r="J1003" s="2">
        <v>21817</v>
      </c>
      <c r="K1003" s="2">
        <v>100</v>
      </c>
      <c r="L1003" s="2">
        <v>1</v>
      </c>
      <c r="M1003" s="2">
        <v>0</v>
      </c>
      <c r="N1003" t="s">
        <v>613</v>
      </c>
      <c r="O1003" t="s">
        <v>614</v>
      </c>
      <c r="P1003" t="s">
        <v>91</v>
      </c>
      <c r="Q1003" t="s">
        <v>92</v>
      </c>
      <c r="S1003" t="s">
        <v>4758</v>
      </c>
      <c r="U1003" t="s">
        <v>45</v>
      </c>
      <c r="V1003" t="s">
        <v>46</v>
      </c>
      <c r="W1003" t="s">
        <v>613</v>
      </c>
      <c r="X1003" t="s">
        <v>614</v>
      </c>
      <c r="Y1003" t="s">
        <v>92</v>
      </c>
      <c r="Z1003" t="s">
        <v>94</v>
      </c>
      <c r="AA1003" t="s">
        <v>49</v>
      </c>
      <c r="AB1003" t="s">
        <v>142</v>
      </c>
      <c r="AC1003" s="2">
        <v>21817</v>
      </c>
      <c r="AD1003" t="s">
        <v>64</v>
      </c>
    </row>
    <row r="1004" spans="1:31" hidden="1" x14ac:dyDescent="0.25">
      <c r="I1004" t="s">
        <v>4759</v>
      </c>
      <c r="J1004" s="2">
        <v>11058</v>
      </c>
      <c r="K1004" s="2">
        <v>0</v>
      </c>
      <c r="L1004" s="2">
        <v>21</v>
      </c>
      <c r="M1004" s="2">
        <v>0</v>
      </c>
      <c r="S1004" t="s">
        <v>4760</v>
      </c>
      <c r="U1004" t="s">
        <v>45</v>
      </c>
      <c r="V1004" t="s">
        <v>46</v>
      </c>
      <c r="W1004" t="s">
        <v>700</v>
      </c>
      <c r="X1004" t="s">
        <v>699</v>
      </c>
      <c r="Y1004" t="s">
        <v>72</v>
      </c>
      <c r="Z1004" t="s">
        <v>68</v>
      </c>
      <c r="AA1004" t="s">
        <v>49</v>
      </c>
      <c r="AC1004" s="2"/>
    </row>
    <row r="1005" spans="1:31" hidden="1" x14ac:dyDescent="0.25">
      <c r="I1005" t="s">
        <v>4762</v>
      </c>
      <c r="J1005" s="2">
        <v>21817</v>
      </c>
      <c r="K1005" s="2">
        <v>100</v>
      </c>
      <c r="L1005" s="2">
        <v>1</v>
      </c>
      <c r="M1005" s="2">
        <v>0</v>
      </c>
      <c r="S1005" t="s">
        <v>4765</v>
      </c>
      <c r="U1005" t="s">
        <v>45</v>
      </c>
      <c r="V1005" t="s">
        <v>46</v>
      </c>
      <c r="W1005" t="s">
        <v>4763</v>
      </c>
      <c r="X1005" t="s">
        <v>4764</v>
      </c>
      <c r="Y1005" t="s">
        <v>1215</v>
      </c>
      <c r="Z1005" t="s">
        <v>1216</v>
      </c>
      <c r="AA1005" t="s">
        <v>49</v>
      </c>
      <c r="AC1005" s="2"/>
    </row>
    <row r="1006" spans="1:31" hidden="1" x14ac:dyDescent="0.25">
      <c r="I1006" t="s">
        <v>4766</v>
      </c>
      <c r="J1006" s="2">
        <v>1000</v>
      </c>
      <c r="K1006" s="2">
        <v>0</v>
      </c>
      <c r="L1006" s="2">
        <v>1</v>
      </c>
      <c r="M1006" s="2">
        <v>0</v>
      </c>
      <c r="S1006" t="s">
        <v>4767</v>
      </c>
      <c r="U1006" t="s">
        <v>45</v>
      </c>
      <c r="V1006" t="s">
        <v>46</v>
      </c>
      <c r="W1006" t="s">
        <v>1125</v>
      </c>
      <c r="X1006" t="s">
        <v>1123</v>
      </c>
      <c r="Y1006" t="s">
        <v>161</v>
      </c>
      <c r="Z1006" t="s">
        <v>162</v>
      </c>
      <c r="AA1006" t="s">
        <v>49</v>
      </c>
      <c r="AC1006" s="2"/>
    </row>
    <row r="1007" spans="1:31" hidden="1" x14ac:dyDescent="0.25">
      <c r="I1007" t="s">
        <v>4768</v>
      </c>
      <c r="J1007" s="2">
        <v>21817</v>
      </c>
      <c r="K1007" s="2">
        <v>100</v>
      </c>
      <c r="L1007" s="2">
        <v>1</v>
      </c>
      <c r="M1007" s="2">
        <v>0</v>
      </c>
      <c r="S1007" t="s">
        <v>4769</v>
      </c>
      <c r="U1007" t="s">
        <v>45</v>
      </c>
      <c r="V1007" t="s">
        <v>46</v>
      </c>
      <c r="W1007" t="s">
        <v>1362</v>
      </c>
      <c r="X1007" t="s">
        <v>1360</v>
      </c>
      <c r="Y1007" t="s">
        <v>1215</v>
      </c>
      <c r="Z1007" t="s">
        <v>1216</v>
      </c>
      <c r="AA1007" t="s">
        <v>49</v>
      </c>
      <c r="AC1007" s="2"/>
    </row>
    <row r="1008" spans="1:31" x14ac:dyDescent="0.25">
      <c r="A1008" t="s">
        <v>4770</v>
      </c>
      <c r="B1008" t="s">
        <v>4771</v>
      </c>
      <c r="C1008" t="s">
        <v>4771</v>
      </c>
      <c r="D1008" t="s">
        <v>4221</v>
      </c>
      <c r="E1008" t="s">
        <v>77</v>
      </c>
      <c r="F1008" t="s">
        <v>4772</v>
      </c>
      <c r="H1008" t="s">
        <v>4773</v>
      </c>
      <c r="I1008" t="s">
        <v>4774</v>
      </c>
      <c r="J1008" s="2">
        <v>65451</v>
      </c>
      <c r="K1008" s="2">
        <v>300</v>
      </c>
      <c r="L1008" s="2">
        <v>7</v>
      </c>
      <c r="M1008" s="2">
        <v>0</v>
      </c>
      <c r="N1008" t="s">
        <v>4775</v>
      </c>
      <c r="O1008" t="s">
        <v>4773</v>
      </c>
      <c r="P1008" t="s">
        <v>256</v>
      </c>
      <c r="Q1008" t="s">
        <v>255</v>
      </c>
      <c r="S1008" t="s">
        <v>4776</v>
      </c>
      <c r="U1008" t="s">
        <v>45</v>
      </c>
      <c r="V1008" t="s">
        <v>46</v>
      </c>
      <c r="W1008" t="s">
        <v>4775</v>
      </c>
      <c r="X1008" t="s">
        <v>4773</v>
      </c>
      <c r="Y1008" t="s">
        <v>137</v>
      </c>
      <c r="Z1008" t="s">
        <v>717</v>
      </c>
      <c r="AA1008" t="s">
        <v>49</v>
      </c>
      <c r="AB1008" t="s">
        <v>50</v>
      </c>
      <c r="AC1008" s="2">
        <v>65451</v>
      </c>
      <c r="AD1008" t="s">
        <v>64</v>
      </c>
    </row>
    <row r="1009" spans="1:31" x14ac:dyDescent="0.25">
      <c r="A1009" t="s">
        <v>4777</v>
      </c>
      <c r="B1009" t="s">
        <v>4778</v>
      </c>
      <c r="C1009" t="s">
        <v>4778</v>
      </c>
      <c r="D1009" t="s">
        <v>35</v>
      </c>
      <c r="E1009" t="s">
        <v>36</v>
      </c>
      <c r="F1009" t="s">
        <v>4779</v>
      </c>
      <c r="G1009" t="s">
        <v>35</v>
      </c>
      <c r="H1009" t="s">
        <v>653</v>
      </c>
      <c r="I1009" t="s">
        <v>4780</v>
      </c>
      <c r="J1009" s="2">
        <v>335492</v>
      </c>
      <c r="K1009" s="2">
        <v>1380</v>
      </c>
      <c r="L1009" s="2">
        <v>15</v>
      </c>
      <c r="M1009" s="2">
        <v>0</v>
      </c>
      <c r="N1009" t="s">
        <v>652</v>
      </c>
      <c r="O1009" t="s">
        <v>653</v>
      </c>
      <c r="P1009" t="s">
        <v>69</v>
      </c>
      <c r="Q1009" t="s">
        <v>70</v>
      </c>
      <c r="S1009" t="s">
        <v>4781</v>
      </c>
      <c r="U1009" t="s">
        <v>45</v>
      </c>
      <c r="V1009" t="s">
        <v>46</v>
      </c>
      <c r="W1009" t="s">
        <v>652</v>
      </c>
      <c r="X1009" t="s">
        <v>653</v>
      </c>
      <c r="Y1009" t="s">
        <v>72</v>
      </c>
      <c r="Z1009" t="s">
        <v>68</v>
      </c>
      <c r="AA1009" t="s">
        <v>49</v>
      </c>
      <c r="AB1009" t="s">
        <v>50</v>
      </c>
      <c r="AC1009" s="2">
        <v>48096.08</v>
      </c>
      <c r="AD1009" t="s">
        <v>4782</v>
      </c>
      <c r="AE1009" t="s">
        <v>52</v>
      </c>
    </row>
    <row r="1010" spans="1:31" x14ac:dyDescent="0.25">
      <c r="A1010" t="s">
        <v>4783</v>
      </c>
      <c r="B1010" t="s">
        <v>4784</v>
      </c>
      <c r="C1010" t="s">
        <v>4784</v>
      </c>
      <c r="D1010" t="s">
        <v>297</v>
      </c>
      <c r="E1010" t="s">
        <v>167</v>
      </c>
      <c r="F1010" t="s">
        <v>4785</v>
      </c>
      <c r="G1010" t="s">
        <v>299</v>
      </c>
      <c r="H1010" t="s">
        <v>4386</v>
      </c>
      <c r="I1010" t="s">
        <v>4786</v>
      </c>
      <c r="J1010" s="2">
        <v>74190</v>
      </c>
      <c r="K1010" s="2">
        <v>300</v>
      </c>
      <c r="L1010" s="2">
        <v>7</v>
      </c>
      <c r="M1010" s="2">
        <v>0</v>
      </c>
      <c r="N1010" t="s">
        <v>4385</v>
      </c>
      <c r="O1010" t="s">
        <v>4386</v>
      </c>
      <c r="P1010" t="s">
        <v>304</v>
      </c>
      <c r="Q1010" t="s">
        <v>72</v>
      </c>
      <c r="S1010" t="s">
        <v>4787</v>
      </c>
      <c r="U1010" t="s">
        <v>45</v>
      </c>
      <c r="V1010" t="s">
        <v>46</v>
      </c>
      <c r="W1010" t="s">
        <v>4385</v>
      </c>
      <c r="X1010" t="s">
        <v>4386</v>
      </c>
      <c r="Y1010" t="s">
        <v>72</v>
      </c>
      <c r="Z1010" t="s">
        <v>68</v>
      </c>
      <c r="AA1010" t="s">
        <v>49</v>
      </c>
      <c r="AB1010" t="s">
        <v>50</v>
      </c>
      <c r="AC1010" s="2">
        <v>-9681.09</v>
      </c>
      <c r="AD1010" t="s">
        <v>4788</v>
      </c>
      <c r="AE1010" t="s">
        <v>52</v>
      </c>
    </row>
    <row r="1011" spans="1:31" x14ac:dyDescent="0.25">
      <c r="A1011" t="s">
        <v>4789</v>
      </c>
      <c r="B1011" t="s">
        <v>4790</v>
      </c>
      <c r="C1011" t="s">
        <v>4790</v>
      </c>
      <c r="D1011" t="s">
        <v>2687</v>
      </c>
      <c r="E1011" t="s">
        <v>190</v>
      </c>
      <c r="F1011" t="s">
        <v>4791</v>
      </c>
      <c r="G1011" t="s">
        <v>555</v>
      </c>
      <c r="H1011" t="s">
        <v>90</v>
      </c>
      <c r="I1011" t="s">
        <v>4792</v>
      </c>
      <c r="J1011" s="2">
        <v>352277</v>
      </c>
      <c r="K1011" s="2">
        <v>1570</v>
      </c>
      <c r="L1011" s="2">
        <v>15</v>
      </c>
      <c r="M1011" s="2">
        <v>0</v>
      </c>
      <c r="N1011" t="s">
        <v>89</v>
      </c>
      <c r="O1011" t="s">
        <v>90</v>
      </c>
      <c r="P1011" t="s">
        <v>91</v>
      </c>
      <c r="Q1011" t="s">
        <v>92</v>
      </c>
      <c r="S1011" t="s">
        <v>4793</v>
      </c>
      <c r="U1011" t="s">
        <v>45</v>
      </c>
      <c r="V1011" t="s">
        <v>46</v>
      </c>
      <c r="W1011" t="s">
        <v>89</v>
      </c>
      <c r="X1011" t="s">
        <v>90</v>
      </c>
      <c r="Y1011" t="s">
        <v>92</v>
      </c>
      <c r="Z1011" t="s">
        <v>94</v>
      </c>
      <c r="AA1011" t="s">
        <v>49</v>
      </c>
      <c r="AB1011" t="s">
        <v>50</v>
      </c>
      <c r="AC1011" s="2">
        <v>-144987.57</v>
      </c>
      <c r="AD1011" t="s">
        <v>4794</v>
      </c>
      <c r="AE1011" t="s">
        <v>115</v>
      </c>
    </row>
    <row r="1012" spans="1:31" hidden="1" x14ac:dyDescent="0.25">
      <c r="J1012" s="2">
        <v>1000</v>
      </c>
      <c r="K1012" s="2">
        <v>0</v>
      </c>
      <c r="L1012" s="2">
        <v>1</v>
      </c>
      <c r="M1012" s="2">
        <v>0</v>
      </c>
      <c r="U1012" t="s">
        <v>45</v>
      </c>
      <c r="V1012" t="s">
        <v>46</v>
      </c>
      <c r="W1012" t="s">
        <v>40</v>
      </c>
      <c r="X1012" t="s">
        <v>41</v>
      </c>
      <c r="Y1012" t="s">
        <v>47</v>
      </c>
      <c r="Z1012" t="s">
        <v>48</v>
      </c>
      <c r="AA1012" t="s">
        <v>49</v>
      </c>
      <c r="AC1012" s="2"/>
    </row>
    <row r="1013" spans="1:31" hidden="1" x14ac:dyDescent="0.25">
      <c r="I1013" t="s">
        <v>4796</v>
      </c>
      <c r="J1013" s="2">
        <v>21817</v>
      </c>
      <c r="K1013" s="2">
        <v>100</v>
      </c>
      <c r="L1013" s="2">
        <v>1</v>
      </c>
      <c r="M1013" s="2">
        <v>0</v>
      </c>
      <c r="S1013" t="s">
        <v>4799</v>
      </c>
      <c r="U1013" t="s">
        <v>45</v>
      </c>
      <c r="V1013" t="s">
        <v>46</v>
      </c>
      <c r="W1013" t="s">
        <v>4797</v>
      </c>
      <c r="X1013" t="s">
        <v>4798</v>
      </c>
      <c r="Y1013" t="s">
        <v>1215</v>
      </c>
      <c r="Z1013" t="s">
        <v>1216</v>
      </c>
      <c r="AA1013" t="s">
        <v>49</v>
      </c>
      <c r="AC1013" s="2"/>
    </row>
    <row r="1014" spans="1:31" hidden="1" x14ac:dyDescent="0.25">
      <c r="I1014" t="s">
        <v>4800</v>
      </c>
      <c r="J1014" s="2">
        <v>1000</v>
      </c>
      <c r="K1014" s="2">
        <v>0</v>
      </c>
      <c r="L1014" s="2">
        <v>1</v>
      </c>
      <c r="M1014" s="2">
        <v>0</v>
      </c>
      <c r="S1014" t="s">
        <v>4803</v>
      </c>
      <c r="U1014" t="s">
        <v>45</v>
      </c>
      <c r="V1014" t="s">
        <v>46</v>
      </c>
      <c r="W1014" t="s">
        <v>4801</v>
      </c>
      <c r="X1014" t="s">
        <v>4802</v>
      </c>
      <c r="Y1014" t="s">
        <v>137</v>
      </c>
      <c r="Z1014" t="s">
        <v>717</v>
      </c>
      <c r="AA1014" t="s">
        <v>49</v>
      </c>
      <c r="AC1014" s="2"/>
    </row>
    <row r="1015" spans="1:31" hidden="1" x14ac:dyDescent="0.25">
      <c r="A1015" s="10" t="s">
        <v>4804</v>
      </c>
      <c r="B1015" s="10" t="s">
        <v>4805</v>
      </c>
      <c r="C1015" t="s">
        <v>4805</v>
      </c>
      <c r="D1015" t="s">
        <v>55</v>
      </c>
      <c r="E1015" t="s">
        <v>56</v>
      </c>
      <c r="F1015" t="s">
        <v>4806</v>
      </c>
      <c r="H1015" t="s">
        <v>41</v>
      </c>
      <c r="I1015" t="s">
        <v>4807</v>
      </c>
      <c r="J1015" s="2">
        <v>115525</v>
      </c>
      <c r="K1015" s="2">
        <v>500</v>
      </c>
      <c r="L1015" s="2">
        <v>15</v>
      </c>
      <c r="M1015" s="2">
        <v>0</v>
      </c>
      <c r="N1015" t="s">
        <v>40</v>
      </c>
      <c r="O1015" t="s">
        <v>41</v>
      </c>
      <c r="P1015" t="s">
        <v>61</v>
      </c>
      <c r="Q1015" t="s">
        <v>62</v>
      </c>
      <c r="S1015" t="s">
        <v>4808</v>
      </c>
      <c r="U1015" t="s">
        <v>45</v>
      </c>
      <c r="V1015" t="s">
        <v>46</v>
      </c>
      <c r="W1015" t="s">
        <v>40</v>
      </c>
      <c r="X1015" t="s">
        <v>41</v>
      </c>
      <c r="Y1015" t="s">
        <v>47</v>
      </c>
      <c r="Z1015" t="s">
        <v>48</v>
      </c>
      <c r="AA1015" t="s">
        <v>49</v>
      </c>
      <c r="AB1015" t="s">
        <v>142</v>
      </c>
      <c r="AC1015" s="2">
        <v>115525</v>
      </c>
      <c r="AD1015" t="s">
        <v>64</v>
      </c>
    </row>
    <row r="1016" spans="1:31" x14ac:dyDescent="0.25">
      <c r="A1016" s="15" t="s">
        <v>4809</v>
      </c>
      <c r="B1016" s="15" t="s">
        <v>4810</v>
      </c>
      <c r="C1016" s="15" t="s">
        <v>4810</v>
      </c>
      <c r="D1016" s="15" t="s">
        <v>55</v>
      </c>
      <c r="E1016" s="15" t="s">
        <v>56</v>
      </c>
      <c r="F1016" s="15" t="s">
        <v>4811</v>
      </c>
      <c r="H1016" s="15" t="s">
        <v>1360</v>
      </c>
      <c r="I1016" t="s">
        <v>4812</v>
      </c>
      <c r="J1016" s="2">
        <v>21817</v>
      </c>
      <c r="K1016" s="2">
        <v>100</v>
      </c>
      <c r="L1016" s="2">
        <v>15</v>
      </c>
      <c r="M1016" s="2">
        <v>0</v>
      </c>
      <c r="N1016" s="15" t="s">
        <v>1362</v>
      </c>
      <c r="O1016" s="15" t="s">
        <v>1360</v>
      </c>
      <c r="P1016" s="15" t="s">
        <v>1363</v>
      </c>
      <c r="Q1016" s="15" t="s">
        <v>1364</v>
      </c>
      <c r="S1016" t="s">
        <v>4813</v>
      </c>
      <c r="U1016" t="s">
        <v>45</v>
      </c>
      <c r="V1016" t="s">
        <v>46</v>
      </c>
      <c r="W1016" t="s">
        <v>1362</v>
      </c>
      <c r="X1016" t="s">
        <v>1360</v>
      </c>
      <c r="Y1016" t="s">
        <v>1215</v>
      </c>
      <c r="Z1016" t="s">
        <v>1216</v>
      </c>
      <c r="AA1016" t="s">
        <v>49</v>
      </c>
      <c r="AB1016" s="15" t="s">
        <v>50</v>
      </c>
      <c r="AC1016" s="16">
        <v>-14823.49</v>
      </c>
      <c r="AD1016" s="15" t="s">
        <v>4814</v>
      </c>
      <c r="AE1016" s="15" t="s">
        <v>115</v>
      </c>
    </row>
    <row r="1017" spans="1:31" hidden="1" x14ac:dyDescent="0.25">
      <c r="J1017" s="2">
        <v>109085</v>
      </c>
      <c r="K1017" s="2">
        <v>500</v>
      </c>
      <c r="L1017" s="2">
        <v>30</v>
      </c>
      <c r="M1017" s="2">
        <v>0</v>
      </c>
      <c r="S1017" t="s">
        <v>4816</v>
      </c>
      <c r="U1017" t="s">
        <v>45</v>
      </c>
      <c r="V1017" t="s">
        <v>46</v>
      </c>
      <c r="W1017" t="s">
        <v>203</v>
      </c>
      <c r="X1017" t="s">
        <v>204</v>
      </c>
      <c r="Y1017" t="s">
        <v>161</v>
      </c>
      <c r="Z1017" t="s">
        <v>162</v>
      </c>
      <c r="AA1017" t="s">
        <v>49</v>
      </c>
      <c r="AC1017" s="2"/>
    </row>
    <row r="1018" spans="1:31" x14ac:dyDescent="0.25">
      <c r="A1018" t="s">
        <v>4817</v>
      </c>
      <c r="B1018" t="s">
        <v>4818</v>
      </c>
      <c r="C1018" t="s">
        <v>4818</v>
      </c>
      <c r="D1018" t="s">
        <v>764</v>
      </c>
      <c r="E1018" t="s">
        <v>77</v>
      </c>
      <c r="F1018" t="s">
        <v>4819</v>
      </c>
      <c r="H1018" t="s">
        <v>1123</v>
      </c>
      <c r="J1018" s="2">
        <v>21983</v>
      </c>
      <c r="K1018" s="2">
        <v>0</v>
      </c>
      <c r="L1018" s="2">
        <v>15</v>
      </c>
      <c r="M1018" s="2">
        <v>0</v>
      </c>
      <c r="N1018" t="s">
        <v>1125</v>
      </c>
      <c r="O1018" t="s">
        <v>1123</v>
      </c>
      <c r="P1018" t="s">
        <v>158</v>
      </c>
      <c r="Q1018" t="s">
        <v>159</v>
      </c>
      <c r="S1018" t="s">
        <v>4820</v>
      </c>
      <c r="U1018" t="s">
        <v>45</v>
      </c>
      <c r="V1018" t="s">
        <v>46</v>
      </c>
      <c r="W1018" t="s">
        <v>1125</v>
      </c>
      <c r="X1018" t="s">
        <v>1123</v>
      </c>
      <c r="Y1018" t="s">
        <v>161</v>
      </c>
      <c r="Z1018" t="s">
        <v>162</v>
      </c>
      <c r="AA1018" t="s">
        <v>49</v>
      </c>
      <c r="AB1018" t="s">
        <v>50</v>
      </c>
      <c r="AC1018" s="2">
        <v>21983</v>
      </c>
      <c r="AD1018" t="s">
        <v>64</v>
      </c>
    </row>
    <row r="1019" spans="1:31" x14ac:dyDescent="0.25">
      <c r="A1019" t="s">
        <v>4821</v>
      </c>
      <c r="B1019" t="s">
        <v>4822</v>
      </c>
      <c r="C1019" t="s">
        <v>4822</v>
      </c>
      <c r="D1019" t="s">
        <v>498</v>
      </c>
      <c r="E1019" t="s">
        <v>190</v>
      </c>
      <c r="F1019" t="s">
        <v>4823</v>
      </c>
      <c r="H1019" t="s">
        <v>4824</v>
      </c>
      <c r="I1019" t="s">
        <v>4825</v>
      </c>
      <c r="J1019" s="2">
        <v>1000</v>
      </c>
      <c r="K1019" s="2">
        <v>0</v>
      </c>
      <c r="L1019" s="2">
        <v>1</v>
      </c>
      <c r="M1019" s="2">
        <v>0</v>
      </c>
      <c r="N1019" t="s">
        <v>4826</v>
      </c>
      <c r="O1019" t="s">
        <v>4827</v>
      </c>
      <c r="P1019" t="s">
        <v>256</v>
      </c>
      <c r="Q1019" t="s">
        <v>255</v>
      </c>
      <c r="S1019" t="s">
        <v>4828</v>
      </c>
      <c r="U1019" t="s">
        <v>45</v>
      </c>
      <c r="V1019" t="s">
        <v>46</v>
      </c>
      <c r="W1019" t="s">
        <v>4826</v>
      </c>
      <c r="X1019" t="s">
        <v>4827</v>
      </c>
      <c r="Y1019" t="s">
        <v>137</v>
      </c>
      <c r="Z1019" t="s">
        <v>717</v>
      </c>
      <c r="AA1019" t="s">
        <v>49</v>
      </c>
      <c r="AB1019" t="s">
        <v>50</v>
      </c>
      <c r="AC1019" s="2">
        <v>1000</v>
      </c>
      <c r="AD1019" t="s">
        <v>64</v>
      </c>
    </row>
    <row r="1020" spans="1:31" hidden="1" x14ac:dyDescent="0.25">
      <c r="I1020" t="s">
        <v>4829</v>
      </c>
      <c r="J1020" s="2">
        <v>1000</v>
      </c>
      <c r="K1020" s="2">
        <v>0</v>
      </c>
      <c r="L1020" s="2">
        <v>1</v>
      </c>
      <c r="M1020" s="2">
        <v>0</v>
      </c>
      <c r="S1020" t="s">
        <v>4832</v>
      </c>
      <c r="U1020" t="s">
        <v>45</v>
      </c>
      <c r="V1020" t="s">
        <v>46</v>
      </c>
      <c r="W1020" t="s">
        <v>4830</v>
      </c>
      <c r="X1020" t="s">
        <v>4831</v>
      </c>
      <c r="Y1020" t="s">
        <v>137</v>
      </c>
      <c r="Z1020" t="s">
        <v>717</v>
      </c>
      <c r="AA1020" t="s">
        <v>49</v>
      </c>
      <c r="AC1020" s="2"/>
    </row>
    <row r="1021" spans="1:31" x14ac:dyDescent="0.25">
      <c r="A1021" t="s">
        <v>4833</v>
      </c>
      <c r="B1021" t="s">
        <v>4834</v>
      </c>
      <c r="C1021" t="s">
        <v>4834</v>
      </c>
      <c r="D1021" t="s">
        <v>153</v>
      </c>
      <c r="E1021" t="s">
        <v>272</v>
      </c>
      <c r="F1021" t="s">
        <v>4835</v>
      </c>
      <c r="G1021" t="s">
        <v>153</v>
      </c>
      <c r="H1021" t="s">
        <v>324</v>
      </c>
      <c r="I1021" t="s">
        <v>4836</v>
      </c>
      <c r="J1021" s="2">
        <v>109085</v>
      </c>
      <c r="K1021" s="2">
        <v>500</v>
      </c>
      <c r="L1021" s="2">
        <v>21</v>
      </c>
      <c r="M1021" s="2">
        <v>0</v>
      </c>
      <c r="N1021" t="s">
        <v>326</v>
      </c>
      <c r="O1021" t="s">
        <v>327</v>
      </c>
      <c r="P1021" t="s">
        <v>120</v>
      </c>
      <c r="Q1021" t="s">
        <v>121</v>
      </c>
      <c r="S1021" t="s">
        <v>4837</v>
      </c>
      <c r="U1021" t="s">
        <v>45</v>
      </c>
      <c r="V1021" t="s">
        <v>46</v>
      </c>
      <c r="W1021" t="s">
        <v>326</v>
      </c>
      <c r="X1021" t="s">
        <v>327</v>
      </c>
      <c r="Y1021" t="s">
        <v>121</v>
      </c>
      <c r="Z1021" t="s">
        <v>94</v>
      </c>
      <c r="AA1021" t="s">
        <v>49</v>
      </c>
      <c r="AB1021" t="s">
        <v>50</v>
      </c>
      <c r="AC1021" s="2">
        <v>20397.8</v>
      </c>
      <c r="AD1021" t="s">
        <v>4838</v>
      </c>
      <c r="AE1021" t="s">
        <v>52</v>
      </c>
    </row>
    <row r="1022" spans="1:31" hidden="1" x14ac:dyDescent="0.25">
      <c r="A1022" s="10" t="s">
        <v>4839</v>
      </c>
      <c r="B1022" s="10" t="s">
        <v>4840</v>
      </c>
      <c r="C1022" t="s">
        <v>4840</v>
      </c>
      <c r="D1022" t="s">
        <v>55</v>
      </c>
      <c r="E1022" t="s">
        <v>56</v>
      </c>
      <c r="F1022" t="s">
        <v>4199</v>
      </c>
      <c r="H1022" t="s">
        <v>303</v>
      </c>
      <c r="I1022" t="s">
        <v>4841</v>
      </c>
      <c r="J1022" s="2">
        <v>1000</v>
      </c>
      <c r="K1022" s="2">
        <v>0</v>
      </c>
      <c r="L1022" s="2">
        <v>15</v>
      </c>
      <c r="M1022" s="2">
        <v>0</v>
      </c>
      <c r="N1022" t="s">
        <v>302</v>
      </c>
      <c r="O1022" t="s">
        <v>303</v>
      </c>
      <c r="P1022" t="s">
        <v>941</v>
      </c>
      <c r="Q1022" t="s">
        <v>139</v>
      </c>
      <c r="S1022" t="s">
        <v>4842</v>
      </c>
      <c r="U1022" t="s">
        <v>45</v>
      </c>
      <c r="V1022" t="s">
        <v>46</v>
      </c>
      <c r="W1022" t="s">
        <v>302</v>
      </c>
      <c r="X1022" t="s">
        <v>303</v>
      </c>
      <c r="Y1022" t="s">
        <v>72</v>
      </c>
      <c r="Z1022" t="s">
        <v>68</v>
      </c>
      <c r="AA1022" t="s">
        <v>49</v>
      </c>
      <c r="AB1022" t="s">
        <v>142</v>
      </c>
      <c r="AC1022" s="2">
        <v>1000</v>
      </c>
      <c r="AD1022" t="s">
        <v>64</v>
      </c>
    </row>
    <row r="1023" spans="1:31" x14ac:dyDescent="0.25">
      <c r="A1023" t="s">
        <v>4843</v>
      </c>
      <c r="B1023" t="s">
        <v>4844</v>
      </c>
      <c r="C1023" t="s">
        <v>4844</v>
      </c>
      <c r="D1023" t="s">
        <v>35</v>
      </c>
      <c r="E1023" t="s">
        <v>36</v>
      </c>
      <c r="F1023" t="s">
        <v>4199</v>
      </c>
      <c r="G1023" t="s">
        <v>569</v>
      </c>
      <c r="H1023" t="s">
        <v>303</v>
      </c>
      <c r="I1023" t="s">
        <v>4845</v>
      </c>
      <c r="J1023" s="2">
        <v>1237050</v>
      </c>
      <c r="K1023" s="2">
        <v>5000</v>
      </c>
      <c r="L1023" s="2">
        <v>21</v>
      </c>
      <c r="M1023" s="2">
        <v>0</v>
      </c>
      <c r="N1023" t="s">
        <v>302</v>
      </c>
      <c r="O1023" t="s">
        <v>303</v>
      </c>
      <c r="P1023" t="s">
        <v>304</v>
      </c>
      <c r="Q1023" t="s">
        <v>72</v>
      </c>
      <c r="S1023" t="s">
        <v>4846</v>
      </c>
      <c r="U1023" t="s">
        <v>45</v>
      </c>
      <c r="V1023" t="s">
        <v>46</v>
      </c>
      <c r="W1023" t="s">
        <v>302</v>
      </c>
      <c r="X1023" t="s">
        <v>303</v>
      </c>
      <c r="Y1023" t="s">
        <v>72</v>
      </c>
      <c r="Z1023" t="s">
        <v>68</v>
      </c>
      <c r="AA1023" t="s">
        <v>49</v>
      </c>
      <c r="AB1023" t="s">
        <v>50</v>
      </c>
      <c r="AC1023" s="2">
        <v>267942.19</v>
      </c>
      <c r="AD1023" t="s">
        <v>4847</v>
      </c>
      <c r="AE1023" t="s">
        <v>52</v>
      </c>
    </row>
    <row r="1024" spans="1:31" x14ac:dyDescent="0.25">
      <c r="A1024" t="s">
        <v>4848</v>
      </c>
      <c r="B1024" t="s">
        <v>4849</v>
      </c>
      <c r="C1024" t="s">
        <v>4849</v>
      </c>
      <c r="D1024" t="s">
        <v>125</v>
      </c>
      <c r="E1024" t="s">
        <v>126</v>
      </c>
      <c r="F1024" t="s">
        <v>4850</v>
      </c>
      <c r="G1024" t="s">
        <v>35</v>
      </c>
      <c r="H1024" t="s">
        <v>4851</v>
      </c>
      <c r="J1024" s="2">
        <v>283752</v>
      </c>
      <c r="K1024" s="2">
        <v>1200</v>
      </c>
      <c r="L1024" s="2">
        <v>21</v>
      </c>
      <c r="M1024" s="2">
        <v>0</v>
      </c>
      <c r="N1024" t="s">
        <v>4852</v>
      </c>
      <c r="O1024" t="s">
        <v>4851</v>
      </c>
      <c r="P1024" t="s">
        <v>4853</v>
      </c>
      <c r="Q1024" t="s">
        <v>4854</v>
      </c>
      <c r="S1024" t="s">
        <v>4855</v>
      </c>
      <c r="U1024" t="s">
        <v>45</v>
      </c>
      <c r="V1024" t="s">
        <v>46</v>
      </c>
      <c r="W1024" t="s">
        <v>4852</v>
      </c>
      <c r="X1024" t="s">
        <v>4851</v>
      </c>
      <c r="Y1024" t="s">
        <v>4854</v>
      </c>
      <c r="Z1024" t="s">
        <v>72</v>
      </c>
      <c r="AA1024" t="s">
        <v>49</v>
      </c>
      <c r="AB1024" t="s">
        <v>50</v>
      </c>
      <c r="AC1024" s="2">
        <v>71272.89</v>
      </c>
      <c r="AD1024" t="s">
        <v>4856</v>
      </c>
      <c r="AE1024" t="s">
        <v>52</v>
      </c>
    </row>
    <row r="1025" spans="1:31" x14ac:dyDescent="0.25">
      <c r="A1025" s="15" t="s">
        <v>4857</v>
      </c>
      <c r="B1025" s="15" t="s">
        <v>4858</v>
      </c>
      <c r="C1025" s="15" t="s">
        <v>4858</v>
      </c>
      <c r="D1025" s="15" t="s">
        <v>55</v>
      </c>
      <c r="E1025" s="15" t="s">
        <v>56</v>
      </c>
      <c r="F1025" s="15" t="s">
        <v>4859</v>
      </c>
      <c r="H1025" s="15" t="s">
        <v>1360</v>
      </c>
      <c r="I1025" t="s">
        <v>4860</v>
      </c>
      <c r="J1025" s="2">
        <v>21817</v>
      </c>
      <c r="K1025" s="2">
        <v>100</v>
      </c>
      <c r="L1025" s="2">
        <v>1</v>
      </c>
      <c r="M1025" s="2">
        <v>0</v>
      </c>
      <c r="N1025" s="15" t="s">
        <v>1362</v>
      </c>
      <c r="O1025" s="15" t="s">
        <v>1360</v>
      </c>
      <c r="P1025" s="15" t="s">
        <v>1363</v>
      </c>
      <c r="Q1025" s="15" t="s">
        <v>1364</v>
      </c>
      <c r="S1025" t="s">
        <v>4861</v>
      </c>
      <c r="U1025" t="s">
        <v>45</v>
      </c>
      <c r="V1025" t="s">
        <v>46</v>
      </c>
      <c r="W1025" t="s">
        <v>1362</v>
      </c>
      <c r="X1025" t="s">
        <v>1360</v>
      </c>
      <c r="Y1025" t="s">
        <v>1215</v>
      </c>
      <c r="Z1025" t="s">
        <v>1216</v>
      </c>
      <c r="AA1025" t="s">
        <v>49</v>
      </c>
      <c r="AB1025" s="15" t="s">
        <v>50</v>
      </c>
      <c r="AC1025" s="16">
        <v>4554.3999999999996</v>
      </c>
      <c r="AD1025" s="15" t="s">
        <v>4862</v>
      </c>
      <c r="AE1025" s="15" t="s">
        <v>115</v>
      </c>
    </row>
    <row r="1026" spans="1:31" hidden="1" x14ac:dyDescent="0.25">
      <c r="I1026" t="s">
        <v>4863</v>
      </c>
      <c r="J1026" s="2">
        <v>43634</v>
      </c>
      <c r="K1026" s="2">
        <v>200</v>
      </c>
      <c r="L1026" s="2">
        <v>1</v>
      </c>
      <c r="M1026" s="2">
        <v>0</v>
      </c>
      <c r="S1026" t="s">
        <v>4864</v>
      </c>
      <c r="U1026" t="s">
        <v>45</v>
      </c>
      <c r="V1026" t="s">
        <v>46</v>
      </c>
      <c r="W1026" t="s">
        <v>652</v>
      </c>
      <c r="X1026" t="s">
        <v>653</v>
      </c>
      <c r="Y1026" t="s">
        <v>72</v>
      </c>
      <c r="Z1026" t="s">
        <v>68</v>
      </c>
      <c r="AA1026" t="s">
        <v>49</v>
      </c>
      <c r="AC1026" s="2"/>
    </row>
    <row r="1027" spans="1:31" hidden="1" x14ac:dyDescent="0.25">
      <c r="A1027" t="s">
        <v>4865</v>
      </c>
      <c r="B1027" t="s">
        <v>4866</v>
      </c>
      <c r="C1027" t="s">
        <v>4866</v>
      </c>
      <c r="F1027" t="s">
        <v>4815</v>
      </c>
      <c r="H1027" t="s">
        <v>1581</v>
      </c>
      <c r="J1027" s="2">
        <v>109085</v>
      </c>
      <c r="K1027" s="2">
        <v>500</v>
      </c>
      <c r="L1027" s="2">
        <v>1</v>
      </c>
      <c r="M1027" s="2">
        <v>0</v>
      </c>
      <c r="N1027" t="s">
        <v>203</v>
      </c>
      <c r="O1027" t="s">
        <v>204</v>
      </c>
      <c r="P1027" t="s">
        <v>205</v>
      </c>
      <c r="Q1027" t="s">
        <v>206</v>
      </c>
      <c r="U1027" t="s">
        <v>45</v>
      </c>
      <c r="V1027" t="s">
        <v>46</v>
      </c>
      <c r="W1027" t="s">
        <v>203</v>
      </c>
      <c r="X1027" t="s">
        <v>204</v>
      </c>
      <c r="Y1027" t="s">
        <v>161</v>
      </c>
      <c r="Z1027" t="s">
        <v>162</v>
      </c>
      <c r="AA1027" t="s">
        <v>49</v>
      </c>
      <c r="AB1027" t="s">
        <v>50</v>
      </c>
      <c r="AC1027" s="2">
        <v>109085</v>
      </c>
      <c r="AD1027" t="s">
        <v>64</v>
      </c>
    </row>
    <row r="1028" spans="1:31" x14ac:dyDescent="0.25">
      <c r="A1028" t="s">
        <v>4867</v>
      </c>
      <c r="B1028" t="s">
        <v>4868</v>
      </c>
      <c r="C1028" t="s">
        <v>4868</v>
      </c>
      <c r="D1028" t="s">
        <v>153</v>
      </c>
      <c r="E1028" t="s">
        <v>272</v>
      </c>
      <c r="F1028" t="s">
        <v>4815</v>
      </c>
      <c r="G1028" t="s">
        <v>153</v>
      </c>
      <c r="H1028" t="s">
        <v>1581</v>
      </c>
      <c r="J1028" s="2">
        <v>177809</v>
      </c>
      <c r="K1028" s="2">
        <v>719</v>
      </c>
      <c r="L1028" s="2">
        <v>30</v>
      </c>
      <c r="M1028" s="2">
        <v>0</v>
      </c>
      <c r="N1028" t="s">
        <v>203</v>
      </c>
      <c r="O1028" t="s">
        <v>204</v>
      </c>
      <c r="P1028" t="s">
        <v>205</v>
      </c>
      <c r="Q1028" t="s">
        <v>206</v>
      </c>
      <c r="S1028" t="s">
        <v>4869</v>
      </c>
      <c r="U1028" t="s">
        <v>45</v>
      </c>
      <c r="V1028" t="s">
        <v>46</v>
      </c>
      <c r="W1028" t="s">
        <v>203</v>
      </c>
      <c r="X1028" t="s">
        <v>204</v>
      </c>
      <c r="Y1028" t="s">
        <v>161</v>
      </c>
      <c r="Z1028" t="s">
        <v>162</v>
      </c>
      <c r="AA1028" t="s">
        <v>49</v>
      </c>
      <c r="AB1028" t="s">
        <v>50</v>
      </c>
      <c r="AC1028" s="2">
        <v>489.9</v>
      </c>
      <c r="AD1028" t="s">
        <v>4870</v>
      </c>
      <c r="AE1028" t="s">
        <v>52</v>
      </c>
    </row>
    <row r="1029" spans="1:31" x14ac:dyDescent="0.25">
      <c r="A1029" t="s">
        <v>4871</v>
      </c>
      <c r="B1029" t="s">
        <v>4872</v>
      </c>
      <c r="C1029" t="s">
        <v>4872</v>
      </c>
      <c r="D1029" t="s">
        <v>125</v>
      </c>
      <c r="E1029" t="s">
        <v>126</v>
      </c>
      <c r="F1029" t="s">
        <v>4873</v>
      </c>
      <c r="G1029" t="s">
        <v>569</v>
      </c>
      <c r="H1029" t="s">
        <v>4874</v>
      </c>
      <c r="I1029" t="s">
        <v>4786</v>
      </c>
      <c r="J1029" s="2">
        <v>74190</v>
      </c>
      <c r="K1029" s="2">
        <v>300</v>
      </c>
      <c r="L1029" s="2">
        <v>7</v>
      </c>
      <c r="M1029" s="2">
        <v>0</v>
      </c>
      <c r="N1029" t="s">
        <v>4385</v>
      </c>
      <c r="O1029" t="s">
        <v>4386</v>
      </c>
      <c r="P1029" t="s">
        <v>304</v>
      </c>
      <c r="Q1029" t="s">
        <v>72</v>
      </c>
      <c r="S1029" t="s">
        <v>4875</v>
      </c>
      <c r="U1029" t="s">
        <v>45</v>
      </c>
      <c r="V1029" t="s">
        <v>46</v>
      </c>
      <c r="W1029" t="s">
        <v>4385</v>
      </c>
      <c r="X1029" t="s">
        <v>4386</v>
      </c>
      <c r="Y1029" t="s">
        <v>72</v>
      </c>
      <c r="Z1029" t="s">
        <v>68</v>
      </c>
      <c r="AA1029" t="s">
        <v>49</v>
      </c>
      <c r="AB1029" t="s">
        <v>50</v>
      </c>
      <c r="AC1029" s="2">
        <v>-2600.0700000000002</v>
      </c>
      <c r="AD1029" t="s">
        <v>4876</v>
      </c>
      <c r="AE1029" t="s">
        <v>52</v>
      </c>
    </row>
    <row r="1030" spans="1:31" x14ac:dyDescent="0.25">
      <c r="A1030" t="s">
        <v>4877</v>
      </c>
      <c r="B1030" t="s">
        <v>4878</v>
      </c>
      <c r="C1030" t="s">
        <v>4878</v>
      </c>
      <c r="D1030" t="s">
        <v>125</v>
      </c>
      <c r="E1030" t="s">
        <v>126</v>
      </c>
      <c r="F1030" t="s">
        <v>4879</v>
      </c>
      <c r="G1030" t="s">
        <v>153</v>
      </c>
      <c r="H1030" t="s">
        <v>4880</v>
      </c>
      <c r="J1030" s="2">
        <v>293051</v>
      </c>
      <c r="K1030" s="2">
        <v>1185</v>
      </c>
      <c r="L1030" s="2">
        <v>21</v>
      </c>
      <c r="M1030" s="2">
        <v>0</v>
      </c>
      <c r="N1030" t="s">
        <v>4881</v>
      </c>
      <c r="O1030" t="s">
        <v>4882</v>
      </c>
      <c r="P1030" t="s">
        <v>4853</v>
      </c>
      <c r="Q1030" t="s">
        <v>4854</v>
      </c>
      <c r="S1030" t="s">
        <v>4883</v>
      </c>
      <c r="U1030" t="s">
        <v>45</v>
      </c>
      <c r="V1030" t="s">
        <v>46</v>
      </c>
      <c r="W1030" t="s">
        <v>4881</v>
      </c>
      <c r="X1030" t="s">
        <v>4882</v>
      </c>
      <c r="Y1030" t="s">
        <v>4854</v>
      </c>
      <c r="Z1030" t="s">
        <v>72</v>
      </c>
      <c r="AA1030" t="s">
        <v>49</v>
      </c>
      <c r="AB1030" t="s">
        <v>50</v>
      </c>
      <c r="AC1030" s="2">
        <v>63659.51</v>
      </c>
      <c r="AD1030" t="s">
        <v>4884</v>
      </c>
      <c r="AE1030" t="s">
        <v>52</v>
      </c>
    </row>
    <row r="1031" spans="1:31" x14ac:dyDescent="0.25">
      <c r="A1031" t="s">
        <v>4885</v>
      </c>
      <c r="B1031" t="s">
        <v>4886</v>
      </c>
      <c r="C1031" t="s">
        <v>4886</v>
      </c>
      <c r="D1031" t="s">
        <v>192</v>
      </c>
      <c r="E1031" t="s">
        <v>224</v>
      </c>
      <c r="F1031" t="s">
        <v>4887</v>
      </c>
      <c r="H1031" t="s">
        <v>41</v>
      </c>
      <c r="I1031" t="s">
        <v>4888</v>
      </c>
      <c r="J1031" s="2">
        <v>32726</v>
      </c>
      <c r="K1031" s="2">
        <v>150</v>
      </c>
      <c r="L1031" s="2">
        <v>1</v>
      </c>
      <c r="M1031" s="2">
        <v>0</v>
      </c>
      <c r="N1031" t="s">
        <v>40</v>
      </c>
      <c r="O1031" t="s">
        <v>41</v>
      </c>
      <c r="P1031" t="s">
        <v>42</v>
      </c>
      <c r="Q1031" t="s">
        <v>43</v>
      </c>
      <c r="S1031" t="s">
        <v>4322</v>
      </c>
      <c r="U1031" t="s">
        <v>45</v>
      </c>
      <c r="V1031" t="s">
        <v>46</v>
      </c>
      <c r="W1031" t="s">
        <v>40</v>
      </c>
      <c r="X1031" t="s">
        <v>41</v>
      </c>
      <c r="Y1031" t="s">
        <v>47</v>
      </c>
      <c r="Z1031" t="s">
        <v>48</v>
      </c>
      <c r="AA1031" t="s">
        <v>141</v>
      </c>
      <c r="AB1031" t="s">
        <v>50</v>
      </c>
      <c r="AC1031" s="2">
        <v>32726</v>
      </c>
      <c r="AD1031" t="s">
        <v>64</v>
      </c>
    </row>
    <row r="1032" spans="1:31" x14ac:dyDescent="0.25">
      <c r="A1032" t="s">
        <v>4889</v>
      </c>
      <c r="B1032" t="s">
        <v>4890</v>
      </c>
      <c r="C1032" t="s">
        <v>4890</v>
      </c>
      <c r="D1032" t="s">
        <v>4891</v>
      </c>
      <c r="E1032" t="s">
        <v>77</v>
      </c>
      <c r="F1032" t="s">
        <v>4892</v>
      </c>
      <c r="H1032" t="s">
        <v>4761</v>
      </c>
      <c r="I1032" t="s">
        <v>4893</v>
      </c>
      <c r="J1032" s="2">
        <v>65451</v>
      </c>
      <c r="K1032" s="2">
        <v>300</v>
      </c>
      <c r="L1032" s="2">
        <v>15</v>
      </c>
      <c r="M1032" s="2">
        <v>0</v>
      </c>
      <c r="N1032" t="s">
        <v>4763</v>
      </c>
      <c r="O1032" t="s">
        <v>4764</v>
      </c>
      <c r="P1032" t="s">
        <v>1421</v>
      </c>
      <c r="Q1032" t="s">
        <v>1422</v>
      </c>
      <c r="S1032" t="s">
        <v>4894</v>
      </c>
      <c r="U1032" t="s">
        <v>45</v>
      </c>
      <c r="V1032" t="s">
        <v>46</v>
      </c>
      <c r="W1032" t="s">
        <v>4763</v>
      </c>
      <c r="X1032" t="s">
        <v>4764</v>
      </c>
      <c r="Y1032" t="s">
        <v>1215</v>
      </c>
      <c r="Z1032" t="s">
        <v>1216</v>
      </c>
      <c r="AA1032" t="s">
        <v>49</v>
      </c>
      <c r="AB1032" t="s">
        <v>50</v>
      </c>
      <c r="AC1032" s="2">
        <v>65451</v>
      </c>
      <c r="AD1032" t="s">
        <v>64</v>
      </c>
    </row>
    <row r="1033" spans="1:31" hidden="1" x14ac:dyDescent="0.25">
      <c r="I1033" t="s">
        <v>4895</v>
      </c>
      <c r="J1033" s="2">
        <v>21817</v>
      </c>
      <c r="K1033" s="2">
        <v>100</v>
      </c>
      <c r="L1033" s="2">
        <v>1</v>
      </c>
      <c r="M1033" s="2">
        <v>0</v>
      </c>
      <c r="S1033" t="s">
        <v>4896</v>
      </c>
      <c r="U1033" t="s">
        <v>45</v>
      </c>
      <c r="V1033" t="s">
        <v>46</v>
      </c>
      <c r="W1033" t="s">
        <v>67</v>
      </c>
      <c r="X1033" t="s">
        <v>68</v>
      </c>
      <c r="Y1033" t="s">
        <v>72</v>
      </c>
      <c r="Z1033" t="s">
        <v>68</v>
      </c>
      <c r="AA1033" t="s">
        <v>49</v>
      </c>
      <c r="AC1033" s="2"/>
    </row>
    <row r="1034" spans="1:31" hidden="1" x14ac:dyDescent="0.25">
      <c r="I1034" t="s">
        <v>4897</v>
      </c>
      <c r="J1034" s="2">
        <v>436340</v>
      </c>
      <c r="K1034" s="2">
        <v>2000</v>
      </c>
      <c r="L1034" s="2">
        <v>21</v>
      </c>
      <c r="M1034" s="2">
        <v>0</v>
      </c>
      <c r="S1034" t="s">
        <v>4898</v>
      </c>
      <c r="U1034" t="s">
        <v>45</v>
      </c>
      <c r="V1034" t="s">
        <v>46</v>
      </c>
      <c r="W1034" t="s">
        <v>624</v>
      </c>
      <c r="X1034" t="s">
        <v>622</v>
      </c>
      <c r="Y1034" t="s">
        <v>92</v>
      </c>
      <c r="Z1034" t="s">
        <v>94</v>
      </c>
      <c r="AA1034" t="s">
        <v>49</v>
      </c>
      <c r="AC1034" s="2"/>
    </row>
    <row r="1035" spans="1:31" x14ac:dyDescent="0.25">
      <c r="A1035" t="s">
        <v>4899</v>
      </c>
      <c r="B1035" t="s">
        <v>4900</v>
      </c>
      <c r="C1035" t="s">
        <v>4900</v>
      </c>
      <c r="D1035" t="s">
        <v>984</v>
      </c>
      <c r="E1035" t="s">
        <v>985</v>
      </c>
      <c r="F1035" t="s">
        <v>4901</v>
      </c>
      <c r="G1035" t="s">
        <v>178</v>
      </c>
      <c r="H1035" t="s">
        <v>4902</v>
      </c>
      <c r="J1035" s="2">
        <v>654510</v>
      </c>
      <c r="K1035" s="2">
        <v>3000</v>
      </c>
      <c r="L1035" s="2">
        <v>15</v>
      </c>
      <c r="M1035" s="2">
        <v>0</v>
      </c>
      <c r="N1035" t="s">
        <v>4903</v>
      </c>
      <c r="O1035" t="s">
        <v>4904</v>
      </c>
      <c r="P1035" t="s">
        <v>256</v>
      </c>
      <c r="Q1035" t="s">
        <v>255</v>
      </c>
      <c r="S1035" t="s">
        <v>4905</v>
      </c>
      <c r="U1035" t="s">
        <v>45</v>
      </c>
      <c r="V1035" t="s">
        <v>46</v>
      </c>
      <c r="W1035" t="s">
        <v>4903</v>
      </c>
      <c r="X1035" t="s">
        <v>4904</v>
      </c>
      <c r="Y1035" t="s">
        <v>137</v>
      </c>
      <c r="Z1035" t="s">
        <v>717</v>
      </c>
      <c r="AA1035" t="s">
        <v>49</v>
      </c>
      <c r="AB1035" t="s">
        <v>50</v>
      </c>
      <c r="AC1035" s="2">
        <v>297466.12</v>
      </c>
      <c r="AD1035" t="s">
        <v>4906</v>
      </c>
      <c r="AE1035" t="s">
        <v>52</v>
      </c>
    </row>
    <row r="1036" spans="1:31" hidden="1" x14ac:dyDescent="0.25">
      <c r="G1036" t="s">
        <v>4907</v>
      </c>
      <c r="I1036" t="s">
        <v>4908</v>
      </c>
      <c r="J1036" s="2">
        <v>218</v>
      </c>
      <c r="K1036" s="2">
        <v>1</v>
      </c>
      <c r="L1036" s="2">
        <v>1</v>
      </c>
      <c r="M1036" s="2">
        <v>0</v>
      </c>
      <c r="S1036" t="s">
        <v>4909</v>
      </c>
      <c r="U1036" t="s">
        <v>45</v>
      </c>
      <c r="V1036" t="s">
        <v>46</v>
      </c>
      <c r="W1036" t="s">
        <v>4801</v>
      </c>
      <c r="X1036" t="s">
        <v>4802</v>
      </c>
      <c r="Y1036" t="s">
        <v>137</v>
      </c>
      <c r="Z1036" t="s">
        <v>717</v>
      </c>
      <c r="AA1036" t="s">
        <v>49</v>
      </c>
      <c r="AC1036" s="2"/>
    </row>
    <row r="1037" spans="1:31" x14ac:dyDescent="0.25">
      <c r="A1037" t="s">
        <v>4910</v>
      </c>
      <c r="B1037" t="s">
        <v>4911</v>
      </c>
      <c r="C1037" t="s">
        <v>4911</v>
      </c>
      <c r="D1037" t="s">
        <v>2120</v>
      </c>
      <c r="E1037" t="s">
        <v>224</v>
      </c>
      <c r="F1037" t="s">
        <v>4912</v>
      </c>
      <c r="H1037" t="s">
        <v>1728</v>
      </c>
      <c r="I1037" t="s">
        <v>4913</v>
      </c>
      <c r="J1037" s="2">
        <v>32726</v>
      </c>
      <c r="K1037" s="2">
        <v>150</v>
      </c>
      <c r="L1037" s="2">
        <v>1</v>
      </c>
      <c r="M1037" s="2">
        <v>0</v>
      </c>
      <c r="N1037" t="s">
        <v>1730</v>
      </c>
      <c r="O1037" t="s">
        <v>1728</v>
      </c>
      <c r="P1037" t="s">
        <v>120</v>
      </c>
      <c r="Q1037" t="s">
        <v>121</v>
      </c>
      <c r="S1037" t="s">
        <v>4914</v>
      </c>
      <c r="U1037" t="s">
        <v>45</v>
      </c>
      <c r="V1037" t="s">
        <v>46</v>
      </c>
      <c r="W1037" t="s">
        <v>1730</v>
      </c>
      <c r="X1037" t="s">
        <v>1728</v>
      </c>
      <c r="Y1037" t="s">
        <v>121</v>
      </c>
      <c r="Z1037" t="s">
        <v>94</v>
      </c>
      <c r="AA1037" t="s">
        <v>49</v>
      </c>
      <c r="AB1037" t="s">
        <v>50</v>
      </c>
      <c r="AC1037" s="2">
        <v>32726</v>
      </c>
      <c r="AD1037" t="s">
        <v>64</v>
      </c>
    </row>
    <row r="1038" spans="1:31" hidden="1" x14ac:dyDescent="0.25">
      <c r="I1038" t="s">
        <v>4915</v>
      </c>
      <c r="J1038" s="2">
        <v>65451</v>
      </c>
      <c r="K1038" s="2">
        <v>300</v>
      </c>
      <c r="L1038" s="2">
        <v>15</v>
      </c>
      <c r="M1038" s="2">
        <v>0</v>
      </c>
      <c r="S1038" t="s">
        <v>4916</v>
      </c>
      <c r="U1038" t="s">
        <v>45</v>
      </c>
      <c r="V1038" t="s">
        <v>46</v>
      </c>
      <c r="W1038" t="s">
        <v>4903</v>
      </c>
      <c r="X1038" t="s">
        <v>4904</v>
      </c>
      <c r="Y1038" t="s">
        <v>137</v>
      </c>
      <c r="Z1038" t="s">
        <v>717</v>
      </c>
      <c r="AA1038" t="s">
        <v>49</v>
      </c>
      <c r="AC1038" s="2"/>
    </row>
    <row r="1039" spans="1:31" x14ac:dyDescent="0.25">
      <c r="A1039" t="s">
        <v>4917</v>
      </c>
      <c r="B1039" t="s">
        <v>4918</v>
      </c>
      <c r="C1039" t="s">
        <v>4918</v>
      </c>
      <c r="D1039" t="s">
        <v>166</v>
      </c>
      <c r="E1039" t="s">
        <v>167</v>
      </c>
      <c r="F1039" t="s">
        <v>4919</v>
      </c>
      <c r="G1039" t="s">
        <v>166</v>
      </c>
      <c r="H1039" t="s">
        <v>255</v>
      </c>
      <c r="I1039" t="s">
        <v>4920</v>
      </c>
      <c r="J1039" s="2">
        <v>99675</v>
      </c>
      <c r="K1039" s="2">
        <v>410</v>
      </c>
      <c r="L1039" s="2">
        <v>15</v>
      </c>
      <c r="M1039" s="2">
        <v>0</v>
      </c>
      <c r="N1039" t="s">
        <v>254</v>
      </c>
      <c r="O1039" t="s">
        <v>255</v>
      </c>
      <c r="P1039" t="s">
        <v>256</v>
      </c>
      <c r="Q1039" t="s">
        <v>255</v>
      </c>
      <c r="S1039" t="s">
        <v>4921</v>
      </c>
      <c r="U1039" t="s">
        <v>45</v>
      </c>
      <c r="V1039" t="s">
        <v>46</v>
      </c>
      <c r="W1039" t="s">
        <v>254</v>
      </c>
      <c r="X1039" t="s">
        <v>255</v>
      </c>
      <c r="Y1039" t="s">
        <v>258</v>
      </c>
      <c r="Z1039" t="s">
        <v>259</v>
      </c>
      <c r="AA1039" t="s">
        <v>49</v>
      </c>
      <c r="AB1039" t="s">
        <v>50</v>
      </c>
      <c r="AC1039" s="2">
        <v>-20454.07</v>
      </c>
      <c r="AD1039" t="s">
        <v>4922</v>
      </c>
      <c r="AE1039" t="s">
        <v>52</v>
      </c>
    </row>
    <row r="1040" spans="1:31" x14ac:dyDescent="0.25">
      <c r="A1040" t="s">
        <v>4923</v>
      </c>
      <c r="B1040" t="s">
        <v>4924</v>
      </c>
      <c r="C1040" t="s">
        <v>4924</v>
      </c>
      <c r="D1040" t="s">
        <v>153</v>
      </c>
      <c r="E1040" t="s">
        <v>272</v>
      </c>
      <c r="F1040" t="s">
        <v>4925</v>
      </c>
      <c r="G1040" t="s">
        <v>847</v>
      </c>
      <c r="H1040" t="s">
        <v>255</v>
      </c>
      <c r="I1040" t="s">
        <v>4926</v>
      </c>
      <c r="J1040" s="2">
        <v>342720</v>
      </c>
      <c r="K1040" s="2">
        <v>1500</v>
      </c>
      <c r="L1040" s="2">
        <v>15</v>
      </c>
      <c r="M1040" s="2">
        <v>0</v>
      </c>
      <c r="N1040" t="s">
        <v>254</v>
      </c>
      <c r="O1040" t="s">
        <v>255</v>
      </c>
      <c r="P1040" t="s">
        <v>256</v>
      </c>
      <c r="Q1040" t="s">
        <v>255</v>
      </c>
      <c r="S1040" t="s">
        <v>4927</v>
      </c>
      <c r="U1040" t="s">
        <v>45</v>
      </c>
      <c r="V1040" t="s">
        <v>46</v>
      </c>
      <c r="W1040" t="s">
        <v>254</v>
      </c>
      <c r="X1040" t="s">
        <v>255</v>
      </c>
      <c r="Y1040" t="s">
        <v>258</v>
      </c>
      <c r="Z1040" t="s">
        <v>259</v>
      </c>
      <c r="AA1040" t="s">
        <v>49</v>
      </c>
      <c r="AB1040" t="s">
        <v>50</v>
      </c>
      <c r="AC1040" s="2">
        <v>131996.04</v>
      </c>
      <c r="AD1040" t="s">
        <v>4928</v>
      </c>
      <c r="AE1040" t="s">
        <v>52</v>
      </c>
    </row>
    <row r="1041" spans="1:31" hidden="1" x14ac:dyDescent="0.25">
      <c r="A1041" t="s">
        <v>4929</v>
      </c>
      <c r="B1041" t="s">
        <v>4930</v>
      </c>
      <c r="C1041" t="s">
        <v>4930</v>
      </c>
      <c r="D1041" t="s">
        <v>55</v>
      </c>
      <c r="E1041" t="s">
        <v>56</v>
      </c>
      <c r="F1041" t="s">
        <v>4931</v>
      </c>
      <c r="J1041" s="2">
        <v>425128</v>
      </c>
      <c r="K1041" s="2">
        <v>1948.61</v>
      </c>
      <c r="L1041" s="2">
        <v>15</v>
      </c>
      <c r="M1041" s="2">
        <v>0</v>
      </c>
      <c r="N1041" t="s">
        <v>1362</v>
      </c>
      <c r="O1041" t="s">
        <v>1360</v>
      </c>
      <c r="P1041" t="s">
        <v>1421</v>
      </c>
      <c r="Q1041" t="s">
        <v>1422</v>
      </c>
      <c r="U1041" t="s">
        <v>45</v>
      </c>
      <c r="V1041" t="s">
        <v>46</v>
      </c>
      <c r="W1041" t="s">
        <v>1362</v>
      </c>
      <c r="X1041" t="s">
        <v>1360</v>
      </c>
      <c r="Y1041" t="s">
        <v>1215</v>
      </c>
      <c r="Z1041" t="s">
        <v>1216</v>
      </c>
      <c r="AA1041" t="s">
        <v>49</v>
      </c>
      <c r="AB1041" t="s">
        <v>50</v>
      </c>
      <c r="AC1041" s="2">
        <v>425128</v>
      </c>
      <c r="AD1041" t="s">
        <v>64</v>
      </c>
    </row>
    <row r="1042" spans="1:31" x14ac:dyDescent="0.25">
      <c r="A1042" t="s">
        <v>4932</v>
      </c>
      <c r="B1042" t="s">
        <v>4933</v>
      </c>
      <c r="C1042" t="s">
        <v>4933</v>
      </c>
      <c r="D1042" t="s">
        <v>153</v>
      </c>
      <c r="E1042" t="s">
        <v>272</v>
      </c>
      <c r="F1042" t="s">
        <v>4931</v>
      </c>
      <c r="G1042" t="s">
        <v>847</v>
      </c>
      <c r="H1042" t="s">
        <v>3122</v>
      </c>
      <c r="I1042" t="s">
        <v>4934</v>
      </c>
      <c r="J1042" s="2">
        <v>1147475</v>
      </c>
      <c r="K1042" s="2">
        <v>4670.8</v>
      </c>
      <c r="L1042" s="2">
        <v>45</v>
      </c>
      <c r="M1042" s="2">
        <v>0</v>
      </c>
      <c r="N1042" t="s">
        <v>3121</v>
      </c>
      <c r="O1042" t="s">
        <v>3122</v>
      </c>
      <c r="P1042" t="s">
        <v>1421</v>
      </c>
      <c r="Q1042" t="s">
        <v>1422</v>
      </c>
      <c r="S1042" t="s">
        <v>4935</v>
      </c>
      <c r="U1042" t="s">
        <v>45</v>
      </c>
      <c r="V1042" t="s">
        <v>46</v>
      </c>
      <c r="W1042" t="s">
        <v>3121</v>
      </c>
      <c r="X1042" t="s">
        <v>3124</v>
      </c>
      <c r="Y1042" t="s">
        <v>1215</v>
      </c>
      <c r="Z1042" t="s">
        <v>1216</v>
      </c>
      <c r="AA1042" t="s">
        <v>49</v>
      </c>
      <c r="AB1042" t="s">
        <v>50</v>
      </c>
      <c r="AC1042" s="2">
        <v>283648.83</v>
      </c>
      <c r="AD1042" t="s">
        <v>4936</v>
      </c>
      <c r="AE1042" t="s">
        <v>115</v>
      </c>
    </row>
    <row r="1043" spans="1:31" x14ac:dyDescent="0.25">
      <c r="A1043" t="s">
        <v>4937</v>
      </c>
      <c r="B1043" t="s">
        <v>4938</v>
      </c>
      <c r="C1043" t="s">
        <v>4938</v>
      </c>
      <c r="D1043" t="s">
        <v>847</v>
      </c>
      <c r="E1043" t="s">
        <v>848</v>
      </c>
      <c r="F1043" t="s">
        <v>4931</v>
      </c>
      <c r="G1043" t="s">
        <v>847</v>
      </c>
      <c r="H1043" t="s">
        <v>1360</v>
      </c>
      <c r="I1043" t="s">
        <v>4939</v>
      </c>
      <c r="J1043" s="2">
        <v>1610121</v>
      </c>
      <c r="K1043" s="2">
        <v>6554</v>
      </c>
      <c r="L1043" s="2">
        <v>45</v>
      </c>
      <c r="M1043" s="2">
        <v>0</v>
      </c>
      <c r="N1043" t="s">
        <v>1362</v>
      </c>
      <c r="O1043" t="s">
        <v>1360</v>
      </c>
      <c r="P1043" t="s">
        <v>1421</v>
      </c>
      <c r="Q1043" t="s">
        <v>1422</v>
      </c>
      <c r="S1043" t="s">
        <v>4935</v>
      </c>
      <c r="U1043" t="s">
        <v>45</v>
      </c>
      <c r="V1043" t="s">
        <v>46</v>
      </c>
      <c r="W1043" t="s">
        <v>1362</v>
      </c>
      <c r="X1043" t="s">
        <v>1360</v>
      </c>
      <c r="Y1043" t="s">
        <v>1215</v>
      </c>
      <c r="Z1043" t="s">
        <v>1216</v>
      </c>
      <c r="AA1043" t="s">
        <v>49</v>
      </c>
      <c r="AB1043" t="s">
        <v>50</v>
      </c>
      <c r="AC1043" s="2">
        <v>4072.7</v>
      </c>
      <c r="AD1043" t="s">
        <v>4940</v>
      </c>
      <c r="AE1043" t="s">
        <v>115</v>
      </c>
    </row>
    <row r="1044" spans="1:31" hidden="1" x14ac:dyDescent="0.25">
      <c r="A1044" t="s">
        <v>4941</v>
      </c>
      <c r="B1044" t="s">
        <v>4942</v>
      </c>
      <c r="C1044" t="s">
        <v>4942</v>
      </c>
      <c r="F1044" t="s">
        <v>4931</v>
      </c>
      <c r="H1044" t="s">
        <v>4943</v>
      </c>
      <c r="I1044" t="s">
        <v>4939</v>
      </c>
      <c r="J1044" s="2">
        <v>436340</v>
      </c>
      <c r="K1044" s="2">
        <v>1776.12</v>
      </c>
      <c r="L1044" s="2">
        <v>45</v>
      </c>
      <c r="M1044" s="2">
        <v>0</v>
      </c>
      <c r="N1044" t="s">
        <v>3121</v>
      </c>
      <c r="O1044" t="s">
        <v>3122</v>
      </c>
      <c r="P1044" t="s">
        <v>1421</v>
      </c>
      <c r="Q1044" t="s">
        <v>1422</v>
      </c>
      <c r="S1044" t="s">
        <v>4935</v>
      </c>
      <c r="U1044" t="s">
        <v>45</v>
      </c>
      <c r="V1044" t="s">
        <v>46</v>
      </c>
      <c r="W1044" t="s">
        <v>3121</v>
      </c>
      <c r="X1044" t="s">
        <v>3124</v>
      </c>
      <c r="Y1044" t="s">
        <v>1215</v>
      </c>
      <c r="Z1044" t="s">
        <v>1216</v>
      </c>
      <c r="AA1044" t="s">
        <v>49</v>
      </c>
      <c r="AB1044" t="s">
        <v>50</v>
      </c>
      <c r="AC1044" s="2">
        <v>436340</v>
      </c>
      <c r="AD1044" t="s">
        <v>64</v>
      </c>
    </row>
    <row r="1045" spans="1:31" x14ac:dyDescent="0.25">
      <c r="A1045" t="s">
        <v>4944</v>
      </c>
      <c r="B1045" t="s">
        <v>4945</v>
      </c>
      <c r="C1045" t="s">
        <v>4945</v>
      </c>
      <c r="D1045" t="s">
        <v>153</v>
      </c>
      <c r="E1045" t="s">
        <v>272</v>
      </c>
      <c r="F1045" t="s">
        <v>4931</v>
      </c>
      <c r="G1045" t="s">
        <v>847</v>
      </c>
      <c r="H1045" t="s">
        <v>4943</v>
      </c>
      <c r="I1045" t="s">
        <v>4939</v>
      </c>
      <c r="J1045" s="2">
        <v>807792</v>
      </c>
      <c r="K1045" s="2">
        <v>3288.12</v>
      </c>
      <c r="L1045" s="2">
        <v>45</v>
      </c>
      <c r="M1045" s="2">
        <v>0</v>
      </c>
      <c r="N1045" t="s">
        <v>3121</v>
      </c>
      <c r="O1045" t="s">
        <v>3122</v>
      </c>
      <c r="P1045" t="s">
        <v>1421</v>
      </c>
      <c r="Q1045" t="s">
        <v>1422</v>
      </c>
      <c r="S1045" t="s">
        <v>4935</v>
      </c>
      <c r="U1045" t="s">
        <v>45</v>
      </c>
      <c r="V1045" t="s">
        <v>46</v>
      </c>
      <c r="W1045" t="s">
        <v>3121</v>
      </c>
      <c r="X1045" t="s">
        <v>3124</v>
      </c>
      <c r="Y1045" t="s">
        <v>1215</v>
      </c>
      <c r="Z1045" t="s">
        <v>1216</v>
      </c>
      <c r="AA1045" t="s">
        <v>49</v>
      </c>
      <c r="AB1045" t="s">
        <v>50</v>
      </c>
      <c r="AC1045" s="2">
        <v>228244.58</v>
      </c>
      <c r="AD1045" t="s">
        <v>4946</v>
      </c>
      <c r="AE1045" t="s">
        <v>52</v>
      </c>
    </row>
    <row r="1046" spans="1:31" hidden="1" x14ac:dyDescent="0.25">
      <c r="J1046" s="2">
        <v>1000</v>
      </c>
      <c r="K1046" s="2">
        <v>0</v>
      </c>
      <c r="L1046" s="2">
        <v>1</v>
      </c>
      <c r="M1046" s="2">
        <v>0</v>
      </c>
      <c r="U1046" t="s">
        <v>45</v>
      </c>
      <c r="V1046" t="s">
        <v>46</v>
      </c>
      <c r="W1046" t="s">
        <v>40</v>
      </c>
      <c r="X1046" t="s">
        <v>41</v>
      </c>
      <c r="Y1046" t="s">
        <v>47</v>
      </c>
      <c r="Z1046" t="s">
        <v>48</v>
      </c>
      <c r="AA1046" t="s">
        <v>49</v>
      </c>
      <c r="AC1046" s="2"/>
    </row>
    <row r="1047" spans="1:31" x14ac:dyDescent="0.25">
      <c r="A1047" t="s">
        <v>4947</v>
      </c>
      <c r="B1047" t="s">
        <v>4948</v>
      </c>
      <c r="C1047" t="s">
        <v>4948</v>
      </c>
      <c r="D1047" t="s">
        <v>166</v>
      </c>
      <c r="E1047" t="s">
        <v>167</v>
      </c>
      <c r="F1047" t="s">
        <v>4949</v>
      </c>
      <c r="H1047" t="s">
        <v>1123</v>
      </c>
      <c r="I1047" t="s">
        <v>4950</v>
      </c>
      <c r="J1047" s="2">
        <v>218170</v>
      </c>
      <c r="K1047" s="2">
        <v>1000</v>
      </c>
      <c r="L1047" s="2">
        <v>15</v>
      </c>
      <c r="M1047" s="2">
        <v>0</v>
      </c>
      <c r="N1047" t="s">
        <v>1125</v>
      </c>
      <c r="O1047" t="s">
        <v>1123</v>
      </c>
      <c r="P1047" t="s">
        <v>158</v>
      </c>
      <c r="Q1047" t="s">
        <v>159</v>
      </c>
      <c r="S1047" t="s">
        <v>4951</v>
      </c>
      <c r="U1047" t="s">
        <v>45</v>
      </c>
      <c r="V1047" t="s">
        <v>46</v>
      </c>
      <c r="W1047" t="s">
        <v>1125</v>
      </c>
      <c r="X1047" t="s">
        <v>1123</v>
      </c>
      <c r="Y1047" t="s">
        <v>161</v>
      </c>
      <c r="Z1047" t="s">
        <v>162</v>
      </c>
      <c r="AA1047" t="s">
        <v>49</v>
      </c>
      <c r="AB1047" t="s">
        <v>50</v>
      </c>
      <c r="AC1047" s="2">
        <v>218170</v>
      </c>
      <c r="AD1047" t="s">
        <v>64</v>
      </c>
    </row>
    <row r="1048" spans="1:31" hidden="1" x14ac:dyDescent="0.25">
      <c r="A1048" t="s">
        <v>4952</v>
      </c>
      <c r="B1048" t="s">
        <v>4953</v>
      </c>
      <c r="C1048" t="s">
        <v>4953</v>
      </c>
      <c r="D1048" t="s">
        <v>55</v>
      </c>
      <c r="E1048" t="s">
        <v>56</v>
      </c>
      <c r="F1048" t="s">
        <v>4954</v>
      </c>
      <c r="H1048" t="s">
        <v>1123</v>
      </c>
      <c r="I1048" t="s">
        <v>4955</v>
      </c>
      <c r="J1048" s="2">
        <v>1000</v>
      </c>
      <c r="K1048" s="2">
        <v>0</v>
      </c>
      <c r="L1048" s="2">
        <v>15</v>
      </c>
      <c r="M1048" s="2">
        <v>0</v>
      </c>
      <c r="N1048" t="s">
        <v>1125</v>
      </c>
      <c r="O1048" t="s">
        <v>1123</v>
      </c>
      <c r="P1048" t="s">
        <v>158</v>
      </c>
      <c r="Q1048" t="s">
        <v>159</v>
      </c>
      <c r="S1048" t="s">
        <v>4956</v>
      </c>
      <c r="U1048" t="s">
        <v>45</v>
      </c>
      <c r="V1048" t="s">
        <v>46</v>
      </c>
      <c r="W1048" t="s">
        <v>1125</v>
      </c>
      <c r="X1048" t="s">
        <v>1123</v>
      </c>
      <c r="Y1048" t="s">
        <v>161</v>
      </c>
      <c r="Z1048" t="s">
        <v>162</v>
      </c>
      <c r="AA1048" t="s">
        <v>49</v>
      </c>
      <c r="AB1048" t="s">
        <v>50</v>
      </c>
      <c r="AC1048" s="2">
        <v>1000</v>
      </c>
      <c r="AD1048" t="s">
        <v>64</v>
      </c>
    </row>
    <row r="1049" spans="1:31" x14ac:dyDescent="0.25">
      <c r="A1049" t="s">
        <v>4957</v>
      </c>
      <c r="B1049" t="s">
        <v>4958</v>
      </c>
      <c r="C1049" t="s">
        <v>4958</v>
      </c>
      <c r="D1049" t="s">
        <v>35</v>
      </c>
      <c r="E1049" t="s">
        <v>36</v>
      </c>
      <c r="F1049" t="s">
        <v>4959</v>
      </c>
      <c r="G1049" t="s">
        <v>35</v>
      </c>
      <c r="H1049" t="s">
        <v>1123</v>
      </c>
      <c r="I1049" t="s">
        <v>4960</v>
      </c>
      <c r="J1049" s="2">
        <v>4363400</v>
      </c>
      <c r="K1049" s="2">
        <v>20000</v>
      </c>
      <c r="L1049" s="2">
        <v>30</v>
      </c>
      <c r="M1049" s="2">
        <v>0</v>
      </c>
      <c r="N1049" t="s">
        <v>1125</v>
      </c>
      <c r="O1049" t="s">
        <v>1123</v>
      </c>
      <c r="P1049" t="s">
        <v>158</v>
      </c>
      <c r="Q1049" t="s">
        <v>159</v>
      </c>
      <c r="S1049" t="s">
        <v>4961</v>
      </c>
      <c r="U1049" t="s">
        <v>45</v>
      </c>
      <c r="V1049" t="s">
        <v>46</v>
      </c>
      <c r="W1049" t="s">
        <v>1125</v>
      </c>
      <c r="X1049" t="s">
        <v>1123</v>
      </c>
      <c r="Y1049" t="s">
        <v>161</v>
      </c>
      <c r="Z1049" t="s">
        <v>162</v>
      </c>
      <c r="AA1049" t="s">
        <v>49</v>
      </c>
      <c r="AB1049" t="s">
        <v>50</v>
      </c>
      <c r="AC1049" s="2">
        <v>187945.25</v>
      </c>
      <c r="AD1049" t="s">
        <v>4962</v>
      </c>
      <c r="AE1049" t="s">
        <v>52</v>
      </c>
    </row>
    <row r="1050" spans="1:31" x14ac:dyDescent="0.25">
      <c r="A1050" t="s">
        <v>4963</v>
      </c>
      <c r="B1050" t="s">
        <v>4964</v>
      </c>
      <c r="C1050" t="s">
        <v>4964</v>
      </c>
      <c r="D1050" t="s">
        <v>847</v>
      </c>
      <c r="E1050" t="s">
        <v>848</v>
      </c>
      <c r="F1050" t="s">
        <v>4965</v>
      </c>
      <c r="G1050" t="s">
        <v>847</v>
      </c>
      <c r="H1050" t="s">
        <v>1360</v>
      </c>
      <c r="I1050" t="s">
        <v>4966</v>
      </c>
      <c r="J1050" s="2">
        <v>680535</v>
      </c>
      <c r="K1050" s="2">
        <v>2770.12</v>
      </c>
      <c r="L1050" s="2">
        <v>45</v>
      </c>
      <c r="M1050" s="2">
        <v>0</v>
      </c>
      <c r="N1050" t="s">
        <v>1362</v>
      </c>
      <c r="O1050" t="s">
        <v>1360</v>
      </c>
      <c r="P1050" t="s">
        <v>1421</v>
      </c>
      <c r="Q1050" t="s">
        <v>1422</v>
      </c>
      <c r="S1050" t="s">
        <v>4967</v>
      </c>
      <c r="U1050" t="s">
        <v>45</v>
      </c>
      <c r="V1050" t="s">
        <v>46</v>
      </c>
      <c r="W1050" t="s">
        <v>1362</v>
      </c>
      <c r="X1050" t="s">
        <v>1360</v>
      </c>
      <c r="Y1050" t="s">
        <v>1215</v>
      </c>
      <c r="Z1050" t="s">
        <v>1216</v>
      </c>
      <c r="AA1050" t="s">
        <v>49</v>
      </c>
      <c r="AB1050" t="s">
        <v>50</v>
      </c>
      <c r="AC1050" s="2">
        <v>-3683.68</v>
      </c>
      <c r="AD1050" t="s">
        <v>4968</v>
      </c>
      <c r="AE1050" t="s">
        <v>115</v>
      </c>
    </row>
    <row r="1051" spans="1:31" x14ac:dyDescent="0.25">
      <c r="A1051" t="s">
        <v>4969</v>
      </c>
      <c r="B1051" t="s">
        <v>4970</v>
      </c>
      <c r="C1051" t="s">
        <v>4970</v>
      </c>
      <c r="D1051" t="s">
        <v>153</v>
      </c>
      <c r="E1051" t="s">
        <v>272</v>
      </c>
      <c r="F1051" t="s">
        <v>4971</v>
      </c>
      <c r="G1051" t="s">
        <v>153</v>
      </c>
      <c r="H1051" t="s">
        <v>1123</v>
      </c>
      <c r="I1051" t="s">
        <v>4972</v>
      </c>
      <c r="J1051" s="2">
        <v>654510</v>
      </c>
      <c r="K1051" s="2">
        <v>3000</v>
      </c>
      <c r="L1051" s="2">
        <v>15</v>
      </c>
      <c r="M1051" s="2">
        <v>0</v>
      </c>
      <c r="N1051" t="s">
        <v>1125</v>
      </c>
      <c r="O1051" t="s">
        <v>1123</v>
      </c>
      <c r="P1051" t="s">
        <v>158</v>
      </c>
      <c r="Q1051" t="s">
        <v>159</v>
      </c>
      <c r="S1051" t="s">
        <v>4973</v>
      </c>
      <c r="U1051" t="s">
        <v>45</v>
      </c>
      <c r="V1051" t="s">
        <v>46</v>
      </c>
      <c r="W1051" t="s">
        <v>1125</v>
      </c>
      <c r="X1051" t="s">
        <v>1123</v>
      </c>
      <c r="Y1051" t="s">
        <v>161</v>
      </c>
      <c r="Z1051" t="s">
        <v>162</v>
      </c>
      <c r="AA1051" t="s">
        <v>49</v>
      </c>
      <c r="AB1051" t="s">
        <v>50</v>
      </c>
      <c r="AC1051" s="2">
        <v>430069.71</v>
      </c>
      <c r="AD1051" t="s">
        <v>4974</v>
      </c>
      <c r="AE1051" t="s">
        <v>52</v>
      </c>
    </row>
    <row r="1052" spans="1:31" x14ac:dyDescent="0.25">
      <c r="A1052" t="s">
        <v>4975</v>
      </c>
      <c r="B1052" t="s">
        <v>4976</v>
      </c>
      <c r="C1052" t="s">
        <v>4976</v>
      </c>
      <c r="D1052" t="s">
        <v>178</v>
      </c>
      <c r="E1052" t="s">
        <v>179</v>
      </c>
      <c r="F1052" t="s">
        <v>4977</v>
      </c>
      <c r="G1052" t="s">
        <v>178</v>
      </c>
      <c r="H1052" t="s">
        <v>4978</v>
      </c>
      <c r="I1052" t="s">
        <v>4979</v>
      </c>
      <c r="J1052" s="2">
        <v>315599</v>
      </c>
      <c r="K1052" s="2">
        <v>1290</v>
      </c>
      <c r="L1052" s="2">
        <v>21</v>
      </c>
      <c r="M1052" s="2">
        <v>0</v>
      </c>
      <c r="N1052" t="s">
        <v>4980</v>
      </c>
      <c r="O1052" t="s">
        <v>4981</v>
      </c>
      <c r="P1052" t="s">
        <v>103</v>
      </c>
      <c r="Q1052" t="s">
        <v>104</v>
      </c>
      <c r="S1052" t="s">
        <v>4982</v>
      </c>
      <c r="U1052" t="s">
        <v>45</v>
      </c>
      <c r="V1052" t="s">
        <v>46</v>
      </c>
      <c r="W1052" t="s">
        <v>4980</v>
      </c>
      <c r="X1052" t="s">
        <v>4978</v>
      </c>
      <c r="Y1052" t="s">
        <v>72</v>
      </c>
      <c r="Z1052" t="s">
        <v>68</v>
      </c>
      <c r="AA1052" t="s">
        <v>49</v>
      </c>
      <c r="AB1052" t="s">
        <v>50</v>
      </c>
      <c r="AC1052" s="2">
        <v>3080.6</v>
      </c>
      <c r="AD1052" t="s">
        <v>4983</v>
      </c>
      <c r="AE1052" t="s">
        <v>52</v>
      </c>
    </row>
    <row r="1053" spans="1:31" x14ac:dyDescent="0.25">
      <c r="A1053" t="s">
        <v>4984</v>
      </c>
      <c r="B1053" t="s">
        <v>4985</v>
      </c>
      <c r="C1053" t="s">
        <v>4985</v>
      </c>
      <c r="D1053" t="s">
        <v>1454</v>
      </c>
      <c r="E1053" t="s">
        <v>224</v>
      </c>
      <c r="F1053" t="s">
        <v>4986</v>
      </c>
      <c r="G1053" t="s">
        <v>2485</v>
      </c>
      <c r="H1053" t="s">
        <v>4987</v>
      </c>
      <c r="I1053" t="s">
        <v>4988</v>
      </c>
      <c r="J1053" s="2">
        <v>1178118</v>
      </c>
      <c r="K1053" s="2">
        <v>5400</v>
      </c>
      <c r="L1053" s="2">
        <v>15</v>
      </c>
      <c r="M1053" s="2">
        <v>0</v>
      </c>
      <c r="N1053" t="s">
        <v>1125</v>
      </c>
      <c r="O1053" t="s">
        <v>1123</v>
      </c>
      <c r="P1053" t="s">
        <v>158</v>
      </c>
      <c r="Q1053" t="s">
        <v>159</v>
      </c>
      <c r="S1053" t="s">
        <v>4989</v>
      </c>
      <c r="U1053" t="s">
        <v>45</v>
      </c>
      <c r="V1053" t="s">
        <v>46</v>
      </c>
      <c r="W1053" t="s">
        <v>1125</v>
      </c>
      <c r="X1053" t="s">
        <v>1123</v>
      </c>
      <c r="Y1053" t="s">
        <v>161</v>
      </c>
      <c r="Z1053" t="s">
        <v>162</v>
      </c>
      <c r="AA1053" t="s">
        <v>49</v>
      </c>
      <c r="AB1053" t="s">
        <v>50</v>
      </c>
      <c r="AC1053" s="2">
        <v>1011083.34</v>
      </c>
      <c r="AD1053" t="s">
        <v>4990</v>
      </c>
    </row>
    <row r="1054" spans="1:31" x14ac:dyDescent="0.25">
      <c r="A1054" t="s">
        <v>4991</v>
      </c>
      <c r="B1054" t="s">
        <v>4992</v>
      </c>
      <c r="C1054" t="s">
        <v>4992</v>
      </c>
      <c r="D1054" t="s">
        <v>35</v>
      </c>
      <c r="E1054" t="s">
        <v>36</v>
      </c>
      <c r="F1054" t="s">
        <v>4993</v>
      </c>
      <c r="G1054" t="s">
        <v>35</v>
      </c>
      <c r="H1054" t="s">
        <v>4994</v>
      </c>
      <c r="I1054" t="s">
        <v>4995</v>
      </c>
      <c r="J1054" s="2">
        <v>968191</v>
      </c>
      <c r="K1054" s="2">
        <v>3975</v>
      </c>
      <c r="L1054" s="2">
        <v>30</v>
      </c>
      <c r="M1054" s="2">
        <v>0</v>
      </c>
      <c r="N1054" t="s">
        <v>4996</v>
      </c>
      <c r="O1054" t="s">
        <v>4997</v>
      </c>
      <c r="P1054" t="s">
        <v>1212</v>
      </c>
      <c r="Q1054" t="s">
        <v>1213</v>
      </c>
      <c r="S1054" t="s">
        <v>4998</v>
      </c>
      <c r="U1054" t="s">
        <v>45</v>
      </c>
      <c r="V1054" t="s">
        <v>46</v>
      </c>
      <c r="W1054" t="s">
        <v>4996</v>
      </c>
      <c r="X1054" t="s">
        <v>4997</v>
      </c>
      <c r="Y1054" t="s">
        <v>1215</v>
      </c>
      <c r="Z1054" t="s">
        <v>1216</v>
      </c>
      <c r="AA1054" t="s">
        <v>49</v>
      </c>
      <c r="AB1054" t="s">
        <v>50</v>
      </c>
      <c r="AC1054" s="2">
        <v>117733.81</v>
      </c>
      <c r="AD1054" t="s">
        <v>4999</v>
      </c>
      <c r="AE1054" t="s">
        <v>115</v>
      </c>
    </row>
    <row r="1055" spans="1:31" x14ac:dyDescent="0.25">
      <c r="A1055" t="s">
        <v>5000</v>
      </c>
      <c r="B1055" t="s">
        <v>5001</v>
      </c>
      <c r="C1055" t="s">
        <v>5001</v>
      </c>
      <c r="D1055" t="s">
        <v>888</v>
      </c>
      <c r="E1055" t="s">
        <v>167</v>
      </c>
      <c r="F1055" t="s">
        <v>5002</v>
      </c>
      <c r="G1055" t="s">
        <v>1094</v>
      </c>
      <c r="H1055" t="s">
        <v>5003</v>
      </c>
      <c r="I1055" t="s">
        <v>5004</v>
      </c>
      <c r="J1055" s="2">
        <v>349072</v>
      </c>
      <c r="K1055" s="2">
        <v>1600</v>
      </c>
      <c r="L1055" s="2">
        <v>15</v>
      </c>
      <c r="M1055" s="2">
        <v>0</v>
      </c>
      <c r="N1055" t="s">
        <v>5005</v>
      </c>
      <c r="O1055" t="s">
        <v>5006</v>
      </c>
      <c r="P1055" t="s">
        <v>256</v>
      </c>
      <c r="Q1055" t="s">
        <v>255</v>
      </c>
      <c r="S1055" t="s">
        <v>5007</v>
      </c>
      <c r="U1055" t="s">
        <v>45</v>
      </c>
      <c r="V1055" t="s">
        <v>46</v>
      </c>
      <c r="W1055" t="s">
        <v>5005</v>
      </c>
      <c r="X1055" t="s">
        <v>5006</v>
      </c>
      <c r="Y1055" t="s">
        <v>137</v>
      </c>
      <c r="Z1055" t="s">
        <v>717</v>
      </c>
      <c r="AA1055" t="s">
        <v>49</v>
      </c>
      <c r="AB1055" t="s">
        <v>50</v>
      </c>
      <c r="AC1055" s="2">
        <v>193003.67</v>
      </c>
      <c r="AD1055" t="s">
        <v>5008</v>
      </c>
      <c r="AE1055" t="s">
        <v>115</v>
      </c>
    </row>
    <row r="1056" spans="1:31" hidden="1" x14ac:dyDescent="0.25">
      <c r="I1056" t="s">
        <v>5010</v>
      </c>
      <c r="J1056" s="2">
        <v>21817</v>
      </c>
      <c r="K1056" s="2">
        <v>100</v>
      </c>
      <c r="L1056" s="2">
        <v>1</v>
      </c>
      <c r="M1056" s="2">
        <v>0</v>
      </c>
      <c r="S1056" t="s">
        <v>5011</v>
      </c>
      <c r="U1056" t="s">
        <v>45</v>
      </c>
      <c r="V1056" t="s">
        <v>46</v>
      </c>
      <c r="W1056" t="s">
        <v>5005</v>
      </c>
      <c r="X1056" t="s">
        <v>5006</v>
      </c>
      <c r="Y1056" t="s">
        <v>137</v>
      </c>
      <c r="Z1056" t="s">
        <v>717</v>
      </c>
      <c r="AA1056" t="s">
        <v>49</v>
      </c>
      <c r="AC1056" s="2"/>
    </row>
    <row r="1057" spans="1:31" x14ac:dyDescent="0.25">
      <c r="A1057" t="s">
        <v>5012</v>
      </c>
      <c r="B1057" t="s">
        <v>5013</v>
      </c>
      <c r="C1057" t="s">
        <v>5013</v>
      </c>
      <c r="D1057" t="s">
        <v>125</v>
      </c>
      <c r="E1057" t="s">
        <v>126</v>
      </c>
      <c r="F1057" t="s">
        <v>5014</v>
      </c>
      <c r="G1057" t="s">
        <v>125</v>
      </c>
      <c r="H1057" t="s">
        <v>5015</v>
      </c>
      <c r="I1057" t="s">
        <v>5016</v>
      </c>
      <c r="J1057" s="2">
        <v>436340</v>
      </c>
      <c r="K1057" s="2">
        <v>2000</v>
      </c>
      <c r="L1057" s="2">
        <v>15</v>
      </c>
      <c r="M1057" s="2">
        <v>0</v>
      </c>
      <c r="N1057" t="s">
        <v>4826</v>
      </c>
      <c r="O1057" t="s">
        <v>4827</v>
      </c>
      <c r="P1057" t="s">
        <v>256</v>
      </c>
      <c r="Q1057" t="s">
        <v>255</v>
      </c>
      <c r="S1057" t="s">
        <v>5017</v>
      </c>
      <c r="U1057" t="s">
        <v>45</v>
      </c>
      <c r="V1057" t="s">
        <v>46</v>
      </c>
      <c r="W1057" t="s">
        <v>4826</v>
      </c>
      <c r="X1057" t="s">
        <v>4827</v>
      </c>
      <c r="Y1057" t="s">
        <v>137</v>
      </c>
      <c r="Z1057" t="s">
        <v>717</v>
      </c>
      <c r="AA1057" t="s">
        <v>49</v>
      </c>
      <c r="AB1057" t="s">
        <v>50</v>
      </c>
      <c r="AC1057" s="2">
        <v>410104.21</v>
      </c>
      <c r="AD1057" t="s">
        <v>5018</v>
      </c>
      <c r="AE1057" t="s">
        <v>52</v>
      </c>
    </row>
    <row r="1058" spans="1:31" x14ac:dyDescent="0.25">
      <c r="A1058" t="s">
        <v>5019</v>
      </c>
      <c r="B1058" t="s">
        <v>5020</v>
      </c>
      <c r="C1058" t="s">
        <v>5020</v>
      </c>
      <c r="D1058" t="s">
        <v>153</v>
      </c>
      <c r="E1058" t="s">
        <v>272</v>
      </c>
      <c r="F1058" t="s">
        <v>5021</v>
      </c>
      <c r="G1058" t="s">
        <v>153</v>
      </c>
      <c r="H1058" t="s">
        <v>1123</v>
      </c>
      <c r="I1058" t="s">
        <v>5022</v>
      </c>
      <c r="J1058" s="2">
        <v>720960</v>
      </c>
      <c r="K1058" s="2">
        <v>3000</v>
      </c>
      <c r="L1058" s="2">
        <v>15</v>
      </c>
      <c r="M1058" s="2">
        <v>0</v>
      </c>
      <c r="N1058" t="s">
        <v>1125</v>
      </c>
      <c r="O1058" t="s">
        <v>1123</v>
      </c>
      <c r="P1058" t="s">
        <v>158</v>
      </c>
      <c r="Q1058" t="s">
        <v>159</v>
      </c>
      <c r="S1058" t="s">
        <v>5023</v>
      </c>
      <c r="U1058" t="s">
        <v>45</v>
      </c>
      <c r="V1058" t="s">
        <v>46</v>
      </c>
      <c r="W1058" t="s">
        <v>1125</v>
      </c>
      <c r="X1058" t="s">
        <v>1123</v>
      </c>
      <c r="Y1058" t="s">
        <v>161</v>
      </c>
      <c r="Z1058" t="s">
        <v>162</v>
      </c>
      <c r="AA1058" t="s">
        <v>49</v>
      </c>
      <c r="AB1058" t="s">
        <v>50</v>
      </c>
      <c r="AC1058" s="2">
        <v>533084.82999999996</v>
      </c>
      <c r="AD1058" t="s">
        <v>5024</v>
      </c>
      <c r="AE1058" t="s">
        <v>52</v>
      </c>
    </row>
    <row r="1059" spans="1:31" x14ac:dyDescent="0.25">
      <c r="A1059" t="s">
        <v>5025</v>
      </c>
      <c r="B1059" t="s">
        <v>5026</v>
      </c>
      <c r="C1059" t="s">
        <v>5026</v>
      </c>
      <c r="D1059" t="s">
        <v>35</v>
      </c>
      <c r="E1059" t="s">
        <v>36</v>
      </c>
      <c r="F1059" t="s">
        <v>5027</v>
      </c>
      <c r="G1059" t="s">
        <v>153</v>
      </c>
      <c r="H1059" t="s">
        <v>4487</v>
      </c>
      <c r="I1059" t="s">
        <v>5028</v>
      </c>
      <c r="J1059" s="2">
        <v>418886</v>
      </c>
      <c r="K1059" s="2">
        <v>1920</v>
      </c>
      <c r="L1059" s="2">
        <v>14</v>
      </c>
      <c r="M1059" s="2">
        <v>0</v>
      </c>
      <c r="N1059" t="s">
        <v>4488</v>
      </c>
      <c r="O1059" t="s">
        <v>4487</v>
      </c>
      <c r="P1059" t="s">
        <v>103</v>
      </c>
      <c r="Q1059" t="s">
        <v>104</v>
      </c>
      <c r="S1059" t="s">
        <v>5029</v>
      </c>
      <c r="U1059" t="s">
        <v>45</v>
      </c>
      <c r="V1059" t="s">
        <v>46</v>
      </c>
      <c r="W1059" t="s">
        <v>4488</v>
      </c>
      <c r="X1059" t="s">
        <v>4487</v>
      </c>
      <c r="Y1059" t="s">
        <v>106</v>
      </c>
      <c r="Z1059" t="s">
        <v>107</v>
      </c>
      <c r="AA1059" t="s">
        <v>49</v>
      </c>
      <c r="AB1059" t="s">
        <v>50</v>
      </c>
      <c r="AC1059" s="2">
        <v>-10200.9</v>
      </c>
      <c r="AD1059" t="s">
        <v>5030</v>
      </c>
      <c r="AE1059" t="s">
        <v>52</v>
      </c>
    </row>
    <row r="1060" spans="1:31" x14ac:dyDescent="0.25">
      <c r="A1060" t="s">
        <v>5031</v>
      </c>
      <c r="B1060" t="s">
        <v>5032</v>
      </c>
      <c r="C1060" t="s">
        <v>5032</v>
      </c>
      <c r="D1060" t="s">
        <v>35</v>
      </c>
      <c r="E1060" t="s">
        <v>36</v>
      </c>
      <c r="F1060" t="s">
        <v>5033</v>
      </c>
      <c r="G1060" t="s">
        <v>178</v>
      </c>
      <c r="H1060" t="s">
        <v>4487</v>
      </c>
      <c r="I1060" t="s">
        <v>5028</v>
      </c>
      <c r="J1060" s="2">
        <v>327255</v>
      </c>
      <c r="K1060" s="2">
        <v>1500</v>
      </c>
      <c r="L1060" s="2">
        <v>14</v>
      </c>
      <c r="M1060" s="2">
        <v>0</v>
      </c>
      <c r="N1060" t="s">
        <v>4488</v>
      </c>
      <c r="O1060" t="s">
        <v>4487</v>
      </c>
      <c r="P1060" t="s">
        <v>103</v>
      </c>
      <c r="Q1060" t="s">
        <v>104</v>
      </c>
      <c r="S1060" t="s">
        <v>5034</v>
      </c>
      <c r="U1060" t="s">
        <v>45</v>
      </c>
      <c r="V1060" t="s">
        <v>46</v>
      </c>
      <c r="W1060" t="s">
        <v>4488</v>
      </c>
      <c r="X1060" t="s">
        <v>4487</v>
      </c>
      <c r="Y1060" t="s">
        <v>106</v>
      </c>
      <c r="Z1060" t="s">
        <v>107</v>
      </c>
      <c r="AA1060" t="s">
        <v>49</v>
      </c>
      <c r="AB1060" t="s">
        <v>50</v>
      </c>
      <c r="AC1060" s="2">
        <v>199051.6</v>
      </c>
      <c r="AD1060" t="s">
        <v>5035</v>
      </c>
      <c r="AE1060" t="s">
        <v>52</v>
      </c>
    </row>
    <row r="1061" spans="1:31" x14ac:dyDescent="0.25">
      <c r="A1061" t="s">
        <v>5036</v>
      </c>
      <c r="B1061" t="s">
        <v>5037</v>
      </c>
      <c r="C1061" t="s">
        <v>5037</v>
      </c>
      <c r="D1061" t="s">
        <v>35</v>
      </c>
      <c r="E1061" t="s">
        <v>36</v>
      </c>
      <c r="F1061" t="s">
        <v>5038</v>
      </c>
      <c r="G1061" t="s">
        <v>553</v>
      </c>
      <c r="H1061" t="s">
        <v>4978</v>
      </c>
      <c r="I1061" t="s">
        <v>5039</v>
      </c>
      <c r="J1061" s="2">
        <v>219870</v>
      </c>
      <c r="K1061" s="2">
        <v>1000</v>
      </c>
      <c r="L1061" s="2">
        <v>30</v>
      </c>
      <c r="M1061" s="2">
        <v>0</v>
      </c>
      <c r="N1061" t="s">
        <v>4980</v>
      </c>
      <c r="O1061" t="s">
        <v>4981</v>
      </c>
      <c r="P1061" t="s">
        <v>103</v>
      </c>
      <c r="Q1061" t="s">
        <v>104</v>
      </c>
      <c r="S1061" t="s">
        <v>5040</v>
      </c>
      <c r="U1061" t="s">
        <v>45</v>
      </c>
      <c r="V1061" t="s">
        <v>46</v>
      </c>
      <c r="W1061" t="s">
        <v>4980</v>
      </c>
      <c r="X1061" t="s">
        <v>4978</v>
      </c>
      <c r="Y1061" t="s">
        <v>72</v>
      </c>
      <c r="Z1061" t="s">
        <v>68</v>
      </c>
      <c r="AA1061" t="s">
        <v>49</v>
      </c>
      <c r="AB1061" t="s">
        <v>50</v>
      </c>
      <c r="AC1061" s="2">
        <v>81888.7</v>
      </c>
      <c r="AD1061" t="s">
        <v>5041</v>
      </c>
      <c r="AE1061" t="s">
        <v>52</v>
      </c>
    </row>
    <row r="1062" spans="1:31" x14ac:dyDescent="0.25">
      <c r="A1062" t="s">
        <v>5042</v>
      </c>
      <c r="B1062" t="s">
        <v>5043</v>
      </c>
      <c r="C1062" t="s">
        <v>5043</v>
      </c>
      <c r="D1062" t="s">
        <v>153</v>
      </c>
      <c r="E1062" t="s">
        <v>272</v>
      </c>
      <c r="F1062" t="s">
        <v>4815</v>
      </c>
      <c r="G1062" t="s">
        <v>153</v>
      </c>
      <c r="H1062" t="s">
        <v>402</v>
      </c>
      <c r="J1062" s="2">
        <v>166433</v>
      </c>
      <c r="K1062" s="2">
        <v>673</v>
      </c>
      <c r="L1062" s="2">
        <v>30</v>
      </c>
      <c r="M1062" s="2">
        <v>0</v>
      </c>
      <c r="N1062" t="s">
        <v>403</v>
      </c>
      <c r="O1062" t="s">
        <v>404</v>
      </c>
      <c r="P1062" t="s">
        <v>205</v>
      </c>
      <c r="Q1062" t="s">
        <v>206</v>
      </c>
      <c r="S1062" t="s">
        <v>5044</v>
      </c>
      <c r="U1062" t="s">
        <v>45</v>
      </c>
      <c r="V1062" t="s">
        <v>46</v>
      </c>
      <c r="W1062" t="s">
        <v>403</v>
      </c>
      <c r="X1062" t="s">
        <v>404</v>
      </c>
      <c r="Y1062" t="s">
        <v>161</v>
      </c>
      <c r="Z1062" t="s">
        <v>162</v>
      </c>
      <c r="AA1062" t="s">
        <v>49</v>
      </c>
      <c r="AB1062" t="s">
        <v>50</v>
      </c>
      <c r="AC1062" s="2">
        <v>15063.87</v>
      </c>
      <c r="AD1062" t="s">
        <v>5045</v>
      </c>
      <c r="AE1062" t="s">
        <v>52</v>
      </c>
    </row>
    <row r="1063" spans="1:31" x14ac:dyDescent="0.25">
      <c r="A1063" t="s">
        <v>5046</v>
      </c>
      <c r="B1063" t="s">
        <v>5047</v>
      </c>
      <c r="C1063" t="s">
        <v>1408</v>
      </c>
      <c r="D1063" t="s">
        <v>35</v>
      </c>
      <c r="E1063" t="s">
        <v>36</v>
      </c>
      <c r="F1063" t="s">
        <v>1409</v>
      </c>
      <c r="G1063" t="s">
        <v>35</v>
      </c>
      <c r="H1063" t="s">
        <v>1607</v>
      </c>
      <c r="J1063" s="2">
        <v>313468</v>
      </c>
      <c r="K1063" s="2">
        <v>1267</v>
      </c>
      <c r="L1063" s="2">
        <v>30</v>
      </c>
      <c r="M1063" s="2">
        <v>0</v>
      </c>
      <c r="N1063" t="s">
        <v>1221</v>
      </c>
      <c r="O1063" t="s">
        <v>1222</v>
      </c>
      <c r="P1063" t="s">
        <v>205</v>
      </c>
      <c r="Q1063" t="s">
        <v>206</v>
      </c>
      <c r="S1063" t="s">
        <v>5048</v>
      </c>
      <c r="U1063" t="s">
        <v>45</v>
      </c>
      <c r="V1063" t="s">
        <v>46</v>
      </c>
      <c r="W1063" t="s">
        <v>1221</v>
      </c>
      <c r="X1063" t="s">
        <v>1222</v>
      </c>
      <c r="Y1063" t="s">
        <v>161</v>
      </c>
      <c r="Z1063" t="s">
        <v>162</v>
      </c>
      <c r="AA1063" t="s">
        <v>49</v>
      </c>
      <c r="AB1063" t="s">
        <v>50</v>
      </c>
      <c r="AC1063" s="2">
        <v>167.73</v>
      </c>
      <c r="AD1063" t="s">
        <v>5049</v>
      </c>
      <c r="AE1063" t="s">
        <v>52</v>
      </c>
    </row>
    <row r="1064" spans="1:31" hidden="1" x14ac:dyDescent="0.25">
      <c r="I1064" t="s">
        <v>5050</v>
      </c>
      <c r="J1064" s="2">
        <v>43634</v>
      </c>
      <c r="K1064" s="2">
        <v>200</v>
      </c>
      <c r="L1064" s="2">
        <v>1</v>
      </c>
      <c r="M1064" s="2">
        <v>0</v>
      </c>
      <c r="S1064" t="s">
        <v>5051</v>
      </c>
      <c r="U1064" t="s">
        <v>45</v>
      </c>
      <c r="V1064" t="s">
        <v>46</v>
      </c>
      <c r="W1064" t="s">
        <v>445</v>
      </c>
      <c r="X1064" t="s">
        <v>446</v>
      </c>
      <c r="Y1064" t="s">
        <v>72</v>
      </c>
      <c r="Z1064" t="s">
        <v>68</v>
      </c>
      <c r="AA1064" t="s">
        <v>49</v>
      </c>
      <c r="AC1064" s="2"/>
    </row>
    <row r="1065" spans="1:31" x14ac:dyDescent="0.25">
      <c r="A1065" t="s">
        <v>5052</v>
      </c>
      <c r="B1065" t="s">
        <v>5053</v>
      </c>
      <c r="C1065" t="s">
        <v>5053</v>
      </c>
      <c r="D1065" t="s">
        <v>153</v>
      </c>
      <c r="E1065" t="s">
        <v>272</v>
      </c>
      <c r="F1065" t="s">
        <v>5054</v>
      </c>
      <c r="G1065" t="s">
        <v>178</v>
      </c>
      <c r="H1065" t="s">
        <v>881</v>
      </c>
      <c r="J1065" s="2">
        <v>218170</v>
      </c>
      <c r="K1065" s="2">
        <v>1000</v>
      </c>
      <c r="L1065" s="2">
        <v>21</v>
      </c>
      <c r="M1065" s="2">
        <v>0</v>
      </c>
      <c r="N1065" t="s">
        <v>883</v>
      </c>
      <c r="O1065" t="s">
        <v>881</v>
      </c>
      <c r="P1065" t="s">
        <v>158</v>
      </c>
      <c r="Q1065" t="s">
        <v>159</v>
      </c>
      <c r="U1065" t="s">
        <v>45</v>
      </c>
      <c r="V1065" t="s">
        <v>46</v>
      </c>
      <c r="W1065" t="s">
        <v>883</v>
      </c>
      <c r="X1065" t="s">
        <v>881</v>
      </c>
      <c r="Y1065" t="s">
        <v>161</v>
      </c>
      <c r="Z1065" t="s">
        <v>162</v>
      </c>
      <c r="AA1065" t="s">
        <v>49</v>
      </c>
      <c r="AB1065" t="s">
        <v>50</v>
      </c>
      <c r="AC1065" s="2">
        <v>139949.20000000001</v>
      </c>
      <c r="AD1065" t="s">
        <v>5055</v>
      </c>
      <c r="AE1065" t="s">
        <v>52</v>
      </c>
    </row>
    <row r="1066" spans="1:31" x14ac:dyDescent="0.25">
      <c r="A1066" t="s">
        <v>5056</v>
      </c>
      <c r="B1066" t="s">
        <v>5057</v>
      </c>
      <c r="C1066" t="s">
        <v>2861</v>
      </c>
      <c r="D1066" t="s">
        <v>125</v>
      </c>
      <c r="E1066" t="s">
        <v>126</v>
      </c>
      <c r="F1066" t="s">
        <v>2862</v>
      </c>
      <c r="G1066" t="s">
        <v>153</v>
      </c>
      <c r="H1066" t="s">
        <v>38</v>
      </c>
      <c r="J1066" s="2">
        <v>436340</v>
      </c>
      <c r="K1066" s="2">
        <v>2000</v>
      </c>
      <c r="L1066" s="2">
        <v>15</v>
      </c>
      <c r="M1066" s="2">
        <v>0</v>
      </c>
      <c r="N1066" t="s">
        <v>40</v>
      </c>
      <c r="O1066" t="s">
        <v>41</v>
      </c>
      <c r="P1066" t="s">
        <v>61</v>
      </c>
      <c r="Q1066" t="s">
        <v>62</v>
      </c>
      <c r="S1066" t="s">
        <v>2932</v>
      </c>
      <c r="U1066" t="s">
        <v>45</v>
      </c>
      <c r="V1066" t="s">
        <v>46</v>
      </c>
      <c r="W1066" t="s">
        <v>40</v>
      </c>
      <c r="X1066" t="s">
        <v>41</v>
      </c>
      <c r="Y1066" t="s">
        <v>47</v>
      </c>
      <c r="Z1066" t="s">
        <v>48</v>
      </c>
      <c r="AA1066" t="s">
        <v>49</v>
      </c>
      <c r="AB1066" t="s">
        <v>50</v>
      </c>
      <c r="AC1066" s="2">
        <v>365887.03</v>
      </c>
      <c r="AD1066" t="s">
        <v>5058</v>
      </c>
      <c r="AE1066" t="s">
        <v>52</v>
      </c>
    </row>
    <row r="1067" spans="1:31" x14ac:dyDescent="0.25">
      <c r="A1067" t="s">
        <v>5059</v>
      </c>
      <c r="B1067" t="s">
        <v>5060</v>
      </c>
      <c r="C1067" t="s">
        <v>5060</v>
      </c>
      <c r="D1067" t="s">
        <v>35</v>
      </c>
      <c r="E1067" t="s">
        <v>36</v>
      </c>
      <c r="F1067" t="s">
        <v>5061</v>
      </c>
      <c r="G1067" t="s">
        <v>35</v>
      </c>
      <c r="H1067" t="s">
        <v>404</v>
      </c>
      <c r="I1067" t="s">
        <v>1018</v>
      </c>
      <c r="J1067" s="2">
        <v>545425</v>
      </c>
      <c r="K1067" s="2">
        <v>2500</v>
      </c>
      <c r="L1067" s="2">
        <v>30</v>
      </c>
      <c r="M1067" s="2">
        <v>0</v>
      </c>
      <c r="N1067" t="s">
        <v>403</v>
      </c>
      <c r="O1067" t="s">
        <v>404</v>
      </c>
      <c r="P1067" t="s">
        <v>205</v>
      </c>
      <c r="Q1067" t="s">
        <v>206</v>
      </c>
      <c r="S1067" t="s">
        <v>5062</v>
      </c>
      <c r="U1067" t="s">
        <v>45</v>
      </c>
      <c r="V1067" t="s">
        <v>46</v>
      </c>
      <c r="W1067" t="s">
        <v>403</v>
      </c>
      <c r="X1067" t="s">
        <v>404</v>
      </c>
      <c r="Y1067" t="s">
        <v>161</v>
      </c>
      <c r="Z1067" t="s">
        <v>162</v>
      </c>
      <c r="AA1067" t="s">
        <v>49</v>
      </c>
      <c r="AB1067" t="s">
        <v>50</v>
      </c>
      <c r="AC1067" s="2">
        <v>108623.38</v>
      </c>
      <c r="AD1067" t="s">
        <v>5063</v>
      </c>
      <c r="AE1067" t="s">
        <v>52</v>
      </c>
    </row>
    <row r="1068" spans="1:31" x14ac:dyDescent="0.25">
      <c r="A1068" t="s">
        <v>5064</v>
      </c>
      <c r="B1068" t="s">
        <v>5065</v>
      </c>
      <c r="C1068" t="s">
        <v>5065</v>
      </c>
      <c r="D1068" t="s">
        <v>847</v>
      </c>
      <c r="E1068" t="s">
        <v>848</v>
      </c>
      <c r="F1068" t="s">
        <v>5066</v>
      </c>
      <c r="G1068" t="s">
        <v>847</v>
      </c>
      <c r="H1068" t="s">
        <v>255</v>
      </c>
      <c r="J1068" s="2">
        <v>114240</v>
      </c>
      <c r="K1068" s="2">
        <v>500</v>
      </c>
      <c r="L1068" s="2">
        <v>15</v>
      </c>
      <c r="M1068" s="2">
        <v>0</v>
      </c>
      <c r="N1068" t="s">
        <v>254</v>
      </c>
      <c r="O1068" t="s">
        <v>255</v>
      </c>
      <c r="P1068" t="s">
        <v>256</v>
      </c>
      <c r="Q1068" t="s">
        <v>255</v>
      </c>
      <c r="S1068" t="s">
        <v>5067</v>
      </c>
      <c r="U1068" t="s">
        <v>45</v>
      </c>
      <c r="V1068" t="s">
        <v>46</v>
      </c>
      <c r="W1068" t="s">
        <v>254</v>
      </c>
      <c r="X1068" t="s">
        <v>255</v>
      </c>
      <c r="Y1068" t="s">
        <v>258</v>
      </c>
      <c r="Z1068" t="s">
        <v>259</v>
      </c>
      <c r="AA1068" t="s">
        <v>49</v>
      </c>
      <c r="AB1068" t="s">
        <v>50</v>
      </c>
      <c r="AC1068" s="2">
        <v>54712.67</v>
      </c>
      <c r="AD1068" t="s">
        <v>5068</v>
      </c>
      <c r="AE1068" t="s">
        <v>52</v>
      </c>
    </row>
    <row r="1069" spans="1:31" x14ac:dyDescent="0.25">
      <c r="A1069" t="s">
        <v>5069</v>
      </c>
      <c r="B1069" t="s">
        <v>5070</v>
      </c>
      <c r="C1069" t="s">
        <v>5070</v>
      </c>
      <c r="D1069" t="s">
        <v>553</v>
      </c>
      <c r="E1069" t="s">
        <v>167</v>
      </c>
      <c r="F1069" t="s">
        <v>5071</v>
      </c>
      <c r="G1069" t="s">
        <v>553</v>
      </c>
      <c r="H1069" t="s">
        <v>1222</v>
      </c>
      <c r="J1069" s="2">
        <v>436340</v>
      </c>
      <c r="K1069" s="2">
        <v>2000</v>
      </c>
      <c r="L1069" s="2">
        <v>30</v>
      </c>
      <c r="M1069" s="2">
        <v>0</v>
      </c>
      <c r="N1069" t="s">
        <v>1221</v>
      </c>
      <c r="O1069" t="s">
        <v>1222</v>
      </c>
      <c r="P1069" t="s">
        <v>205</v>
      </c>
      <c r="Q1069" t="s">
        <v>206</v>
      </c>
      <c r="S1069" t="s">
        <v>5072</v>
      </c>
      <c r="U1069" t="s">
        <v>45</v>
      </c>
      <c r="V1069" t="s">
        <v>46</v>
      </c>
      <c r="W1069" t="s">
        <v>1221</v>
      </c>
      <c r="X1069" t="s">
        <v>1222</v>
      </c>
      <c r="Y1069" t="s">
        <v>161</v>
      </c>
      <c r="Z1069" t="s">
        <v>162</v>
      </c>
      <c r="AA1069" t="s">
        <v>49</v>
      </c>
      <c r="AB1069" t="s">
        <v>50</v>
      </c>
      <c r="AC1069" s="2">
        <v>395216.71</v>
      </c>
      <c r="AD1069" t="s">
        <v>5073</v>
      </c>
      <c r="AE1069" t="s">
        <v>52</v>
      </c>
    </row>
    <row r="1070" spans="1:31" hidden="1" x14ac:dyDescent="0.25">
      <c r="I1070" t="s">
        <v>5074</v>
      </c>
      <c r="J1070" s="2">
        <v>1000</v>
      </c>
      <c r="K1070" s="2">
        <v>0</v>
      </c>
      <c r="L1070" s="2">
        <v>1</v>
      </c>
      <c r="M1070" s="2">
        <v>0</v>
      </c>
      <c r="S1070" t="s">
        <v>5075</v>
      </c>
      <c r="U1070" t="s">
        <v>45</v>
      </c>
      <c r="V1070" t="s">
        <v>46</v>
      </c>
      <c r="W1070" t="s">
        <v>254</v>
      </c>
      <c r="X1070" t="s">
        <v>255</v>
      </c>
      <c r="Y1070" t="s">
        <v>258</v>
      </c>
      <c r="Z1070" t="s">
        <v>259</v>
      </c>
      <c r="AA1070" t="s">
        <v>49</v>
      </c>
      <c r="AC1070" s="2"/>
    </row>
    <row r="1071" spans="1:31" x14ac:dyDescent="0.25">
      <c r="A1071" s="15" t="s">
        <v>5076</v>
      </c>
      <c r="B1071" s="15" t="s">
        <v>5077</v>
      </c>
      <c r="C1071" s="15" t="s">
        <v>5077</v>
      </c>
      <c r="D1071" s="15" t="s">
        <v>55</v>
      </c>
      <c r="E1071" s="15" t="s">
        <v>56</v>
      </c>
      <c r="F1071" s="15" t="s">
        <v>5078</v>
      </c>
      <c r="H1071" s="15" t="s">
        <v>255</v>
      </c>
      <c r="I1071" t="s">
        <v>5074</v>
      </c>
      <c r="J1071" s="2">
        <v>1000</v>
      </c>
      <c r="K1071" s="2">
        <v>0</v>
      </c>
      <c r="L1071" s="2">
        <v>1</v>
      </c>
      <c r="M1071" s="2">
        <v>0</v>
      </c>
      <c r="N1071" s="15" t="s">
        <v>254</v>
      </c>
      <c r="O1071" s="15" t="s">
        <v>255</v>
      </c>
      <c r="P1071" s="15" t="s">
        <v>256</v>
      </c>
      <c r="Q1071" s="15" t="s">
        <v>255</v>
      </c>
      <c r="S1071" t="s">
        <v>5079</v>
      </c>
      <c r="U1071" t="s">
        <v>45</v>
      </c>
      <c r="V1071" t="s">
        <v>46</v>
      </c>
      <c r="W1071" t="s">
        <v>254</v>
      </c>
      <c r="X1071" t="s">
        <v>255</v>
      </c>
      <c r="Y1071" t="s">
        <v>258</v>
      </c>
      <c r="Z1071" t="s">
        <v>259</v>
      </c>
      <c r="AA1071" t="s">
        <v>49</v>
      </c>
      <c r="AB1071" s="15" t="s">
        <v>50</v>
      </c>
      <c r="AC1071" s="16">
        <v>-180246.55</v>
      </c>
      <c r="AD1071" s="15" t="s">
        <v>5080</v>
      </c>
      <c r="AE1071" s="15" t="s">
        <v>115</v>
      </c>
    </row>
    <row r="1072" spans="1:31" x14ac:dyDescent="0.25">
      <c r="A1072" t="s">
        <v>5081</v>
      </c>
      <c r="B1072" t="s">
        <v>5082</v>
      </c>
      <c r="C1072" t="s">
        <v>5082</v>
      </c>
      <c r="D1072" t="s">
        <v>35</v>
      </c>
      <c r="E1072" t="s">
        <v>36</v>
      </c>
      <c r="F1072" t="s">
        <v>5083</v>
      </c>
      <c r="H1072" t="s">
        <v>1360</v>
      </c>
      <c r="I1072" t="s">
        <v>5074</v>
      </c>
      <c r="J1072" s="2">
        <v>21817</v>
      </c>
      <c r="K1072" s="2">
        <v>100</v>
      </c>
      <c r="L1072" s="2">
        <v>1</v>
      </c>
      <c r="M1072" s="2">
        <v>0</v>
      </c>
      <c r="N1072" t="s">
        <v>1362</v>
      </c>
      <c r="O1072" t="s">
        <v>1360</v>
      </c>
      <c r="P1072" t="s">
        <v>1363</v>
      </c>
      <c r="Q1072" t="s">
        <v>1364</v>
      </c>
      <c r="S1072" t="s">
        <v>5084</v>
      </c>
      <c r="U1072" t="s">
        <v>45</v>
      </c>
      <c r="V1072" t="s">
        <v>46</v>
      </c>
      <c r="W1072" t="s">
        <v>1362</v>
      </c>
      <c r="X1072" t="s">
        <v>1360</v>
      </c>
      <c r="Y1072" t="s">
        <v>1215</v>
      </c>
      <c r="Z1072" t="s">
        <v>1216</v>
      </c>
      <c r="AA1072" t="s">
        <v>49</v>
      </c>
      <c r="AB1072" t="s">
        <v>50</v>
      </c>
      <c r="AC1072" s="2">
        <v>8429.9699999999993</v>
      </c>
      <c r="AD1072" t="s">
        <v>5085</v>
      </c>
      <c r="AE1072" t="s">
        <v>115</v>
      </c>
    </row>
    <row r="1073" spans="1:31" x14ac:dyDescent="0.25">
      <c r="A1073" t="s">
        <v>5086</v>
      </c>
      <c r="B1073" t="s">
        <v>5087</v>
      </c>
      <c r="C1073" t="s">
        <v>5087</v>
      </c>
      <c r="D1073" t="s">
        <v>847</v>
      </c>
      <c r="E1073" t="s">
        <v>848</v>
      </c>
      <c r="F1073" t="s">
        <v>1580</v>
      </c>
      <c r="G1073" t="s">
        <v>344</v>
      </c>
      <c r="H1073" t="s">
        <v>1607</v>
      </c>
      <c r="J1073" s="2">
        <v>654510</v>
      </c>
      <c r="K1073" s="2">
        <v>3000</v>
      </c>
      <c r="L1073" s="2">
        <v>30</v>
      </c>
      <c r="M1073" s="2">
        <v>0</v>
      </c>
      <c r="N1073" t="s">
        <v>1221</v>
      </c>
      <c r="O1073" t="s">
        <v>1222</v>
      </c>
      <c r="P1073" t="s">
        <v>205</v>
      </c>
      <c r="Q1073" t="s">
        <v>206</v>
      </c>
      <c r="S1073" t="s">
        <v>5088</v>
      </c>
      <c r="U1073" t="s">
        <v>45</v>
      </c>
      <c r="V1073" t="s">
        <v>46</v>
      </c>
      <c r="W1073" t="s">
        <v>1221</v>
      </c>
      <c r="X1073" t="s">
        <v>1222</v>
      </c>
      <c r="Y1073" t="s">
        <v>161</v>
      </c>
      <c r="Z1073" t="s">
        <v>162</v>
      </c>
      <c r="AA1073" t="s">
        <v>49</v>
      </c>
      <c r="AB1073" t="s">
        <v>50</v>
      </c>
      <c r="AC1073" s="2">
        <v>361732.45</v>
      </c>
      <c r="AD1073" t="s">
        <v>5089</v>
      </c>
      <c r="AE1073" t="s">
        <v>115</v>
      </c>
    </row>
    <row r="1074" spans="1:31" hidden="1" x14ac:dyDescent="0.25">
      <c r="I1074" t="s">
        <v>5074</v>
      </c>
      <c r="J1074" s="2">
        <v>1000</v>
      </c>
      <c r="K1074" s="2">
        <v>0</v>
      </c>
      <c r="L1074" s="2">
        <v>15</v>
      </c>
      <c r="M1074" s="2">
        <v>0</v>
      </c>
      <c r="S1074" t="s">
        <v>5090</v>
      </c>
      <c r="U1074" t="s">
        <v>45</v>
      </c>
      <c r="V1074" t="s">
        <v>46</v>
      </c>
      <c r="W1074" t="s">
        <v>254</v>
      </c>
      <c r="X1074" t="s">
        <v>255</v>
      </c>
      <c r="Y1074" t="s">
        <v>137</v>
      </c>
      <c r="Z1074" t="s">
        <v>717</v>
      </c>
      <c r="AA1074" t="s">
        <v>49</v>
      </c>
      <c r="AC1074" s="2"/>
    </row>
    <row r="1075" spans="1:31" x14ac:dyDescent="0.25">
      <c r="A1075" s="15" t="s">
        <v>5091</v>
      </c>
      <c r="B1075" s="15" t="s">
        <v>5092</v>
      </c>
      <c r="C1075" s="15" t="s">
        <v>5092</v>
      </c>
      <c r="D1075" s="15" t="s">
        <v>55</v>
      </c>
      <c r="E1075" s="15" t="s">
        <v>56</v>
      </c>
      <c r="F1075" s="15" t="s">
        <v>5093</v>
      </c>
      <c r="H1075" s="15" t="s">
        <v>255</v>
      </c>
      <c r="I1075" t="s">
        <v>5074</v>
      </c>
      <c r="J1075" s="2">
        <v>1000</v>
      </c>
      <c r="K1075" s="2">
        <v>0</v>
      </c>
      <c r="L1075" s="2">
        <v>1</v>
      </c>
      <c r="M1075" s="2">
        <v>0</v>
      </c>
      <c r="N1075" s="15" t="s">
        <v>254</v>
      </c>
      <c r="O1075" s="15" t="s">
        <v>255</v>
      </c>
      <c r="P1075" s="15" t="s">
        <v>256</v>
      </c>
      <c r="Q1075" s="15" t="s">
        <v>255</v>
      </c>
      <c r="S1075" t="s">
        <v>5094</v>
      </c>
      <c r="U1075" t="s">
        <v>45</v>
      </c>
      <c r="V1075" t="s">
        <v>46</v>
      </c>
      <c r="W1075" t="s">
        <v>254</v>
      </c>
      <c r="X1075" t="s">
        <v>255</v>
      </c>
      <c r="Y1075" t="s">
        <v>258</v>
      </c>
      <c r="Z1075" t="s">
        <v>259</v>
      </c>
      <c r="AA1075" t="s">
        <v>49</v>
      </c>
      <c r="AB1075" s="15" t="s">
        <v>50</v>
      </c>
      <c r="AC1075" s="16">
        <v>-9861.16</v>
      </c>
      <c r="AD1075" s="15" t="s">
        <v>5095</v>
      </c>
      <c r="AE1075" s="15" t="s">
        <v>115</v>
      </c>
    </row>
    <row r="1076" spans="1:31" hidden="1" x14ac:dyDescent="0.25">
      <c r="I1076" t="s">
        <v>5074</v>
      </c>
      <c r="J1076" s="2">
        <v>21817</v>
      </c>
      <c r="K1076" s="2">
        <v>100</v>
      </c>
      <c r="L1076" s="2">
        <v>1</v>
      </c>
      <c r="M1076" s="2">
        <v>0</v>
      </c>
      <c r="S1076" t="s">
        <v>5096</v>
      </c>
      <c r="U1076" t="s">
        <v>45</v>
      </c>
      <c r="V1076" t="s">
        <v>46</v>
      </c>
      <c r="W1076" t="s">
        <v>80</v>
      </c>
      <c r="X1076" t="s">
        <v>81</v>
      </c>
      <c r="Y1076" t="s">
        <v>85</v>
      </c>
      <c r="Z1076" t="s">
        <v>86</v>
      </c>
      <c r="AA1076" t="s">
        <v>49</v>
      </c>
      <c r="AC1076" s="2"/>
    </row>
    <row r="1077" spans="1:31" hidden="1" x14ac:dyDescent="0.25">
      <c r="I1077" t="s">
        <v>5097</v>
      </c>
      <c r="J1077" s="2">
        <v>1000</v>
      </c>
      <c r="K1077" s="2">
        <v>0</v>
      </c>
      <c r="L1077" s="2">
        <v>15</v>
      </c>
      <c r="M1077" s="2">
        <v>0</v>
      </c>
      <c r="S1077" t="s">
        <v>5098</v>
      </c>
      <c r="U1077" t="s">
        <v>45</v>
      </c>
      <c r="V1077" t="s">
        <v>46</v>
      </c>
      <c r="W1077" t="s">
        <v>254</v>
      </c>
      <c r="X1077" t="s">
        <v>255</v>
      </c>
      <c r="Y1077" t="s">
        <v>258</v>
      </c>
      <c r="Z1077" t="s">
        <v>259</v>
      </c>
      <c r="AA1077" t="s">
        <v>49</v>
      </c>
      <c r="AC1077" s="2"/>
    </row>
    <row r="1078" spans="1:31" hidden="1" x14ac:dyDescent="0.25">
      <c r="I1078" t="s">
        <v>5074</v>
      </c>
      <c r="J1078" s="2">
        <v>1000</v>
      </c>
      <c r="K1078" s="2">
        <v>0</v>
      </c>
      <c r="L1078" s="2">
        <v>15</v>
      </c>
      <c r="M1078" s="2">
        <v>0</v>
      </c>
      <c r="S1078" t="s">
        <v>5099</v>
      </c>
      <c r="U1078" t="s">
        <v>45</v>
      </c>
      <c r="V1078" t="s">
        <v>46</v>
      </c>
      <c r="W1078" t="s">
        <v>254</v>
      </c>
      <c r="X1078" t="s">
        <v>255</v>
      </c>
      <c r="Y1078" t="s">
        <v>137</v>
      </c>
      <c r="Z1078" t="s">
        <v>717</v>
      </c>
      <c r="AA1078" t="s">
        <v>49</v>
      </c>
      <c r="AC1078" s="2"/>
    </row>
    <row r="1079" spans="1:31" hidden="1" x14ac:dyDescent="0.25">
      <c r="I1079" t="s">
        <v>5097</v>
      </c>
      <c r="J1079" s="2">
        <v>1000</v>
      </c>
      <c r="K1079" s="2">
        <v>0</v>
      </c>
      <c r="L1079" s="2">
        <v>1</v>
      </c>
      <c r="M1079" s="2">
        <v>0</v>
      </c>
      <c r="S1079" t="s">
        <v>5100</v>
      </c>
      <c r="U1079" t="s">
        <v>45</v>
      </c>
      <c r="V1079" t="s">
        <v>46</v>
      </c>
      <c r="W1079" t="s">
        <v>254</v>
      </c>
      <c r="X1079" t="s">
        <v>255</v>
      </c>
      <c r="Y1079" t="s">
        <v>137</v>
      </c>
      <c r="Z1079" t="s">
        <v>717</v>
      </c>
      <c r="AA1079" t="s">
        <v>49</v>
      </c>
      <c r="AC1079" s="2"/>
    </row>
    <row r="1080" spans="1:31" hidden="1" x14ac:dyDescent="0.25">
      <c r="I1080" t="s">
        <v>5097</v>
      </c>
      <c r="J1080" s="2">
        <v>1000</v>
      </c>
      <c r="K1080" s="2">
        <v>0</v>
      </c>
      <c r="L1080" s="2">
        <v>1</v>
      </c>
      <c r="M1080" s="2">
        <v>0</v>
      </c>
      <c r="S1080" t="s">
        <v>5101</v>
      </c>
      <c r="U1080" t="s">
        <v>45</v>
      </c>
      <c r="V1080" t="s">
        <v>46</v>
      </c>
      <c r="W1080" t="s">
        <v>254</v>
      </c>
      <c r="X1080" t="s">
        <v>255</v>
      </c>
      <c r="Y1080" t="s">
        <v>137</v>
      </c>
      <c r="Z1080" t="s">
        <v>717</v>
      </c>
      <c r="AA1080" t="s">
        <v>49</v>
      </c>
      <c r="AC1080" s="2"/>
    </row>
    <row r="1081" spans="1:31" x14ac:dyDescent="0.25">
      <c r="A1081" s="15" t="s">
        <v>5102</v>
      </c>
      <c r="B1081" s="15" t="s">
        <v>5103</v>
      </c>
      <c r="C1081" s="15" t="s">
        <v>5103</v>
      </c>
      <c r="D1081" s="15" t="s">
        <v>55</v>
      </c>
      <c r="E1081" s="15" t="s">
        <v>56</v>
      </c>
      <c r="F1081" s="15" t="s">
        <v>5104</v>
      </c>
      <c r="H1081" s="15" t="s">
        <v>1430</v>
      </c>
      <c r="I1081" t="s">
        <v>5097</v>
      </c>
      <c r="J1081" s="2">
        <v>21817</v>
      </c>
      <c r="K1081" s="2">
        <v>100</v>
      </c>
      <c r="L1081" s="2">
        <v>1</v>
      </c>
      <c r="M1081" s="2">
        <v>0</v>
      </c>
      <c r="N1081" s="15" t="s">
        <v>1427</v>
      </c>
      <c r="O1081" s="15" t="s">
        <v>1428</v>
      </c>
      <c r="P1081" s="15" t="s">
        <v>1363</v>
      </c>
      <c r="Q1081" s="15" t="s">
        <v>1364</v>
      </c>
      <c r="S1081" t="s">
        <v>5105</v>
      </c>
      <c r="U1081" t="s">
        <v>45</v>
      </c>
      <c r="V1081" t="s">
        <v>46</v>
      </c>
      <c r="W1081" t="s">
        <v>1427</v>
      </c>
      <c r="X1081" t="s">
        <v>1430</v>
      </c>
      <c r="Y1081" t="s">
        <v>85</v>
      </c>
      <c r="Z1081" t="s">
        <v>86</v>
      </c>
      <c r="AA1081" t="s">
        <v>49</v>
      </c>
      <c r="AB1081" s="15" t="s">
        <v>50</v>
      </c>
      <c r="AC1081" s="16">
        <v>11486.3</v>
      </c>
      <c r="AD1081" s="15" t="s">
        <v>5106</v>
      </c>
      <c r="AE1081" s="15" t="s">
        <v>115</v>
      </c>
    </row>
    <row r="1082" spans="1:31" x14ac:dyDescent="0.25">
      <c r="A1082" t="s">
        <v>5107</v>
      </c>
      <c r="B1082" t="s">
        <v>5108</v>
      </c>
      <c r="C1082" t="s">
        <v>5108</v>
      </c>
      <c r="D1082" t="s">
        <v>264</v>
      </c>
      <c r="E1082" t="s">
        <v>134</v>
      </c>
      <c r="F1082" t="s">
        <v>5109</v>
      </c>
      <c r="H1082" t="s">
        <v>5110</v>
      </c>
      <c r="I1082" t="s">
        <v>5111</v>
      </c>
      <c r="J1082" s="2">
        <v>1000</v>
      </c>
      <c r="K1082" s="2">
        <v>0</v>
      </c>
      <c r="L1082" s="2">
        <v>1</v>
      </c>
      <c r="M1082" s="2">
        <v>0</v>
      </c>
      <c r="N1082" t="s">
        <v>5112</v>
      </c>
      <c r="O1082" t="s">
        <v>5110</v>
      </c>
      <c r="P1082" t="s">
        <v>256</v>
      </c>
      <c r="Q1082" t="s">
        <v>255</v>
      </c>
      <c r="S1082" t="s">
        <v>5113</v>
      </c>
      <c r="U1082" t="s">
        <v>45</v>
      </c>
      <c r="V1082" t="s">
        <v>46</v>
      </c>
      <c r="W1082" t="s">
        <v>5112</v>
      </c>
      <c r="X1082" t="s">
        <v>5110</v>
      </c>
      <c r="Y1082" t="s">
        <v>137</v>
      </c>
      <c r="Z1082" t="s">
        <v>717</v>
      </c>
      <c r="AA1082" t="s">
        <v>49</v>
      </c>
      <c r="AB1082" t="s">
        <v>50</v>
      </c>
      <c r="AC1082" s="2">
        <v>-6824.24</v>
      </c>
      <c r="AD1082" t="s">
        <v>5114</v>
      </c>
    </row>
    <row r="1083" spans="1:31" x14ac:dyDescent="0.25">
      <c r="A1083" t="s">
        <v>5115</v>
      </c>
      <c r="B1083" t="s">
        <v>5116</v>
      </c>
      <c r="C1083" t="s">
        <v>5116</v>
      </c>
      <c r="D1083" t="s">
        <v>35</v>
      </c>
      <c r="E1083" t="s">
        <v>36</v>
      </c>
      <c r="F1083" t="s">
        <v>5117</v>
      </c>
      <c r="G1083" t="s">
        <v>35</v>
      </c>
      <c r="I1083" t="s">
        <v>5118</v>
      </c>
      <c r="J1083" s="2">
        <v>160481</v>
      </c>
      <c r="K1083" s="2">
        <v>675</v>
      </c>
      <c r="L1083" s="2">
        <v>15</v>
      </c>
      <c r="M1083" s="2">
        <v>0</v>
      </c>
      <c r="N1083" t="s">
        <v>5119</v>
      </c>
      <c r="O1083" t="s">
        <v>1216</v>
      </c>
      <c r="P1083" t="s">
        <v>1421</v>
      </c>
      <c r="Q1083" t="s">
        <v>1422</v>
      </c>
      <c r="S1083" t="s">
        <v>5120</v>
      </c>
      <c r="U1083" t="s">
        <v>45</v>
      </c>
      <c r="V1083" t="s">
        <v>46</v>
      </c>
      <c r="W1083" t="s">
        <v>5119</v>
      </c>
      <c r="X1083" t="s">
        <v>1216</v>
      </c>
      <c r="Y1083" t="s">
        <v>1215</v>
      </c>
      <c r="Z1083" t="s">
        <v>1216</v>
      </c>
      <c r="AA1083" t="s">
        <v>49</v>
      </c>
      <c r="AB1083" t="s">
        <v>50</v>
      </c>
      <c r="AC1083" s="2">
        <v>61697.7</v>
      </c>
      <c r="AD1083" t="s">
        <v>5121</v>
      </c>
      <c r="AE1083" t="s">
        <v>52</v>
      </c>
    </row>
    <row r="1084" spans="1:31" hidden="1" x14ac:dyDescent="0.25">
      <c r="I1084" t="s">
        <v>5122</v>
      </c>
      <c r="J1084" s="2">
        <v>21817</v>
      </c>
      <c r="K1084" s="2">
        <v>100</v>
      </c>
      <c r="L1084" s="2">
        <v>1</v>
      </c>
      <c r="M1084" s="2">
        <v>0</v>
      </c>
      <c r="S1084" t="s">
        <v>5123</v>
      </c>
      <c r="U1084" t="s">
        <v>45</v>
      </c>
      <c r="V1084" t="s">
        <v>46</v>
      </c>
      <c r="W1084" t="s">
        <v>1362</v>
      </c>
      <c r="X1084" t="s">
        <v>1360</v>
      </c>
      <c r="Y1084" t="s">
        <v>1215</v>
      </c>
      <c r="Z1084" t="s">
        <v>1216</v>
      </c>
      <c r="AA1084" t="s">
        <v>49</v>
      </c>
      <c r="AC1084" s="2"/>
    </row>
    <row r="1085" spans="1:31" x14ac:dyDescent="0.25">
      <c r="A1085" t="s">
        <v>5124</v>
      </c>
      <c r="B1085" t="s">
        <v>5125</v>
      </c>
      <c r="C1085" t="s">
        <v>5125</v>
      </c>
      <c r="D1085" t="s">
        <v>297</v>
      </c>
      <c r="E1085" t="s">
        <v>167</v>
      </c>
      <c r="F1085" t="s">
        <v>5126</v>
      </c>
      <c r="G1085" t="s">
        <v>3402</v>
      </c>
      <c r="H1085" t="s">
        <v>2920</v>
      </c>
      <c r="I1085" t="s">
        <v>5127</v>
      </c>
      <c r="J1085" s="2">
        <v>218170</v>
      </c>
      <c r="K1085" s="2">
        <v>1000</v>
      </c>
      <c r="L1085" s="2">
        <v>21</v>
      </c>
      <c r="M1085" s="2">
        <v>0</v>
      </c>
      <c r="N1085" t="s">
        <v>2919</v>
      </c>
      <c r="O1085" t="s">
        <v>2920</v>
      </c>
      <c r="P1085" t="s">
        <v>304</v>
      </c>
      <c r="Q1085" t="s">
        <v>72</v>
      </c>
      <c r="S1085" t="s">
        <v>5128</v>
      </c>
      <c r="U1085" t="s">
        <v>45</v>
      </c>
      <c r="V1085" t="s">
        <v>46</v>
      </c>
      <c r="W1085" t="s">
        <v>2919</v>
      </c>
      <c r="X1085" t="s">
        <v>2920</v>
      </c>
      <c r="Y1085" t="s">
        <v>72</v>
      </c>
      <c r="Z1085" t="s">
        <v>68</v>
      </c>
      <c r="AA1085" t="s">
        <v>49</v>
      </c>
      <c r="AB1085" t="s">
        <v>50</v>
      </c>
      <c r="AC1085" s="2">
        <v>215074.28</v>
      </c>
      <c r="AD1085" t="s">
        <v>5129</v>
      </c>
    </row>
    <row r="1086" spans="1:31" x14ac:dyDescent="0.25">
      <c r="A1086" t="s">
        <v>5130</v>
      </c>
      <c r="B1086" t="s">
        <v>5131</v>
      </c>
      <c r="C1086" t="s">
        <v>5131</v>
      </c>
      <c r="D1086" t="s">
        <v>569</v>
      </c>
      <c r="E1086" t="s">
        <v>570</v>
      </c>
      <c r="F1086" t="s">
        <v>5132</v>
      </c>
      <c r="G1086" t="s">
        <v>1467</v>
      </c>
      <c r="H1086" t="s">
        <v>4798</v>
      </c>
      <c r="I1086" t="s">
        <v>5133</v>
      </c>
      <c r="J1086" s="2">
        <v>436340</v>
      </c>
      <c r="K1086" s="2">
        <v>2000</v>
      </c>
      <c r="L1086" s="2">
        <v>15</v>
      </c>
      <c r="M1086" s="2">
        <v>0</v>
      </c>
      <c r="N1086" t="s">
        <v>4797</v>
      </c>
      <c r="O1086" t="s">
        <v>4798</v>
      </c>
      <c r="P1086" t="s">
        <v>1421</v>
      </c>
      <c r="Q1086" t="s">
        <v>1422</v>
      </c>
      <c r="S1086" t="s">
        <v>5134</v>
      </c>
      <c r="U1086" t="s">
        <v>45</v>
      </c>
      <c r="V1086" t="s">
        <v>46</v>
      </c>
      <c r="W1086" t="s">
        <v>4797</v>
      </c>
      <c r="X1086" t="s">
        <v>4798</v>
      </c>
      <c r="Y1086" t="s">
        <v>1215</v>
      </c>
      <c r="Z1086" t="s">
        <v>1216</v>
      </c>
      <c r="AA1086" t="s">
        <v>49</v>
      </c>
      <c r="AB1086" t="s">
        <v>50</v>
      </c>
      <c r="AC1086" s="2">
        <v>296030.88</v>
      </c>
      <c r="AD1086" t="s">
        <v>5135</v>
      </c>
    </row>
    <row r="1087" spans="1:31" x14ac:dyDescent="0.25">
      <c r="A1087" t="s">
        <v>5136</v>
      </c>
      <c r="B1087" t="s">
        <v>5137</v>
      </c>
      <c r="C1087" t="s">
        <v>5137</v>
      </c>
      <c r="D1087" t="s">
        <v>125</v>
      </c>
      <c r="E1087" t="s">
        <v>126</v>
      </c>
      <c r="F1087" t="s">
        <v>5138</v>
      </c>
      <c r="G1087" t="s">
        <v>153</v>
      </c>
      <c r="H1087" t="s">
        <v>1123</v>
      </c>
      <c r="I1087" t="s">
        <v>5139</v>
      </c>
      <c r="J1087" s="2">
        <v>741900</v>
      </c>
      <c r="K1087" s="2">
        <v>3000</v>
      </c>
      <c r="L1087" s="2">
        <v>30</v>
      </c>
      <c r="M1087" s="2">
        <v>0</v>
      </c>
      <c r="N1087" t="s">
        <v>1125</v>
      </c>
      <c r="O1087" t="s">
        <v>1123</v>
      </c>
      <c r="P1087" t="s">
        <v>158</v>
      </c>
      <c r="Q1087" t="s">
        <v>159</v>
      </c>
      <c r="S1087" t="s">
        <v>5140</v>
      </c>
      <c r="U1087" t="s">
        <v>45</v>
      </c>
      <c r="V1087" t="s">
        <v>46</v>
      </c>
      <c r="W1087" t="s">
        <v>1125</v>
      </c>
      <c r="X1087" t="s">
        <v>1123</v>
      </c>
      <c r="Y1087" t="s">
        <v>161</v>
      </c>
      <c r="Z1087" t="s">
        <v>162</v>
      </c>
      <c r="AA1087" t="s">
        <v>49</v>
      </c>
      <c r="AB1087" t="s">
        <v>50</v>
      </c>
      <c r="AC1087" s="2">
        <v>430500.67</v>
      </c>
      <c r="AD1087" t="s">
        <v>5141</v>
      </c>
      <c r="AE1087" t="s">
        <v>52</v>
      </c>
    </row>
    <row r="1088" spans="1:31" hidden="1" x14ac:dyDescent="0.25">
      <c r="A1088" t="s">
        <v>5142</v>
      </c>
      <c r="B1088" t="s">
        <v>5143</v>
      </c>
      <c r="C1088" t="s">
        <v>5143</v>
      </c>
      <c r="F1088" t="s">
        <v>5144</v>
      </c>
      <c r="H1088" t="s">
        <v>2844</v>
      </c>
      <c r="J1088" s="2">
        <v>21817</v>
      </c>
      <c r="K1088" s="2">
        <v>100</v>
      </c>
      <c r="L1088" s="2">
        <v>1</v>
      </c>
      <c r="M1088" s="2">
        <v>0</v>
      </c>
      <c r="N1088" t="s">
        <v>2846</v>
      </c>
      <c r="O1088" t="s">
        <v>2844</v>
      </c>
      <c r="P1088" t="s">
        <v>1363</v>
      </c>
      <c r="Q1088" t="s">
        <v>1364</v>
      </c>
      <c r="S1088" t="s">
        <v>5145</v>
      </c>
      <c r="U1088" t="s">
        <v>45</v>
      </c>
      <c r="V1088" t="s">
        <v>46</v>
      </c>
      <c r="W1088" t="s">
        <v>2846</v>
      </c>
      <c r="X1088" t="s">
        <v>2844</v>
      </c>
      <c r="Y1088" t="s">
        <v>137</v>
      </c>
      <c r="Z1088" t="s">
        <v>717</v>
      </c>
      <c r="AA1088" t="s">
        <v>49</v>
      </c>
      <c r="AB1088" t="s">
        <v>50</v>
      </c>
      <c r="AC1088" s="2">
        <v>21817</v>
      </c>
      <c r="AD1088" t="s">
        <v>64</v>
      </c>
    </row>
    <row r="1089" spans="1:31" x14ac:dyDescent="0.25">
      <c r="A1089" t="s">
        <v>5146</v>
      </c>
      <c r="B1089" t="s">
        <v>5147</v>
      </c>
      <c r="C1089" t="s">
        <v>5147</v>
      </c>
      <c r="D1089" t="s">
        <v>1169</v>
      </c>
      <c r="E1089" t="s">
        <v>77</v>
      </c>
      <c r="F1089" t="s">
        <v>5148</v>
      </c>
      <c r="H1089" t="s">
        <v>5149</v>
      </c>
      <c r="I1089" t="s">
        <v>5150</v>
      </c>
      <c r="J1089" s="2">
        <v>1000</v>
      </c>
      <c r="K1089" s="2">
        <v>0</v>
      </c>
      <c r="L1089" s="2">
        <v>1</v>
      </c>
      <c r="M1089" s="2">
        <v>0</v>
      </c>
      <c r="N1089" t="s">
        <v>5151</v>
      </c>
      <c r="O1089" t="s">
        <v>5152</v>
      </c>
      <c r="P1089" t="s">
        <v>256</v>
      </c>
      <c r="Q1089" t="s">
        <v>255</v>
      </c>
      <c r="S1089" t="s">
        <v>5153</v>
      </c>
      <c r="U1089" t="s">
        <v>45</v>
      </c>
      <c r="V1089" t="s">
        <v>46</v>
      </c>
      <c r="W1089" t="s">
        <v>5151</v>
      </c>
      <c r="X1089" t="s">
        <v>5152</v>
      </c>
      <c r="Y1089" t="s">
        <v>137</v>
      </c>
      <c r="Z1089" t="s">
        <v>717</v>
      </c>
      <c r="AA1089" t="s">
        <v>49</v>
      </c>
      <c r="AB1089" t="s">
        <v>50</v>
      </c>
      <c r="AC1089" s="2">
        <v>-1589.31</v>
      </c>
      <c r="AD1089" t="s">
        <v>5154</v>
      </c>
      <c r="AE1089" t="s">
        <v>115</v>
      </c>
    </row>
    <row r="1090" spans="1:31" x14ac:dyDescent="0.25">
      <c r="A1090" t="s">
        <v>5155</v>
      </c>
      <c r="B1090" t="s">
        <v>5156</v>
      </c>
      <c r="C1090" t="s">
        <v>5156</v>
      </c>
      <c r="D1090" t="s">
        <v>1941</v>
      </c>
      <c r="E1090" t="s">
        <v>224</v>
      </c>
      <c r="F1090" t="s">
        <v>5157</v>
      </c>
      <c r="H1090" t="s">
        <v>1222</v>
      </c>
      <c r="I1090" t="s">
        <v>5158</v>
      </c>
      <c r="J1090" s="2">
        <v>43634</v>
      </c>
      <c r="K1090" s="2">
        <v>200</v>
      </c>
      <c r="L1090" s="2">
        <v>7</v>
      </c>
      <c r="M1090" s="2">
        <v>0</v>
      </c>
      <c r="N1090" t="s">
        <v>1221</v>
      </c>
      <c r="O1090" t="s">
        <v>1222</v>
      </c>
      <c r="P1090" t="s">
        <v>205</v>
      </c>
      <c r="Q1090" t="s">
        <v>206</v>
      </c>
      <c r="S1090" t="s">
        <v>5159</v>
      </c>
      <c r="U1090" t="s">
        <v>45</v>
      </c>
      <c r="V1090" t="s">
        <v>46</v>
      </c>
      <c r="W1090" t="s">
        <v>1221</v>
      </c>
      <c r="X1090" t="s">
        <v>1222</v>
      </c>
      <c r="Y1090" t="s">
        <v>161</v>
      </c>
      <c r="Z1090" t="s">
        <v>162</v>
      </c>
      <c r="AA1090" t="s">
        <v>49</v>
      </c>
      <c r="AB1090" t="s">
        <v>50</v>
      </c>
      <c r="AC1090" s="2">
        <v>43634</v>
      </c>
      <c r="AD1090" t="s">
        <v>64</v>
      </c>
    </row>
    <row r="1091" spans="1:31" hidden="1" x14ac:dyDescent="0.25">
      <c r="I1091" t="s">
        <v>5160</v>
      </c>
      <c r="J1091" s="2">
        <v>21817</v>
      </c>
      <c r="K1091" s="2">
        <v>100</v>
      </c>
      <c r="L1091" s="2">
        <v>1</v>
      </c>
      <c r="M1091" s="2">
        <v>0</v>
      </c>
      <c r="S1091" t="s">
        <v>5161</v>
      </c>
      <c r="U1091" t="s">
        <v>45</v>
      </c>
      <c r="V1091" t="s">
        <v>46</v>
      </c>
      <c r="W1091" t="s">
        <v>4412</v>
      </c>
      <c r="X1091" t="s">
        <v>4413</v>
      </c>
      <c r="Y1091" t="s">
        <v>92</v>
      </c>
      <c r="Z1091" t="s">
        <v>94</v>
      </c>
      <c r="AA1091" t="s">
        <v>49</v>
      </c>
      <c r="AC1091" s="2"/>
    </row>
    <row r="1092" spans="1:31" hidden="1" x14ac:dyDescent="0.25">
      <c r="I1092" t="s">
        <v>5162</v>
      </c>
      <c r="J1092" s="2">
        <v>21817</v>
      </c>
      <c r="K1092" s="2">
        <v>100</v>
      </c>
      <c r="L1092" s="2">
        <v>1</v>
      </c>
      <c r="M1092" s="2">
        <v>0</v>
      </c>
      <c r="S1092" t="s">
        <v>5163</v>
      </c>
      <c r="U1092" t="s">
        <v>45</v>
      </c>
      <c r="V1092" t="s">
        <v>46</v>
      </c>
      <c r="W1092" t="s">
        <v>3232</v>
      </c>
      <c r="X1092" t="s">
        <v>3233</v>
      </c>
      <c r="Y1092" t="s">
        <v>1215</v>
      </c>
      <c r="Z1092" t="s">
        <v>1216</v>
      </c>
      <c r="AA1092" t="s">
        <v>49</v>
      </c>
      <c r="AC1092" s="2"/>
    </row>
    <row r="1093" spans="1:31" x14ac:dyDescent="0.25">
      <c r="A1093" t="s">
        <v>5164</v>
      </c>
      <c r="B1093" t="s">
        <v>5165</v>
      </c>
      <c r="C1093" t="s">
        <v>5165</v>
      </c>
      <c r="D1093" t="s">
        <v>153</v>
      </c>
      <c r="E1093" t="s">
        <v>272</v>
      </c>
      <c r="F1093" t="s">
        <v>5166</v>
      </c>
      <c r="G1093" t="s">
        <v>153</v>
      </c>
      <c r="H1093" t="s">
        <v>60</v>
      </c>
      <c r="J1093" s="2">
        <v>338180</v>
      </c>
      <c r="K1093" s="2">
        <v>1510</v>
      </c>
      <c r="L1093" s="2">
        <v>15</v>
      </c>
      <c r="M1093" s="2">
        <v>0</v>
      </c>
      <c r="N1093" t="s">
        <v>59</v>
      </c>
      <c r="O1093" t="s">
        <v>60</v>
      </c>
      <c r="P1093" t="s">
        <v>61</v>
      </c>
      <c r="Q1093" t="s">
        <v>62</v>
      </c>
      <c r="S1093" t="s">
        <v>5167</v>
      </c>
      <c r="U1093" t="s">
        <v>45</v>
      </c>
      <c r="V1093" t="s">
        <v>46</v>
      </c>
      <c r="W1093" t="s">
        <v>59</v>
      </c>
      <c r="X1093" t="s">
        <v>60</v>
      </c>
      <c r="Y1093" t="s">
        <v>47</v>
      </c>
      <c r="Z1093" t="s">
        <v>48</v>
      </c>
      <c r="AA1093" t="s">
        <v>49</v>
      </c>
      <c r="AB1093" t="s">
        <v>50</v>
      </c>
      <c r="AC1093" s="2">
        <v>250389.27</v>
      </c>
      <c r="AD1093" t="s">
        <v>5168</v>
      </c>
      <c r="AE1093" t="s">
        <v>52</v>
      </c>
    </row>
    <row r="1094" spans="1:31" hidden="1" x14ac:dyDescent="0.25">
      <c r="J1094" s="2">
        <v>21817</v>
      </c>
      <c r="K1094" s="2">
        <v>100</v>
      </c>
      <c r="L1094" s="2">
        <v>1</v>
      </c>
      <c r="M1094" s="2">
        <v>0</v>
      </c>
      <c r="S1094" t="s">
        <v>5169</v>
      </c>
      <c r="U1094" t="s">
        <v>45</v>
      </c>
      <c r="V1094" t="s">
        <v>46</v>
      </c>
      <c r="W1094" t="s">
        <v>1221</v>
      </c>
      <c r="X1094" t="s">
        <v>1222</v>
      </c>
      <c r="Y1094" t="s">
        <v>161</v>
      </c>
      <c r="Z1094" t="s">
        <v>162</v>
      </c>
      <c r="AA1094" t="s">
        <v>49</v>
      </c>
      <c r="AC1094" s="2"/>
    </row>
    <row r="1095" spans="1:31" x14ac:dyDescent="0.25">
      <c r="A1095" t="s">
        <v>5170</v>
      </c>
      <c r="B1095" t="s">
        <v>5171</v>
      </c>
      <c r="C1095" t="s">
        <v>5171</v>
      </c>
      <c r="D1095" t="s">
        <v>153</v>
      </c>
      <c r="E1095" t="s">
        <v>272</v>
      </c>
      <c r="F1095" t="s">
        <v>5172</v>
      </c>
      <c r="G1095" t="s">
        <v>344</v>
      </c>
      <c r="H1095" t="s">
        <v>1123</v>
      </c>
      <c r="I1095" t="s">
        <v>5173</v>
      </c>
      <c r="J1095" s="2">
        <v>654510</v>
      </c>
      <c r="K1095" s="2">
        <v>3000</v>
      </c>
      <c r="L1095" s="2">
        <v>15</v>
      </c>
      <c r="M1095" s="2">
        <v>0</v>
      </c>
      <c r="N1095" t="s">
        <v>1125</v>
      </c>
      <c r="O1095" t="s">
        <v>1123</v>
      </c>
      <c r="P1095" t="s">
        <v>158</v>
      </c>
      <c r="Q1095" t="s">
        <v>159</v>
      </c>
      <c r="S1095" t="s">
        <v>5174</v>
      </c>
      <c r="U1095" t="s">
        <v>45</v>
      </c>
      <c r="V1095" t="s">
        <v>46</v>
      </c>
      <c r="W1095" t="s">
        <v>1125</v>
      </c>
      <c r="X1095" t="s">
        <v>1123</v>
      </c>
      <c r="Y1095" t="s">
        <v>161</v>
      </c>
      <c r="Z1095" t="s">
        <v>162</v>
      </c>
      <c r="AA1095" t="s">
        <v>49</v>
      </c>
      <c r="AB1095" t="s">
        <v>50</v>
      </c>
      <c r="AC1095" s="2">
        <v>381603.85</v>
      </c>
      <c r="AD1095" t="s">
        <v>5175</v>
      </c>
      <c r="AE1095" t="s">
        <v>52</v>
      </c>
    </row>
    <row r="1096" spans="1:31" x14ac:dyDescent="0.25">
      <c r="A1096" t="s">
        <v>5176</v>
      </c>
      <c r="B1096" t="s">
        <v>5177</v>
      </c>
      <c r="C1096" t="s">
        <v>5177</v>
      </c>
      <c r="D1096" t="s">
        <v>153</v>
      </c>
      <c r="E1096" t="s">
        <v>272</v>
      </c>
      <c r="F1096" t="s">
        <v>5178</v>
      </c>
      <c r="G1096" t="s">
        <v>153</v>
      </c>
      <c r="H1096" t="s">
        <v>277</v>
      </c>
      <c r="I1096" t="s">
        <v>5179</v>
      </c>
      <c r="J1096" s="2">
        <v>545425</v>
      </c>
      <c r="K1096" s="2">
        <v>2500</v>
      </c>
      <c r="L1096" s="2">
        <v>30</v>
      </c>
      <c r="M1096" s="2">
        <v>0</v>
      </c>
      <c r="N1096" t="s">
        <v>276</v>
      </c>
      <c r="O1096" t="s">
        <v>277</v>
      </c>
      <c r="P1096" t="s">
        <v>103</v>
      </c>
      <c r="Q1096" t="s">
        <v>104</v>
      </c>
      <c r="S1096" t="s">
        <v>5180</v>
      </c>
      <c r="U1096" t="s">
        <v>45</v>
      </c>
      <c r="V1096" t="s">
        <v>46</v>
      </c>
      <c r="W1096" t="s">
        <v>276</v>
      </c>
      <c r="X1096" t="s">
        <v>277</v>
      </c>
      <c r="Y1096" t="s">
        <v>279</v>
      </c>
      <c r="Z1096" t="s">
        <v>280</v>
      </c>
      <c r="AA1096" t="s">
        <v>49</v>
      </c>
      <c r="AB1096" t="s">
        <v>50</v>
      </c>
      <c r="AC1096" s="2">
        <v>318811.34000000003</v>
      </c>
      <c r="AD1096" t="s">
        <v>5181</v>
      </c>
      <c r="AE1096" t="s">
        <v>52</v>
      </c>
    </row>
    <row r="1097" spans="1:31" x14ac:dyDescent="0.25">
      <c r="A1097" t="s">
        <v>5182</v>
      </c>
      <c r="B1097" t="s">
        <v>5183</v>
      </c>
      <c r="C1097" t="s">
        <v>5183</v>
      </c>
      <c r="D1097" t="s">
        <v>35</v>
      </c>
      <c r="E1097" t="s">
        <v>36</v>
      </c>
      <c r="F1097" t="s">
        <v>5184</v>
      </c>
      <c r="G1097" t="s">
        <v>35</v>
      </c>
      <c r="H1097" t="s">
        <v>277</v>
      </c>
      <c r="I1097" t="s">
        <v>5179</v>
      </c>
      <c r="J1097" s="2">
        <v>1090850</v>
      </c>
      <c r="K1097" s="2">
        <v>5000</v>
      </c>
      <c r="L1097" s="2">
        <v>30</v>
      </c>
      <c r="M1097" s="2">
        <v>0</v>
      </c>
      <c r="N1097" t="s">
        <v>276</v>
      </c>
      <c r="O1097" t="s">
        <v>277</v>
      </c>
      <c r="P1097" t="s">
        <v>103</v>
      </c>
      <c r="Q1097" t="s">
        <v>104</v>
      </c>
      <c r="S1097" t="s">
        <v>5185</v>
      </c>
      <c r="U1097" t="s">
        <v>45</v>
      </c>
      <c r="V1097" t="s">
        <v>46</v>
      </c>
      <c r="W1097" t="s">
        <v>276</v>
      </c>
      <c r="X1097" t="s">
        <v>277</v>
      </c>
      <c r="Y1097" t="s">
        <v>279</v>
      </c>
      <c r="Z1097" t="s">
        <v>280</v>
      </c>
      <c r="AA1097" t="s">
        <v>49</v>
      </c>
      <c r="AB1097" t="s">
        <v>50</v>
      </c>
      <c r="AC1097" s="2">
        <v>888625.13</v>
      </c>
      <c r="AD1097" t="s">
        <v>5186</v>
      </c>
      <c r="AE1097" t="s">
        <v>52</v>
      </c>
    </row>
    <row r="1098" spans="1:31" hidden="1" x14ac:dyDescent="0.25">
      <c r="I1098" t="s">
        <v>5179</v>
      </c>
      <c r="J1098" s="2">
        <v>218170</v>
      </c>
      <c r="K1098" s="2">
        <v>1000</v>
      </c>
      <c r="L1098" s="2">
        <v>30</v>
      </c>
      <c r="M1098" s="2">
        <v>0</v>
      </c>
      <c r="S1098" t="s">
        <v>5187</v>
      </c>
      <c r="U1098" t="s">
        <v>45</v>
      </c>
      <c r="V1098" t="s">
        <v>46</v>
      </c>
      <c r="W1098" t="s">
        <v>276</v>
      </c>
      <c r="X1098" t="s">
        <v>277</v>
      </c>
      <c r="Y1098" t="s">
        <v>279</v>
      </c>
      <c r="Z1098" t="s">
        <v>280</v>
      </c>
      <c r="AA1098" t="s">
        <v>49</v>
      </c>
      <c r="AC1098" s="2"/>
    </row>
    <row r="1099" spans="1:31" hidden="1" x14ac:dyDescent="0.25">
      <c r="I1099" t="s">
        <v>5189</v>
      </c>
      <c r="J1099" s="2">
        <v>218</v>
      </c>
      <c r="K1099" s="2">
        <v>1</v>
      </c>
      <c r="L1099" s="2">
        <v>1</v>
      </c>
      <c r="M1099" s="2">
        <v>0</v>
      </c>
      <c r="S1099" t="s">
        <v>5191</v>
      </c>
      <c r="U1099" t="s">
        <v>45</v>
      </c>
      <c r="V1099" t="s">
        <v>46</v>
      </c>
      <c r="W1099" t="s">
        <v>5190</v>
      </c>
      <c r="X1099" t="s">
        <v>5188</v>
      </c>
      <c r="Y1099" t="s">
        <v>137</v>
      </c>
      <c r="Z1099" t="s">
        <v>717</v>
      </c>
      <c r="AA1099" t="s">
        <v>49</v>
      </c>
      <c r="AC1099" s="2"/>
    </row>
    <row r="1100" spans="1:31" hidden="1" x14ac:dyDescent="0.25">
      <c r="I1100" t="s">
        <v>5192</v>
      </c>
      <c r="J1100" s="2">
        <v>1000</v>
      </c>
      <c r="K1100" s="2">
        <v>0</v>
      </c>
      <c r="L1100" s="2">
        <v>1</v>
      </c>
      <c r="M1100" s="2">
        <v>0</v>
      </c>
      <c r="S1100" t="s">
        <v>5193</v>
      </c>
      <c r="U1100" t="s">
        <v>45</v>
      </c>
      <c r="V1100" t="s">
        <v>46</v>
      </c>
      <c r="W1100" t="s">
        <v>715</v>
      </c>
      <c r="X1100" t="s">
        <v>714</v>
      </c>
      <c r="Y1100" t="s">
        <v>137</v>
      </c>
      <c r="Z1100" t="s">
        <v>717</v>
      </c>
      <c r="AA1100" t="s">
        <v>49</v>
      </c>
      <c r="AC1100" s="2"/>
    </row>
    <row r="1101" spans="1:31" hidden="1" x14ac:dyDescent="0.25">
      <c r="I1101" t="s">
        <v>5194</v>
      </c>
      <c r="J1101" s="2">
        <v>1000</v>
      </c>
      <c r="K1101" s="2">
        <v>0</v>
      </c>
      <c r="L1101" s="2">
        <v>7</v>
      </c>
      <c r="M1101" s="2">
        <v>0</v>
      </c>
      <c r="S1101" t="s">
        <v>5195</v>
      </c>
      <c r="U1101" t="s">
        <v>45</v>
      </c>
      <c r="V1101" t="s">
        <v>46</v>
      </c>
      <c r="W1101" t="s">
        <v>5112</v>
      </c>
      <c r="X1101" t="s">
        <v>5110</v>
      </c>
      <c r="Y1101" t="s">
        <v>137</v>
      </c>
      <c r="Z1101" t="s">
        <v>717</v>
      </c>
      <c r="AA1101" t="s">
        <v>49</v>
      </c>
      <c r="AC1101" s="2"/>
    </row>
    <row r="1102" spans="1:31" x14ac:dyDescent="0.25">
      <c r="A1102" t="s">
        <v>5196</v>
      </c>
      <c r="B1102" t="s">
        <v>5197</v>
      </c>
      <c r="C1102" t="s">
        <v>5197</v>
      </c>
      <c r="D1102" t="s">
        <v>125</v>
      </c>
      <c r="E1102" t="s">
        <v>126</v>
      </c>
      <c r="F1102" t="s">
        <v>5198</v>
      </c>
      <c r="G1102" t="s">
        <v>125</v>
      </c>
      <c r="H1102" t="s">
        <v>5199</v>
      </c>
      <c r="I1102" t="s">
        <v>5200</v>
      </c>
      <c r="J1102" s="2">
        <v>3653751</v>
      </c>
      <c r="K1102" s="2">
        <v>14768</v>
      </c>
      <c r="L1102" s="2">
        <v>30</v>
      </c>
      <c r="M1102" s="2">
        <v>0</v>
      </c>
      <c r="N1102" t="s">
        <v>5201</v>
      </c>
      <c r="O1102" t="s">
        <v>5202</v>
      </c>
      <c r="P1102" t="s">
        <v>4853</v>
      </c>
      <c r="Q1102" t="s">
        <v>4854</v>
      </c>
      <c r="S1102" t="s">
        <v>5203</v>
      </c>
      <c r="U1102" t="s">
        <v>45</v>
      </c>
      <c r="V1102" t="s">
        <v>46</v>
      </c>
      <c r="W1102" t="s">
        <v>5201</v>
      </c>
      <c r="X1102" t="s">
        <v>5202</v>
      </c>
      <c r="Y1102" t="s">
        <v>4854</v>
      </c>
      <c r="Z1102" t="s">
        <v>72</v>
      </c>
      <c r="AA1102" t="s">
        <v>49</v>
      </c>
      <c r="AB1102" t="s">
        <v>50</v>
      </c>
      <c r="AC1102" s="2">
        <v>68806.490000000005</v>
      </c>
      <c r="AD1102" t="s">
        <v>5204</v>
      </c>
      <c r="AE1102" t="s">
        <v>52</v>
      </c>
    </row>
    <row r="1103" spans="1:31" x14ac:dyDescent="0.25">
      <c r="A1103" t="s">
        <v>5205</v>
      </c>
      <c r="B1103" t="s">
        <v>5206</v>
      </c>
      <c r="C1103" t="s">
        <v>5206</v>
      </c>
      <c r="D1103" t="s">
        <v>35</v>
      </c>
      <c r="E1103" t="s">
        <v>36</v>
      </c>
      <c r="F1103" t="s">
        <v>5207</v>
      </c>
      <c r="G1103" t="s">
        <v>35</v>
      </c>
      <c r="H1103" t="s">
        <v>1208</v>
      </c>
      <c r="I1103" t="s">
        <v>5208</v>
      </c>
      <c r="J1103" s="2">
        <v>261804</v>
      </c>
      <c r="K1103" s="2">
        <v>1200</v>
      </c>
      <c r="L1103" s="2">
        <v>10</v>
      </c>
      <c r="M1103" s="2">
        <v>0</v>
      </c>
      <c r="N1103" t="s">
        <v>1210</v>
      </c>
      <c r="O1103" t="s">
        <v>1211</v>
      </c>
      <c r="P1103" t="s">
        <v>1212</v>
      </c>
      <c r="Q1103" t="s">
        <v>1213</v>
      </c>
      <c r="S1103" t="s">
        <v>5209</v>
      </c>
      <c r="U1103" t="s">
        <v>45</v>
      </c>
      <c r="V1103" t="s">
        <v>46</v>
      </c>
      <c r="W1103" t="s">
        <v>1210</v>
      </c>
      <c r="X1103" t="s">
        <v>1211</v>
      </c>
      <c r="Y1103" t="s">
        <v>1215</v>
      </c>
      <c r="Z1103" t="s">
        <v>1216</v>
      </c>
      <c r="AA1103" t="s">
        <v>49</v>
      </c>
      <c r="AB1103" t="s">
        <v>50</v>
      </c>
      <c r="AC1103" s="2">
        <v>169004.39</v>
      </c>
      <c r="AD1103" t="s">
        <v>5210</v>
      </c>
      <c r="AE1103" t="s">
        <v>52</v>
      </c>
    </row>
    <row r="1104" spans="1:31" x14ac:dyDescent="0.25">
      <c r="A1104" t="s">
        <v>5211</v>
      </c>
      <c r="B1104" t="s">
        <v>5212</v>
      </c>
      <c r="C1104" t="s">
        <v>5212</v>
      </c>
      <c r="D1104" t="s">
        <v>5213</v>
      </c>
      <c r="E1104" t="s">
        <v>190</v>
      </c>
      <c r="F1104" t="s">
        <v>5214</v>
      </c>
      <c r="G1104" t="s">
        <v>1939</v>
      </c>
      <c r="H1104" t="s">
        <v>5149</v>
      </c>
      <c r="I1104" t="s">
        <v>5215</v>
      </c>
      <c r="J1104" s="2">
        <v>654510</v>
      </c>
      <c r="K1104" s="2">
        <v>3000</v>
      </c>
      <c r="L1104" s="2">
        <v>12</v>
      </c>
      <c r="M1104" s="2">
        <v>0</v>
      </c>
      <c r="N1104" t="s">
        <v>5151</v>
      </c>
      <c r="O1104" t="s">
        <v>5152</v>
      </c>
      <c r="P1104" t="s">
        <v>256</v>
      </c>
      <c r="Q1104" t="s">
        <v>255</v>
      </c>
      <c r="S1104" t="s">
        <v>5216</v>
      </c>
      <c r="U1104" t="s">
        <v>45</v>
      </c>
      <c r="V1104" t="s">
        <v>46</v>
      </c>
      <c r="W1104" t="s">
        <v>5151</v>
      </c>
      <c r="X1104" t="s">
        <v>5152</v>
      </c>
      <c r="Y1104" t="s">
        <v>137</v>
      </c>
      <c r="Z1104" t="s">
        <v>717</v>
      </c>
      <c r="AA1104" t="s">
        <v>49</v>
      </c>
      <c r="AB1104" t="s">
        <v>50</v>
      </c>
      <c r="AC1104" s="2">
        <v>597423.9</v>
      </c>
      <c r="AD1104" t="s">
        <v>5217</v>
      </c>
      <c r="AE1104" t="s">
        <v>115</v>
      </c>
    </row>
    <row r="1105" spans="1:31" x14ac:dyDescent="0.25">
      <c r="A1105" t="s">
        <v>5218</v>
      </c>
      <c r="B1105" t="s">
        <v>5219</v>
      </c>
      <c r="C1105" t="s">
        <v>5220</v>
      </c>
      <c r="D1105" t="s">
        <v>125</v>
      </c>
      <c r="E1105" t="s">
        <v>126</v>
      </c>
      <c r="F1105" t="s">
        <v>2862</v>
      </c>
      <c r="G1105" t="s">
        <v>153</v>
      </c>
      <c r="H1105" t="s">
        <v>38</v>
      </c>
      <c r="I1105" t="s">
        <v>5221</v>
      </c>
      <c r="J1105" s="2">
        <v>436340</v>
      </c>
      <c r="K1105" s="2">
        <v>2000</v>
      </c>
      <c r="L1105" s="2">
        <v>15</v>
      </c>
      <c r="M1105" s="2">
        <v>0</v>
      </c>
      <c r="N1105" t="s">
        <v>40</v>
      </c>
      <c r="O1105" t="s">
        <v>41</v>
      </c>
      <c r="P1105" t="s">
        <v>61</v>
      </c>
      <c r="Q1105" t="s">
        <v>62</v>
      </c>
      <c r="S1105" t="s">
        <v>5222</v>
      </c>
      <c r="U1105" t="s">
        <v>45</v>
      </c>
      <c r="V1105" t="s">
        <v>46</v>
      </c>
      <c r="W1105" t="s">
        <v>40</v>
      </c>
      <c r="X1105" t="s">
        <v>41</v>
      </c>
      <c r="Y1105" t="s">
        <v>47</v>
      </c>
      <c r="Z1105" t="s">
        <v>48</v>
      </c>
      <c r="AA1105" t="s">
        <v>49</v>
      </c>
      <c r="AB1105" t="s">
        <v>50</v>
      </c>
      <c r="AC1105" s="2">
        <v>400023.18</v>
      </c>
      <c r="AD1105" t="s">
        <v>5223</v>
      </c>
      <c r="AE1105" t="s">
        <v>52</v>
      </c>
    </row>
    <row r="1106" spans="1:31" x14ac:dyDescent="0.25">
      <c r="A1106" t="s">
        <v>5224</v>
      </c>
      <c r="B1106" t="s">
        <v>5225</v>
      </c>
      <c r="C1106" t="s">
        <v>5225</v>
      </c>
      <c r="D1106" t="s">
        <v>153</v>
      </c>
      <c r="E1106" t="s">
        <v>272</v>
      </c>
      <c r="F1106" t="s">
        <v>5226</v>
      </c>
      <c r="G1106" t="s">
        <v>153</v>
      </c>
      <c r="H1106" t="s">
        <v>1123</v>
      </c>
      <c r="I1106" t="s">
        <v>5227</v>
      </c>
      <c r="J1106" s="2">
        <v>654510</v>
      </c>
      <c r="K1106" s="2">
        <v>3000</v>
      </c>
      <c r="L1106" s="2">
        <v>15</v>
      </c>
      <c r="M1106" s="2">
        <v>0</v>
      </c>
      <c r="N1106" t="s">
        <v>1125</v>
      </c>
      <c r="O1106" t="s">
        <v>1123</v>
      </c>
      <c r="P1106" t="s">
        <v>158</v>
      </c>
      <c r="Q1106" t="s">
        <v>159</v>
      </c>
      <c r="S1106" t="s">
        <v>5228</v>
      </c>
      <c r="U1106" t="s">
        <v>45</v>
      </c>
      <c r="V1106" t="s">
        <v>46</v>
      </c>
      <c r="W1106" t="s">
        <v>1125</v>
      </c>
      <c r="X1106" t="s">
        <v>1123</v>
      </c>
      <c r="Y1106" t="s">
        <v>161</v>
      </c>
      <c r="Z1106" t="s">
        <v>162</v>
      </c>
      <c r="AA1106" t="s">
        <v>49</v>
      </c>
      <c r="AB1106" t="s">
        <v>50</v>
      </c>
      <c r="AC1106" s="2">
        <v>493916.2</v>
      </c>
      <c r="AD1106" t="s">
        <v>5229</v>
      </c>
      <c r="AE1106" t="s">
        <v>52</v>
      </c>
    </row>
    <row r="1107" spans="1:31" x14ac:dyDescent="0.25">
      <c r="A1107" t="s">
        <v>5230</v>
      </c>
      <c r="B1107" t="s">
        <v>5231</v>
      </c>
      <c r="C1107" t="s">
        <v>5231</v>
      </c>
      <c r="D1107" t="s">
        <v>153</v>
      </c>
      <c r="E1107" t="s">
        <v>272</v>
      </c>
      <c r="F1107" t="s">
        <v>5232</v>
      </c>
      <c r="G1107" t="s">
        <v>153</v>
      </c>
      <c r="H1107" t="s">
        <v>1123</v>
      </c>
      <c r="I1107" t="s">
        <v>5233</v>
      </c>
      <c r="J1107" s="2">
        <v>713250</v>
      </c>
      <c r="K1107" s="2">
        <v>3000</v>
      </c>
      <c r="L1107" s="2">
        <v>18</v>
      </c>
      <c r="M1107" s="2">
        <v>0</v>
      </c>
      <c r="N1107" t="s">
        <v>1125</v>
      </c>
      <c r="O1107" t="s">
        <v>1123</v>
      </c>
      <c r="P1107" t="s">
        <v>158</v>
      </c>
      <c r="Q1107" t="s">
        <v>159</v>
      </c>
      <c r="S1107" t="s">
        <v>5234</v>
      </c>
      <c r="U1107" t="s">
        <v>45</v>
      </c>
      <c r="V1107" t="s">
        <v>46</v>
      </c>
      <c r="W1107" t="s">
        <v>1125</v>
      </c>
      <c r="X1107" t="s">
        <v>1123</v>
      </c>
      <c r="Y1107" t="s">
        <v>161</v>
      </c>
      <c r="Z1107" t="s">
        <v>162</v>
      </c>
      <c r="AA1107" t="s">
        <v>49</v>
      </c>
      <c r="AB1107" t="s">
        <v>50</v>
      </c>
      <c r="AC1107" s="2">
        <v>188808.76</v>
      </c>
      <c r="AD1107" t="s">
        <v>5235</v>
      </c>
      <c r="AE1107" t="s">
        <v>52</v>
      </c>
    </row>
    <row r="1108" spans="1:31" hidden="1" x14ac:dyDescent="0.25">
      <c r="I1108" t="s">
        <v>5236</v>
      </c>
      <c r="J1108" s="2">
        <v>32965</v>
      </c>
      <c r="K1108" s="2">
        <v>151.1</v>
      </c>
      <c r="L1108" s="2">
        <v>1</v>
      </c>
      <c r="M1108" s="2">
        <v>0</v>
      </c>
      <c r="S1108" t="s">
        <v>5237</v>
      </c>
      <c r="U1108" t="s">
        <v>45</v>
      </c>
      <c r="V1108" t="s">
        <v>46</v>
      </c>
      <c r="W1108" t="s">
        <v>4980</v>
      </c>
      <c r="X1108" t="s">
        <v>4978</v>
      </c>
      <c r="Y1108" t="s">
        <v>72</v>
      </c>
      <c r="Z1108" t="s">
        <v>68</v>
      </c>
      <c r="AA1108" t="s">
        <v>49</v>
      </c>
      <c r="AC1108" s="2"/>
    </row>
    <row r="1109" spans="1:31" x14ac:dyDescent="0.25">
      <c r="A1109" t="s">
        <v>5238</v>
      </c>
      <c r="B1109" t="s">
        <v>5239</v>
      </c>
      <c r="C1109" t="s">
        <v>5239</v>
      </c>
      <c r="D1109" t="s">
        <v>125</v>
      </c>
      <c r="E1109" t="s">
        <v>126</v>
      </c>
      <c r="F1109" t="s">
        <v>5240</v>
      </c>
      <c r="G1109" t="s">
        <v>153</v>
      </c>
      <c r="H1109" t="s">
        <v>303</v>
      </c>
      <c r="I1109" t="s">
        <v>5241</v>
      </c>
      <c r="J1109" s="2">
        <v>68544</v>
      </c>
      <c r="K1109" s="2">
        <v>300</v>
      </c>
      <c r="L1109" s="2">
        <v>7</v>
      </c>
      <c r="M1109" s="2">
        <v>0</v>
      </c>
      <c r="N1109" t="s">
        <v>302</v>
      </c>
      <c r="O1109" t="s">
        <v>303</v>
      </c>
      <c r="P1109" t="s">
        <v>304</v>
      </c>
      <c r="Q1109" t="s">
        <v>72</v>
      </c>
      <c r="S1109" t="s">
        <v>5242</v>
      </c>
      <c r="U1109" t="s">
        <v>45</v>
      </c>
      <c r="V1109" t="s">
        <v>46</v>
      </c>
      <c r="W1109" t="s">
        <v>302</v>
      </c>
      <c r="X1109" t="s">
        <v>303</v>
      </c>
      <c r="Y1109" t="s">
        <v>72</v>
      </c>
      <c r="Z1109" t="s">
        <v>68</v>
      </c>
      <c r="AA1109" t="s">
        <v>49</v>
      </c>
      <c r="AB1109" t="s">
        <v>50</v>
      </c>
      <c r="AC1109" s="2">
        <v>44935.33</v>
      </c>
      <c r="AD1109" t="s">
        <v>5243</v>
      </c>
      <c r="AE1109" t="s">
        <v>52</v>
      </c>
    </row>
    <row r="1110" spans="1:31" x14ac:dyDescent="0.25">
      <c r="A1110" t="s">
        <v>5244</v>
      </c>
      <c r="B1110" t="s">
        <v>5245</v>
      </c>
      <c r="C1110" t="s">
        <v>5245</v>
      </c>
      <c r="D1110" t="s">
        <v>847</v>
      </c>
      <c r="E1110" t="s">
        <v>848</v>
      </c>
      <c r="F1110" t="s">
        <v>5246</v>
      </c>
      <c r="G1110" t="s">
        <v>478</v>
      </c>
      <c r="H1110" t="s">
        <v>714</v>
      </c>
      <c r="I1110" t="s">
        <v>5247</v>
      </c>
      <c r="J1110" s="2">
        <v>95100</v>
      </c>
      <c r="K1110" s="2">
        <v>400</v>
      </c>
      <c r="L1110" s="2">
        <v>15</v>
      </c>
      <c r="M1110" s="2">
        <v>0</v>
      </c>
      <c r="N1110" t="s">
        <v>715</v>
      </c>
      <c r="O1110" t="s">
        <v>714</v>
      </c>
      <c r="P1110" t="s">
        <v>256</v>
      </c>
      <c r="Q1110" t="s">
        <v>255</v>
      </c>
      <c r="S1110" t="s">
        <v>5248</v>
      </c>
      <c r="U1110" t="s">
        <v>45</v>
      </c>
      <c r="V1110" t="s">
        <v>46</v>
      </c>
      <c r="W1110" t="s">
        <v>715</v>
      </c>
      <c r="X1110" t="s">
        <v>714</v>
      </c>
      <c r="Y1110" t="s">
        <v>137</v>
      </c>
      <c r="Z1110" t="s">
        <v>717</v>
      </c>
      <c r="AA1110" t="s">
        <v>49</v>
      </c>
      <c r="AB1110" t="s">
        <v>50</v>
      </c>
      <c r="AC1110" s="2">
        <v>3685.09</v>
      </c>
      <c r="AD1110" t="s">
        <v>5249</v>
      </c>
      <c r="AE1110" t="s">
        <v>52</v>
      </c>
    </row>
    <row r="1111" spans="1:31" x14ac:dyDescent="0.25">
      <c r="A1111" t="s">
        <v>5250</v>
      </c>
      <c r="B1111" t="s">
        <v>5251</v>
      </c>
      <c r="C1111" t="s">
        <v>5251</v>
      </c>
      <c r="D1111" t="s">
        <v>569</v>
      </c>
      <c r="E1111" t="s">
        <v>570</v>
      </c>
      <c r="F1111" t="s">
        <v>5252</v>
      </c>
      <c r="G1111" t="s">
        <v>344</v>
      </c>
      <c r="H1111" t="s">
        <v>5253</v>
      </c>
      <c r="I1111" t="s">
        <v>5254</v>
      </c>
      <c r="J1111" s="2">
        <v>1090850</v>
      </c>
      <c r="K1111" s="2">
        <v>5000</v>
      </c>
      <c r="L1111" s="2">
        <v>30</v>
      </c>
      <c r="M1111" s="2">
        <v>0</v>
      </c>
      <c r="N1111" t="s">
        <v>5255</v>
      </c>
      <c r="O1111" t="s">
        <v>5253</v>
      </c>
      <c r="P1111" t="s">
        <v>205</v>
      </c>
      <c r="Q1111" t="s">
        <v>206</v>
      </c>
      <c r="S1111" t="s">
        <v>5256</v>
      </c>
      <c r="U1111" t="s">
        <v>45</v>
      </c>
      <c r="V1111" t="s">
        <v>46</v>
      </c>
      <c r="W1111" t="s">
        <v>5255</v>
      </c>
      <c r="X1111" t="s">
        <v>5253</v>
      </c>
      <c r="Y1111" t="s">
        <v>161</v>
      </c>
      <c r="Z1111" t="s">
        <v>162</v>
      </c>
      <c r="AA1111" t="s">
        <v>49</v>
      </c>
      <c r="AB1111" t="s">
        <v>50</v>
      </c>
      <c r="AC1111" s="2">
        <v>887994.15</v>
      </c>
      <c r="AD1111" t="s">
        <v>5257</v>
      </c>
      <c r="AE1111" t="s">
        <v>52</v>
      </c>
    </row>
    <row r="1112" spans="1:31" x14ac:dyDescent="0.25">
      <c r="A1112" t="s">
        <v>5258</v>
      </c>
      <c r="B1112" t="s">
        <v>5259</v>
      </c>
      <c r="C1112" t="s">
        <v>5259</v>
      </c>
      <c r="D1112" t="s">
        <v>125</v>
      </c>
      <c r="E1112" t="s">
        <v>126</v>
      </c>
      <c r="F1112" t="s">
        <v>5260</v>
      </c>
      <c r="G1112" t="s">
        <v>125</v>
      </c>
      <c r="H1112" t="s">
        <v>5261</v>
      </c>
      <c r="I1112" t="s">
        <v>5262</v>
      </c>
      <c r="J1112" s="2">
        <v>737010</v>
      </c>
      <c r="K1112" s="2">
        <v>3000</v>
      </c>
      <c r="L1112" s="2">
        <v>30</v>
      </c>
      <c r="M1112" s="2">
        <v>0</v>
      </c>
      <c r="N1112" t="s">
        <v>5263</v>
      </c>
      <c r="O1112" t="s">
        <v>5264</v>
      </c>
      <c r="P1112" t="s">
        <v>941</v>
      </c>
      <c r="Q1112" t="s">
        <v>139</v>
      </c>
      <c r="S1112" t="s">
        <v>5265</v>
      </c>
      <c r="U1112" t="s">
        <v>45</v>
      </c>
      <c r="V1112" t="s">
        <v>46</v>
      </c>
      <c r="W1112" t="s">
        <v>5263</v>
      </c>
      <c r="X1112" t="s">
        <v>5264</v>
      </c>
      <c r="Y1112" t="s">
        <v>139</v>
      </c>
      <c r="Z1112" t="s">
        <v>140</v>
      </c>
      <c r="AA1112" t="s">
        <v>49</v>
      </c>
      <c r="AB1112" t="s">
        <v>50</v>
      </c>
      <c r="AC1112" s="2">
        <v>96343.97</v>
      </c>
      <c r="AD1112" t="s">
        <v>5266</v>
      </c>
      <c r="AE1112" t="s">
        <v>52</v>
      </c>
    </row>
    <row r="1113" spans="1:31" x14ac:dyDescent="0.25">
      <c r="A1113" t="s">
        <v>5267</v>
      </c>
      <c r="B1113" t="s">
        <v>5268</v>
      </c>
      <c r="C1113" t="s">
        <v>5268</v>
      </c>
      <c r="D1113" t="s">
        <v>153</v>
      </c>
      <c r="E1113" t="s">
        <v>272</v>
      </c>
      <c r="F1113" t="s">
        <v>5269</v>
      </c>
      <c r="G1113" t="s">
        <v>153</v>
      </c>
      <c r="H1113" t="s">
        <v>446</v>
      </c>
      <c r="I1113" t="s">
        <v>5270</v>
      </c>
      <c r="J1113" s="2">
        <v>436340</v>
      </c>
      <c r="K1113" s="2">
        <v>2000</v>
      </c>
      <c r="L1113" s="2">
        <v>15</v>
      </c>
      <c r="M1113" s="2">
        <v>0</v>
      </c>
      <c r="N1113" t="s">
        <v>445</v>
      </c>
      <c r="O1113" t="s">
        <v>446</v>
      </c>
      <c r="P1113" t="s">
        <v>69</v>
      </c>
      <c r="Q1113" t="s">
        <v>70</v>
      </c>
      <c r="S1113" t="s">
        <v>5271</v>
      </c>
      <c r="U1113" t="s">
        <v>45</v>
      </c>
      <c r="V1113" t="s">
        <v>46</v>
      </c>
      <c r="W1113" t="s">
        <v>445</v>
      </c>
      <c r="X1113" t="s">
        <v>446</v>
      </c>
      <c r="Y1113" t="s">
        <v>72</v>
      </c>
      <c r="Z1113" t="s">
        <v>68</v>
      </c>
      <c r="AA1113" t="s">
        <v>49</v>
      </c>
      <c r="AB1113" t="s">
        <v>50</v>
      </c>
      <c r="AC1113" s="2">
        <v>360587.09</v>
      </c>
      <c r="AD1113" t="s">
        <v>5272</v>
      </c>
      <c r="AE1113" t="s">
        <v>52</v>
      </c>
    </row>
    <row r="1114" spans="1:31" x14ac:dyDescent="0.25">
      <c r="A1114" t="s">
        <v>5273</v>
      </c>
      <c r="B1114" t="s">
        <v>5274</v>
      </c>
      <c r="C1114" t="s">
        <v>5274</v>
      </c>
      <c r="D1114" t="s">
        <v>3472</v>
      </c>
      <c r="E1114" t="s">
        <v>871</v>
      </c>
      <c r="F1114" t="s">
        <v>5275</v>
      </c>
      <c r="G1114" t="s">
        <v>3472</v>
      </c>
      <c r="H1114" t="s">
        <v>5276</v>
      </c>
      <c r="I1114" t="s">
        <v>5277</v>
      </c>
      <c r="J1114" s="2">
        <v>109085</v>
      </c>
      <c r="K1114" s="2">
        <v>500</v>
      </c>
      <c r="L1114" s="2">
        <v>15</v>
      </c>
      <c r="M1114" s="2">
        <v>0</v>
      </c>
      <c r="N1114" t="s">
        <v>403</v>
      </c>
      <c r="O1114" t="s">
        <v>404</v>
      </c>
      <c r="P1114" t="s">
        <v>205</v>
      </c>
      <c r="Q1114" t="s">
        <v>206</v>
      </c>
      <c r="S1114" t="s">
        <v>5278</v>
      </c>
      <c r="U1114" t="s">
        <v>45</v>
      </c>
      <c r="V1114" t="s">
        <v>46</v>
      </c>
      <c r="W1114" t="s">
        <v>403</v>
      </c>
      <c r="X1114" t="s">
        <v>404</v>
      </c>
      <c r="Y1114" t="s">
        <v>161</v>
      </c>
      <c r="Z1114" t="s">
        <v>162</v>
      </c>
      <c r="AA1114" t="s">
        <v>49</v>
      </c>
      <c r="AB1114" t="s">
        <v>50</v>
      </c>
      <c r="AC1114" s="2">
        <v>80639.240000000005</v>
      </c>
      <c r="AD1114" t="s">
        <v>5279</v>
      </c>
      <c r="AE1114" t="s">
        <v>115</v>
      </c>
    </row>
    <row r="1115" spans="1:31" x14ac:dyDescent="0.25">
      <c r="A1115" t="s">
        <v>5280</v>
      </c>
      <c r="B1115" t="s">
        <v>5281</v>
      </c>
      <c r="C1115" t="s">
        <v>5281</v>
      </c>
      <c r="D1115" t="s">
        <v>299</v>
      </c>
      <c r="E1115" t="s">
        <v>167</v>
      </c>
      <c r="F1115" t="s">
        <v>5282</v>
      </c>
      <c r="G1115" t="s">
        <v>478</v>
      </c>
      <c r="H1115" t="s">
        <v>5261</v>
      </c>
      <c r="I1115" t="s">
        <v>5283</v>
      </c>
      <c r="J1115" s="2">
        <v>218170</v>
      </c>
      <c r="K1115" s="2">
        <v>1000</v>
      </c>
      <c r="L1115" s="2">
        <v>30</v>
      </c>
      <c r="M1115" s="2">
        <v>0</v>
      </c>
      <c r="N1115" t="s">
        <v>5263</v>
      </c>
      <c r="O1115" t="s">
        <v>5264</v>
      </c>
      <c r="P1115" t="s">
        <v>941</v>
      </c>
      <c r="Q1115" t="s">
        <v>139</v>
      </c>
      <c r="S1115" t="s">
        <v>5284</v>
      </c>
      <c r="U1115" t="s">
        <v>45</v>
      </c>
      <c r="V1115" t="s">
        <v>46</v>
      </c>
      <c r="W1115" t="s">
        <v>5263</v>
      </c>
      <c r="X1115" t="s">
        <v>5264</v>
      </c>
      <c r="Y1115" t="s">
        <v>139</v>
      </c>
      <c r="Z1115" t="s">
        <v>140</v>
      </c>
      <c r="AA1115" t="s">
        <v>49</v>
      </c>
      <c r="AB1115" t="s">
        <v>50</v>
      </c>
      <c r="AC1115" s="2">
        <v>183547.54</v>
      </c>
      <c r="AD1115" t="s">
        <v>5285</v>
      </c>
    </row>
    <row r="1116" spans="1:31" x14ac:dyDescent="0.25">
      <c r="A1116" s="15" t="s">
        <v>5286</v>
      </c>
      <c r="B1116" s="15" t="s">
        <v>5287</v>
      </c>
      <c r="C1116" s="15" t="s">
        <v>5287</v>
      </c>
      <c r="D1116" s="15" t="s">
        <v>55</v>
      </c>
      <c r="E1116" s="15" t="s">
        <v>56</v>
      </c>
      <c r="F1116" s="15" t="s">
        <v>5288</v>
      </c>
      <c r="H1116" s="15" t="s">
        <v>90</v>
      </c>
      <c r="I1116" t="s">
        <v>5289</v>
      </c>
      <c r="J1116" s="2">
        <v>1728</v>
      </c>
      <c r="K1116" s="2">
        <v>7.92</v>
      </c>
      <c r="L1116" s="2">
        <v>1</v>
      </c>
      <c r="M1116" s="2">
        <v>0</v>
      </c>
      <c r="N1116" s="15" t="s">
        <v>89</v>
      </c>
      <c r="O1116" s="15" t="s">
        <v>90</v>
      </c>
      <c r="P1116" s="15" t="s">
        <v>91</v>
      </c>
      <c r="Q1116" s="15" t="s">
        <v>92</v>
      </c>
      <c r="S1116" t="s">
        <v>5290</v>
      </c>
      <c r="U1116" t="s">
        <v>45</v>
      </c>
      <c r="V1116" t="s">
        <v>46</v>
      </c>
      <c r="W1116" t="s">
        <v>89</v>
      </c>
      <c r="X1116" t="s">
        <v>90</v>
      </c>
      <c r="Y1116" t="s">
        <v>92</v>
      </c>
      <c r="Z1116" t="s">
        <v>94</v>
      </c>
      <c r="AA1116" t="s">
        <v>49</v>
      </c>
      <c r="AB1116" s="15" t="s">
        <v>50</v>
      </c>
      <c r="AC1116" s="16">
        <v>-8444.43</v>
      </c>
      <c r="AD1116" s="15" t="s">
        <v>5291</v>
      </c>
      <c r="AE1116" s="15" t="s">
        <v>115</v>
      </c>
    </row>
    <row r="1117" spans="1:31" hidden="1" x14ac:dyDescent="0.25">
      <c r="I1117" t="s">
        <v>5292</v>
      </c>
      <c r="J1117" s="2">
        <v>21817</v>
      </c>
      <c r="K1117" s="2">
        <v>100</v>
      </c>
      <c r="L1117" s="2">
        <v>1</v>
      </c>
      <c r="M1117" s="2">
        <v>0</v>
      </c>
      <c r="S1117" t="s">
        <v>5293</v>
      </c>
      <c r="U1117" t="s">
        <v>45</v>
      </c>
      <c r="V1117" t="s">
        <v>46</v>
      </c>
      <c r="W1117" t="s">
        <v>1362</v>
      </c>
      <c r="X1117" t="s">
        <v>1360</v>
      </c>
      <c r="Y1117" t="s">
        <v>1215</v>
      </c>
      <c r="Z1117" t="s">
        <v>1216</v>
      </c>
      <c r="AA1117" t="s">
        <v>49</v>
      </c>
      <c r="AC1117" s="2"/>
    </row>
    <row r="1118" spans="1:31" x14ac:dyDescent="0.25">
      <c r="A1118" t="s">
        <v>5294</v>
      </c>
      <c r="B1118" t="s">
        <v>5295</v>
      </c>
      <c r="C1118" t="s">
        <v>5295</v>
      </c>
      <c r="D1118" t="s">
        <v>569</v>
      </c>
      <c r="E1118" t="s">
        <v>570</v>
      </c>
      <c r="F1118" t="s">
        <v>5296</v>
      </c>
      <c r="G1118" t="s">
        <v>569</v>
      </c>
      <c r="H1118" t="s">
        <v>877</v>
      </c>
      <c r="I1118" t="s">
        <v>5297</v>
      </c>
      <c r="J1118" s="2">
        <v>87948</v>
      </c>
      <c r="K1118" s="2">
        <v>400</v>
      </c>
      <c r="L1118" s="2">
        <v>15</v>
      </c>
      <c r="M1118" s="2">
        <v>0</v>
      </c>
      <c r="N1118" t="s">
        <v>879</v>
      </c>
      <c r="O1118" t="s">
        <v>877</v>
      </c>
      <c r="P1118" t="s">
        <v>69</v>
      </c>
      <c r="Q1118" t="s">
        <v>70</v>
      </c>
      <c r="S1118" t="s">
        <v>5298</v>
      </c>
      <c r="U1118" t="s">
        <v>45</v>
      </c>
      <c r="V1118" t="s">
        <v>46</v>
      </c>
      <c r="W1118" t="s">
        <v>879</v>
      </c>
      <c r="X1118" t="s">
        <v>877</v>
      </c>
      <c r="Y1118" t="s">
        <v>72</v>
      </c>
      <c r="Z1118" t="s">
        <v>68</v>
      </c>
      <c r="AA1118" t="s">
        <v>49</v>
      </c>
      <c r="AB1118" t="s">
        <v>50</v>
      </c>
      <c r="AC1118" s="2">
        <v>59639.44</v>
      </c>
      <c r="AD1118" t="s">
        <v>5299</v>
      </c>
      <c r="AE1118" t="s">
        <v>52</v>
      </c>
    </row>
    <row r="1119" spans="1:31" x14ac:dyDescent="0.25">
      <c r="A1119" t="s">
        <v>5300</v>
      </c>
      <c r="B1119" t="s">
        <v>5301</v>
      </c>
      <c r="C1119" t="s">
        <v>5301</v>
      </c>
      <c r="D1119" t="s">
        <v>847</v>
      </c>
      <c r="E1119" t="s">
        <v>848</v>
      </c>
      <c r="F1119" t="s">
        <v>5302</v>
      </c>
      <c r="G1119" t="s">
        <v>1467</v>
      </c>
      <c r="H1119" t="s">
        <v>714</v>
      </c>
      <c r="I1119" t="s">
        <v>5303</v>
      </c>
      <c r="J1119" s="2">
        <v>327255</v>
      </c>
      <c r="K1119" s="2">
        <v>1500</v>
      </c>
      <c r="L1119" s="2">
        <v>21</v>
      </c>
      <c r="M1119" s="2">
        <v>0</v>
      </c>
      <c r="N1119" t="s">
        <v>715</v>
      </c>
      <c r="O1119" t="s">
        <v>714</v>
      </c>
      <c r="P1119" t="s">
        <v>256</v>
      </c>
      <c r="Q1119" t="s">
        <v>255</v>
      </c>
      <c r="S1119" t="s">
        <v>5304</v>
      </c>
      <c r="U1119" t="s">
        <v>45</v>
      </c>
      <c r="V1119" t="s">
        <v>46</v>
      </c>
      <c r="W1119" t="s">
        <v>715</v>
      </c>
      <c r="X1119" t="s">
        <v>714</v>
      </c>
      <c r="Y1119" t="s">
        <v>137</v>
      </c>
      <c r="Z1119" t="s">
        <v>717</v>
      </c>
      <c r="AA1119" t="s">
        <v>49</v>
      </c>
      <c r="AB1119" t="s">
        <v>50</v>
      </c>
      <c r="AC1119" s="2">
        <v>149066.94</v>
      </c>
      <c r="AD1119" t="s">
        <v>5305</v>
      </c>
      <c r="AE1119" t="s">
        <v>115</v>
      </c>
    </row>
    <row r="1120" spans="1:31" x14ac:dyDescent="0.25">
      <c r="A1120" t="s">
        <v>5306</v>
      </c>
      <c r="B1120" t="s">
        <v>5307</v>
      </c>
      <c r="C1120" t="s">
        <v>5307</v>
      </c>
      <c r="D1120" t="s">
        <v>35</v>
      </c>
      <c r="E1120" t="s">
        <v>36</v>
      </c>
      <c r="F1120" t="s">
        <v>5308</v>
      </c>
      <c r="G1120" t="s">
        <v>35</v>
      </c>
      <c r="H1120" t="s">
        <v>255</v>
      </c>
      <c r="I1120" t="s">
        <v>5309</v>
      </c>
      <c r="J1120" s="2">
        <v>682343</v>
      </c>
      <c r="K1120" s="2">
        <v>2870</v>
      </c>
      <c r="L1120" s="2">
        <v>15</v>
      </c>
      <c r="M1120" s="2">
        <v>0</v>
      </c>
      <c r="N1120" t="s">
        <v>254</v>
      </c>
      <c r="O1120" t="s">
        <v>255</v>
      </c>
      <c r="P1120" t="s">
        <v>256</v>
      </c>
      <c r="Q1120" t="s">
        <v>255</v>
      </c>
      <c r="S1120" t="s">
        <v>5310</v>
      </c>
      <c r="U1120" t="s">
        <v>45</v>
      </c>
      <c r="V1120" t="s">
        <v>46</v>
      </c>
      <c r="W1120" t="s">
        <v>254</v>
      </c>
      <c r="X1120" t="s">
        <v>255</v>
      </c>
      <c r="Y1120" t="s">
        <v>258</v>
      </c>
      <c r="Z1120" t="s">
        <v>259</v>
      </c>
      <c r="AA1120" t="s">
        <v>49</v>
      </c>
      <c r="AB1120" t="s">
        <v>50</v>
      </c>
      <c r="AC1120" s="2">
        <v>203524.75</v>
      </c>
      <c r="AD1120" t="s">
        <v>5311</v>
      </c>
      <c r="AE1120" t="s">
        <v>52</v>
      </c>
    </row>
    <row r="1121" spans="1:31" x14ac:dyDescent="0.25">
      <c r="A1121" t="s">
        <v>5312</v>
      </c>
      <c r="B1121" t="s">
        <v>5313</v>
      </c>
      <c r="C1121" t="s">
        <v>5313</v>
      </c>
      <c r="D1121" t="s">
        <v>553</v>
      </c>
      <c r="E1121" t="s">
        <v>167</v>
      </c>
      <c r="F1121" t="s">
        <v>5314</v>
      </c>
      <c r="G1121" t="s">
        <v>553</v>
      </c>
      <c r="H1121" t="s">
        <v>665</v>
      </c>
      <c r="J1121" s="2">
        <v>152719</v>
      </c>
      <c r="K1121" s="2">
        <v>700</v>
      </c>
      <c r="L1121" s="2">
        <v>30</v>
      </c>
      <c r="M1121" s="2">
        <v>0</v>
      </c>
      <c r="N1121" t="s">
        <v>664</v>
      </c>
      <c r="O1121" t="s">
        <v>665</v>
      </c>
      <c r="P1121" t="s">
        <v>103</v>
      </c>
      <c r="Q1121" t="s">
        <v>104</v>
      </c>
      <c r="S1121" t="s">
        <v>5315</v>
      </c>
      <c r="U1121" t="s">
        <v>45</v>
      </c>
      <c r="V1121" t="s">
        <v>46</v>
      </c>
      <c r="W1121" t="s">
        <v>664</v>
      </c>
      <c r="X1121" t="s">
        <v>665</v>
      </c>
      <c r="Y1121" t="s">
        <v>106</v>
      </c>
      <c r="Z1121" t="s">
        <v>107</v>
      </c>
      <c r="AA1121" t="s">
        <v>49</v>
      </c>
      <c r="AB1121" t="s">
        <v>50</v>
      </c>
      <c r="AC1121" s="2">
        <v>129341.05</v>
      </c>
      <c r="AD1121" t="s">
        <v>5316</v>
      </c>
      <c r="AE1121" t="s">
        <v>52</v>
      </c>
    </row>
    <row r="1122" spans="1:31" x14ac:dyDescent="0.25">
      <c r="A1122" t="s">
        <v>5317</v>
      </c>
      <c r="B1122" t="s">
        <v>5318</v>
      </c>
      <c r="C1122" t="s">
        <v>5318</v>
      </c>
      <c r="D1122" t="s">
        <v>153</v>
      </c>
      <c r="E1122" t="s">
        <v>272</v>
      </c>
      <c r="F1122" t="s">
        <v>5319</v>
      </c>
      <c r="G1122" t="s">
        <v>649</v>
      </c>
      <c r="H1122" t="s">
        <v>255</v>
      </c>
      <c r="I1122" t="s">
        <v>5320</v>
      </c>
      <c r="J1122" s="2">
        <v>43634</v>
      </c>
      <c r="K1122" s="2">
        <v>200</v>
      </c>
      <c r="L1122" s="2">
        <v>15</v>
      </c>
      <c r="M1122" s="2">
        <v>0</v>
      </c>
      <c r="N1122" t="s">
        <v>254</v>
      </c>
      <c r="O1122" t="s">
        <v>255</v>
      </c>
      <c r="P1122" t="s">
        <v>256</v>
      </c>
      <c r="Q1122" t="s">
        <v>255</v>
      </c>
      <c r="S1122" t="s">
        <v>5321</v>
      </c>
      <c r="U1122" t="s">
        <v>45</v>
      </c>
      <c r="V1122" t="s">
        <v>46</v>
      </c>
      <c r="W1122" t="s">
        <v>254</v>
      </c>
      <c r="X1122" t="s">
        <v>255</v>
      </c>
      <c r="Y1122" t="s">
        <v>258</v>
      </c>
      <c r="Z1122" t="s">
        <v>259</v>
      </c>
      <c r="AA1122" t="s">
        <v>49</v>
      </c>
      <c r="AB1122" t="s">
        <v>50</v>
      </c>
      <c r="AC1122" s="2">
        <v>41846.15</v>
      </c>
      <c r="AD1122" t="s">
        <v>5322</v>
      </c>
      <c r="AE1122" t="s">
        <v>115</v>
      </c>
    </row>
    <row r="1123" spans="1:31" hidden="1" x14ac:dyDescent="0.25">
      <c r="I1123" t="s">
        <v>5323</v>
      </c>
      <c r="J1123" s="2">
        <v>21817</v>
      </c>
      <c r="K1123" s="2">
        <v>100</v>
      </c>
      <c r="L1123" s="2">
        <v>1</v>
      </c>
      <c r="M1123" s="2">
        <v>0</v>
      </c>
      <c r="S1123" t="s">
        <v>5324</v>
      </c>
      <c r="U1123" t="s">
        <v>45</v>
      </c>
      <c r="V1123" t="s">
        <v>46</v>
      </c>
      <c r="W1123" t="s">
        <v>1210</v>
      </c>
      <c r="X1123" t="s">
        <v>1211</v>
      </c>
      <c r="Y1123" t="s">
        <v>1215</v>
      </c>
      <c r="Z1123" t="s">
        <v>1216</v>
      </c>
      <c r="AA1123" t="s">
        <v>49</v>
      </c>
      <c r="AC1123" s="2"/>
    </row>
    <row r="1124" spans="1:31" x14ac:dyDescent="0.25">
      <c r="A1124" t="s">
        <v>5325</v>
      </c>
      <c r="B1124" t="s">
        <v>5326</v>
      </c>
      <c r="C1124" t="s">
        <v>5326</v>
      </c>
      <c r="D1124" t="s">
        <v>153</v>
      </c>
      <c r="E1124" t="s">
        <v>272</v>
      </c>
      <c r="F1124" t="s">
        <v>4954</v>
      </c>
      <c r="G1124" t="s">
        <v>153</v>
      </c>
      <c r="H1124" t="s">
        <v>1123</v>
      </c>
      <c r="I1124" t="s">
        <v>5327</v>
      </c>
      <c r="J1124" s="2">
        <v>218170</v>
      </c>
      <c r="K1124" s="2">
        <v>1000</v>
      </c>
      <c r="L1124" s="2">
        <v>15</v>
      </c>
      <c r="M1124" s="2">
        <v>0</v>
      </c>
      <c r="N1124" t="s">
        <v>1125</v>
      </c>
      <c r="O1124" t="s">
        <v>1123</v>
      </c>
      <c r="P1124" t="s">
        <v>158</v>
      </c>
      <c r="Q1124" t="s">
        <v>159</v>
      </c>
      <c r="S1124" t="s">
        <v>4956</v>
      </c>
      <c r="U1124" t="s">
        <v>45</v>
      </c>
      <c r="V1124" t="s">
        <v>46</v>
      </c>
      <c r="W1124" t="s">
        <v>1125</v>
      </c>
      <c r="X1124" t="s">
        <v>1123</v>
      </c>
      <c r="Y1124" t="s">
        <v>161</v>
      </c>
      <c r="Z1124" t="s">
        <v>162</v>
      </c>
      <c r="AA1124" t="s">
        <v>49</v>
      </c>
      <c r="AB1124" t="s">
        <v>50</v>
      </c>
      <c r="AC1124" s="2">
        <v>145380.73000000001</v>
      </c>
      <c r="AD1124" t="s">
        <v>5328</v>
      </c>
      <c r="AE1124" t="s">
        <v>52</v>
      </c>
    </row>
    <row r="1125" spans="1:31" x14ac:dyDescent="0.25">
      <c r="A1125" t="s">
        <v>5329</v>
      </c>
      <c r="B1125" t="s">
        <v>5330</v>
      </c>
      <c r="C1125" t="s">
        <v>5330</v>
      </c>
      <c r="D1125" t="s">
        <v>478</v>
      </c>
      <c r="E1125" t="s">
        <v>190</v>
      </c>
      <c r="F1125" t="s">
        <v>5331</v>
      </c>
      <c r="G1125" t="s">
        <v>1169</v>
      </c>
      <c r="H1125" t="s">
        <v>4302</v>
      </c>
      <c r="I1125" t="s">
        <v>5332</v>
      </c>
      <c r="J1125" s="2">
        <v>2181700</v>
      </c>
      <c r="K1125" s="2">
        <v>10000</v>
      </c>
      <c r="L1125" s="2">
        <v>30</v>
      </c>
      <c r="M1125" s="2">
        <v>0</v>
      </c>
      <c r="N1125" t="s">
        <v>4301</v>
      </c>
      <c r="O1125" t="s">
        <v>4302</v>
      </c>
      <c r="P1125" t="s">
        <v>158</v>
      </c>
      <c r="Q1125" t="s">
        <v>159</v>
      </c>
      <c r="S1125" t="s">
        <v>5333</v>
      </c>
      <c r="U1125" t="s">
        <v>45</v>
      </c>
      <c r="V1125" t="s">
        <v>46</v>
      </c>
      <c r="W1125" t="s">
        <v>4301</v>
      </c>
      <c r="X1125" t="s">
        <v>4302</v>
      </c>
      <c r="Y1125" t="s">
        <v>161</v>
      </c>
      <c r="Z1125" t="s">
        <v>162</v>
      </c>
      <c r="AA1125" t="s">
        <v>49</v>
      </c>
      <c r="AB1125" t="s">
        <v>50</v>
      </c>
      <c r="AC1125" s="2">
        <v>1933713.76</v>
      </c>
      <c r="AD1125" t="s">
        <v>5334</v>
      </c>
    </row>
    <row r="1126" spans="1:31" hidden="1" x14ac:dyDescent="0.25">
      <c r="I1126" t="s">
        <v>5335</v>
      </c>
      <c r="J1126" s="2">
        <v>218</v>
      </c>
      <c r="K1126" s="2">
        <v>1</v>
      </c>
      <c r="L1126" s="2">
        <v>1</v>
      </c>
      <c r="M1126" s="2">
        <v>0</v>
      </c>
      <c r="S1126" t="s">
        <v>5338</v>
      </c>
      <c r="U1126" t="s">
        <v>45</v>
      </c>
      <c r="V1126" t="s">
        <v>46</v>
      </c>
      <c r="W1126" t="s">
        <v>5336</v>
      </c>
      <c r="X1126" t="s">
        <v>5337</v>
      </c>
      <c r="Y1126" t="s">
        <v>1122</v>
      </c>
      <c r="Z1126" t="s">
        <v>1122</v>
      </c>
      <c r="AA1126" t="s">
        <v>49</v>
      </c>
      <c r="AC1126" s="2"/>
    </row>
    <row r="1127" spans="1:31" x14ac:dyDescent="0.25">
      <c r="A1127" t="s">
        <v>5339</v>
      </c>
      <c r="B1127" t="s">
        <v>5340</v>
      </c>
      <c r="C1127" t="s">
        <v>5340</v>
      </c>
      <c r="D1127" t="s">
        <v>35</v>
      </c>
      <c r="E1127" t="s">
        <v>36</v>
      </c>
      <c r="F1127" t="s">
        <v>5341</v>
      </c>
      <c r="G1127" t="s">
        <v>178</v>
      </c>
      <c r="H1127" t="s">
        <v>881</v>
      </c>
      <c r="I1127" t="s">
        <v>5342</v>
      </c>
      <c r="J1127" s="2">
        <v>218170</v>
      </c>
      <c r="K1127" s="2">
        <v>1000</v>
      </c>
      <c r="L1127" s="2">
        <v>15</v>
      </c>
      <c r="M1127" s="2">
        <v>0</v>
      </c>
      <c r="N1127" t="s">
        <v>883</v>
      </c>
      <c r="O1127" t="s">
        <v>881</v>
      </c>
      <c r="P1127" t="s">
        <v>158</v>
      </c>
      <c r="Q1127" t="s">
        <v>159</v>
      </c>
      <c r="S1127" t="s">
        <v>5343</v>
      </c>
      <c r="U1127" t="s">
        <v>45</v>
      </c>
      <c r="V1127" t="s">
        <v>46</v>
      </c>
      <c r="W1127" t="s">
        <v>883</v>
      </c>
      <c r="X1127" t="s">
        <v>881</v>
      </c>
      <c r="Y1127" t="s">
        <v>161</v>
      </c>
      <c r="Z1127" t="s">
        <v>162</v>
      </c>
      <c r="AA1127" t="s">
        <v>49</v>
      </c>
      <c r="AB1127" t="s">
        <v>50</v>
      </c>
      <c r="AC1127" s="2">
        <v>190776.76</v>
      </c>
      <c r="AD1127" t="s">
        <v>5344</v>
      </c>
      <c r="AE1127" t="s">
        <v>52</v>
      </c>
    </row>
    <row r="1128" spans="1:31" x14ac:dyDescent="0.25">
      <c r="A1128" t="s">
        <v>5345</v>
      </c>
      <c r="B1128" t="s">
        <v>5346</v>
      </c>
      <c r="C1128" t="s">
        <v>5346</v>
      </c>
      <c r="D1128" t="s">
        <v>553</v>
      </c>
      <c r="E1128" t="s">
        <v>167</v>
      </c>
      <c r="F1128" t="s">
        <v>5347</v>
      </c>
      <c r="G1128" t="s">
        <v>2139</v>
      </c>
      <c r="H1128" t="s">
        <v>584</v>
      </c>
      <c r="J1128" s="2">
        <v>1090850</v>
      </c>
      <c r="K1128" s="2">
        <v>5000</v>
      </c>
      <c r="L1128" s="2">
        <v>15</v>
      </c>
      <c r="M1128" s="2">
        <v>0</v>
      </c>
      <c r="N1128" t="s">
        <v>585</v>
      </c>
      <c r="O1128" t="s">
        <v>584</v>
      </c>
      <c r="P1128" t="s">
        <v>158</v>
      </c>
      <c r="Q1128" t="s">
        <v>159</v>
      </c>
      <c r="S1128" t="s">
        <v>5348</v>
      </c>
      <c r="U1128" t="s">
        <v>45</v>
      </c>
      <c r="V1128" t="s">
        <v>46</v>
      </c>
      <c r="W1128" t="s">
        <v>585</v>
      </c>
      <c r="X1128" t="s">
        <v>584</v>
      </c>
      <c r="Y1128" t="s">
        <v>161</v>
      </c>
      <c r="Z1128" t="s">
        <v>162</v>
      </c>
      <c r="AA1128" t="s">
        <v>49</v>
      </c>
      <c r="AB1128" t="s">
        <v>50</v>
      </c>
      <c r="AC1128" s="2">
        <v>1079023.8400000001</v>
      </c>
      <c r="AD1128" t="s">
        <v>5349</v>
      </c>
    </row>
    <row r="1129" spans="1:31" x14ac:dyDescent="0.25">
      <c r="A1129" t="s">
        <v>5350</v>
      </c>
      <c r="B1129" t="s">
        <v>5351</v>
      </c>
      <c r="C1129" t="s">
        <v>5351</v>
      </c>
      <c r="D1129" t="s">
        <v>569</v>
      </c>
      <c r="E1129" t="s">
        <v>570</v>
      </c>
      <c r="F1129" t="s">
        <v>5352</v>
      </c>
      <c r="G1129" t="s">
        <v>569</v>
      </c>
      <c r="H1129" t="s">
        <v>90</v>
      </c>
      <c r="I1129" t="s">
        <v>5353</v>
      </c>
      <c r="J1129" s="2">
        <v>2444954</v>
      </c>
      <c r="K1129" s="2">
        <v>11120</v>
      </c>
      <c r="L1129" s="2">
        <v>30</v>
      </c>
      <c r="M1129" s="2">
        <v>0</v>
      </c>
      <c r="N1129" t="s">
        <v>89</v>
      </c>
      <c r="O1129" t="s">
        <v>90</v>
      </c>
      <c r="P1129" t="s">
        <v>91</v>
      </c>
      <c r="Q1129" t="s">
        <v>92</v>
      </c>
      <c r="S1129" t="s">
        <v>5354</v>
      </c>
      <c r="U1129" t="s">
        <v>45</v>
      </c>
      <c r="V1129" t="s">
        <v>46</v>
      </c>
      <c r="W1129" t="s">
        <v>89</v>
      </c>
      <c r="X1129" t="s">
        <v>90</v>
      </c>
      <c r="Y1129" t="s">
        <v>92</v>
      </c>
      <c r="Z1129" t="s">
        <v>94</v>
      </c>
      <c r="AA1129" t="s">
        <v>49</v>
      </c>
      <c r="AB1129" t="s">
        <v>50</v>
      </c>
      <c r="AC1129" s="2">
        <v>962792.92</v>
      </c>
      <c r="AD1129" t="s">
        <v>5355</v>
      </c>
      <c r="AE1129" t="s">
        <v>52</v>
      </c>
    </row>
    <row r="1130" spans="1:31" hidden="1" x14ac:dyDescent="0.25">
      <c r="I1130" t="s">
        <v>5357</v>
      </c>
      <c r="J1130" s="2">
        <v>43634</v>
      </c>
      <c r="K1130" s="2">
        <v>200</v>
      </c>
      <c r="L1130" s="2">
        <v>15</v>
      </c>
      <c r="M1130" s="2">
        <v>0</v>
      </c>
      <c r="S1130" t="s">
        <v>5358</v>
      </c>
      <c r="U1130" t="s">
        <v>45</v>
      </c>
      <c r="V1130" t="s">
        <v>46</v>
      </c>
      <c r="W1130" t="s">
        <v>664</v>
      </c>
      <c r="X1130" t="s">
        <v>665</v>
      </c>
      <c r="Y1130" t="s">
        <v>106</v>
      </c>
      <c r="Z1130" t="s">
        <v>107</v>
      </c>
      <c r="AA1130" t="s">
        <v>49</v>
      </c>
      <c r="AC1130" s="2"/>
    </row>
    <row r="1131" spans="1:31" x14ac:dyDescent="0.25">
      <c r="A1131" t="s">
        <v>5359</v>
      </c>
      <c r="B1131" t="s">
        <v>5360</v>
      </c>
      <c r="C1131" t="s">
        <v>5360</v>
      </c>
      <c r="D1131" t="s">
        <v>569</v>
      </c>
      <c r="E1131" t="s">
        <v>570</v>
      </c>
      <c r="F1131" t="s">
        <v>5361</v>
      </c>
      <c r="G1131" t="s">
        <v>569</v>
      </c>
      <c r="H1131" t="s">
        <v>597</v>
      </c>
      <c r="I1131" t="s">
        <v>5362</v>
      </c>
      <c r="J1131" s="2">
        <v>872680</v>
      </c>
      <c r="K1131" s="2">
        <v>4000</v>
      </c>
      <c r="L1131" s="2">
        <v>21</v>
      </c>
      <c r="M1131" s="2">
        <v>0</v>
      </c>
      <c r="N1131" t="s">
        <v>596</v>
      </c>
      <c r="O1131" t="s">
        <v>597</v>
      </c>
      <c r="P1131" t="s">
        <v>91</v>
      </c>
      <c r="Q1131" t="s">
        <v>92</v>
      </c>
      <c r="S1131" t="s">
        <v>5363</v>
      </c>
      <c r="U1131" t="s">
        <v>45</v>
      </c>
      <c r="V1131" t="s">
        <v>46</v>
      </c>
      <c r="W1131" t="s">
        <v>596</v>
      </c>
      <c r="X1131" t="s">
        <v>597</v>
      </c>
      <c r="Y1131" t="s">
        <v>92</v>
      </c>
      <c r="Z1131" t="s">
        <v>94</v>
      </c>
      <c r="AA1131" t="s">
        <v>49</v>
      </c>
      <c r="AB1131" t="s">
        <v>50</v>
      </c>
      <c r="AC1131" s="2">
        <v>430580.8</v>
      </c>
      <c r="AD1131" t="s">
        <v>5364</v>
      </c>
      <c r="AE1131" t="s">
        <v>115</v>
      </c>
    </row>
    <row r="1132" spans="1:31" x14ac:dyDescent="0.25">
      <c r="A1132" t="s">
        <v>5365</v>
      </c>
      <c r="B1132" t="s">
        <v>5366</v>
      </c>
      <c r="C1132" t="s">
        <v>5366</v>
      </c>
      <c r="D1132" t="s">
        <v>153</v>
      </c>
      <c r="E1132" t="s">
        <v>272</v>
      </c>
      <c r="F1132" t="s">
        <v>5367</v>
      </c>
      <c r="G1132" t="s">
        <v>153</v>
      </c>
      <c r="H1132" t="s">
        <v>277</v>
      </c>
      <c r="I1132" t="s">
        <v>5368</v>
      </c>
      <c r="J1132" s="2">
        <v>327255</v>
      </c>
      <c r="K1132" s="2">
        <v>1500</v>
      </c>
      <c r="L1132" s="2">
        <v>30</v>
      </c>
      <c r="M1132" s="2">
        <v>0</v>
      </c>
      <c r="N1132" t="s">
        <v>276</v>
      </c>
      <c r="O1132" t="s">
        <v>277</v>
      </c>
      <c r="P1132" t="s">
        <v>103</v>
      </c>
      <c r="Q1132" t="s">
        <v>104</v>
      </c>
      <c r="S1132" t="s">
        <v>5369</v>
      </c>
      <c r="U1132" t="s">
        <v>45</v>
      </c>
      <c r="V1132" t="s">
        <v>46</v>
      </c>
      <c r="W1132" t="s">
        <v>276</v>
      </c>
      <c r="X1132" t="s">
        <v>277</v>
      </c>
      <c r="Y1132" t="s">
        <v>279</v>
      </c>
      <c r="Z1132" t="s">
        <v>280</v>
      </c>
      <c r="AA1132" t="s">
        <v>49</v>
      </c>
      <c r="AB1132" t="s">
        <v>50</v>
      </c>
      <c r="AC1132" s="2">
        <v>90558.64</v>
      </c>
      <c r="AD1132" t="s">
        <v>5370</v>
      </c>
      <c r="AE1132" t="s">
        <v>52</v>
      </c>
    </row>
    <row r="1133" spans="1:31" x14ac:dyDescent="0.25">
      <c r="A1133" t="s">
        <v>5371</v>
      </c>
      <c r="B1133" t="s">
        <v>5372</v>
      </c>
      <c r="C1133" t="s">
        <v>5372</v>
      </c>
      <c r="D1133" t="s">
        <v>773</v>
      </c>
      <c r="E1133" t="s">
        <v>224</v>
      </c>
      <c r="F1133" t="s">
        <v>5373</v>
      </c>
      <c r="G1133" t="s">
        <v>819</v>
      </c>
      <c r="H1133" t="s">
        <v>820</v>
      </c>
      <c r="J1133" s="2">
        <v>436340</v>
      </c>
      <c r="K1133" s="2">
        <v>2000</v>
      </c>
      <c r="L1133" s="2">
        <v>21</v>
      </c>
      <c r="M1133" s="2">
        <v>0</v>
      </c>
      <c r="N1133" t="s">
        <v>822</v>
      </c>
      <c r="O1133" t="s">
        <v>820</v>
      </c>
      <c r="P1133" t="s">
        <v>91</v>
      </c>
      <c r="Q1133" t="s">
        <v>92</v>
      </c>
      <c r="S1133" t="s">
        <v>5374</v>
      </c>
      <c r="U1133" t="s">
        <v>45</v>
      </c>
      <c r="V1133" t="s">
        <v>46</v>
      </c>
      <c r="W1133" t="s">
        <v>822</v>
      </c>
      <c r="X1133" t="s">
        <v>820</v>
      </c>
      <c r="Y1133" t="s">
        <v>92</v>
      </c>
      <c r="Z1133" t="s">
        <v>94</v>
      </c>
      <c r="AA1133" t="s">
        <v>49</v>
      </c>
      <c r="AB1133" t="s">
        <v>50</v>
      </c>
      <c r="AC1133" s="2">
        <v>341298.45</v>
      </c>
      <c r="AD1133" t="s">
        <v>5375</v>
      </c>
    </row>
    <row r="1134" spans="1:31" x14ac:dyDescent="0.25">
      <c r="A1134" t="s">
        <v>5376</v>
      </c>
      <c r="B1134" t="s">
        <v>5377</v>
      </c>
      <c r="C1134" t="s">
        <v>5220</v>
      </c>
      <c r="D1134" t="s">
        <v>35</v>
      </c>
      <c r="E1134" t="s">
        <v>36</v>
      </c>
      <c r="F1134" t="s">
        <v>2862</v>
      </c>
      <c r="G1134" t="s">
        <v>569</v>
      </c>
      <c r="H1134" t="s">
        <v>38</v>
      </c>
      <c r="I1134" t="s">
        <v>5221</v>
      </c>
      <c r="J1134" s="2">
        <v>436340</v>
      </c>
      <c r="K1134" s="2">
        <v>2000</v>
      </c>
      <c r="L1134" s="2">
        <v>15</v>
      </c>
      <c r="M1134" s="2">
        <v>0</v>
      </c>
      <c r="N1134" t="s">
        <v>40</v>
      </c>
      <c r="O1134" t="s">
        <v>41</v>
      </c>
      <c r="P1134" t="s">
        <v>61</v>
      </c>
      <c r="Q1134" t="s">
        <v>62</v>
      </c>
      <c r="S1134" t="s">
        <v>5378</v>
      </c>
      <c r="U1134" t="s">
        <v>45</v>
      </c>
      <c r="V1134" t="s">
        <v>46</v>
      </c>
      <c r="W1134" t="s">
        <v>40</v>
      </c>
      <c r="X1134" t="s">
        <v>41</v>
      </c>
      <c r="Y1134" t="s">
        <v>47</v>
      </c>
      <c r="Z1134" t="s">
        <v>48</v>
      </c>
      <c r="AA1134" t="s">
        <v>49</v>
      </c>
      <c r="AB1134" t="s">
        <v>50</v>
      </c>
      <c r="AC1134" s="2">
        <v>404351.37</v>
      </c>
      <c r="AD1134" t="s">
        <v>5379</v>
      </c>
      <c r="AE1134" t="s">
        <v>52</v>
      </c>
    </row>
    <row r="1135" spans="1:31" hidden="1" x14ac:dyDescent="0.25">
      <c r="I1135" t="s">
        <v>5380</v>
      </c>
      <c r="J1135" s="2">
        <v>19500</v>
      </c>
      <c r="K1135" s="2">
        <v>0</v>
      </c>
      <c r="L1135" s="2">
        <v>15</v>
      </c>
      <c r="M1135" s="2">
        <v>0</v>
      </c>
      <c r="S1135" t="s">
        <v>5381</v>
      </c>
      <c r="U1135" t="s">
        <v>45</v>
      </c>
      <c r="V1135" t="s">
        <v>46</v>
      </c>
      <c r="W1135" t="s">
        <v>664</v>
      </c>
      <c r="X1135" t="s">
        <v>665</v>
      </c>
      <c r="Y1135" t="s">
        <v>106</v>
      </c>
      <c r="Z1135" t="s">
        <v>107</v>
      </c>
      <c r="AA1135" t="s">
        <v>49</v>
      </c>
      <c r="AC1135" s="2"/>
    </row>
    <row r="1136" spans="1:31" hidden="1" x14ac:dyDescent="0.25">
      <c r="I1136" t="s">
        <v>4719</v>
      </c>
      <c r="J1136" s="2">
        <v>21817</v>
      </c>
      <c r="K1136" s="2">
        <v>100</v>
      </c>
      <c r="L1136" s="2">
        <v>45</v>
      </c>
      <c r="M1136" s="2">
        <v>0</v>
      </c>
      <c r="S1136" t="s">
        <v>5382</v>
      </c>
      <c r="U1136" t="s">
        <v>45</v>
      </c>
      <c r="V1136" t="s">
        <v>46</v>
      </c>
      <c r="W1136" t="s">
        <v>613</v>
      </c>
      <c r="X1136" t="s">
        <v>614</v>
      </c>
      <c r="Y1136" t="s">
        <v>92</v>
      </c>
      <c r="Z1136" t="s">
        <v>94</v>
      </c>
      <c r="AA1136" t="s">
        <v>49</v>
      </c>
      <c r="AC1136" s="2"/>
    </row>
    <row r="1137" spans="1:31" x14ac:dyDescent="0.25">
      <c r="A1137" t="s">
        <v>5383</v>
      </c>
      <c r="B1137" t="s">
        <v>5384</v>
      </c>
      <c r="C1137" t="s">
        <v>1751</v>
      </c>
      <c r="D1137" t="s">
        <v>35</v>
      </c>
      <c r="E1137" t="s">
        <v>36</v>
      </c>
      <c r="F1137" t="s">
        <v>5385</v>
      </c>
      <c r="G1137" t="s">
        <v>649</v>
      </c>
      <c r="H1137" t="s">
        <v>327</v>
      </c>
      <c r="I1137" t="s">
        <v>5386</v>
      </c>
      <c r="J1137" s="2">
        <v>135265</v>
      </c>
      <c r="K1137" s="2">
        <v>620</v>
      </c>
      <c r="L1137" s="2">
        <v>15</v>
      </c>
      <c r="M1137" s="2">
        <v>0</v>
      </c>
      <c r="N1137" t="s">
        <v>326</v>
      </c>
      <c r="O1137" t="s">
        <v>327</v>
      </c>
      <c r="P1137" t="s">
        <v>120</v>
      </c>
      <c r="Q1137" t="s">
        <v>121</v>
      </c>
      <c r="S1137" t="s">
        <v>5387</v>
      </c>
      <c r="U1137" t="s">
        <v>45</v>
      </c>
      <c r="V1137" t="s">
        <v>46</v>
      </c>
      <c r="W1137" t="s">
        <v>326</v>
      </c>
      <c r="X1137" t="s">
        <v>327</v>
      </c>
      <c r="Y1137" t="s">
        <v>121</v>
      </c>
      <c r="Z1137" t="s">
        <v>94</v>
      </c>
      <c r="AA1137" t="s">
        <v>49</v>
      </c>
      <c r="AB1137" t="s">
        <v>50</v>
      </c>
      <c r="AC1137" s="2">
        <v>131708.73000000001</v>
      </c>
      <c r="AD1137" t="s">
        <v>5388</v>
      </c>
      <c r="AE1137" t="s">
        <v>115</v>
      </c>
    </row>
    <row r="1138" spans="1:31" hidden="1" x14ac:dyDescent="0.25">
      <c r="I1138" t="s">
        <v>5389</v>
      </c>
      <c r="J1138" s="2">
        <v>21817</v>
      </c>
      <c r="K1138" s="2">
        <v>100</v>
      </c>
      <c r="L1138" s="2">
        <v>1</v>
      </c>
      <c r="M1138" s="2">
        <v>0</v>
      </c>
      <c r="S1138" t="s">
        <v>5390</v>
      </c>
      <c r="U1138" t="s">
        <v>45</v>
      </c>
      <c r="V1138" t="s">
        <v>46</v>
      </c>
      <c r="W1138" t="s">
        <v>2472</v>
      </c>
      <c r="X1138" t="s">
        <v>2475</v>
      </c>
      <c r="Y1138" t="s">
        <v>1215</v>
      </c>
      <c r="Z1138" t="s">
        <v>1216</v>
      </c>
      <c r="AA1138" t="s">
        <v>49</v>
      </c>
      <c r="AC1138" s="2"/>
    </row>
    <row r="1139" spans="1:31" x14ac:dyDescent="0.25">
      <c r="A1139" t="s">
        <v>5391</v>
      </c>
      <c r="B1139" t="s">
        <v>5392</v>
      </c>
      <c r="C1139" t="s">
        <v>5392</v>
      </c>
      <c r="D1139" t="s">
        <v>125</v>
      </c>
      <c r="E1139" t="s">
        <v>126</v>
      </c>
      <c r="F1139" t="s">
        <v>5393</v>
      </c>
      <c r="G1139" t="s">
        <v>478</v>
      </c>
      <c r="H1139" t="s">
        <v>255</v>
      </c>
      <c r="I1139" t="s">
        <v>5394</v>
      </c>
      <c r="J1139" s="2">
        <v>231260</v>
      </c>
      <c r="K1139" s="2">
        <v>1060</v>
      </c>
      <c r="L1139" s="2">
        <v>15</v>
      </c>
      <c r="M1139" s="2">
        <v>0</v>
      </c>
      <c r="N1139" t="s">
        <v>254</v>
      </c>
      <c r="O1139" t="s">
        <v>255</v>
      </c>
      <c r="P1139" t="s">
        <v>3534</v>
      </c>
      <c r="Q1139" t="s">
        <v>3535</v>
      </c>
      <c r="S1139" t="s">
        <v>5395</v>
      </c>
      <c r="U1139" t="s">
        <v>45</v>
      </c>
      <c r="V1139" t="s">
        <v>46</v>
      </c>
      <c r="W1139" t="s">
        <v>254</v>
      </c>
      <c r="X1139" t="s">
        <v>255</v>
      </c>
      <c r="Y1139" t="s">
        <v>258</v>
      </c>
      <c r="Z1139" t="s">
        <v>259</v>
      </c>
      <c r="AA1139" t="s">
        <v>49</v>
      </c>
      <c r="AB1139" t="s">
        <v>50</v>
      </c>
      <c r="AC1139" s="2">
        <v>50306.03</v>
      </c>
      <c r="AD1139" t="s">
        <v>5396</v>
      </c>
      <c r="AE1139" t="s">
        <v>52</v>
      </c>
    </row>
    <row r="1140" spans="1:31" hidden="1" x14ac:dyDescent="0.25">
      <c r="I1140" t="s">
        <v>5397</v>
      </c>
      <c r="J1140" s="2">
        <v>33690</v>
      </c>
      <c r="K1140" s="2">
        <v>154.41999999999999</v>
      </c>
      <c r="L1140" s="2">
        <v>1</v>
      </c>
      <c r="M1140" s="2">
        <v>0</v>
      </c>
      <c r="S1140" t="s">
        <v>5398</v>
      </c>
      <c r="U1140" t="s">
        <v>45</v>
      </c>
      <c r="V1140" t="s">
        <v>46</v>
      </c>
      <c r="W1140" t="s">
        <v>276</v>
      </c>
      <c r="X1140" t="s">
        <v>277</v>
      </c>
      <c r="Y1140" t="s">
        <v>279</v>
      </c>
      <c r="Z1140" t="s">
        <v>280</v>
      </c>
      <c r="AA1140" t="s">
        <v>49</v>
      </c>
      <c r="AC1140" s="2"/>
    </row>
    <row r="1141" spans="1:31" x14ac:dyDescent="0.25">
      <c r="A1141" t="s">
        <v>5399</v>
      </c>
      <c r="B1141" t="s">
        <v>5400</v>
      </c>
      <c r="C1141" t="s">
        <v>5400</v>
      </c>
      <c r="D1141" t="s">
        <v>299</v>
      </c>
      <c r="E1141" t="s">
        <v>167</v>
      </c>
      <c r="F1141" t="s">
        <v>5401</v>
      </c>
      <c r="G1141" t="s">
        <v>299</v>
      </c>
      <c r="H1141" t="s">
        <v>932</v>
      </c>
      <c r="J1141" s="2">
        <v>239987</v>
      </c>
      <c r="K1141" s="2">
        <v>1100</v>
      </c>
      <c r="L1141" s="2">
        <v>18</v>
      </c>
      <c r="M1141" s="2">
        <v>0</v>
      </c>
      <c r="N1141" t="s">
        <v>933</v>
      </c>
      <c r="O1141" t="s">
        <v>932</v>
      </c>
      <c r="P1141" t="s">
        <v>103</v>
      </c>
      <c r="Q1141" t="s">
        <v>104</v>
      </c>
      <c r="S1141" t="s">
        <v>5402</v>
      </c>
      <c r="U1141" t="s">
        <v>45</v>
      </c>
      <c r="V1141" t="s">
        <v>46</v>
      </c>
      <c r="W1141" t="s">
        <v>933</v>
      </c>
      <c r="X1141" t="s">
        <v>932</v>
      </c>
      <c r="Y1141" t="s">
        <v>279</v>
      </c>
      <c r="Z1141" t="s">
        <v>280</v>
      </c>
      <c r="AA1141" t="s">
        <v>49</v>
      </c>
      <c r="AB1141" t="s">
        <v>50</v>
      </c>
      <c r="AC1141" s="2">
        <v>96834.46</v>
      </c>
      <c r="AD1141" t="s">
        <v>5403</v>
      </c>
      <c r="AE1141" t="s">
        <v>52</v>
      </c>
    </row>
    <row r="1142" spans="1:31" x14ac:dyDescent="0.25">
      <c r="A1142" t="s">
        <v>5404</v>
      </c>
      <c r="B1142" t="s">
        <v>5405</v>
      </c>
      <c r="C1142" t="s">
        <v>5405</v>
      </c>
      <c r="D1142" t="s">
        <v>153</v>
      </c>
      <c r="E1142" t="s">
        <v>272</v>
      </c>
      <c r="F1142" t="s">
        <v>5406</v>
      </c>
      <c r="G1142" t="s">
        <v>153</v>
      </c>
      <c r="H1142" t="s">
        <v>1222</v>
      </c>
      <c r="I1142" t="s">
        <v>5407</v>
      </c>
      <c r="J1142" s="2">
        <v>218170</v>
      </c>
      <c r="K1142" s="2">
        <v>1000</v>
      </c>
      <c r="L1142" s="2">
        <v>7</v>
      </c>
      <c r="M1142" s="2">
        <v>0</v>
      </c>
      <c r="N1142" t="s">
        <v>1221</v>
      </c>
      <c r="O1142" t="s">
        <v>1222</v>
      </c>
      <c r="P1142" t="s">
        <v>205</v>
      </c>
      <c r="Q1142" t="s">
        <v>206</v>
      </c>
      <c r="S1142" t="s">
        <v>5408</v>
      </c>
      <c r="U1142" t="s">
        <v>45</v>
      </c>
      <c r="V1142" t="s">
        <v>46</v>
      </c>
      <c r="W1142" t="s">
        <v>1221</v>
      </c>
      <c r="X1142" t="s">
        <v>1222</v>
      </c>
      <c r="Y1142" t="s">
        <v>161</v>
      </c>
      <c r="Z1142" t="s">
        <v>162</v>
      </c>
      <c r="AA1142" t="s">
        <v>49</v>
      </c>
      <c r="AB1142" t="s">
        <v>50</v>
      </c>
      <c r="AC1142" s="2">
        <v>74421.69</v>
      </c>
      <c r="AD1142" t="s">
        <v>5409</v>
      </c>
      <c r="AE1142" t="s">
        <v>52</v>
      </c>
    </row>
    <row r="1143" spans="1:31" x14ac:dyDescent="0.25">
      <c r="A1143" t="s">
        <v>5410</v>
      </c>
      <c r="B1143" t="s">
        <v>5411</v>
      </c>
      <c r="C1143" t="s">
        <v>5411</v>
      </c>
      <c r="D1143" t="s">
        <v>498</v>
      </c>
      <c r="E1143" t="s">
        <v>190</v>
      </c>
      <c r="F1143" t="s">
        <v>5412</v>
      </c>
      <c r="G1143" t="s">
        <v>189</v>
      </c>
      <c r="H1143" t="s">
        <v>90</v>
      </c>
      <c r="J1143" s="2">
        <v>466100</v>
      </c>
      <c r="K1143" s="2">
        <v>2000</v>
      </c>
      <c r="L1143" s="2">
        <v>21</v>
      </c>
      <c r="M1143" s="2">
        <v>0</v>
      </c>
      <c r="N1143" t="s">
        <v>89</v>
      </c>
      <c r="O1143" t="s">
        <v>90</v>
      </c>
      <c r="P1143" t="s">
        <v>91</v>
      </c>
      <c r="Q1143" t="s">
        <v>92</v>
      </c>
      <c r="S1143" t="s">
        <v>5413</v>
      </c>
      <c r="U1143" t="s">
        <v>45</v>
      </c>
      <c r="V1143" t="s">
        <v>46</v>
      </c>
      <c r="W1143" t="s">
        <v>89</v>
      </c>
      <c r="X1143" t="s">
        <v>90</v>
      </c>
      <c r="Y1143" t="s">
        <v>92</v>
      </c>
      <c r="Z1143" t="s">
        <v>94</v>
      </c>
      <c r="AA1143" t="s">
        <v>49</v>
      </c>
      <c r="AB1143" t="s">
        <v>50</v>
      </c>
      <c r="AC1143" s="2">
        <v>95036.59</v>
      </c>
      <c r="AD1143" t="s">
        <v>5414</v>
      </c>
      <c r="AE1143" t="s">
        <v>115</v>
      </c>
    </row>
    <row r="1144" spans="1:31" x14ac:dyDescent="0.25">
      <c r="A1144" t="s">
        <v>5415</v>
      </c>
      <c r="B1144" t="s">
        <v>5416</v>
      </c>
      <c r="C1144" t="s">
        <v>5416</v>
      </c>
      <c r="D1144" t="s">
        <v>125</v>
      </c>
      <c r="E1144" t="s">
        <v>126</v>
      </c>
      <c r="F1144" t="s">
        <v>5417</v>
      </c>
      <c r="G1144" t="s">
        <v>35</v>
      </c>
      <c r="H1144" t="s">
        <v>932</v>
      </c>
      <c r="J1144" s="2">
        <v>1647184</v>
      </c>
      <c r="K1144" s="2">
        <v>7550</v>
      </c>
      <c r="L1144" s="2">
        <v>21</v>
      </c>
      <c r="M1144" s="2">
        <v>0</v>
      </c>
      <c r="N1144" t="s">
        <v>933</v>
      </c>
      <c r="O1144" t="s">
        <v>932</v>
      </c>
      <c r="P1144" t="s">
        <v>103</v>
      </c>
      <c r="Q1144" t="s">
        <v>104</v>
      </c>
      <c r="S1144" t="s">
        <v>5418</v>
      </c>
      <c r="U1144" t="s">
        <v>45</v>
      </c>
      <c r="V1144" t="s">
        <v>46</v>
      </c>
      <c r="W1144" t="s">
        <v>933</v>
      </c>
      <c r="X1144" t="s">
        <v>932</v>
      </c>
      <c r="Y1144" t="s">
        <v>279</v>
      </c>
      <c r="Z1144" t="s">
        <v>280</v>
      </c>
      <c r="AA1144" t="s">
        <v>49</v>
      </c>
      <c r="AB1144" t="s">
        <v>50</v>
      </c>
      <c r="AC1144" s="2">
        <v>832754.79</v>
      </c>
      <c r="AD1144" t="s">
        <v>5419</v>
      </c>
      <c r="AE1144" t="s">
        <v>52</v>
      </c>
    </row>
    <row r="1145" spans="1:31" x14ac:dyDescent="0.25">
      <c r="A1145" t="s">
        <v>5420</v>
      </c>
      <c r="B1145" t="s">
        <v>5421</v>
      </c>
      <c r="C1145" t="s">
        <v>5421</v>
      </c>
      <c r="D1145" t="s">
        <v>888</v>
      </c>
      <c r="E1145" t="s">
        <v>167</v>
      </c>
      <c r="F1145" t="s">
        <v>5422</v>
      </c>
      <c r="G1145" t="s">
        <v>817</v>
      </c>
      <c r="H1145" t="s">
        <v>1123</v>
      </c>
      <c r="I1145" t="s">
        <v>5423</v>
      </c>
      <c r="J1145" s="2">
        <v>218170</v>
      </c>
      <c r="K1145" s="2">
        <v>1000</v>
      </c>
      <c r="L1145" s="2">
        <v>15</v>
      </c>
      <c r="M1145" s="2">
        <v>0</v>
      </c>
      <c r="N1145" t="s">
        <v>1125</v>
      </c>
      <c r="O1145" t="s">
        <v>1123</v>
      </c>
      <c r="P1145" t="s">
        <v>158</v>
      </c>
      <c r="Q1145" t="s">
        <v>159</v>
      </c>
      <c r="S1145" t="s">
        <v>5424</v>
      </c>
      <c r="U1145" t="s">
        <v>45</v>
      </c>
      <c r="V1145" t="s">
        <v>46</v>
      </c>
      <c r="W1145" t="s">
        <v>1125</v>
      </c>
      <c r="X1145" t="s">
        <v>1123</v>
      </c>
      <c r="Y1145" t="s">
        <v>161</v>
      </c>
      <c r="Z1145" t="s">
        <v>162</v>
      </c>
      <c r="AA1145" t="s">
        <v>49</v>
      </c>
      <c r="AB1145" t="s">
        <v>50</v>
      </c>
      <c r="AC1145" s="2">
        <v>194630.99</v>
      </c>
      <c r="AD1145" t="s">
        <v>5425</v>
      </c>
    </row>
    <row r="1146" spans="1:31" x14ac:dyDescent="0.25">
      <c r="A1146" t="s">
        <v>5426</v>
      </c>
      <c r="B1146" t="s">
        <v>5427</v>
      </c>
      <c r="C1146" t="s">
        <v>5427</v>
      </c>
      <c r="D1146" t="s">
        <v>264</v>
      </c>
      <c r="E1146" t="s">
        <v>134</v>
      </c>
      <c r="F1146" t="s">
        <v>5428</v>
      </c>
      <c r="G1146" t="s">
        <v>4391</v>
      </c>
      <c r="H1146" t="s">
        <v>41</v>
      </c>
      <c r="I1146" t="s">
        <v>5429</v>
      </c>
      <c r="J1146" s="2">
        <v>87268</v>
      </c>
      <c r="K1146" s="2">
        <v>400</v>
      </c>
      <c r="L1146" s="2">
        <v>21</v>
      </c>
      <c r="M1146" s="2">
        <v>0</v>
      </c>
      <c r="N1146" t="s">
        <v>40</v>
      </c>
      <c r="O1146" t="s">
        <v>41</v>
      </c>
      <c r="P1146" t="s">
        <v>61</v>
      </c>
      <c r="Q1146" t="s">
        <v>62</v>
      </c>
      <c r="S1146" t="s">
        <v>5430</v>
      </c>
      <c r="U1146" t="s">
        <v>45</v>
      </c>
      <c r="V1146" t="s">
        <v>46</v>
      </c>
      <c r="W1146" t="s">
        <v>40</v>
      </c>
      <c r="X1146" t="s">
        <v>41</v>
      </c>
      <c r="Y1146" t="s">
        <v>47</v>
      </c>
      <c r="Z1146" t="s">
        <v>48</v>
      </c>
      <c r="AA1146" t="s">
        <v>49</v>
      </c>
      <c r="AB1146" t="s">
        <v>50</v>
      </c>
      <c r="AC1146" s="2">
        <v>87268</v>
      </c>
      <c r="AD1146" t="s">
        <v>64</v>
      </c>
    </row>
    <row r="1147" spans="1:31" x14ac:dyDescent="0.25">
      <c r="A1147" t="s">
        <v>5431</v>
      </c>
      <c r="B1147" t="s">
        <v>5432</v>
      </c>
      <c r="C1147" t="s">
        <v>5432</v>
      </c>
      <c r="D1147" t="s">
        <v>153</v>
      </c>
      <c r="E1147" t="s">
        <v>272</v>
      </c>
      <c r="F1147" t="s">
        <v>5433</v>
      </c>
      <c r="G1147" t="s">
        <v>153</v>
      </c>
      <c r="H1147" t="s">
        <v>1222</v>
      </c>
      <c r="I1147" t="s">
        <v>2486</v>
      </c>
      <c r="J1147" s="2">
        <v>654510</v>
      </c>
      <c r="K1147" s="2">
        <v>3000</v>
      </c>
      <c r="L1147" s="2">
        <v>30</v>
      </c>
      <c r="M1147" s="2">
        <v>0</v>
      </c>
      <c r="N1147" t="s">
        <v>1221</v>
      </c>
      <c r="O1147" t="s">
        <v>1222</v>
      </c>
      <c r="P1147" t="s">
        <v>205</v>
      </c>
      <c r="Q1147" t="s">
        <v>206</v>
      </c>
      <c r="S1147" t="s">
        <v>5434</v>
      </c>
      <c r="U1147" t="s">
        <v>45</v>
      </c>
      <c r="V1147" t="s">
        <v>46</v>
      </c>
      <c r="W1147" t="s">
        <v>1221</v>
      </c>
      <c r="X1147" t="s">
        <v>1222</v>
      </c>
      <c r="Y1147" t="s">
        <v>161</v>
      </c>
      <c r="Z1147" t="s">
        <v>162</v>
      </c>
      <c r="AA1147" t="s">
        <v>49</v>
      </c>
      <c r="AB1147" t="s">
        <v>50</v>
      </c>
      <c r="AC1147" s="2">
        <v>457098.95</v>
      </c>
      <c r="AD1147" t="s">
        <v>5435</v>
      </c>
      <c r="AE1147" t="s">
        <v>52</v>
      </c>
    </row>
    <row r="1148" spans="1:31" hidden="1" x14ac:dyDescent="0.25">
      <c r="A1148" t="s">
        <v>5436</v>
      </c>
      <c r="B1148" t="s">
        <v>5437</v>
      </c>
      <c r="C1148" t="s">
        <v>5437</v>
      </c>
      <c r="F1148" t="s">
        <v>5438</v>
      </c>
      <c r="H1148" t="s">
        <v>1222</v>
      </c>
      <c r="J1148" s="2">
        <v>152719</v>
      </c>
      <c r="K1148" s="2">
        <v>700</v>
      </c>
      <c r="L1148" s="2">
        <v>30</v>
      </c>
      <c r="M1148" s="2">
        <v>0</v>
      </c>
      <c r="N1148" t="s">
        <v>1221</v>
      </c>
      <c r="O1148" t="s">
        <v>1222</v>
      </c>
      <c r="P1148" t="s">
        <v>205</v>
      </c>
      <c r="Q1148" t="s">
        <v>206</v>
      </c>
      <c r="S1148" t="s">
        <v>5439</v>
      </c>
      <c r="U1148" t="s">
        <v>45</v>
      </c>
      <c r="V1148" t="s">
        <v>46</v>
      </c>
      <c r="W1148" t="s">
        <v>1221</v>
      </c>
      <c r="X1148" t="s">
        <v>1222</v>
      </c>
      <c r="Y1148" t="s">
        <v>161</v>
      </c>
      <c r="Z1148" t="s">
        <v>162</v>
      </c>
      <c r="AA1148" t="s">
        <v>49</v>
      </c>
      <c r="AB1148" t="s">
        <v>50</v>
      </c>
      <c r="AC1148" s="2">
        <v>152719</v>
      </c>
      <c r="AD1148" t="s">
        <v>64</v>
      </c>
    </row>
    <row r="1149" spans="1:31" x14ac:dyDescent="0.25">
      <c r="A1149" t="s">
        <v>5440</v>
      </c>
      <c r="B1149" t="s">
        <v>5441</v>
      </c>
      <c r="C1149" t="s">
        <v>5441</v>
      </c>
      <c r="D1149" t="s">
        <v>297</v>
      </c>
      <c r="E1149" t="s">
        <v>167</v>
      </c>
      <c r="F1149" t="s">
        <v>5442</v>
      </c>
      <c r="G1149" t="s">
        <v>1410</v>
      </c>
      <c r="H1149" t="s">
        <v>622</v>
      </c>
      <c r="I1149" t="s">
        <v>5443</v>
      </c>
      <c r="J1149" s="2">
        <v>436340</v>
      </c>
      <c r="K1149" s="2">
        <v>2000</v>
      </c>
      <c r="L1149" s="2">
        <v>30</v>
      </c>
      <c r="M1149" s="2">
        <v>0</v>
      </c>
      <c r="N1149" t="s">
        <v>624</v>
      </c>
      <c r="O1149" t="s">
        <v>622</v>
      </c>
      <c r="P1149" t="s">
        <v>91</v>
      </c>
      <c r="Q1149" t="s">
        <v>92</v>
      </c>
      <c r="S1149" t="s">
        <v>5444</v>
      </c>
      <c r="U1149" t="s">
        <v>45</v>
      </c>
      <c r="V1149" t="s">
        <v>46</v>
      </c>
      <c r="W1149" t="s">
        <v>624</v>
      </c>
      <c r="X1149" t="s">
        <v>622</v>
      </c>
      <c r="Y1149" t="s">
        <v>92</v>
      </c>
      <c r="Z1149" t="s">
        <v>94</v>
      </c>
      <c r="AA1149" t="s">
        <v>49</v>
      </c>
      <c r="AB1149" t="s">
        <v>50</v>
      </c>
      <c r="AC1149" s="2">
        <v>208017.7</v>
      </c>
      <c r="AD1149" t="s">
        <v>5445</v>
      </c>
      <c r="AE1149" t="s">
        <v>115</v>
      </c>
    </row>
    <row r="1150" spans="1:31" hidden="1" x14ac:dyDescent="0.25">
      <c r="J1150" s="2">
        <v>21817</v>
      </c>
      <c r="K1150" s="2">
        <v>100</v>
      </c>
      <c r="L1150" s="2">
        <v>1</v>
      </c>
      <c r="M1150" s="2">
        <v>0</v>
      </c>
      <c r="S1150" t="s">
        <v>5446</v>
      </c>
      <c r="U1150" t="s">
        <v>45</v>
      </c>
      <c r="V1150" t="s">
        <v>46</v>
      </c>
      <c r="W1150" t="s">
        <v>1210</v>
      </c>
      <c r="X1150" t="s">
        <v>1211</v>
      </c>
      <c r="Y1150" t="s">
        <v>1215</v>
      </c>
      <c r="Z1150" t="s">
        <v>1216</v>
      </c>
      <c r="AA1150" t="s">
        <v>49</v>
      </c>
      <c r="AC1150" s="2"/>
    </row>
    <row r="1151" spans="1:31" x14ac:dyDescent="0.25">
      <c r="A1151" t="s">
        <v>5447</v>
      </c>
      <c r="B1151" t="s">
        <v>5448</v>
      </c>
      <c r="C1151" t="s">
        <v>5448</v>
      </c>
      <c r="D1151" t="s">
        <v>125</v>
      </c>
      <c r="E1151" t="s">
        <v>126</v>
      </c>
      <c r="F1151" t="s">
        <v>5449</v>
      </c>
      <c r="G1151" t="s">
        <v>35</v>
      </c>
      <c r="H1151" t="s">
        <v>446</v>
      </c>
      <c r="I1151" t="s">
        <v>5450</v>
      </c>
      <c r="J1151" s="2">
        <v>2967600</v>
      </c>
      <c r="K1151" s="2">
        <v>12000</v>
      </c>
      <c r="L1151" s="2">
        <v>21</v>
      </c>
      <c r="M1151" s="2">
        <v>0</v>
      </c>
      <c r="N1151" t="s">
        <v>445</v>
      </c>
      <c r="O1151" t="s">
        <v>446</v>
      </c>
      <c r="P1151" t="s">
        <v>69</v>
      </c>
      <c r="Q1151" t="s">
        <v>70</v>
      </c>
      <c r="S1151" t="s">
        <v>5451</v>
      </c>
      <c r="U1151" t="s">
        <v>45</v>
      </c>
      <c r="V1151" t="s">
        <v>46</v>
      </c>
      <c r="W1151" t="s">
        <v>445</v>
      </c>
      <c r="X1151" t="s">
        <v>446</v>
      </c>
      <c r="Y1151" t="s">
        <v>72</v>
      </c>
      <c r="Z1151" t="s">
        <v>68</v>
      </c>
      <c r="AA1151" t="s">
        <v>49</v>
      </c>
      <c r="AB1151" t="s">
        <v>50</v>
      </c>
      <c r="AC1151" s="2">
        <v>2334641.27</v>
      </c>
      <c r="AD1151" t="s">
        <v>5452</v>
      </c>
      <c r="AE1151" t="s">
        <v>52</v>
      </c>
    </row>
    <row r="1152" spans="1:31" hidden="1" x14ac:dyDescent="0.25">
      <c r="A1152" t="s">
        <v>5453</v>
      </c>
      <c r="B1152" t="s">
        <v>5454</v>
      </c>
      <c r="C1152" t="s">
        <v>5454</v>
      </c>
      <c r="F1152" t="s">
        <v>5455</v>
      </c>
      <c r="H1152" t="s">
        <v>102</v>
      </c>
      <c r="I1152" t="s">
        <v>5456</v>
      </c>
      <c r="J1152" s="2">
        <v>10909</v>
      </c>
      <c r="K1152" s="2">
        <v>50</v>
      </c>
      <c r="L1152" s="2">
        <v>1</v>
      </c>
      <c r="M1152" s="2">
        <v>0</v>
      </c>
      <c r="N1152" t="s">
        <v>101</v>
      </c>
      <c r="O1152" t="s">
        <v>102</v>
      </c>
      <c r="P1152" t="s">
        <v>103</v>
      </c>
      <c r="Q1152" t="s">
        <v>104</v>
      </c>
      <c r="S1152" t="s">
        <v>5457</v>
      </c>
      <c r="U1152" t="s">
        <v>45</v>
      </c>
      <c r="V1152" t="s">
        <v>46</v>
      </c>
      <c r="W1152" t="s">
        <v>101</v>
      </c>
      <c r="X1152" t="s">
        <v>102</v>
      </c>
      <c r="Y1152" t="s">
        <v>106</v>
      </c>
      <c r="Z1152" t="s">
        <v>107</v>
      </c>
      <c r="AA1152" t="s">
        <v>49</v>
      </c>
      <c r="AB1152" t="s">
        <v>50</v>
      </c>
      <c r="AC1152" s="2">
        <v>10909</v>
      </c>
      <c r="AD1152" t="s">
        <v>64</v>
      </c>
    </row>
    <row r="1153" spans="1:31" x14ac:dyDescent="0.25">
      <c r="A1153" t="s">
        <v>5458</v>
      </c>
      <c r="B1153" t="s">
        <v>5459</v>
      </c>
      <c r="C1153" t="s">
        <v>5459</v>
      </c>
      <c r="D1153" t="s">
        <v>299</v>
      </c>
      <c r="E1153" t="s">
        <v>167</v>
      </c>
      <c r="F1153" t="s">
        <v>5460</v>
      </c>
      <c r="G1153" t="s">
        <v>299</v>
      </c>
      <c r="H1153" t="s">
        <v>932</v>
      </c>
      <c r="I1153" t="s">
        <v>5461</v>
      </c>
      <c r="J1153" s="2">
        <v>327255</v>
      </c>
      <c r="K1153" s="2">
        <v>1500</v>
      </c>
      <c r="L1153" s="2">
        <v>21</v>
      </c>
      <c r="M1153" s="2">
        <v>0</v>
      </c>
      <c r="N1153" t="s">
        <v>933</v>
      </c>
      <c r="O1153" t="s">
        <v>932</v>
      </c>
      <c r="P1153" t="s">
        <v>103</v>
      </c>
      <c r="Q1153" t="s">
        <v>104</v>
      </c>
      <c r="S1153" t="s">
        <v>5462</v>
      </c>
      <c r="U1153" t="s">
        <v>45</v>
      </c>
      <c r="V1153" t="s">
        <v>46</v>
      </c>
      <c r="W1153" t="s">
        <v>933</v>
      </c>
      <c r="X1153" t="s">
        <v>932</v>
      </c>
      <c r="Y1153" t="s">
        <v>279</v>
      </c>
      <c r="Z1153" t="s">
        <v>280</v>
      </c>
      <c r="AA1153" t="s">
        <v>49</v>
      </c>
      <c r="AB1153" t="s">
        <v>50</v>
      </c>
      <c r="AC1153" s="2">
        <v>153268.84</v>
      </c>
      <c r="AD1153" t="s">
        <v>5463</v>
      </c>
      <c r="AE1153" t="s">
        <v>52</v>
      </c>
    </row>
    <row r="1154" spans="1:31" x14ac:dyDescent="0.25">
      <c r="A1154" t="s">
        <v>5464</v>
      </c>
      <c r="B1154" t="s">
        <v>5465</v>
      </c>
      <c r="C1154" t="s">
        <v>5465</v>
      </c>
      <c r="D1154" t="s">
        <v>3472</v>
      </c>
      <c r="E1154" t="s">
        <v>871</v>
      </c>
      <c r="F1154" t="s">
        <v>5466</v>
      </c>
      <c r="G1154" t="s">
        <v>2118</v>
      </c>
      <c r="H1154" t="s">
        <v>5467</v>
      </c>
      <c r="I1154" t="s">
        <v>5468</v>
      </c>
      <c r="J1154" s="2">
        <v>22756</v>
      </c>
      <c r="K1154" s="2">
        <v>100</v>
      </c>
      <c r="L1154" s="2">
        <v>1</v>
      </c>
      <c r="M1154" s="2">
        <v>0</v>
      </c>
      <c r="N1154" t="s">
        <v>5469</v>
      </c>
      <c r="O1154" t="s">
        <v>5467</v>
      </c>
      <c r="P1154" t="s">
        <v>256</v>
      </c>
      <c r="Q1154" t="s">
        <v>255</v>
      </c>
      <c r="S1154" t="s">
        <v>5470</v>
      </c>
      <c r="U1154" t="s">
        <v>45</v>
      </c>
      <c r="V1154" t="s">
        <v>46</v>
      </c>
      <c r="W1154" t="s">
        <v>5469</v>
      </c>
      <c r="X1154" t="s">
        <v>5467</v>
      </c>
      <c r="Y1154" t="s">
        <v>137</v>
      </c>
      <c r="Z1154" t="s">
        <v>717</v>
      </c>
      <c r="AA1154" t="s">
        <v>49</v>
      </c>
      <c r="AB1154" t="s">
        <v>50</v>
      </c>
      <c r="AC1154" s="2">
        <v>22756</v>
      </c>
      <c r="AD1154" t="s">
        <v>64</v>
      </c>
    </row>
    <row r="1155" spans="1:31" x14ac:dyDescent="0.25">
      <c r="A1155" t="s">
        <v>5471</v>
      </c>
      <c r="B1155" t="s">
        <v>5472</v>
      </c>
      <c r="C1155" t="s">
        <v>5472</v>
      </c>
      <c r="D1155" t="s">
        <v>297</v>
      </c>
      <c r="E1155" t="s">
        <v>167</v>
      </c>
      <c r="F1155" t="s">
        <v>5473</v>
      </c>
      <c r="G1155" t="s">
        <v>166</v>
      </c>
      <c r="H1155" t="s">
        <v>255</v>
      </c>
      <c r="I1155" t="s">
        <v>5474</v>
      </c>
      <c r="J1155" s="2">
        <v>26742</v>
      </c>
      <c r="K1155" s="2">
        <v>110</v>
      </c>
      <c r="L1155" s="2">
        <v>15</v>
      </c>
      <c r="M1155" s="2">
        <v>0</v>
      </c>
      <c r="N1155" t="s">
        <v>254</v>
      </c>
      <c r="O1155" t="s">
        <v>255</v>
      </c>
      <c r="P1155" t="s">
        <v>256</v>
      </c>
      <c r="Q1155" t="s">
        <v>255</v>
      </c>
      <c r="S1155" t="s">
        <v>5475</v>
      </c>
      <c r="U1155" t="s">
        <v>45</v>
      </c>
      <c r="V1155" t="s">
        <v>46</v>
      </c>
      <c r="W1155" t="s">
        <v>254</v>
      </c>
      <c r="X1155" t="s">
        <v>255</v>
      </c>
      <c r="Y1155" t="s">
        <v>258</v>
      </c>
      <c r="Z1155" t="s">
        <v>259</v>
      </c>
      <c r="AA1155" t="s">
        <v>49</v>
      </c>
      <c r="AB1155" t="s">
        <v>50</v>
      </c>
      <c r="AC1155" s="2">
        <v>4105.63</v>
      </c>
      <c r="AD1155" t="s">
        <v>5476</v>
      </c>
      <c r="AE1155" t="s">
        <v>52</v>
      </c>
    </row>
    <row r="1156" spans="1:31" x14ac:dyDescent="0.25">
      <c r="A1156" t="s">
        <v>5477</v>
      </c>
      <c r="B1156" t="s">
        <v>5478</v>
      </c>
      <c r="C1156" t="s">
        <v>5478</v>
      </c>
      <c r="D1156" t="s">
        <v>888</v>
      </c>
      <c r="E1156" t="s">
        <v>167</v>
      </c>
      <c r="F1156" t="s">
        <v>5479</v>
      </c>
      <c r="G1156" t="s">
        <v>1289</v>
      </c>
      <c r="H1156" t="s">
        <v>255</v>
      </c>
      <c r="I1156" t="s">
        <v>5480</v>
      </c>
      <c r="J1156" s="2">
        <v>218170</v>
      </c>
      <c r="K1156" s="2">
        <v>1000</v>
      </c>
      <c r="L1156" s="2">
        <v>15</v>
      </c>
      <c r="M1156" s="2">
        <v>0</v>
      </c>
      <c r="N1156" t="s">
        <v>254</v>
      </c>
      <c r="O1156" t="s">
        <v>255</v>
      </c>
      <c r="P1156" t="s">
        <v>256</v>
      </c>
      <c r="Q1156" t="s">
        <v>255</v>
      </c>
      <c r="S1156" t="s">
        <v>5481</v>
      </c>
      <c r="U1156" t="s">
        <v>45</v>
      </c>
      <c r="V1156" t="s">
        <v>46</v>
      </c>
      <c r="W1156" t="s">
        <v>254</v>
      </c>
      <c r="X1156" t="s">
        <v>255</v>
      </c>
      <c r="Y1156" t="s">
        <v>258</v>
      </c>
      <c r="Z1156" t="s">
        <v>259</v>
      </c>
      <c r="AA1156" t="s">
        <v>49</v>
      </c>
      <c r="AB1156" t="s">
        <v>50</v>
      </c>
      <c r="AC1156" s="2">
        <v>218170</v>
      </c>
      <c r="AD1156" t="s">
        <v>64</v>
      </c>
    </row>
    <row r="1157" spans="1:31" x14ac:dyDescent="0.25">
      <c r="A1157" t="s">
        <v>5482</v>
      </c>
      <c r="B1157" t="s">
        <v>5483</v>
      </c>
      <c r="C1157" t="s">
        <v>5483</v>
      </c>
      <c r="D1157" t="s">
        <v>792</v>
      </c>
      <c r="E1157" t="s">
        <v>190</v>
      </c>
      <c r="F1157" t="s">
        <v>5484</v>
      </c>
      <c r="G1157" t="s">
        <v>792</v>
      </c>
      <c r="H1157" t="s">
        <v>1360</v>
      </c>
      <c r="I1157" t="s">
        <v>5485</v>
      </c>
      <c r="J1157" s="2">
        <v>327255</v>
      </c>
      <c r="K1157" s="2">
        <v>1500</v>
      </c>
      <c r="L1157" s="2">
        <v>21</v>
      </c>
      <c r="M1157" s="2">
        <v>0</v>
      </c>
      <c r="N1157" t="s">
        <v>1362</v>
      </c>
      <c r="O1157" t="s">
        <v>1360</v>
      </c>
      <c r="P1157" t="s">
        <v>1212</v>
      </c>
      <c r="Q1157" t="s">
        <v>1213</v>
      </c>
      <c r="S1157" t="s">
        <v>5486</v>
      </c>
      <c r="U1157" t="s">
        <v>45</v>
      </c>
      <c r="V1157" t="s">
        <v>46</v>
      </c>
      <c r="W1157" t="s">
        <v>1362</v>
      </c>
      <c r="X1157" t="s">
        <v>1360</v>
      </c>
      <c r="Y1157" t="s">
        <v>1215</v>
      </c>
      <c r="Z1157" t="s">
        <v>1216</v>
      </c>
      <c r="AA1157" t="s">
        <v>49</v>
      </c>
      <c r="AB1157" t="s">
        <v>50</v>
      </c>
      <c r="AC1157" s="2">
        <v>261866.53</v>
      </c>
      <c r="AD1157" t="s">
        <v>5487</v>
      </c>
      <c r="AE1157" t="s">
        <v>52</v>
      </c>
    </row>
    <row r="1158" spans="1:31" x14ac:dyDescent="0.25">
      <c r="A1158" t="s">
        <v>5488</v>
      </c>
      <c r="B1158" t="s">
        <v>5489</v>
      </c>
      <c r="C1158" t="s">
        <v>5489</v>
      </c>
      <c r="D1158" t="s">
        <v>35</v>
      </c>
      <c r="E1158" t="s">
        <v>36</v>
      </c>
      <c r="F1158" t="s">
        <v>5490</v>
      </c>
      <c r="G1158" t="s">
        <v>178</v>
      </c>
      <c r="H1158" t="s">
        <v>255</v>
      </c>
      <c r="I1158" t="s">
        <v>5491</v>
      </c>
      <c r="J1158" s="2">
        <v>131279</v>
      </c>
      <c r="K1158" s="2">
        <v>540</v>
      </c>
      <c r="L1158" s="2">
        <v>15</v>
      </c>
      <c r="M1158" s="2">
        <v>0</v>
      </c>
      <c r="N1158" t="s">
        <v>254</v>
      </c>
      <c r="O1158" t="s">
        <v>255</v>
      </c>
      <c r="P1158" t="s">
        <v>256</v>
      </c>
      <c r="Q1158" t="s">
        <v>255</v>
      </c>
      <c r="S1158" t="s">
        <v>5492</v>
      </c>
      <c r="U1158" t="s">
        <v>45</v>
      </c>
      <c r="V1158" t="s">
        <v>46</v>
      </c>
      <c r="W1158" t="s">
        <v>254</v>
      </c>
      <c r="X1158" t="s">
        <v>255</v>
      </c>
      <c r="Y1158" t="s">
        <v>258</v>
      </c>
      <c r="Z1158" t="s">
        <v>259</v>
      </c>
      <c r="AA1158" t="s">
        <v>49</v>
      </c>
      <c r="AB1158" t="s">
        <v>50</v>
      </c>
      <c r="AC1158" s="2">
        <v>35427.94</v>
      </c>
      <c r="AD1158" t="s">
        <v>5493</v>
      </c>
      <c r="AE1158" t="s">
        <v>115</v>
      </c>
    </row>
    <row r="1159" spans="1:31" x14ac:dyDescent="0.25">
      <c r="A1159" t="s">
        <v>5494</v>
      </c>
      <c r="B1159" t="s">
        <v>5495</v>
      </c>
      <c r="C1159" t="s">
        <v>5495</v>
      </c>
      <c r="D1159" t="s">
        <v>153</v>
      </c>
      <c r="E1159" t="s">
        <v>272</v>
      </c>
      <c r="F1159" t="s">
        <v>4931</v>
      </c>
      <c r="G1159" t="s">
        <v>847</v>
      </c>
      <c r="H1159" t="s">
        <v>2647</v>
      </c>
      <c r="I1159" t="s">
        <v>5496</v>
      </c>
      <c r="J1159" s="2">
        <v>2070998</v>
      </c>
      <c r="K1159" s="2">
        <v>8430</v>
      </c>
      <c r="L1159" s="2">
        <v>45</v>
      </c>
      <c r="M1159" s="2">
        <v>0</v>
      </c>
      <c r="N1159" t="s">
        <v>1362</v>
      </c>
      <c r="O1159" t="s">
        <v>1360</v>
      </c>
      <c r="P1159" t="s">
        <v>1421</v>
      </c>
      <c r="Q1159" t="s">
        <v>1422</v>
      </c>
      <c r="S1159" t="s">
        <v>4935</v>
      </c>
      <c r="U1159" t="s">
        <v>45</v>
      </c>
      <c r="V1159" t="s">
        <v>46</v>
      </c>
      <c r="W1159" t="s">
        <v>1362</v>
      </c>
      <c r="X1159" t="s">
        <v>1360</v>
      </c>
      <c r="Y1159" t="s">
        <v>1215</v>
      </c>
      <c r="Z1159" t="s">
        <v>1216</v>
      </c>
      <c r="AA1159" t="s">
        <v>49</v>
      </c>
      <c r="AB1159" t="s">
        <v>50</v>
      </c>
      <c r="AC1159" s="2">
        <v>529798.48</v>
      </c>
      <c r="AD1159" t="s">
        <v>5497</v>
      </c>
      <c r="AE1159" t="s">
        <v>115</v>
      </c>
    </row>
    <row r="1160" spans="1:31" x14ac:dyDescent="0.25">
      <c r="A1160" t="s">
        <v>5498</v>
      </c>
      <c r="B1160" t="s">
        <v>5499</v>
      </c>
      <c r="C1160" t="s">
        <v>5499</v>
      </c>
      <c r="D1160" t="s">
        <v>1734</v>
      </c>
      <c r="E1160" t="s">
        <v>224</v>
      </c>
      <c r="F1160" t="s">
        <v>5500</v>
      </c>
      <c r="G1160" t="s">
        <v>2485</v>
      </c>
      <c r="H1160" t="s">
        <v>1723</v>
      </c>
      <c r="I1160" t="s">
        <v>5501</v>
      </c>
      <c r="J1160" s="2">
        <v>2618040</v>
      </c>
      <c r="K1160" s="2">
        <v>12000</v>
      </c>
      <c r="L1160" s="2">
        <v>21</v>
      </c>
      <c r="M1160" s="2">
        <v>0</v>
      </c>
      <c r="N1160" t="s">
        <v>1725</v>
      </c>
      <c r="O1160" t="s">
        <v>1723</v>
      </c>
      <c r="P1160" t="s">
        <v>120</v>
      </c>
      <c r="Q1160" t="s">
        <v>121</v>
      </c>
      <c r="S1160" t="s">
        <v>5502</v>
      </c>
      <c r="U1160" t="s">
        <v>45</v>
      </c>
      <c r="V1160" t="s">
        <v>46</v>
      </c>
      <c r="W1160" t="s">
        <v>1725</v>
      </c>
      <c r="X1160" t="s">
        <v>1723</v>
      </c>
      <c r="Y1160" t="s">
        <v>121</v>
      </c>
      <c r="Z1160" t="s">
        <v>94</v>
      </c>
      <c r="AA1160" t="s">
        <v>49</v>
      </c>
      <c r="AB1160" t="s">
        <v>50</v>
      </c>
      <c r="AC1160" s="2">
        <v>2613341.64</v>
      </c>
      <c r="AD1160" t="s">
        <v>5503</v>
      </c>
    </row>
    <row r="1161" spans="1:31" hidden="1" x14ac:dyDescent="0.25">
      <c r="A1161" s="10" t="s">
        <v>5504</v>
      </c>
      <c r="B1161" s="10" t="s">
        <v>5505</v>
      </c>
      <c r="C1161" t="s">
        <v>5505</v>
      </c>
      <c r="D1161" t="s">
        <v>55</v>
      </c>
      <c r="E1161" t="s">
        <v>56</v>
      </c>
      <c r="F1161" t="s">
        <v>5506</v>
      </c>
      <c r="H1161" t="s">
        <v>41</v>
      </c>
      <c r="J1161" s="2">
        <v>5496</v>
      </c>
      <c r="K1161" s="2">
        <v>0</v>
      </c>
      <c r="L1161" s="2">
        <v>1</v>
      </c>
      <c r="M1161" s="2">
        <v>0</v>
      </c>
      <c r="N1161" t="s">
        <v>40</v>
      </c>
      <c r="O1161" t="s">
        <v>41</v>
      </c>
      <c r="P1161" t="s">
        <v>61</v>
      </c>
      <c r="Q1161" t="s">
        <v>62</v>
      </c>
      <c r="S1161" t="s">
        <v>5507</v>
      </c>
      <c r="U1161" t="s">
        <v>45</v>
      </c>
      <c r="V1161" t="s">
        <v>46</v>
      </c>
      <c r="W1161" t="s">
        <v>40</v>
      </c>
      <c r="X1161" t="s">
        <v>41</v>
      </c>
      <c r="Y1161" t="s">
        <v>47</v>
      </c>
      <c r="Z1161" t="s">
        <v>48</v>
      </c>
      <c r="AA1161" t="s">
        <v>49</v>
      </c>
      <c r="AB1161" t="s">
        <v>142</v>
      </c>
      <c r="AC1161" s="2">
        <v>5496</v>
      </c>
      <c r="AD1161" t="s">
        <v>64</v>
      </c>
    </row>
    <row r="1162" spans="1:31" hidden="1" x14ac:dyDescent="0.25">
      <c r="A1162" t="s">
        <v>5508</v>
      </c>
      <c r="B1162" t="s">
        <v>5509</v>
      </c>
      <c r="C1162" t="s">
        <v>5509</v>
      </c>
      <c r="D1162" t="s">
        <v>55</v>
      </c>
      <c r="E1162" t="s">
        <v>56</v>
      </c>
      <c r="F1162" t="s">
        <v>3089</v>
      </c>
      <c r="J1162" s="2">
        <v>1000</v>
      </c>
      <c r="K1162" s="2">
        <v>0</v>
      </c>
      <c r="L1162" s="2">
        <v>1</v>
      </c>
      <c r="M1162" s="2">
        <v>0</v>
      </c>
      <c r="N1162" t="s">
        <v>40</v>
      </c>
      <c r="O1162" t="s">
        <v>41</v>
      </c>
      <c r="P1162" t="s">
        <v>61</v>
      </c>
      <c r="Q1162" t="s">
        <v>62</v>
      </c>
      <c r="U1162" t="s">
        <v>45</v>
      </c>
      <c r="V1162" t="s">
        <v>46</v>
      </c>
      <c r="W1162" t="s">
        <v>40</v>
      </c>
      <c r="X1162" t="s">
        <v>41</v>
      </c>
      <c r="Y1162" t="s">
        <v>47</v>
      </c>
      <c r="Z1162" t="s">
        <v>48</v>
      </c>
      <c r="AA1162" t="s">
        <v>49</v>
      </c>
      <c r="AB1162" t="s">
        <v>50</v>
      </c>
      <c r="AC1162" s="2">
        <v>1000</v>
      </c>
      <c r="AD1162" t="s">
        <v>64</v>
      </c>
    </row>
    <row r="1163" spans="1:31" x14ac:dyDescent="0.25">
      <c r="A1163" t="s">
        <v>5510</v>
      </c>
      <c r="B1163" t="s">
        <v>5511</v>
      </c>
      <c r="C1163" t="s">
        <v>5512</v>
      </c>
      <c r="D1163" t="s">
        <v>153</v>
      </c>
      <c r="E1163" t="s">
        <v>272</v>
      </c>
      <c r="F1163" t="s">
        <v>3089</v>
      </c>
      <c r="G1163" t="s">
        <v>178</v>
      </c>
      <c r="H1163" t="s">
        <v>361</v>
      </c>
      <c r="J1163" s="2">
        <v>327255</v>
      </c>
      <c r="K1163" s="2">
        <v>1500</v>
      </c>
      <c r="L1163" s="2">
        <v>15</v>
      </c>
      <c r="M1163" s="2">
        <v>0</v>
      </c>
      <c r="N1163" t="s">
        <v>360</v>
      </c>
      <c r="O1163" t="s">
        <v>361</v>
      </c>
      <c r="P1163" t="s">
        <v>61</v>
      </c>
      <c r="Q1163" t="s">
        <v>62</v>
      </c>
      <c r="S1163" t="s">
        <v>3091</v>
      </c>
      <c r="U1163" t="s">
        <v>45</v>
      </c>
      <c r="V1163" t="s">
        <v>46</v>
      </c>
      <c r="W1163" t="s">
        <v>360</v>
      </c>
      <c r="X1163" t="s">
        <v>361</v>
      </c>
      <c r="Y1163" t="s">
        <v>47</v>
      </c>
      <c r="Z1163" t="s">
        <v>48</v>
      </c>
      <c r="AA1163" t="s">
        <v>49</v>
      </c>
      <c r="AB1163" t="s">
        <v>50</v>
      </c>
      <c r="AC1163" s="2">
        <v>277222.84999999998</v>
      </c>
      <c r="AD1163" t="s">
        <v>5513</v>
      </c>
    </row>
    <row r="1164" spans="1:31" x14ac:dyDescent="0.25">
      <c r="A1164" t="s">
        <v>5514</v>
      </c>
      <c r="B1164" t="s">
        <v>5515</v>
      </c>
      <c r="C1164" t="s">
        <v>5515</v>
      </c>
      <c r="D1164" t="s">
        <v>153</v>
      </c>
      <c r="E1164" t="s">
        <v>272</v>
      </c>
      <c r="F1164" t="s">
        <v>5516</v>
      </c>
      <c r="H1164" t="s">
        <v>41</v>
      </c>
      <c r="J1164" s="2">
        <v>21817</v>
      </c>
      <c r="K1164" s="2">
        <v>100</v>
      </c>
      <c r="L1164" s="2">
        <v>15</v>
      </c>
      <c r="M1164" s="2">
        <v>0</v>
      </c>
      <c r="N1164" t="s">
        <v>40</v>
      </c>
      <c r="O1164" t="s">
        <v>41</v>
      </c>
      <c r="P1164" t="s">
        <v>42</v>
      </c>
      <c r="Q1164" t="s">
        <v>43</v>
      </c>
      <c r="U1164" t="s">
        <v>45</v>
      </c>
      <c r="V1164" t="s">
        <v>46</v>
      </c>
      <c r="W1164" t="s">
        <v>40</v>
      </c>
      <c r="X1164" t="s">
        <v>41</v>
      </c>
      <c r="Y1164" t="s">
        <v>47</v>
      </c>
      <c r="Z1164" t="s">
        <v>48</v>
      </c>
      <c r="AA1164" t="s">
        <v>141</v>
      </c>
      <c r="AB1164" t="s">
        <v>50</v>
      </c>
      <c r="AC1164" s="2">
        <v>16621.3</v>
      </c>
      <c r="AD1164" t="s">
        <v>5517</v>
      </c>
    </row>
    <row r="1165" spans="1:31" hidden="1" x14ac:dyDescent="0.25">
      <c r="I1165" t="s">
        <v>5518</v>
      </c>
      <c r="J1165" s="2">
        <v>1000</v>
      </c>
      <c r="K1165" s="2">
        <v>0</v>
      </c>
      <c r="L1165" s="2">
        <v>1</v>
      </c>
      <c r="M1165" s="2">
        <v>0</v>
      </c>
      <c r="S1165" t="s">
        <v>5519</v>
      </c>
      <c r="U1165" t="s">
        <v>45</v>
      </c>
      <c r="V1165" t="s">
        <v>46</v>
      </c>
      <c r="W1165" t="s">
        <v>1119</v>
      </c>
      <c r="X1165" t="s">
        <v>1120</v>
      </c>
      <c r="Y1165" t="s">
        <v>1122</v>
      </c>
      <c r="Z1165" t="s">
        <v>1122</v>
      </c>
      <c r="AA1165" t="s">
        <v>49</v>
      </c>
      <c r="AC1165" s="2"/>
    </row>
    <row r="1166" spans="1:31" hidden="1" x14ac:dyDescent="0.25">
      <c r="I1166" t="s">
        <v>4955</v>
      </c>
      <c r="J1166" s="2">
        <v>14678</v>
      </c>
      <c r="K1166" s="2">
        <v>0</v>
      </c>
      <c r="L1166" s="2">
        <v>15</v>
      </c>
      <c r="M1166" s="2">
        <v>0</v>
      </c>
      <c r="S1166" t="s">
        <v>4956</v>
      </c>
      <c r="U1166" t="s">
        <v>45</v>
      </c>
      <c r="V1166" t="s">
        <v>46</v>
      </c>
      <c r="W1166" t="s">
        <v>1125</v>
      </c>
      <c r="X1166" t="s">
        <v>1123</v>
      </c>
      <c r="Y1166" t="s">
        <v>161</v>
      </c>
      <c r="Z1166" t="s">
        <v>162</v>
      </c>
      <c r="AA1166" t="s">
        <v>49</v>
      </c>
      <c r="AC1166" s="2"/>
    </row>
    <row r="1167" spans="1:31" x14ac:dyDescent="0.25">
      <c r="A1167" t="s">
        <v>5520</v>
      </c>
      <c r="B1167" t="s">
        <v>5521</v>
      </c>
      <c r="C1167" t="s">
        <v>5521</v>
      </c>
      <c r="D1167" t="s">
        <v>125</v>
      </c>
      <c r="E1167" t="s">
        <v>126</v>
      </c>
      <c r="F1167" t="s">
        <v>5522</v>
      </c>
      <c r="G1167" t="s">
        <v>125</v>
      </c>
      <c r="H1167" t="s">
        <v>41</v>
      </c>
      <c r="I1167" t="s">
        <v>5523</v>
      </c>
      <c r="J1167" s="2">
        <v>327255</v>
      </c>
      <c r="K1167" s="2">
        <v>1500</v>
      </c>
      <c r="L1167" s="2">
        <v>15</v>
      </c>
      <c r="M1167" s="2">
        <v>0</v>
      </c>
      <c r="N1167" t="s">
        <v>40</v>
      </c>
      <c r="O1167" t="s">
        <v>41</v>
      </c>
      <c r="P1167" t="s">
        <v>61</v>
      </c>
      <c r="Q1167" t="s">
        <v>62</v>
      </c>
      <c r="S1167" t="s">
        <v>5524</v>
      </c>
      <c r="U1167" t="s">
        <v>45</v>
      </c>
      <c r="V1167" t="s">
        <v>46</v>
      </c>
      <c r="W1167" t="s">
        <v>40</v>
      </c>
      <c r="X1167" t="s">
        <v>41</v>
      </c>
      <c r="Y1167" t="s">
        <v>47</v>
      </c>
      <c r="Z1167" t="s">
        <v>48</v>
      </c>
      <c r="AA1167" t="s">
        <v>49</v>
      </c>
      <c r="AB1167" t="s">
        <v>50</v>
      </c>
      <c r="AC1167" s="2">
        <v>296890.69</v>
      </c>
      <c r="AD1167" t="s">
        <v>5525</v>
      </c>
      <c r="AE1167" t="s">
        <v>52</v>
      </c>
    </row>
    <row r="1168" spans="1:31" x14ac:dyDescent="0.25">
      <c r="A1168" t="s">
        <v>5526</v>
      </c>
      <c r="B1168" t="s">
        <v>5527</v>
      </c>
      <c r="C1168" t="s">
        <v>5527</v>
      </c>
      <c r="D1168" t="s">
        <v>178</v>
      </c>
      <c r="E1168" t="s">
        <v>179</v>
      </c>
      <c r="F1168" t="s">
        <v>5528</v>
      </c>
      <c r="G1168" t="s">
        <v>178</v>
      </c>
      <c r="H1168" t="s">
        <v>446</v>
      </c>
      <c r="I1168" t="s">
        <v>5529</v>
      </c>
      <c r="J1168" s="2">
        <v>654510</v>
      </c>
      <c r="K1168" s="2">
        <v>3000</v>
      </c>
      <c r="L1168" s="2">
        <v>15</v>
      </c>
      <c r="M1168" s="2">
        <v>0</v>
      </c>
      <c r="N1168" t="s">
        <v>445</v>
      </c>
      <c r="O1168" t="s">
        <v>446</v>
      </c>
      <c r="P1168" t="s">
        <v>69</v>
      </c>
      <c r="Q1168" t="s">
        <v>70</v>
      </c>
      <c r="S1168" t="s">
        <v>5530</v>
      </c>
      <c r="U1168" t="s">
        <v>45</v>
      </c>
      <c r="V1168" t="s">
        <v>46</v>
      </c>
      <c r="W1168" t="s">
        <v>445</v>
      </c>
      <c r="X1168" t="s">
        <v>446</v>
      </c>
      <c r="Y1168" t="s">
        <v>72</v>
      </c>
      <c r="Z1168" t="s">
        <v>68</v>
      </c>
      <c r="AA1168" t="s">
        <v>49</v>
      </c>
      <c r="AB1168" t="s">
        <v>50</v>
      </c>
      <c r="AC1168" s="2">
        <v>436571.56</v>
      </c>
      <c r="AD1168" t="s">
        <v>5531</v>
      </c>
      <c r="AE1168" t="s">
        <v>52</v>
      </c>
    </row>
    <row r="1169" spans="1:31" hidden="1" x14ac:dyDescent="0.25">
      <c r="A1169" t="s">
        <v>5532</v>
      </c>
      <c r="B1169" t="s">
        <v>5533</v>
      </c>
      <c r="C1169" t="s">
        <v>5533</v>
      </c>
      <c r="F1169" t="s">
        <v>5534</v>
      </c>
      <c r="H1169" t="s">
        <v>1360</v>
      </c>
      <c r="J1169" s="2">
        <v>21817</v>
      </c>
      <c r="K1169" s="2">
        <v>100</v>
      </c>
      <c r="L1169" s="2">
        <v>1</v>
      </c>
      <c r="M1169" s="2">
        <v>0</v>
      </c>
      <c r="N1169" t="s">
        <v>1362</v>
      </c>
      <c r="O1169" t="s">
        <v>1360</v>
      </c>
      <c r="P1169" t="s">
        <v>103</v>
      </c>
      <c r="Q1169" t="s">
        <v>104</v>
      </c>
      <c r="S1169" t="s">
        <v>5535</v>
      </c>
      <c r="U1169" t="s">
        <v>45</v>
      </c>
      <c r="V1169" t="s">
        <v>46</v>
      </c>
      <c r="W1169" t="s">
        <v>1362</v>
      </c>
      <c r="X1169" t="s">
        <v>1360</v>
      </c>
      <c r="Y1169" t="s">
        <v>1215</v>
      </c>
      <c r="Z1169" t="s">
        <v>1216</v>
      </c>
      <c r="AA1169" t="s">
        <v>49</v>
      </c>
      <c r="AB1169" t="s">
        <v>50</v>
      </c>
      <c r="AC1169" s="2">
        <v>21817</v>
      </c>
      <c r="AD1169" t="s">
        <v>64</v>
      </c>
    </row>
    <row r="1170" spans="1:31" hidden="1" x14ac:dyDescent="0.25">
      <c r="I1170" t="s">
        <v>5536</v>
      </c>
      <c r="J1170" s="2">
        <v>65451</v>
      </c>
      <c r="K1170" s="2">
        <v>300</v>
      </c>
      <c r="L1170" s="2">
        <v>1</v>
      </c>
      <c r="M1170" s="2">
        <v>0</v>
      </c>
      <c r="S1170" t="s">
        <v>5537</v>
      </c>
      <c r="U1170" t="s">
        <v>45</v>
      </c>
      <c r="V1170" t="s">
        <v>46</v>
      </c>
      <c r="W1170" t="s">
        <v>664</v>
      </c>
      <c r="X1170" t="s">
        <v>665</v>
      </c>
      <c r="Y1170" t="s">
        <v>106</v>
      </c>
      <c r="Z1170" t="s">
        <v>107</v>
      </c>
      <c r="AA1170" t="s">
        <v>49</v>
      </c>
      <c r="AC1170" s="2"/>
    </row>
    <row r="1171" spans="1:31" x14ac:dyDescent="0.25">
      <c r="A1171" t="s">
        <v>5538</v>
      </c>
      <c r="B1171" t="s">
        <v>5539</v>
      </c>
      <c r="C1171" t="s">
        <v>5539</v>
      </c>
      <c r="D1171" t="s">
        <v>178</v>
      </c>
      <c r="E1171" t="s">
        <v>179</v>
      </c>
      <c r="F1171" t="s">
        <v>5540</v>
      </c>
      <c r="G1171" t="s">
        <v>297</v>
      </c>
      <c r="H1171" t="s">
        <v>303</v>
      </c>
      <c r="I1171" t="s">
        <v>5541</v>
      </c>
      <c r="J1171" s="2">
        <v>218170</v>
      </c>
      <c r="K1171" s="2">
        <v>1000</v>
      </c>
      <c r="L1171" s="2">
        <v>21</v>
      </c>
      <c r="M1171" s="2">
        <v>0</v>
      </c>
      <c r="N1171" t="s">
        <v>302</v>
      </c>
      <c r="O1171" t="s">
        <v>303</v>
      </c>
      <c r="P1171" t="s">
        <v>304</v>
      </c>
      <c r="Q1171" t="s">
        <v>72</v>
      </c>
      <c r="S1171" t="s">
        <v>5542</v>
      </c>
      <c r="U1171" t="s">
        <v>45</v>
      </c>
      <c r="V1171" t="s">
        <v>46</v>
      </c>
      <c r="W1171" t="s">
        <v>302</v>
      </c>
      <c r="X1171" t="s">
        <v>303</v>
      </c>
      <c r="Y1171" t="s">
        <v>72</v>
      </c>
      <c r="Z1171" t="s">
        <v>68</v>
      </c>
      <c r="AA1171" t="s">
        <v>49</v>
      </c>
      <c r="AB1171" t="s">
        <v>50</v>
      </c>
      <c r="AC1171" s="2">
        <v>177910.97</v>
      </c>
      <c r="AD1171" t="s">
        <v>5543</v>
      </c>
      <c r="AE1171" t="s">
        <v>52</v>
      </c>
    </row>
    <row r="1172" spans="1:31" hidden="1" x14ac:dyDescent="0.25">
      <c r="I1172" t="s">
        <v>5544</v>
      </c>
      <c r="J1172" s="2">
        <v>109085</v>
      </c>
      <c r="K1172" s="2">
        <v>500</v>
      </c>
      <c r="L1172" s="2">
        <v>1</v>
      </c>
      <c r="M1172" s="2">
        <v>0</v>
      </c>
      <c r="S1172" t="s">
        <v>5545</v>
      </c>
      <c r="U1172" t="s">
        <v>45</v>
      </c>
      <c r="V1172" t="s">
        <v>46</v>
      </c>
      <c r="W1172" t="s">
        <v>1592</v>
      </c>
      <c r="X1172" t="s">
        <v>280</v>
      </c>
      <c r="Y1172" t="s">
        <v>279</v>
      </c>
      <c r="Z1172" t="s">
        <v>280</v>
      </c>
      <c r="AA1172" t="s">
        <v>49</v>
      </c>
      <c r="AC1172" s="2"/>
    </row>
    <row r="1173" spans="1:31" hidden="1" x14ac:dyDescent="0.25">
      <c r="A1173" t="s">
        <v>5546</v>
      </c>
      <c r="B1173" t="s">
        <v>5547</v>
      </c>
      <c r="C1173" t="s">
        <v>5547</v>
      </c>
      <c r="D1173" t="s">
        <v>55</v>
      </c>
      <c r="E1173" t="s">
        <v>56</v>
      </c>
      <c r="F1173" t="s">
        <v>4730</v>
      </c>
      <c r="J1173" s="2">
        <v>1000</v>
      </c>
      <c r="K1173" s="2">
        <v>0</v>
      </c>
      <c r="L1173" s="2">
        <v>1</v>
      </c>
      <c r="M1173" s="2">
        <v>0</v>
      </c>
      <c r="N1173" t="s">
        <v>1125</v>
      </c>
      <c r="O1173" t="s">
        <v>1123</v>
      </c>
      <c r="P1173" t="s">
        <v>158</v>
      </c>
      <c r="Q1173" t="s">
        <v>159</v>
      </c>
      <c r="U1173" t="s">
        <v>45</v>
      </c>
      <c r="V1173" t="s">
        <v>46</v>
      </c>
      <c r="W1173" t="s">
        <v>1125</v>
      </c>
      <c r="X1173" t="s">
        <v>1123</v>
      </c>
      <c r="Y1173" t="s">
        <v>161</v>
      </c>
      <c r="Z1173" t="s">
        <v>162</v>
      </c>
      <c r="AA1173" t="s">
        <v>49</v>
      </c>
      <c r="AB1173" t="s">
        <v>50</v>
      </c>
      <c r="AC1173" s="2">
        <v>1000</v>
      </c>
      <c r="AD1173" t="s">
        <v>64</v>
      </c>
    </row>
    <row r="1174" spans="1:31" x14ac:dyDescent="0.25">
      <c r="A1174" t="s">
        <v>5548</v>
      </c>
      <c r="B1174" t="s">
        <v>5549</v>
      </c>
      <c r="C1174" t="s">
        <v>5550</v>
      </c>
      <c r="D1174" t="s">
        <v>35</v>
      </c>
      <c r="E1174" t="s">
        <v>36</v>
      </c>
      <c r="F1174" t="s">
        <v>4730</v>
      </c>
      <c r="G1174" t="s">
        <v>1865</v>
      </c>
      <c r="H1174" t="s">
        <v>1123</v>
      </c>
      <c r="I1174" t="s">
        <v>5551</v>
      </c>
      <c r="J1174" s="2">
        <v>654510</v>
      </c>
      <c r="K1174" s="2">
        <v>3000</v>
      </c>
      <c r="L1174" s="2">
        <v>21</v>
      </c>
      <c r="M1174" s="2">
        <v>0</v>
      </c>
      <c r="N1174" t="s">
        <v>1125</v>
      </c>
      <c r="O1174" t="s">
        <v>1123</v>
      </c>
      <c r="P1174" t="s">
        <v>158</v>
      </c>
      <c r="Q1174" t="s">
        <v>159</v>
      </c>
      <c r="S1174" t="s">
        <v>4732</v>
      </c>
      <c r="U1174" t="s">
        <v>45</v>
      </c>
      <c r="V1174" t="s">
        <v>46</v>
      </c>
      <c r="W1174" t="s">
        <v>1125</v>
      </c>
      <c r="X1174" t="s">
        <v>1123</v>
      </c>
      <c r="Y1174" t="s">
        <v>161</v>
      </c>
      <c r="Z1174" t="s">
        <v>162</v>
      </c>
      <c r="AA1174" t="s">
        <v>49</v>
      </c>
      <c r="AB1174" t="s">
        <v>50</v>
      </c>
      <c r="AC1174" s="2">
        <v>477725.48</v>
      </c>
      <c r="AD1174" t="s">
        <v>5552</v>
      </c>
      <c r="AE1174" t="s">
        <v>115</v>
      </c>
    </row>
    <row r="1175" spans="1:31" x14ac:dyDescent="0.25">
      <c r="A1175" t="s">
        <v>5553</v>
      </c>
      <c r="B1175" t="s">
        <v>5554</v>
      </c>
      <c r="C1175" t="s">
        <v>4729</v>
      </c>
      <c r="D1175" t="s">
        <v>498</v>
      </c>
      <c r="E1175" t="s">
        <v>190</v>
      </c>
      <c r="F1175" t="s">
        <v>4730</v>
      </c>
      <c r="G1175" t="s">
        <v>498</v>
      </c>
      <c r="H1175" t="s">
        <v>1123</v>
      </c>
      <c r="I1175" t="s">
        <v>5555</v>
      </c>
      <c r="J1175" s="2">
        <v>654510</v>
      </c>
      <c r="K1175" s="2">
        <v>3000</v>
      </c>
      <c r="L1175" s="2">
        <v>15</v>
      </c>
      <c r="M1175" s="2">
        <v>0</v>
      </c>
      <c r="N1175" t="s">
        <v>1125</v>
      </c>
      <c r="O1175" t="s">
        <v>1123</v>
      </c>
      <c r="P1175" t="s">
        <v>158</v>
      </c>
      <c r="Q1175" t="s">
        <v>159</v>
      </c>
      <c r="S1175" t="s">
        <v>4732</v>
      </c>
      <c r="U1175" t="s">
        <v>45</v>
      </c>
      <c r="V1175" t="s">
        <v>46</v>
      </c>
      <c r="W1175" t="s">
        <v>1125</v>
      </c>
      <c r="X1175" t="s">
        <v>1123</v>
      </c>
      <c r="Y1175" t="s">
        <v>161</v>
      </c>
      <c r="Z1175" t="s">
        <v>162</v>
      </c>
      <c r="AA1175" t="s">
        <v>49</v>
      </c>
      <c r="AB1175" t="s">
        <v>50</v>
      </c>
      <c r="AC1175" s="2">
        <v>496076.9</v>
      </c>
      <c r="AD1175" t="s">
        <v>5556</v>
      </c>
      <c r="AE1175" t="s">
        <v>52</v>
      </c>
    </row>
    <row r="1176" spans="1:31" hidden="1" x14ac:dyDescent="0.25">
      <c r="J1176" s="2">
        <v>21817</v>
      </c>
      <c r="K1176" s="2">
        <v>100</v>
      </c>
      <c r="L1176" s="2">
        <v>1</v>
      </c>
      <c r="M1176" s="2">
        <v>0</v>
      </c>
      <c r="S1176" t="s">
        <v>5557</v>
      </c>
      <c r="U1176" t="s">
        <v>45</v>
      </c>
      <c r="V1176" t="s">
        <v>46</v>
      </c>
      <c r="W1176" t="s">
        <v>624</v>
      </c>
      <c r="X1176" t="s">
        <v>622</v>
      </c>
      <c r="Y1176" t="s">
        <v>92</v>
      </c>
      <c r="Z1176" t="s">
        <v>94</v>
      </c>
      <c r="AA1176" t="s">
        <v>49</v>
      </c>
      <c r="AC1176" s="2"/>
    </row>
    <row r="1177" spans="1:31" x14ac:dyDescent="0.25">
      <c r="A1177" t="s">
        <v>5558</v>
      </c>
      <c r="B1177" t="s">
        <v>5559</v>
      </c>
      <c r="C1177" t="s">
        <v>5560</v>
      </c>
      <c r="D1177" t="s">
        <v>344</v>
      </c>
      <c r="E1177" t="s">
        <v>167</v>
      </c>
      <c r="F1177" t="s">
        <v>5561</v>
      </c>
      <c r="G1177" t="s">
        <v>553</v>
      </c>
      <c r="H1177" t="s">
        <v>2385</v>
      </c>
      <c r="I1177" t="s">
        <v>5562</v>
      </c>
      <c r="J1177" s="2">
        <v>103421</v>
      </c>
      <c r="K1177" s="2">
        <v>435</v>
      </c>
      <c r="L1177" s="2">
        <v>15</v>
      </c>
      <c r="M1177" s="2">
        <v>0</v>
      </c>
      <c r="N1177" t="s">
        <v>2384</v>
      </c>
      <c r="O1177" t="s">
        <v>2385</v>
      </c>
      <c r="P1177" t="s">
        <v>103</v>
      </c>
      <c r="Q1177" t="s">
        <v>104</v>
      </c>
      <c r="S1177" t="s">
        <v>5563</v>
      </c>
      <c r="U1177" t="s">
        <v>45</v>
      </c>
      <c r="V1177" t="s">
        <v>46</v>
      </c>
      <c r="W1177" t="s">
        <v>2384</v>
      </c>
      <c r="X1177" t="s">
        <v>2385</v>
      </c>
      <c r="Y1177" t="s">
        <v>106</v>
      </c>
      <c r="Z1177" t="s">
        <v>107</v>
      </c>
      <c r="AA1177" t="s">
        <v>49</v>
      </c>
      <c r="AB1177" t="s">
        <v>50</v>
      </c>
      <c r="AC1177" s="2">
        <v>87775.85</v>
      </c>
      <c r="AD1177" t="s">
        <v>5564</v>
      </c>
    </row>
    <row r="1178" spans="1:31" x14ac:dyDescent="0.25">
      <c r="A1178" t="s">
        <v>5565</v>
      </c>
      <c r="B1178" t="s">
        <v>5566</v>
      </c>
      <c r="C1178" t="s">
        <v>5566</v>
      </c>
      <c r="D1178" t="s">
        <v>178</v>
      </c>
      <c r="E1178" t="s">
        <v>179</v>
      </c>
      <c r="F1178" t="s">
        <v>5567</v>
      </c>
      <c r="G1178" t="s">
        <v>297</v>
      </c>
      <c r="H1178" t="s">
        <v>184</v>
      </c>
      <c r="I1178" t="s">
        <v>5568</v>
      </c>
      <c r="J1178" s="2">
        <v>218170</v>
      </c>
      <c r="K1178" s="2">
        <v>1000</v>
      </c>
      <c r="L1178" s="2">
        <v>1</v>
      </c>
      <c r="M1178" s="2">
        <v>0</v>
      </c>
      <c r="N1178" t="s">
        <v>183</v>
      </c>
      <c r="O1178" t="s">
        <v>184</v>
      </c>
      <c r="P1178" t="s">
        <v>158</v>
      </c>
      <c r="Q1178" t="s">
        <v>159</v>
      </c>
      <c r="S1178" t="s">
        <v>5569</v>
      </c>
      <c r="U1178" t="s">
        <v>45</v>
      </c>
      <c r="V1178" t="s">
        <v>46</v>
      </c>
      <c r="W1178" t="s">
        <v>183</v>
      </c>
      <c r="X1178" t="s">
        <v>184</v>
      </c>
      <c r="Y1178" t="s">
        <v>161</v>
      </c>
      <c r="Z1178" t="s">
        <v>162</v>
      </c>
      <c r="AA1178" t="s">
        <v>49</v>
      </c>
      <c r="AB1178" t="s">
        <v>50</v>
      </c>
      <c r="AC1178" s="2">
        <v>218170</v>
      </c>
      <c r="AD1178" t="s">
        <v>64</v>
      </c>
    </row>
    <row r="1179" spans="1:31" hidden="1" x14ac:dyDescent="0.25">
      <c r="I1179" t="s">
        <v>5570</v>
      </c>
      <c r="J1179" s="2">
        <v>21817</v>
      </c>
      <c r="K1179" s="2">
        <v>100</v>
      </c>
      <c r="L1179" s="2">
        <v>1</v>
      </c>
      <c r="M1179" s="2">
        <v>0</v>
      </c>
      <c r="S1179" t="s">
        <v>5571</v>
      </c>
      <c r="U1179" t="s">
        <v>45</v>
      </c>
      <c r="V1179" t="s">
        <v>46</v>
      </c>
      <c r="W1179" t="s">
        <v>403</v>
      </c>
      <c r="X1179" t="s">
        <v>404</v>
      </c>
      <c r="Y1179" t="s">
        <v>161</v>
      </c>
      <c r="Z1179" t="s">
        <v>162</v>
      </c>
      <c r="AA1179" t="s">
        <v>49</v>
      </c>
      <c r="AC1179" s="2"/>
    </row>
    <row r="1180" spans="1:31" x14ac:dyDescent="0.25">
      <c r="A1180" t="s">
        <v>5572</v>
      </c>
      <c r="B1180" t="s">
        <v>5573</v>
      </c>
      <c r="C1180" t="s">
        <v>5573</v>
      </c>
      <c r="D1180" t="s">
        <v>984</v>
      </c>
      <c r="E1180" t="s">
        <v>985</v>
      </c>
      <c r="F1180" t="s">
        <v>5574</v>
      </c>
      <c r="G1180" t="s">
        <v>178</v>
      </c>
      <c r="H1180" t="s">
        <v>584</v>
      </c>
      <c r="I1180" t="s">
        <v>5575</v>
      </c>
      <c r="J1180" s="2">
        <v>436340</v>
      </c>
      <c r="K1180" s="2">
        <v>2000</v>
      </c>
      <c r="L1180" s="2">
        <v>15</v>
      </c>
      <c r="M1180" s="2">
        <v>0</v>
      </c>
      <c r="N1180" t="s">
        <v>585</v>
      </c>
      <c r="O1180" t="s">
        <v>584</v>
      </c>
      <c r="P1180" t="s">
        <v>158</v>
      </c>
      <c r="Q1180" t="s">
        <v>159</v>
      </c>
      <c r="S1180" t="s">
        <v>5576</v>
      </c>
      <c r="U1180" t="s">
        <v>45</v>
      </c>
      <c r="V1180" t="s">
        <v>46</v>
      </c>
      <c r="W1180" t="s">
        <v>585</v>
      </c>
      <c r="X1180" t="s">
        <v>584</v>
      </c>
      <c r="Y1180" t="s">
        <v>161</v>
      </c>
      <c r="Z1180" t="s">
        <v>162</v>
      </c>
      <c r="AA1180" t="s">
        <v>49</v>
      </c>
      <c r="AB1180" t="s">
        <v>50</v>
      </c>
      <c r="AC1180" s="2">
        <v>229009.58</v>
      </c>
      <c r="AD1180" t="s">
        <v>5577</v>
      </c>
      <c r="AE1180" t="s">
        <v>52</v>
      </c>
    </row>
    <row r="1181" spans="1:31" hidden="1" x14ac:dyDescent="0.25">
      <c r="I1181" t="s">
        <v>5579</v>
      </c>
      <c r="J1181" s="2">
        <v>3700</v>
      </c>
      <c r="K1181" s="2">
        <v>0</v>
      </c>
      <c r="L1181" s="2">
        <v>1</v>
      </c>
      <c r="M1181" s="2">
        <v>0</v>
      </c>
      <c r="S1181" t="s">
        <v>5582</v>
      </c>
      <c r="U1181" t="s">
        <v>45</v>
      </c>
      <c r="V1181" t="s">
        <v>46</v>
      </c>
      <c r="W1181" t="s">
        <v>5580</v>
      </c>
      <c r="X1181" t="s">
        <v>5581</v>
      </c>
      <c r="Y1181" t="s">
        <v>137</v>
      </c>
      <c r="Z1181" t="s">
        <v>717</v>
      </c>
      <c r="AA1181" t="s">
        <v>49</v>
      </c>
      <c r="AC1181" s="2"/>
    </row>
    <row r="1182" spans="1:31" x14ac:dyDescent="0.25">
      <c r="A1182" t="s">
        <v>5583</v>
      </c>
      <c r="B1182" t="s">
        <v>5584</v>
      </c>
      <c r="C1182" t="s">
        <v>5584</v>
      </c>
      <c r="D1182" t="s">
        <v>1633</v>
      </c>
      <c r="E1182" t="s">
        <v>1502</v>
      </c>
      <c r="F1182" t="s">
        <v>5585</v>
      </c>
      <c r="G1182" t="s">
        <v>485</v>
      </c>
      <c r="H1182" t="s">
        <v>255</v>
      </c>
      <c r="I1182" t="s">
        <v>5586</v>
      </c>
      <c r="J1182" s="2">
        <v>218170</v>
      </c>
      <c r="K1182" s="2">
        <v>1000</v>
      </c>
      <c r="L1182" s="2">
        <v>15</v>
      </c>
      <c r="M1182" s="2">
        <v>0</v>
      </c>
      <c r="N1182" t="s">
        <v>254</v>
      </c>
      <c r="O1182" t="s">
        <v>255</v>
      </c>
      <c r="P1182" t="s">
        <v>3534</v>
      </c>
      <c r="Q1182" t="s">
        <v>3535</v>
      </c>
      <c r="S1182" t="s">
        <v>5587</v>
      </c>
      <c r="U1182" t="s">
        <v>45</v>
      </c>
      <c r="V1182" t="s">
        <v>46</v>
      </c>
      <c r="W1182" t="s">
        <v>254</v>
      </c>
      <c r="X1182" t="s">
        <v>255</v>
      </c>
      <c r="Y1182" t="s">
        <v>137</v>
      </c>
      <c r="Z1182" t="s">
        <v>717</v>
      </c>
      <c r="AA1182" t="s">
        <v>49</v>
      </c>
      <c r="AB1182" t="s">
        <v>50</v>
      </c>
      <c r="AC1182" s="2">
        <v>209248.69</v>
      </c>
      <c r="AD1182" t="s">
        <v>5588</v>
      </c>
    </row>
    <row r="1183" spans="1:31" x14ac:dyDescent="0.25">
      <c r="A1183" t="s">
        <v>5589</v>
      </c>
      <c r="B1183" t="s">
        <v>5590</v>
      </c>
      <c r="C1183" t="s">
        <v>5590</v>
      </c>
      <c r="D1183" t="s">
        <v>299</v>
      </c>
      <c r="E1183" t="s">
        <v>167</v>
      </c>
      <c r="F1183" t="s">
        <v>5591</v>
      </c>
      <c r="G1183" t="s">
        <v>792</v>
      </c>
      <c r="H1183" t="s">
        <v>81</v>
      </c>
      <c r="J1183" s="2">
        <v>1090850</v>
      </c>
      <c r="K1183" s="2">
        <v>5000</v>
      </c>
      <c r="L1183" s="2">
        <v>15</v>
      </c>
      <c r="M1183" s="2">
        <v>0</v>
      </c>
      <c r="N1183" t="s">
        <v>80</v>
      </c>
      <c r="O1183" t="s">
        <v>81</v>
      </c>
      <c r="P1183" t="s">
        <v>82</v>
      </c>
      <c r="Q1183" t="s">
        <v>83</v>
      </c>
      <c r="S1183" t="s">
        <v>5592</v>
      </c>
      <c r="U1183" t="s">
        <v>45</v>
      </c>
      <c r="V1183" t="s">
        <v>46</v>
      </c>
      <c r="W1183" t="s">
        <v>80</v>
      </c>
      <c r="X1183" t="s">
        <v>81</v>
      </c>
      <c r="Y1183" t="s">
        <v>85</v>
      </c>
      <c r="Z1183" t="s">
        <v>86</v>
      </c>
      <c r="AA1183" t="s">
        <v>49</v>
      </c>
      <c r="AB1183" t="s">
        <v>50</v>
      </c>
      <c r="AC1183" s="2">
        <v>1039440.92</v>
      </c>
      <c r="AD1183" t="s">
        <v>5593</v>
      </c>
    </row>
    <row r="1184" spans="1:31" x14ac:dyDescent="0.25">
      <c r="A1184" t="s">
        <v>5594</v>
      </c>
      <c r="B1184" t="s">
        <v>5595</v>
      </c>
      <c r="C1184" t="s">
        <v>5595</v>
      </c>
      <c r="D1184" t="s">
        <v>569</v>
      </c>
      <c r="E1184" t="s">
        <v>570</v>
      </c>
      <c r="F1184" t="s">
        <v>5596</v>
      </c>
      <c r="G1184" t="s">
        <v>5597</v>
      </c>
      <c r="H1184" t="s">
        <v>699</v>
      </c>
      <c r="I1184" t="s">
        <v>5598</v>
      </c>
      <c r="J1184" s="2">
        <v>118420</v>
      </c>
      <c r="K1184" s="2">
        <v>500</v>
      </c>
      <c r="L1184" s="2">
        <v>1</v>
      </c>
      <c r="M1184" s="2">
        <v>0</v>
      </c>
      <c r="N1184" t="s">
        <v>700</v>
      </c>
      <c r="O1184" t="s">
        <v>699</v>
      </c>
      <c r="P1184" t="s">
        <v>69</v>
      </c>
      <c r="Q1184" t="s">
        <v>70</v>
      </c>
      <c r="S1184" t="s">
        <v>5599</v>
      </c>
      <c r="U1184" t="s">
        <v>45</v>
      </c>
      <c r="V1184" t="s">
        <v>46</v>
      </c>
      <c r="W1184" t="s">
        <v>700</v>
      </c>
      <c r="X1184" t="s">
        <v>699</v>
      </c>
      <c r="Y1184" t="s">
        <v>47</v>
      </c>
      <c r="Z1184" t="s">
        <v>48</v>
      </c>
      <c r="AA1184" t="s">
        <v>49</v>
      </c>
      <c r="AB1184" t="s">
        <v>50</v>
      </c>
      <c r="AC1184" s="2">
        <v>-120000.59</v>
      </c>
      <c r="AD1184" t="s">
        <v>5600</v>
      </c>
      <c r="AE1184" t="s">
        <v>115</v>
      </c>
    </row>
    <row r="1185" spans="1:31" hidden="1" x14ac:dyDescent="0.25">
      <c r="I1185" t="s">
        <v>5601</v>
      </c>
      <c r="J1185" s="2">
        <v>200</v>
      </c>
      <c r="K1185" s="2">
        <v>0</v>
      </c>
      <c r="L1185" s="2">
        <v>15</v>
      </c>
      <c r="M1185" s="2">
        <v>0</v>
      </c>
      <c r="S1185" t="s">
        <v>5602</v>
      </c>
      <c r="U1185" t="s">
        <v>45</v>
      </c>
      <c r="V1185" t="s">
        <v>46</v>
      </c>
      <c r="W1185" t="s">
        <v>826</v>
      </c>
      <c r="X1185" t="s">
        <v>827</v>
      </c>
      <c r="Y1185" t="s">
        <v>279</v>
      </c>
      <c r="Z1185" t="s">
        <v>280</v>
      </c>
      <c r="AA1185" t="s">
        <v>49</v>
      </c>
      <c r="AC1185" s="2"/>
    </row>
    <row r="1186" spans="1:31" x14ac:dyDescent="0.25">
      <c r="A1186" t="s">
        <v>5603</v>
      </c>
      <c r="B1186" t="s">
        <v>5604</v>
      </c>
      <c r="C1186" t="s">
        <v>5604</v>
      </c>
      <c r="D1186" t="s">
        <v>847</v>
      </c>
      <c r="E1186" t="s">
        <v>848</v>
      </c>
      <c r="F1186" t="s">
        <v>5605</v>
      </c>
      <c r="H1186" t="s">
        <v>41</v>
      </c>
      <c r="I1186" t="s">
        <v>5606</v>
      </c>
      <c r="J1186" s="2">
        <v>32726</v>
      </c>
      <c r="K1186" s="2">
        <v>150</v>
      </c>
      <c r="L1186" s="2">
        <v>15</v>
      </c>
      <c r="M1186" s="2">
        <v>0</v>
      </c>
      <c r="N1186" t="s">
        <v>40</v>
      </c>
      <c r="O1186" t="s">
        <v>41</v>
      </c>
      <c r="P1186" t="s">
        <v>42</v>
      </c>
      <c r="Q1186" t="s">
        <v>43</v>
      </c>
      <c r="S1186" t="s">
        <v>5607</v>
      </c>
      <c r="U1186" t="s">
        <v>45</v>
      </c>
      <c r="V1186" t="s">
        <v>46</v>
      </c>
      <c r="W1186" t="s">
        <v>40</v>
      </c>
      <c r="X1186" t="s">
        <v>41</v>
      </c>
      <c r="Y1186" t="s">
        <v>47</v>
      </c>
      <c r="Z1186" t="s">
        <v>48</v>
      </c>
      <c r="AA1186" t="s">
        <v>141</v>
      </c>
      <c r="AB1186" t="s">
        <v>50</v>
      </c>
      <c r="AC1186" s="2">
        <v>25214.34</v>
      </c>
      <c r="AD1186" t="s">
        <v>5608</v>
      </c>
    </row>
    <row r="1187" spans="1:31" x14ac:dyDescent="0.25">
      <c r="A1187" t="s">
        <v>5609</v>
      </c>
      <c r="B1187" t="s">
        <v>5610</v>
      </c>
      <c r="C1187" t="s">
        <v>5610</v>
      </c>
      <c r="D1187" t="s">
        <v>35</v>
      </c>
      <c r="E1187" t="s">
        <v>36</v>
      </c>
      <c r="F1187" t="s">
        <v>5611</v>
      </c>
      <c r="G1187" t="s">
        <v>153</v>
      </c>
      <c r="H1187" t="s">
        <v>2394</v>
      </c>
      <c r="I1187" t="s">
        <v>2446</v>
      </c>
      <c r="J1187" s="2">
        <v>261804</v>
      </c>
      <c r="K1187" s="2">
        <v>1200</v>
      </c>
      <c r="L1187" s="2">
        <v>21</v>
      </c>
      <c r="M1187" s="2">
        <v>0</v>
      </c>
      <c r="N1187" t="s">
        <v>2393</v>
      </c>
      <c r="O1187" t="s">
        <v>2394</v>
      </c>
      <c r="P1187" t="s">
        <v>61</v>
      </c>
      <c r="Q1187" t="s">
        <v>62</v>
      </c>
      <c r="S1187" t="s">
        <v>5612</v>
      </c>
      <c r="U1187" t="s">
        <v>45</v>
      </c>
      <c r="V1187" t="s">
        <v>46</v>
      </c>
      <c r="W1187" t="s">
        <v>2393</v>
      </c>
      <c r="X1187" t="s">
        <v>2394</v>
      </c>
      <c r="Y1187" t="s">
        <v>47</v>
      </c>
      <c r="Z1187" t="s">
        <v>48</v>
      </c>
      <c r="AA1187" t="s">
        <v>49</v>
      </c>
      <c r="AB1187" t="s">
        <v>50</v>
      </c>
      <c r="AC1187" s="2">
        <v>118783.9</v>
      </c>
      <c r="AD1187" t="s">
        <v>5613</v>
      </c>
      <c r="AE1187" t="s">
        <v>52</v>
      </c>
    </row>
    <row r="1188" spans="1:31" x14ac:dyDescent="0.25">
      <c r="A1188" t="s">
        <v>5614</v>
      </c>
      <c r="B1188" t="s">
        <v>5615</v>
      </c>
      <c r="C1188" t="s">
        <v>5615</v>
      </c>
      <c r="D1188" t="s">
        <v>125</v>
      </c>
      <c r="E1188" t="s">
        <v>126</v>
      </c>
      <c r="F1188" t="s">
        <v>5616</v>
      </c>
      <c r="G1188" t="s">
        <v>153</v>
      </c>
      <c r="H1188" t="s">
        <v>1222</v>
      </c>
      <c r="I1188" t="s">
        <v>5617</v>
      </c>
      <c r="J1188" s="2">
        <v>1112850</v>
      </c>
      <c r="K1188" s="2">
        <v>4500</v>
      </c>
      <c r="L1188" s="2">
        <v>21</v>
      </c>
      <c r="M1188" s="2">
        <v>0</v>
      </c>
      <c r="N1188" t="s">
        <v>1221</v>
      </c>
      <c r="O1188" t="s">
        <v>1222</v>
      </c>
      <c r="P1188" t="s">
        <v>205</v>
      </c>
      <c r="Q1188" t="s">
        <v>206</v>
      </c>
      <c r="S1188" t="s">
        <v>5618</v>
      </c>
      <c r="U1188" t="s">
        <v>45</v>
      </c>
      <c r="V1188" t="s">
        <v>46</v>
      </c>
      <c r="W1188" t="s">
        <v>1221</v>
      </c>
      <c r="X1188" t="s">
        <v>1222</v>
      </c>
      <c r="Y1188" t="s">
        <v>161</v>
      </c>
      <c r="Z1188" t="s">
        <v>162</v>
      </c>
      <c r="AA1188" t="s">
        <v>49</v>
      </c>
      <c r="AB1188" t="s">
        <v>50</v>
      </c>
      <c r="AC1188" s="2">
        <v>887854.36</v>
      </c>
      <c r="AD1188" t="s">
        <v>5619</v>
      </c>
      <c r="AE1188" t="s">
        <v>115</v>
      </c>
    </row>
    <row r="1189" spans="1:31" x14ac:dyDescent="0.25">
      <c r="A1189" t="s">
        <v>5620</v>
      </c>
      <c r="B1189" t="s">
        <v>5621</v>
      </c>
      <c r="C1189" t="s">
        <v>5621</v>
      </c>
      <c r="D1189" t="s">
        <v>847</v>
      </c>
      <c r="E1189" t="s">
        <v>848</v>
      </c>
      <c r="F1189" t="s">
        <v>5622</v>
      </c>
      <c r="H1189" t="s">
        <v>41</v>
      </c>
      <c r="J1189" s="2">
        <v>21817</v>
      </c>
      <c r="K1189" s="2">
        <v>100</v>
      </c>
      <c r="L1189" s="2">
        <v>15</v>
      </c>
      <c r="M1189" s="2">
        <v>0</v>
      </c>
      <c r="N1189" t="s">
        <v>40</v>
      </c>
      <c r="O1189" t="s">
        <v>41</v>
      </c>
      <c r="P1189" t="s">
        <v>42</v>
      </c>
      <c r="Q1189" t="s">
        <v>43</v>
      </c>
      <c r="U1189" t="s">
        <v>45</v>
      </c>
      <c r="V1189" t="s">
        <v>46</v>
      </c>
      <c r="W1189" t="s">
        <v>40</v>
      </c>
      <c r="X1189" t="s">
        <v>41</v>
      </c>
      <c r="Y1189" t="s">
        <v>47</v>
      </c>
      <c r="Z1189" t="s">
        <v>48</v>
      </c>
      <c r="AA1189" t="s">
        <v>141</v>
      </c>
      <c r="AB1189" t="s">
        <v>50</v>
      </c>
      <c r="AC1189" s="2">
        <v>21752.57</v>
      </c>
      <c r="AD1189" t="s">
        <v>5623</v>
      </c>
    </row>
    <row r="1190" spans="1:31" hidden="1" x14ac:dyDescent="0.25">
      <c r="A1190" t="s">
        <v>5624</v>
      </c>
      <c r="B1190" t="s">
        <v>5625</v>
      </c>
      <c r="C1190" t="s">
        <v>5625</v>
      </c>
      <c r="F1190" t="s">
        <v>5626</v>
      </c>
      <c r="H1190" t="s">
        <v>4084</v>
      </c>
      <c r="J1190" s="2">
        <v>65451</v>
      </c>
      <c r="K1190" s="2">
        <v>300</v>
      </c>
      <c r="L1190" s="2">
        <v>1</v>
      </c>
      <c r="M1190" s="2">
        <v>0</v>
      </c>
      <c r="N1190" t="s">
        <v>4083</v>
      </c>
      <c r="O1190" t="s">
        <v>4084</v>
      </c>
      <c r="P1190" t="s">
        <v>103</v>
      </c>
      <c r="Q1190" t="s">
        <v>104</v>
      </c>
      <c r="S1190" t="s">
        <v>5627</v>
      </c>
      <c r="U1190" t="s">
        <v>45</v>
      </c>
      <c r="V1190" t="s">
        <v>46</v>
      </c>
      <c r="W1190" t="s">
        <v>4083</v>
      </c>
      <c r="X1190" t="s">
        <v>4084</v>
      </c>
      <c r="Y1190" t="s">
        <v>106</v>
      </c>
      <c r="Z1190" t="s">
        <v>107</v>
      </c>
      <c r="AA1190" t="s">
        <v>49</v>
      </c>
      <c r="AB1190" t="s">
        <v>50</v>
      </c>
      <c r="AC1190" s="2">
        <v>65451</v>
      </c>
      <c r="AD1190" t="s">
        <v>64</v>
      </c>
    </row>
    <row r="1191" spans="1:31" x14ac:dyDescent="0.25">
      <c r="A1191" s="15" t="s">
        <v>5628</v>
      </c>
      <c r="B1191" s="15" t="s">
        <v>5629</v>
      </c>
      <c r="C1191" s="15" t="s">
        <v>5629</v>
      </c>
      <c r="D1191" s="15" t="s">
        <v>55</v>
      </c>
      <c r="E1191" s="15" t="s">
        <v>56</v>
      </c>
      <c r="F1191" s="15" t="s">
        <v>5630</v>
      </c>
      <c r="H1191" s="15" t="s">
        <v>2427</v>
      </c>
      <c r="J1191" s="2">
        <v>1728</v>
      </c>
      <c r="K1191" s="2">
        <v>7.92</v>
      </c>
      <c r="L1191" s="2">
        <v>1</v>
      </c>
      <c r="M1191" s="2">
        <v>0</v>
      </c>
      <c r="N1191" s="15" t="s">
        <v>2426</v>
      </c>
      <c r="O1191" s="15" t="s">
        <v>2427</v>
      </c>
      <c r="P1191" s="15" t="s">
        <v>103</v>
      </c>
      <c r="Q1191" s="15" t="s">
        <v>104</v>
      </c>
      <c r="S1191" t="s">
        <v>5631</v>
      </c>
      <c r="U1191" t="s">
        <v>45</v>
      </c>
      <c r="V1191" t="s">
        <v>46</v>
      </c>
      <c r="W1191" t="s">
        <v>2426</v>
      </c>
      <c r="X1191" t="s">
        <v>2427</v>
      </c>
      <c r="Y1191" t="s">
        <v>279</v>
      </c>
      <c r="Z1191" t="s">
        <v>280</v>
      </c>
      <c r="AA1191" t="s">
        <v>49</v>
      </c>
      <c r="AB1191" s="15" t="s">
        <v>50</v>
      </c>
      <c r="AC1191" s="16">
        <v>-11374.99</v>
      </c>
      <c r="AD1191" s="15" t="s">
        <v>5632</v>
      </c>
      <c r="AE1191" s="15" t="s">
        <v>115</v>
      </c>
    </row>
    <row r="1192" spans="1:31" x14ac:dyDescent="0.25">
      <c r="A1192" t="s">
        <v>5633</v>
      </c>
      <c r="B1192" t="s">
        <v>5634</v>
      </c>
      <c r="C1192" t="s">
        <v>5634</v>
      </c>
      <c r="D1192" t="s">
        <v>847</v>
      </c>
      <c r="E1192" t="s">
        <v>848</v>
      </c>
      <c r="F1192" t="s">
        <v>5635</v>
      </c>
      <c r="H1192" t="s">
        <v>41</v>
      </c>
      <c r="J1192" s="2">
        <v>109085</v>
      </c>
      <c r="K1192" s="2">
        <v>500</v>
      </c>
      <c r="L1192" s="2">
        <v>15</v>
      </c>
      <c r="M1192" s="2">
        <v>0</v>
      </c>
      <c r="N1192" t="s">
        <v>40</v>
      </c>
      <c r="O1192" t="s">
        <v>41</v>
      </c>
      <c r="P1192" t="s">
        <v>42</v>
      </c>
      <c r="Q1192" t="s">
        <v>43</v>
      </c>
      <c r="U1192" t="s">
        <v>45</v>
      </c>
      <c r="V1192" t="s">
        <v>46</v>
      </c>
      <c r="W1192" t="s">
        <v>40</v>
      </c>
      <c r="X1192" t="s">
        <v>41</v>
      </c>
      <c r="Y1192" t="s">
        <v>47</v>
      </c>
      <c r="Z1192" t="s">
        <v>48</v>
      </c>
      <c r="AA1192" t="s">
        <v>141</v>
      </c>
      <c r="AB1192" t="s">
        <v>50</v>
      </c>
      <c r="AC1192" s="2">
        <v>70398.58</v>
      </c>
      <c r="AD1192" t="s">
        <v>5636</v>
      </c>
    </row>
    <row r="1193" spans="1:31" x14ac:dyDescent="0.25">
      <c r="A1193" t="s">
        <v>5637</v>
      </c>
      <c r="B1193" t="s">
        <v>5638</v>
      </c>
      <c r="C1193" t="s">
        <v>4538</v>
      </c>
      <c r="D1193" t="s">
        <v>125</v>
      </c>
      <c r="E1193" t="s">
        <v>126</v>
      </c>
      <c r="F1193" t="s">
        <v>4539</v>
      </c>
      <c r="G1193" t="s">
        <v>35</v>
      </c>
      <c r="H1193" t="s">
        <v>38</v>
      </c>
      <c r="I1193" t="s">
        <v>5639</v>
      </c>
      <c r="J1193" s="2">
        <v>545425</v>
      </c>
      <c r="K1193" s="2">
        <v>2500</v>
      </c>
      <c r="L1193" s="2">
        <v>15</v>
      </c>
      <c r="M1193" s="2">
        <v>0</v>
      </c>
      <c r="N1193" t="s">
        <v>40</v>
      </c>
      <c r="O1193" t="s">
        <v>41</v>
      </c>
      <c r="P1193" t="s">
        <v>61</v>
      </c>
      <c r="Q1193" t="s">
        <v>62</v>
      </c>
      <c r="S1193" t="s">
        <v>4541</v>
      </c>
      <c r="U1193" t="s">
        <v>45</v>
      </c>
      <c r="V1193" t="s">
        <v>46</v>
      </c>
      <c r="W1193" t="s">
        <v>40</v>
      </c>
      <c r="X1193" t="s">
        <v>41</v>
      </c>
      <c r="Y1193" t="s">
        <v>47</v>
      </c>
      <c r="Z1193" t="s">
        <v>48</v>
      </c>
      <c r="AA1193" t="s">
        <v>49</v>
      </c>
      <c r="AB1193" t="s">
        <v>50</v>
      </c>
      <c r="AC1193" s="2">
        <v>350883.28</v>
      </c>
      <c r="AD1193" t="s">
        <v>5640</v>
      </c>
      <c r="AE1193" t="s">
        <v>52</v>
      </c>
    </row>
    <row r="1194" spans="1:31" hidden="1" x14ac:dyDescent="0.25">
      <c r="I1194" t="s">
        <v>5641</v>
      </c>
      <c r="J1194" s="2">
        <v>21817</v>
      </c>
      <c r="K1194" s="2">
        <v>100</v>
      </c>
      <c r="L1194" s="2">
        <v>1</v>
      </c>
      <c r="M1194" s="2">
        <v>0</v>
      </c>
      <c r="S1194" t="s">
        <v>5642</v>
      </c>
      <c r="U1194" t="s">
        <v>45</v>
      </c>
      <c r="V1194" t="s">
        <v>46</v>
      </c>
      <c r="W1194" t="s">
        <v>1362</v>
      </c>
      <c r="X1194" t="s">
        <v>1360</v>
      </c>
      <c r="Y1194" t="s">
        <v>1215</v>
      </c>
      <c r="Z1194" t="s">
        <v>1216</v>
      </c>
      <c r="AA1194" t="s">
        <v>49</v>
      </c>
      <c r="AC1194" s="2"/>
    </row>
    <row r="1195" spans="1:31" x14ac:dyDescent="0.25">
      <c r="A1195" t="s">
        <v>5643</v>
      </c>
      <c r="B1195" t="s">
        <v>5644</v>
      </c>
      <c r="C1195" t="s">
        <v>5644</v>
      </c>
      <c r="D1195" t="s">
        <v>153</v>
      </c>
      <c r="E1195" t="s">
        <v>272</v>
      </c>
      <c r="F1195" t="s">
        <v>5645</v>
      </c>
      <c r="G1195" t="s">
        <v>1410</v>
      </c>
      <c r="H1195" t="s">
        <v>2385</v>
      </c>
      <c r="I1195" t="s">
        <v>5646</v>
      </c>
      <c r="J1195" s="2">
        <v>76360</v>
      </c>
      <c r="K1195" s="2">
        <v>350</v>
      </c>
      <c r="L1195" s="2">
        <v>7</v>
      </c>
      <c r="M1195" s="2">
        <v>0</v>
      </c>
      <c r="N1195" t="s">
        <v>2384</v>
      </c>
      <c r="O1195" t="s">
        <v>2385</v>
      </c>
      <c r="P1195" t="s">
        <v>103</v>
      </c>
      <c r="Q1195" t="s">
        <v>104</v>
      </c>
      <c r="S1195" t="s">
        <v>5647</v>
      </c>
      <c r="U1195" t="s">
        <v>45</v>
      </c>
      <c r="V1195" t="s">
        <v>46</v>
      </c>
      <c r="W1195" t="s">
        <v>2384</v>
      </c>
      <c r="X1195" t="s">
        <v>2385</v>
      </c>
      <c r="Y1195" t="s">
        <v>106</v>
      </c>
      <c r="Z1195" t="s">
        <v>107</v>
      </c>
      <c r="AA1195" t="s">
        <v>49</v>
      </c>
      <c r="AB1195" t="s">
        <v>50</v>
      </c>
      <c r="AC1195" s="2">
        <v>76360</v>
      </c>
      <c r="AD1195" t="s">
        <v>64</v>
      </c>
    </row>
    <row r="1196" spans="1:31" x14ac:dyDescent="0.25">
      <c r="A1196" t="s">
        <v>5648</v>
      </c>
      <c r="B1196" t="s">
        <v>5649</v>
      </c>
      <c r="C1196" t="s">
        <v>5649</v>
      </c>
      <c r="D1196" t="s">
        <v>178</v>
      </c>
      <c r="E1196" t="s">
        <v>179</v>
      </c>
      <c r="F1196" t="s">
        <v>5650</v>
      </c>
      <c r="G1196" t="s">
        <v>3194</v>
      </c>
      <c r="H1196" t="s">
        <v>5651</v>
      </c>
      <c r="I1196" t="s">
        <v>5652</v>
      </c>
      <c r="J1196" s="2">
        <v>327255</v>
      </c>
      <c r="K1196" s="2">
        <v>1500</v>
      </c>
      <c r="L1196" s="2">
        <v>21</v>
      </c>
      <c r="M1196" s="2">
        <v>0</v>
      </c>
      <c r="N1196" t="s">
        <v>254</v>
      </c>
      <c r="O1196" t="s">
        <v>255</v>
      </c>
      <c r="P1196" t="s">
        <v>4374</v>
      </c>
      <c r="Q1196" t="s">
        <v>4375</v>
      </c>
      <c r="S1196" t="s">
        <v>5653</v>
      </c>
      <c r="U1196" t="s">
        <v>45</v>
      </c>
      <c r="V1196" t="s">
        <v>46</v>
      </c>
      <c r="W1196" t="s">
        <v>254</v>
      </c>
      <c r="X1196" t="s">
        <v>255</v>
      </c>
      <c r="Y1196" t="s">
        <v>1122</v>
      </c>
      <c r="Z1196" t="s">
        <v>1122</v>
      </c>
      <c r="AA1196" t="s">
        <v>49</v>
      </c>
      <c r="AB1196" t="s">
        <v>50</v>
      </c>
      <c r="AC1196" s="2">
        <v>327255</v>
      </c>
      <c r="AD1196" t="s">
        <v>64</v>
      </c>
    </row>
    <row r="1197" spans="1:31" x14ac:dyDescent="0.25">
      <c r="A1197" t="s">
        <v>5654</v>
      </c>
      <c r="B1197" t="s">
        <v>5655</v>
      </c>
      <c r="C1197" t="s">
        <v>5656</v>
      </c>
      <c r="D1197" t="s">
        <v>847</v>
      </c>
      <c r="E1197" t="s">
        <v>848</v>
      </c>
      <c r="F1197" t="s">
        <v>5657</v>
      </c>
      <c r="G1197" t="s">
        <v>166</v>
      </c>
      <c r="H1197" t="s">
        <v>5188</v>
      </c>
      <c r="I1197" t="s">
        <v>5658</v>
      </c>
      <c r="J1197" s="2">
        <v>99048</v>
      </c>
      <c r="K1197" s="2">
        <v>410</v>
      </c>
      <c r="L1197" s="2">
        <v>7</v>
      </c>
      <c r="M1197" s="2">
        <v>0</v>
      </c>
      <c r="N1197" t="s">
        <v>5190</v>
      </c>
      <c r="O1197" t="s">
        <v>5188</v>
      </c>
      <c r="P1197" t="s">
        <v>256</v>
      </c>
      <c r="Q1197" t="s">
        <v>255</v>
      </c>
      <c r="S1197" t="s">
        <v>5659</v>
      </c>
      <c r="U1197" t="s">
        <v>45</v>
      </c>
      <c r="V1197" t="s">
        <v>46</v>
      </c>
      <c r="W1197" t="s">
        <v>5190</v>
      </c>
      <c r="X1197" t="s">
        <v>5188</v>
      </c>
      <c r="Y1197" t="s">
        <v>137</v>
      </c>
      <c r="Z1197" t="s">
        <v>717</v>
      </c>
      <c r="AA1197" t="s">
        <v>49</v>
      </c>
      <c r="AB1197" t="s">
        <v>50</v>
      </c>
      <c r="AC1197" s="2">
        <v>12286.28</v>
      </c>
      <c r="AD1197" t="s">
        <v>5660</v>
      </c>
      <c r="AE1197" t="s">
        <v>115</v>
      </c>
    </row>
    <row r="1198" spans="1:31" x14ac:dyDescent="0.25">
      <c r="A1198" t="s">
        <v>5661</v>
      </c>
      <c r="B1198" t="s">
        <v>5662</v>
      </c>
      <c r="C1198" t="s">
        <v>5662</v>
      </c>
      <c r="D1198" t="s">
        <v>847</v>
      </c>
      <c r="E1198" t="s">
        <v>848</v>
      </c>
      <c r="F1198" t="s">
        <v>5663</v>
      </c>
      <c r="G1198" t="s">
        <v>299</v>
      </c>
      <c r="H1198" t="s">
        <v>5664</v>
      </c>
      <c r="I1198" t="s">
        <v>5658</v>
      </c>
      <c r="J1198" s="2">
        <v>87268</v>
      </c>
      <c r="K1198" s="2">
        <v>400</v>
      </c>
      <c r="L1198" s="2">
        <v>7</v>
      </c>
      <c r="M1198" s="2">
        <v>0</v>
      </c>
      <c r="N1198" t="s">
        <v>5665</v>
      </c>
      <c r="O1198" t="s">
        <v>5664</v>
      </c>
      <c r="P1198" t="s">
        <v>256</v>
      </c>
      <c r="Q1198" t="s">
        <v>255</v>
      </c>
      <c r="S1198" t="s">
        <v>5666</v>
      </c>
      <c r="U1198" t="s">
        <v>45</v>
      </c>
      <c r="V1198" t="s">
        <v>46</v>
      </c>
      <c r="W1198" t="s">
        <v>5665</v>
      </c>
      <c r="X1198" t="s">
        <v>5664</v>
      </c>
      <c r="Y1198" t="s">
        <v>137</v>
      </c>
      <c r="Z1198" t="s">
        <v>717</v>
      </c>
      <c r="AA1198" t="s">
        <v>49</v>
      </c>
      <c r="AB1198" t="s">
        <v>50</v>
      </c>
      <c r="AC1198" s="2">
        <v>18288.77</v>
      </c>
      <c r="AD1198" t="s">
        <v>5667</v>
      </c>
      <c r="AE1198" t="s">
        <v>52</v>
      </c>
    </row>
    <row r="1199" spans="1:31" hidden="1" x14ac:dyDescent="0.25">
      <c r="J1199" s="2">
        <v>18500</v>
      </c>
      <c r="K1199" s="2">
        <v>0</v>
      </c>
      <c r="L1199" s="2">
        <v>21</v>
      </c>
      <c r="M1199" s="2">
        <v>0</v>
      </c>
      <c r="S1199" t="s">
        <v>5668</v>
      </c>
      <c r="U1199" t="s">
        <v>45</v>
      </c>
      <c r="V1199" t="s">
        <v>46</v>
      </c>
      <c r="W1199" t="s">
        <v>254</v>
      </c>
      <c r="X1199" t="s">
        <v>255</v>
      </c>
      <c r="Y1199" t="s">
        <v>258</v>
      </c>
      <c r="Z1199" t="s">
        <v>259</v>
      </c>
      <c r="AA1199" t="s">
        <v>49</v>
      </c>
      <c r="AC1199" s="2"/>
    </row>
    <row r="1200" spans="1:31" hidden="1" x14ac:dyDescent="0.25">
      <c r="I1200" t="s">
        <v>5669</v>
      </c>
      <c r="J1200" s="2">
        <v>9174</v>
      </c>
      <c r="K1200" s="2">
        <v>0</v>
      </c>
      <c r="L1200" s="2">
        <v>15</v>
      </c>
      <c r="M1200" s="2">
        <v>0</v>
      </c>
      <c r="S1200" t="s">
        <v>5670</v>
      </c>
      <c r="U1200" t="s">
        <v>45</v>
      </c>
      <c r="V1200" t="s">
        <v>46</v>
      </c>
      <c r="W1200" t="s">
        <v>883</v>
      </c>
      <c r="X1200" t="s">
        <v>881</v>
      </c>
      <c r="Y1200" t="s">
        <v>161</v>
      </c>
      <c r="Z1200" t="s">
        <v>162</v>
      </c>
      <c r="AA1200" t="s">
        <v>49</v>
      </c>
      <c r="AC1200" s="2"/>
    </row>
    <row r="1201" spans="1:31" x14ac:dyDescent="0.25">
      <c r="A1201" t="s">
        <v>5671</v>
      </c>
      <c r="B1201" t="s">
        <v>5672</v>
      </c>
      <c r="C1201" t="s">
        <v>5672</v>
      </c>
      <c r="D1201" t="s">
        <v>153</v>
      </c>
      <c r="E1201" t="s">
        <v>272</v>
      </c>
      <c r="F1201" t="s">
        <v>5673</v>
      </c>
      <c r="G1201" t="s">
        <v>178</v>
      </c>
      <c r="H1201" t="s">
        <v>1396</v>
      </c>
      <c r="I1201" t="s">
        <v>5674</v>
      </c>
      <c r="J1201" s="2">
        <v>196353</v>
      </c>
      <c r="K1201" s="2">
        <v>900</v>
      </c>
      <c r="L1201" s="2">
        <v>15</v>
      </c>
      <c r="M1201" s="2">
        <v>0</v>
      </c>
      <c r="N1201" t="s">
        <v>1398</v>
      </c>
      <c r="O1201" t="s">
        <v>1396</v>
      </c>
      <c r="P1201" t="s">
        <v>120</v>
      </c>
      <c r="Q1201" t="s">
        <v>121</v>
      </c>
      <c r="S1201" t="s">
        <v>5675</v>
      </c>
      <c r="U1201" t="s">
        <v>45</v>
      </c>
      <c r="V1201" t="s">
        <v>46</v>
      </c>
      <c r="W1201" t="s">
        <v>1398</v>
      </c>
      <c r="X1201" t="s">
        <v>1396</v>
      </c>
      <c r="Y1201" t="s">
        <v>121</v>
      </c>
      <c r="Z1201" t="s">
        <v>94</v>
      </c>
      <c r="AA1201" t="s">
        <v>49</v>
      </c>
      <c r="AB1201" t="s">
        <v>50</v>
      </c>
      <c r="AC1201" s="2">
        <v>150112.68</v>
      </c>
      <c r="AD1201" t="s">
        <v>5676</v>
      </c>
      <c r="AE1201" t="s">
        <v>52</v>
      </c>
    </row>
    <row r="1202" spans="1:31" x14ac:dyDescent="0.25">
      <c r="A1202" t="s">
        <v>5677</v>
      </c>
      <c r="B1202" t="s">
        <v>5678</v>
      </c>
      <c r="C1202" t="s">
        <v>5679</v>
      </c>
      <c r="D1202" t="s">
        <v>35</v>
      </c>
      <c r="E1202" t="s">
        <v>36</v>
      </c>
      <c r="F1202" t="s">
        <v>5680</v>
      </c>
      <c r="G1202" t="s">
        <v>153</v>
      </c>
      <c r="H1202" t="s">
        <v>641</v>
      </c>
      <c r="J1202" s="2">
        <v>763595</v>
      </c>
      <c r="K1202" s="2">
        <v>3500</v>
      </c>
      <c r="L1202" s="2">
        <v>21</v>
      </c>
      <c r="M1202" s="2">
        <v>0</v>
      </c>
      <c r="N1202" t="s">
        <v>640</v>
      </c>
      <c r="O1202" t="s">
        <v>641</v>
      </c>
      <c r="P1202" t="s">
        <v>91</v>
      </c>
      <c r="Q1202" t="s">
        <v>92</v>
      </c>
      <c r="S1202" t="s">
        <v>5681</v>
      </c>
      <c r="U1202" t="s">
        <v>45</v>
      </c>
      <c r="V1202" t="s">
        <v>46</v>
      </c>
      <c r="W1202" t="s">
        <v>640</v>
      </c>
      <c r="X1202" t="s">
        <v>641</v>
      </c>
      <c r="Y1202" t="s">
        <v>92</v>
      </c>
      <c r="Z1202" t="s">
        <v>94</v>
      </c>
      <c r="AA1202" t="s">
        <v>49</v>
      </c>
      <c r="AB1202" t="s">
        <v>50</v>
      </c>
      <c r="AC1202" s="2">
        <v>215962.11</v>
      </c>
      <c r="AD1202" t="s">
        <v>5682</v>
      </c>
      <c r="AE1202" t="s">
        <v>115</v>
      </c>
    </row>
    <row r="1203" spans="1:31" x14ac:dyDescent="0.25">
      <c r="A1203" t="s">
        <v>5683</v>
      </c>
      <c r="B1203" t="s">
        <v>5684</v>
      </c>
      <c r="C1203" t="s">
        <v>5684</v>
      </c>
      <c r="D1203" t="s">
        <v>125</v>
      </c>
      <c r="E1203" t="s">
        <v>126</v>
      </c>
      <c r="F1203" t="s">
        <v>5685</v>
      </c>
      <c r="G1203" t="s">
        <v>125</v>
      </c>
      <c r="H1203" t="s">
        <v>1360</v>
      </c>
      <c r="I1203" t="s">
        <v>5686</v>
      </c>
      <c r="J1203" s="2">
        <v>327255</v>
      </c>
      <c r="K1203" s="2">
        <v>1500</v>
      </c>
      <c r="L1203" s="2">
        <v>15</v>
      </c>
      <c r="M1203" s="2">
        <v>0</v>
      </c>
      <c r="N1203" t="s">
        <v>1362</v>
      </c>
      <c r="O1203" t="s">
        <v>1360</v>
      </c>
      <c r="P1203" t="s">
        <v>1421</v>
      </c>
      <c r="Q1203" t="s">
        <v>1422</v>
      </c>
      <c r="S1203" t="s">
        <v>5687</v>
      </c>
      <c r="U1203" t="s">
        <v>45</v>
      </c>
      <c r="V1203" t="s">
        <v>46</v>
      </c>
      <c r="W1203" t="s">
        <v>1362</v>
      </c>
      <c r="X1203" t="s">
        <v>1360</v>
      </c>
      <c r="Y1203" t="s">
        <v>1215</v>
      </c>
      <c r="Z1203" t="s">
        <v>1216</v>
      </c>
      <c r="AA1203" t="s">
        <v>49</v>
      </c>
      <c r="AB1203" t="s">
        <v>50</v>
      </c>
      <c r="AC1203" s="2">
        <v>38890.839999999997</v>
      </c>
      <c r="AD1203" t="s">
        <v>5688</v>
      </c>
      <c r="AE1203" t="s">
        <v>115</v>
      </c>
    </row>
    <row r="1204" spans="1:31" x14ac:dyDescent="0.25">
      <c r="A1204" t="s">
        <v>5689</v>
      </c>
      <c r="B1204" t="s">
        <v>5690</v>
      </c>
      <c r="C1204" t="s">
        <v>5690</v>
      </c>
      <c r="D1204" t="s">
        <v>847</v>
      </c>
      <c r="E1204" t="s">
        <v>848</v>
      </c>
      <c r="F1204" t="s">
        <v>5691</v>
      </c>
      <c r="H1204" t="s">
        <v>41</v>
      </c>
      <c r="J1204" s="2">
        <v>10909</v>
      </c>
      <c r="K1204" s="2">
        <v>50</v>
      </c>
      <c r="L1204" s="2">
        <v>15</v>
      </c>
      <c r="M1204" s="2">
        <v>0</v>
      </c>
      <c r="N1204" t="s">
        <v>40</v>
      </c>
      <c r="O1204" t="s">
        <v>41</v>
      </c>
      <c r="P1204" t="s">
        <v>42</v>
      </c>
      <c r="Q1204" t="s">
        <v>43</v>
      </c>
      <c r="U1204" t="s">
        <v>45</v>
      </c>
      <c r="V1204" t="s">
        <v>46</v>
      </c>
      <c r="W1204" t="s">
        <v>40</v>
      </c>
      <c r="X1204" t="s">
        <v>41</v>
      </c>
      <c r="Y1204" t="s">
        <v>47</v>
      </c>
      <c r="Z1204" t="s">
        <v>48</v>
      </c>
      <c r="AA1204" t="s">
        <v>141</v>
      </c>
      <c r="AB1204" t="s">
        <v>50</v>
      </c>
      <c r="AC1204" s="2">
        <v>10904.27</v>
      </c>
      <c r="AD1204" t="s">
        <v>5692</v>
      </c>
    </row>
    <row r="1205" spans="1:31" x14ac:dyDescent="0.25">
      <c r="A1205" t="s">
        <v>5693</v>
      </c>
      <c r="B1205" t="s">
        <v>5694</v>
      </c>
      <c r="C1205" t="s">
        <v>5694</v>
      </c>
      <c r="D1205" t="s">
        <v>5597</v>
      </c>
      <c r="E1205" t="s">
        <v>224</v>
      </c>
      <c r="F1205" t="s">
        <v>5695</v>
      </c>
      <c r="H1205" t="s">
        <v>303</v>
      </c>
      <c r="J1205" s="2">
        <v>826317</v>
      </c>
      <c r="K1205" s="2">
        <v>3787.49</v>
      </c>
      <c r="L1205" s="2">
        <v>1</v>
      </c>
      <c r="M1205" s="2">
        <v>0</v>
      </c>
      <c r="N1205" t="s">
        <v>302</v>
      </c>
      <c r="O1205" t="s">
        <v>303</v>
      </c>
      <c r="P1205" t="s">
        <v>304</v>
      </c>
      <c r="Q1205" t="s">
        <v>72</v>
      </c>
      <c r="S1205" t="s">
        <v>5696</v>
      </c>
      <c r="U1205" t="s">
        <v>3059</v>
      </c>
      <c r="V1205" t="s">
        <v>46</v>
      </c>
      <c r="W1205" t="s">
        <v>302</v>
      </c>
      <c r="X1205" t="s">
        <v>303</v>
      </c>
      <c r="Y1205" t="s">
        <v>72</v>
      </c>
      <c r="Z1205" t="s">
        <v>68</v>
      </c>
      <c r="AA1205" t="s">
        <v>49</v>
      </c>
      <c r="AB1205" t="s">
        <v>50</v>
      </c>
      <c r="AC1205" s="2">
        <v>774109.25</v>
      </c>
      <c r="AD1205" t="s">
        <v>5697</v>
      </c>
    </row>
    <row r="1206" spans="1:31" s="13" customFormat="1" hidden="1" x14ac:dyDescent="0.25">
      <c r="G1206"/>
      <c r="I1206"/>
      <c r="J1206" s="2">
        <v>1000</v>
      </c>
      <c r="K1206" s="2">
        <v>0</v>
      </c>
      <c r="L1206" s="2">
        <v>1</v>
      </c>
      <c r="M1206" s="2">
        <v>0</v>
      </c>
      <c r="R1206"/>
      <c r="S1206"/>
      <c r="T1206"/>
      <c r="U1206" t="s">
        <v>45</v>
      </c>
      <c r="V1206" t="s">
        <v>46</v>
      </c>
      <c r="W1206" t="s">
        <v>4881</v>
      </c>
      <c r="X1206" t="s">
        <v>4882</v>
      </c>
      <c r="Y1206" t="s">
        <v>47</v>
      </c>
      <c r="Z1206" t="s">
        <v>48</v>
      </c>
      <c r="AA1206" t="s">
        <v>49</v>
      </c>
      <c r="AC1206" s="14"/>
    </row>
    <row r="1207" spans="1:31" x14ac:dyDescent="0.25">
      <c r="A1207" t="s">
        <v>5698</v>
      </c>
      <c r="B1207" t="s">
        <v>5699</v>
      </c>
      <c r="C1207" t="s">
        <v>5700</v>
      </c>
      <c r="D1207" t="s">
        <v>35</v>
      </c>
      <c r="E1207" t="s">
        <v>36</v>
      </c>
      <c r="F1207" t="s">
        <v>2871</v>
      </c>
      <c r="G1207" t="s">
        <v>153</v>
      </c>
      <c r="H1207" t="s">
        <v>1607</v>
      </c>
      <c r="I1207" t="s">
        <v>3527</v>
      </c>
      <c r="J1207" s="2">
        <v>436340</v>
      </c>
      <c r="K1207" s="2">
        <v>2000</v>
      </c>
      <c r="L1207" s="2">
        <v>30</v>
      </c>
      <c r="M1207" s="2">
        <v>0</v>
      </c>
      <c r="N1207" t="s">
        <v>1221</v>
      </c>
      <c r="O1207" t="s">
        <v>1222</v>
      </c>
      <c r="P1207" t="s">
        <v>205</v>
      </c>
      <c r="Q1207" t="s">
        <v>206</v>
      </c>
      <c r="S1207" t="s">
        <v>5701</v>
      </c>
      <c r="U1207" t="s">
        <v>45</v>
      </c>
      <c r="V1207" t="s">
        <v>46</v>
      </c>
      <c r="W1207" t="s">
        <v>1221</v>
      </c>
      <c r="X1207" t="s">
        <v>1222</v>
      </c>
      <c r="Y1207" t="s">
        <v>161</v>
      </c>
      <c r="Z1207" t="s">
        <v>162</v>
      </c>
      <c r="AA1207" t="s">
        <v>49</v>
      </c>
      <c r="AB1207" t="s">
        <v>50</v>
      </c>
      <c r="AC1207" s="2">
        <v>300883.58</v>
      </c>
      <c r="AD1207" t="s">
        <v>5702</v>
      </c>
      <c r="AE1207" t="s">
        <v>52</v>
      </c>
    </row>
    <row r="1208" spans="1:31" x14ac:dyDescent="0.25">
      <c r="A1208" t="s">
        <v>5703</v>
      </c>
      <c r="B1208" t="s">
        <v>5704</v>
      </c>
      <c r="C1208" t="s">
        <v>5704</v>
      </c>
      <c r="D1208" t="s">
        <v>153</v>
      </c>
      <c r="E1208" t="s">
        <v>272</v>
      </c>
      <c r="F1208" t="s">
        <v>5705</v>
      </c>
      <c r="G1208" t="s">
        <v>153</v>
      </c>
      <c r="H1208" t="s">
        <v>5706</v>
      </c>
      <c r="J1208" s="2">
        <v>218170</v>
      </c>
      <c r="K1208" s="2">
        <v>1000</v>
      </c>
      <c r="L1208" s="2">
        <v>15</v>
      </c>
      <c r="M1208" s="2">
        <v>0</v>
      </c>
      <c r="N1208" t="s">
        <v>5707</v>
      </c>
      <c r="O1208" t="s">
        <v>5706</v>
      </c>
      <c r="P1208" t="s">
        <v>120</v>
      </c>
      <c r="Q1208" t="s">
        <v>121</v>
      </c>
      <c r="S1208" t="s">
        <v>5708</v>
      </c>
      <c r="U1208" t="s">
        <v>45</v>
      </c>
      <c r="V1208" t="s">
        <v>46</v>
      </c>
      <c r="W1208" t="s">
        <v>5707</v>
      </c>
      <c r="X1208" t="s">
        <v>5706</v>
      </c>
      <c r="Y1208" t="s">
        <v>121</v>
      </c>
      <c r="Z1208" t="s">
        <v>94</v>
      </c>
      <c r="AA1208" t="s">
        <v>49</v>
      </c>
      <c r="AB1208" t="s">
        <v>50</v>
      </c>
      <c r="AC1208" s="2">
        <v>123861.28</v>
      </c>
      <c r="AD1208" t="s">
        <v>5709</v>
      </c>
      <c r="AE1208" t="s">
        <v>52</v>
      </c>
    </row>
    <row r="1209" spans="1:31" x14ac:dyDescent="0.25">
      <c r="A1209" t="s">
        <v>5710</v>
      </c>
      <c r="B1209" t="s">
        <v>5711</v>
      </c>
      <c r="C1209" t="s">
        <v>5711</v>
      </c>
      <c r="D1209" t="s">
        <v>2687</v>
      </c>
      <c r="E1209" t="s">
        <v>190</v>
      </c>
      <c r="F1209" t="s">
        <v>5712</v>
      </c>
      <c r="G1209" t="s">
        <v>1467</v>
      </c>
      <c r="H1209" t="s">
        <v>404</v>
      </c>
      <c r="J1209" s="2">
        <v>21817</v>
      </c>
      <c r="K1209" s="2">
        <v>100</v>
      </c>
      <c r="L1209" s="2">
        <v>15</v>
      </c>
      <c r="M1209" s="2">
        <v>0</v>
      </c>
      <c r="N1209" t="s">
        <v>403</v>
      </c>
      <c r="O1209" t="s">
        <v>404</v>
      </c>
      <c r="P1209" t="s">
        <v>205</v>
      </c>
      <c r="Q1209" t="s">
        <v>206</v>
      </c>
      <c r="S1209" t="s">
        <v>5713</v>
      </c>
      <c r="U1209" t="s">
        <v>45</v>
      </c>
      <c r="V1209" t="s">
        <v>46</v>
      </c>
      <c r="W1209" t="s">
        <v>403</v>
      </c>
      <c r="X1209" t="s">
        <v>404</v>
      </c>
      <c r="Y1209" t="s">
        <v>161</v>
      </c>
      <c r="Z1209" t="s">
        <v>162</v>
      </c>
      <c r="AA1209" t="s">
        <v>49</v>
      </c>
      <c r="AB1209" t="s">
        <v>50</v>
      </c>
      <c r="AC1209" s="2">
        <v>21817</v>
      </c>
      <c r="AD1209" t="s">
        <v>64</v>
      </c>
    </row>
    <row r="1210" spans="1:31" x14ac:dyDescent="0.25">
      <c r="A1210" t="s">
        <v>5714</v>
      </c>
      <c r="B1210" t="s">
        <v>5715</v>
      </c>
      <c r="C1210" t="s">
        <v>5715</v>
      </c>
      <c r="D1210" t="s">
        <v>125</v>
      </c>
      <c r="E1210" t="s">
        <v>126</v>
      </c>
      <c r="F1210" t="s">
        <v>5716</v>
      </c>
      <c r="G1210" t="s">
        <v>125</v>
      </c>
      <c r="H1210" t="s">
        <v>255</v>
      </c>
      <c r="J1210" s="2">
        <v>130902</v>
      </c>
      <c r="K1210" s="2">
        <v>600</v>
      </c>
      <c r="L1210" s="2">
        <v>15</v>
      </c>
      <c r="M1210" s="2">
        <v>0</v>
      </c>
      <c r="N1210" t="s">
        <v>254</v>
      </c>
      <c r="O1210" t="s">
        <v>255</v>
      </c>
      <c r="P1210" t="s">
        <v>256</v>
      </c>
      <c r="Q1210" t="s">
        <v>255</v>
      </c>
      <c r="S1210" t="s">
        <v>5717</v>
      </c>
      <c r="U1210" t="s">
        <v>45</v>
      </c>
      <c r="V1210" t="s">
        <v>46</v>
      </c>
      <c r="W1210" t="s">
        <v>254</v>
      </c>
      <c r="X1210" t="s">
        <v>255</v>
      </c>
      <c r="Y1210" t="s">
        <v>258</v>
      </c>
      <c r="Z1210" t="s">
        <v>259</v>
      </c>
      <c r="AA1210" t="s">
        <v>49</v>
      </c>
      <c r="AB1210" t="s">
        <v>50</v>
      </c>
      <c r="AC1210" s="2">
        <v>59035.35</v>
      </c>
      <c r="AD1210" t="s">
        <v>5718</v>
      </c>
      <c r="AE1210" t="s">
        <v>115</v>
      </c>
    </row>
    <row r="1211" spans="1:31" x14ac:dyDescent="0.25">
      <c r="A1211" t="s">
        <v>5719</v>
      </c>
      <c r="B1211" t="s">
        <v>5720</v>
      </c>
      <c r="C1211" t="s">
        <v>5720</v>
      </c>
      <c r="D1211" t="s">
        <v>153</v>
      </c>
      <c r="E1211" t="s">
        <v>272</v>
      </c>
      <c r="F1211" t="s">
        <v>5721</v>
      </c>
      <c r="G1211" t="s">
        <v>847</v>
      </c>
      <c r="I1211" t="s">
        <v>5722</v>
      </c>
      <c r="J1211" s="2">
        <v>318847</v>
      </c>
      <c r="K1211" s="2">
        <v>1461.46</v>
      </c>
      <c r="L1211" s="2">
        <v>15</v>
      </c>
      <c r="M1211" s="2">
        <v>0</v>
      </c>
      <c r="N1211" t="s">
        <v>5119</v>
      </c>
      <c r="O1211" t="s">
        <v>1216</v>
      </c>
      <c r="P1211" t="s">
        <v>1421</v>
      </c>
      <c r="Q1211" t="s">
        <v>1422</v>
      </c>
      <c r="S1211" t="s">
        <v>5723</v>
      </c>
      <c r="U1211" t="s">
        <v>45</v>
      </c>
      <c r="V1211" t="s">
        <v>46</v>
      </c>
      <c r="W1211" t="s">
        <v>5119</v>
      </c>
      <c r="X1211" t="s">
        <v>1216</v>
      </c>
      <c r="Y1211" t="s">
        <v>1215</v>
      </c>
      <c r="Z1211" t="s">
        <v>1216</v>
      </c>
      <c r="AA1211" t="s">
        <v>49</v>
      </c>
      <c r="AB1211" t="s">
        <v>50</v>
      </c>
      <c r="AC1211" s="2">
        <v>243351.97</v>
      </c>
      <c r="AD1211" t="s">
        <v>5724</v>
      </c>
      <c r="AE1211" t="s">
        <v>52</v>
      </c>
    </row>
    <row r="1212" spans="1:31" x14ac:dyDescent="0.25">
      <c r="A1212" t="s">
        <v>5725</v>
      </c>
      <c r="B1212" t="s">
        <v>5726</v>
      </c>
      <c r="C1212" t="s">
        <v>5726</v>
      </c>
      <c r="D1212" t="s">
        <v>344</v>
      </c>
      <c r="E1212" t="s">
        <v>167</v>
      </c>
      <c r="F1212" t="s">
        <v>5727</v>
      </c>
      <c r="G1212" t="s">
        <v>344</v>
      </c>
      <c r="H1212" t="s">
        <v>5728</v>
      </c>
      <c r="I1212" t="s">
        <v>5729</v>
      </c>
      <c r="J1212" s="2">
        <v>352510</v>
      </c>
      <c r="K1212" s="2">
        <v>1450</v>
      </c>
      <c r="L1212" s="2">
        <v>15</v>
      </c>
      <c r="M1212" s="2">
        <v>0</v>
      </c>
      <c r="N1212" t="s">
        <v>5730</v>
      </c>
      <c r="O1212" t="s">
        <v>5728</v>
      </c>
      <c r="P1212" t="s">
        <v>120</v>
      </c>
      <c r="Q1212" t="s">
        <v>121</v>
      </c>
      <c r="S1212" t="s">
        <v>5731</v>
      </c>
      <c r="U1212" t="s">
        <v>45</v>
      </c>
      <c r="V1212" t="s">
        <v>46</v>
      </c>
      <c r="W1212" t="s">
        <v>5730</v>
      </c>
      <c r="X1212" t="s">
        <v>5728</v>
      </c>
      <c r="Y1212" t="s">
        <v>121</v>
      </c>
      <c r="Z1212" t="s">
        <v>94</v>
      </c>
      <c r="AA1212" t="s">
        <v>49</v>
      </c>
      <c r="AB1212" t="s">
        <v>50</v>
      </c>
      <c r="AC1212" s="2">
        <v>34066.74</v>
      </c>
      <c r="AD1212" t="s">
        <v>5732</v>
      </c>
      <c r="AE1212" t="s">
        <v>52</v>
      </c>
    </row>
    <row r="1213" spans="1:31" x14ac:dyDescent="0.25">
      <c r="A1213" t="s">
        <v>5733</v>
      </c>
      <c r="B1213" t="s">
        <v>5734</v>
      </c>
      <c r="C1213" t="s">
        <v>5734</v>
      </c>
      <c r="D1213" t="s">
        <v>847</v>
      </c>
      <c r="E1213" t="s">
        <v>848</v>
      </c>
      <c r="F1213" t="s">
        <v>5735</v>
      </c>
      <c r="H1213" t="s">
        <v>41</v>
      </c>
      <c r="I1213" t="s">
        <v>5736</v>
      </c>
      <c r="J1213" s="2">
        <v>21817</v>
      </c>
      <c r="K1213" s="2">
        <v>100</v>
      </c>
      <c r="L1213" s="2">
        <v>1</v>
      </c>
      <c r="M1213" s="2">
        <v>0</v>
      </c>
      <c r="N1213" t="s">
        <v>40</v>
      </c>
      <c r="O1213" t="s">
        <v>41</v>
      </c>
      <c r="P1213" t="s">
        <v>42</v>
      </c>
      <c r="Q1213" t="s">
        <v>43</v>
      </c>
      <c r="U1213" t="s">
        <v>45</v>
      </c>
      <c r="V1213" t="s">
        <v>46</v>
      </c>
      <c r="W1213" t="s">
        <v>40</v>
      </c>
      <c r="X1213" t="s">
        <v>41</v>
      </c>
      <c r="Y1213" t="s">
        <v>47</v>
      </c>
      <c r="Z1213" t="s">
        <v>48</v>
      </c>
      <c r="AA1213" t="s">
        <v>141</v>
      </c>
      <c r="AB1213" t="s">
        <v>50</v>
      </c>
      <c r="AC1213" s="2">
        <v>21817</v>
      </c>
      <c r="AD1213" t="s">
        <v>64</v>
      </c>
    </row>
    <row r="1214" spans="1:31" hidden="1" x14ac:dyDescent="0.25">
      <c r="I1214" t="s">
        <v>5737</v>
      </c>
      <c r="J1214" s="2">
        <v>21817</v>
      </c>
      <c r="K1214" s="2">
        <v>100</v>
      </c>
      <c r="L1214" s="2">
        <v>1</v>
      </c>
      <c r="M1214" s="2">
        <v>0</v>
      </c>
      <c r="S1214" t="s">
        <v>5738</v>
      </c>
      <c r="U1214" t="s">
        <v>45</v>
      </c>
      <c r="V1214" t="s">
        <v>46</v>
      </c>
      <c r="W1214" t="s">
        <v>585</v>
      </c>
      <c r="X1214" t="s">
        <v>584</v>
      </c>
      <c r="Y1214" t="s">
        <v>161</v>
      </c>
      <c r="Z1214" t="s">
        <v>162</v>
      </c>
      <c r="AA1214" t="s">
        <v>49</v>
      </c>
      <c r="AC1214" s="2"/>
    </row>
    <row r="1215" spans="1:31" hidden="1" x14ac:dyDescent="0.25">
      <c r="I1215" t="s">
        <v>5740</v>
      </c>
      <c r="J1215" s="2">
        <v>1000</v>
      </c>
      <c r="K1215" s="2">
        <v>0</v>
      </c>
      <c r="L1215" s="2">
        <v>1</v>
      </c>
      <c r="M1215" s="2">
        <v>0</v>
      </c>
      <c r="S1215" t="s">
        <v>5742</v>
      </c>
      <c r="U1215" t="s">
        <v>45</v>
      </c>
      <c r="V1215" t="s">
        <v>46</v>
      </c>
      <c r="W1215" t="s">
        <v>5741</v>
      </c>
      <c r="X1215" t="s">
        <v>5739</v>
      </c>
      <c r="Y1215" t="s">
        <v>5743</v>
      </c>
      <c r="Z1215" t="s">
        <v>5744</v>
      </c>
      <c r="AA1215" t="s">
        <v>49</v>
      </c>
      <c r="AC1215" s="2"/>
    </row>
    <row r="1216" spans="1:31" x14ac:dyDescent="0.25">
      <c r="A1216" t="s">
        <v>5745</v>
      </c>
      <c r="B1216" t="s">
        <v>5746</v>
      </c>
      <c r="C1216" t="s">
        <v>5746</v>
      </c>
      <c r="D1216" t="s">
        <v>2687</v>
      </c>
      <c r="E1216" t="s">
        <v>190</v>
      </c>
      <c r="F1216" t="s">
        <v>5747</v>
      </c>
      <c r="G1216" t="s">
        <v>817</v>
      </c>
      <c r="H1216" t="s">
        <v>4487</v>
      </c>
      <c r="J1216" s="2">
        <v>872680</v>
      </c>
      <c r="K1216" s="2">
        <v>4000</v>
      </c>
      <c r="L1216" s="2">
        <v>7</v>
      </c>
      <c r="M1216" s="2">
        <v>0</v>
      </c>
      <c r="N1216" t="s">
        <v>4488</v>
      </c>
      <c r="O1216" t="s">
        <v>4487</v>
      </c>
      <c r="P1216" t="s">
        <v>103</v>
      </c>
      <c r="Q1216" t="s">
        <v>104</v>
      </c>
      <c r="S1216" t="s">
        <v>5748</v>
      </c>
      <c r="U1216" t="s">
        <v>45</v>
      </c>
      <c r="V1216" t="s">
        <v>46</v>
      </c>
      <c r="W1216" t="s">
        <v>4488</v>
      </c>
      <c r="X1216" t="s">
        <v>4487</v>
      </c>
      <c r="Y1216" t="s">
        <v>106</v>
      </c>
      <c r="Z1216" t="s">
        <v>107</v>
      </c>
      <c r="AA1216" t="s">
        <v>49</v>
      </c>
      <c r="AB1216" t="s">
        <v>50</v>
      </c>
      <c r="AC1216" s="2">
        <v>872222.8</v>
      </c>
      <c r="AD1216" t="s">
        <v>5749</v>
      </c>
    </row>
    <row r="1217" spans="1:31" x14ac:dyDescent="0.25">
      <c r="A1217" t="s">
        <v>5750</v>
      </c>
      <c r="B1217" t="s">
        <v>5751</v>
      </c>
      <c r="C1217" t="s">
        <v>5751</v>
      </c>
      <c r="D1217" t="s">
        <v>2118</v>
      </c>
      <c r="E1217" t="s">
        <v>871</v>
      </c>
      <c r="F1217" t="s">
        <v>5752</v>
      </c>
      <c r="G1217" t="s">
        <v>555</v>
      </c>
      <c r="H1217" t="s">
        <v>1360</v>
      </c>
      <c r="J1217" s="2">
        <v>21817</v>
      </c>
      <c r="K1217" s="2">
        <v>100</v>
      </c>
      <c r="L1217" s="2">
        <v>1</v>
      </c>
      <c r="M1217" s="2">
        <v>0</v>
      </c>
      <c r="N1217" t="s">
        <v>1362</v>
      </c>
      <c r="O1217" t="s">
        <v>1360</v>
      </c>
      <c r="P1217" t="s">
        <v>82</v>
      </c>
      <c r="Q1217" t="s">
        <v>83</v>
      </c>
      <c r="S1217" t="s">
        <v>5753</v>
      </c>
      <c r="U1217" t="s">
        <v>45</v>
      </c>
      <c r="V1217" t="s">
        <v>46</v>
      </c>
      <c r="W1217" t="s">
        <v>1362</v>
      </c>
      <c r="X1217" t="s">
        <v>1360</v>
      </c>
      <c r="Y1217" t="s">
        <v>1215</v>
      </c>
      <c r="Z1217" t="s">
        <v>1216</v>
      </c>
      <c r="AA1217" t="s">
        <v>49</v>
      </c>
      <c r="AB1217" t="s">
        <v>50</v>
      </c>
      <c r="AC1217" s="2">
        <v>21817</v>
      </c>
      <c r="AD1217" t="s">
        <v>64</v>
      </c>
    </row>
    <row r="1218" spans="1:31" hidden="1" x14ac:dyDescent="0.25">
      <c r="A1218" t="s">
        <v>5754</v>
      </c>
      <c r="B1218" t="s">
        <v>5755</v>
      </c>
      <c r="C1218" t="s">
        <v>5755</v>
      </c>
      <c r="D1218" t="s">
        <v>55</v>
      </c>
      <c r="E1218" t="s">
        <v>56</v>
      </c>
      <c r="F1218" t="s">
        <v>5756</v>
      </c>
      <c r="J1218" s="2">
        <v>21817</v>
      </c>
      <c r="K1218" s="2">
        <v>100</v>
      </c>
      <c r="L1218" s="2">
        <v>1</v>
      </c>
      <c r="M1218" s="2">
        <v>0</v>
      </c>
      <c r="N1218" t="s">
        <v>3232</v>
      </c>
      <c r="O1218" t="s">
        <v>3233</v>
      </c>
      <c r="P1218" t="s">
        <v>1363</v>
      </c>
      <c r="Q1218" t="s">
        <v>1364</v>
      </c>
      <c r="U1218" t="s">
        <v>45</v>
      </c>
      <c r="V1218" t="s">
        <v>46</v>
      </c>
      <c r="W1218" t="s">
        <v>3232</v>
      </c>
      <c r="X1218" t="s">
        <v>3233</v>
      </c>
      <c r="Y1218" t="s">
        <v>1215</v>
      </c>
      <c r="Z1218" t="s">
        <v>1216</v>
      </c>
      <c r="AA1218" t="s">
        <v>49</v>
      </c>
      <c r="AB1218" t="s">
        <v>50</v>
      </c>
      <c r="AC1218" s="2">
        <v>21817</v>
      </c>
      <c r="AD1218" t="s">
        <v>64</v>
      </c>
    </row>
    <row r="1219" spans="1:31" hidden="1" x14ac:dyDescent="0.25">
      <c r="I1219" t="s">
        <v>5757</v>
      </c>
      <c r="J1219" s="2">
        <v>2</v>
      </c>
      <c r="K1219" s="2">
        <v>0.01</v>
      </c>
      <c r="L1219" s="2">
        <v>1</v>
      </c>
      <c r="M1219" s="2">
        <v>0</v>
      </c>
      <c r="S1219" t="s">
        <v>5758</v>
      </c>
      <c r="U1219" t="s">
        <v>45</v>
      </c>
      <c r="V1219" t="s">
        <v>46</v>
      </c>
      <c r="W1219" t="s">
        <v>3232</v>
      </c>
      <c r="X1219" t="s">
        <v>3233</v>
      </c>
      <c r="Y1219" t="s">
        <v>1215</v>
      </c>
      <c r="Z1219" t="s">
        <v>1216</v>
      </c>
      <c r="AA1219" t="s">
        <v>49</v>
      </c>
      <c r="AC1219" s="2"/>
    </row>
    <row r="1220" spans="1:31" hidden="1" x14ac:dyDescent="0.25">
      <c r="I1220" t="s">
        <v>5757</v>
      </c>
      <c r="J1220" s="2">
        <v>21817</v>
      </c>
      <c r="K1220" s="2">
        <v>100</v>
      </c>
      <c r="L1220" s="2">
        <v>1</v>
      </c>
      <c r="M1220" s="2">
        <v>0</v>
      </c>
      <c r="S1220" t="s">
        <v>5758</v>
      </c>
      <c r="U1220" t="s">
        <v>45</v>
      </c>
      <c r="V1220" t="s">
        <v>46</v>
      </c>
      <c r="W1220" t="s">
        <v>1210</v>
      </c>
      <c r="X1220" t="s">
        <v>1211</v>
      </c>
      <c r="Y1220" t="s">
        <v>1215</v>
      </c>
      <c r="Z1220" t="s">
        <v>1216</v>
      </c>
      <c r="AA1220" t="s">
        <v>49</v>
      </c>
      <c r="AC1220" s="2"/>
    </row>
    <row r="1221" spans="1:31" x14ac:dyDescent="0.25">
      <c r="A1221" t="s">
        <v>5759</v>
      </c>
      <c r="B1221" t="s">
        <v>5760</v>
      </c>
      <c r="C1221" t="s">
        <v>5760</v>
      </c>
      <c r="D1221" t="s">
        <v>153</v>
      </c>
      <c r="E1221" t="s">
        <v>272</v>
      </c>
      <c r="F1221" t="s">
        <v>5761</v>
      </c>
      <c r="G1221" t="s">
        <v>153</v>
      </c>
      <c r="H1221" t="s">
        <v>1062</v>
      </c>
      <c r="I1221" t="s">
        <v>5762</v>
      </c>
      <c r="J1221" s="2">
        <v>272030</v>
      </c>
      <c r="K1221" s="2">
        <v>1100</v>
      </c>
      <c r="L1221" s="2">
        <v>30</v>
      </c>
      <c r="M1221" s="2">
        <v>0</v>
      </c>
      <c r="N1221" t="s">
        <v>1064</v>
      </c>
      <c r="O1221" t="s">
        <v>1062</v>
      </c>
      <c r="P1221" t="s">
        <v>304</v>
      </c>
      <c r="Q1221" t="s">
        <v>72</v>
      </c>
      <c r="S1221" t="s">
        <v>5763</v>
      </c>
      <c r="U1221" t="s">
        <v>45</v>
      </c>
      <c r="V1221" t="s">
        <v>46</v>
      </c>
      <c r="W1221" t="s">
        <v>1064</v>
      </c>
      <c r="X1221" t="s">
        <v>1062</v>
      </c>
      <c r="Y1221" t="s">
        <v>72</v>
      </c>
      <c r="Z1221" t="s">
        <v>68</v>
      </c>
      <c r="AA1221" t="s">
        <v>49</v>
      </c>
      <c r="AB1221" t="s">
        <v>50</v>
      </c>
      <c r="AC1221" s="2">
        <v>1941.97</v>
      </c>
      <c r="AD1221" t="s">
        <v>5764</v>
      </c>
      <c r="AE1221" t="s">
        <v>52</v>
      </c>
    </row>
    <row r="1222" spans="1:31" x14ac:dyDescent="0.25">
      <c r="A1222" t="s">
        <v>5765</v>
      </c>
      <c r="B1222" t="s">
        <v>5766</v>
      </c>
      <c r="C1222" t="s">
        <v>5766</v>
      </c>
      <c r="D1222" t="s">
        <v>873</v>
      </c>
      <c r="E1222" t="s">
        <v>224</v>
      </c>
      <c r="F1222" t="s">
        <v>5767</v>
      </c>
      <c r="G1222" t="s">
        <v>1467</v>
      </c>
      <c r="H1222" t="s">
        <v>446</v>
      </c>
      <c r="I1222" t="s">
        <v>5768</v>
      </c>
      <c r="J1222" s="2">
        <v>218170</v>
      </c>
      <c r="K1222" s="2">
        <v>1000</v>
      </c>
      <c r="L1222" s="2">
        <v>7</v>
      </c>
      <c r="M1222" s="2">
        <v>0</v>
      </c>
      <c r="N1222" t="s">
        <v>445</v>
      </c>
      <c r="O1222" t="s">
        <v>446</v>
      </c>
      <c r="P1222" t="s">
        <v>69</v>
      </c>
      <c r="Q1222" t="s">
        <v>70</v>
      </c>
      <c r="S1222" t="s">
        <v>5769</v>
      </c>
      <c r="U1222" t="s">
        <v>45</v>
      </c>
      <c r="V1222" t="s">
        <v>46</v>
      </c>
      <c r="W1222" t="s">
        <v>445</v>
      </c>
      <c r="X1222" t="s">
        <v>446</v>
      </c>
      <c r="Y1222" t="s">
        <v>72</v>
      </c>
      <c r="Z1222" t="s">
        <v>68</v>
      </c>
      <c r="AA1222" t="s">
        <v>49</v>
      </c>
      <c r="AB1222" t="s">
        <v>50</v>
      </c>
      <c r="AC1222" s="2">
        <v>218170</v>
      </c>
      <c r="AD1222" t="s">
        <v>64</v>
      </c>
    </row>
    <row r="1223" spans="1:31" hidden="1" x14ac:dyDescent="0.25">
      <c r="A1223" s="10" t="s">
        <v>5770</v>
      </c>
      <c r="B1223" s="10" t="s">
        <v>5771</v>
      </c>
      <c r="C1223" t="s">
        <v>5771</v>
      </c>
      <c r="D1223" t="s">
        <v>577</v>
      </c>
      <c r="E1223" t="s">
        <v>134</v>
      </c>
      <c r="F1223" t="s">
        <v>5772</v>
      </c>
      <c r="H1223" t="s">
        <v>41</v>
      </c>
      <c r="I1223" t="s">
        <v>5773</v>
      </c>
      <c r="J1223" s="2">
        <v>1000</v>
      </c>
      <c r="K1223" s="2">
        <v>0</v>
      </c>
      <c r="L1223" s="2">
        <v>1</v>
      </c>
      <c r="M1223" s="2">
        <v>0</v>
      </c>
      <c r="N1223" t="s">
        <v>40</v>
      </c>
      <c r="O1223" t="s">
        <v>41</v>
      </c>
      <c r="P1223" t="s">
        <v>42</v>
      </c>
      <c r="Q1223" t="s">
        <v>43</v>
      </c>
      <c r="U1223" t="s">
        <v>45</v>
      </c>
      <c r="V1223" t="s">
        <v>46</v>
      </c>
      <c r="W1223" t="s">
        <v>40</v>
      </c>
      <c r="X1223" t="s">
        <v>41</v>
      </c>
      <c r="Y1223" t="s">
        <v>47</v>
      </c>
      <c r="Z1223" t="s">
        <v>48</v>
      </c>
      <c r="AA1223" t="s">
        <v>141</v>
      </c>
      <c r="AB1223" t="s">
        <v>142</v>
      </c>
      <c r="AC1223" s="2">
        <v>1000</v>
      </c>
      <c r="AD1223" t="s">
        <v>64</v>
      </c>
    </row>
    <row r="1224" spans="1:31" x14ac:dyDescent="0.25">
      <c r="A1224" t="s">
        <v>5774</v>
      </c>
      <c r="B1224" t="s">
        <v>5775</v>
      </c>
      <c r="C1224" t="s">
        <v>5775</v>
      </c>
      <c r="D1224" t="s">
        <v>847</v>
      </c>
      <c r="E1224" t="s">
        <v>848</v>
      </c>
      <c r="F1224" t="s">
        <v>5776</v>
      </c>
      <c r="H1224" t="s">
        <v>41</v>
      </c>
      <c r="I1224" t="s">
        <v>5777</v>
      </c>
      <c r="J1224" s="2">
        <v>21817</v>
      </c>
      <c r="K1224" s="2">
        <v>100</v>
      </c>
      <c r="L1224" s="2">
        <v>15</v>
      </c>
      <c r="M1224" s="2">
        <v>0</v>
      </c>
      <c r="N1224" t="s">
        <v>40</v>
      </c>
      <c r="O1224" t="s">
        <v>41</v>
      </c>
      <c r="P1224" t="s">
        <v>42</v>
      </c>
      <c r="Q1224" t="s">
        <v>43</v>
      </c>
      <c r="U1224" t="s">
        <v>45</v>
      </c>
      <c r="V1224" t="s">
        <v>46</v>
      </c>
      <c r="W1224" t="s">
        <v>40</v>
      </c>
      <c r="X1224" t="s">
        <v>41</v>
      </c>
      <c r="Y1224" t="s">
        <v>47</v>
      </c>
      <c r="Z1224" t="s">
        <v>48</v>
      </c>
      <c r="AA1224" t="s">
        <v>141</v>
      </c>
      <c r="AB1224" t="s">
        <v>50</v>
      </c>
      <c r="AC1224" s="2">
        <v>21817</v>
      </c>
      <c r="AD1224" t="s">
        <v>64</v>
      </c>
    </row>
    <row r="1225" spans="1:31" x14ac:dyDescent="0.25">
      <c r="A1225" t="s">
        <v>5778</v>
      </c>
      <c r="B1225" t="s">
        <v>5779</v>
      </c>
      <c r="C1225" t="s">
        <v>5779</v>
      </c>
      <c r="D1225" t="s">
        <v>125</v>
      </c>
      <c r="E1225" t="s">
        <v>126</v>
      </c>
      <c r="F1225" t="s">
        <v>5780</v>
      </c>
      <c r="H1225" t="s">
        <v>41</v>
      </c>
      <c r="I1225" t="s">
        <v>5781</v>
      </c>
      <c r="J1225" s="2">
        <v>10909</v>
      </c>
      <c r="K1225" s="2">
        <v>50</v>
      </c>
      <c r="L1225" s="2">
        <v>15</v>
      </c>
      <c r="M1225" s="2">
        <v>0</v>
      </c>
      <c r="N1225" t="s">
        <v>40</v>
      </c>
      <c r="O1225" t="s">
        <v>41</v>
      </c>
      <c r="P1225" t="s">
        <v>42</v>
      </c>
      <c r="Q1225" t="s">
        <v>43</v>
      </c>
      <c r="U1225" t="s">
        <v>45</v>
      </c>
      <c r="V1225" t="s">
        <v>46</v>
      </c>
      <c r="W1225" t="s">
        <v>40</v>
      </c>
      <c r="X1225" t="s">
        <v>41</v>
      </c>
      <c r="Y1225" t="s">
        <v>47</v>
      </c>
      <c r="Z1225" t="s">
        <v>48</v>
      </c>
      <c r="AA1225" t="s">
        <v>141</v>
      </c>
      <c r="AB1225" t="s">
        <v>50</v>
      </c>
      <c r="AC1225" s="2">
        <v>3399.35</v>
      </c>
      <c r="AD1225" t="s">
        <v>5782</v>
      </c>
    </row>
    <row r="1226" spans="1:31" hidden="1" x14ac:dyDescent="0.25">
      <c r="I1226" t="s">
        <v>5783</v>
      </c>
      <c r="J1226" s="2">
        <v>21817</v>
      </c>
      <c r="K1226" s="2">
        <v>100</v>
      </c>
      <c r="L1226" s="2">
        <v>1</v>
      </c>
      <c r="M1226" s="2">
        <v>0</v>
      </c>
      <c r="S1226" t="s">
        <v>5784</v>
      </c>
      <c r="U1226" t="s">
        <v>45</v>
      </c>
      <c r="V1226" t="s">
        <v>46</v>
      </c>
      <c r="W1226" t="s">
        <v>822</v>
      </c>
      <c r="X1226" t="s">
        <v>820</v>
      </c>
      <c r="Y1226" t="s">
        <v>92</v>
      </c>
      <c r="Z1226" t="s">
        <v>94</v>
      </c>
      <c r="AA1226" t="s">
        <v>49</v>
      </c>
      <c r="AC1226" s="2"/>
    </row>
    <row r="1227" spans="1:31" hidden="1" x14ac:dyDescent="0.25">
      <c r="A1227" t="s">
        <v>5785</v>
      </c>
      <c r="B1227" t="s">
        <v>5786</v>
      </c>
      <c r="C1227" t="s">
        <v>5786</v>
      </c>
      <c r="F1227" t="s">
        <v>5787</v>
      </c>
      <c r="H1227" t="s">
        <v>90</v>
      </c>
      <c r="J1227" s="2">
        <v>21817</v>
      </c>
      <c r="K1227" s="2">
        <v>100</v>
      </c>
      <c r="L1227" s="2">
        <v>15</v>
      </c>
      <c r="M1227" s="2">
        <v>0</v>
      </c>
      <c r="N1227" t="s">
        <v>89</v>
      </c>
      <c r="O1227" t="s">
        <v>90</v>
      </c>
      <c r="P1227" t="s">
        <v>91</v>
      </c>
      <c r="Q1227" t="s">
        <v>92</v>
      </c>
      <c r="S1227" t="s">
        <v>5788</v>
      </c>
      <c r="U1227" t="s">
        <v>45</v>
      </c>
      <c r="V1227" t="s">
        <v>46</v>
      </c>
      <c r="W1227" t="s">
        <v>89</v>
      </c>
      <c r="X1227" t="s">
        <v>90</v>
      </c>
      <c r="Y1227" t="s">
        <v>92</v>
      </c>
      <c r="Z1227" t="s">
        <v>94</v>
      </c>
      <c r="AA1227" t="s">
        <v>49</v>
      </c>
      <c r="AB1227" t="s">
        <v>50</v>
      </c>
      <c r="AC1227" s="2">
        <v>21817</v>
      </c>
      <c r="AD1227" t="s">
        <v>64</v>
      </c>
    </row>
    <row r="1228" spans="1:31" hidden="1" x14ac:dyDescent="0.25">
      <c r="A1228" s="10" t="s">
        <v>5789</v>
      </c>
      <c r="B1228" s="10" t="s">
        <v>5790</v>
      </c>
      <c r="C1228" t="s">
        <v>5790</v>
      </c>
      <c r="D1228" t="s">
        <v>55</v>
      </c>
      <c r="E1228" t="s">
        <v>56</v>
      </c>
      <c r="F1228" t="s">
        <v>5791</v>
      </c>
      <c r="H1228" t="s">
        <v>41</v>
      </c>
      <c r="J1228" s="2">
        <v>1800</v>
      </c>
      <c r="K1228" s="2">
        <v>0</v>
      </c>
      <c r="L1228" s="2">
        <v>1</v>
      </c>
      <c r="M1228" s="2">
        <v>0</v>
      </c>
      <c r="N1228" t="s">
        <v>40</v>
      </c>
      <c r="O1228" t="s">
        <v>41</v>
      </c>
      <c r="P1228" t="s">
        <v>61</v>
      </c>
      <c r="Q1228" t="s">
        <v>62</v>
      </c>
      <c r="S1228" t="s">
        <v>5792</v>
      </c>
      <c r="U1228" t="s">
        <v>45</v>
      </c>
      <c r="V1228" t="s">
        <v>46</v>
      </c>
      <c r="W1228" t="s">
        <v>40</v>
      </c>
      <c r="X1228" t="s">
        <v>41</v>
      </c>
      <c r="Y1228" t="s">
        <v>47</v>
      </c>
      <c r="Z1228" t="s">
        <v>48</v>
      </c>
      <c r="AA1228" t="s">
        <v>49</v>
      </c>
      <c r="AB1228" t="s">
        <v>142</v>
      </c>
      <c r="AC1228" s="2">
        <v>1800</v>
      </c>
      <c r="AD1228" t="s">
        <v>64</v>
      </c>
    </row>
    <row r="1229" spans="1:31" x14ac:dyDescent="0.25">
      <c r="A1229" t="s">
        <v>5793</v>
      </c>
      <c r="B1229" t="s">
        <v>5794</v>
      </c>
      <c r="C1229" t="s">
        <v>5794</v>
      </c>
      <c r="D1229" t="s">
        <v>5795</v>
      </c>
      <c r="E1229" t="s">
        <v>134</v>
      </c>
      <c r="F1229" t="s">
        <v>5796</v>
      </c>
      <c r="H1229" t="s">
        <v>255</v>
      </c>
      <c r="J1229" s="2">
        <v>218</v>
      </c>
      <c r="K1229" s="2">
        <v>1</v>
      </c>
      <c r="L1229" s="2">
        <v>1</v>
      </c>
      <c r="M1229" s="2">
        <v>0</v>
      </c>
      <c r="N1229" t="s">
        <v>254</v>
      </c>
      <c r="O1229" t="s">
        <v>255</v>
      </c>
      <c r="P1229" t="s">
        <v>256</v>
      </c>
      <c r="Q1229" t="s">
        <v>255</v>
      </c>
      <c r="S1229" t="s">
        <v>5797</v>
      </c>
      <c r="U1229" t="s">
        <v>45</v>
      </c>
      <c r="V1229" t="s">
        <v>46</v>
      </c>
      <c r="W1229" t="s">
        <v>254</v>
      </c>
      <c r="X1229" t="s">
        <v>255</v>
      </c>
      <c r="Y1229" t="s">
        <v>258</v>
      </c>
      <c r="Z1229" t="s">
        <v>259</v>
      </c>
      <c r="AA1229" t="s">
        <v>49</v>
      </c>
      <c r="AB1229" t="s">
        <v>50</v>
      </c>
      <c r="AC1229" s="2">
        <v>218</v>
      </c>
      <c r="AD1229" t="s">
        <v>64</v>
      </c>
    </row>
    <row r="1230" spans="1:31" x14ac:dyDescent="0.25">
      <c r="A1230" t="s">
        <v>5798</v>
      </c>
      <c r="B1230" t="s">
        <v>5799</v>
      </c>
      <c r="C1230" t="s">
        <v>5799</v>
      </c>
      <c r="D1230" t="s">
        <v>189</v>
      </c>
      <c r="E1230" t="s">
        <v>190</v>
      </c>
      <c r="F1230" t="s">
        <v>5800</v>
      </c>
      <c r="G1230" t="s">
        <v>819</v>
      </c>
      <c r="H1230" t="s">
        <v>255</v>
      </c>
      <c r="I1230" t="s">
        <v>5801</v>
      </c>
      <c r="J1230" s="2">
        <v>109085</v>
      </c>
      <c r="K1230" s="2">
        <v>500</v>
      </c>
      <c r="L1230" s="2">
        <v>15</v>
      </c>
      <c r="M1230" s="2">
        <v>0</v>
      </c>
      <c r="N1230" t="s">
        <v>254</v>
      </c>
      <c r="O1230" t="s">
        <v>255</v>
      </c>
      <c r="P1230" t="s">
        <v>256</v>
      </c>
      <c r="Q1230" t="s">
        <v>255</v>
      </c>
      <c r="S1230" t="s">
        <v>5802</v>
      </c>
      <c r="U1230" t="s">
        <v>45</v>
      </c>
      <c r="V1230" t="s">
        <v>46</v>
      </c>
      <c r="W1230" t="s">
        <v>254</v>
      </c>
      <c r="X1230" t="s">
        <v>255</v>
      </c>
      <c r="Y1230" t="s">
        <v>258</v>
      </c>
      <c r="Z1230" t="s">
        <v>259</v>
      </c>
      <c r="AA1230" t="s">
        <v>49</v>
      </c>
      <c r="AB1230" t="s">
        <v>50</v>
      </c>
      <c r="AC1230" s="2">
        <v>34644.14</v>
      </c>
      <c r="AD1230" t="s">
        <v>5803</v>
      </c>
    </row>
    <row r="1231" spans="1:31" x14ac:dyDescent="0.25">
      <c r="A1231" t="s">
        <v>5804</v>
      </c>
      <c r="B1231" t="s">
        <v>5805</v>
      </c>
      <c r="C1231" t="s">
        <v>5805</v>
      </c>
      <c r="D1231" t="s">
        <v>153</v>
      </c>
      <c r="E1231" t="s">
        <v>272</v>
      </c>
      <c r="F1231" t="s">
        <v>5806</v>
      </c>
      <c r="G1231" t="s">
        <v>888</v>
      </c>
      <c r="H1231" t="s">
        <v>90</v>
      </c>
      <c r="J1231" s="2">
        <v>1090850</v>
      </c>
      <c r="K1231" s="2">
        <v>5000</v>
      </c>
      <c r="L1231" s="2">
        <v>21</v>
      </c>
      <c r="M1231" s="2">
        <v>0</v>
      </c>
      <c r="N1231" t="s">
        <v>89</v>
      </c>
      <c r="O1231" t="s">
        <v>90</v>
      </c>
      <c r="P1231" t="s">
        <v>91</v>
      </c>
      <c r="Q1231" t="s">
        <v>92</v>
      </c>
      <c r="S1231" t="s">
        <v>5807</v>
      </c>
      <c r="U1231" t="s">
        <v>45</v>
      </c>
      <c r="V1231" t="s">
        <v>46</v>
      </c>
      <c r="W1231" t="s">
        <v>89</v>
      </c>
      <c r="X1231" t="s">
        <v>90</v>
      </c>
      <c r="Y1231" t="s">
        <v>92</v>
      </c>
      <c r="Z1231" t="s">
        <v>94</v>
      </c>
      <c r="AA1231" t="s">
        <v>49</v>
      </c>
      <c r="AB1231" t="s">
        <v>50</v>
      </c>
      <c r="AC1231" s="2">
        <v>473109.12</v>
      </c>
      <c r="AD1231" t="s">
        <v>5808</v>
      </c>
      <c r="AE1231" t="s">
        <v>52</v>
      </c>
    </row>
    <row r="1232" spans="1:31" x14ac:dyDescent="0.25">
      <c r="A1232" t="s">
        <v>5809</v>
      </c>
      <c r="B1232" t="s">
        <v>5810</v>
      </c>
      <c r="C1232" t="s">
        <v>5810</v>
      </c>
      <c r="D1232" t="s">
        <v>35</v>
      </c>
      <c r="E1232" t="s">
        <v>36</v>
      </c>
      <c r="F1232" t="s">
        <v>5811</v>
      </c>
      <c r="G1232" t="s">
        <v>153</v>
      </c>
      <c r="H1232" t="s">
        <v>90</v>
      </c>
      <c r="J1232" s="2">
        <v>1578675</v>
      </c>
      <c r="K1232" s="2">
        <v>6426</v>
      </c>
      <c r="L1232" s="2">
        <v>21</v>
      </c>
      <c r="M1232" s="2">
        <v>0</v>
      </c>
      <c r="N1232" t="s">
        <v>89</v>
      </c>
      <c r="O1232" t="s">
        <v>90</v>
      </c>
      <c r="P1232" t="s">
        <v>91</v>
      </c>
      <c r="Q1232" t="s">
        <v>92</v>
      </c>
      <c r="S1232" t="s">
        <v>5812</v>
      </c>
      <c r="U1232" t="s">
        <v>45</v>
      </c>
      <c r="V1232" t="s">
        <v>46</v>
      </c>
      <c r="W1232" t="s">
        <v>89</v>
      </c>
      <c r="X1232" t="s">
        <v>90</v>
      </c>
      <c r="Y1232" t="s">
        <v>92</v>
      </c>
      <c r="Z1232" t="s">
        <v>94</v>
      </c>
      <c r="AA1232" t="s">
        <v>49</v>
      </c>
      <c r="AB1232" t="s">
        <v>50</v>
      </c>
      <c r="AC1232" s="2">
        <v>-59961.58</v>
      </c>
      <c r="AD1232" t="s">
        <v>5813</v>
      </c>
      <c r="AE1232" t="s">
        <v>115</v>
      </c>
    </row>
    <row r="1233" spans="1:31" x14ac:dyDescent="0.25">
      <c r="A1233" t="s">
        <v>5814</v>
      </c>
      <c r="B1233" t="s">
        <v>5815</v>
      </c>
      <c r="C1233" t="s">
        <v>5815</v>
      </c>
      <c r="D1233" t="s">
        <v>35</v>
      </c>
      <c r="E1233" t="s">
        <v>36</v>
      </c>
      <c r="F1233" t="s">
        <v>539</v>
      </c>
      <c r="G1233" t="s">
        <v>1289</v>
      </c>
      <c r="H1233" t="s">
        <v>90</v>
      </c>
      <c r="J1233" s="2">
        <v>327255</v>
      </c>
      <c r="K1233" s="2">
        <v>1500</v>
      </c>
      <c r="L1233" s="2">
        <v>21</v>
      </c>
      <c r="M1233" s="2">
        <v>0</v>
      </c>
      <c r="N1233" t="s">
        <v>89</v>
      </c>
      <c r="O1233" t="s">
        <v>90</v>
      </c>
      <c r="P1233" t="s">
        <v>91</v>
      </c>
      <c r="Q1233" t="s">
        <v>92</v>
      </c>
      <c r="S1233" t="s">
        <v>5816</v>
      </c>
      <c r="U1233" t="s">
        <v>45</v>
      </c>
      <c r="V1233" t="s">
        <v>46</v>
      </c>
      <c r="W1233" t="s">
        <v>89</v>
      </c>
      <c r="X1233" t="s">
        <v>90</v>
      </c>
      <c r="Y1233" t="s">
        <v>92</v>
      </c>
      <c r="Z1233" t="s">
        <v>94</v>
      </c>
      <c r="AA1233" t="s">
        <v>49</v>
      </c>
      <c r="AB1233" t="s">
        <v>50</v>
      </c>
      <c r="AC1233" s="2">
        <v>-18021.43</v>
      </c>
      <c r="AD1233" t="s">
        <v>5817</v>
      </c>
      <c r="AE1233" t="s">
        <v>115</v>
      </c>
    </row>
    <row r="1234" spans="1:31" x14ac:dyDescent="0.25">
      <c r="A1234" t="s">
        <v>5818</v>
      </c>
      <c r="B1234" t="s">
        <v>5819</v>
      </c>
      <c r="C1234" t="s">
        <v>5819</v>
      </c>
      <c r="D1234" t="s">
        <v>873</v>
      </c>
      <c r="E1234" t="s">
        <v>224</v>
      </c>
      <c r="F1234" t="s">
        <v>5820</v>
      </c>
      <c r="H1234" t="s">
        <v>2768</v>
      </c>
      <c r="I1234" t="s">
        <v>5821</v>
      </c>
      <c r="J1234" s="2">
        <v>65451</v>
      </c>
      <c r="K1234" s="2">
        <v>300</v>
      </c>
      <c r="L1234" s="2">
        <v>21</v>
      </c>
      <c r="M1234" s="2">
        <v>0</v>
      </c>
      <c r="N1234" t="s">
        <v>2767</v>
      </c>
      <c r="O1234" t="s">
        <v>2768</v>
      </c>
      <c r="P1234" t="s">
        <v>69</v>
      </c>
      <c r="Q1234" t="s">
        <v>70</v>
      </c>
      <c r="S1234" t="s">
        <v>5822</v>
      </c>
      <c r="U1234" t="s">
        <v>45</v>
      </c>
      <c r="V1234" t="s">
        <v>46</v>
      </c>
      <c r="W1234" t="s">
        <v>2767</v>
      </c>
      <c r="X1234" t="s">
        <v>2768</v>
      </c>
      <c r="Y1234" t="s">
        <v>72</v>
      </c>
      <c r="Z1234" t="s">
        <v>68</v>
      </c>
      <c r="AA1234" t="s">
        <v>49</v>
      </c>
      <c r="AB1234" t="s">
        <v>50</v>
      </c>
      <c r="AC1234" s="2">
        <v>44683.26</v>
      </c>
      <c r="AD1234" t="s">
        <v>5823</v>
      </c>
    </row>
    <row r="1235" spans="1:31" x14ac:dyDescent="0.25">
      <c r="A1235" t="s">
        <v>5824</v>
      </c>
      <c r="B1235" t="s">
        <v>5825</v>
      </c>
      <c r="C1235" t="s">
        <v>5825</v>
      </c>
      <c r="D1235" t="s">
        <v>35</v>
      </c>
      <c r="E1235" t="s">
        <v>36</v>
      </c>
      <c r="F1235" t="s">
        <v>5826</v>
      </c>
      <c r="G1235" t="s">
        <v>35</v>
      </c>
      <c r="H1235" t="s">
        <v>303</v>
      </c>
      <c r="I1235" t="s">
        <v>5827</v>
      </c>
      <c r="J1235" s="2">
        <v>436340</v>
      </c>
      <c r="K1235" s="2">
        <v>2000</v>
      </c>
      <c r="L1235" s="2">
        <v>21</v>
      </c>
      <c r="M1235" s="2">
        <v>0</v>
      </c>
      <c r="N1235" t="s">
        <v>302</v>
      </c>
      <c r="O1235" t="s">
        <v>303</v>
      </c>
      <c r="P1235" t="s">
        <v>304</v>
      </c>
      <c r="Q1235" t="s">
        <v>72</v>
      </c>
      <c r="S1235" t="s">
        <v>5828</v>
      </c>
      <c r="U1235" t="s">
        <v>45</v>
      </c>
      <c r="V1235" t="s">
        <v>46</v>
      </c>
      <c r="W1235" t="s">
        <v>302</v>
      </c>
      <c r="X1235" t="s">
        <v>303</v>
      </c>
      <c r="Y1235" t="s">
        <v>72</v>
      </c>
      <c r="Z1235" t="s">
        <v>68</v>
      </c>
      <c r="AA1235" t="s">
        <v>49</v>
      </c>
      <c r="AB1235" t="s">
        <v>50</v>
      </c>
      <c r="AC1235" s="2">
        <v>326934.5</v>
      </c>
      <c r="AD1235" t="s">
        <v>5829</v>
      </c>
      <c r="AE1235" t="s">
        <v>115</v>
      </c>
    </row>
    <row r="1236" spans="1:31" hidden="1" x14ac:dyDescent="0.25">
      <c r="I1236" t="s">
        <v>5830</v>
      </c>
      <c r="J1236" s="2">
        <v>1000</v>
      </c>
      <c r="K1236" s="2">
        <v>0</v>
      </c>
      <c r="L1236" s="2">
        <v>1</v>
      </c>
      <c r="M1236" s="2">
        <v>0</v>
      </c>
      <c r="S1236" t="s">
        <v>5831</v>
      </c>
      <c r="U1236" t="s">
        <v>45</v>
      </c>
      <c r="V1236" t="s">
        <v>46</v>
      </c>
      <c r="W1236" t="s">
        <v>80</v>
      </c>
      <c r="X1236" t="s">
        <v>81</v>
      </c>
      <c r="Y1236" t="s">
        <v>85</v>
      </c>
      <c r="Z1236" t="s">
        <v>86</v>
      </c>
      <c r="AA1236" t="s">
        <v>49</v>
      </c>
      <c r="AC1236" s="2"/>
    </row>
    <row r="1237" spans="1:31" hidden="1" x14ac:dyDescent="0.25">
      <c r="I1237" t="s">
        <v>5832</v>
      </c>
      <c r="J1237" s="2">
        <v>26207</v>
      </c>
      <c r="K1237" s="2">
        <v>120.12</v>
      </c>
      <c r="L1237" s="2">
        <v>15</v>
      </c>
      <c r="M1237" s="2">
        <v>0</v>
      </c>
      <c r="S1237" t="s">
        <v>5833</v>
      </c>
      <c r="U1237" t="s">
        <v>45</v>
      </c>
      <c r="V1237" t="s">
        <v>46</v>
      </c>
      <c r="W1237" t="s">
        <v>1450</v>
      </c>
      <c r="X1237" t="s">
        <v>1448</v>
      </c>
      <c r="Y1237" t="s">
        <v>121</v>
      </c>
      <c r="Z1237" t="s">
        <v>94</v>
      </c>
      <c r="AA1237" t="s">
        <v>49</v>
      </c>
      <c r="AC1237" s="2"/>
    </row>
    <row r="1238" spans="1:31" x14ac:dyDescent="0.25">
      <c r="A1238" t="s">
        <v>5834</v>
      </c>
      <c r="B1238" t="s">
        <v>5835</v>
      </c>
      <c r="C1238" t="s">
        <v>5835</v>
      </c>
      <c r="D1238" t="s">
        <v>4891</v>
      </c>
      <c r="E1238" t="s">
        <v>77</v>
      </c>
      <c r="F1238" t="s">
        <v>5836</v>
      </c>
      <c r="H1238" t="s">
        <v>41</v>
      </c>
      <c r="I1238" t="s">
        <v>5837</v>
      </c>
      <c r="J1238" s="2">
        <v>43634</v>
      </c>
      <c r="K1238" s="2">
        <v>200</v>
      </c>
      <c r="L1238" s="2">
        <v>15</v>
      </c>
      <c r="M1238" s="2">
        <v>0</v>
      </c>
      <c r="N1238" t="s">
        <v>40</v>
      </c>
      <c r="O1238" t="s">
        <v>41</v>
      </c>
      <c r="P1238" t="s">
        <v>61</v>
      </c>
      <c r="Q1238" t="s">
        <v>62</v>
      </c>
      <c r="S1238" t="s">
        <v>5838</v>
      </c>
      <c r="U1238" t="s">
        <v>45</v>
      </c>
      <c r="V1238" t="s">
        <v>46</v>
      </c>
      <c r="W1238" t="s">
        <v>40</v>
      </c>
      <c r="X1238" t="s">
        <v>41</v>
      </c>
      <c r="Y1238" t="s">
        <v>47</v>
      </c>
      <c r="Z1238" t="s">
        <v>48</v>
      </c>
      <c r="AA1238" t="s">
        <v>49</v>
      </c>
      <c r="AB1238" t="s">
        <v>50</v>
      </c>
      <c r="AC1238" s="2">
        <v>43634</v>
      </c>
      <c r="AD1238" t="s">
        <v>64</v>
      </c>
    </row>
    <row r="1239" spans="1:31" hidden="1" x14ac:dyDescent="0.25">
      <c r="I1239" t="s">
        <v>5839</v>
      </c>
      <c r="J1239" s="2">
        <v>109085</v>
      </c>
      <c r="K1239" s="2">
        <v>500</v>
      </c>
      <c r="L1239" s="2">
        <v>7</v>
      </c>
      <c r="M1239" s="2">
        <v>0</v>
      </c>
      <c r="S1239" t="s">
        <v>5840</v>
      </c>
      <c r="U1239" t="s">
        <v>45</v>
      </c>
      <c r="V1239" t="s">
        <v>46</v>
      </c>
      <c r="W1239" t="s">
        <v>883</v>
      </c>
      <c r="X1239" t="s">
        <v>881</v>
      </c>
      <c r="Y1239" t="s">
        <v>161</v>
      </c>
      <c r="Z1239" t="s">
        <v>162</v>
      </c>
      <c r="AA1239" t="s">
        <v>49</v>
      </c>
      <c r="AC1239" s="2"/>
    </row>
    <row r="1240" spans="1:31" hidden="1" x14ac:dyDescent="0.25">
      <c r="J1240" s="2">
        <v>21817</v>
      </c>
      <c r="K1240" s="2">
        <v>100</v>
      </c>
      <c r="L1240" s="2">
        <v>1</v>
      </c>
      <c r="M1240" s="2">
        <v>0</v>
      </c>
      <c r="S1240" t="s">
        <v>5841</v>
      </c>
      <c r="U1240" t="s">
        <v>45</v>
      </c>
      <c r="V1240" t="s">
        <v>46</v>
      </c>
      <c r="W1240" t="s">
        <v>403</v>
      </c>
      <c r="X1240" t="s">
        <v>404</v>
      </c>
      <c r="Y1240" t="s">
        <v>161</v>
      </c>
      <c r="Z1240" t="s">
        <v>162</v>
      </c>
      <c r="AA1240" t="s">
        <v>49</v>
      </c>
      <c r="AC1240" s="2"/>
    </row>
    <row r="1241" spans="1:31" hidden="1" x14ac:dyDescent="0.25">
      <c r="I1241" t="s">
        <v>5842</v>
      </c>
      <c r="J1241" s="2">
        <v>43634</v>
      </c>
      <c r="K1241" s="2">
        <v>200</v>
      </c>
      <c r="L1241" s="2">
        <v>1</v>
      </c>
      <c r="M1241" s="2">
        <v>0</v>
      </c>
      <c r="S1241" t="s">
        <v>5843</v>
      </c>
      <c r="U1241" t="s">
        <v>45</v>
      </c>
      <c r="V1241" t="s">
        <v>46</v>
      </c>
      <c r="W1241" t="s">
        <v>1546</v>
      </c>
      <c r="X1241" t="s">
        <v>1547</v>
      </c>
      <c r="Y1241" t="s">
        <v>279</v>
      </c>
      <c r="Z1241" t="s">
        <v>280</v>
      </c>
      <c r="AA1241" t="s">
        <v>49</v>
      </c>
      <c r="AC1241" s="2"/>
    </row>
    <row r="1242" spans="1:31" hidden="1" x14ac:dyDescent="0.25">
      <c r="J1242" s="2">
        <v>1000</v>
      </c>
      <c r="K1242" s="2">
        <v>0</v>
      </c>
      <c r="L1242" s="2">
        <v>1</v>
      </c>
      <c r="M1242" s="2">
        <v>0</v>
      </c>
      <c r="S1242" t="s">
        <v>5844</v>
      </c>
      <c r="U1242" t="s">
        <v>45</v>
      </c>
      <c r="V1242" t="s">
        <v>46</v>
      </c>
      <c r="W1242" t="s">
        <v>40</v>
      </c>
      <c r="X1242" t="s">
        <v>41</v>
      </c>
      <c r="Y1242" t="s">
        <v>47</v>
      </c>
      <c r="Z1242" t="s">
        <v>48</v>
      </c>
      <c r="AA1242" t="s">
        <v>49</v>
      </c>
      <c r="AC1242" s="2"/>
    </row>
    <row r="1243" spans="1:31" hidden="1" x14ac:dyDescent="0.25">
      <c r="I1243" t="s">
        <v>5845</v>
      </c>
      <c r="J1243" s="2">
        <v>21817</v>
      </c>
      <c r="K1243" s="2">
        <v>100</v>
      </c>
      <c r="L1243" s="2">
        <v>1</v>
      </c>
      <c r="M1243" s="2">
        <v>0</v>
      </c>
      <c r="S1243" t="s">
        <v>5846</v>
      </c>
      <c r="U1243" t="s">
        <v>45</v>
      </c>
      <c r="V1243" t="s">
        <v>46</v>
      </c>
      <c r="W1243" t="s">
        <v>203</v>
      </c>
      <c r="X1243" t="s">
        <v>204</v>
      </c>
      <c r="Y1243" t="s">
        <v>161</v>
      </c>
      <c r="Z1243" t="s">
        <v>162</v>
      </c>
      <c r="AA1243" t="s">
        <v>49</v>
      </c>
      <c r="AC1243" s="2"/>
    </row>
    <row r="1244" spans="1:31" hidden="1" x14ac:dyDescent="0.25">
      <c r="J1244" s="2">
        <v>21817</v>
      </c>
      <c r="K1244" s="2">
        <v>100</v>
      </c>
      <c r="L1244" s="2">
        <v>1</v>
      </c>
      <c r="M1244" s="2">
        <v>0</v>
      </c>
      <c r="S1244" t="s">
        <v>5847</v>
      </c>
      <c r="U1244" t="s">
        <v>45</v>
      </c>
      <c r="V1244" t="s">
        <v>46</v>
      </c>
      <c r="W1244" t="s">
        <v>403</v>
      </c>
      <c r="X1244" t="s">
        <v>404</v>
      </c>
      <c r="Y1244" t="s">
        <v>161</v>
      </c>
      <c r="Z1244" t="s">
        <v>162</v>
      </c>
      <c r="AA1244" t="s">
        <v>49</v>
      </c>
      <c r="AC1244" s="2"/>
    </row>
    <row r="1245" spans="1:31" x14ac:dyDescent="0.25">
      <c r="A1245" t="s">
        <v>5848</v>
      </c>
      <c r="B1245" t="s">
        <v>5849</v>
      </c>
      <c r="C1245" t="s">
        <v>5849</v>
      </c>
      <c r="D1245" t="s">
        <v>35</v>
      </c>
      <c r="E1245" t="s">
        <v>36</v>
      </c>
      <c r="F1245" t="s">
        <v>5850</v>
      </c>
      <c r="G1245" t="s">
        <v>35</v>
      </c>
      <c r="H1245" t="s">
        <v>1222</v>
      </c>
      <c r="J1245" s="2">
        <v>327255</v>
      </c>
      <c r="K1245" s="2">
        <v>1500</v>
      </c>
      <c r="L1245" s="2">
        <v>30</v>
      </c>
      <c r="M1245" s="2">
        <v>0</v>
      </c>
      <c r="N1245" t="s">
        <v>1221</v>
      </c>
      <c r="O1245" t="s">
        <v>1222</v>
      </c>
      <c r="P1245" t="s">
        <v>205</v>
      </c>
      <c r="Q1245" t="s">
        <v>206</v>
      </c>
      <c r="S1245" t="s">
        <v>5851</v>
      </c>
      <c r="U1245" t="s">
        <v>45</v>
      </c>
      <c r="V1245" t="s">
        <v>46</v>
      </c>
      <c r="W1245" t="s">
        <v>1221</v>
      </c>
      <c r="X1245" t="s">
        <v>1222</v>
      </c>
      <c r="Y1245" t="s">
        <v>161</v>
      </c>
      <c r="Z1245" t="s">
        <v>162</v>
      </c>
      <c r="AA1245" t="s">
        <v>49</v>
      </c>
      <c r="AB1245" t="s">
        <v>50</v>
      </c>
      <c r="AC1245" s="2">
        <v>210562.61</v>
      </c>
      <c r="AD1245" t="s">
        <v>5852</v>
      </c>
      <c r="AE1245" t="s">
        <v>115</v>
      </c>
    </row>
    <row r="1246" spans="1:31" x14ac:dyDescent="0.25">
      <c r="A1246" t="s">
        <v>5853</v>
      </c>
      <c r="B1246" t="s">
        <v>5854</v>
      </c>
      <c r="C1246" t="s">
        <v>2980</v>
      </c>
      <c r="D1246" t="s">
        <v>178</v>
      </c>
      <c r="E1246" t="s">
        <v>179</v>
      </c>
      <c r="F1246" t="s">
        <v>2860</v>
      </c>
      <c r="G1246" t="s">
        <v>2661</v>
      </c>
      <c r="H1246" t="s">
        <v>1444</v>
      </c>
      <c r="J1246" s="2">
        <v>654510</v>
      </c>
      <c r="K1246" s="2">
        <v>3000</v>
      </c>
      <c r="L1246" s="2">
        <v>30</v>
      </c>
      <c r="M1246" s="2">
        <v>0</v>
      </c>
      <c r="N1246" t="s">
        <v>1064</v>
      </c>
      <c r="O1246" t="s">
        <v>1062</v>
      </c>
      <c r="P1246" t="s">
        <v>2320</v>
      </c>
      <c r="Q1246" t="s">
        <v>2321</v>
      </c>
      <c r="S1246" t="s">
        <v>2983</v>
      </c>
      <c r="U1246" t="s">
        <v>45</v>
      </c>
      <c r="V1246" t="s">
        <v>46</v>
      </c>
      <c r="W1246" t="s">
        <v>1064</v>
      </c>
      <c r="X1246" t="s">
        <v>1062</v>
      </c>
      <c r="Y1246" t="s">
        <v>72</v>
      </c>
      <c r="Z1246" t="s">
        <v>68</v>
      </c>
      <c r="AA1246" t="s">
        <v>49</v>
      </c>
      <c r="AB1246" t="s">
        <v>50</v>
      </c>
      <c r="AC1246" s="2">
        <v>646604.93000000005</v>
      </c>
      <c r="AD1246" t="s">
        <v>5855</v>
      </c>
      <c r="AE1246" t="s">
        <v>115</v>
      </c>
    </row>
    <row r="1247" spans="1:31" x14ac:dyDescent="0.25">
      <c r="A1247" t="s">
        <v>5856</v>
      </c>
      <c r="B1247" t="s">
        <v>5857</v>
      </c>
      <c r="C1247" t="s">
        <v>5858</v>
      </c>
      <c r="D1247" t="s">
        <v>2687</v>
      </c>
      <c r="E1247" t="s">
        <v>190</v>
      </c>
      <c r="F1247" t="s">
        <v>2860</v>
      </c>
      <c r="G1247" t="s">
        <v>1094</v>
      </c>
      <c r="H1247" t="s">
        <v>1444</v>
      </c>
      <c r="J1247" s="2">
        <v>654510</v>
      </c>
      <c r="K1247" s="2">
        <v>3000</v>
      </c>
      <c r="L1247" s="2">
        <v>30</v>
      </c>
      <c r="M1247" s="2">
        <v>0</v>
      </c>
      <c r="N1247" t="s">
        <v>1064</v>
      </c>
      <c r="O1247" t="s">
        <v>1062</v>
      </c>
      <c r="P1247" t="s">
        <v>2320</v>
      </c>
      <c r="Q1247" t="s">
        <v>2321</v>
      </c>
      <c r="S1247" t="s">
        <v>2983</v>
      </c>
      <c r="U1247" t="s">
        <v>45</v>
      </c>
      <c r="V1247" t="s">
        <v>46</v>
      </c>
      <c r="W1247" t="s">
        <v>1064</v>
      </c>
      <c r="X1247" t="s">
        <v>1062</v>
      </c>
      <c r="Y1247" t="s">
        <v>72</v>
      </c>
      <c r="Z1247" t="s">
        <v>68</v>
      </c>
      <c r="AA1247" t="s">
        <v>49</v>
      </c>
      <c r="AB1247" t="s">
        <v>50</v>
      </c>
      <c r="AC1247" s="2">
        <v>654130.16</v>
      </c>
      <c r="AD1247" t="s">
        <v>5859</v>
      </c>
    </row>
    <row r="1248" spans="1:31" x14ac:dyDescent="0.25">
      <c r="A1248" t="s">
        <v>5860</v>
      </c>
      <c r="B1248" t="s">
        <v>5861</v>
      </c>
      <c r="C1248" t="s">
        <v>2877</v>
      </c>
      <c r="D1248" t="s">
        <v>847</v>
      </c>
      <c r="E1248" t="s">
        <v>848</v>
      </c>
      <c r="F1248" t="s">
        <v>2867</v>
      </c>
      <c r="G1248" t="s">
        <v>76</v>
      </c>
      <c r="H1248" t="s">
        <v>1062</v>
      </c>
      <c r="J1248" s="2">
        <v>619738</v>
      </c>
      <c r="K1248" s="2">
        <v>2840.62</v>
      </c>
      <c r="L1248" s="2">
        <v>30</v>
      </c>
      <c r="M1248" s="2">
        <v>0</v>
      </c>
      <c r="N1248" t="s">
        <v>1064</v>
      </c>
      <c r="O1248" t="s">
        <v>1062</v>
      </c>
      <c r="P1248" t="s">
        <v>2320</v>
      </c>
      <c r="Q1248" t="s">
        <v>2321</v>
      </c>
      <c r="S1248" t="s">
        <v>3177</v>
      </c>
      <c r="U1248" t="s">
        <v>45</v>
      </c>
      <c r="V1248" t="s">
        <v>46</v>
      </c>
      <c r="W1248" t="s">
        <v>1064</v>
      </c>
      <c r="X1248" t="s">
        <v>1062</v>
      </c>
      <c r="Y1248" t="s">
        <v>72</v>
      </c>
      <c r="Z1248" t="s">
        <v>68</v>
      </c>
      <c r="AA1248" t="s">
        <v>49</v>
      </c>
      <c r="AB1248" t="s">
        <v>50</v>
      </c>
      <c r="AC1248" s="2">
        <v>584448.17000000004</v>
      </c>
      <c r="AD1248" t="s">
        <v>5862</v>
      </c>
    </row>
    <row r="1249" spans="1:31" hidden="1" x14ac:dyDescent="0.25">
      <c r="J1249" s="2">
        <v>37530</v>
      </c>
      <c r="K1249" s="2">
        <v>0</v>
      </c>
      <c r="L1249" s="2">
        <v>30</v>
      </c>
      <c r="M1249" s="2">
        <v>0</v>
      </c>
      <c r="S1249" t="s">
        <v>5863</v>
      </c>
      <c r="U1249" t="s">
        <v>45</v>
      </c>
      <c r="V1249" t="s">
        <v>46</v>
      </c>
      <c r="W1249" t="s">
        <v>1064</v>
      </c>
      <c r="X1249" t="s">
        <v>1062</v>
      </c>
      <c r="Y1249" t="s">
        <v>72</v>
      </c>
      <c r="Z1249" t="s">
        <v>68</v>
      </c>
      <c r="AA1249" t="s">
        <v>49</v>
      </c>
      <c r="AC1249" s="2"/>
    </row>
    <row r="1250" spans="1:31" x14ac:dyDescent="0.25">
      <c r="A1250" t="s">
        <v>5864</v>
      </c>
      <c r="B1250" t="s">
        <v>5865</v>
      </c>
      <c r="C1250" t="s">
        <v>2877</v>
      </c>
      <c r="D1250" t="s">
        <v>297</v>
      </c>
      <c r="E1250" t="s">
        <v>167</v>
      </c>
      <c r="F1250" t="s">
        <v>2867</v>
      </c>
      <c r="G1250" t="s">
        <v>1094</v>
      </c>
      <c r="H1250" t="s">
        <v>1444</v>
      </c>
      <c r="J1250" s="2">
        <v>619738</v>
      </c>
      <c r="K1250" s="2">
        <v>2840.62</v>
      </c>
      <c r="L1250" s="2">
        <v>30</v>
      </c>
      <c r="M1250" s="2">
        <v>0</v>
      </c>
      <c r="N1250" t="s">
        <v>1064</v>
      </c>
      <c r="O1250" t="s">
        <v>1062</v>
      </c>
      <c r="P1250" t="s">
        <v>2320</v>
      </c>
      <c r="Q1250" t="s">
        <v>2321</v>
      </c>
      <c r="S1250" t="s">
        <v>3177</v>
      </c>
      <c r="U1250" t="s">
        <v>45</v>
      </c>
      <c r="V1250" t="s">
        <v>46</v>
      </c>
      <c r="W1250" t="s">
        <v>1064</v>
      </c>
      <c r="X1250" t="s">
        <v>1062</v>
      </c>
      <c r="Y1250" t="s">
        <v>72</v>
      </c>
      <c r="Z1250" t="s">
        <v>68</v>
      </c>
      <c r="AA1250" t="s">
        <v>49</v>
      </c>
      <c r="AB1250" t="s">
        <v>50</v>
      </c>
      <c r="AC1250" s="2">
        <v>582605.65</v>
      </c>
      <c r="AD1250" t="s">
        <v>5866</v>
      </c>
    </row>
    <row r="1251" spans="1:31" hidden="1" x14ac:dyDescent="0.25">
      <c r="I1251" t="s">
        <v>5867</v>
      </c>
      <c r="J1251" s="2">
        <v>218</v>
      </c>
      <c r="K1251" s="2">
        <v>1</v>
      </c>
      <c r="L1251" s="2">
        <v>1</v>
      </c>
      <c r="M1251" s="2">
        <v>0</v>
      </c>
      <c r="S1251" t="s">
        <v>5868</v>
      </c>
      <c r="U1251" t="s">
        <v>45</v>
      </c>
      <c r="V1251" t="s">
        <v>46</v>
      </c>
      <c r="W1251" t="s">
        <v>80</v>
      </c>
      <c r="X1251" t="s">
        <v>81</v>
      </c>
      <c r="Y1251" t="s">
        <v>85</v>
      </c>
      <c r="Z1251" t="s">
        <v>86</v>
      </c>
      <c r="AA1251" t="s">
        <v>49</v>
      </c>
      <c r="AC1251" s="2"/>
    </row>
    <row r="1252" spans="1:31" hidden="1" x14ac:dyDescent="0.25">
      <c r="I1252" t="s">
        <v>5867</v>
      </c>
      <c r="J1252" s="2">
        <v>218</v>
      </c>
      <c r="K1252" s="2">
        <v>1</v>
      </c>
      <c r="L1252" s="2">
        <v>1</v>
      </c>
      <c r="M1252" s="2">
        <v>0</v>
      </c>
      <c r="S1252" t="s">
        <v>5869</v>
      </c>
      <c r="U1252" t="s">
        <v>45</v>
      </c>
      <c r="V1252" t="s">
        <v>46</v>
      </c>
      <c r="W1252" t="s">
        <v>80</v>
      </c>
      <c r="X1252" t="s">
        <v>81</v>
      </c>
      <c r="Y1252" t="s">
        <v>85</v>
      </c>
      <c r="Z1252" t="s">
        <v>86</v>
      </c>
      <c r="AA1252" t="s">
        <v>49</v>
      </c>
      <c r="AC1252" s="2"/>
    </row>
    <row r="1253" spans="1:31" x14ac:dyDescent="0.25">
      <c r="A1253" t="s">
        <v>5870</v>
      </c>
      <c r="B1253" t="s">
        <v>5871</v>
      </c>
      <c r="C1253" t="s">
        <v>2980</v>
      </c>
      <c r="D1253" t="s">
        <v>2687</v>
      </c>
      <c r="E1253" t="s">
        <v>190</v>
      </c>
      <c r="F1253" t="s">
        <v>2860</v>
      </c>
      <c r="G1253" t="s">
        <v>76</v>
      </c>
      <c r="H1253" t="s">
        <v>300</v>
      </c>
      <c r="J1253" s="2">
        <v>654510</v>
      </c>
      <c r="K1253" s="2">
        <v>3000</v>
      </c>
      <c r="L1253" s="2">
        <v>30</v>
      </c>
      <c r="M1253" s="2">
        <v>0</v>
      </c>
      <c r="N1253" t="s">
        <v>302</v>
      </c>
      <c r="O1253" t="s">
        <v>303</v>
      </c>
      <c r="P1253" t="s">
        <v>2320</v>
      </c>
      <c r="Q1253" t="s">
        <v>2321</v>
      </c>
      <c r="S1253" t="s">
        <v>2983</v>
      </c>
      <c r="U1253" t="s">
        <v>45</v>
      </c>
      <c r="V1253" t="s">
        <v>46</v>
      </c>
      <c r="W1253" t="s">
        <v>302</v>
      </c>
      <c r="X1253" t="s">
        <v>303</v>
      </c>
      <c r="Y1253" t="s">
        <v>72</v>
      </c>
      <c r="Z1253" t="s">
        <v>68</v>
      </c>
      <c r="AA1253" t="s">
        <v>49</v>
      </c>
      <c r="AB1253" t="s">
        <v>50</v>
      </c>
      <c r="AC1253" s="2">
        <v>579366.68999999994</v>
      </c>
      <c r="AD1253" t="s">
        <v>5872</v>
      </c>
    </row>
    <row r="1254" spans="1:31" hidden="1" x14ac:dyDescent="0.25">
      <c r="I1254" t="s">
        <v>5873</v>
      </c>
      <c r="J1254" s="2">
        <v>218</v>
      </c>
      <c r="K1254" s="2">
        <v>1</v>
      </c>
      <c r="L1254" s="2">
        <v>1</v>
      </c>
      <c r="M1254" s="2">
        <v>0</v>
      </c>
      <c r="S1254" t="s">
        <v>5874</v>
      </c>
      <c r="U1254" t="s">
        <v>45</v>
      </c>
      <c r="V1254" t="s">
        <v>46</v>
      </c>
      <c r="W1254" t="s">
        <v>80</v>
      </c>
      <c r="X1254" t="s">
        <v>81</v>
      </c>
      <c r="Y1254" t="s">
        <v>85</v>
      </c>
      <c r="Z1254" t="s">
        <v>86</v>
      </c>
      <c r="AA1254" t="s">
        <v>49</v>
      </c>
      <c r="AC1254" s="2"/>
    </row>
    <row r="1255" spans="1:31" x14ac:dyDescent="0.25">
      <c r="A1255" t="s">
        <v>5875</v>
      </c>
      <c r="B1255" t="s">
        <v>5876</v>
      </c>
      <c r="C1255" t="s">
        <v>5876</v>
      </c>
      <c r="D1255" t="s">
        <v>35</v>
      </c>
      <c r="E1255" t="s">
        <v>36</v>
      </c>
      <c r="F1255" t="s">
        <v>5877</v>
      </c>
      <c r="G1255" t="s">
        <v>847</v>
      </c>
      <c r="H1255" t="s">
        <v>81</v>
      </c>
      <c r="J1255" s="2">
        <v>436340</v>
      </c>
      <c r="K1255" s="2">
        <v>2000</v>
      </c>
      <c r="L1255" s="2">
        <v>15</v>
      </c>
      <c r="M1255" s="2">
        <v>0</v>
      </c>
      <c r="N1255" t="s">
        <v>80</v>
      </c>
      <c r="O1255" t="s">
        <v>81</v>
      </c>
      <c r="P1255" t="s">
        <v>557</v>
      </c>
      <c r="Q1255" t="s">
        <v>558</v>
      </c>
      <c r="S1255" t="s">
        <v>5878</v>
      </c>
      <c r="U1255" t="s">
        <v>45</v>
      </c>
      <c r="V1255" t="s">
        <v>46</v>
      </c>
      <c r="W1255" t="s">
        <v>80</v>
      </c>
      <c r="X1255" t="s">
        <v>81</v>
      </c>
      <c r="Y1255" t="s">
        <v>85</v>
      </c>
      <c r="Z1255" t="s">
        <v>86</v>
      </c>
      <c r="AA1255" t="s">
        <v>49</v>
      </c>
      <c r="AB1255" t="s">
        <v>50</v>
      </c>
      <c r="AC1255" s="2">
        <v>126772.04</v>
      </c>
      <c r="AD1255" t="s">
        <v>5879</v>
      </c>
      <c r="AE1255" t="s">
        <v>115</v>
      </c>
    </row>
    <row r="1256" spans="1:31" x14ac:dyDescent="0.25">
      <c r="A1256" t="s">
        <v>5880</v>
      </c>
      <c r="B1256" t="s">
        <v>5881</v>
      </c>
      <c r="C1256" t="s">
        <v>5881</v>
      </c>
      <c r="D1256" t="s">
        <v>189</v>
      </c>
      <c r="E1256" t="s">
        <v>190</v>
      </c>
      <c r="F1256" t="s">
        <v>5882</v>
      </c>
      <c r="G1256" t="s">
        <v>819</v>
      </c>
      <c r="H1256" t="s">
        <v>2831</v>
      </c>
      <c r="I1256" t="s">
        <v>5883</v>
      </c>
      <c r="J1256" s="2">
        <v>239987</v>
      </c>
      <c r="K1256" s="2">
        <v>1100</v>
      </c>
      <c r="L1256" s="2">
        <v>15</v>
      </c>
      <c r="M1256" s="2">
        <v>0</v>
      </c>
      <c r="N1256" t="s">
        <v>80</v>
      </c>
      <c r="O1256" t="s">
        <v>81</v>
      </c>
      <c r="P1256" t="s">
        <v>557</v>
      </c>
      <c r="Q1256" t="s">
        <v>558</v>
      </c>
      <c r="S1256" t="s">
        <v>5884</v>
      </c>
      <c r="U1256" t="s">
        <v>45</v>
      </c>
      <c r="V1256" t="s">
        <v>46</v>
      </c>
      <c r="W1256" t="s">
        <v>80</v>
      </c>
      <c r="X1256" t="s">
        <v>81</v>
      </c>
      <c r="Y1256" t="s">
        <v>85</v>
      </c>
      <c r="Z1256" t="s">
        <v>86</v>
      </c>
      <c r="AA1256" t="s">
        <v>49</v>
      </c>
      <c r="AB1256" t="s">
        <v>50</v>
      </c>
      <c r="AC1256" s="2">
        <v>239987</v>
      </c>
      <c r="AD1256" t="s">
        <v>64</v>
      </c>
    </row>
    <row r="1257" spans="1:31" hidden="1" x14ac:dyDescent="0.25">
      <c r="J1257" s="2">
        <v>436340</v>
      </c>
      <c r="K1257" s="2">
        <v>2000</v>
      </c>
      <c r="L1257" s="2">
        <v>30</v>
      </c>
      <c r="M1257" s="2">
        <v>0</v>
      </c>
      <c r="S1257" t="s">
        <v>2983</v>
      </c>
      <c r="U1257" t="s">
        <v>45</v>
      </c>
      <c r="V1257" t="s">
        <v>46</v>
      </c>
      <c r="W1257" t="s">
        <v>203</v>
      </c>
      <c r="X1257" t="s">
        <v>204</v>
      </c>
      <c r="Y1257" t="s">
        <v>161</v>
      </c>
      <c r="Z1257" t="s">
        <v>162</v>
      </c>
      <c r="AA1257" t="s">
        <v>49</v>
      </c>
      <c r="AC1257" s="2"/>
    </row>
    <row r="1258" spans="1:31" x14ac:dyDescent="0.25">
      <c r="A1258" t="s">
        <v>5885</v>
      </c>
      <c r="B1258" t="s">
        <v>5886</v>
      </c>
      <c r="C1258" t="s">
        <v>5887</v>
      </c>
      <c r="D1258" t="s">
        <v>2687</v>
      </c>
      <c r="E1258" t="s">
        <v>190</v>
      </c>
      <c r="F1258" t="s">
        <v>2860</v>
      </c>
      <c r="G1258" t="s">
        <v>1094</v>
      </c>
      <c r="H1258" t="s">
        <v>1444</v>
      </c>
      <c r="J1258" s="2">
        <v>619738</v>
      </c>
      <c r="K1258" s="2">
        <v>2840.62</v>
      </c>
      <c r="L1258" s="2">
        <v>30</v>
      </c>
      <c r="M1258" s="2">
        <v>0</v>
      </c>
      <c r="N1258" t="s">
        <v>1064</v>
      </c>
      <c r="O1258" t="s">
        <v>1062</v>
      </c>
      <c r="P1258" t="s">
        <v>2320</v>
      </c>
      <c r="Q1258" t="s">
        <v>2321</v>
      </c>
      <c r="S1258" t="s">
        <v>2983</v>
      </c>
      <c r="U1258" t="s">
        <v>45</v>
      </c>
      <c r="V1258" t="s">
        <v>46</v>
      </c>
      <c r="W1258" t="s">
        <v>1064</v>
      </c>
      <c r="X1258" t="s">
        <v>1062</v>
      </c>
      <c r="Y1258" t="s">
        <v>72</v>
      </c>
      <c r="Z1258" t="s">
        <v>68</v>
      </c>
      <c r="AA1258" t="s">
        <v>49</v>
      </c>
      <c r="AB1258" t="s">
        <v>50</v>
      </c>
      <c r="AC1258" s="2">
        <v>609813.91</v>
      </c>
      <c r="AD1258" t="s">
        <v>5888</v>
      </c>
    </row>
    <row r="1259" spans="1:31" x14ac:dyDescent="0.25">
      <c r="A1259" t="s">
        <v>5889</v>
      </c>
      <c r="B1259" t="s">
        <v>5890</v>
      </c>
      <c r="C1259" t="s">
        <v>5890</v>
      </c>
      <c r="D1259" t="s">
        <v>819</v>
      </c>
      <c r="E1259" t="s">
        <v>224</v>
      </c>
      <c r="F1259" t="s">
        <v>5891</v>
      </c>
      <c r="G1259" t="s">
        <v>1245</v>
      </c>
      <c r="H1259" t="s">
        <v>5892</v>
      </c>
      <c r="I1259" t="s">
        <v>5893</v>
      </c>
      <c r="J1259" s="2">
        <v>436340</v>
      </c>
      <c r="K1259" s="2">
        <v>2000</v>
      </c>
      <c r="L1259" s="2">
        <v>21</v>
      </c>
      <c r="M1259" s="2">
        <v>0</v>
      </c>
      <c r="N1259" t="s">
        <v>722</v>
      </c>
      <c r="O1259" t="s">
        <v>721</v>
      </c>
      <c r="P1259" t="s">
        <v>205</v>
      </c>
      <c r="Q1259" t="s">
        <v>206</v>
      </c>
      <c r="S1259" t="s">
        <v>5894</v>
      </c>
      <c r="U1259" t="s">
        <v>45</v>
      </c>
      <c r="V1259" t="s">
        <v>46</v>
      </c>
      <c r="W1259" t="s">
        <v>722</v>
      </c>
      <c r="X1259" t="s">
        <v>721</v>
      </c>
      <c r="Y1259" t="s">
        <v>161</v>
      </c>
      <c r="Z1259" t="s">
        <v>162</v>
      </c>
      <c r="AA1259" t="s">
        <v>49</v>
      </c>
      <c r="AB1259" t="s">
        <v>50</v>
      </c>
      <c r="AC1259" s="2">
        <v>436340</v>
      </c>
      <c r="AD1259" t="s">
        <v>64</v>
      </c>
    </row>
    <row r="1260" spans="1:31" x14ac:dyDescent="0.25">
      <c r="A1260" t="s">
        <v>5895</v>
      </c>
      <c r="B1260" t="s">
        <v>5896</v>
      </c>
      <c r="C1260" t="s">
        <v>5896</v>
      </c>
      <c r="D1260" t="s">
        <v>1291</v>
      </c>
      <c r="E1260" t="s">
        <v>134</v>
      </c>
      <c r="F1260" t="s">
        <v>5897</v>
      </c>
      <c r="G1260" t="s">
        <v>621</v>
      </c>
      <c r="H1260" t="s">
        <v>5892</v>
      </c>
      <c r="J1260" s="2">
        <v>545425</v>
      </c>
      <c r="K1260" s="2">
        <v>2500</v>
      </c>
      <c r="L1260" s="2">
        <v>30</v>
      </c>
      <c r="M1260" s="2">
        <v>0</v>
      </c>
      <c r="N1260" t="s">
        <v>722</v>
      </c>
      <c r="O1260" t="s">
        <v>721</v>
      </c>
      <c r="P1260" t="s">
        <v>205</v>
      </c>
      <c r="Q1260" t="s">
        <v>206</v>
      </c>
      <c r="S1260" t="s">
        <v>5898</v>
      </c>
      <c r="U1260" t="s">
        <v>45</v>
      </c>
      <c r="V1260" t="s">
        <v>46</v>
      </c>
      <c r="W1260" t="s">
        <v>722</v>
      </c>
      <c r="X1260" t="s">
        <v>721</v>
      </c>
      <c r="Y1260" t="s">
        <v>161</v>
      </c>
      <c r="Z1260" t="s">
        <v>162</v>
      </c>
      <c r="AA1260" t="s">
        <v>49</v>
      </c>
      <c r="AB1260" t="s">
        <v>50</v>
      </c>
      <c r="AC1260" s="2">
        <v>545425</v>
      </c>
      <c r="AD1260" t="s">
        <v>64</v>
      </c>
    </row>
    <row r="1261" spans="1:31" x14ac:dyDescent="0.25">
      <c r="A1261" t="s">
        <v>5899</v>
      </c>
      <c r="B1261" t="s">
        <v>5900</v>
      </c>
      <c r="C1261" t="s">
        <v>5901</v>
      </c>
      <c r="D1261" t="s">
        <v>297</v>
      </c>
      <c r="E1261" t="s">
        <v>167</v>
      </c>
      <c r="F1261" t="s">
        <v>5902</v>
      </c>
      <c r="G1261" t="s">
        <v>873</v>
      </c>
      <c r="H1261" t="s">
        <v>157</v>
      </c>
      <c r="I1261" t="s">
        <v>5903</v>
      </c>
      <c r="J1261" s="2">
        <v>654510</v>
      </c>
      <c r="K1261" s="2">
        <v>3000</v>
      </c>
      <c r="L1261" s="2">
        <v>30</v>
      </c>
      <c r="M1261" s="2">
        <v>0</v>
      </c>
      <c r="N1261" t="s">
        <v>156</v>
      </c>
      <c r="O1261" t="s">
        <v>157</v>
      </c>
      <c r="P1261" t="s">
        <v>158</v>
      </c>
      <c r="Q1261" t="s">
        <v>159</v>
      </c>
      <c r="S1261" t="s">
        <v>5904</v>
      </c>
      <c r="U1261" t="s">
        <v>45</v>
      </c>
      <c r="V1261" t="s">
        <v>46</v>
      </c>
      <c r="W1261" t="s">
        <v>156</v>
      </c>
      <c r="X1261" t="s">
        <v>157</v>
      </c>
      <c r="Y1261" t="s">
        <v>161</v>
      </c>
      <c r="Z1261" t="s">
        <v>162</v>
      </c>
      <c r="AA1261" t="s">
        <v>49</v>
      </c>
      <c r="AB1261" t="s">
        <v>50</v>
      </c>
      <c r="AC1261" s="2">
        <v>654510</v>
      </c>
      <c r="AD1261" t="s">
        <v>64</v>
      </c>
    </row>
    <row r="1262" spans="1:31" hidden="1" x14ac:dyDescent="0.25">
      <c r="I1262" t="s">
        <v>5905</v>
      </c>
      <c r="J1262" s="2">
        <v>218</v>
      </c>
      <c r="K1262" s="2">
        <v>1</v>
      </c>
      <c r="L1262" s="2">
        <v>1</v>
      </c>
      <c r="M1262" s="2">
        <v>0</v>
      </c>
      <c r="S1262" t="s">
        <v>5906</v>
      </c>
      <c r="U1262" t="s">
        <v>45</v>
      </c>
      <c r="V1262" t="s">
        <v>46</v>
      </c>
      <c r="W1262" t="s">
        <v>254</v>
      </c>
      <c r="X1262" t="s">
        <v>255</v>
      </c>
      <c r="Y1262" t="s">
        <v>258</v>
      </c>
      <c r="Z1262" t="s">
        <v>259</v>
      </c>
      <c r="AA1262" t="s">
        <v>49</v>
      </c>
      <c r="AC1262" s="2"/>
    </row>
    <row r="1263" spans="1:31" x14ac:dyDescent="0.25">
      <c r="A1263" t="s">
        <v>5907</v>
      </c>
      <c r="B1263" t="s">
        <v>5908</v>
      </c>
      <c r="C1263" t="s">
        <v>5908</v>
      </c>
      <c r="D1263" t="s">
        <v>569</v>
      </c>
      <c r="E1263" t="s">
        <v>570</v>
      </c>
      <c r="F1263" t="s">
        <v>5909</v>
      </c>
      <c r="G1263" t="s">
        <v>178</v>
      </c>
      <c r="H1263" t="s">
        <v>584</v>
      </c>
      <c r="I1263" t="s">
        <v>5910</v>
      </c>
      <c r="J1263" s="2">
        <v>327255</v>
      </c>
      <c r="K1263" s="2">
        <v>1500</v>
      </c>
      <c r="L1263" s="2">
        <v>21</v>
      </c>
      <c r="M1263" s="2">
        <v>0</v>
      </c>
      <c r="N1263" t="s">
        <v>585</v>
      </c>
      <c r="O1263" t="s">
        <v>584</v>
      </c>
      <c r="P1263" t="s">
        <v>158</v>
      </c>
      <c r="Q1263" t="s">
        <v>159</v>
      </c>
      <c r="S1263" t="s">
        <v>5911</v>
      </c>
      <c r="U1263" t="s">
        <v>45</v>
      </c>
      <c r="V1263" t="s">
        <v>46</v>
      </c>
      <c r="W1263" t="s">
        <v>585</v>
      </c>
      <c r="X1263" t="s">
        <v>584</v>
      </c>
      <c r="Y1263" t="s">
        <v>161</v>
      </c>
      <c r="Z1263" t="s">
        <v>162</v>
      </c>
      <c r="AA1263" t="s">
        <v>49</v>
      </c>
      <c r="AB1263" t="s">
        <v>50</v>
      </c>
      <c r="AC1263" s="2">
        <v>214294.65</v>
      </c>
      <c r="AD1263" t="s">
        <v>5912</v>
      </c>
      <c r="AE1263" t="s">
        <v>52</v>
      </c>
    </row>
    <row r="1264" spans="1:31" x14ac:dyDescent="0.25">
      <c r="A1264" t="s">
        <v>5913</v>
      </c>
      <c r="B1264" t="s">
        <v>5914</v>
      </c>
      <c r="C1264" t="s">
        <v>5914</v>
      </c>
      <c r="D1264" t="s">
        <v>153</v>
      </c>
      <c r="E1264" t="s">
        <v>272</v>
      </c>
      <c r="F1264" t="s">
        <v>5915</v>
      </c>
      <c r="G1264" t="s">
        <v>153</v>
      </c>
      <c r="H1264" t="s">
        <v>881</v>
      </c>
      <c r="I1264" t="s">
        <v>5916</v>
      </c>
      <c r="J1264" s="2">
        <v>218170</v>
      </c>
      <c r="K1264" s="2">
        <v>1000</v>
      </c>
      <c r="L1264" s="2">
        <v>7</v>
      </c>
      <c r="M1264" s="2">
        <v>0</v>
      </c>
      <c r="N1264" t="s">
        <v>883</v>
      </c>
      <c r="O1264" t="s">
        <v>881</v>
      </c>
      <c r="P1264" t="s">
        <v>158</v>
      </c>
      <c r="Q1264" t="s">
        <v>159</v>
      </c>
      <c r="S1264" t="s">
        <v>5917</v>
      </c>
      <c r="U1264" t="s">
        <v>45</v>
      </c>
      <c r="V1264" t="s">
        <v>46</v>
      </c>
      <c r="W1264" t="s">
        <v>883</v>
      </c>
      <c r="X1264" t="s">
        <v>881</v>
      </c>
      <c r="Y1264" t="s">
        <v>161</v>
      </c>
      <c r="Z1264" t="s">
        <v>162</v>
      </c>
      <c r="AA1264" t="s">
        <v>49</v>
      </c>
      <c r="AB1264" t="s">
        <v>50</v>
      </c>
      <c r="AC1264" s="2">
        <v>183102.38</v>
      </c>
      <c r="AD1264" t="s">
        <v>5918</v>
      </c>
      <c r="AE1264" t="s">
        <v>52</v>
      </c>
    </row>
    <row r="1265" spans="1:31" x14ac:dyDescent="0.25">
      <c r="A1265" t="s">
        <v>5919</v>
      </c>
      <c r="B1265" t="s">
        <v>5920</v>
      </c>
      <c r="C1265" t="s">
        <v>5920</v>
      </c>
      <c r="D1265" t="s">
        <v>189</v>
      </c>
      <c r="E1265" t="s">
        <v>190</v>
      </c>
      <c r="F1265" t="s">
        <v>5921</v>
      </c>
      <c r="G1265" t="s">
        <v>3194</v>
      </c>
      <c r="H1265" t="s">
        <v>81</v>
      </c>
      <c r="I1265" t="s">
        <v>5922</v>
      </c>
      <c r="J1265" s="2">
        <v>174536</v>
      </c>
      <c r="K1265" s="2">
        <v>800</v>
      </c>
      <c r="L1265" s="2">
        <v>15</v>
      </c>
      <c r="M1265" s="2">
        <v>0</v>
      </c>
      <c r="N1265" t="s">
        <v>80</v>
      </c>
      <c r="O1265" t="s">
        <v>81</v>
      </c>
      <c r="P1265" t="s">
        <v>557</v>
      </c>
      <c r="Q1265" t="s">
        <v>558</v>
      </c>
      <c r="S1265" t="s">
        <v>5923</v>
      </c>
      <c r="U1265" t="s">
        <v>45</v>
      </c>
      <c r="V1265" t="s">
        <v>46</v>
      </c>
      <c r="W1265" t="s">
        <v>80</v>
      </c>
      <c r="X1265" t="s">
        <v>81</v>
      </c>
      <c r="Y1265" t="s">
        <v>85</v>
      </c>
      <c r="Z1265" t="s">
        <v>86</v>
      </c>
      <c r="AA1265" t="s">
        <v>49</v>
      </c>
      <c r="AB1265" t="s">
        <v>50</v>
      </c>
      <c r="AC1265" s="2">
        <v>174536</v>
      </c>
      <c r="AD1265" t="s">
        <v>64</v>
      </c>
    </row>
    <row r="1266" spans="1:31" x14ac:dyDescent="0.25">
      <c r="A1266" s="15" t="s">
        <v>5924</v>
      </c>
      <c r="B1266" s="15" t="s">
        <v>5925</v>
      </c>
      <c r="C1266" s="15" t="s">
        <v>5925</v>
      </c>
      <c r="D1266" s="15" t="s">
        <v>55</v>
      </c>
      <c r="E1266" s="15" t="s">
        <v>56</v>
      </c>
      <c r="F1266" s="15" t="s">
        <v>5926</v>
      </c>
      <c r="H1266" s="15" t="s">
        <v>5927</v>
      </c>
      <c r="I1266" t="s">
        <v>5928</v>
      </c>
      <c r="J1266" s="2">
        <v>218</v>
      </c>
      <c r="K1266" s="2">
        <v>1</v>
      </c>
      <c r="L1266" s="2">
        <v>1</v>
      </c>
      <c r="M1266" s="2">
        <v>0</v>
      </c>
      <c r="N1266" s="15" t="s">
        <v>5929</v>
      </c>
      <c r="O1266" s="15" t="s">
        <v>5930</v>
      </c>
      <c r="P1266" s="15" t="s">
        <v>557</v>
      </c>
      <c r="Q1266" s="15" t="s">
        <v>558</v>
      </c>
      <c r="S1266" t="s">
        <v>5931</v>
      </c>
      <c r="U1266" t="s">
        <v>45</v>
      </c>
      <c r="V1266" t="s">
        <v>46</v>
      </c>
      <c r="W1266" t="s">
        <v>5929</v>
      </c>
      <c r="X1266" t="s">
        <v>5930</v>
      </c>
      <c r="Y1266" t="s">
        <v>85</v>
      </c>
      <c r="Z1266" t="s">
        <v>86</v>
      </c>
      <c r="AA1266" t="s">
        <v>49</v>
      </c>
      <c r="AB1266" s="15" t="s">
        <v>50</v>
      </c>
      <c r="AC1266" s="16">
        <v>-3217.73</v>
      </c>
      <c r="AD1266" s="15" t="s">
        <v>5932</v>
      </c>
      <c r="AE1266" s="15" t="s">
        <v>115</v>
      </c>
    </row>
    <row r="1267" spans="1:31" x14ac:dyDescent="0.25">
      <c r="A1267" t="s">
        <v>5933</v>
      </c>
      <c r="B1267" t="s">
        <v>5934</v>
      </c>
      <c r="C1267" t="s">
        <v>5934</v>
      </c>
      <c r="D1267" t="s">
        <v>125</v>
      </c>
      <c r="E1267" t="s">
        <v>126</v>
      </c>
      <c r="F1267" t="s">
        <v>5935</v>
      </c>
      <c r="G1267" t="s">
        <v>125</v>
      </c>
      <c r="H1267" t="s">
        <v>5936</v>
      </c>
      <c r="I1267" t="s">
        <v>5937</v>
      </c>
      <c r="J1267" s="2">
        <v>117435</v>
      </c>
      <c r="K1267" s="2">
        <v>500</v>
      </c>
      <c r="L1267" s="2">
        <v>15</v>
      </c>
      <c r="M1267" s="2">
        <v>0</v>
      </c>
      <c r="N1267" t="s">
        <v>5938</v>
      </c>
      <c r="O1267" t="s">
        <v>5939</v>
      </c>
      <c r="P1267" t="s">
        <v>1363</v>
      </c>
      <c r="Q1267" t="s">
        <v>1364</v>
      </c>
      <c r="S1267" t="s">
        <v>5940</v>
      </c>
      <c r="U1267" t="s">
        <v>45</v>
      </c>
      <c r="V1267" t="s">
        <v>46</v>
      </c>
      <c r="W1267" t="s">
        <v>5938</v>
      </c>
      <c r="X1267" t="s">
        <v>5939</v>
      </c>
      <c r="Y1267" t="s">
        <v>85</v>
      </c>
      <c r="Z1267" t="s">
        <v>86</v>
      </c>
      <c r="AA1267" t="s">
        <v>49</v>
      </c>
      <c r="AB1267" t="s">
        <v>50</v>
      </c>
      <c r="AC1267" s="2">
        <v>14883.27</v>
      </c>
      <c r="AD1267" t="s">
        <v>5941</v>
      </c>
      <c r="AE1267" t="s">
        <v>52</v>
      </c>
    </row>
    <row r="1268" spans="1:31" x14ac:dyDescent="0.25">
      <c r="A1268" t="s">
        <v>5942</v>
      </c>
      <c r="B1268" t="s">
        <v>5943</v>
      </c>
      <c r="C1268" t="s">
        <v>5944</v>
      </c>
      <c r="D1268" t="s">
        <v>569</v>
      </c>
      <c r="E1268" t="s">
        <v>570</v>
      </c>
      <c r="F1268" t="s">
        <v>1220</v>
      </c>
      <c r="G1268" t="s">
        <v>299</v>
      </c>
      <c r="H1268" t="s">
        <v>1222</v>
      </c>
      <c r="I1268" t="s">
        <v>5945</v>
      </c>
      <c r="J1268" s="2">
        <v>436340</v>
      </c>
      <c r="K1268" s="2">
        <v>2000</v>
      </c>
      <c r="L1268" s="2">
        <v>21</v>
      </c>
      <c r="M1268" s="2">
        <v>0</v>
      </c>
      <c r="N1268" t="s">
        <v>1221</v>
      </c>
      <c r="O1268" t="s">
        <v>1222</v>
      </c>
      <c r="P1268" t="s">
        <v>205</v>
      </c>
      <c r="Q1268" t="s">
        <v>206</v>
      </c>
      <c r="S1268" t="s">
        <v>5946</v>
      </c>
      <c r="U1268" t="s">
        <v>45</v>
      </c>
      <c r="V1268" t="s">
        <v>46</v>
      </c>
      <c r="W1268" t="s">
        <v>1221</v>
      </c>
      <c r="X1268" t="s">
        <v>1222</v>
      </c>
      <c r="Y1268" t="s">
        <v>161</v>
      </c>
      <c r="Z1268" t="s">
        <v>162</v>
      </c>
      <c r="AA1268" t="s">
        <v>49</v>
      </c>
      <c r="AB1268" t="s">
        <v>50</v>
      </c>
      <c r="AC1268" s="2">
        <v>385098.38</v>
      </c>
      <c r="AD1268" t="s">
        <v>5947</v>
      </c>
    </row>
    <row r="1269" spans="1:31" x14ac:dyDescent="0.25">
      <c r="A1269" t="s">
        <v>5948</v>
      </c>
      <c r="B1269" t="s">
        <v>5949</v>
      </c>
      <c r="C1269" t="s">
        <v>5949</v>
      </c>
      <c r="D1269" t="s">
        <v>817</v>
      </c>
      <c r="E1269" t="s">
        <v>224</v>
      </c>
      <c r="F1269" t="s">
        <v>5950</v>
      </c>
      <c r="H1269" t="s">
        <v>2318</v>
      </c>
      <c r="I1269" t="s">
        <v>5951</v>
      </c>
      <c r="J1269" s="2">
        <v>1000</v>
      </c>
      <c r="K1269" s="2">
        <v>0</v>
      </c>
      <c r="L1269" s="2">
        <v>21</v>
      </c>
      <c r="M1269" s="2">
        <v>0</v>
      </c>
      <c r="N1269" t="s">
        <v>2159</v>
      </c>
      <c r="O1269" t="s">
        <v>2160</v>
      </c>
      <c r="P1269" t="s">
        <v>5952</v>
      </c>
      <c r="Q1269" t="s">
        <v>5953</v>
      </c>
      <c r="S1269" t="s">
        <v>5954</v>
      </c>
      <c r="U1269" t="s">
        <v>45</v>
      </c>
      <c r="V1269" t="s">
        <v>46</v>
      </c>
      <c r="W1269" t="s">
        <v>2159</v>
      </c>
      <c r="X1269" t="s">
        <v>2160</v>
      </c>
      <c r="Y1269" t="s">
        <v>2157</v>
      </c>
      <c r="Z1269" t="s">
        <v>48</v>
      </c>
      <c r="AA1269" t="s">
        <v>49</v>
      </c>
      <c r="AB1269" t="s">
        <v>50</v>
      </c>
      <c r="AC1269" s="2">
        <v>1000</v>
      </c>
      <c r="AD1269" t="s">
        <v>64</v>
      </c>
    </row>
    <row r="1270" spans="1:31" hidden="1" x14ac:dyDescent="0.25">
      <c r="I1270" t="s">
        <v>5955</v>
      </c>
      <c r="J1270" s="2">
        <v>1000</v>
      </c>
      <c r="K1270" s="2">
        <v>0</v>
      </c>
      <c r="L1270" s="2">
        <v>1</v>
      </c>
      <c r="M1270" s="2">
        <v>0</v>
      </c>
      <c r="S1270" t="s">
        <v>5956</v>
      </c>
      <c r="U1270" t="s">
        <v>45</v>
      </c>
      <c r="V1270" t="s">
        <v>46</v>
      </c>
      <c r="W1270" t="s">
        <v>80</v>
      </c>
      <c r="X1270" t="s">
        <v>81</v>
      </c>
      <c r="Y1270" t="s">
        <v>85</v>
      </c>
      <c r="Z1270" t="s">
        <v>86</v>
      </c>
      <c r="AA1270" t="s">
        <v>49</v>
      </c>
      <c r="AC1270" s="2"/>
    </row>
    <row r="1271" spans="1:31" hidden="1" x14ac:dyDescent="0.25">
      <c r="I1271" t="s">
        <v>5957</v>
      </c>
      <c r="J1271" s="2">
        <v>218</v>
      </c>
      <c r="K1271" s="2">
        <v>1</v>
      </c>
      <c r="L1271" s="2">
        <v>1</v>
      </c>
      <c r="M1271" s="2">
        <v>0</v>
      </c>
      <c r="S1271" t="s">
        <v>5958</v>
      </c>
      <c r="U1271" t="s">
        <v>45</v>
      </c>
      <c r="V1271" t="s">
        <v>46</v>
      </c>
      <c r="W1271" t="s">
        <v>80</v>
      </c>
      <c r="X1271" t="s">
        <v>81</v>
      </c>
      <c r="Y1271" t="s">
        <v>85</v>
      </c>
      <c r="Z1271" t="s">
        <v>86</v>
      </c>
      <c r="AA1271" t="s">
        <v>49</v>
      </c>
      <c r="AC1271" s="2"/>
    </row>
    <row r="1272" spans="1:31" hidden="1" x14ac:dyDescent="0.25">
      <c r="A1272" s="10" t="s">
        <v>5959</v>
      </c>
      <c r="B1272" s="10" t="s">
        <v>5960</v>
      </c>
      <c r="C1272" t="s">
        <v>5961</v>
      </c>
      <c r="D1272" t="s">
        <v>55</v>
      </c>
      <c r="E1272" t="s">
        <v>56</v>
      </c>
      <c r="F1272" t="s">
        <v>5962</v>
      </c>
      <c r="H1272" t="s">
        <v>2508</v>
      </c>
      <c r="I1272" t="s">
        <v>5963</v>
      </c>
      <c r="J1272" s="2">
        <v>14600</v>
      </c>
      <c r="K1272" s="2">
        <v>0</v>
      </c>
      <c r="L1272" s="2">
        <v>21</v>
      </c>
      <c r="M1272" s="2">
        <v>0</v>
      </c>
      <c r="N1272" t="s">
        <v>700</v>
      </c>
      <c r="O1272" t="s">
        <v>699</v>
      </c>
      <c r="P1272" t="s">
        <v>69</v>
      </c>
      <c r="Q1272" t="s">
        <v>70</v>
      </c>
      <c r="S1272" t="s">
        <v>5964</v>
      </c>
      <c r="U1272" t="s">
        <v>45</v>
      </c>
      <c r="V1272" t="s">
        <v>46</v>
      </c>
      <c r="W1272" t="s">
        <v>700</v>
      </c>
      <c r="X1272" t="s">
        <v>699</v>
      </c>
      <c r="Y1272" t="s">
        <v>72</v>
      </c>
      <c r="Z1272" t="s">
        <v>68</v>
      </c>
      <c r="AA1272" t="s">
        <v>49</v>
      </c>
      <c r="AB1272" t="s">
        <v>142</v>
      </c>
      <c r="AC1272" s="2">
        <v>14600</v>
      </c>
      <c r="AD1272" t="s">
        <v>64</v>
      </c>
    </row>
    <row r="1273" spans="1:31" hidden="1" x14ac:dyDescent="0.25">
      <c r="I1273" t="s">
        <v>5965</v>
      </c>
      <c r="J1273" s="2">
        <v>1000</v>
      </c>
      <c r="K1273" s="2">
        <v>0</v>
      </c>
      <c r="L1273" s="2">
        <v>15</v>
      </c>
      <c r="M1273" s="2">
        <v>0</v>
      </c>
      <c r="S1273" t="s">
        <v>5967</v>
      </c>
      <c r="U1273" t="s">
        <v>45</v>
      </c>
      <c r="V1273" t="s">
        <v>46</v>
      </c>
      <c r="W1273" t="s">
        <v>5741</v>
      </c>
      <c r="X1273" t="s">
        <v>5739</v>
      </c>
      <c r="Y1273" t="s">
        <v>5743</v>
      </c>
      <c r="Z1273" t="s">
        <v>5744</v>
      </c>
      <c r="AA1273" t="s">
        <v>49</v>
      </c>
      <c r="AC1273" s="2"/>
    </row>
    <row r="1274" spans="1:31" x14ac:dyDescent="0.25">
      <c r="A1274" t="s">
        <v>5968</v>
      </c>
      <c r="B1274" t="s">
        <v>5969</v>
      </c>
      <c r="C1274" t="s">
        <v>5969</v>
      </c>
      <c r="D1274" t="s">
        <v>125</v>
      </c>
      <c r="E1274" t="s">
        <v>126</v>
      </c>
      <c r="F1274" t="s">
        <v>5970</v>
      </c>
      <c r="G1274" t="s">
        <v>125</v>
      </c>
      <c r="H1274" t="s">
        <v>5739</v>
      </c>
      <c r="I1274" t="s">
        <v>5971</v>
      </c>
      <c r="J1274" s="2">
        <v>1261230</v>
      </c>
      <c r="K1274" s="2">
        <v>5100</v>
      </c>
      <c r="L1274" s="2">
        <v>30</v>
      </c>
      <c r="M1274" s="2">
        <v>0</v>
      </c>
      <c r="N1274" t="s">
        <v>5741</v>
      </c>
      <c r="O1274" t="s">
        <v>5739</v>
      </c>
      <c r="P1274" t="s">
        <v>5966</v>
      </c>
      <c r="Q1274" t="s">
        <v>5739</v>
      </c>
      <c r="S1274" t="s">
        <v>5972</v>
      </c>
      <c r="U1274" t="s">
        <v>45</v>
      </c>
      <c r="V1274" t="s">
        <v>46</v>
      </c>
      <c r="W1274" t="s">
        <v>5741</v>
      </c>
      <c r="X1274" t="s">
        <v>5739</v>
      </c>
      <c r="Y1274" t="s">
        <v>5743</v>
      </c>
      <c r="Z1274" t="s">
        <v>5744</v>
      </c>
      <c r="AA1274" t="s">
        <v>49</v>
      </c>
      <c r="AB1274" t="s">
        <v>50</v>
      </c>
      <c r="AC1274" s="2">
        <v>46909.17</v>
      </c>
      <c r="AD1274" t="s">
        <v>5973</v>
      </c>
      <c r="AE1274" t="s">
        <v>52</v>
      </c>
    </row>
    <row r="1275" spans="1:31" hidden="1" x14ac:dyDescent="0.25">
      <c r="I1275" t="s">
        <v>5974</v>
      </c>
      <c r="J1275" s="2">
        <v>218</v>
      </c>
      <c r="K1275" s="2">
        <v>1</v>
      </c>
      <c r="L1275" s="2">
        <v>1</v>
      </c>
      <c r="M1275" s="2">
        <v>0</v>
      </c>
      <c r="S1275" t="s">
        <v>5975</v>
      </c>
      <c r="U1275" t="s">
        <v>45</v>
      </c>
      <c r="V1275" t="s">
        <v>46</v>
      </c>
      <c r="W1275" t="s">
        <v>80</v>
      </c>
      <c r="X1275" t="s">
        <v>81</v>
      </c>
      <c r="Y1275" t="s">
        <v>85</v>
      </c>
      <c r="Z1275" t="s">
        <v>86</v>
      </c>
      <c r="AA1275" t="s">
        <v>49</v>
      </c>
      <c r="AC1275" s="2"/>
    </row>
    <row r="1276" spans="1:31" hidden="1" x14ac:dyDescent="0.25">
      <c r="A1276" t="s">
        <v>5976</v>
      </c>
      <c r="B1276" t="s">
        <v>5977</v>
      </c>
      <c r="C1276" t="s">
        <v>5977</v>
      </c>
      <c r="F1276" t="s">
        <v>4053</v>
      </c>
      <c r="J1276" s="2">
        <v>1000</v>
      </c>
      <c r="K1276" s="2">
        <v>0</v>
      </c>
      <c r="L1276" s="2">
        <v>1</v>
      </c>
      <c r="M1276" s="2">
        <v>0</v>
      </c>
      <c r="N1276" t="s">
        <v>4055</v>
      </c>
      <c r="O1276" t="s">
        <v>4056</v>
      </c>
      <c r="P1276" t="s">
        <v>205</v>
      </c>
      <c r="Q1276" t="s">
        <v>206</v>
      </c>
      <c r="U1276" t="s">
        <v>45</v>
      </c>
      <c r="V1276" t="s">
        <v>46</v>
      </c>
      <c r="W1276" t="s">
        <v>4055</v>
      </c>
      <c r="X1276" t="s">
        <v>4056</v>
      </c>
      <c r="Y1276" t="s">
        <v>161</v>
      </c>
      <c r="Z1276" t="s">
        <v>162</v>
      </c>
      <c r="AA1276" t="s">
        <v>49</v>
      </c>
      <c r="AB1276" t="s">
        <v>50</v>
      </c>
      <c r="AC1276" s="2">
        <v>1000</v>
      </c>
      <c r="AD1276" t="s">
        <v>64</v>
      </c>
    </row>
    <row r="1277" spans="1:31" x14ac:dyDescent="0.25">
      <c r="A1277" t="s">
        <v>5978</v>
      </c>
      <c r="B1277" t="s">
        <v>5979</v>
      </c>
      <c r="C1277" t="s">
        <v>5980</v>
      </c>
      <c r="D1277" t="s">
        <v>1454</v>
      </c>
      <c r="E1277" t="s">
        <v>224</v>
      </c>
      <c r="F1277" t="s">
        <v>4053</v>
      </c>
      <c r="G1277" t="s">
        <v>1941</v>
      </c>
      <c r="H1277" t="s">
        <v>5892</v>
      </c>
      <c r="I1277" t="s">
        <v>5981</v>
      </c>
      <c r="J1277" s="2">
        <v>436340</v>
      </c>
      <c r="K1277" s="2">
        <v>2000</v>
      </c>
      <c r="L1277" s="2">
        <v>30</v>
      </c>
      <c r="M1277" s="2">
        <v>0</v>
      </c>
      <c r="N1277" t="s">
        <v>722</v>
      </c>
      <c r="O1277" t="s">
        <v>721</v>
      </c>
      <c r="P1277" t="s">
        <v>205</v>
      </c>
      <c r="Q1277" t="s">
        <v>206</v>
      </c>
      <c r="S1277" t="s">
        <v>5982</v>
      </c>
      <c r="U1277" t="s">
        <v>45</v>
      </c>
      <c r="V1277" t="s">
        <v>46</v>
      </c>
      <c r="W1277" t="s">
        <v>722</v>
      </c>
      <c r="X1277" t="s">
        <v>721</v>
      </c>
      <c r="Y1277" t="s">
        <v>161</v>
      </c>
      <c r="Z1277" t="s">
        <v>162</v>
      </c>
      <c r="AA1277" t="s">
        <v>49</v>
      </c>
      <c r="AB1277" t="s">
        <v>50</v>
      </c>
      <c r="AC1277" s="2">
        <v>436340</v>
      </c>
      <c r="AD1277" t="s">
        <v>64</v>
      </c>
    </row>
    <row r="1278" spans="1:31" hidden="1" x14ac:dyDescent="0.25">
      <c r="I1278" t="s">
        <v>5983</v>
      </c>
      <c r="J1278" s="2">
        <v>327255</v>
      </c>
      <c r="K1278" s="2">
        <v>1500</v>
      </c>
      <c r="L1278" s="2">
        <v>7</v>
      </c>
      <c r="M1278" s="2">
        <v>0</v>
      </c>
      <c r="S1278" t="s">
        <v>5984</v>
      </c>
      <c r="U1278" t="s">
        <v>45</v>
      </c>
      <c r="V1278" t="s">
        <v>46</v>
      </c>
      <c r="W1278" t="s">
        <v>722</v>
      </c>
      <c r="X1278" t="s">
        <v>721</v>
      </c>
      <c r="Y1278" t="s">
        <v>161</v>
      </c>
      <c r="Z1278" t="s">
        <v>162</v>
      </c>
      <c r="AA1278" t="s">
        <v>49</v>
      </c>
      <c r="AC1278" s="2"/>
    </row>
    <row r="1279" spans="1:31" x14ac:dyDescent="0.25">
      <c r="A1279" t="s">
        <v>5985</v>
      </c>
      <c r="B1279" t="s">
        <v>5986</v>
      </c>
      <c r="C1279" t="s">
        <v>4248</v>
      </c>
      <c r="D1279" t="s">
        <v>125</v>
      </c>
      <c r="E1279" t="s">
        <v>126</v>
      </c>
      <c r="F1279" t="s">
        <v>4245</v>
      </c>
      <c r="G1279" t="s">
        <v>125</v>
      </c>
      <c r="H1279" t="s">
        <v>119</v>
      </c>
      <c r="J1279" s="2">
        <v>2094432</v>
      </c>
      <c r="K1279" s="2">
        <v>9600</v>
      </c>
      <c r="L1279" s="2">
        <v>30</v>
      </c>
      <c r="M1279" s="2">
        <v>0</v>
      </c>
      <c r="N1279" t="s">
        <v>118</v>
      </c>
      <c r="O1279" t="s">
        <v>119</v>
      </c>
      <c r="P1279" t="s">
        <v>120</v>
      </c>
      <c r="Q1279" t="s">
        <v>121</v>
      </c>
      <c r="S1279" t="s">
        <v>4250</v>
      </c>
      <c r="U1279" t="s">
        <v>45</v>
      </c>
      <c r="V1279" t="s">
        <v>46</v>
      </c>
      <c r="W1279" t="s">
        <v>118</v>
      </c>
      <c r="X1279" t="s">
        <v>119</v>
      </c>
      <c r="Y1279" t="s">
        <v>121</v>
      </c>
      <c r="Z1279" t="s">
        <v>94</v>
      </c>
      <c r="AA1279" t="s">
        <v>49</v>
      </c>
      <c r="AB1279" t="s">
        <v>50</v>
      </c>
      <c r="AC1279" s="2">
        <v>-224190.19</v>
      </c>
      <c r="AD1279" t="s">
        <v>5987</v>
      </c>
      <c r="AE1279" t="s">
        <v>52</v>
      </c>
    </row>
    <row r="1280" spans="1:31" hidden="1" x14ac:dyDescent="0.25">
      <c r="I1280" t="s">
        <v>5988</v>
      </c>
      <c r="J1280" s="2">
        <v>21817</v>
      </c>
      <c r="K1280" s="2">
        <v>100</v>
      </c>
      <c r="L1280" s="2">
        <v>1</v>
      </c>
      <c r="M1280" s="2">
        <v>0</v>
      </c>
      <c r="S1280" t="s">
        <v>5989</v>
      </c>
      <c r="U1280" t="s">
        <v>45</v>
      </c>
      <c r="V1280" t="s">
        <v>46</v>
      </c>
      <c r="W1280" t="s">
        <v>1221</v>
      </c>
      <c r="X1280" t="s">
        <v>1222</v>
      </c>
      <c r="Y1280" t="s">
        <v>161</v>
      </c>
      <c r="Z1280" t="s">
        <v>162</v>
      </c>
      <c r="AA1280" t="s">
        <v>49</v>
      </c>
      <c r="AC1280" s="2"/>
    </row>
    <row r="1281" spans="1:31" x14ac:dyDescent="0.25">
      <c r="A1281" t="s">
        <v>5990</v>
      </c>
      <c r="B1281" t="s">
        <v>5991</v>
      </c>
      <c r="C1281" t="s">
        <v>5944</v>
      </c>
      <c r="D1281" t="s">
        <v>125</v>
      </c>
      <c r="E1281" t="s">
        <v>126</v>
      </c>
      <c r="F1281" t="s">
        <v>1220</v>
      </c>
      <c r="G1281" t="s">
        <v>35</v>
      </c>
      <c r="H1281" t="s">
        <v>1607</v>
      </c>
      <c r="J1281" s="2">
        <v>486220</v>
      </c>
      <c r="K1281" s="2">
        <v>2000</v>
      </c>
      <c r="L1281" s="2">
        <v>21</v>
      </c>
      <c r="M1281" s="2">
        <v>0</v>
      </c>
      <c r="N1281" t="s">
        <v>1221</v>
      </c>
      <c r="O1281" t="s">
        <v>1222</v>
      </c>
      <c r="P1281" t="s">
        <v>205</v>
      </c>
      <c r="Q1281" t="s">
        <v>206</v>
      </c>
      <c r="S1281" t="s">
        <v>5946</v>
      </c>
      <c r="U1281" t="s">
        <v>45</v>
      </c>
      <c r="V1281" t="s">
        <v>46</v>
      </c>
      <c r="W1281" t="s">
        <v>1221</v>
      </c>
      <c r="X1281" t="s">
        <v>1222</v>
      </c>
      <c r="Y1281" t="s">
        <v>161</v>
      </c>
      <c r="Z1281" t="s">
        <v>162</v>
      </c>
      <c r="AA1281" t="s">
        <v>49</v>
      </c>
      <c r="AB1281" t="s">
        <v>50</v>
      </c>
      <c r="AC1281" s="2">
        <v>-151234.44</v>
      </c>
      <c r="AD1281" t="s">
        <v>5992</v>
      </c>
      <c r="AE1281" t="s">
        <v>52</v>
      </c>
    </row>
    <row r="1282" spans="1:31" hidden="1" x14ac:dyDescent="0.25">
      <c r="I1282" t="s">
        <v>3157</v>
      </c>
      <c r="J1282" s="2">
        <v>1000</v>
      </c>
      <c r="K1282" s="2">
        <v>0</v>
      </c>
      <c r="L1282" s="2">
        <v>7</v>
      </c>
      <c r="M1282" s="2">
        <v>0</v>
      </c>
      <c r="S1282" t="s">
        <v>3158</v>
      </c>
      <c r="U1282" t="s">
        <v>45</v>
      </c>
      <c r="V1282" t="s">
        <v>46</v>
      </c>
      <c r="W1282" t="s">
        <v>302</v>
      </c>
      <c r="X1282" t="s">
        <v>303</v>
      </c>
      <c r="Y1282" t="s">
        <v>72</v>
      </c>
      <c r="Z1282" t="s">
        <v>68</v>
      </c>
      <c r="AA1282" t="s">
        <v>49</v>
      </c>
      <c r="AC1282" s="2"/>
    </row>
    <row r="1283" spans="1:31" hidden="1" x14ac:dyDescent="0.25">
      <c r="I1283" t="s">
        <v>5993</v>
      </c>
      <c r="J1283" s="2">
        <v>21817</v>
      </c>
      <c r="K1283" s="2">
        <v>100</v>
      </c>
      <c r="L1283" s="2">
        <v>15</v>
      </c>
      <c r="M1283" s="2">
        <v>0</v>
      </c>
      <c r="S1283" t="s">
        <v>5994</v>
      </c>
      <c r="U1283" t="s">
        <v>45</v>
      </c>
      <c r="V1283" t="s">
        <v>46</v>
      </c>
      <c r="W1283" t="s">
        <v>5255</v>
      </c>
      <c r="X1283" t="s">
        <v>5253</v>
      </c>
      <c r="Y1283" t="s">
        <v>161</v>
      </c>
      <c r="Z1283" t="s">
        <v>162</v>
      </c>
      <c r="AA1283" t="s">
        <v>49</v>
      </c>
      <c r="AC1283" s="2"/>
    </row>
    <row r="1284" spans="1:31" hidden="1" x14ac:dyDescent="0.25">
      <c r="A1284" t="s">
        <v>5995</v>
      </c>
      <c r="B1284" t="s">
        <v>5996</v>
      </c>
      <c r="C1284" t="s">
        <v>5996</v>
      </c>
      <c r="D1284" t="s">
        <v>55</v>
      </c>
      <c r="E1284" t="s">
        <v>56</v>
      </c>
      <c r="F1284" t="s">
        <v>5997</v>
      </c>
      <c r="J1284" s="2">
        <v>1000</v>
      </c>
      <c r="K1284" s="2">
        <v>0</v>
      </c>
      <c r="L1284" s="2">
        <v>1</v>
      </c>
      <c r="M1284" s="2">
        <v>0</v>
      </c>
      <c r="N1284" t="s">
        <v>5929</v>
      </c>
      <c r="O1284" t="s">
        <v>5930</v>
      </c>
      <c r="P1284" t="s">
        <v>82</v>
      </c>
      <c r="Q1284" t="s">
        <v>83</v>
      </c>
      <c r="U1284" t="s">
        <v>45</v>
      </c>
      <c r="V1284" t="s">
        <v>46</v>
      </c>
      <c r="W1284" t="s">
        <v>5929</v>
      </c>
      <c r="X1284" t="s">
        <v>5930</v>
      </c>
      <c r="Y1284" t="s">
        <v>85</v>
      </c>
      <c r="Z1284" t="s">
        <v>86</v>
      </c>
      <c r="AA1284" t="s">
        <v>49</v>
      </c>
      <c r="AB1284" t="s">
        <v>50</v>
      </c>
      <c r="AC1284" s="2">
        <v>1000</v>
      </c>
      <c r="AD1284" t="s">
        <v>64</v>
      </c>
    </row>
    <row r="1285" spans="1:31" x14ac:dyDescent="0.25">
      <c r="A1285" t="s">
        <v>5998</v>
      </c>
      <c r="B1285" t="s">
        <v>5999</v>
      </c>
      <c r="C1285" t="s">
        <v>5999</v>
      </c>
      <c r="D1285" t="s">
        <v>1854</v>
      </c>
      <c r="E1285" t="s">
        <v>224</v>
      </c>
      <c r="F1285" t="s">
        <v>5997</v>
      </c>
      <c r="H1285" t="s">
        <v>5927</v>
      </c>
      <c r="I1285" t="s">
        <v>6000</v>
      </c>
      <c r="J1285" s="2">
        <v>218</v>
      </c>
      <c r="K1285" s="2">
        <v>1</v>
      </c>
      <c r="L1285" s="2">
        <v>1</v>
      </c>
      <c r="M1285" s="2">
        <v>0</v>
      </c>
      <c r="N1285" t="s">
        <v>5929</v>
      </c>
      <c r="O1285" t="s">
        <v>5930</v>
      </c>
      <c r="P1285" t="s">
        <v>82</v>
      </c>
      <c r="Q1285" t="s">
        <v>83</v>
      </c>
      <c r="S1285" t="s">
        <v>6001</v>
      </c>
      <c r="U1285" t="s">
        <v>45</v>
      </c>
      <c r="V1285" t="s">
        <v>46</v>
      </c>
      <c r="W1285" t="s">
        <v>5929</v>
      </c>
      <c r="X1285" t="s">
        <v>5930</v>
      </c>
      <c r="Y1285" t="s">
        <v>85</v>
      </c>
      <c r="Z1285" t="s">
        <v>86</v>
      </c>
      <c r="AA1285" t="s">
        <v>49</v>
      </c>
      <c r="AB1285" t="s">
        <v>50</v>
      </c>
      <c r="AC1285" s="2">
        <v>218</v>
      </c>
      <c r="AD1285" t="s">
        <v>64</v>
      </c>
    </row>
    <row r="1286" spans="1:31" x14ac:dyDescent="0.25">
      <c r="A1286" t="s">
        <v>6002</v>
      </c>
      <c r="B1286" t="s">
        <v>6003</v>
      </c>
      <c r="C1286" t="s">
        <v>5999</v>
      </c>
      <c r="D1286" t="s">
        <v>870</v>
      </c>
      <c r="E1286" t="s">
        <v>871</v>
      </c>
      <c r="F1286" t="s">
        <v>5997</v>
      </c>
      <c r="H1286" t="s">
        <v>5927</v>
      </c>
      <c r="I1286" t="s">
        <v>6004</v>
      </c>
      <c r="J1286" s="2">
        <v>218</v>
      </c>
      <c r="K1286" s="2">
        <v>1</v>
      </c>
      <c r="L1286" s="2">
        <v>1</v>
      </c>
      <c r="M1286" s="2">
        <v>0</v>
      </c>
      <c r="N1286" t="s">
        <v>5929</v>
      </c>
      <c r="O1286" t="s">
        <v>5930</v>
      </c>
      <c r="P1286" t="s">
        <v>82</v>
      </c>
      <c r="Q1286" t="s">
        <v>83</v>
      </c>
      <c r="S1286" t="s">
        <v>6001</v>
      </c>
      <c r="U1286" t="s">
        <v>45</v>
      </c>
      <c r="V1286" t="s">
        <v>46</v>
      </c>
      <c r="W1286" t="s">
        <v>5929</v>
      </c>
      <c r="X1286" t="s">
        <v>5930</v>
      </c>
      <c r="Y1286" t="s">
        <v>85</v>
      </c>
      <c r="Z1286" t="s">
        <v>86</v>
      </c>
      <c r="AA1286" t="s">
        <v>49</v>
      </c>
      <c r="AB1286" t="s">
        <v>50</v>
      </c>
      <c r="AC1286" s="2">
        <v>218</v>
      </c>
      <c r="AD1286" t="s">
        <v>64</v>
      </c>
    </row>
    <row r="1287" spans="1:31" hidden="1" x14ac:dyDescent="0.25">
      <c r="A1287" s="10" t="s">
        <v>6005</v>
      </c>
      <c r="B1287" s="10" t="s">
        <v>6006</v>
      </c>
      <c r="C1287" t="s">
        <v>6006</v>
      </c>
      <c r="D1287" t="s">
        <v>55</v>
      </c>
      <c r="E1287" t="s">
        <v>56</v>
      </c>
      <c r="F1287" t="s">
        <v>5962</v>
      </c>
      <c r="J1287" s="2">
        <v>1000</v>
      </c>
      <c r="K1287" s="2">
        <v>0</v>
      </c>
      <c r="L1287" s="2">
        <v>14</v>
      </c>
      <c r="M1287" s="2">
        <v>0</v>
      </c>
      <c r="N1287" t="s">
        <v>700</v>
      </c>
      <c r="O1287" t="s">
        <v>699</v>
      </c>
      <c r="P1287" t="s">
        <v>941</v>
      </c>
      <c r="Q1287" t="s">
        <v>139</v>
      </c>
      <c r="U1287" t="s">
        <v>45</v>
      </c>
      <c r="V1287" t="s">
        <v>46</v>
      </c>
      <c r="W1287" t="s">
        <v>700</v>
      </c>
      <c r="X1287" t="s">
        <v>699</v>
      </c>
      <c r="Y1287" t="s">
        <v>72</v>
      </c>
      <c r="Z1287" t="s">
        <v>68</v>
      </c>
      <c r="AA1287" t="s">
        <v>49</v>
      </c>
      <c r="AB1287" t="s">
        <v>142</v>
      </c>
      <c r="AC1287" s="2">
        <v>1000</v>
      </c>
      <c r="AD1287" t="s">
        <v>64</v>
      </c>
    </row>
    <row r="1288" spans="1:31" hidden="1" x14ac:dyDescent="0.25">
      <c r="A1288" s="10" t="s">
        <v>6007</v>
      </c>
      <c r="B1288" s="10" t="s">
        <v>6008</v>
      </c>
      <c r="C1288" t="s">
        <v>5961</v>
      </c>
      <c r="D1288" t="s">
        <v>55</v>
      </c>
      <c r="E1288" t="s">
        <v>56</v>
      </c>
      <c r="F1288" t="s">
        <v>5962</v>
      </c>
      <c r="H1288" t="s">
        <v>2508</v>
      </c>
      <c r="I1288" t="s">
        <v>6009</v>
      </c>
      <c r="J1288" s="2">
        <v>7372</v>
      </c>
      <c r="K1288" s="2">
        <v>0</v>
      </c>
      <c r="L1288" s="2">
        <v>21</v>
      </c>
      <c r="M1288" s="2">
        <v>0</v>
      </c>
      <c r="N1288" t="s">
        <v>700</v>
      </c>
      <c r="O1288" t="s">
        <v>699</v>
      </c>
      <c r="P1288" t="s">
        <v>69</v>
      </c>
      <c r="Q1288" t="s">
        <v>70</v>
      </c>
      <c r="S1288" t="s">
        <v>5964</v>
      </c>
      <c r="U1288" t="s">
        <v>45</v>
      </c>
      <c r="V1288" t="s">
        <v>46</v>
      </c>
      <c r="W1288" t="s">
        <v>700</v>
      </c>
      <c r="X1288" t="s">
        <v>699</v>
      </c>
      <c r="Y1288" t="s">
        <v>72</v>
      </c>
      <c r="Z1288" t="s">
        <v>68</v>
      </c>
      <c r="AA1288" t="s">
        <v>49</v>
      </c>
      <c r="AB1288" t="s">
        <v>142</v>
      </c>
      <c r="AC1288" s="2">
        <v>-87209.18</v>
      </c>
      <c r="AD1288" t="s">
        <v>6010</v>
      </c>
      <c r="AE1288" t="s">
        <v>115</v>
      </c>
    </row>
    <row r="1289" spans="1:31" hidden="1" x14ac:dyDescent="0.25">
      <c r="I1289" t="s">
        <v>6011</v>
      </c>
      <c r="J1289" s="2">
        <v>218</v>
      </c>
      <c r="K1289" s="2">
        <v>1</v>
      </c>
      <c r="L1289" s="2">
        <v>1</v>
      </c>
      <c r="M1289" s="2">
        <v>0</v>
      </c>
      <c r="S1289" t="s">
        <v>6001</v>
      </c>
      <c r="U1289" t="s">
        <v>45</v>
      </c>
      <c r="V1289" t="s">
        <v>46</v>
      </c>
      <c r="W1289" t="s">
        <v>1427</v>
      </c>
      <c r="X1289" t="s">
        <v>1430</v>
      </c>
      <c r="Y1289" t="s">
        <v>85</v>
      </c>
      <c r="Z1289" t="s">
        <v>86</v>
      </c>
      <c r="AA1289" t="s">
        <v>49</v>
      </c>
      <c r="AC1289" s="2"/>
    </row>
    <row r="1290" spans="1:31" x14ac:dyDescent="0.25">
      <c r="A1290" t="s">
        <v>6012</v>
      </c>
      <c r="B1290" t="s">
        <v>6013</v>
      </c>
      <c r="C1290" t="s">
        <v>6013</v>
      </c>
      <c r="D1290" t="s">
        <v>847</v>
      </c>
      <c r="E1290" t="s">
        <v>848</v>
      </c>
      <c r="F1290" t="s">
        <v>6014</v>
      </c>
      <c r="G1290" t="s">
        <v>3472</v>
      </c>
      <c r="H1290" t="s">
        <v>1222</v>
      </c>
      <c r="I1290" t="s">
        <v>6015</v>
      </c>
      <c r="J1290" s="2">
        <v>130902</v>
      </c>
      <c r="K1290" s="2">
        <v>600</v>
      </c>
      <c r="L1290" s="2">
        <v>15</v>
      </c>
      <c r="M1290" s="2">
        <v>0</v>
      </c>
      <c r="N1290" t="s">
        <v>1221</v>
      </c>
      <c r="O1290" t="s">
        <v>1222</v>
      </c>
      <c r="P1290" t="s">
        <v>205</v>
      </c>
      <c r="Q1290" t="s">
        <v>206</v>
      </c>
      <c r="S1290" t="s">
        <v>6016</v>
      </c>
      <c r="U1290" t="s">
        <v>45</v>
      </c>
      <c r="V1290" t="s">
        <v>46</v>
      </c>
      <c r="W1290" t="s">
        <v>1221</v>
      </c>
      <c r="X1290" t="s">
        <v>1222</v>
      </c>
      <c r="Y1290" t="s">
        <v>161</v>
      </c>
      <c r="Z1290" t="s">
        <v>162</v>
      </c>
      <c r="AA1290" t="s">
        <v>49</v>
      </c>
      <c r="AB1290" t="s">
        <v>50</v>
      </c>
      <c r="AC1290" s="2">
        <v>51865.22</v>
      </c>
      <c r="AD1290" t="s">
        <v>6017</v>
      </c>
      <c r="AE1290" t="s">
        <v>115</v>
      </c>
    </row>
    <row r="1291" spans="1:31" x14ac:dyDescent="0.25">
      <c r="A1291" t="s">
        <v>6018</v>
      </c>
      <c r="B1291" t="s">
        <v>6019</v>
      </c>
      <c r="C1291" t="s">
        <v>6019</v>
      </c>
      <c r="D1291" t="s">
        <v>35</v>
      </c>
      <c r="E1291" t="s">
        <v>36</v>
      </c>
      <c r="F1291" t="s">
        <v>6020</v>
      </c>
      <c r="G1291" t="s">
        <v>35</v>
      </c>
      <c r="H1291" t="s">
        <v>1430</v>
      </c>
      <c r="I1291" t="s">
        <v>6021</v>
      </c>
      <c r="J1291" s="2">
        <v>372880</v>
      </c>
      <c r="K1291" s="2">
        <v>1600</v>
      </c>
      <c r="L1291" s="2">
        <v>15</v>
      </c>
      <c r="M1291" s="2">
        <v>0</v>
      </c>
      <c r="N1291" t="s">
        <v>1427</v>
      </c>
      <c r="O1291" t="s">
        <v>1428</v>
      </c>
      <c r="P1291" t="s">
        <v>82</v>
      </c>
      <c r="Q1291" t="s">
        <v>83</v>
      </c>
      <c r="S1291" t="s">
        <v>6022</v>
      </c>
      <c r="U1291" t="s">
        <v>45</v>
      </c>
      <c r="V1291" t="s">
        <v>46</v>
      </c>
      <c r="W1291" t="s">
        <v>1427</v>
      </c>
      <c r="X1291" t="s">
        <v>1430</v>
      </c>
      <c r="Y1291" t="s">
        <v>85</v>
      </c>
      <c r="Z1291" t="s">
        <v>86</v>
      </c>
      <c r="AA1291" t="s">
        <v>49</v>
      </c>
      <c r="AB1291" t="s">
        <v>50</v>
      </c>
      <c r="AC1291" s="2">
        <v>372154.77</v>
      </c>
      <c r="AD1291" t="s">
        <v>6023</v>
      </c>
      <c r="AE1291" t="s">
        <v>52</v>
      </c>
    </row>
    <row r="1292" spans="1:31" x14ac:dyDescent="0.25">
      <c r="A1292" t="s">
        <v>6024</v>
      </c>
      <c r="B1292" t="s">
        <v>6025</v>
      </c>
      <c r="C1292" t="s">
        <v>6025</v>
      </c>
      <c r="D1292" t="s">
        <v>297</v>
      </c>
      <c r="E1292" t="s">
        <v>167</v>
      </c>
      <c r="F1292" t="s">
        <v>6026</v>
      </c>
      <c r="G1292" t="s">
        <v>299</v>
      </c>
      <c r="H1292" t="s">
        <v>6027</v>
      </c>
      <c r="I1292" t="s">
        <v>6028</v>
      </c>
      <c r="J1292" s="2">
        <v>392706</v>
      </c>
      <c r="K1292" s="2">
        <v>1800</v>
      </c>
      <c r="L1292" s="2">
        <v>15</v>
      </c>
      <c r="M1292" s="2">
        <v>0</v>
      </c>
      <c r="N1292" t="s">
        <v>6029</v>
      </c>
      <c r="O1292" t="s">
        <v>6030</v>
      </c>
      <c r="P1292" t="s">
        <v>82</v>
      </c>
      <c r="Q1292" t="s">
        <v>83</v>
      </c>
      <c r="S1292" t="s">
        <v>6031</v>
      </c>
      <c r="U1292" t="s">
        <v>45</v>
      </c>
      <c r="V1292" t="s">
        <v>46</v>
      </c>
      <c r="W1292" t="s">
        <v>6029</v>
      </c>
      <c r="X1292" t="s">
        <v>6030</v>
      </c>
      <c r="Y1292" t="s">
        <v>85</v>
      </c>
      <c r="Z1292" t="s">
        <v>86</v>
      </c>
      <c r="AA1292" t="s">
        <v>49</v>
      </c>
      <c r="AB1292" t="s">
        <v>50</v>
      </c>
      <c r="AC1292" s="2">
        <v>242837.17</v>
      </c>
      <c r="AD1292" t="s">
        <v>6032</v>
      </c>
      <c r="AE1292" t="s">
        <v>52</v>
      </c>
    </row>
    <row r="1293" spans="1:31" x14ac:dyDescent="0.25">
      <c r="A1293" t="s">
        <v>6033</v>
      </c>
      <c r="B1293" t="s">
        <v>6034</v>
      </c>
      <c r="C1293" t="s">
        <v>6034</v>
      </c>
      <c r="D1293" t="s">
        <v>125</v>
      </c>
      <c r="E1293" t="s">
        <v>126</v>
      </c>
      <c r="F1293" t="s">
        <v>6035</v>
      </c>
      <c r="G1293" t="s">
        <v>153</v>
      </c>
      <c r="H1293" t="s">
        <v>277</v>
      </c>
      <c r="I1293" t="s">
        <v>6036</v>
      </c>
      <c r="J1293" s="2">
        <v>458157</v>
      </c>
      <c r="K1293" s="2">
        <v>2100</v>
      </c>
      <c r="L1293" s="2">
        <v>30</v>
      </c>
      <c r="M1293" s="2">
        <v>0</v>
      </c>
      <c r="N1293" t="s">
        <v>276</v>
      </c>
      <c r="O1293" t="s">
        <v>277</v>
      </c>
      <c r="P1293" t="s">
        <v>103</v>
      </c>
      <c r="Q1293" t="s">
        <v>104</v>
      </c>
      <c r="S1293" t="s">
        <v>6037</v>
      </c>
      <c r="U1293" t="s">
        <v>45</v>
      </c>
      <c r="V1293" t="s">
        <v>46</v>
      </c>
      <c r="W1293" t="s">
        <v>276</v>
      </c>
      <c r="X1293" t="s">
        <v>277</v>
      </c>
      <c r="Y1293" t="s">
        <v>279</v>
      </c>
      <c r="Z1293" t="s">
        <v>280</v>
      </c>
      <c r="AA1293" t="s">
        <v>49</v>
      </c>
      <c r="AB1293" t="s">
        <v>50</v>
      </c>
      <c r="AC1293" s="2">
        <v>333004.77</v>
      </c>
      <c r="AD1293" t="s">
        <v>6038</v>
      </c>
      <c r="AE1293" t="s">
        <v>52</v>
      </c>
    </row>
    <row r="1294" spans="1:31" x14ac:dyDescent="0.25">
      <c r="A1294" t="s">
        <v>6039</v>
      </c>
      <c r="B1294" t="s">
        <v>6040</v>
      </c>
      <c r="C1294" t="s">
        <v>6040</v>
      </c>
      <c r="D1294" t="s">
        <v>847</v>
      </c>
      <c r="E1294" t="s">
        <v>848</v>
      </c>
      <c r="F1294" t="s">
        <v>6041</v>
      </c>
      <c r="H1294" t="s">
        <v>5739</v>
      </c>
      <c r="J1294" s="2">
        <v>1008</v>
      </c>
      <c r="K1294" s="2">
        <v>4.62</v>
      </c>
      <c r="L1294" s="2">
        <v>1</v>
      </c>
      <c r="M1294" s="2">
        <v>0</v>
      </c>
      <c r="N1294" t="s">
        <v>6042</v>
      </c>
      <c r="O1294" t="s">
        <v>6043</v>
      </c>
      <c r="P1294" t="s">
        <v>5966</v>
      </c>
      <c r="Q1294" t="s">
        <v>5739</v>
      </c>
      <c r="S1294" t="s">
        <v>6044</v>
      </c>
      <c r="U1294" t="s">
        <v>45</v>
      </c>
      <c r="V1294" t="s">
        <v>46</v>
      </c>
      <c r="W1294" t="s">
        <v>6042</v>
      </c>
      <c r="X1294" t="s">
        <v>6045</v>
      </c>
      <c r="Y1294" t="s">
        <v>5743</v>
      </c>
      <c r="Z1294" t="s">
        <v>5744</v>
      </c>
      <c r="AA1294" t="s">
        <v>49</v>
      </c>
      <c r="AB1294" t="s">
        <v>50</v>
      </c>
      <c r="AC1294" s="2">
        <v>-602.09</v>
      </c>
      <c r="AD1294" t="s">
        <v>6046</v>
      </c>
      <c r="AE1294" t="s">
        <v>115</v>
      </c>
    </row>
    <row r="1295" spans="1:31" x14ac:dyDescent="0.25">
      <c r="A1295" t="s">
        <v>6047</v>
      </c>
      <c r="B1295" t="s">
        <v>6048</v>
      </c>
      <c r="C1295" t="s">
        <v>6048</v>
      </c>
      <c r="D1295" t="s">
        <v>35</v>
      </c>
      <c r="E1295" t="s">
        <v>36</v>
      </c>
      <c r="F1295" t="s">
        <v>6049</v>
      </c>
      <c r="G1295" t="s">
        <v>569</v>
      </c>
      <c r="H1295" t="s">
        <v>614</v>
      </c>
      <c r="I1295" t="s">
        <v>6050</v>
      </c>
      <c r="J1295" s="2">
        <v>756103</v>
      </c>
      <c r="K1295" s="2">
        <v>3465.66</v>
      </c>
      <c r="L1295" s="2">
        <v>3</v>
      </c>
      <c r="M1295" s="2">
        <v>0</v>
      </c>
      <c r="N1295" t="s">
        <v>613</v>
      </c>
      <c r="O1295" t="s">
        <v>614</v>
      </c>
      <c r="P1295" t="s">
        <v>91</v>
      </c>
      <c r="Q1295" t="s">
        <v>92</v>
      </c>
      <c r="S1295" t="s">
        <v>6051</v>
      </c>
      <c r="U1295" t="s">
        <v>45</v>
      </c>
      <c r="V1295" t="s">
        <v>46</v>
      </c>
      <c r="W1295" t="s">
        <v>613</v>
      </c>
      <c r="X1295" t="s">
        <v>614</v>
      </c>
      <c r="Y1295" t="s">
        <v>92</v>
      </c>
      <c r="Z1295" t="s">
        <v>94</v>
      </c>
      <c r="AA1295" t="s">
        <v>49</v>
      </c>
      <c r="AB1295" t="s">
        <v>50</v>
      </c>
      <c r="AC1295" s="2">
        <v>755015.24</v>
      </c>
      <c r="AD1295" t="s">
        <v>6052</v>
      </c>
      <c r="AE1295" t="s">
        <v>52</v>
      </c>
    </row>
    <row r="1296" spans="1:31" hidden="1" x14ac:dyDescent="0.25">
      <c r="I1296" t="s">
        <v>6053</v>
      </c>
      <c r="J1296" s="2">
        <v>65451</v>
      </c>
      <c r="K1296" s="2">
        <v>300</v>
      </c>
      <c r="L1296" s="2">
        <v>1</v>
      </c>
      <c r="M1296" s="2">
        <v>0</v>
      </c>
      <c r="S1296" t="s">
        <v>6054</v>
      </c>
      <c r="U1296" t="s">
        <v>45</v>
      </c>
      <c r="V1296" t="s">
        <v>46</v>
      </c>
      <c r="W1296" t="s">
        <v>664</v>
      </c>
      <c r="X1296" t="s">
        <v>665</v>
      </c>
      <c r="Y1296" t="s">
        <v>106</v>
      </c>
      <c r="Z1296" t="s">
        <v>107</v>
      </c>
      <c r="AA1296" t="s">
        <v>49</v>
      </c>
      <c r="AC1296" s="2"/>
    </row>
    <row r="1297" spans="1:31" hidden="1" x14ac:dyDescent="0.25">
      <c r="I1297" t="s">
        <v>6056</v>
      </c>
      <c r="J1297" s="2">
        <v>1008</v>
      </c>
      <c r="K1297" s="2">
        <v>4.62</v>
      </c>
      <c r="L1297" s="2">
        <v>1</v>
      </c>
      <c r="M1297" s="2">
        <v>0</v>
      </c>
      <c r="S1297" t="s">
        <v>6059</v>
      </c>
      <c r="U1297" t="s">
        <v>45</v>
      </c>
      <c r="V1297" t="s">
        <v>46</v>
      </c>
      <c r="W1297" t="s">
        <v>6057</v>
      </c>
      <c r="X1297" t="s">
        <v>6058</v>
      </c>
      <c r="Y1297" t="s">
        <v>5743</v>
      </c>
      <c r="Z1297" t="s">
        <v>5744</v>
      </c>
      <c r="AA1297" t="s">
        <v>49</v>
      </c>
      <c r="AC1297" s="2"/>
    </row>
    <row r="1298" spans="1:31" x14ac:dyDescent="0.25">
      <c r="A1298" t="s">
        <v>6060</v>
      </c>
      <c r="B1298" t="s">
        <v>6061</v>
      </c>
      <c r="C1298" t="s">
        <v>6061</v>
      </c>
      <c r="D1298" t="s">
        <v>1454</v>
      </c>
      <c r="E1298" t="s">
        <v>224</v>
      </c>
      <c r="F1298" t="s">
        <v>6062</v>
      </c>
      <c r="G1298" t="s">
        <v>1454</v>
      </c>
      <c r="H1298" t="s">
        <v>820</v>
      </c>
      <c r="I1298" t="s">
        <v>6063</v>
      </c>
      <c r="J1298" s="2">
        <v>69814</v>
      </c>
      <c r="K1298" s="2">
        <v>320</v>
      </c>
      <c r="L1298" s="2">
        <v>2</v>
      </c>
      <c r="M1298" s="2">
        <v>0</v>
      </c>
      <c r="N1298" t="s">
        <v>822</v>
      </c>
      <c r="O1298" t="s">
        <v>820</v>
      </c>
      <c r="P1298" t="s">
        <v>91</v>
      </c>
      <c r="Q1298" t="s">
        <v>92</v>
      </c>
      <c r="S1298" t="s">
        <v>6064</v>
      </c>
      <c r="U1298" t="s">
        <v>45</v>
      </c>
      <c r="V1298" t="s">
        <v>46</v>
      </c>
      <c r="W1298" t="s">
        <v>822</v>
      </c>
      <c r="X1298" t="s">
        <v>820</v>
      </c>
      <c r="Y1298" t="s">
        <v>92</v>
      </c>
      <c r="Z1298" t="s">
        <v>94</v>
      </c>
      <c r="AA1298" t="s">
        <v>49</v>
      </c>
      <c r="AB1298" t="s">
        <v>50</v>
      </c>
      <c r="AC1298" s="2">
        <v>69814</v>
      </c>
      <c r="AD1298" t="s">
        <v>64</v>
      </c>
    </row>
    <row r="1299" spans="1:31" hidden="1" x14ac:dyDescent="0.25">
      <c r="I1299" t="s">
        <v>6065</v>
      </c>
      <c r="J1299" s="2">
        <v>1008</v>
      </c>
      <c r="K1299" s="2">
        <v>4.62</v>
      </c>
      <c r="L1299" s="2">
        <v>1</v>
      </c>
      <c r="M1299" s="2">
        <v>0</v>
      </c>
      <c r="S1299" t="s">
        <v>6066</v>
      </c>
      <c r="U1299" t="s">
        <v>45</v>
      </c>
      <c r="V1299" t="s">
        <v>46</v>
      </c>
      <c r="W1299" t="s">
        <v>5741</v>
      </c>
      <c r="X1299" t="s">
        <v>5739</v>
      </c>
      <c r="Y1299" t="s">
        <v>5743</v>
      </c>
      <c r="Z1299" t="s">
        <v>5744</v>
      </c>
      <c r="AA1299" t="s">
        <v>49</v>
      </c>
      <c r="AC1299" s="2"/>
    </row>
    <row r="1300" spans="1:31" x14ac:dyDescent="0.25">
      <c r="A1300" t="s">
        <v>6067</v>
      </c>
      <c r="B1300" t="s">
        <v>6068</v>
      </c>
      <c r="C1300" t="s">
        <v>6068</v>
      </c>
      <c r="D1300" t="s">
        <v>35</v>
      </c>
      <c r="E1300" t="s">
        <v>36</v>
      </c>
      <c r="F1300" t="s">
        <v>6069</v>
      </c>
      <c r="G1300" t="s">
        <v>35</v>
      </c>
      <c r="H1300" t="s">
        <v>6070</v>
      </c>
      <c r="I1300" t="s">
        <v>6071</v>
      </c>
      <c r="J1300" s="2">
        <v>148380</v>
      </c>
      <c r="K1300" s="2">
        <v>600</v>
      </c>
      <c r="L1300" s="2">
        <v>15</v>
      </c>
      <c r="M1300" s="2">
        <v>0</v>
      </c>
      <c r="N1300" t="s">
        <v>6072</v>
      </c>
      <c r="O1300" t="s">
        <v>6073</v>
      </c>
      <c r="P1300" t="s">
        <v>82</v>
      </c>
      <c r="Q1300" t="s">
        <v>83</v>
      </c>
      <c r="S1300" t="s">
        <v>6074</v>
      </c>
      <c r="U1300" t="s">
        <v>45</v>
      </c>
      <c r="V1300" t="s">
        <v>46</v>
      </c>
      <c r="W1300" t="s">
        <v>6072</v>
      </c>
      <c r="X1300" t="s">
        <v>6073</v>
      </c>
      <c r="Y1300" t="s">
        <v>85</v>
      </c>
      <c r="Z1300" t="s">
        <v>86</v>
      </c>
      <c r="AA1300" t="s">
        <v>49</v>
      </c>
      <c r="AB1300" t="s">
        <v>50</v>
      </c>
      <c r="AC1300" s="2">
        <v>21483.22</v>
      </c>
      <c r="AD1300" t="s">
        <v>6075</v>
      </c>
      <c r="AE1300" t="s">
        <v>115</v>
      </c>
    </row>
    <row r="1301" spans="1:31" x14ac:dyDescent="0.25">
      <c r="A1301" t="s">
        <v>6076</v>
      </c>
      <c r="B1301" t="s">
        <v>6077</v>
      </c>
      <c r="C1301" t="s">
        <v>6077</v>
      </c>
      <c r="D1301" t="s">
        <v>35</v>
      </c>
      <c r="E1301" t="s">
        <v>36</v>
      </c>
      <c r="F1301" t="s">
        <v>6078</v>
      </c>
      <c r="G1301" t="s">
        <v>649</v>
      </c>
      <c r="H1301" t="s">
        <v>6079</v>
      </c>
      <c r="I1301" t="s">
        <v>6080</v>
      </c>
      <c r="J1301" s="2">
        <v>218170</v>
      </c>
      <c r="K1301" s="2">
        <v>983.9</v>
      </c>
      <c r="L1301" s="2">
        <v>15</v>
      </c>
      <c r="M1301" s="2">
        <v>0</v>
      </c>
      <c r="N1301" t="s">
        <v>6081</v>
      </c>
      <c r="O1301" t="s">
        <v>6082</v>
      </c>
      <c r="P1301" t="s">
        <v>5966</v>
      </c>
      <c r="Q1301" t="s">
        <v>5739</v>
      </c>
      <c r="S1301" t="s">
        <v>6083</v>
      </c>
      <c r="U1301" t="s">
        <v>45</v>
      </c>
      <c r="V1301" t="s">
        <v>46</v>
      </c>
      <c r="W1301" t="s">
        <v>6081</v>
      </c>
      <c r="X1301" t="s">
        <v>6082</v>
      </c>
      <c r="Y1301" t="s">
        <v>5743</v>
      </c>
      <c r="Z1301" t="s">
        <v>5744</v>
      </c>
      <c r="AA1301" t="s">
        <v>49</v>
      </c>
      <c r="AB1301" t="s">
        <v>50</v>
      </c>
      <c r="AC1301" s="2">
        <v>218170</v>
      </c>
      <c r="AD1301" t="s">
        <v>64</v>
      </c>
    </row>
    <row r="1302" spans="1:31" x14ac:dyDescent="0.25">
      <c r="A1302" t="s">
        <v>6084</v>
      </c>
      <c r="B1302" t="s">
        <v>6085</v>
      </c>
      <c r="C1302" t="s">
        <v>6085</v>
      </c>
      <c r="D1302" t="s">
        <v>1939</v>
      </c>
      <c r="E1302" t="s">
        <v>224</v>
      </c>
      <c r="F1302" t="s">
        <v>6086</v>
      </c>
      <c r="G1302" t="s">
        <v>819</v>
      </c>
      <c r="H1302" t="s">
        <v>41</v>
      </c>
      <c r="I1302" t="s">
        <v>6087</v>
      </c>
      <c r="J1302" s="2">
        <v>545425</v>
      </c>
      <c r="K1302" s="2">
        <v>2500</v>
      </c>
      <c r="L1302" s="2">
        <v>15</v>
      </c>
      <c r="M1302" s="2">
        <v>0</v>
      </c>
      <c r="N1302" t="s">
        <v>40</v>
      </c>
      <c r="O1302" t="s">
        <v>41</v>
      </c>
      <c r="P1302" t="s">
        <v>61</v>
      </c>
      <c r="Q1302" t="s">
        <v>62</v>
      </c>
      <c r="S1302" t="s">
        <v>6088</v>
      </c>
      <c r="U1302" t="s">
        <v>45</v>
      </c>
      <c r="V1302" t="s">
        <v>46</v>
      </c>
      <c r="W1302" t="s">
        <v>40</v>
      </c>
      <c r="X1302" t="s">
        <v>41</v>
      </c>
      <c r="Y1302" t="s">
        <v>47</v>
      </c>
      <c r="Z1302" t="s">
        <v>48</v>
      </c>
      <c r="AA1302" t="s">
        <v>49</v>
      </c>
      <c r="AB1302" t="s">
        <v>50</v>
      </c>
      <c r="AC1302" s="2">
        <v>502791.82</v>
      </c>
      <c r="AD1302" t="s">
        <v>6089</v>
      </c>
    </row>
    <row r="1303" spans="1:31" x14ac:dyDescent="0.25">
      <c r="A1303" t="s">
        <v>6090</v>
      </c>
      <c r="B1303" t="s">
        <v>6091</v>
      </c>
      <c r="C1303" t="s">
        <v>6091</v>
      </c>
      <c r="D1303" t="s">
        <v>35</v>
      </c>
      <c r="E1303" t="s">
        <v>36</v>
      </c>
      <c r="F1303" t="s">
        <v>6092</v>
      </c>
      <c r="G1303" t="s">
        <v>847</v>
      </c>
      <c r="H1303" t="s">
        <v>6093</v>
      </c>
      <c r="J1303" s="2">
        <v>2618040</v>
      </c>
      <c r="K1303" s="2">
        <v>12000</v>
      </c>
      <c r="L1303" s="2">
        <v>30</v>
      </c>
      <c r="M1303" s="2">
        <v>0</v>
      </c>
      <c r="N1303" t="s">
        <v>6094</v>
      </c>
      <c r="O1303" t="s">
        <v>6095</v>
      </c>
      <c r="P1303" t="s">
        <v>5966</v>
      </c>
      <c r="Q1303" t="s">
        <v>5739</v>
      </c>
      <c r="S1303" t="s">
        <v>6096</v>
      </c>
      <c r="U1303" t="s">
        <v>45</v>
      </c>
      <c r="V1303" t="s">
        <v>46</v>
      </c>
      <c r="W1303" t="s">
        <v>6094</v>
      </c>
      <c r="X1303" t="s">
        <v>6095</v>
      </c>
      <c r="Y1303" t="s">
        <v>2157</v>
      </c>
      <c r="Z1303" t="s">
        <v>48</v>
      </c>
      <c r="AA1303" t="s">
        <v>49</v>
      </c>
      <c r="AB1303" t="s">
        <v>50</v>
      </c>
      <c r="AC1303" s="2">
        <v>2479258.96</v>
      </c>
      <c r="AD1303" t="s">
        <v>6097</v>
      </c>
      <c r="AE1303" t="s">
        <v>52</v>
      </c>
    </row>
    <row r="1304" spans="1:31" hidden="1" x14ac:dyDescent="0.25">
      <c r="J1304" s="2">
        <v>1008</v>
      </c>
      <c r="K1304" s="2">
        <v>4.62</v>
      </c>
      <c r="L1304" s="2">
        <v>15</v>
      </c>
      <c r="M1304" s="2">
        <v>0</v>
      </c>
      <c r="S1304" t="s">
        <v>6100</v>
      </c>
      <c r="U1304" t="s">
        <v>45</v>
      </c>
      <c r="V1304" t="s">
        <v>46</v>
      </c>
      <c r="W1304" t="s">
        <v>6098</v>
      </c>
      <c r="X1304" t="s">
        <v>6099</v>
      </c>
      <c r="Y1304" t="s">
        <v>5743</v>
      </c>
      <c r="Z1304" t="s">
        <v>5744</v>
      </c>
      <c r="AA1304" t="s">
        <v>49</v>
      </c>
      <c r="AC1304" s="2"/>
    </row>
    <row r="1305" spans="1:31" x14ac:dyDescent="0.25">
      <c r="A1305" t="s">
        <v>6101</v>
      </c>
      <c r="B1305" t="s">
        <v>6102</v>
      </c>
      <c r="C1305" t="s">
        <v>6102</v>
      </c>
      <c r="D1305" t="s">
        <v>125</v>
      </c>
      <c r="E1305" t="s">
        <v>126</v>
      </c>
      <c r="F1305" t="s">
        <v>6103</v>
      </c>
      <c r="G1305" t="s">
        <v>125</v>
      </c>
      <c r="H1305" t="s">
        <v>6104</v>
      </c>
      <c r="I1305" t="s">
        <v>6105</v>
      </c>
      <c r="J1305" s="2">
        <v>436340</v>
      </c>
      <c r="K1305" s="2">
        <v>2000</v>
      </c>
      <c r="L1305" s="2">
        <v>30</v>
      </c>
      <c r="M1305" s="2">
        <v>0</v>
      </c>
      <c r="N1305" t="s">
        <v>6106</v>
      </c>
      <c r="O1305" t="s">
        <v>6107</v>
      </c>
      <c r="P1305" t="s">
        <v>2320</v>
      </c>
      <c r="Q1305" t="s">
        <v>2321</v>
      </c>
      <c r="S1305" t="s">
        <v>6108</v>
      </c>
      <c r="U1305" t="s">
        <v>45</v>
      </c>
      <c r="V1305" t="s">
        <v>46</v>
      </c>
      <c r="W1305" t="s">
        <v>6106</v>
      </c>
      <c r="X1305" t="s">
        <v>6107</v>
      </c>
      <c r="Y1305" t="s">
        <v>2157</v>
      </c>
      <c r="Z1305" t="s">
        <v>48</v>
      </c>
      <c r="AA1305" t="s">
        <v>49</v>
      </c>
      <c r="AB1305" t="s">
        <v>50</v>
      </c>
      <c r="AC1305" s="2">
        <v>254142.78</v>
      </c>
      <c r="AD1305" t="s">
        <v>6109</v>
      </c>
      <c r="AE1305" t="s">
        <v>52</v>
      </c>
    </row>
    <row r="1306" spans="1:31" x14ac:dyDescent="0.25">
      <c r="A1306" t="s">
        <v>6110</v>
      </c>
      <c r="B1306" t="s">
        <v>6111</v>
      </c>
      <c r="C1306" t="s">
        <v>6111</v>
      </c>
      <c r="D1306" t="s">
        <v>1846</v>
      </c>
      <c r="E1306" t="s">
        <v>134</v>
      </c>
      <c r="F1306" t="s">
        <v>6112</v>
      </c>
      <c r="G1306" t="s">
        <v>1958</v>
      </c>
      <c r="H1306" t="s">
        <v>6113</v>
      </c>
      <c r="I1306" t="s">
        <v>6114</v>
      </c>
      <c r="J1306" s="2">
        <v>43634</v>
      </c>
      <c r="K1306" s="2">
        <v>200</v>
      </c>
      <c r="L1306" s="2">
        <v>15</v>
      </c>
      <c r="M1306" s="2">
        <v>0</v>
      </c>
      <c r="N1306" t="s">
        <v>5741</v>
      </c>
      <c r="O1306" t="s">
        <v>5739</v>
      </c>
      <c r="P1306" t="s">
        <v>5966</v>
      </c>
      <c r="Q1306" t="s">
        <v>5739</v>
      </c>
      <c r="S1306" t="s">
        <v>6115</v>
      </c>
      <c r="U1306" t="s">
        <v>45</v>
      </c>
      <c r="V1306" t="s">
        <v>46</v>
      </c>
      <c r="W1306" t="s">
        <v>5741</v>
      </c>
      <c r="X1306" t="s">
        <v>5739</v>
      </c>
      <c r="Y1306" t="s">
        <v>5743</v>
      </c>
      <c r="Z1306" t="s">
        <v>5744</v>
      </c>
      <c r="AA1306" t="s">
        <v>49</v>
      </c>
      <c r="AB1306" t="s">
        <v>50</v>
      </c>
      <c r="AC1306" s="2">
        <v>43634</v>
      </c>
      <c r="AD1306" t="s">
        <v>64</v>
      </c>
    </row>
    <row r="1307" spans="1:31" x14ac:dyDescent="0.25">
      <c r="A1307" t="s">
        <v>6116</v>
      </c>
      <c r="B1307" t="s">
        <v>6117</v>
      </c>
      <c r="C1307" t="s">
        <v>6118</v>
      </c>
      <c r="D1307" t="s">
        <v>888</v>
      </c>
      <c r="E1307" t="s">
        <v>167</v>
      </c>
      <c r="F1307" t="s">
        <v>6119</v>
      </c>
      <c r="G1307" t="s">
        <v>321</v>
      </c>
      <c r="H1307" t="s">
        <v>303</v>
      </c>
      <c r="I1307" t="s">
        <v>6120</v>
      </c>
      <c r="J1307" s="2">
        <v>65451</v>
      </c>
      <c r="K1307" s="2">
        <v>300</v>
      </c>
      <c r="L1307" s="2">
        <v>21</v>
      </c>
      <c r="M1307" s="2">
        <v>0</v>
      </c>
      <c r="N1307" t="s">
        <v>302</v>
      </c>
      <c r="O1307" t="s">
        <v>303</v>
      </c>
      <c r="P1307" t="s">
        <v>304</v>
      </c>
      <c r="Q1307" t="s">
        <v>72</v>
      </c>
      <c r="S1307" t="s">
        <v>6121</v>
      </c>
      <c r="U1307" t="s">
        <v>45</v>
      </c>
      <c r="V1307" t="s">
        <v>46</v>
      </c>
      <c r="W1307" t="s">
        <v>302</v>
      </c>
      <c r="X1307" t="s">
        <v>303</v>
      </c>
      <c r="Y1307" t="s">
        <v>72</v>
      </c>
      <c r="Z1307" t="s">
        <v>68</v>
      </c>
      <c r="AA1307" t="s">
        <v>49</v>
      </c>
      <c r="AB1307" t="s">
        <v>50</v>
      </c>
      <c r="AC1307" s="2">
        <v>64587.49</v>
      </c>
      <c r="AD1307" t="s">
        <v>6122</v>
      </c>
    </row>
    <row r="1308" spans="1:31" hidden="1" x14ac:dyDescent="0.25">
      <c r="I1308" t="s">
        <v>6123</v>
      </c>
      <c r="J1308" s="2">
        <v>21817</v>
      </c>
      <c r="K1308" s="2">
        <v>100</v>
      </c>
      <c r="L1308" s="2">
        <v>1</v>
      </c>
      <c r="M1308" s="2">
        <v>0</v>
      </c>
      <c r="S1308" t="s">
        <v>6124</v>
      </c>
      <c r="U1308" t="s">
        <v>45</v>
      </c>
      <c r="V1308" t="s">
        <v>46</v>
      </c>
      <c r="W1308" t="s">
        <v>89</v>
      </c>
      <c r="X1308" t="s">
        <v>90</v>
      </c>
      <c r="Y1308" t="s">
        <v>92</v>
      </c>
      <c r="Z1308" t="s">
        <v>94</v>
      </c>
      <c r="AA1308" t="s">
        <v>49</v>
      </c>
      <c r="AC1308" s="2"/>
    </row>
    <row r="1309" spans="1:31" x14ac:dyDescent="0.25">
      <c r="A1309" t="s">
        <v>6125</v>
      </c>
      <c r="B1309" t="s">
        <v>6126</v>
      </c>
      <c r="C1309" t="s">
        <v>6126</v>
      </c>
      <c r="D1309" t="s">
        <v>35</v>
      </c>
      <c r="E1309" t="s">
        <v>36</v>
      </c>
      <c r="F1309" t="s">
        <v>6127</v>
      </c>
      <c r="G1309" t="s">
        <v>178</v>
      </c>
      <c r="H1309" t="s">
        <v>5936</v>
      </c>
      <c r="I1309" t="s">
        <v>6128</v>
      </c>
      <c r="J1309" s="2">
        <v>255749</v>
      </c>
      <c r="K1309" s="2">
        <v>1050</v>
      </c>
      <c r="L1309" s="2">
        <v>15</v>
      </c>
      <c r="M1309" s="2">
        <v>0</v>
      </c>
      <c r="N1309" t="s">
        <v>5938</v>
      </c>
      <c r="O1309" t="s">
        <v>5939</v>
      </c>
      <c r="P1309" t="s">
        <v>1363</v>
      </c>
      <c r="Q1309" t="s">
        <v>1364</v>
      </c>
      <c r="S1309" t="s">
        <v>6129</v>
      </c>
      <c r="U1309" t="s">
        <v>45</v>
      </c>
      <c r="V1309" t="s">
        <v>46</v>
      </c>
      <c r="W1309" t="s">
        <v>5938</v>
      </c>
      <c r="X1309" t="s">
        <v>5939</v>
      </c>
      <c r="Y1309" t="s">
        <v>85</v>
      </c>
      <c r="Z1309" t="s">
        <v>86</v>
      </c>
      <c r="AA1309" t="s">
        <v>49</v>
      </c>
      <c r="AB1309" t="s">
        <v>50</v>
      </c>
      <c r="AC1309" s="2">
        <v>25915.39</v>
      </c>
      <c r="AD1309" t="s">
        <v>6130</v>
      </c>
      <c r="AE1309" t="s">
        <v>52</v>
      </c>
    </row>
    <row r="1310" spans="1:31" x14ac:dyDescent="0.25">
      <c r="A1310" t="s">
        <v>6131</v>
      </c>
      <c r="B1310" t="s">
        <v>6132</v>
      </c>
      <c r="C1310" t="s">
        <v>6132</v>
      </c>
      <c r="D1310" t="s">
        <v>847</v>
      </c>
      <c r="E1310" t="s">
        <v>848</v>
      </c>
      <c r="F1310" t="s">
        <v>6133</v>
      </c>
      <c r="G1310" t="s">
        <v>166</v>
      </c>
      <c r="H1310" t="s">
        <v>6134</v>
      </c>
      <c r="J1310" s="2">
        <v>872680</v>
      </c>
      <c r="K1310" s="2">
        <v>4000</v>
      </c>
      <c r="L1310" s="2">
        <v>21</v>
      </c>
      <c r="M1310" s="2">
        <v>0</v>
      </c>
      <c r="N1310" t="s">
        <v>6135</v>
      </c>
      <c r="O1310" t="s">
        <v>6136</v>
      </c>
      <c r="P1310" t="s">
        <v>2320</v>
      </c>
      <c r="Q1310" t="s">
        <v>2321</v>
      </c>
      <c r="S1310" t="s">
        <v>6137</v>
      </c>
      <c r="U1310" t="s">
        <v>45</v>
      </c>
      <c r="V1310" t="s">
        <v>46</v>
      </c>
      <c r="W1310" t="s">
        <v>6135</v>
      </c>
      <c r="X1310" t="s">
        <v>6136</v>
      </c>
      <c r="Y1310" t="s">
        <v>2157</v>
      </c>
      <c r="Z1310" t="s">
        <v>48</v>
      </c>
      <c r="AA1310" t="s">
        <v>49</v>
      </c>
      <c r="AB1310" t="s">
        <v>50</v>
      </c>
      <c r="AC1310" s="2">
        <v>455305.88</v>
      </c>
      <c r="AD1310" t="s">
        <v>6138</v>
      </c>
      <c r="AE1310" t="s">
        <v>115</v>
      </c>
    </row>
    <row r="1311" spans="1:31" x14ac:dyDescent="0.25">
      <c r="A1311" t="s">
        <v>6139</v>
      </c>
      <c r="B1311" t="s">
        <v>6140</v>
      </c>
      <c r="C1311" t="s">
        <v>6140</v>
      </c>
      <c r="D1311" t="s">
        <v>847</v>
      </c>
      <c r="E1311" t="s">
        <v>848</v>
      </c>
      <c r="F1311" t="s">
        <v>6141</v>
      </c>
      <c r="G1311" t="s">
        <v>2687</v>
      </c>
      <c r="H1311" t="s">
        <v>6113</v>
      </c>
      <c r="I1311" t="s">
        <v>6142</v>
      </c>
      <c r="J1311" s="2">
        <v>165522</v>
      </c>
      <c r="K1311" s="2">
        <v>700</v>
      </c>
      <c r="L1311" s="2">
        <v>15</v>
      </c>
      <c r="M1311" s="2">
        <v>0</v>
      </c>
      <c r="N1311" t="s">
        <v>5741</v>
      </c>
      <c r="O1311" t="s">
        <v>5739</v>
      </c>
      <c r="P1311" t="s">
        <v>6143</v>
      </c>
      <c r="Q1311" t="s">
        <v>6144</v>
      </c>
      <c r="S1311" t="s">
        <v>6145</v>
      </c>
      <c r="U1311" t="s">
        <v>45</v>
      </c>
      <c r="V1311" t="s">
        <v>46</v>
      </c>
      <c r="W1311" t="s">
        <v>5741</v>
      </c>
      <c r="X1311" t="s">
        <v>5739</v>
      </c>
      <c r="Y1311" t="s">
        <v>5743</v>
      </c>
      <c r="Z1311" t="s">
        <v>5744</v>
      </c>
      <c r="AA1311" t="s">
        <v>49</v>
      </c>
      <c r="AB1311" t="s">
        <v>50</v>
      </c>
      <c r="AC1311" s="2">
        <v>96934.56</v>
      </c>
      <c r="AD1311" t="s">
        <v>6146</v>
      </c>
      <c r="AE1311" t="s">
        <v>52</v>
      </c>
    </row>
    <row r="1312" spans="1:31" x14ac:dyDescent="0.25">
      <c r="A1312" s="15" t="s">
        <v>6147</v>
      </c>
      <c r="B1312" s="15" t="s">
        <v>6148</v>
      </c>
      <c r="C1312" s="15" t="s">
        <v>6148</v>
      </c>
      <c r="D1312" s="15" t="s">
        <v>55</v>
      </c>
      <c r="E1312" s="15" t="s">
        <v>56</v>
      </c>
      <c r="F1312" s="15" t="s">
        <v>6149</v>
      </c>
      <c r="H1312" s="15" t="s">
        <v>6150</v>
      </c>
      <c r="I1312" t="s">
        <v>6151</v>
      </c>
      <c r="J1312" s="2">
        <v>1008</v>
      </c>
      <c r="K1312" s="2">
        <v>4.62</v>
      </c>
      <c r="L1312" s="2">
        <v>1</v>
      </c>
      <c r="M1312" s="2">
        <v>0</v>
      </c>
      <c r="N1312" s="15" t="s">
        <v>5741</v>
      </c>
      <c r="O1312" s="15" t="s">
        <v>5739</v>
      </c>
      <c r="P1312" s="15" t="s">
        <v>5966</v>
      </c>
      <c r="Q1312" s="15" t="s">
        <v>5739</v>
      </c>
      <c r="S1312" t="s">
        <v>6152</v>
      </c>
      <c r="U1312" t="s">
        <v>45</v>
      </c>
      <c r="V1312" t="s">
        <v>46</v>
      </c>
      <c r="W1312" t="s">
        <v>5741</v>
      </c>
      <c r="X1312" t="s">
        <v>5739</v>
      </c>
      <c r="Y1312" t="s">
        <v>5743</v>
      </c>
      <c r="Z1312" t="s">
        <v>5744</v>
      </c>
      <c r="AA1312" t="s">
        <v>49</v>
      </c>
      <c r="AB1312" s="15" t="s">
        <v>50</v>
      </c>
      <c r="AC1312" s="16">
        <v>-5868.05</v>
      </c>
      <c r="AD1312" s="15" t="s">
        <v>6153</v>
      </c>
      <c r="AE1312" s="15" t="s">
        <v>115</v>
      </c>
    </row>
    <row r="1313" spans="1:31" hidden="1" x14ac:dyDescent="0.25">
      <c r="J1313" s="2">
        <v>109085</v>
      </c>
      <c r="K1313" s="2">
        <v>500</v>
      </c>
      <c r="L1313" s="2">
        <v>21</v>
      </c>
      <c r="M1313" s="2">
        <v>0</v>
      </c>
      <c r="S1313" t="s">
        <v>6154</v>
      </c>
      <c r="U1313" t="s">
        <v>45</v>
      </c>
      <c r="V1313" t="s">
        <v>46</v>
      </c>
      <c r="W1313" t="s">
        <v>101</v>
      </c>
      <c r="X1313" t="s">
        <v>102</v>
      </c>
      <c r="Y1313" t="s">
        <v>106</v>
      </c>
      <c r="Z1313" t="s">
        <v>107</v>
      </c>
      <c r="AA1313" t="s">
        <v>49</v>
      </c>
      <c r="AC1313" s="2"/>
    </row>
    <row r="1314" spans="1:31" x14ac:dyDescent="0.25">
      <c r="A1314" t="s">
        <v>6155</v>
      </c>
      <c r="B1314" t="s">
        <v>6156</v>
      </c>
      <c r="C1314" t="s">
        <v>6157</v>
      </c>
      <c r="D1314" t="s">
        <v>35</v>
      </c>
      <c r="E1314" t="s">
        <v>36</v>
      </c>
      <c r="F1314" t="s">
        <v>648</v>
      </c>
      <c r="G1314" t="s">
        <v>3472</v>
      </c>
      <c r="H1314" t="s">
        <v>446</v>
      </c>
      <c r="I1314" t="s">
        <v>6158</v>
      </c>
      <c r="J1314" s="2">
        <v>242645</v>
      </c>
      <c r="K1314" s="2">
        <v>1050</v>
      </c>
      <c r="L1314" s="2">
        <v>21</v>
      </c>
      <c r="M1314" s="2">
        <v>0</v>
      </c>
      <c r="N1314" t="s">
        <v>445</v>
      </c>
      <c r="O1314" t="s">
        <v>446</v>
      </c>
      <c r="P1314" t="s">
        <v>69</v>
      </c>
      <c r="Q1314" t="s">
        <v>70</v>
      </c>
      <c r="S1314" t="s">
        <v>654</v>
      </c>
      <c r="U1314" t="s">
        <v>45</v>
      </c>
      <c r="V1314" t="s">
        <v>46</v>
      </c>
      <c r="W1314" t="s">
        <v>445</v>
      </c>
      <c r="X1314" t="s">
        <v>446</v>
      </c>
      <c r="Y1314" t="s">
        <v>72</v>
      </c>
      <c r="Z1314" t="s">
        <v>68</v>
      </c>
      <c r="AA1314" t="s">
        <v>49</v>
      </c>
      <c r="AB1314" t="s">
        <v>50</v>
      </c>
      <c r="AC1314" s="2">
        <v>116593.8</v>
      </c>
      <c r="AD1314" t="s">
        <v>6159</v>
      </c>
      <c r="AE1314" t="s">
        <v>115</v>
      </c>
    </row>
    <row r="1315" spans="1:31" hidden="1" x14ac:dyDescent="0.25">
      <c r="A1315" t="s">
        <v>6160</v>
      </c>
      <c r="B1315" t="s">
        <v>6161</v>
      </c>
      <c r="C1315" t="s">
        <v>6161</v>
      </c>
      <c r="D1315" t="s">
        <v>55</v>
      </c>
      <c r="E1315" t="s">
        <v>56</v>
      </c>
      <c r="F1315" t="s">
        <v>3056</v>
      </c>
      <c r="H1315" t="s">
        <v>300</v>
      </c>
      <c r="J1315" s="2">
        <v>2</v>
      </c>
      <c r="K1315" s="2">
        <v>0.01</v>
      </c>
      <c r="L1315" s="2">
        <v>1</v>
      </c>
      <c r="M1315" s="2">
        <v>0</v>
      </c>
      <c r="N1315" t="s">
        <v>302</v>
      </c>
      <c r="O1315" t="s">
        <v>303</v>
      </c>
      <c r="P1315" t="s">
        <v>941</v>
      </c>
      <c r="Q1315" t="s">
        <v>139</v>
      </c>
      <c r="S1315" t="s">
        <v>3058</v>
      </c>
      <c r="U1315" t="s">
        <v>3059</v>
      </c>
      <c r="V1315" t="s">
        <v>46</v>
      </c>
      <c r="W1315" t="s">
        <v>302</v>
      </c>
      <c r="X1315" t="s">
        <v>303</v>
      </c>
      <c r="Y1315" t="s">
        <v>72</v>
      </c>
      <c r="Z1315" t="s">
        <v>68</v>
      </c>
      <c r="AA1315" t="s">
        <v>49</v>
      </c>
      <c r="AB1315" t="s">
        <v>50</v>
      </c>
      <c r="AC1315" s="2">
        <v>2</v>
      </c>
      <c r="AD1315" t="s">
        <v>64</v>
      </c>
    </row>
    <row r="1316" spans="1:31" x14ac:dyDescent="0.25">
      <c r="A1316" t="s">
        <v>6162</v>
      </c>
      <c r="B1316" t="s">
        <v>6163</v>
      </c>
      <c r="C1316" t="s">
        <v>6163</v>
      </c>
      <c r="D1316" t="s">
        <v>773</v>
      </c>
      <c r="E1316" t="s">
        <v>224</v>
      </c>
      <c r="F1316" t="s">
        <v>3056</v>
      </c>
      <c r="H1316" t="s">
        <v>300</v>
      </c>
      <c r="J1316" s="2">
        <v>872680</v>
      </c>
      <c r="K1316" s="2">
        <v>4000</v>
      </c>
      <c r="L1316" s="2">
        <v>1</v>
      </c>
      <c r="M1316" s="2">
        <v>0</v>
      </c>
      <c r="N1316" t="s">
        <v>302</v>
      </c>
      <c r="O1316" t="s">
        <v>303</v>
      </c>
      <c r="P1316" t="s">
        <v>304</v>
      </c>
      <c r="Q1316" t="s">
        <v>72</v>
      </c>
      <c r="S1316" t="s">
        <v>6164</v>
      </c>
      <c r="U1316" t="s">
        <v>45</v>
      </c>
      <c r="V1316" t="s">
        <v>46</v>
      </c>
      <c r="W1316" t="s">
        <v>302</v>
      </c>
      <c r="X1316" t="s">
        <v>303</v>
      </c>
      <c r="Y1316" t="s">
        <v>72</v>
      </c>
      <c r="Z1316" t="s">
        <v>68</v>
      </c>
      <c r="AA1316" t="s">
        <v>49</v>
      </c>
      <c r="AB1316" t="s">
        <v>50</v>
      </c>
      <c r="AC1316" s="2">
        <v>872680</v>
      </c>
      <c r="AD1316" t="s">
        <v>64</v>
      </c>
    </row>
    <row r="1317" spans="1:31" hidden="1" x14ac:dyDescent="0.25">
      <c r="I1317" t="s">
        <v>6165</v>
      </c>
      <c r="J1317" s="2">
        <v>7400</v>
      </c>
      <c r="K1317" s="2">
        <v>0</v>
      </c>
      <c r="L1317" s="2">
        <v>12</v>
      </c>
      <c r="M1317" s="2">
        <v>0</v>
      </c>
      <c r="S1317" t="s">
        <v>6166</v>
      </c>
      <c r="U1317" t="s">
        <v>45</v>
      </c>
      <c r="V1317" t="s">
        <v>46</v>
      </c>
      <c r="W1317" t="s">
        <v>4449</v>
      </c>
      <c r="X1317" t="s">
        <v>4450</v>
      </c>
      <c r="Y1317" t="s">
        <v>2157</v>
      </c>
      <c r="Z1317" t="s">
        <v>48</v>
      </c>
      <c r="AA1317" t="s">
        <v>49</v>
      </c>
      <c r="AC1317" s="2"/>
    </row>
    <row r="1318" spans="1:31" hidden="1" x14ac:dyDescent="0.25">
      <c r="I1318" t="s">
        <v>6167</v>
      </c>
      <c r="J1318" s="2">
        <v>7400</v>
      </c>
      <c r="K1318" s="2">
        <v>0</v>
      </c>
      <c r="L1318" s="2">
        <v>12</v>
      </c>
      <c r="M1318" s="2">
        <v>0</v>
      </c>
      <c r="S1318" t="s">
        <v>6168</v>
      </c>
      <c r="U1318" t="s">
        <v>45</v>
      </c>
      <c r="V1318" t="s">
        <v>46</v>
      </c>
      <c r="W1318" t="s">
        <v>2462</v>
      </c>
      <c r="X1318" t="s">
        <v>2463</v>
      </c>
      <c r="Y1318" t="s">
        <v>2157</v>
      </c>
      <c r="Z1318" t="s">
        <v>48</v>
      </c>
      <c r="AA1318" t="s">
        <v>49</v>
      </c>
      <c r="AC1318" s="2"/>
    </row>
    <row r="1319" spans="1:31" x14ac:dyDescent="0.25">
      <c r="A1319" t="s">
        <v>6169</v>
      </c>
      <c r="B1319" t="s">
        <v>6170</v>
      </c>
      <c r="C1319" t="s">
        <v>6170</v>
      </c>
      <c r="D1319" t="s">
        <v>4891</v>
      </c>
      <c r="E1319" t="s">
        <v>77</v>
      </c>
      <c r="F1319" t="s">
        <v>6171</v>
      </c>
      <c r="H1319" t="s">
        <v>6070</v>
      </c>
      <c r="I1319" t="s">
        <v>6172</v>
      </c>
      <c r="J1319" s="2">
        <v>218</v>
      </c>
      <c r="K1319" s="2">
        <v>1</v>
      </c>
      <c r="L1319" s="2">
        <v>1</v>
      </c>
      <c r="M1319" s="2">
        <v>0</v>
      </c>
      <c r="N1319" t="s">
        <v>6072</v>
      </c>
      <c r="O1319" t="s">
        <v>6073</v>
      </c>
      <c r="P1319" t="s">
        <v>557</v>
      </c>
      <c r="Q1319" t="s">
        <v>558</v>
      </c>
      <c r="S1319" t="s">
        <v>6173</v>
      </c>
      <c r="U1319" t="s">
        <v>45</v>
      </c>
      <c r="V1319" t="s">
        <v>46</v>
      </c>
      <c r="W1319" t="s">
        <v>6072</v>
      </c>
      <c r="X1319" t="s">
        <v>6073</v>
      </c>
      <c r="Y1319" t="s">
        <v>85</v>
      </c>
      <c r="Z1319" t="s">
        <v>86</v>
      </c>
      <c r="AA1319" t="s">
        <v>49</v>
      </c>
      <c r="AB1319" t="s">
        <v>50</v>
      </c>
      <c r="AC1319" s="2">
        <v>218</v>
      </c>
      <c r="AD1319" t="s">
        <v>64</v>
      </c>
    </row>
    <row r="1320" spans="1:31" hidden="1" x14ac:dyDescent="0.25">
      <c r="J1320" s="2">
        <v>1000</v>
      </c>
      <c r="K1320" s="2">
        <v>0</v>
      </c>
      <c r="L1320" s="2">
        <v>21</v>
      </c>
      <c r="M1320" s="2">
        <v>0</v>
      </c>
      <c r="S1320" t="s">
        <v>6174</v>
      </c>
      <c r="U1320" t="s">
        <v>45</v>
      </c>
      <c r="V1320" t="s">
        <v>46</v>
      </c>
      <c r="W1320" t="s">
        <v>2159</v>
      </c>
      <c r="X1320" t="s">
        <v>2160</v>
      </c>
      <c r="Y1320" t="s">
        <v>2157</v>
      </c>
      <c r="Z1320" t="s">
        <v>48</v>
      </c>
      <c r="AA1320" t="s">
        <v>49</v>
      </c>
      <c r="AC1320" s="2"/>
    </row>
    <row r="1321" spans="1:31" hidden="1" x14ac:dyDescent="0.25">
      <c r="A1321" t="s">
        <v>6175</v>
      </c>
      <c r="B1321" t="s">
        <v>6176</v>
      </c>
      <c r="C1321" t="s">
        <v>6176</v>
      </c>
      <c r="F1321" t="s">
        <v>6177</v>
      </c>
      <c r="H1321" t="s">
        <v>2460</v>
      </c>
      <c r="J1321" s="2">
        <v>1000</v>
      </c>
      <c r="K1321" s="2">
        <v>0</v>
      </c>
      <c r="L1321" s="2">
        <v>21</v>
      </c>
      <c r="M1321" s="2">
        <v>0</v>
      </c>
      <c r="N1321" t="s">
        <v>2462</v>
      </c>
      <c r="O1321" t="s">
        <v>2463</v>
      </c>
      <c r="P1321" t="s">
        <v>5952</v>
      </c>
      <c r="Q1321" t="s">
        <v>5953</v>
      </c>
      <c r="S1321" t="s">
        <v>6178</v>
      </c>
      <c r="U1321" t="s">
        <v>45</v>
      </c>
      <c r="V1321" t="s">
        <v>46</v>
      </c>
      <c r="W1321" t="s">
        <v>2462</v>
      </c>
      <c r="X1321" t="s">
        <v>2463</v>
      </c>
      <c r="Y1321" t="s">
        <v>2157</v>
      </c>
      <c r="Z1321" t="s">
        <v>48</v>
      </c>
      <c r="AA1321" t="s">
        <v>49</v>
      </c>
      <c r="AB1321" t="s">
        <v>50</v>
      </c>
      <c r="AC1321" s="2">
        <v>1000</v>
      </c>
      <c r="AD1321" t="s">
        <v>64</v>
      </c>
    </row>
    <row r="1322" spans="1:31" hidden="1" x14ac:dyDescent="0.25">
      <c r="J1322" s="2">
        <v>1000</v>
      </c>
      <c r="K1322" s="2">
        <v>0</v>
      </c>
      <c r="L1322" s="2">
        <v>21</v>
      </c>
      <c r="M1322" s="2">
        <v>0</v>
      </c>
      <c r="S1322" t="s">
        <v>6179</v>
      </c>
      <c r="U1322" t="s">
        <v>45</v>
      </c>
      <c r="V1322" t="s">
        <v>46</v>
      </c>
      <c r="W1322" t="s">
        <v>6106</v>
      </c>
      <c r="X1322" t="s">
        <v>6107</v>
      </c>
      <c r="Y1322" t="s">
        <v>2157</v>
      </c>
      <c r="Z1322" t="s">
        <v>48</v>
      </c>
      <c r="AA1322" t="s">
        <v>49</v>
      </c>
      <c r="AC1322" s="2"/>
    </row>
    <row r="1323" spans="1:31" hidden="1" x14ac:dyDescent="0.25">
      <c r="J1323" s="2">
        <v>1000</v>
      </c>
      <c r="K1323" s="2">
        <v>0</v>
      </c>
      <c r="L1323" s="2">
        <v>21</v>
      </c>
      <c r="M1323" s="2">
        <v>0</v>
      </c>
      <c r="S1323" t="s">
        <v>6180</v>
      </c>
      <c r="U1323" t="s">
        <v>45</v>
      </c>
      <c r="V1323" t="s">
        <v>46</v>
      </c>
      <c r="W1323" t="s">
        <v>2159</v>
      </c>
      <c r="X1323" t="s">
        <v>2160</v>
      </c>
      <c r="Y1323" t="s">
        <v>2157</v>
      </c>
      <c r="Z1323" t="s">
        <v>48</v>
      </c>
      <c r="AA1323" t="s">
        <v>49</v>
      </c>
      <c r="AC1323" s="2"/>
    </row>
    <row r="1324" spans="1:31" hidden="1" x14ac:dyDescent="0.25">
      <c r="J1324" s="2">
        <v>1000</v>
      </c>
      <c r="K1324" s="2">
        <v>0</v>
      </c>
      <c r="L1324" s="2">
        <v>21</v>
      </c>
      <c r="M1324" s="2">
        <v>0</v>
      </c>
      <c r="S1324" t="s">
        <v>6181</v>
      </c>
      <c r="U1324" t="s">
        <v>45</v>
      </c>
      <c r="V1324" t="s">
        <v>46</v>
      </c>
      <c r="W1324" t="s">
        <v>2159</v>
      </c>
      <c r="X1324" t="s">
        <v>2160</v>
      </c>
      <c r="Y1324" t="s">
        <v>2157</v>
      </c>
      <c r="Z1324" t="s">
        <v>48</v>
      </c>
      <c r="AA1324" t="s">
        <v>49</v>
      </c>
      <c r="AC1324" s="2"/>
    </row>
    <row r="1325" spans="1:31" x14ac:dyDescent="0.25">
      <c r="A1325" t="s">
        <v>6182</v>
      </c>
      <c r="B1325" t="s">
        <v>6183</v>
      </c>
      <c r="C1325" t="s">
        <v>6183</v>
      </c>
      <c r="D1325" t="s">
        <v>2389</v>
      </c>
      <c r="E1325" t="s">
        <v>134</v>
      </c>
      <c r="F1325" t="s">
        <v>6184</v>
      </c>
      <c r="G1325" t="s">
        <v>2389</v>
      </c>
      <c r="H1325" t="s">
        <v>2844</v>
      </c>
      <c r="I1325" t="s">
        <v>6185</v>
      </c>
      <c r="J1325" s="2">
        <v>87268</v>
      </c>
      <c r="K1325" s="2">
        <v>400</v>
      </c>
      <c r="L1325" s="2">
        <v>7</v>
      </c>
      <c r="M1325" s="2">
        <v>0</v>
      </c>
      <c r="N1325" t="s">
        <v>2846</v>
      </c>
      <c r="O1325" t="s">
        <v>2844</v>
      </c>
      <c r="P1325" t="s">
        <v>256</v>
      </c>
      <c r="Q1325" t="s">
        <v>255</v>
      </c>
      <c r="S1325" t="s">
        <v>6186</v>
      </c>
      <c r="U1325" t="s">
        <v>45</v>
      </c>
      <c r="V1325" t="s">
        <v>46</v>
      </c>
      <c r="W1325" t="s">
        <v>2846</v>
      </c>
      <c r="X1325" t="s">
        <v>2844</v>
      </c>
      <c r="Y1325" t="s">
        <v>137</v>
      </c>
      <c r="Z1325" t="s">
        <v>717</v>
      </c>
      <c r="AA1325" t="s">
        <v>49</v>
      </c>
      <c r="AB1325" t="s">
        <v>50</v>
      </c>
      <c r="AC1325" s="2">
        <v>26815.79</v>
      </c>
      <c r="AD1325" t="s">
        <v>6187</v>
      </c>
      <c r="AE1325" t="s">
        <v>115</v>
      </c>
    </row>
    <row r="1326" spans="1:31" x14ac:dyDescent="0.25">
      <c r="A1326" t="s">
        <v>6188</v>
      </c>
      <c r="B1326" t="s">
        <v>6189</v>
      </c>
      <c r="C1326" t="s">
        <v>6189</v>
      </c>
      <c r="D1326" t="s">
        <v>125</v>
      </c>
      <c r="E1326" t="s">
        <v>126</v>
      </c>
      <c r="F1326" t="s">
        <v>6190</v>
      </c>
      <c r="G1326" t="s">
        <v>125</v>
      </c>
      <c r="H1326" t="s">
        <v>327</v>
      </c>
      <c r="I1326" t="s">
        <v>6191</v>
      </c>
      <c r="J1326" s="2">
        <v>218799</v>
      </c>
      <c r="K1326" s="2">
        <v>900</v>
      </c>
      <c r="L1326" s="2">
        <v>15</v>
      </c>
      <c r="M1326" s="2">
        <v>0</v>
      </c>
      <c r="N1326" t="s">
        <v>326</v>
      </c>
      <c r="O1326" t="s">
        <v>327</v>
      </c>
      <c r="P1326" t="s">
        <v>120</v>
      </c>
      <c r="Q1326" t="s">
        <v>121</v>
      </c>
      <c r="S1326" t="s">
        <v>6192</v>
      </c>
      <c r="U1326" t="s">
        <v>45</v>
      </c>
      <c r="V1326" t="s">
        <v>46</v>
      </c>
      <c r="W1326" t="s">
        <v>326</v>
      </c>
      <c r="X1326" t="s">
        <v>327</v>
      </c>
      <c r="Y1326" t="s">
        <v>121</v>
      </c>
      <c r="Z1326" t="s">
        <v>94</v>
      </c>
      <c r="AA1326" t="s">
        <v>49</v>
      </c>
      <c r="AB1326" t="s">
        <v>50</v>
      </c>
      <c r="AC1326" s="2">
        <v>205025.43</v>
      </c>
      <c r="AD1326" t="s">
        <v>6193</v>
      </c>
      <c r="AE1326" t="s">
        <v>52</v>
      </c>
    </row>
    <row r="1327" spans="1:31" x14ac:dyDescent="0.25">
      <c r="A1327" t="s">
        <v>6194</v>
      </c>
      <c r="B1327" t="s">
        <v>6195</v>
      </c>
      <c r="C1327" t="s">
        <v>6196</v>
      </c>
      <c r="D1327" t="s">
        <v>847</v>
      </c>
      <c r="E1327" t="s">
        <v>848</v>
      </c>
      <c r="F1327" t="s">
        <v>6197</v>
      </c>
      <c r="G1327" t="s">
        <v>4647</v>
      </c>
      <c r="H1327" t="s">
        <v>6104</v>
      </c>
      <c r="I1327" t="s">
        <v>6198</v>
      </c>
      <c r="J1327" s="2">
        <v>436340</v>
      </c>
      <c r="K1327" s="2">
        <v>2000</v>
      </c>
      <c r="L1327" s="2">
        <v>21</v>
      </c>
      <c r="M1327" s="2">
        <v>0</v>
      </c>
      <c r="N1327" t="s">
        <v>6106</v>
      </c>
      <c r="O1327" t="s">
        <v>6107</v>
      </c>
      <c r="P1327" t="s">
        <v>2320</v>
      </c>
      <c r="Q1327" t="s">
        <v>2321</v>
      </c>
      <c r="S1327" t="s">
        <v>6199</v>
      </c>
      <c r="U1327" t="s">
        <v>45</v>
      </c>
      <c r="V1327" t="s">
        <v>46</v>
      </c>
      <c r="W1327" t="s">
        <v>6106</v>
      </c>
      <c r="X1327" t="s">
        <v>6107</v>
      </c>
      <c r="Y1327" t="s">
        <v>2157</v>
      </c>
      <c r="Z1327" t="s">
        <v>48</v>
      </c>
      <c r="AA1327" t="s">
        <v>49</v>
      </c>
      <c r="AB1327" t="s">
        <v>50</v>
      </c>
      <c r="AC1327" s="2">
        <v>433116.1</v>
      </c>
      <c r="AD1327" t="s">
        <v>6200</v>
      </c>
    </row>
    <row r="1328" spans="1:31" hidden="1" x14ac:dyDescent="0.25">
      <c r="I1328" t="s">
        <v>6201</v>
      </c>
      <c r="J1328" s="2">
        <v>1000</v>
      </c>
      <c r="K1328" s="2">
        <v>0</v>
      </c>
      <c r="L1328" s="2">
        <v>7</v>
      </c>
      <c r="M1328" s="2">
        <v>0</v>
      </c>
      <c r="S1328" t="s">
        <v>6202</v>
      </c>
      <c r="U1328" t="s">
        <v>45</v>
      </c>
      <c r="V1328" t="s">
        <v>46</v>
      </c>
      <c r="W1328" t="s">
        <v>1125</v>
      </c>
      <c r="X1328" t="s">
        <v>1123</v>
      </c>
      <c r="Y1328" t="s">
        <v>161</v>
      </c>
      <c r="Z1328" t="s">
        <v>162</v>
      </c>
      <c r="AA1328" t="s">
        <v>49</v>
      </c>
      <c r="AC1328" s="2"/>
    </row>
    <row r="1329" spans="1:31" hidden="1" x14ac:dyDescent="0.25">
      <c r="J1329" s="2">
        <v>174536</v>
      </c>
      <c r="K1329" s="2">
        <v>800</v>
      </c>
      <c r="L1329" s="2">
        <v>15</v>
      </c>
      <c r="M1329" s="2">
        <v>0</v>
      </c>
      <c r="S1329" t="s">
        <v>6203</v>
      </c>
      <c r="U1329" t="s">
        <v>45</v>
      </c>
      <c r="V1329" t="s">
        <v>46</v>
      </c>
      <c r="W1329" t="s">
        <v>5938</v>
      </c>
      <c r="X1329" t="s">
        <v>5939</v>
      </c>
      <c r="Y1329" t="s">
        <v>85</v>
      </c>
      <c r="Z1329" t="s">
        <v>86</v>
      </c>
      <c r="AA1329" t="s">
        <v>49</v>
      </c>
      <c r="AC1329" s="2"/>
    </row>
    <row r="1330" spans="1:31" x14ac:dyDescent="0.25">
      <c r="A1330" t="s">
        <v>6204</v>
      </c>
      <c r="B1330" t="s">
        <v>6205</v>
      </c>
      <c r="C1330" t="s">
        <v>6205</v>
      </c>
      <c r="D1330" t="s">
        <v>166</v>
      </c>
      <c r="E1330" t="s">
        <v>167</v>
      </c>
      <c r="F1330" t="s">
        <v>6206</v>
      </c>
      <c r="G1330" t="s">
        <v>166</v>
      </c>
      <c r="H1330" t="s">
        <v>2831</v>
      </c>
      <c r="I1330" t="s">
        <v>6207</v>
      </c>
      <c r="J1330" s="2">
        <v>174536</v>
      </c>
      <c r="K1330" s="2">
        <v>800</v>
      </c>
      <c r="L1330" s="2">
        <v>15</v>
      </c>
      <c r="M1330" s="2">
        <v>0</v>
      </c>
      <c r="N1330" t="s">
        <v>80</v>
      </c>
      <c r="O1330" t="s">
        <v>81</v>
      </c>
      <c r="P1330" t="s">
        <v>557</v>
      </c>
      <c r="Q1330" t="s">
        <v>558</v>
      </c>
      <c r="S1330" t="s">
        <v>6208</v>
      </c>
      <c r="U1330" t="s">
        <v>45</v>
      </c>
      <c r="V1330" t="s">
        <v>46</v>
      </c>
      <c r="W1330" t="s">
        <v>80</v>
      </c>
      <c r="X1330" t="s">
        <v>81</v>
      </c>
      <c r="Y1330" t="s">
        <v>85</v>
      </c>
      <c r="Z1330" t="s">
        <v>86</v>
      </c>
      <c r="AA1330" t="s">
        <v>49</v>
      </c>
      <c r="AB1330" t="s">
        <v>50</v>
      </c>
      <c r="AC1330" s="2">
        <v>136974.5</v>
      </c>
      <c r="AD1330" t="s">
        <v>6209</v>
      </c>
      <c r="AE1330" t="s">
        <v>115</v>
      </c>
    </row>
    <row r="1331" spans="1:31" x14ac:dyDescent="0.25">
      <c r="A1331" t="s">
        <v>6210</v>
      </c>
      <c r="B1331" t="s">
        <v>6211</v>
      </c>
      <c r="C1331" t="s">
        <v>6211</v>
      </c>
      <c r="D1331" t="s">
        <v>125</v>
      </c>
      <c r="E1331" t="s">
        <v>126</v>
      </c>
      <c r="F1331" t="s">
        <v>6212</v>
      </c>
      <c r="G1331" t="s">
        <v>125</v>
      </c>
      <c r="H1331" t="s">
        <v>6027</v>
      </c>
      <c r="I1331" t="s">
        <v>6213</v>
      </c>
      <c r="J1331" s="2">
        <v>760060</v>
      </c>
      <c r="K1331" s="2">
        <v>3050</v>
      </c>
      <c r="L1331" s="2">
        <v>15</v>
      </c>
      <c r="M1331" s="2">
        <v>0</v>
      </c>
      <c r="N1331" t="s">
        <v>6029</v>
      </c>
      <c r="O1331" t="s">
        <v>6030</v>
      </c>
      <c r="P1331" t="s">
        <v>82</v>
      </c>
      <c r="Q1331" t="s">
        <v>83</v>
      </c>
      <c r="S1331" t="s">
        <v>6214</v>
      </c>
      <c r="U1331" t="s">
        <v>45</v>
      </c>
      <c r="V1331" t="s">
        <v>46</v>
      </c>
      <c r="W1331" t="s">
        <v>6029</v>
      </c>
      <c r="X1331" t="s">
        <v>6030</v>
      </c>
      <c r="Y1331" t="s">
        <v>85</v>
      </c>
      <c r="Z1331" t="s">
        <v>86</v>
      </c>
      <c r="AA1331" t="s">
        <v>49</v>
      </c>
      <c r="AB1331" t="s">
        <v>50</v>
      </c>
      <c r="AC1331" s="2">
        <v>48606.53</v>
      </c>
      <c r="AD1331" t="s">
        <v>6215</v>
      </c>
      <c r="AE1331" t="s">
        <v>115</v>
      </c>
    </row>
    <row r="1332" spans="1:31" x14ac:dyDescent="0.25">
      <c r="A1332" t="s">
        <v>6216</v>
      </c>
      <c r="B1332" t="s">
        <v>6217</v>
      </c>
      <c r="C1332" t="s">
        <v>6217</v>
      </c>
      <c r="D1332" t="s">
        <v>125</v>
      </c>
      <c r="E1332" t="s">
        <v>126</v>
      </c>
      <c r="F1332" t="s">
        <v>6218</v>
      </c>
      <c r="G1332" t="s">
        <v>178</v>
      </c>
      <c r="H1332" t="s">
        <v>303</v>
      </c>
      <c r="I1332" t="s">
        <v>6219</v>
      </c>
      <c r="J1332" s="2">
        <v>464010</v>
      </c>
      <c r="K1332" s="2">
        <v>1862</v>
      </c>
      <c r="L1332" s="2">
        <v>15</v>
      </c>
      <c r="M1332" s="2">
        <v>0</v>
      </c>
      <c r="N1332" t="s">
        <v>302</v>
      </c>
      <c r="O1332" t="s">
        <v>303</v>
      </c>
      <c r="P1332" t="s">
        <v>304</v>
      </c>
      <c r="Q1332" t="s">
        <v>72</v>
      </c>
      <c r="S1332" t="s">
        <v>6220</v>
      </c>
      <c r="U1332" t="s">
        <v>45</v>
      </c>
      <c r="V1332" t="s">
        <v>46</v>
      </c>
      <c r="W1332" t="s">
        <v>302</v>
      </c>
      <c r="X1332" t="s">
        <v>303</v>
      </c>
      <c r="Y1332" t="s">
        <v>72</v>
      </c>
      <c r="Z1332" t="s">
        <v>68</v>
      </c>
      <c r="AA1332" t="s">
        <v>49</v>
      </c>
      <c r="AB1332" t="s">
        <v>50</v>
      </c>
      <c r="AC1332" s="2">
        <v>226315.3</v>
      </c>
      <c r="AD1332" t="s">
        <v>6221</v>
      </c>
      <c r="AE1332" t="s">
        <v>52</v>
      </c>
    </row>
    <row r="1333" spans="1:31" hidden="1" x14ac:dyDescent="0.25">
      <c r="I1333" t="s">
        <v>6222</v>
      </c>
      <c r="J1333" s="2">
        <v>109085</v>
      </c>
      <c r="K1333" s="2">
        <v>500</v>
      </c>
      <c r="L1333" s="2">
        <v>21</v>
      </c>
      <c r="M1333" s="2">
        <v>0</v>
      </c>
      <c r="S1333" t="s">
        <v>6223</v>
      </c>
      <c r="U1333" t="s">
        <v>45</v>
      </c>
      <c r="V1333" t="s">
        <v>46</v>
      </c>
      <c r="W1333" t="s">
        <v>1221</v>
      </c>
      <c r="X1333" t="s">
        <v>1222</v>
      </c>
      <c r="Y1333" t="s">
        <v>161</v>
      </c>
      <c r="Z1333" t="s">
        <v>162</v>
      </c>
      <c r="AA1333" t="s">
        <v>49</v>
      </c>
      <c r="AC1333" s="2"/>
    </row>
    <row r="1334" spans="1:31" x14ac:dyDescent="0.25">
      <c r="A1334" t="s">
        <v>6224</v>
      </c>
      <c r="B1334" t="s">
        <v>6225</v>
      </c>
      <c r="C1334" t="s">
        <v>6225</v>
      </c>
      <c r="D1334" t="s">
        <v>2118</v>
      </c>
      <c r="E1334" t="s">
        <v>871</v>
      </c>
      <c r="F1334" t="s">
        <v>6226</v>
      </c>
      <c r="G1334" t="s">
        <v>819</v>
      </c>
      <c r="H1334" t="s">
        <v>303</v>
      </c>
      <c r="I1334" t="s">
        <v>6227</v>
      </c>
      <c r="J1334" s="2">
        <v>43634</v>
      </c>
      <c r="K1334" s="2">
        <v>200</v>
      </c>
      <c r="L1334" s="2">
        <v>1</v>
      </c>
      <c r="M1334" s="2">
        <v>0</v>
      </c>
      <c r="N1334" t="s">
        <v>302</v>
      </c>
      <c r="O1334" t="s">
        <v>303</v>
      </c>
      <c r="P1334" t="s">
        <v>304</v>
      </c>
      <c r="Q1334" t="s">
        <v>72</v>
      </c>
      <c r="S1334" t="s">
        <v>6228</v>
      </c>
      <c r="U1334" t="s">
        <v>45</v>
      </c>
      <c r="V1334" t="s">
        <v>46</v>
      </c>
      <c r="W1334" t="s">
        <v>302</v>
      </c>
      <c r="X1334" t="s">
        <v>303</v>
      </c>
      <c r="Y1334" t="s">
        <v>72</v>
      </c>
      <c r="Z1334" t="s">
        <v>68</v>
      </c>
      <c r="AA1334" t="s">
        <v>49</v>
      </c>
      <c r="AB1334" t="s">
        <v>50</v>
      </c>
      <c r="AC1334" s="2">
        <v>43634</v>
      </c>
      <c r="AD1334" t="s">
        <v>64</v>
      </c>
    </row>
    <row r="1335" spans="1:31" x14ac:dyDescent="0.25">
      <c r="A1335" t="s">
        <v>6229</v>
      </c>
      <c r="B1335" t="s">
        <v>6230</v>
      </c>
      <c r="C1335" t="s">
        <v>6230</v>
      </c>
      <c r="D1335" t="s">
        <v>870</v>
      </c>
      <c r="E1335" t="s">
        <v>871</v>
      </c>
      <c r="F1335" t="s">
        <v>6231</v>
      </c>
      <c r="G1335" t="s">
        <v>870</v>
      </c>
      <c r="J1335" s="2">
        <v>5000000</v>
      </c>
      <c r="K1335" s="2">
        <v>0</v>
      </c>
      <c r="L1335" s="2">
        <v>45</v>
      </c>
      <c r="M1335" s="2">
        <v>0</v>
      </c>
      <c r="N1335" t="s">
        <v>254</v>
      </c>
      <c r="O1335" t="s">
        <v>255</v>
      </c>
      <c r="P1335" t="s">
        <v>42</v>
      </c>
      <c r="Q1335" t="s">
        <v>43</v>
      </c>
      <c r="S1335" t="s">
        <v>6232</v>
      </c>
      <c r="U1335" t="s">
        <v>45</v>
      </c>
      <c r="V1335" t="s">
        <v>46</v>
      </c>
      <c r="W1335" t="s">
        <v>254</v>
      </c>
      <c r="X1335" t="s">
        <v>255</v>
      </c>
      <c r="Y1335" t="s">
        <v>137</v>
      </c>
      <c r="Z1335" t="s">
        <v>717</v>
      </c>
      <c r="AA1335" t="s">
        <v>49</v>
      </c>
      <c r="AB1335" t="s">
        <v>50</v>
      </c>
      <c r="AC1335" s="2">
        <v>3447345.52</v>
      </c>
      <c r="AD1335" t="s">
        <v>6233</v>
      </c>
      <c r="AE1335" t="s">
        <v>52</v>
      </c>
    </row>
    <row r="1336" spans="1:31" x14ac:dyDescent="0.25">
      <c r="A1336" t="s">
        <v>6234</v>
      </c>
      <c r="B1336" t="s">
        <v>6235</v>
      </c>
      <c r="C1336" t="s">
        <v>6235</v>
      </c>
      <c r="D1336" t="s">
        <v>153</v>
      </c>
      <c r="E1336" t="s">
        <v>272</v>
      </c>
      <c r="F1336" t="s">
        <v>6236</v>
      </c>
      <c r="G1336" t="s">
        <v>178</v>
      </c>
      <c r="H1336" t="s">
        <v>6237</v>
      </c>
      <c r="I1336" t="s">
        <v>6238</v>
      </c>
      <c r="J1336" s="2">
        <v>164409</v>
      </c>
      <c r="K1336" s="2">
        <v>700</v>
      </c>
      <c r="L1336" s="2">
        <v>15</v>
      </c>
      <c r="M1336" s="2">
        <v>0</v>
      </c>
      <c r="N1336" t="s">
        <v>6239</v>
      </c>
      <c r="O1336" t="s">
        <v>6240</v>
      </c>
      <c r="P1336" t="s">
        <v>82</v>
      </c>
      <c r="Q1336" t="s">
        <v>83</v>
      </c>
      <c r="S1336" t="s">
        <v>6241</v>
      </c>
      <c r="U1336" t="s">
        <v>45</v>
      </c>
      <c r="V1336" t="s">
        <v>46</v>
      </c>
      <c r="W1336" t="s">
        <v>6239</v>
      </c>
      <c r="X1336" t="s">
        <v>6240</v>
      </c>
      <c r="Y1336" t="s">
        <v>85</v>
      </c>
      <c r="Z1336" t="s">
        <v>86</v>
      </c>
      <c r="AA1336" t="s">
        <v>49</v>
      </c>
      <c r="AB1336" t="s">
        <v>50</v>
      </c>
      <c r="AC1336" s="2">
        <v>113259.02</v>
      </c>
      <c r="AD1336" t="s">
        <v>6242</v>
      </c>
      <c r="AE1336" t="s">
        <v>52</v>
      </c>
    </row>
    <row r="1337" spans="1:31" x14ac:dyDescent="0.25">
      <c r="A1337" t="s">
        <v>6243</v>
      </c>
      <c r="B1337" t="s">
        <v>6244</v>
      </c>
      <c r="C1337" t="s">
        <v>6244</v>
      </c>
      <c r="D1337" t="s">
        <v>166</v>
      </c>
      <c r="E1337" t="s">
        <v>167</v>
      </c>
      <c r="F1337" t="s">
        <v>6245</v>
      </c>
      <c r="G1337" t="s">
        <v>166</v>
      </c>
      <c r="H1337" t="s">
        <v>6246</v>
      </c>
      <c r="I1337" t="s">
        <v>6247</v>
      </c>
      <c r="J1337" s="2">
        <v>218170</v>
      </c>
      <c r="K1337" s="2">
        <v>1000</v>
      </c>
      <c r="L1337" s="2">
        <v>21</v>
      </c>
      <c r="M1337" s="2">
        <v>0</v>
      </c>
      <c r="N1337" t="s">
        <v>6248</v>
      </c>
      <c r="O1337" t="s">
        <v>6249</v>
      </c>
      <c r="P1337" t="s">
        <v>1363</v>
      </c>
      <c r="Q1337" t="s">
        <v>1364</v>
      </c>
      <c r="S1337" t="s">
        <v>6250</v>
      </c>
      <c r="U1337" t="s">
        <v>45</v>
      </c>
      <c r="V1337" t="s">
        <v>46</v>
      </c>
      <c r="W1337" t="s">
        <v>6248</v>
      </c>
      <c r="X1337" t="s">
        <v>6249</v>
      </c>
      <c r="Y1337" t="s">
        <v>85</v>
      </c>
      <c r="Z1337" t="s">
        <v>86</v>
      </c>
      <c r="AA1337" t="s">
        <v>49</v>
      </c>
      <c r="AB1337" t="s">
        <v>50</v>
      </c>
      <c r="AC1337" s="2">
        <v>161146.92000000001</v>
      </c>
      <c r="AD1337" t="s">
        <v>6251</v>
      </c>
      <c r="AE1337" t="s">
        <v>52</v>
      </c>
    </row>
    <row r="1338" spans="1:31" x14ac:dyDescent="0.25">
      <c r="A1338" t="s">
        <v>6252</v>
      </c>
      <c r="B1338" t="s">
        <v>6253</v>
      </c>
      <c r="C1338" t="s">
        <v>6253</v>
      </c>
      <c r="D1338" t="s">
        <v>2687</v>
      </c>
      <c r="E1338" t="s">
        <v>190</v>
      </c>
      <c r="F1338" t="s">
        <v>6254</v>
      </c>
      <c r="G1338" t="s">
        <v>321</v>
      </c>
      <c r="H1338" t="s">
        <v>6255</v>
      </c>
      <c r="I1338" t="s">
        <v>6256</v>
      </c>
      <c r="J1338" s="2">
        <v>109085</v>
      </c>
      <c r="K1338" s="2">
        <v>500</v>
      </c>
      <c r="L1338" s="2">
        <v>15</v>
      </c>
      <c r="M1338" s="2">
        <v>0</v>
      </c>
      <c r="N1338" t="s">
        <v>6257</v>
      </c>
      <c r="O1338" t="s">
        <v>6258</v>
      </c>
      <c r="P1338" t="s">
        <v>120</v>
      </c>
      <c r="Q1338" t="s">
        <v>121</v>
      </c>
      <c r="S1338" t="s">
        <v>6259</v>
      </c>
      <c r="U1338" t="s">
        <v>45</v>
      </c>
      <c r="V1338" t="s">
        <v>46</v>
      </c>
      <c r="W1338" t="s">
        <v>6257</v>
      </c>
      <c r="X1338" t="s">
        <v>6258</v>
      </c>
      <c r="Y1338" t="s">
        <v>121</v>
      </c>
      <c r="Z1338" t="s">
        <v>94</v>
      </c>
      <c r="AA1338" t="s">
        <v>49</v>
      </c>
      <c r="AB1338" t="s">
        <v>50</v>
      </c>
      <c r="AC1338" s="2">
        <v>109085</v>
      </c>
      <c r="AD1338" t="s">
        <v>64</v>
      </c>
    </row>
    <row r="1339" spans="1:31" hidden="1" x14ac:dyDescent="0.25">
      <c r="J1339" s="2">
        <v>7400</v>
      </c>
      <c r="K1339" s="2">
        <v>0</v>
      </c>
      <c r="L1339" s="2">
        <v>15</v>
      </c>
      <c r="M1339" s="2">
        <v>0</v>
      </c>
      <c r="S1339" t="s">
        <v>6260</v>
      </c>
      <c r="U1339" t="s">
        <v>45</v>
      </c>
      <c r="V1339" t="s">
        <v>46</v>
      </c>
      <c r="W1339" t="s">
        <v>5741</v>
      </c>
      <c r="X1339" t="s">
        <v>5739</v>
      </c>
      <c r="Y1339" t="s">
        <v>5743</v>
      </c>
      <c r="Z1339" t="s">
        <v>5744</v>
      </c>
      <c r="AA1339" t="s">
        <v>49</v>
      </c>
      <c r="AC1339" s="2"/>
    </row>
    <row r="1340" spans="1:31" hidden="1" x14ac:dyDescent="0.25">
      <c r="A1340" t="s">
        <v>6261</v>
      </c>
      <c r="B1340" t="s">
        <v>6262</v>
      </c>
      <c r="C1340" t="s">
        <v>6262</v>
      </c>
      <c r="F1340" t="s">
        <v>4370</v>
      </c>
      <c r="J1340" s="2">
        <v>1000</v>
      </c>
      <c r="K1340" s="2">
        <v>0</v>
      </c>
      <c r="L1340" s="2">
        <v>1</v>
      </c>
      <c r="M1340" s="2">
        <v>0</v>
      </c>
      <c r="N1340" t="s">
        <v>4373</v>
      </c>
      <c r="O1340" t="s">
        <v>4371</v>
      </c>
      <c r="P1340" t="s">
        <v>256</v>
      </c>
      <c r="Q1340" t="s">
        <v>255</v>
      </c>
      <c r="U1340" t="s">
        <v>45</v>
      </c>
      <c r="V1340" t="s">
        <v>46</v>
      </c>
      <c r="W1340" t="s">
        <v>4373</v>
      </c>
      <c r="X1340" t="s">
        <v>4371</v>
      </c>
      <c r="Y1340" t="s">
        <v>258</v>
      </c>
      <c r="Z1340" t="s">
        <v>259</v>
      </c>
      <c r="AA1340" t="s">
        <v>49</v>
      </c>
      <c r="AB1340" t="s">
        <v>50</v>
      </c>
      <c r="AC1340" s="2">
        <v>1000</v>
      </c>
      <c r="AD1340" t="s">
        <v>64</v>
      </c>
    </row>
    <row r="1341" spans="1:31" x14ac:dyDescent="0.25">
      <c r="A1341" t="s">
        <v>6263</v>
      </c>
      <c r="B1341" t="s">
        <v>6264</v>
      </c>
      <c r="C1341" t="s">
        <v>4369</v>
      </c>
      <c r="D1341" t="s">
        <v>817</v>
      </c>
      <c r="E1341" t="s">
        <v>224</v>
      </c>
      <c r="F1341" t="s">
        <v>4370</v>
      </c>
      <c r="G1341" t="s">
        <v>4907</v>
      </c>
      <c r="H1341" t="s">
        <v>6265</v>
      </c>
      <c r="J1341" s="2">
        <v>1119800</v>
      </c>
      <c r="K1341" s="2">
        <v>5000</v>
      </c>
      <c r="L1341" s="2">
        <v>1</v>
      </c>
      <c r="M1341" s="2">
        <v>0</v>
      </c>
      <c r="N1341" t="s">
        <v>6266</v>
      </c>
      <c r="O1341" t="s">
        <v>6267</v>
      </c>
      <c r="P1341" t="s">
        <v>4374</v>
      </c>
      <c r="Q1341" t="s">
        <v>4375</v>
      </c>
      <c r="S1341" t="s">
        <v>6268</v>
      </c>
      <c r="U1341" t="s">
        <v>45</v>
      </c>
      <c r="V1341" t="s">
        <v>46</v>
      </c>
      <c r="W1341" t="s">
        <v>6266</v>
      </c>
      <c r="X1341" t="s">
        <v>6267</v>
      </c>
      <c r="Y1341" t="s">
        <v>137</v>
      </c>
      <c r="Z1341" t="s">
        <v>717</v>
      </c>
      <c r="AA1341" t="s">
        <v>49</v>
      </c>
      <c r="AB1341" t="s">
        <v>50</v>
      </c>
      <c r="AC1341" s="2">
        <v>1119800</v>
      </c>
      <c r="AD1341" t="s">
        <v>64</v>
      </c>
    </row>
    <row r="1342" spans="1:31" x14ac:dyDescent="0.25">
      <c r="A1342" t="s">
        <v>6269</v>
      </c>
      <c r="B1342" t="s">
        <v>6270</v>
      </c>
      <c r="C1342" t="s">
        <v>6270</v>
      </c>
      <c r="D1342" t="s">
        <v>299</v>
      </c>
      <c r="E1342" t="s">
        <v>167</v>
      </c>
      <c r="F1342" t="s">
        <v>6271</v>
      </c>
      <c r="G1342" t="s">
        <v>299</v>
      </c>
      <c r="H1342" t="s">
        <v>1581</v>
      </c>
      <c r="I1342" t="s">
        <v>1018</v>
      </c>
      <c r="J1342" s="2">
        <v>327255</v>
      </c>
      <c r="K1342" s="2">
        <v>1500</v>
      </c>
      <c r="L1342" s="2">
        <v>30</v>
      </c>
      <c r="M1342" s="2">
        <v>0</v>
      </c>
      <c r="N1342" t="s">
        <v>203</v>
      </c>
      <c r="O1342" t="s">
        <v>204</v>
      </c>
      <c r="P1342" t="s">
        <v>205</v>
      </c>
      <c r="Q1342" t="s">
        <v>206</v>
      </c>
      <c r="S1342" t="s">
        <v>6272</v>
      </c>
      <c r="U1342" t="s">
        <v>45</v>
      </c>
      <c r="V1342" t="s">
        <v>46</v>
      </c>
      <c r="W1342" t="s">
        <v>203</v>
      </c>
      <c r="X1342" t="s">
        <v>204</v>
      </c>
      <c r="Y1342" t="s">
        <v>161</v>
      </c>
      <c r="Z1342" t="s">
        <v>162</v>
      </c>
      <c r="AA1342" t="s">
        <v>49</v>
      </c>
      <c r="AB1342" t="s">
        <v>50</v>
      </c>
      <c r="AC1342" s="2">
        <v>104208.19</v>
      </c>
      <c r="AD1342" t="s">
        <v>6273</v>
      </c>
      <c r="AE1342" t="s">
        <v>52</v>
      </c>
    </row>
    <row r="1343" spans="1:31" x14ac:dyDescent="0.25">
      <c r="A1343" t="s">
        <v>6274</v>
      </c>
      <c r="B1343" t="s">
        <v>6275</v>
      </c>
      <c r="C1343" t="s">
        <v>6275</v>
      </c>
      <c r="D1343" t="s">
        <v>125</v>
      </c>
      <c r="E1343" t="s">
        <v>126</v>
      </c>
      <c r="F1343" t="s">
        <v>6276</v>
      </c>
      <c r="G1343" t="s">
        <v>4647</v>
      </c>
      <c r="H1343" t="s">
        <v>2318</v>
      </c>
      <c r="I1343" t="s">
        <v>6277</v>
      </c>
      <c r="J1343" s="2">
        <v>436340</v>
      </c>
      <c r="K1343" s="2">
        <v>2000</v>
      </c>
      <c r="L1343" s="2">
        <v>21</v>
      </c>
      <c r="M1343" s="2">
        <v>0</v>
      </c>
      <c r="N1343" t="s">
        <v>2159</v>
      </c>
      <c r="O1343" t="s">
        <v>2160</v>
      </c>
      <c r="P1343" t="s">
        <v>2320</v>
      </c>
      <c r="Q1343" t="s">
        <v>2321</v>
      </c>
      <c r="S1343" t="s">
        <v>6278</v>
      </c>
      <c r="U1343" t="s">
        <v>45</v>
      </c>
      <c r="V1343" t="s">
        <v>46</v>
      </c>
      <c r="W1343" t="s">
        <v>2159</v>
      </c>
      <c r="X1343" t="s">
        <v>2160</v>
      </c>
      <c r="Y1343" t="s">
        <v>2157</v>
      </c>
      <c r="Z1343" t="s">
        <v>48</v>
      </c>
      <c r="AA1343" t="s">
        <v>49</v>
      </c>
      <c r="AB1343" t="s">
        <v>50</v>
      </c>
      <c r="AC1343" s="2">
        <v>407643.42</v>
      </c>
      <c r="AD1343" t="s">
        <v>6279</v>
      </c>
      <c r="AE1343" t="s">
        <v>115</v>
      </c>
    </row>
    <row r="1344" spans="1:31" x14ac:dyDescent="0.25">
      <c r="A1344" t="s">
        <v>6280</v>
      </c>
      <c r="B1344" t="s">
        <v>6281</v>
      </c>
      <c r="C1344" t="s">
        <v>6281</v>
      </c>
      <c r="D1344" t="s">
        <v>817</v>
      </c>
      <c r="E1344" t="s">
        <v>224</v>
      </c>
      <c r="F1344" t="s">
        <v>6282</v>
      </c>
      <c r="H1344" t="s">
        <v>2318</v>
      </c>
      <c r="I1344" t="s">
        <v>6283</v>
      </c>
      <c r="J1344" s="2">
        <v>7400</v>
      </c>
      <c r="K1344" s="2">
        <v>0</v>
      </c>
      <c r="L1344" s="2">
        <v>12</v>
      </c>
      <c r="M1344" s="2">
        <v>0</v>
      </c>
      <c r="N1344" t="s">
        <v>2159</v>
      </c>
      <c r="O1344" t="s">
        <v>2160</v>
      </c>
      <c r="P1344" t="s">
        <v>42</v>
      </c>
      <c r="Q1344" t="s">
        <v>43</v>
      </c>
      <c r="S1344" t="s">
        <v>6284</v>
      </c>
      <c r="U1344" t="s">
        <v>45</v>
      </c>
      <c r="V1344" t="s">
        <v>46</v>
      </c>
      <c r="W1344" t="s">
        <v>2159</v>
      </c>
      <c r="X1344" t="s">
        <v>2160</v>
      </c>
      <c r="Y1344" t="s">
        <v>2157</v>
      </c>
      <c r="Z1344" t="s">
        <v>48</v>
      </c>
      <c r="AA1344" t="s">
        <v>49</v>
      </c>
      <c r="AB1344" t="s">
        <v>50</v>
      </c>
      <c r="AC1344" s="2">
        <v>7400</v>
      </c>
      <c r="AD1344" t="s">
        <v>64</v>
      </c>
    </row>
    <row r="1345" spans="1:31" hidden="1" x14ac:dyDescent="0.25">
      <c r="I1345" t="s">
        <v>6286</v>
      </c>
      <c r="J1345" s="2">
        <v>21817</v>
      </c>
      <c r="K1345" s="2">
        <v>100</v>
      </c>
      <c r="L1345" s="2">
        <v>1</v>
      </c>
      <c r="M1345" s="2">
        <v>0</v>
      </c>
      <c r="S1345" t="s">
        <v>6287</v>
      </c>
      <c r="U1345" t="s">
        <v>45</v>
      </c>
      <c r="V1345" t="s">
        <v>46</v>
      </c>
      <c r="W1345" t="s">
        <v>1210</v>
      </c>
      <c r="X1345" t="s">
        <v>1211</v>
      </c>
      <c r="Y1345" t="s">
        <v>1215</v>
      </c>
      <c r="Z1345" t="s">
        <v>1216</v>
      </c>
      <c r="AA1345" t="s">
        <v>49</v>
      </c>
      <c r="AC1345" s="2"/>
    </row>
    <row r="1346" spans="1:31" hidden="1" x14ac:dyDescent="0.25">
      <c r="I1346" t="s">
        <v>6289</v>
      </c>
      <c r="J1346" s="2">
        <v>218170</v>
      </c>
      <c r="K1346" s="2">
        <v>1000</v>
      </c>
      <c r="L1346" s="2">
        <v>15</v>
      </c>
      <c r="M1346" s="2">
        <v>0</v>
      </c>
      <c r="S1346" t="s">
        <v>6292</v>
      </c>
      <c r="U1346" t="s">
        <v>45</v>
      </c>
      <c r="V1346" t="s">
        <v>46</v>
      </c>
      <c r="W1346" t="s">
        <v>6290</v>
      </c>
      <c r="X1346" t="s">
        <v>6291</v>
      </c>
      <c r="Y1346" t="s">
        <v>85</v>
      </c>
      <c r="Z1346" t="s">
        <v>86</v>
      </c>
      <c r="AA1346" t="s">
        <v>49</v>
      </c>
      <c r="AC1346" s="2"/>
    </row>
    <row r="1347" spans="1:31" x14ac:dyDescent="0.25">
      <c r="A1347" t="s">
        <v>6293</v>
      </c>
      <c r="B1347" t="s">
        <v>6294</v>
      </c>
      <c r="C1347" t="s">
        <v>6294</v>
      </c>
      <c r="D1347" t="s">
        <v>125</v>
      </c>
      <c r="E1347" t="s">
        <v>126</v>
      </c>
      <c r="F1347" t="s">
        <v>6295</v>
      </c>
      <c r="G1347" t="s">
        <v>125</v>
      </c>
      <c r="H1347" t="s">
        <v>5936</v>
      </c>
      <c r="I1347" t="s">
        <v>6296</v>
      </c>
      <c r="J1347" s="2">
        <v>327255</v>
      </c>
      <c r="K1347" s="2">
        <v>1500</v>
      </c>
      <c r="L1347" s="2">
        <v>15</v>
      </c>
      <c r="M1347" s="2">
        <v>0</v>
      </c>
      <c r="N1347" t="s">
        <v>5938</v>
      </c>
      <c r="O1347" t="s">
        <v>5939</v>
      </c>
      <c r="P1347" t="s">
        <v>1363</v>
      </c>
      <c r="Q1347" t="s">
        <v>1364</v>
      </c>
      <c r="S1347" t="s">
        <v>6297</v>
      </c>
      <c r="U1347" t="s">
        <v>45</v>
      </c>
      <c r="V1347" t="s">
        <v>46</v>
      </c>
      <c r="W1347" t="s">
        <v>5938</v>
      </c>
      <c r="X1347" t="s">
        <v>5939</v>
      </c>
      <c r="Y1347" t="s">
        <v>85</v>
      </c>
      <c r="Z1347" t="s">
        <v>86</v>
      </c>
      <c r="AA1347" t="s">
        <v>49</v>
      </c>
      <c r="AB1347" t="s">
        <v>50</v>
      </c>
      <c r="AC1347" s="2">
        <v>208334.02</v>
      </c>
      <c r="AD1347" t="s">
        <v>6298</v>
      </c>
      <c r="AE1347" t="s">
        <v>52</v>
      </c>
    </row>
    <row r="1348" spans="1:31" x14ac:dyDescent="0.25">
      <c r="A1348" t="s">
        <v>6299</v>
      </c>
      <c r="B1348" t="s">
        <v>6300</v>
      </c>
      <c r="C1348" t="s">
        <v>6300</v>
      </c>
      <c r="D1348" t="s">
        <v>125</v>
      </c>
      <c r="E1348" t="s">
        <v>126</v>
      </c>
      <c r="F1348" t="s">
        <v>6301</v>
      </c>
      <c r="G1348" t="s">
        <v>847</v>
      </c>
      <c r="H1348" t="s">
        <v>255</v>
      </c>
      <c r="I1348" t="s">
        <v>6302</v>
      </c>
      <c r="J1348" s="2">
        <v>65451</v>
      </c>
      <c r="K1348" s="2">
        <v>300</v>
      </c>
      <c r="L1348" s="2">
        <v>7</v>
      </c>
      <c r="M1348" s="2">
        <v>0</v>
      </c>
      <c r="N1348" t="s">
        <v>254</v>
      </c>
      <c r="O1348" t="s">
        <v>255</v>
      </c>
      <c r="P1348" t="s">
        <v>256</v>
      </c>
      <c r="Q1348" t="s">
        <v>255</v>
      </c>
      <c r="S1348" t="s">
        <v>6303</v>
      </c>
      <c r="U1348" t="s">
        <v>45</v>
      </c>
      <c r="V1348" t="s">
        <v>46</v>
      </c>
      <c r="W1348" t="s">
        <v>254</v>
      </c>
      <c r="X1348" t="s">
        <v>255</v>
      </c>
      <c r="Y1348" t="s">
        <v>258</v>
      </c>
      <c r="Z1348" t="s">
        <v>259</v>
      </c>
      <c r="AA1348" t="s">
        <v>49</v>
      </c>
      <c r="AB1348" t="s">
        <v>50</v>
      </c>
      <c r="AC1348" s="2">
        <v>15065.86</v>
      </c>
      <c r="AD1348" t="s">
        <v>6304</v>
      </c>
      <c r="AE1348" t="s">
        <v>115</v>
      </c>
    </row>
    <row r="1349" spans="1:31" x14ac:dyDescent="0.25">
      <c r="A1349" t="s">
        <v>6305</v>
      </c>
      <c r="B1349" t="s">
        <v>6306</v>
      </c>
      <c r="C1349" t="s">
        <v>6306</v>
      </c>
      <c r="D1349" t="s">
        <v>344</v>
      </c>
      <c r="E1349" t="s">
        <v>167</v>
      </c>
      <c r="F1349" t="s">
        <v>6307</v>
      </c>
      <c r="G1349" t="s">
        <v>189</v>
      </c>
      <c r="H1349" t="s">
        <v>116</v>
      </c>
      <c r="I1349" t="s">
        <v>6308</v>
      </c>
      <c r="J1349" s="2">
        <v>76360</v>
      </c>
      <c r="K1349" s="2">
        <v>350</v>
      </c>
      <c r="L1349" s="2">
        <v>7</v>
      </c>
      <c r="M1349" s="2">
        <v>0</v>
      </c>
      <c r="N1349" t="s">
        <v>118</v>
      </c>
      <c r="O1349" t="s">
        <v>119</v>
      </c>
      <c r="P1349" t="s">
        <v>120</v>
      </c>
      <c r="Q1349" t="s">
        <v>121</v>
      </c>
      <c r="S1349" t="s">
        <v>6309</v>
      </c>
      <c r="U1349" t="s">
        <v>45</v>
      </c>
      <c r="V1349" t="s">
        <v>46</v>
      </c>
      <c r="W1349" t="s">
        <v>118</v>
      </c>
      <c r="X1349" t="s">
        <v>119</v>
      </c>
      <c r="Y1349" t="s">
        <v>121</v>
      </c>
      <c r="Z1349" t="s">
        <v>94</v>
      </c>
      <c r="AA1349" t="s">
        <v>49</v>
      </c>
      <c r="AB1349" t="s">
        <v>50</v>
      </c>
      <c r="AC1349" s="2">
        <v>76360</v>
      </c>
      <c r="AD1349" t="s">
        <v>64</v>
      </c>
    </row>
    <row r="1350" spans="1:31" x14ac:dyDescent="0.25">
      <c r="A1350" t="s">
        <v>6310</v>
      </c>
      <c r="B1350" t="s">
        <v>6311</v>
      </c>
      <c r="C1350" t="s">
        <v>6311</v>
      </c>
      <c r="D1350" t="s">
        <v>153</v>
      </c>
      <c r="E1350" t="s">
        <v>272</v>
      </c>
      <c r="F1350" t="s">
        <v>6312</v>
      </c>
      <c r="G1350" t="s">
        <v>153</v>
      </c>
      <c r="H1350" t="s">
        <v>6070</v>
      </c>
      <c r="I1350" t="s">
        <v>6313</v>
      </c>
      <c r="J1350" s="2">
        <v>472920</v>
      </c>
      <c r="K1350" s="2">
        <v>2000</v>
      </c>
      <c r="L1350" s="2">
        <v>15</v>
      </c>
      <c r="M1350" s="2">
        <v>0</v>
      </c>
      <c r="N1350" t="s">
        <v>6072</v>
      </c>
      <c r="O1350" t="s">
        <v>6073</v>
      </c>
      <c r="P1350" t="s">
        <v>557</v>
      </c>
      <c r="Q1350" t="s">
        <v>558</v>
      </c>
      <c r="S1350" t="s">
        <v>6314</v>
      </c>
      <c r="U1350" t="s">
        <v>45</v>
      </c>
      <c r="V1350" t="s">
        <v>46</v>
      </c>
      <c r="W1350" t="s">
        <v>6072</v>
      </c>
      <c r="X1350" t="s">
        <v>6073</v>
      </c>
      <c r="Y1350" t="s">
        <v>85</v>
      </c>
      <c r="Z1350" t="s">
        <v>86</v>
      </c>
      <c r="AA1350" t="s">
        <v>49</v>
      </c>
      <c r="AB1350" t="s">
        <v>50</v>
      </c>
      <c r="AC1350" s="2">
        <v>35531.18</v>
      </c>
      <c r="AD1350" t="s">
        <v>6315</v>
      </c>
      <c r="AE1350" t="s">
        <v>52</v>
      </c>
    </row>
    <row r="1351" spans="1:31" x14ac:dyDescent="0.25">
      <c r="A1351" t="s">
        <v>6316</v>
      </c>
      <c r="B1351" t="s">
        <v>6317</v>
      </c>
      <c r="C1351" t="s">
        <v>6317</v>
      </c>
      <c r="D1351" t="s">
        <v>847</v>
      </c>
      <c r="E1351" t="s">
        <v>848</v>
      </c>
      <c r="F1351" t="s">
        <v>6318</v>
      </c>
      <c r="G1351" t="s">
        <v>847</v>
      </c>
      <c r="H1351" t="s">
        <v>2831</v>
      </c>
      <c r="I1351" t="s">
        <v>6319</v>
      </c>
      <c r="J1351" s="2">
        <v>545425</v>
      </c>
      <c r="K1351" s="2">
        <v>2500</v>
      </c>
      <c r="L1351" s="2">
        <v>15</v>
      </c>
      <c r="M1351" s="2">
        <v>0</v>
      </c>
      <c r="N1351" t="s">
        <v>80</v>
      </c>
      <c r="O1351" t="s">
        <v>81</v>
      </c>
      <c r="P1351" t="s">
        <v>557</v>
      </c>
      <c r="Q1351" t="s">
        <v>558</v>
      </c>
      <c r="S1351" t="s">
        <v>6320</v>
      </c>
      <c r="U1351" t="s">
        <v>45</v>
      </c>
      <c r="V1351" t="s">
        <v>46</v>
      </c>
      <c r="W1351" t="s">
        <v>80</v>
      </c>
      <c r="X1351" t="s">
        <v>81</v>
      </c>
      <c r="Y1351" t="s">
        <v>85</v>
      </c>
      <c r="Z1351" t="s">
        <v>86</v>
      </c>
      <c r="AA1351" t="s">
        <v>49</v>
      </c>
      <c r="AB1351" t="s">
        <v>50</v>
      </c>
      <c r="AC1351" s="2">
        <v>69360.75</v>
      </c>
      <c r="AD1351" t="s">
        <v>6321</v>
      </c>
      <c r="AE1351" t="s">
        <v>52</v>
      </c>
    </row>
    <row r="1352" spans="1:31" x14ac:dyDescent="0.25">
      <c r="A1352" t="s">
        <v>6322</v>
      </c>
      <c r="B1352" t="s">
        <v>6323</v>
      </c>
      <c r="C1352" t="s">
        <v>6323</v>
      </c>
      <c r="D1352" t="s">
        <v>35</v>
      </c>
      <c r="E1352" t="s">
        <v>36</v>
      </c>
      <c r="F1352" t="s">
        <v>6324</v>
      </c>
      <c r="G1352" t="s">
        <v>35</v>
      </c>
      <c r="H1352" t="s">
        <v>1425</v>
      </c>
      <c r="I1352" t="s">
        <v>6325</v>
      </c>
      <c r="J1352" s="2">
        <v>1944880</v>
      </c>
      <c r="K1352" s="2">
        <v>8000</v>
      </c>
      <c r="L1352" s="2">
        <v>15</v>
      </c>
      <c r="M1352" s="2">
        <v>0</v>
      </c>
      <c r="N1352" t="s">
        <v>1427</v>
      </c>
      <c r="O1352" t="s">
        <v>1428</v>
      </c>
      <c r="P1352" t="s">
        <v>557</v>
      </c>
      <c r="Q1352" t="s">
        <v>558</v>
      </c>
      <c r="S1352" t="s">
        <v>6326</v>
      </c>
      <c r="U1352" t="s">
        <v>45</v>
      </c>
      <c r="V1352" t="s">
        <v>46</v>
      </c>
      <c r="W1352" t="s">
        <v>1427</v>
      </c>
      <c r="X1352" t="s">
        <v>1430</v>
      </c>
      <c r="Y1352" t="s">
        <v>85</v>
      </c>
      <c r="Z1352" t="s">
        <v>86</v>
      </c>
      <c r="AA1352" t="s">
        <v>49</v>
      </c>
      <c r="AB1352" t="s">
        <v>50</v>
      </c>
      <c r="AC1352" s="2">
        <v>1014809.8</v>
      </c>
      <c r="AD1352" t="s">
        <v>6327</v>
      </c>
      <c r="AE1352" t="s">
        <v>52</v>
      </c>
    </row>
    <row r="1353" spans="1:31" x14ac:dyDescent="0.25">
      <c r="A1353" t="s">
        <v>6328</v>
      </c>
      <c r="B1353" t="s">
        <v>6329</v>
      </c>
      <c r="C1353" t="s">
        <v>6330</v>
      </c>
      <c r="D1353" t="s">
        <v>847</v>
      </c>
      <c r="E1353" t="s">
        <v>848</v>
      </c>
      <c r="F1353" t="s">
        <v>3999</v>
      </c>
      <c r="G1353" t="s">
        <v>847</v>
      </c>
      <c r="H1353" t="s">
        <v>6331</v>
      </c>
      <c r="I1353" t="s">
        <v>6325</v>
      </c>
      <c r="J1353" s="2">
        <v>763595</v>
      </c>
      <c r="K1353" s="2">
        <v>3500</v>
      </c>
      <c r="L1353" s="2">
        <v>15</v>
      </c>
      <c r="M1353" s="2">
        <v>0</v>
      </c>
      <c r="N1353" t="s">
        <v>6248</v>
      </c>
      <c r="O1353" t="s">
        <v>6249</v>
      </c>
      <c r="P1353" t="s">
        <v>557</v>
      </c>
      <c r="Q1353" t="s">
        <v>558</v>
      </c>
      <c r="S1353" t="s">
        <v>6332</v>
      </c>
      <c r="U1353" t="s">
        <v>45</v>
      </c>
      <c r="V1353" t="s">
        <v>46</v>
      </c>
      <c r="W1353" t="s">
        <v>6248</v>
      </c>
      <c r="X1353" t="s">
        <v>6249</v>
      </c>
      <c r="Y1353" t="s">
        <v>85</v>
      </c>
      <c r="Z1353" t="s">
        <v>86</v>
      </c>
      <c r="AA1353" t="s">
        <v>49</v>
      </c>
      <c r="AB1353" t="s">
        <v>50</v>
      </c>
      <c r="AC1353" s="2">
        <v>388520.81</v>
      </c>
      <c r="AD1353" t="s">
        <v>6333</v>
      </c>
      <c r="AE1353" t="s">
        <v>115</v>
      </c>
    </row>
    <row r="1354" spans="1:31" x14ac:dyDescent="0.25">
      <c r="A1354" t="s">
        <v>6334</v>
      </c>
      <c r="B1354" t="s">
        <v>6335</v>
      </c>
      <c r="C1354" t="s">
        <v>6330</v>
      </c>
      <c r="D1354" t="s">
        <v>125</v>
      </c>
      <c r="E1354" t="s">
        <v>126</v>
      </c>
      <c r="F1354" t="s">
        <v>3999</v>
      </c>
      <c r="G1354" t="s">
        <v>125</v>
      </c>
      <c r="H1354" t="s">
        <v>6027</v>
      </c>
      <c r="I1354" t="s">
        <v>6325</v>
      </c>
      <c r="J1354" s="2">
        <v>1202117</v>
      </c>
      <c r="K1354" s="2">
        <v>5510</v>
      </c>
      <c r="L1354" s="2">
        <v>15</v>
      </c>
      <c r="M1354" s="2">
        <v>0</v>
      </c>
      <c r="N1354" t="s">
        <v>6029</v>
      </c>
      <c r="O1354" t="s">
        <v>6030</v>
      </c>
      <c r="P1354" t="s">
        <v>557</v>
      </c>
      <c r="Q1354" t="s">
        <v>558</v>
      </c>
      <c r="S1354" t="s">
        <v>6332</v>
      </c>
      <c r="U1354" t="s">
        <v>45</v>
      </c>
      <c r="V1354" t="s">
        <v>46</v>
      </c>
      <c r="W1354" t="s">
        <v>6029</v>
      </c>
      <c r="X1354" t="s">
        <v>6030</v>
      </c>
      <c r="Y1354" t="s">
        <v>85</v>
      </c>
      <c r="Z1354" t="s">
        <v>86</v>
      </c>
      <c r="AA1354" t="s">
        <v>49</v>
      </c>
      <c r="AB1354" t="s">
        <v>50</v>
      </c>
      <c r="AC1354" s="2">
        <v>497388.24</v>
      </c>
      <c r="AD1354" t="s">
        <v>6336</v>
      </c>
      <c r="AE1354" t="s">
        <v>52</v>
      </c>
    </row>
    <row r="1355" spans="1:31" x14ac:dyDescent="0.25">
      <c r="A1355" t="s">
        <v>6337</v>
      </c>
      <c r="B1355" t="s">
        <v>6338</v>
      </c>
      <c r="C1355" t="s">
        <v>6330</v>
      </c>
      <c r="D1355" t="s">
        <v>847</v>
      </c>
      <c r="E1355" t="s">
        <v>848</v>
      </c>
      <c r="F1355" t="s">
        <v>3999</v>
      </c>
      <c r="G1355" t="s">
        <v>847</v>
      </c>
      <c r="H1355" t="s">
        <v>1425</v>
      </c>
      <c r="I1355" t="s">
        <v>6325</v>
      </c>
      <c r="J1355" s="2">
        <v>1458660</v>
      </c>
      <c r="K1355" s="2">
        <v>6000</v>
      </c>
      <c r="L1355" s="2">
        <v>15</v>
      </c>
      <c r="M1355" s="2">
        <v>0</v>
      </c>
      <c r="N1355" t="s">
        <v>1427</v>
      </c>
      <c r="O1355" t="s">
        <v>1428</v>
      </c>
      <c r="P1355" t="s">
        <v>557</v>
      </c>
      <c r="Q1355" t="s">
        <v>558</v>
      </c>
      <c r="S1355" t="s">
        <v>6332</v>
      </c>
      <c r="U1355" t="s">
        <v>45</v>
      </c>
      <c r="V1355" t="s">
        <v>46</v>
      </c>
      <c r="W1355" t="s">
        <v>1427</v>
      </c>
      <c r="X1355" t="s">
        <v>1430</v>
      </c>
      <c r="Y1355" t="s">
        <v>85</v>
      </c>
      <c r="Z1355" t="s">
        <v>86</v>
      </c>
      <c r="AA1355" t="s">
        <v>49</v>
      </c>
      <c r="AB1355" t="s">
        <v>50</v>
      </c>
      <c r="AC1355" s="2">
        <v>900495.59</v>
      </c>
      <c r="AD1355" t="s">
        <v>6339</v>
      </c>
      <c r="AE1355" t="s">
        <v>115</v>
      </c>
    </row>
    <row r="1356" spans="1:31" hidden="1" x14ac:dyDescent="0.25">
      <c r="I1356" t="s">
        <v>6340</v>
      </c>
      <c r="J1356" s="2">
        <v>1000</v>
      </c>
      <c r="K1356" s="2">
        <v>0</v>
      </c>
      <c r="L1356" s="2">
        <v>1</v>
      </c>
      <c r="M1356" s="2">
        <v>0</v>
      </c>
      <c r="S1356" t="s">
        <v>6343</v>
      </c>
      <c r="U1356" t="s">
        <v>45</v>
      </c>
      <c r="V1356" t="s">
        <v>46</v>
      </c>
      <c r="W1356" t="s">
        <v>445</v>
      </c>
      <c r="X1356" t="s">
        <v>446</v>
      </c>
      <c r="Y1356" t="s">
        <v>72</v>
      </c>
      <c r="Z1356" t="s">
        <v>68</v>
      </c>
      <c r="AA1356" t="s">
        <v>49</v>
      </c>
      <c r="AC1356" s="2"/>
    </row>
    <row r="1357" spans="1:31" x14ac:dyDescent="0.25">
      <c r="A1357" t="s">
        <v>6344</v>
      </c>
      <c r="B1357" t="s">
        <v>6345</v>
      </c>
      <c r="C1357" t="s">
        <v>6345</v>
      </c>
      <c r="D1357" t="s">
        <v>35</v>
      </c>
      <c r="E1357" t="s">
        <v>36</v>
      </c>
      <c r="F1357" t="s">
        <v>6346</v>
      </c>
      <c r="G1357" t="s">
        <v>35</v>
      </c>
      <c r="H1357" t="s">
        <v>1123</v>
      </c>
      <c r="I1357" t="s">
        <v>4955</v>
      </c>
      <c r="J1357" s="2">
        <v>654510</v>
      </c>
      <c r="K1357" s="2">
        <v>3000</v>
      </c>
      <c r="L1357" s="2">
        <v>15</v>
      </c>
      <c r="M1357" s="2">
        <v>0</v>
      </c>
      <c r="N1357" t="s">
        <v>1125</v>
      </c>
      <c r="O1357" t="s">
        <v>1123</v>
      </c>
      <c r="P1357" t="s">
        <v>158</v>
      </c>
      <c r="Q1357" t="s">
        <v>159</v>
      </c>
      <c r="S1357" t="s">
        <v>6347</v>
      </c>
      <c r="U1357" t="s">
        <v>45</v>
      </c>
      <c r="V1357" t="s">
        <v>46</v>
      </c>
      <c r="W1357" t="s">
        <v>1125</v>
      </c>
      <c r="X1357" t="s">
        <v>1123</v>
      </c>
      <c r="Y1357" t="s">
        <v>161</v>
      </c>
      <c r="Z1357" t="s">
        <v>162</v>
      </c>
      <c r="AA1357" t="s">
        <v>49</v>
      </c>
      <c r="AB1357" t="s">
        <v>50</v>
      </c>
      <c r="AC1357" s="2">
        <v>515643.38</v>
      </c>
      <c r="AD1357" t="s">
        <v>6348</v>
      </c>
      <c r="AE1357" t="s">
        <v>52</v>
      </c>
    </row>
    <row r="1358" spans="1:31" hidden="1" x14ac:dyDescent="0.25">
      <c r="I1358" t="s">
        <v>6349</v>
      </c>
      <c r="J1358" s="2">
        <v>21817</v>
      </c>
      <c r="K1358" s="2">
        <v>100</v>
      </c>
      <c r="L1358" s="2">
        <v>1</v>
      </c>
      <c r="M1358" s="2">
        <v>0</v>
      </c>
      <c r="S1358" t="s">
        <v>6350</v>
      </c>
      <c r="U1358" t="s">
        <v>45</v>
      </c>
      <c r="V1358" t="s">
        <v>46</v>
      </c>
      <c r="W1358" t="s">
        <v>403</v>
      </c>
      <c r="X1358" t="s">
        <v>404</v>
      </c>
      <c r="Y1358" t="s">
        <v>161</v>
      </c>
      <c r="Z1358" t="s">
        <v>162</v>
      </c>
      <c r="AA1358" t="s">
        <v>49</v>
      </c>
      <c r="AC1358" s="2"/>
    </row>
    <row r="1359" spans="1:31" x14ac:dyDescent="0.25">
      <c r="A1359" t="s">
        <v>6351</v>
      </c>
      <c r="B1359" t="s">
        <v>6352</v>
      </c>
      <c r="C1359" t="s">
        <v>6352</v>
      </c>
      <c r="D1359" t="s">
        <v>223</v>
      </c>
      <c r="E1359" t="s">
        <v>224</v>
      </c>
      <c r="F1359" t="s">
        <v>6353</v>
      </c>
      <c r="H1359" t="s">
        <v>1425</v>
      </c>
      <c r="I1359" t="s">
        <v>6354</v>
      </c>
      <c r="J1359" s="2">
        <v>218</v>
      </c>
      <c r="K1359" s="2">
        <v>1</v>
      </c>
      <c r="L1359" s="2">
        <v>1</v>
      </c>
      <c r="M1359" s="2">
        <v>0</v>
      </c>
      <c r="N1359" t="s">
        <v>1427</v>
      </c>
      <c r="O1359" t="s">
        <v>1428</v>
      </c>
      <c r="P1359" t="s">
        <v>82</v>
      </c>
      <c r="Q1359" t="s">
        <v>83</v>
      </c>
      <c r="S1359" t="s">
        <v>6355</v>
      </c>
      <c r="U1359" t="s">
        <v>45</v>
      </c>
      <c r="V1359" t="s">
        <v>46</v>
      </c>
      <c r="W1359" t="s">
        <v>1427</v>
      </c>
      <c r="X1359" t="s">
        <v>1430</v>
      </c>
      <c r="Y1359" t="s">
        <v>85</v>
      </c>
      <c r="Z1359" t="s">
        <v>86</v>
      </c>
      <c r="AA1359" t="s">
        <v>49</v>
      </c>
      <c r="AB1359" t="s">
        <v>50</v>
      </c>
      <c r="AC1359" s="2">
        <v>218</v>
      </c>
      <c r="AD1359" t="s">
        <v>64</v>
      </c>
    </row>
    <row r="1360" spans="1:31" x14ac:dyDescent="0.25">
      <c r="A1360" t="s">
        <v>6356</v>
      </c>
      <c r="B1360" t="s">
        <v>6357</v>
      </c>
      <c r="C1360" t="s">
        <v>6357</v>
      </c>
      <c r="D1360" t="s">
        <v>153</v>
      </c>
      <c r="E1360" t="s">
        <v>272</v>
      </c>
      <c r="F1360" t="s">
        <v>6358</v>
      </c>
      <c r="G1360" t="s">
        <v>153</v>
      </c>
      <c r="H1360" t="s">
        <v>653</v>
      </c>
      <c r="I1360" t="s">
        <v>6359</v>
      </c>
      <c r="J1360" s="2">
        <v>427443</v>
      </c>
      <c r="K1360" s="2">
        <v>1850</v>
      </c>
      <c r="L1360" s="2">
        <v>15</v>
      </c>
      <c r="M1360" s="2">
        <v>0</v>
      </c>
      <c r="N1360" t="s">
        <v>652</v>
      </c>
      <c r="O1360" t="s">
        <v>653</v>
      </c>
      <c r="P1360" t="s">
        <v>69</v>
      </c>
      <c r="Q1360" t="s">
        <v>70</v>
      </c>
      <c r="S1360" t="s">
        <v>6360</v>
      </c>
      <c r="U1360" t="s">
        <v>45</v>
      </c>
      <c r="V1360" t="s">
        <v>46</v>
      </c>
      <c r="W1360" t="s">
        <v>652</v>
      </c>
      <c r="X1360" t="s">
        <v>653</v>
      </c>
      <c r="Y1360" t="s">
        <v>72</v>
      </c>
      <c r="Z1360" t="s">
        <v>68</v>
      </c>
      <c r="AA1360" t="s">
        <v>49</v>
      </c>
      <c r="AB1360" t="s">
        <v>50</v>
      </c>
      <c r="AC1360" s="2">
        <v>151877.68</v>
      </c>
      <c r="AD1360" t="s">
        <v>6361</v>
      </c>
      <c r="AE1360" t="s">
        <v>115</v>
      </c>
    </row>
    <row r="1361" spans="1:31" x14ac:dyDescent="0.25">
      <c r="A1361" s="15" t="s">
        <v>6362</v>
      </c>
      <c r="B1361" s="15" t="s">
        <v>6363</v>
      </c>
      <c r="C1361" s="15" t="s">
        <v>6363</v>
      </c>
      <c r="D1361" s="15" t="s">
        <v>55</v>
      </c>
      <c r="E1361" s="15" t="s">
        <v>56</v>
      </c>
      <c r="F1361" s="15" t="s">
        <v>6364</v>
      </c>
      <c r="H1361" s="15" t="s">
        <v>6365</v>
      </c>
      <c r="J1361" s="2">
        <v>9200</v>
      </c>
      <c r="K1361" s="2">
        <v>0</v>
      </c>
      <c r="L1361" s="2">
        <v>15</v>
      </c>
      <c r="M1361" s="2">
        <v>0</v>
      </c>
      <c r="N1361" s="15" t="s">
        <v>6366</v>
      </c>
      <c r="O1361" s="15" t="s">
        <v>6367</v>
      </c>
      <c r="P1361" s="15" t="s">
        <v>557</v>
      </c>
      <c r="Q1361" s="15" t="s">
        <v>558</v>
      </c>
      <c r="S1361" t="s">
        <v>6368</v>
      </c>
      <c r="U1361" t="s">
        <v>45</v>
      </c>
      <c r="V1361" t="s">
        <v>46</v>
      </c>
      <c r="W1361" t="s">
        <v>6366</v>
      </c>
      <c r="X1361" t="s">
        <v>6367</v>
      </c>
      <c r="Y1361" t="s">
        <v>85</v>
      </c>
      <c r="Z1361" t="s">
        <v>86</v>
      </c>
      <c r="AA1361" t="s">
        <v>49</v>
      </c>
      <c r="AB1361" s="15" t="s">
        <v>50</v>
      </c>
      <c r="AC1361" s="16">
        <v>1243.58</v>
      </c>
      <c r="AD1361" s="15" t="s">
        <v>6369</v>
      </c>
      <c r="AE1361" s="15" t="s">
        <v>115</v>
      </c>
    </row>
    <row r="1362" spans="1:31" hidden="1" x14ac:dyDescent="0.25">
      <c r="I1362" t="s">
        <v>6370</v>
      </c>
      <c r="J1362" s="2">
        <v>1728</v>
      </c>
      <c r="K1362" s="2">
        <v>7.92</v>
      </c>
      <c r="L1362" s="2">
        <v>1</v>
      </c>
      <c r="M1362" s="2">
        <v>0</v>
      </c>
      <c r="S1362" t="s">
        <v>6371</v>
      </c>
      <c r="U1362" t="s">
        <v>45</v>
      </c>
      <c r="V1362" t="s">
        <v>46</v>
      </c>
      <c r="W1362" t="s">
        <v>664</v>
      </c>
      <c r="X1362" t="s">
        <v>665</v>
      </c>
      <c r="Y1362" t="s">
        <v>106</v>
      </c>
      <c r="Z1362" t="s">
        <v>107</v>
      </c>
      <c r="AA1362" t="s">
        <v>49</v>
      </c>
      <c r="AC1362" s="2"/>
    </row>
    <row r="1363" spans="1:31" x14ac:dyDescent="0.25">
      <c r="A1363" t="s">
        <v>6372</v>
      </c>
      <c r="B1363" t="s">
        <v>6373</v>
      </c>
      <c r="C1363" t="s">
        <v>6373</v>
      </c>
      <c r="D1363" t="s">
        <v>873</v>
      </c>
      <c r="E1363" t="s">
        <v>224</v>
      </c>
      <c r="F1363" t="s">
        <v>6374</v>
      </c>
      <c r="H1363" t="s">
        <v>404</v>
      </c>
      <c r="I1363" t="s">
        <v>6375</v>
      </c>
      <c r="J1363" s="2">
        <v>436340</v>
      </c>
      <c r="K1363" s="2">
        <v>2000</v>
      </c>
      <c r="L1363" s="2">
        <v>21</v>
      </c>
      <c r="M1363" s="2">
        <v>0</v>
      </c>
      <c r="N1363" t="s">
        <v>403</v>
      </c>
      <c r="O1363" t="s">
        <v>404</v>
      </c>
      <c r="P1363" t="s">
        <v>205</v>
      </c>
      <c r="Q1363" t="s">
        <v>206</v>
      </c>
      <c r="S1363" t="s">
        <v>6376</v>
      </c>
      <c r="U1363" t="s">
        <v>45</v>
      </c>
      <c r="V1363" t="s">
        <v>46</v>
      </c>
      <c r="W1363" t="s">
        <v>403</v>
      </c>
      <c r="X1363" t="s">
        <v>404</v>
      </c>
      <c r="Y1363" t="s">
        <v>161</v>
      </c>
      <c r="Z1363" t="s">
        <v>162</v>
      </c>
      <c r="AA1363" t="s">
        <v>49</v>
      </c>
      <c r="AB1363" t="s">
        <v>50</v>
      </c>
      <c r="AC1363" s="2">
        <v>436340</v>
      </c>
      <c r="AD1363" t="s">
        <v>64</v>
      </c>
    </row>
    <row r="1364" spans="1:31" x14ac:dyDescent="0.25">
      <c r="A1364" t="s">
        <v>6377</v>
      </c>
      <c r="B1364" t="s">
        <v>6378</v>
      </c>
      <c r="C1364" t="s">
        <v>6379</v>
      </c>
      <c r="D1364" t="s">
        <v>35</v>
      </c>
      <c r="E1364" t="s">
        <v>36</v>
      </c>
      <c r="F1364" t="s">
        <v>6380</v>
      </c>
      <c r="G1364" t="s">
        <v>153</v>
      </c>
      <c r="H1364" t="s">
        <v>265</v>
      </c>
      <c r="I1364" t="s">
        <v>6381</v>
      </c>
      <c r="J1364" s="2">
        <v>5454250</v>
      </c>
      <c r="K1364" s="2">
        <v>25000</v>
      </c>
      <c r="L1364" s="2">
        <v>30</v>
      </c>
      <c r="M1364" s="2">
        <v>0</v>
      </c>
      <c r="N1364" t="s">
        <v>267</v>
      </c>
      <c r="O1364" t="s">
        <v>268</v>
      </c>
      <c r="P1364" t="s">
        <v>103</v>
      </c>
      <c r="Q1364" t="s">
        <v>104</v>
      </c>
      <c r="S1364" t="s">
        <v>6382</v>
      </c>
      <c r="U1364" t="s">
        <v>45</v>
      </c>
      <c r="V1364" t="s">
        <v>46</v>
      </c>
      <c r="W1364" t="s">
        <v>267</v>
      </c>
      <c r="X1364" t="s">
        <v>268</v>
      </c>
      <c r="Y1364" t="s">
        <v>106</v>
      </c>
      <c r="Z1364" t="s">
        <v>107</v>
      </c>
      <c r="AA1364" t="s">
        <v>49</v>
      </c>
      <c r="AB1364" t="s">
        <v>50</v>
      </c>
      <c r="AC1364" s="2">
        <v>4310615.66</v>
      </c>
      <c r="AD1364" t="s">
        <v>6383</v>
      </c>
      <c r="AE1364" t="s">
        <v>52</v>
      </c>
    </row>
    <row r="1365" spans="1:31" hidden="1" x14ac:dyDescent="0.25">
      <c r="I1365" t="s">
        <v>6384</v>
      </c>
      <c r="J1365" s="2">
        <v>218</v>
      </c>
      <c r="K1365" s="2">
        <v>1</v>
      </c>
      <c r="L1365" s="2">
        <v>1</v>
      </c>
      <c r="M1365" s="2">
        <v>0</v>
      </c>
      <c r="S1365" t="s">
        <v>6385</v>
      </c>
      <c r="U1365" t="s">
        <v>45</v>
      </c>
      <c r="V1365" t="s">
        <v>46</v>
      </c>
      <c r="W1365" t="s">
        <v>80</v>
      </c>
      <c r="X1365" t="s">
        <v>81</v>
      </c>
      <c r="Y1365" t="s">
        <v>85</v>
      </c>
      <c r="Z1365" t="s">
        <v>86</v>
      </c>
      <c r="AA1365" t="s">
        <v>49</v>
      </c>
      <c r="AC1365" s="2"/>
    </row>
    <row r="1366" spans="1:31" hidden="1" x14ac:dyDescent="0.25">
      <c r="I1366" t="s">
        <v>6384</v>
      </c>
      <c r="J1366" s="2">
        <v>218</v>
      </c>
      <c r="K1366" s="2">
        <v>1</v>
      </c>
      <c r="L1366" s="2">
        <v>1</v>
      </c>
      <c r="M1366" s="2">
        <v>0</v>
      </c>
      <c r="S1366" t="s">
        <v>6386</v>
      </c>
      <c r="U1366" t="s">
        <v>45</v>
      </c>
      <c r="V1366" t="s">
        <v>46</v>
      </c>
      <c r="W1366" t="s">
        <v>6072</v>
      </c>
      <c r="X1366" t="s">
        <v>6073</v>
      </c>
      <c r="Y1366" t="s">
        <v>85</v>
      </c>
      <c r="Z1366" t="s">
        <v>86</v>
      </c>
      <c r="AA1366" t="s">
        <v>49</v>
      </c>
      <c r="AC1366" s="2"/>
    </row>
    <row r="1367" spans="1:31" hidden="1" x14ac:dyDescent="0.25">
      <c r="I1367" t="s">
        <v>6387</v>
      </c>
      <c r="J1367" s="2">
        <v>21817</v>
      </c>
      <c r="K1367" s="2">
        <v>100</v>
      </c>
      <c r="L1367" s="2">
        <v>1</v>
      </c>
      <c r="M1367" s="2">
        <v>0</v>
      </c>
      <c r="S1367" t="s">
        <v>6388</v>
      </c>
      <c r="U1367" t="s">
        <v>45</v>
      </c>
      <c r="V1367" t="s">
        <v>46</v>
      </c>
      <c r="W1367" t="s">
        <v>1357</v>
      </c>
      <c r="X1367" t="s">
        <v>1358</v>
      </c>
      <c r="Y1367" t="s">
        <v>92</v>
      </c>
      <c r="Z1367" t="s">
        <v>94</v>
      </c>
      <c r="AA1367" t="s">
        <v>49</v>
      </c>
      <c r="AC1367" s="2"/>
    </row>
    <row r="1368" spans="1:31" x14ac:dyDescent="0.25">
      <c r="A1368" t="s">
        <v>6389</v>
      </c>
      <c r="B1368" t="s">
        <v>6390</v>
      </c>
      <c r="C1368" t="s">
        <v>6390</v>
      </c>
      <c r="D1368" t="s">
        <v>189</v>
      </c>
      <c r="E1368" t="s">
        <v>190</v>
      </c>
      <c r="F1368" t="s">
        <v>6391</v>
      </c>
      <c r="G1368" t="s">
        <v>1467</v>
      </c>
      <c r="H1368" t="s">
        <v>81</v>
      </c>
      <c r="I1368" t="s">
        <v>6392</v>
      </c>
      <c r="J1368" s="2">
        <v>109085</v>
      </c>
      <c r="K1368" s="2">
        <v>500</v>
      </c>
      <c r="L1368" s="2">
        <v>15</v>
      </c>
      <c r="M1368" s="2">
        <v>0</v>
      </c>
      <c r="N1368" t="s">
        <v>80</v>
      </c>
      <c r="O1368" t="s">
        <v>81</v>
      </c>
      <c r="P1368" t="s">
        <v>557</v>
      </c>
      <c r="Q1368" t="s">
        <v>558</v>
      </c>
      <c r="S1368" t="s">
        <v>6393</v>
      </c>
      <c r="U1368" t="s">
        <v>45</v>
      </c>
      <c r="V1368" t="s">
        <v>46</v>
      </c>
      <c r="W1368" t="s">
        <v>80</v>
      </c>
      <c r="X1368" t="s">
        <v>81</v>
      </c>
      <c r="Y1368" t="s">
        <v>85</v>
      </c>
      <c r="Z1368" t="s">
        <v>86</v>
      </c>
      <c r="AA1368" t="s">
        <v>49</v>
      </c>
      <c r="AB1368" t="s">
        <v>50</v>
      </c>
      <c r="AC1368" s="2">
        <v>109085</v>
      </c>
      <c r="AD1368" t="s">
        <v>64</v>
      </c>
    </row>
    <row r="1369" spans="1:31" x14ac:dyDescent="0.25">
      <c r="A1369" t="s">
        <v>6394</v>
      </c>
      <c r="B1369" t="s">
        <v>6395</v>
      </c>
      <c r="C1369" t="s">
        <v>6395</v>
      </c>
      <c r="D1369" t="s">
        <v>2389</v>
      </c>
      <c r="E1369" t="s">
        <v>134</v>
      </c>
      <c r="F1369" t="s">
        <v>6396</v>
      </c>
      <c r="G1369" t="s">
        <v>2288</v>
      </c>
      <c r="H1369" t="s">
        <v>446</v>
      </c>
      <c r="I1369" t="s">
        <v>6397</v>
      </c>
      <c r="J1369" s="2">
        <v>305438</v>
      </c>
      <c r="K1369" s="2">
        <v>1400</v>
      </c>
      <c r="L1369" s="2">
        <v>7</v>
      </c>
      <c r="M1369" s="2">
        <v>0</v>
      </c>
      <c r="N1369" t="s">
        <v>445</v>
      </c>
      <c r="O1369" t="s">
        <v>446</v>
      </c>
      <c r="P1369" t="s">
        <v>69</v>
      </c>
      <c r="Q1369" t="s">
        <v>70</v>
      </c>
      <c r="S1369" t="s">
        <v>6398</v>
      </c>
      <c r="U1369" t="s">
        <v>45</v>
      </c>
      <c r="V1369" t="s">
        <v>46</v>
      </c>
      <c r="W1369" t="s">
        <v>445</v>
      </c>
      <c r="X1369" t="s">
        <v>446</v>
      </c>
      <c r="Y1369" t="s">
        <v>72</v>
      </c>
      <c r="Z1369" t="s">
        <v>68</v>
      </c>
      <c r="AA1369" t="s">
        <v>49</v>
      </c>
      <c r="AB1369" t="s">
        <v>50</v>
      </c>
      <c r="AC1369" s="2">
        <v>305438</v>
      </c>
      <c r="AD1369" t="s">
        <v>64</v>
      </c>
    </row>
    <row r="1370" spans="1:31" x14ac:dyDescent="0.25">
      <c r="A1370" t="s">
        <v>6399</v>
      </c>
      <c r="B1370" t="s">
        <v>6400</v>
      </c>
      <c r="C1370" t="s">
        <v>6400</v>
      </c>
      <c r="D1370" t="s">
        <v>153</v>
      </c>
      <c r="E1370" t="s">
        <v>272</v>
      </c>
      <c r="F1370" t="s">
        <v>6401</v>
      </c>
      <c r="G1370" t="s">
        <v>153</v>
      </c>
      <c r="H1370" t="s">
        <v>65</v>
      </c>
      <c r="I1370" t="s">
        <v>946</v>
      </c>
      <c r="J1370" s="2">
        <v>1527190</v>
      </c>
      <c r="K1370" s="2">
        <v>7000</v>
      </c>
      <c r="L1370" s="2">
        <v>15</v>
      </c>
      <c r="M1370" s="2">
        <v>0</v>
      </c>
      <c r="N1370" t="s">
        <v>67</v>
      </c>
      <c r="O1370" t="s">
        <v>68</v>
      </c>
      <c r="P1370" t="s">
        <v>69</v>
      </c>
      <c r="Q1370" t="s">
        <v>70</v>
      </c>
      <c r="S1370" t="s">
        <v>6402</v>
      </c>
      <c r="U1370" t="s">
        <v>45</v>
      </c>
      <c r="V1370" t="s">
        <v>46</v>
      </c>
      <c r="W1370" t="s">
        <v>67</v>
      </c>
      <c r="X1370" t="s">
        <v>68</v>
      </c>
      <c r="Y1370" t="s">
        <v>72</v>
      </c>
      <c r="Z1370" t="s">
        <v>68</v>
      </c>
      <c r="AA1370" t="s">
        <v>49</v>
      </c>
      <c r="AB1370" t="s">
        <v>50</v>
      </c>
      <c r="AC1370" s="2">
        <v>1377229.81</v>
      </c>
      <c r="AD1370" t="s">
        <v>6403</v>
      </c>
      <c r="AE1370" t="s">
        <v>52</v>
      </c>
    </row>
    <row r="1371" spans="1:31" x14ac:dyDescent="0.25">
      <c r="A1371" t="s">
        <v>6404</v>
      </c>
      <c r="B1371" t="s">
        <v>6405</v>
      </c>
      <c r="C1371" t="s">
        <v>6405</v>
      </c>
      <c r="D1371" t="s">
        <v>125</v>
      </c>
      <c r="E1371" t="s">
        <v>126</v>
      </c>
      <c r="F1371" t="s">
        <v>6406</v>
      </c>
      <c r="G1371" t="s">
        <v>847</v>
      </c>
      <c r="H1371" t="s">
        <v>2831</v>
      </c>
      <c r="I1371" t="s">
        <v>6407</v>
      </c>
      <c r="J1371" s="2">
        <v>194856</v>
      </c>
      <c r="K1371" s="2">
        <v>800</v>
      </c>
      <c r="L1371" s="2">
        <v>15</v>
      </c>
      <c r="M1371" s="2">
        <v>0</v>
      </c>
      <c r="N1371" t="s">
        <v>80</v>
      </c>
      <c r="O1371" t="s">
        <v>81</v>
      </c>
      <c r="P1371" t="s">
        <v>82</v>
      </c>
      <c r="Q1371" t="s">
        <v>83</v>
      </c>
      <c r="S1371" t="s">
        <v>6408</v>
      </c>
      <c r="U1371" t="s">
        <v>45</v>
      </c>
      <c r="V1371" t="s">
        <v>46</v>
      </c>
      <c r="W1371" t="s">
        <v>80</v>
      </c>
      <c r="X1371" t="s">
        <v>81</v>
      </c>
      <c r="Y1371" t="s">
        <v>85</v>
      </c>
      <c r="Z1371" t="s">
        <v>86</v>
      </c>
      <c r="AA1371" t="s">
        <v>49</v>
      </c>
      <c r="AB1371" t="s">
        <v>50</v>
      </c>
      <c r="AC1371" s="2">
        <v>32776.1</v>
      </c>
      <c r="AD1371" t="s">
        <v>6409</v>
      </c>
      <c r="AE1371" t="s">
        <v>115</v>
      </c>
    </row>
    <row r="1372" spans="1:31" x14ac:dyDescent="0.25">
      <c r="A1372" t="s">
        <v>6410</v>
      </c>
      <c r="B1372" t="s">
        <v>6411</v>
      </c>
      <c r="C1372" t="s">
        <v>6411</v>
      </c>
      <c r="D1372" t="s">
        <v>125</v>
      </c>
      <c r="E1372" t="s">
        <v>126</v>
      </c>
      <c r="F1372" t="s">
        <v>6412</v>
      </c>
      <c r="G1372" t="s">
        <v>125</v>
      </c>
      <c r="H1372" t="s">
        <v>6237</v>
      </c>
      <c r="I1372" t="s">
        <v>6413</v>
      </c>
      <c r="J1372" s="2">
        <v>218170</v>
      </c>
      <c r="K1372" s="2">
        <v>1000</v>
      </c>
      <c r="L1372" s="2">
        <v>15</v>
      </c>
      <c r="M1372" s="2">
        <v>0</v>
      </c>
      <c r="N1372" t="s">
        <v>6239</v>
      </c>
      <c r="O1372" t="s">
        <v>6240</v>
      </c>
      <c r="P1372" t="s">
        <v>82</v>
      </c>
      <c r="Q1372" t="s">
        <v>83</v>
      </c>
      <c r="S1372" t="s">
        <v>6414</v>
      </c>
      <c r="U1372" t="s">
        <v>45</v>
      </c>
      <c r="V1372" t="s">
        <v>46</v>
      </c>
      <c r="W1372" t="s">
        <v>6239</v>
      </c>
      <c r="X1372" t="s">
        <v>6240</v>
      </c>
      <c r="Y1372" t="s">
        <v>85</v>
      </c>
      <c r="Z1372" t="s">
        <v>86</v>
      </c>
      <c r="AA1372" t="s">
        <v>49</v>
      </c>
      <c r="AB1372" t="s">
        <v>50</v>
      </c>
      <c r="AC1372" s="2">
        <v>157512.06</v>
      </c>
      <c r="AD1372" t="s">
        <v>6415</v>
      </c>
      <c r="AE1372" t="s">
        <v>52</v>
      </c>
    </row>
    <row r="1373" spans="1:31" x14ac:dyDescent="0.25">
      <c r="A1373" t="s">
        <v>6416</v>
      </c>
      <c r="B1373" t="s">
        <v>6417</v>
      </c>
      <c r="C1373" t="s">
        <v>6417</v>
      </c>
      <c r="D1373" t="s">
        <v>2661</v>
      </c>
      <c r="E1373" t="s">
        <v>134</v>
      </c>
      <c r="F1373" t="s">
        <v>6418</v>
      </c>
      <c r="G1373" t="s">
        <v>1504</v>
      </c>
      <c r="H1373" t="s">
        <v>6419</v>
      </c>
      <c r="I1373" t="s">
        <v>6420</v>
      </c>
      <c r="J1373" s="2">
        <v>130902</v>
      </c>
      <c r="K1373" s="2">
        <v>600</v>
      </c>
      <c r="L1373" s="2">
        <v>15</v>
      </c>
      <c r="M1373" s="2">
        <v>0</v>
      </c>
      <c r="N1373" t="s">
        <v>6029</v>
      </c>
      <c r="O1373" t="s">
        <v>6030</v>
      </c>
      <c r="P1373" t="s">
        <v>82</v>
      </c>
      <c r="Q1373" t="s">
        <v>83</v>
      </c>
      <c r="S1373" t="s">
        <v>6421</v>
      </c>
      <c r="U1373" t="s">
        <v>45</v>
      </c>
      <c r="V1373" t="s">
        <v>46</v>
      </c>
      <c r="W1373" t="s">
        <v>6029</v>
      </c>
      <c r="X1373" t="s">
        <v>6030</v>
      </c>
      <c r="Y1373" t="s">
        <v>85</v>
      </c>
      <c r="Z1373" t="s">
        <v>86</v>
      </c>
      <c r="AA1373" t="s">
        <v>49</v>
      </c>
      <c r="AB1373" t="s">
        <v>50</v>
      </c>
      <c r="AC1373" s="2">
        <v>130902</v>
      </c>
      <c r="AD1373" t="s">
        <v>64</v>
      </c>
    </row>
    <row r="1374" spans="1:31" x14ac:dyDescent="0.25">
      <c r="A1374" t="s">
        <v>6422</v>
      </c>
      <c r="B1374" t="s">
        <v>6423</v>
      </c>
      <c r="C1374" t="s">
        <v>6423</v>
      </c>
      <c r="D1374" t="s">
        <v>498</v>
      </c>
      <c r="E1374" t="s">
        <v>190</v>
      </c>
      <c r="F1374" t="s">
        <v>6424</v>
      </c>
      <c r="G1374" t="s">
        <v>555</v>
      </c>
      <c r="H1374" t="s">
        <v>255</v>
      </c>
      <c r="J1374" s="2">
        <v>130902</v>
      </c>
      <c r="K1374" s="2">
        <v>600</v>
      </c>
      <c r="L1374" s="2">
        <v>15</v>
      </c>
      <c r="M1374" s="2">
        <v>0</v>
      </c>
      <c r="N1374" t="s">
        <v>254</v>
      </c>
      <c r="O1374" t="s">
        <v>255</v>
      </c>
      <c r="P1374" t="s">
        <v>256</v>
      </c>
      <c r="Q1374" t="s">
        <v>255</v>
      </c>
      <c r="S1374" t="s">
        <v>6425</v>
      </c>
      <c r="U1374" t="s">
        <v>45</v>
      </c>
      <c r="V1374" t="s">
        <v>46</v>
      </c>
      <c r="W1374" t="s">
        <v>254</v>
      </c>
      <c r="X1374" t="s">
        <v>255</v>
      </c>
      <c r="Y1374" t="s">
        <v>137</v>
      </c>
      <c r="Z1374" t="s">
        <v>717</v>
      </c>
      <c r="AA1374" t="s">
        <v>49</v>
      </c>
      <c r="AB1374" t="s">
        <v>50</v>
      </c>
      <c r="AC1374" s="2">
        <v>126176.1</v>
      </c>
      <c r="AD1374" t="s">
        <v>6426</v>
      </c>
      <c r="AE1374" t="s">
        <v>115</v>
      </c>
    </row>
    <row r="1375" spans="1:31" x14ac:dyDescent="0.25">
      <c r="A1375" t="s">
        <v>6427</v>
      </c>
      <c r="B1375" t="s">
        <v>6428</v>
      </c>
      <c r="C1375" t="s">
        <v>6428</v>
      </c>
      <c r="D1375" t="s">
        <v>153</v>
      </c>
      <c r="E1375" t="s">
        <v>272</v>
      </c>
      <c r="F1375" t="s">
        <v>6429</v>
      </c>
      <c r="H1375" t="s">
        <v>41</v>
      </c>
      <c r="J1375" s="2">
        <v>65451</v>
      </c>
      <c r="K1375" s="2">
        <v>300</v>
      </c>
      <c r="L1375" s="2">
        <v>1</v>
      </c>
      <c r="M1375" s="2">
        <v>0</v>
      </c>
      <c r="N1375" t="s">
        <v>40</v>
      </c>
      <c r="O1375" t="s">
        <v>41</v>
      </c>
      <c r="P1375" t="s">
        <v>42</v>
      </c>
      <c r="Q1375" t="s">
        <v>43</v>
      </c>
      <c r="U1375" t="s">
        <v>45</v>
      </c>
      <c r="V1375" t="s">
        <v>46</v>
      </c>
      <c r="W1375" t="s">
        <v>40</v>
      </c>
      <c r="X1375" t="s">
        <v>41</v>
      </c>
      <c r="Y1375" t="s">
        <v>47</v>
      </c>
      <c r="Z1375" t="s">
        <v>48</v>
      </c>
      <c r="AA1375" t="s">
        <v>141</v>
      </c>
      <c r="AB1375" t="s">
        <v>50</v>
      </c>
      <c r="AC1375" s="2">
        <v>55281.56</v>
      </c>
      <c r="AD1375" t="s">
        <v>6430</v>
      </c>
    </row>
    <row r="1376" spans="1:31" hidden="1" x14ac:dyDescent="0.25">
      <c r="A1376" s="10" t="s">
        <v>6431</v>
      </c>
      <c r="B1376" s="10" t="s">
        <v>6432</v>
      </c>
      <c r="C1376" t="s">
        <v>6432</v>
      </c>
      <c r="D1376" t="s">
        <v>55</v>
      </c>
      <c r="E1376" t="s">
        <v>56</v>
      </c>
      <c r="F1376" t="s">
        <v>6433</v>
      </c>
      <c r="H1376" t="s">
        <v>349</v>
      </c>
      <c r="I1376" t="s">
        <v>6434</v>
      </c>
      <c r="J1376" s="2">
        <v>1000</v>
      </c>
      <c r="K1376" s="2">
        <v>4.33</v>
      </c>
      <c r="L1376" s="2">
        <v>15</v>
      </c>
      <c r="M1376" s="2">
        <v>0</v>
      </c>
      <c r="N1376" t="s">
        <v>348</v>
      </c>
      <c r="O1376" t="s">
        <v>349</v>
      </c>
      <c r="P1376" t="s">
        <v>316</v>
      </c>
      <c r="Q1376" t="s">
        <v>317</v>
      </c>
      <c r="S1376" t="s">
        <v>6435</v>
      </c>
      <c r="U1376" t="s">
        <v>45</v>
      </c>
      <c r="V1376" t="s">
        <v>46</v>
      </c>
      <c r="W1376" t="s">
        <v>348</v>
      </c>
      <c r="X1376" t="s">
        <v>349</v>
      </c>
      <c r="Y1376" t="s">
        <v>317</v>
      </c>
      <c r="Z1376" t="s">
        <v>349</v>
      </c>
      <c r="AA1376" t="s">
        <v>49</v>
      </c>
      <c r="AB1376" t="s">
        <v>142</v>
      </c>
      <c r="AC1376" s="2">
        <v>1000</v>
      </c>
      <c r="AD1376" t="s">
        <v>64</v>
      </c>
    </row>
    <row r="1377" spans="1:31" x14ac:dyDescent="0.25">
      <c r="A1377" t="s">
        <v>6436</v>
      </c>
      <c r="B1377" t="s">
        <v>6437</v>
      </c>
      <c r="C1377" t="s">
        <v>6437</v>
      </c>
      <c r="D1377" t="s">
        <v>125</v>
      </c>
      <c r="E1377" t="s">
        <v>126</v>
      </c>
      <c r="F1377" t="s">
        <v>6438</v>
      </c>
      <c r="G1377" t="s">
        <v>133</v>
      </c>
      <c r="H1377" t="s">
        <v>1417</v>
      </c>
      <c r="I1377" t="s">
        <v>6439</v>
      </c>
      <c r="J1377" s="2">
        <v>872680</v>
      </c>
      <c r="K1377" s="2">
        <v>4000</v>
      </c>
      <c r="L1377" s="2">
        <v>21</v>
      </c>
      <c r="M1377" s="2">
        <v>0</v>
      </c>
      <c r="N1377" t="s">
        <v>1419</v>
      </c>
      <c r="O1377" t="s">
        <v>1420</v>
      </c>
      <c r="P1377" t="s">
        <v>1421</v>
      </c>
      <c r="Q1377" t="s">
        <v>1422</v>
      </c>
      <c r="S1377" t="s">
        <v>6440</v>
      </c>
      <c r="U1377" t="s">
        <v>45</v>
      </c>
      <c r="V1377" t="s">
        <v>46</v>
      </c>
      <c r="W1377" t="s">
        <v>1419</v>
      </c>
      <c r="X1377" t="s">
        <v>1420</v>
      </c>
      <c r="Y1377" t="s">
        <v>1215</v>
      </c>
      <c r="Z1377" t="s">
        <v>1216</v>
      </c>
      <c r="AA1377" t="s">
        <v>49</v>
      </c>
      <c r="AB1377" t="s">
        <v>50</v>
      </c>
      <c r="AC1377" s="2">
        <v>856226.39</v>
      </c>
      <c r="AD1377" t="s">
        <v>6441</v>
      </c>
    </row>
    <row r="1378" spans="1:31" x14ac:dyDescent="0.25">
      <c r="A1378" t="s">
        <v>6442</v>
      </c>
      <c r="B1378" t="s">
        <v>6443</v>
      </c>
      <c r="C1378" t="s">
        <v>6443</v>
      </c>
      <c r="D1378" t="s">
        <v>125</v>
      </c>
      <c r="E1378" t="s">
        <v>126</v>
      </c>
      <c r="F1378" t="s">
        <v>6444</v>
      </c>
      <c r="G1378" t="s">
        <v>792</v>
      </c>
      <c r="H1378" t="s">
        <v>4223</v>
      </c>
      <c r="I1378" t="s">
        <v>6445</v>
      </c>
      <c r="J1378" s="2">
        <v>174536</v>
      </c>
      <c r="K1378" s="2">
        <v>800</v>
      </c>
      <c r="L1378" s="2">
        <v>15</v>
      </c>
      <c r="M1378" s="2">
        <v>0</v>
      </c>
      <c r="N1378" t="s">
        <v>4225</v>
      </c>
      <c r="O1378" t="s">
        <v>4226</v>
      </c>
      <c r="P1378" t="s">
        <v>1363</v>
      </c>
      <c r="Q1378" t="s">
        <v>1364</v>
      </c>
      <c r="S1378" t="s">
        <v>6446</v>
      </c>
      <c r="U1378" t="s">
        <v>45</v>
      </c>
      <c r="V1378" t="s">
        <v>46</v>
      </c>
      <c r="W1378" t="s">
        <v>4225</v>
      </c>
      <c r="X1378" t="s">
        <v>4226</v>
      </c>
      <c r="Y1378" t="s">
        <v>85</v>
      </c>
      <c r="Z1378" t="s">
        <v>86</v>
      </c>
      <c r="AA1378" t="s">
        <v>49</v>
      </c>
      <c r="AB1378" t="s">
        <v>50</v>
      </c>
      <c r="AC1378" s="2">
        <v>174536</v>
      </c>
      <c r="AD1378" t="s">
        <v>64</v>
      </c>
    </row>
    <row r="1379" spans="1:31" x14ac:dyDescent="0.25">
      <c r="A1379" t="s">
        <v>6447</v>
      </c>
      <c r="B1379" t="s">
        <v>6448</v>
      </c>
      <c r="C1379" t="s">
        <v>6448</v>
      </c>
      <c r="D1379" t="s">
        <v>35</v>
      </c>
      <c r="E1379" t="s">
        <v>36</v>
      </c>
      <c r="F1379" t="s">
        <v>6449</v>
      </c>
      <c r="G1379" t="s">
        <v>35</v>
      </c>
      <c r="H1379" t="s">
        <v>1222</v>
      </c>
      <c r="I1379" t="s">
        <v>6450</v>
      </c>
      <c r="J1379" s="2">
        <v>218170</v>
      </c>
      <c r="K1379" s="2">
        <v>1000</v>
      </c>
      <c r="L1379" s="2">
        <v>15</v>
      </c>
      <c r="M1379" s="2">
        <v>0</v>
      </c>
      <c r="N1379" t="s">
        <v>1221</v>
      </c>
      <c r="O1379" t="s">
        <v>1222</v>
      </c>
      <c r="P1379" t="s">
        <v>205</v>
      </c>
      <c r="Q1379" t="s">
        <v>206</v>
      </c>
      <c r="S1379" t="s">
        <v>6451</v>
      </c>
      <c r="U1379" t="s">
        <v>45</v>
      </c>
      <c r="V1379" t="s">
        <v>46</v>
      </c>
      <c r="W1379" t="s">
        <v>1221</v>
      </c>
      <c r="X1379" t="s">
        <v>1222</v>
      </c>
      <c r="Y1379" t="s">
        <v>161</v>
      </c>
      <c r="Z1379" t="s">
        <v>162</v>
      </c>
      <c r="AA1379" t="s">
        <v>49</v>
      </c>
      <c r="AB1379" t="s">
        <v>50</v>
      </c>
      <c r="AC1379" s="2">
        <v>110161.77</v>
      </c>
      <c r="AD1379" t="s">
        <v>6452</v>
      </c>
      <c r="AE1379" t="s">
        <v>52</v>
      </c>
    </row>
    <row r="1380" spans="1:31" x14ac:dyDescent="0.25">
      <c r="A1380" t="s">
        <v>6453</v>
      </c>
      <c r="B1380" t="s">
        <v>6454</v>
      </c>
      <c r="C1380" t="s">
        <v>6454</v>
      </c>
      <c r="D1380" t="s">
        <v>299</v>
      </c>
      <c r="E1380" t="s">
        <v>167</v>
      </c>
      <c r="F1380" t="s">
        <v>6455</v>
      </c>
      <c r="G1380" t="s">
        <v>299</v>
      </c>
      <c r="H1380" t="s">
        <v>6456</v>
      </c>
      <c r="I1380" t="s">
        <v>6457</v>
      </c>
      <c r="J1380" s="2">
        <v>218170</v>
      </c>
      <c r="K1380" s="2">
        <v>1000</v>
      </c>
      <c r="L1380" s="2">
        <v>15</v>
      </c>
      <c r="M1380" s="2">
        <v>0</v>
      </c>
      <c r="N1380" t="s">
        <v>6458</v>
      </c>
      <c r="O1380" t="s">
        <v>6459</v>
      </c>
      <c r="P1380" t="s">
        <v>557</v>
      </c>
      <c r="Q1380" t="s">
        <v>558</v>
      </c>
      <c r="S1380" t="s">
        <v>6460</v>
      </c>
      <c r="U1380" t="s">
        <v>45</v>
      </c>
      <c r="V1380" t="s">
        <v>46</v>
      </c>
      <c r="W1380" t="s">
        <v>6458</v>
      </c>
      <c r="X1380" t="s">
        <v>6459</v>
      </c>
      <c r="Y1380" t="s">
        <v>85</v>
      </c>
      <c r="Z1380" t="s">
        <v>86</v>
      </c>
      <c r="AA1380" t="s">
        <v>49</v>
      </c>
      <c r="AB1380" t="s">
        <v>50</v>
      </c>
      <c r="AC1380" s="2">
        <v>183008.2</v>
      </c>
      <c r="AD1380" t="s">
        <v>6461</v>
      </c>
      <c r="AE1380" t="s">
        <v>52</v>
      </c>
    </row>
    <row r="1381" spans="1:31" x14ac:dyDescent="0.25">
      <c r="A1381" t="s">
        <v>6462</v>
      </c>
      <c r="B1381" t="s">
        <v>6463</v>
      </c>
      <c r="C1381" t="s">
        <v>6463</v>
      </c>
      <c r="D1381" t="s">
        <v>569</v>
      </c>
      <c r="E1381" t="s">
        <v>570</v>
      </c>
      <c r="F1381" t="s">
        <v>6464</v>
      </c>
      <c r="G1381" t="s">
        <v>169</v>
      </c>
      <c r="H1381" t="s">
        <v>665</v>
      </c>
      <c r="I1381" t="s">
        <v>6465</v>
      </c>
      <c r="J1381" s="2">
        <v>109085</v>
      </c>
      <c r="K1381" s="2">
        <v>500</v>
      </c>
      <c r="L1381" s="2">
        <v>15</v>
      </c>
      <c r="M1381" s="2">
        <v>0</v>
      </c>
      <c r="N1381" t="s">
        <v>664</v>
      </c>
      <c r="O1381" t="s">
        <v>665</v>
      </c>
      <c r="P1381" t="s">
        <v>103</v>
      </c>
      <c r="Q1381" t="s">
        <v>104</v>
      </c>
      <c r="S1381" t="s">
        <v>6466</v>
      </c>
      <c r="U1381" t="s">
        <v>45</v>
      </c>
      <c r="V1381" t="s">
        <v>46</v>
      </c>
      <c r="W1381" t="s">
        <v>664</v>
      </c>
      <c r="X1381" t="s">
        <v>665</v>
      </c>
      <c r="Y1381" t="s">
        <v>106</v>
      </c>
      <c r="Z1381" t="s">
        <v>107</v>
      </c>
      <c r="AA1381" t="s">
        <v>49</v>
      </c>
      <c r="AB1381" t="s">
        <v>50</v>
      </c>
      <c r="AC1381" s="2">
        <v>86185.97</v>
      </c>
      <c r="AD1381" t="s">
        <v>6467</v>
      </c>
    </row>
    <row r="1382" spans="1:31" x14ac:dyDescent="0.25">
      <c r="A1382" t="s">
        <v>6468</v>
      </c>
      <c r="B1382" t="s">
        <v>6469</v>
      </c>
      <c r="C1382" t="s">
        <v>6469</v>
      </c>
      <c r="D1382" t="s">
        <v>35</v>
      </c>
      <c r="E1382" t="s">
        <v>36</v>
      </c>
      <c r="F1382" t="s">
        <v>6470</v>
      </c>
      <c r="G1382" t="s">
        <v>4647</v>
      </c>
      <c r="H1382" t="s">
        <v>6237</v>
      </c>
      <c r="I1382" t="s">
        <v>6471</v>
      </c>
      <c r="J1382" s="2">
        <v>305438</v>
      </c>
      <c r="K1382" s="2">
        <v>1400</v>
      </c>
      <c r="L1382" s="2">
        <v>15</v>
      </c>
      <c r="M1382" s="2">
        <v>0</v>
      </c>
      <c r="N1382" t="s">
        <v>6239</v>
      </c>
      <c r="O1382" t="s">
        <v>6240</v>
      </c>
      <c r="P1382" t="s">
        <v>82</v>
      </c>
      <c r="Q1382" t="s">
        <v>83</v>
      </c>
      <c r="S1382" t="s">
        <v>6472</v>
      </c>
      <c r="U1382" t="s">
        <v>45</v>
      </c>
      <c r="V1382" t="s">
        <v>46</v>
      </c>
      <c r="W1382" t="s">
        <v>6239</v>
      </c>
      <c r="X1382" t="s">
        <v>6240</v>
      </c>
      <c r="Y1382" t="s">
        <v>85</v>
      </c>
      <c r="Z1382" t="s">
        <v>86</v>
      </c>
      <c r="AA1382" t="s">
        <v>49</v>
      </c>
      <c r="AB1382" t="s">
        <v>50</v>
      </c>
      <c r="AC1382" s="2">
        <v>203688.51</v>
      </c>
      <c r="AD1382" t="s">
        <v>6473</v>
      </c>
    </row>
    <row r="1383" spans="1:31" x14ac:dyDescent="0.25">
      <c r="A1383" t="s">
        <v>6474</v>
      </c>
      <c r="B1383" t="s">
        <v>6475</v>
      </c>
      <c r="C1383" t="s">
        <v>6475</v>
      </c>
      <c r="D1383" t="s">
        <v>178</v>
      </c>
      <c r="E1383" t="s">
        <v>179</v>
      </c>
      <c r="F1383" t="s">
        <v>6476</v>
      </c>
      <c r="H1383" t="s">
        <v>3571</v>
      </c>
      <c r="I1383" t="s">
        <v>6477</v>
      </c>
      <c r="J1383" s="2">
        <v>1438</v>
      </c>
      <c r="K1383" s="2">
        <v>6.59</v>
      </c>
      <c r="L1383" s="2">
        <v>1</v>
      </c>
      <c r="M1383" s="2">
        <v>0</v>
      </c>
      <c r="N1383" t="s">
        <v>2113</v>
      </c>
      <c r="O1383" t="s">
        <v>2114</v>
      </c>
      <c r="P1383" t="s">
        <v>103</v>
      </c>
      <c r="Q1383" t="s">
        <v>104</v>
      </c>
      <c r="S1383" t="s">
        <v>6478</v>
      </c>
      <c r="U1383" t="s">
        <v>45</v>
      </c>
      <c r="V1383" t="s">
        <v>46</v>
      </c>
      <c r="W1383" t="s">
        <v>2113</v>
      </c>
      <c r="X1383" t="s">
        <v>2114</v>
      </c>
      <c r="Y1383" t="s">
        <v>106</v>
      </c>
      <c r="Z1383" t="s">
        <v>107</v>
      </c>
      <c r="AA1383" t="s">
        <v>49</v>
      </c>
      <c r="AB1383" t="s">
        <v>50</v>
      </c>
      <c r="AC1383" s="2">
        <v>1438</v>
      </c>
      <c r="AD1383" t="s">
        <v>64</v>
      </c>
    </row>
    <row r="1384" spans="1:31" x14ac:dyDescent="0.25">
      <c r="A1384" t="s">
        <v>6479</v>
      </c>
      <c r="B1384" t="s">
        <v>6480</v>
      </c>
      <c r="C1384" t="s">
        <v>6480</v>
      </c>
      <c r="D1384" t="s">
        <v>35</v>
      </c>
      <c r="E1384" t="s">
        <v>36</v>
      </c>
      <c r="F1384" t="s">
        <v>6481</v>
      </c>
      <c r="G1384" t="s">
        <v>35</v>
      </c>
      <c r="H1384" t="s">
        <v>3230</v>
      </c>
      <c r="I1384" t="s">
        <v>6482</v>
      </c>
      <c r="J1384" s="2">
        <v>1347785</v>
      </c>
      <c r="K1384" s="2">
        <v>5450</v>
      </c>
      <c r="L1384" s="2">
        <v>15</v>
      </c>
      <c r="M1384" s="2">
        <v>0</v>
      </c>
      <c r="N1384" t="s">
        <v>3232</v>
      </c>
      <c r="O1384" t="s">
        <v>3233</v>
      </c>
      <c r="P1384" t="s">
        <v>1212</v>
      </c>
      <c r="Q1384" t="s">
        <v>1213</v>
      </c>
      <c r="S1384" t="s">
        <v>6483</v>
      </c>
      <c r="U1384" t="s">
        <v>45</v>
      </c>
      <c r="V1384" t="s">
        <v>46</v>
      </c>
      <c r="W1384" t="s">
        <v>3232</v>
      </c>
      <c r="X1384" t="s">
        <v>3233</v>
      </c>
      <c r="Y1384" t="s">
        <v>1215</v>
      </c>
      <c r="Z1384" t="s">
        <v>1216</v>
      </c>
      <c r="AA1384" t="s">
        <v>49</v>
      </c>
      <c r="AB1384" t="s">
        <v>50</v>
      </c>
      <c r="AC1384" s="2">
        <v>194714.11</v>
      </c>
      <c r="AD1384" t="s">
        <v>6484</v>
      </c>
      <c r="AE1384" t="s">
        <v>115</v>
      </c>
    </row>
    <row r="1385" spans="1:31" hidden="1" x14ac:dyDescent="0.25">
      <c r="I1385" t="s">
        <v>6485</v>
      </c>
      <c r="J1385" s="2">
        <v>109085</v>
      </c>
      <c r="K1385" s="2">
        <v>500</v>
      </c>
      <c r="L1385" s="2">
        <v>15</v>
      </c>
      <c r="M1385" s="2">
        <v>0</v>
      </c>
      <c r="S1385" t="s">
        <v>6486</v>
      </c>
      <c r="U1385" t="s">
        <v>45</v>
      </c>
      <c r="V1385" t="s">
        <v>46</v>
      </c>
      <c r="W1385" t="s">
        <v>80</v>
      </c>
      <c r="X1385" t="s">
        <v>81</v>
      </c>
      <c r="Y1385" t="s">
        <v>85</v>
      </c>
      <c r="Z1385" t="s">
        <v>86</v>
      </c>
      <c r="AA1385" t="s">
        <v>49</v>
      </c>
      <c r="AC1385" s="2"/>
    </row>
    <row r="1386" spans="1:31" hidden="1" x14ac:dyDescent="0.25">
      <c r="I1386" t="s">
        <v>6485</v>
      </c>
      <c r="J1386" s="2">
        <v>109085</v>
      </c>
      <c r="K1386" s="2">
        <v>500</v>
      </c>
      <c r="L1386" s="2">
        <v>15</v>
      </c>
      <c r="M1386" s="2">
        <v>0</v>
      </c>
      <c r="S1386" t="s">
        <v>6487</v>
      </c>
      <c r="U1386" t="s">
        <v>45</v>
      </c>
      <c r="V1386" t="s">
        <v>46</v>
      </c>
      <c r="W1386" t="s">
        <v>5938</v>
      </c>
      <c r="X1386" t="s">
        <v>5939</v>
      </c>
      <c r="Y1386" t="s">
        <v>85</v>
      </c>
      <c r="Z1386" t="s">
        <v>86</v>
      </c>
      <c r="AA1386" t="s">
        <v>49</v>
      </c>
      <c r="AC1386" s="2"/>
    </row>
    <row r="1387" spans="1:31" x14ac:dyDescent="0.25">
      <c r="A1387" t="s">
        <v>6488</v>
      </c>
      <c r="B1387" t="s">
        <v>6489</v>
      </c>
      <c r="C1387" t="s">
        <v>6490</v>
      </c>
      <c r="D1387" t="s">
        <v>35</v>
      </c>
      <c r="E1387" t="s">
        <v>36</v>
      </c>
      <c r="F1387" t="s">
        <v>6491</v>
      </c>
      <c r="G1387" t="s">
        <v>166</v>
      </c>
      <c r="H1387" t="s">
        <v>2831</v>
      </c>
      <c r="I1387" t="s">
        <v>6492</v>
      </c>
      <c r="J1387" s="2">
        <v>141876</v>
      </c>
      <c r="K1387" s="2">
        <v>600</v>
      </c>
      <c r="L1387" s="2">
        <v>15</v>
      </c>
      <c r="M1387" s="2">
        <v>0</v>
      </c>
      <c r="N1387" t="s">
        <v>80</v>
      </c>
      <c r="O1387" t="s">
        <v>81</v>
      </c>
      <c r="P1387" t="s">
        <v>82</v>
      </c>
      <c r="Q1387" t="s">
        <v>83</v>
      </c>
      <c r="S1387" t="s">
        <v>6493</v>
      </c>
      <c r="U1387" t="s">
        <v>45</v>
      </c>
      <c r="V1387" t="s">
        <v>46</v>
      </c>
      <c r="W1387" t="s">
        <v>80</v>
      </c>
      <c r="X1387" t="s">
        <v>81</v>
      </c>
      <c r="Y1387" t="s">
        <v>85</v>
      </c>
      <c r="Z1387" t="s">
        <v>86</v>
      </c>
      <c r="AA1387" t="s">
        <v>49</v>
      </c>
      <c r="AB1387" t="s">
        <v>50</v>
      </c>
      <c r="AC1387" s="2">
        <v>74474.179999999993</v>
      </c>
      <c r="AD1387" t="s">
        <v>6494</v>
      </c>
      <c r="AE1387" t="s">
        <v>52</v>
      </c>
    </row>
    <row r="1388" spans="1:31" x14ac:dyDescent="0.25">
      <c r="A1388" t="s">
        <v>6495</v>
      </c>
      <c r="B1388" t="s">
        <v>6496</v>
      </c>
      <c r="C1388" t="s">
        <v>6496</v>
      </c>
      <c r="D1388" t="s">
        <v>192</v>
      </c>
      <c r="E1388" t="s">
        <v>224</v>
      </c>
      <c r="F1388" t="s">
        <v>6497</v>
      </c>
      <c r="G1388" t="s">
        <v>1467</v>
      </c>
      <c r="H1388" t="s">
        <v>2831</v>
      </c>
      <c r="I1388" t="s">
        <v>6498</v>
      </c>
      <c r="J1388" s="2">
        <v>2399870</v>
      </c>
      <c r="K1388" s="2">
        <v>11000</v>
      </c>
      <c r="L1388" s="2">
        <v>1</v>
      </c>
      <c r="M1388" s="2">
        <v>0</v>
      </c>
      <c r="N1388" t="s">
        <v>80</v>
      </c>
      <c r="O1388" t="s">
        <v>81</v>
      </c>
      <c r="P1388" t="s">
        <v>557</v>
      </c>
      <c r="Q1388" t="s">
        <v>558</v>
      </c>
      <c r="S1388" t="s">
        <v>6499</v>
      </c>
      <c r="U1388" t="s">
        <v>45</v>
      </c>
      <c r="V1388" t="s">
        <v>46</v>
      </c>
      <c r="W1388" t="s">
        <v>80</v>
      </c>
      <c r="X1388" t="s">
        <v>81</v>
      </c>
      <c r="Y1388" t="s">
        <v>85</v>
      </c>
      <c r="Z1388" t="s">
        <v>86</v>
      </c>
      <c r="AA1388" t="s">
        <v>49</v>
      </c>
      <c r="AB1388" t="s">
        <v>50</v>
      </c>
      <c r="AC1388" s="2">
        <v>2399870</v>
      </c>
      <c r="AD1388" t="s">
        <v>64</v>
      </c>
    </row>
    <row r="1389" spans="1:31" hidden="1" x14ac:dyDescent="0.25">
      <c r="I1389" t="s">
        <v>6500</v>
      </c>
      <c r="J1389" s="2">
        <v>21817</v>
      </c>
      <c r="K1389" s="2">
        <v>100</v>
      </c>
      <c r="L1389" s="2">
        <v>1</v>
      </c>
      <c r="M1389" s="2">
        <v>0</v>
      </c>
      <c r="S1389" t="s">
        <v>6501</v>
      </c>
      <c r="U1389" t="s">
        <v>45</v>
      </c>
      <c r="V1389" t="s">
        <v>46</v>
      </c>
      <c r="W1389" t="s">
        <v>118</v>
      </c>
      <c r="X1389" t="s">
        <v>119</v>
      </c>
      <c r="Y1389" t="s">
        <v>121</v>
      </c>
      <c r="Z1389" t="s">
        <v>94</v>
      </c>
      <c r="AA1389" t="s">
        <v>49</v>
      </c>
      <c r="AC1389" s="2"/>
    </row>
    <row r="1390" spans="1:31" hidden="1" x14ac:dyDescent="0.25">
      <c r="A1390" t="s">
        <v>6502</v>
      </c>
      <c r="B1390" t="s">
        <v>6503</v>
      </c>
      <c r="C1390" t="s">
        <v>6503</v>
      </c>
      <c r="F1390" t="s">
        <v>6504</v>
      </c>
      <c r="H1390" t="s">
        <v>6113</v>
      </c>
      <c r="J1390" s="2">
        <v>1000</v>
      </c>
      <c r="K1390" s="2">
        <v>0</v>
      </c>
      <c r="L1390" s="2">
        <v>15</v>
      </c>
      <c r="M1390" s="2">
        <v>0</v>
      </c>
      <c r="N1390" t="s">
        <v>5741</v>
      </c>
      <c r="O1390" t="s">
        <v>5739</v>
      </c>
      <c r="P1390" t="s">
        <v>4853</v>
      </c>
      <c r="Q1390" t="s">
        <v>4854</v>
      </c>
      <c r="S1390" t="s">
        <v>6505</v>
      </c>
      <c r="U1390" t="s">
        <v>45</v>
      </c>
      <c r="V1390" t="s">
        <v>46</v>
      </c>
      <c r="W1390" t="s">
        <v>5741</v>
      </c>
      <c r="X1390" t="s">
        <v>5739</v>
      </c>
      <c r="Y1390" t="s">
        <v>5743</v>
      </c>
      <c r="Z1390" t="s">
        <v>5744</v>
      </c>
      <c r="AA1390" t="s">
        <v>49</v>
      </c>
      <c r="AB1390" t="s">
        <v>50</v>
      </c>
      <c r="AC1390" s="2">
        <v>1000</v>
      </c>
      <c r="AD1390" t="s">
        <v>64</v>
      </c>
    </row>
    <row r="1391" spans="1:31" x14ac:dyDescent="0.25">
      <c r="A1391" t="s">
        <v>6506</v>
      </c>
      <c r="B1391" t="s">
        <v>6507</v>
      </c>
      <c r="C1391" t="s">
        <v>6507</v>
      </c>
      <c r="D1391" t="s">
        <v>125</v>
      </c>
      <c r="E1391" t="s">
        <v>126</v>
      </c>
      <c r="F1391" t="s">
        <v>6508</v>
      </c>
      <c r="G1391" t="s">
        <v>153</v>
      </c>
      <c r="H1391" t="s">
        <v>404</v>
      </c>
      <c r="I1391" t="s">
        <v>6509</v>
      </c>
      <c r="J1391" s="2">
        <v>218170</v>
      </c>
      <c r="K1391" s="2">
        <v>1000</v>
      </c>
      <c r="L1391" s="2">
        <v>21</v>
      </c>
      <c r="M1391" s="2">
        <v>0</v>
      </c>
      <c r="N1391" t="s">
        <v>403</v>
      </c>
      <c r="O1391" t="s">
        <v>404</v>
      </c>
      <c r="P1391" t="s">
        <v>205</v>
      </c>
      <c r="Q1391" t="s">
        <v>206</v>
      </c>
      <c r="S1391" t="s">
        <v>6510</v>
      </c>
      <c r="U1391" t="s">
        <v>45</v>
      </c>
      <c r="V1391" t="s">
        <v>46</v>
      </c>
      <c r="W1391" t="s">
        <v>403</v>
      </c>
      <c r="X1391" t="s">
        <v>404</v>
      </c>
      <c r="Y1391" t="s">
        <v>161</v>
      </c>
      <c r="Z1391" t="s">
        <v>162</v>
      </c>
      <c r="AA1391" t="s">
        <v>49</v>
      </c>
      <c r="AB1391" t="s">
        <v>50</v>
      </c>
      <c r="AC1391" s="2">
        <v>218169.19</v>
      </c>
      <c r="AD1391" t="s">
        <v>6511</v>
      </c>
    </row>
    <row r="1392" spans="1:31" x14ac:dyDescent="0.25">
      <c r="A1392" t="s">
        <v>6512</v>
      </c>
      <c r="B1392" t="s">
        <v>6513</v>
      </c>
      <c r="C1392" t="s">
        <v>6513</v>
      </c>
      <c r="D1392" t="s">
        <v>847</v>
      </c>
      <c r="E1392" t="s">
        <v>848</v>
      </c>
      <c r="F1392" t="s">
        <v>6514</v>
      </c>
      <c r="G1392" t="s">
        <v>1854</v>
      </c>
      <c r="H1392" t="s">
        <v>964</v>
      </c>
      <c r="J1392" s="2">
        <v>65451</v>
      </c>
      <c r="K1392" s="2">
        <v>300</v>
      </c>
      <c r="L1392" s="2">
        <v>15</v>
      </c>
      <c r="M1392" s="2">
        <v>0</v>
      </c>
      <c r="N1392" t="s">
        <v>966</v>
      </c>
      <c r="O1392" t="s">
        <v>964</v>
      </c>
      <c r="P1392" t="s">
        <v>304</v>
      </c>
      <c r="Q1392" t="s">
        <v>72</v>
      </c>
      <c r="S1392" t="s">
        <v>6515</v>
      </c>
      <c r="U1392" t="s">
        <v>45</v>
      </c>
      <c r="V1392" t="s">
        <v>46</v>
      </c>
      <c r="W1392" t="s">
        <v>966</v>
      </c>
      <c r="X1392" t="s">
        <v>964</v>
      </c>
      <c r="Y1392" t="s">
        <v>72</v>
      </c>
      <c r="Z1392" t="s">
        <v>68</v>
      </c>
      <c r="AA1392" t="s">
        <v>49</v>
      </c>
      <c r="AB1392" t="s">
        <v>50</v>
      </c>
      <c r="AC1392" s="2">
        <v>65451</v>
      </c>
      <c r="AD1392" t="s">
        <v>64</v>
      </c>
    </row>
    <row r="1393" spans="1:31" x14ac:dyDescent="0.25">
      <c r="A1393" t="s">
        <v>6516</v>
      </c>
      <c r="B1393" t="s">
        <v>6517</v>
      </c>
      <c r="C1393" t="s">
        <v>6517</v>
      </c>
      <c r="D1393" t="s">
        <v>125</v>
      </c>
      <c r="E1393" t="s">
        <v>126</v>
      </c>
      <c r="F1393" t="s">
        <v>6518</v>
      </c>
      <c r="G1393" t="s">
        <v>125</v>
      </c>
      <c r="H1393" t="s">
        <v>6519</v>
      </c>
      <c r="I1393" t="s">
        <v>6520</v>
      </c>
      <c r="J1393" s="2">
        <v>525753</v>
      </c>
      <c r="K1393" s="2">
        <v>2149</v>
      </c>
      <c r="L1393" s="2">
        <v>21</v>
      </c>
      <c r="M1393" s="2">
        <v>0</v>
      </c>
      <c r="N1393" t="s">
        <v>5201</v>
      </c>
      <c r="O1393" t="s">
        <v>5202</v>
      </c>
      <c r="P1393" t="s">
        <v>1212</v>
      </c>
      <c r="Q1393" t="s">
        <v>1213</v>
      </c>
      <c r="S1393" t="s">
        <v>6521</v>
      </c>
      <c r="U1393" t="s">
        <v>45</v>
      </c>
      <c r="V1393" t="s">
        <v>46</v>
      </c>
      <c r="W1393" t="s">
        <v>5201</v>
      </c>
      <c r="X1393" t="s">
        <v>5202</v>
      </c>
      <c r="Y1393" t="s">
        <v>4854</v>
      </c>
      <c r="Z1393" t="s">
        <v>72</v>
      </c>
      <c r="AA1393" t="s">
        <v>49</v>
      </c>
      <c r="AB1393" t="s">
        <v>50</v>
      </c>
      <c r="AC1393" s="2">
        <v>98441.39</v>
      </c>
      <c r="AD1393" t="s">
        <v>6522</v>
      </c>
      <c r="AE1393" t="s">
        <v>115</v>
      </c>
    </row>
    <row r="1394" spans="1:31" x14ac:dyDescent="0.25">
      <c r="A1394" t="s">
        <v>6523</v>
      </c>
      <c r="B1394" t="s">
        <v>6524</v>
      </c>
      <c r="C1394" t="s">
        <v>6524</v>
      </c>
      <c r="D1394" t="s">
        <v>3472</v>
      </c>
      <c r="E1394" t="s">
        <v>871</v>
      </c>
      <c r="F1394" t="s">
        <v>6525</v>
      </c>
      <c r="G1394" t="s">
        <v>6526</v>
      </c>
      <c r="H1394" t="s">
        <v>81</v>
      </c>
      <c r="I1394" t="s">
        <v>6527</v>
      </c>
      <c r="J1394" s="2">
        <v>178920</v>
      </c>
      <c r="K1394" s="2">
        <v>800</v>
      </c>
      <c r="L1394" s="2">
        <v>1</v>
      </c>
      <c r="M1394" s="2">
        <v>0</v>
      </c>
      <c r="N1394" t="s">
        <v>80</v>
      </c>
      <c r="O1394" t="s">
        <v>81</v>
      </c>
      <c r="P1394" t="s">
        <v>557</v>
      </c>
      <c r="Q1394" t="s">
        <v>558</v>
      </c>
      <c r="S1394" t="s">
        <v>6528</v>
      </c>
      <c r="U1394" t="s">
        <v>45</v>
      </c>
      <c r="V1394" t="s">
        <v>46</v>
      </c>
      <c r="W1394" t="s">
        <v>80</v>
      </c>
      <c r="X1394" t="s">
        <v>81</v>
      </c>
      <c r="Y1394" t="s">
        <v>85</v>
      </c>
      <c r="Z1394" t="s">
        <v>86</v>
      </c>
      <c r="AA1394" t="s">
        <v>49</v>
      </c>
      <c r="AB1394" t="s">
        <v>50</v>
      </c>
      <c r="AC1394" s="2">
        <v>158116.54</v>
      </c>
      <c r="AD1394" t="s">
        <v>6529</v>
      </c>
      <c r="AE1394" t="s">
        <v>115</v>
      </c>
    </row>
    <row r="1395" spans="1:31" hidden="1" x14ac:dyDescent="0.25">
      <c r="I1395" t="s">
        <v>6530</v>
      </c>
      <c r="J1395" s="2">
        <v>218</v>
      </c>
      <c r="K1395" s="2">
        <v>1</v>
      </c>
      <c r="L1395" s="2">
        <v>1</v>
      </c>
      <c r="M1395" s="2">
        <v>0</v>
      </c>
      <c r="S1395" t="s">
        <v>6531</v>
      </c>
      <c r="U1395" t="s">
        <v>45</v>
      </c>
      <c r="V1395" t="s">
        <v>46</v>
      </c>
      <c r="W1395" t="s">
        <v>80</v>
      </c>
      <c r="X1395" t="s">
        <v>81</v>
      </c>
      <c r="Y1395" t="s">
        <v>85</v>
      </c>
      <c r="Z1395" t="s">
        <v>86</v>
      </c>
      <c r="AA1395" t="s">
        <v>49</v>
      </c>
      <c r="AC1395" s="2"/>
    </row>
    <row r="1396" spans="1:31" hidden="1" x14ac:dyDescent="0.25">
      <c r="I1396" t="s">
        <v>6532</v>
      </c>
      <c r="J1396" s="2">
        <v>109085</v>
      </c>
      <c r="K1396" s="2">
        <v>500</v>
      </c>
      <c r="L1396" s="2">
        <v>15</v>
      </c>
      <c r="M1396" s="2">
        <v>0</v>
      </c>
      <c r="S1396" t="s">
        <v>6533</v>
      </c>
      <c r="U1396" t="s">
        <v>45</v>
      </c>
      <c r="V1396" t="s">
        <v>46</v>
      </c>
      <c r="W1396" t="s">
        <v>2384</v>
      </c>
      <c r="X1396" t="s">
        <v>2385</v>
      </c>
      <c r="Y1396" t="s">
        <v>106</v>
      </c>
      <c r="Z1396" t="s">
        <v>107</v>
      </c>
      <c r="AA1396" t="s">
        <v>49</v>
      </c>
      <c r="AC1396" s="2"/>
    </row>
    <row r="1397" spans="1:31" hidden="1" x14ac:dyDescent="0.25">
      <c r="I1397" t="s">
        <v>6534</v>
      </c>
      <c r="J1397" s="2">
        <v>218</v>
      </c>
      <c r="K1397" s="2">
        <v>1</v>
      </c>
      <c r="L1397" s="2">
        <v>1</v>
      </c>
      <c r="M1397" s="2">
        <v>0</v>
      </c>
      <c r="S1397" t="s">
        <v>6535</v>
      </c>
      <c r="U1397" t="s">
        <v>45</v>
      </c>
      <c r="V1397" t="s">
        <v>46</v>
      </c>
      <c r="W1397" t="s">
        <v>80</v>
      </c>
      <c r="X1397" t="s">
        <v>81</v>
      </c>
      <c r="Y1397" t="s">
        <v>85</v>
      </c>
      <c r="Z1397" t="s">
        <v>86</v>
      </c>
      <c r="AA1397" t="s">
        <v>49</v>
      </c>
      <c r="AC1397" s="2"/>
    </row>
    <row r="1398" spans="1:31" x14ac:dyDescent="0.25">
      <c r="A1398" t="s">
        <v>6536</v>
      </c>
      <c r="B1398" t="s">
        <v>6537</v>
      </c>
      <c r="C1398" t="s">
        <v>6537</v>
      </c>
      <c r="D1398" t="s">
        <v>125</v>
      </c>
      <c r="E1398" t="s">
        <v>126</v>
      </c>
      <c r="F1398" t="s">
        <v>6538</v>
      </c>
      <c r="G1398" t="s">
        <v>125</v>
      </c>
      <c r="H1398" t="s">
        <v>4223</v>
      </c>
      <c r="I1398" t="s">
        <v>6539</v>
      </c>
      <c r="J1398" s="2">
        <v>189472</v>
      </c>
      <c r="K1398" s="2">
        <v>800</v>
      </c>
      <c r="L1398" s="2">
        <v>3</v>
      </c>
      <c r="M1398" s="2">
        <v>0</v>
      </c>
      <c r="N1398" t="s">
        <v>4225</v>
      </c>
      <c r="O1398" t="s">
        <v>4226</v>
      </c>
      <c r="P1398" t="s">
        <v>1363</v>
      </c>
      <c r="Q1398" t="s">
        <v>1364</v>
      </c>
      <c r="S1398" t="s">
        <v>6540</v>
      </c>
      <c r="U1398" t="s">
        <v>45</v>
      </c>
      <c r="V1398" t="s">
        <v>46</v>
      </c>
      <c r="W1398" t="s">
        <v>4225</v>
      </c>
      <c r="X1398" t="s">
        <v>4226</v>
      </c>
      <c r="Y1398" t="s">
        <v>85</v>
      </c>
      <c r="Z1398" t="s">
        <v>86</v>
      </c>
      <c r="AA1398" t="s">
        <v>49</v>
      </c>
      <c r="AB1398" t="s">
        <v>50</v>
      </c>
      <c r="AC1398" s="2">
        <v>140329.79999999999</v>
      </c>
      <c r="AD1398" t="s">
        <v>6541</v>
      </c>
      <c r="AE1398" t="s">
        <v>52</v>
      </c>
    </row>
    <row r="1399" spans="1:31" hidden="1" x14ac:dyDescent="0.25">
      <c r="I1399" t="s">
        <v>6542</v>
      </c>
      <c r="J1399" s="2">
        <v>174536</v>
      </c>
      <c r="K1399" s="2">
        <v>800</v>
      </c>
      <c r="L1399" s="2">
        <v>15</v>
      </c>
      <c r="M1399" s="2">
        <v>0</v>
      </c>
      <c r="S1399" t="s">
        <v>6543</v>
      </c>
      <c r="U1399" t="s">
        <v>45</v>
      </c>
      <c r="V1399" t="s">
        <v>46</v>
      </c>
      <c r="W1399" t="s">
        <v>80</v>
      </c>
      <c r="X1399" t="s">
        <v>81</v>
      </c>
      <c r="Y1399" t="s">
        <v>85</v>
      </c>
      <c r="Z1399" t="s">
        <v>86</v>
      </c>
      <c r="AA1399" t="s">
        <v>49</v>
      </c>
      <c r="AC1399" s="2"/>
    </row>
    <row r="1400" spans="1:31" x14ac:dyDescent="0.25">
      <c r="A1400" t="s">
        <v>6544</v>
      </c>
      <c r="B1400" t="s">
        <v>6545</v>
      </c>
      <c r="C1400" t="s">
        <v>6545</v>
      </c>
      <c r="D1400" t="s">
        <v>125</v>
      </c>
      <c r="E1400" t="s">
        <v>126</v>
      </c>
      <c r="F1400" t="s">
        <v>6546</v>
      </c>
      <c r="G1400" t="s">
        <v>125</v>
      </c>
      <c r="H1400" t="s">
        <v>6547</v>
      </c>
      <c r="J1400" s="2">
        <v>867099</v>
      </c>
      <c r="K1400" s="2">
        <v>3667</v>
      </c>
      <c r="L1400" s="2">
        <v>21</v>
      </c>
      <c r="M1400" s="2">
        <v>0</v>
      </c>
      <c r="N1400" t="s">
        <v>212</v>
      </c>
      <c r="O1400" t="s">
        <v>213</v>
      </c>
      <c r="P1400" t="s">
        <v>61</v>
      </c>
      <c r="Q1400" t="s">
        <v>62</v>
      </c>
      <c r="S1400" t="s">
        <v>6548</v>
      </c>
      <c r="U1400" t="s">
        <v>45</v>
      </c>
      <c r="V1400" t="s">
        <v>46</v>
      </c>
      <c r="W1400" t="s">
        <v>212</v>
      </c>
      <c r="X1400" t="s">
        <v>213</v>
      </c>
      <c r="Y1400" t="s">
        <v>47</v>
      </c>
      <c r="Z1400" t="s">
        <v>48</v>
      </c>
      <c r="AA1400" t="s">
        <v>49</v>
      </c>
      <c r="AB1400" t="s">
        <v>50</v>
      </c>
      <c r="AC1400" s="2">
        <v>118522.71</v>
      </c>
      <c r="AD1400" t="s">
        <v>6549</v>
      </c>
      <c r="AE1400" t="s">
        <v>52</v>
      </c>
    </row>
    <row r="1401" spans="1:31" hidden="1" x14ac:dyDescent="0.25">
      <c r="A1401" t="s">
        <v>6550</v>
      </c>
      <c r="B1401" t="s">
        <v>6551</v>
      </c>
      <c r="C1401" t="s">
        <v>6551</v>
      </c>
      <c r="F1401" t="s">
        <v>6552</v>
      </c>
      <c r="H1401" t="s">
        <v>303</v>
      </c>
      <c r="I1401" t="s">
        <v>6553</v>
      </c>
      <c r="J1401" s="2">
        <v>1000</v>
      </c>
      <c r="K1401" s="2">
        <v>0</v>
      </c>
      <c r="L1401" s="2">
        <v>1</v>
      </c>
      <c r="M1401" s="2">
        <v>0</v>
      </c>
      <c r="N1401" t="s">
        <v>302</v>
      </c>
      <c r="O1401" t="s">
        <v>303</v>
      </c>
      <c r="P1401" t="s">
        <v>304</v>
      </c>
      <c r="Q1401" t="s">
        <v>72</v>
      </c>
      <c r="S1401" t="s">
        <v>6554</v>
      </c>
      <c r="U1401" t="s">
        <v>45</v>
      </c>
      <c r="V1401" t="s">
        <v>46</v>
      </c>
      <c r="W1401" t="s">
        <v>254</v>
      </c>
      <c r="X1401" t="s">
        <v>255</v>
      </c>
      <c r="Y1401" t="s">
        <v>72</v>
      </c>
      <c r="Z1401" t="s">
        <v>68</v>
      </c>
      <c r="AA1401" t="s">
        <v>49</v>
      </c>
      <c r="AB1401" t="s">
        <v>50</v>
      </c>
      <c r="AC1401" s="2">
        <v>1000</v>
      </c>
      <c r="AD1401" t="s">
        <v>64</v>
      </c>
    </row>
    <row r="1402" spans="1:31" hidden="1" x14ac:dyDescent="0.25">
      <c r="J1402" s="2">
        <v>218170</v>
      </c>
      <c r="K1402" s="2">
        <v>1000</v>
      </c>
      <c r="L1402" s="2">
        <v>15</v>
      </c>
      <c r="M1402" s="2">
        <v>0</v>
      </c>
      <c r="S1402" t="s">
        <v>6555</v>
      </c>
      <c r="U1402" t="s">
        <v>45</v>
      </c>
      <c r="V1402" t="s">
        <v>46</v>
      </c>
      <c r="W1402" t="s">
        <v>348</v>
      </c>
      <c r="X1402" t="s">
        <v>349</v>
      </c>
      <c r="Y1402" t="s">
        <v>317</v>
      </c>
      <c r="Z1402" t="s">
        <v>349</v>
      </c>
      <c r="AA1402" t="s">
        <v>49</v>
      </c>
      <c r="AC1402" s="2"/>
    </row>
    <row r="1403" spans="1:31" x14ac:dyDescent="0.25">
      <c r="A1403" t="s">
        <v>6556</v>
      </c>
      <c r="B1403" t="s">
        <v>6557</v>
      </c>
      <c r="C1403" t="s">
        <v>6557</v>
      </c>
      <c r="D1403" t="s">
        <v>569</v>
      </c>
      <c r="E1403" t="s">
        <v>570</v>
      </c>
      <c r="F1403" t="s">
        <v>6558</v>
      </c>
      <c r="G1403" t="s">
        <v>498</v>
      </c>
      <c r="H1403" t="s">
        <v>1222</v>
      </c>
      <c r="J1403" s="2">
        <v>130902</v>
      </c>
      <c r="K1403" s="2">
        <v>600</v>
      </c>
      <c r="L1403" s="2">
        <v>5</v>
      </c>
      <c r="M1403" s="2">
        <v>0</v>
      </c>
      <c r="N1403" t="s">
        <v>1221</v>
      </c>
      <c r="O1403" t="s">
        <v>1222</v>
      </c>
      <c r="P1403" t="s">
        <v>205</v>
      </c>
      <c r="Q1403" t="s">
        <v>206</v>
      </c>
      <c r="S1403" t="s">
        <v>6559</v>
      </c>
      <c r="U1403" t="s">
        <v>45</v>
      </c>
      <c r="V1403" t="s">
        <v>46</v>
      </c>
      <c r="W1403" t="s">
        <v>1221</v>
      </c>
      <c r="X1403" t="s">
        <v>1222</v>
      </c>
      <c r="Y1403" t="s">
        <v>161</v>
      </c>
      <c r="Z1403" t="s">
        <v>162</v>
      </c>
      <c r="AA1403" t="s">
        <v>49</v>
      </c>
      <c r="AB1403" t="s">
        <v>50</v>
      </c>
      <c r="AC1403" s="2">
        <v>130902</v>
      </c>
      <c r="AD1403" t="s">
        <v>64</v>
      </c>
    </row>
    <row r="1404" spans="1:31" hidden="1" x14ac:dyDescent="0.25">
      <c r="I1404" t="s">
        <v>6560</v>
      </c>
      <c r="J1404" s="2">
        <v>1000</v>
      </c>
      <c r="K1404" s="2">
        <v>0</v>
      </c>
      <c r="L1404" s="2">
        <v>1</v>
      </c>
      <c r="M1404" s="2">
        <v>0</v>
      </c>
      <c r="S1404" t="s">
        <v>6561</v>
      </c>
      <c r="U1404" t="s">
        <v>45</v>
      </c>
      <c r="V1404" t="s">
        <v>46</v>
      </c>
      <c r="W1404" t="s">
        <v>40</v>
      </c>
      <c r="X1404" t="s">
        <v>41</v>
      </c>
      <c r="Y1404" t="s">
        <v>47</v>
      </c>
      <c r="Z1404" t="s">
        <v>48</v>
      </c>
      <c r="AA1404" t="s">
        <v>49</v>
      </c>
      <c r="AC1404" s="2"/>
    </row>
    <row r="1405" spans="1:31" hidden="1" x14ac:dyDescent="0.25">
      <c r="A1405" t="s">
        <v>6562</v>
      </c>
      <c r="B1405" t="s">
        <v>6563</v>
      </c>
      <c r="C1405" t="s">
        <v>6563</v>
      </c>
      <c r="D1405" t="s">
        <v>55</v>
      </c>
      <c r="E1405" t="s">
        <v>56</v>
      </c>
      <c r="F1405" t="s">
        <v>1244</v>
      </c>
      <c r="H1405" t="s">
        <v>1062</v>
      </c>
      <c r="J1405" s="2">
        <v>1000</v>
      </c>
      <c r="K1405" s="2">
        <v>0</v>
      </c>
      <c r="L1405" s="2">
        <v>1</v>
      </c>
      <c r="M1405" s="2">
        <v>0</v>
      </c>
      <c r="N1405" t="s">
        <v>1064</v>
      </c>
      <c r="O1405" t="s">
        <v>1062</v>
      </c>
      <c r="P1405" t="s">
        <v>304</v>
      </c>
      <c r="Q1405" t="s">
        <v>72</v>
      </c>
      <c r="U1405" t="s">
        <v>45</v>
      </c>
      <c r="V1405" t="s">
        <v>46</v>
      </c>
      <c r="W1405" t="s">
        <v>1064</v>
      </c>
      <c r="X1405" t="s">
        <v>1062</v>
      </c>
      <c r="Y1405" t="s">
        <v>47</v>
      </c>
      <c r="Z1405" t="s">
        <v>48</v>
      </c>
      <c r="AA1405" t="s">
        <v>49</v>
      </c>
      <c r="AB1405" t="s">
        <v>50</v>
      </c>
      <c r="AC1405" s="2">
        <v>1000</v>
      </c>
      <c r="AD1405" t="s">
        <v>64</v>
      </c>
    </row>
    <row r="1406" spans="1:31" hidden="1" x14ac:dyDescent="0.25">
      <c r="I1406" t="s">
        <v>6564</v>
      </c>
      <c r="J1406" s="2">
        <v>1000</v>
      </c>
      <c r="K1406" s="2">
        <v>0</v>
      </c>
      <c r="L1406" s="2">
        <v>15</v>
      </c>
      <c r="M1406" s="2">
        <v>0</v>
      </c>
      <c r="S1406" t="s">
        <v>6565</v>
      </c>
      <c r="U1406" t="s">
        <v>45</v>
      </c>
      <c r="V1406" t="s">
        <v>46</v>
      </c>
      <c r="W1406" t="s">
        <v>5741</v>
      </c>
      <c r="X1406" t="s">
        <v>5739</v>
      </c>
      <c r="Y1406" t="s">
        <v>5743</v>
      </c>
      <c r="Z1406" t="s">
        <v>5744</v>
      </c>
      <c r="AA1406" t="s">
        <v>49</v>
      </c>
      <c r="AC1406" s="2"/>
    </row>
    <row r="1407" spans="1:31" hidden="1" x14ac:dyDescent="0.25">
      <c r="I1407" t="s">
        <v>6566</v>
      </c>
      <c r="J1407" s="2">
        <v>218</v>
      </c>
      <c r="K1407" s="2">
        <v>1</v>
      </c>
      <c r="L1407" s="2">
        <v>1</v>
      </c>
      <c r="M1407" s="2">
        <v>0</v>
      </c>
      <c r="S1407" t="s">
        <v>6567</v>
      </c>
      <c r="U1407" t="s">
        <v>45</v>
      </c>
      <c r="V1407" t="s">
        <v>46</v>
      </c>
      <c r="W1407" t="s">
        <v>80</v>
      </c>
      <c r="X1407" t="s">
        <v>81</v>
      </c>
      <c r="Y1407" t="s">
        <v>85</v>
      </c>
      <c r="Z1407" t="s">
        <v>86</v>
      </c>
      <c r="AA1407" t="s">
        <v>49</v>
      </c>
      <c r="AC1407" s="2"/>
    </row>
    <row r="1408" spans="1:31" x14ac:dyDescent="0.25">
      <c r="A1408" t="s">
        <v>6568</v>
      </c>
      <c r="B1408" t="s">
        <v>6569</v>
      </c>
      <c r="C1408" t="s">
        <v>6570</v>
      </c>
      <c r="D1408" t="s">
        <v>1865</v>
      </c>
      <c r="E1408" t="s">
        <v>224</v>
      </c>
      <c r="F1408" t="s">
        <v>6571</v>
      </c>
      <c r="G1408" t="s">
        <v>4907</v>
      </c>
      <c r="H1408" t="s">
        <v>6055</v>
      </c>
      <c r="I1408" t="s">
        <v>6572</v>
      </c>
      <c r="J1408" s="2">
        <v>109085</v>
      </c>
      <c r="K1408" s="2">
        <v>500</v>
      </c>
      <c r="L1408" s="2">
        <v>30</v>
      </c>
      <c r="M1408" s="2">
        <v>0</v>
      </c>
      <c r="N1408" t="s">
        <v>6057</v>
      </c>
      <c r="O1408" t="s">
        <v>6058</v>
      </c>
      <c r="P1408" t="s">
        <v>5966</v>
      </c>
      <c r="Q1408" t="s">
        <v>5739</v>
      </c>
      <c r="S1408" t="s">
        <v>6573</v>
      </c>
      <c r="U1408" t="s">
        <v>45</v>
      </c>
      <c r="V1408" t="s">
        <v>46</v>
      </c>
      <c r="W1408" t="s">
        <v>6057</v>
      </c>
      <c r="X1408" t="s">
        <v>6058</v>
      </c>
      <c r="Y1408" t="s">
        <v>5743</v>
      </c>
      <c r="Z1408" t="s">
        <v>5744</v>
      </c>
      <c r="AA1408" t="s">
        <v>49</v>
      </c>
      <c r="AB1408" t="s">
        <v>50</v>
      </c>
      <c r="AC1408" s="2">
        <v>109085</v>
      </c>
      <c r="AD1408" t="s">
        <v>64</v>
      </c>
    </row>
    <row r="1409" spans="1:31" x14ac:dyDescent="0.25">
      <c r="A1409" t="s">
        <v>6574</v>
      </c>
      <c r="B1409" t="s">
        <v>6575</v>
      </c>
      <c r="C1409" t="s">
        <v>6575</v>
      </c>
      <c r="D1409" t="s">
        <v>35</v>
      </c>
      <c r="E1409" t="s">
        <v>36</v>
      </c>
      <c r="F1409" t="s">
        <v>6576</v>
      </c>
      <c r="G1409" t="s">
        <v>153</v>
      </c>
      <c r="H1409" t="s">
        <v>1062</v>
      </c>
      <c r="I1409" t="s">
        <v>6577</v>
      </c>
      <c r="J1409" s="2">
        <v>175661</v>
      </c>
      <c r="K1409" s="2">
        <v>710</v>
      </c>
      <c r="L1409" s="2">
        <v>21</v>
      </c>
      <c r="M1409" s="2">
        <v>0</v>
      </c>
      <c r="N1409" t="s">
        <v>1064</v>
      </c>
      <c r="O1409" t="s">
        <v>1062</v>
      </c>
      <c r="P1409" t="s">
        <v>304</v>
      </c>
      <c r="Q1409" t="s">
        <v>72</v>
      </c>
      <c r="S1409" t="s">
        <v>6578</v>
      </c>
      <c r="U1409" t="s">
        <v>45</v>
      </c>
      <c r="V1409" t="s">
        <v>46</v>
      </c>
      <c r="W1409" t="s">
        <v>1064</v>
      </c>
      <c r="X1409" t="s">
        <v>1062</v>
      </c>
      <c r="Y1409" t="s">
        <v>72</v>
      </c>
      <c r="Z1409" t="s">
        <v>68</v>
      </c>
      <c r="AA1409" t="s">
        <v>49</v>
      </c>
      <c r="AB1409" t="s">
        <v>50</v>
      </c>
      <c r="AC1409" s="2">
        <v>20660.73</v>
      </c>
      <c r="AD1409" t="s">
        <v>6579</v>
      </c>
      <c r="AE1409" t="s">
        <v>52</v>
      </c>
    </row>
    <row r="1410" spans="1:31" hidden="1" x14ac:dyDescent="0.25">
      <c r="I1410" t="s">
        <v>6580</v>
      </c>
      <c r="J1410" s="2">
        <v>109085</v>
      </c>
      <c r="K1410" s="2">
        <v>500</v>
      </c>
      <c r="L1410" s="2">
        <v>15</v>
      </c>
      <c r="M1410" s="2">
        <v>0</v>
      </c>
      <c r="S1410" t="s">
        <v>6581</v>
      </c>
      <c r="U1410" t="s">
        <v>45</v>
      </c>
      <c r="V1410" t="s">
        <v>46</v>
      </c>
      <c r="W1410" t="s">
        <v>664</v>
      </c>
      <c r="X1410" t="s">
        <v>665</v>
      </c>
      <c r="Y1410" t="s">
        <v>106</v>
      </c>
      <c r="Z1410" t="s">
        <v>107</v>
      </c>
      <c r="AA1410" t="s">
        <v>49</v>
      </c>
      <c r="AC1410" s="2"/>
    </row>
    <row r="1411" spans="1:31" hidden="1" x14ac:dyDescent="0.25">
      <c r="A1411" t="s">
        <v>6582</v>
      </c>
      <c r="B1411" t="s">
        <v>6583</v>
      </c>
      <c r="C1411" t="s">
        <v>6583</v>
      </c>
      <c r="F1411" t="s">
        <v>6584</v>
      </c>
      <c r="H1411" t="s">
        <v>5739</v>
      </c>
      <c r="I1411" t="s">
        <v>6585</v>
      </c>
      <c r="J1411" s="2">
        <v>1364</v>
      </c>
      <c r="K1411" s="2">
        <v>6.25</v>
      </c>
      <c r="L1411" s="2">
        <v>21</v>
      </c>
      <c r="M1411" s="2">
        <v>0</v>
      </c>
      <c r="N1411" t="s">
        <v>5741</v>
      </c>
      <c r="O1411" t="s">
        <v>5739</v>
      </c>
      <c r="P1411" t="s">
        <v>5966</v>
      </c>
      <c r="Q1411" t="s">
        <v>5739</v>
      </c>
      <c r="S1411" t="s">
        <v>6586</v>
      </c>
      <c r="U1411" t="s">
        <v>45</v>
      </c>
      <c r="V1411" t="s">
        <v>46</v>
      </c>
      <c r="W1411" t="s">
        <v>5741</v>
      </c>
      <c r="X1411" t="s">
        <v>5739</v>
      </c>
      <c r="Y1411" t="s">
        <v>5743</v>
      </c>
      <c r="Z1411" t="s">
        <v>5744</v>
      </c>
      <c r="AA1411" t="s">
        <v>49</v>
      </c>
      <c r="AB1411" t="s">
        <v>50</v>
      </c>
      <c r="AC1411" s="2">
        <v>1364</v>
      </c>
      <c r="AD1411" t="s">
        <v>64</v>
      </c>
    </row>
    <row r="1412" spans="1:31" x14ac:dyDescent="0.25">
      <c r="A1412" t="s">
        <v>6587</v>
      </c>
      <c r="B1412" t="s">
        <v>6588</v>
      </c>
      <c r="C1412" t="s">
        <v>6588</v>
      </c>
      <c r="D1412" t="s">
        <v>2485</v>
      </c>
      <c r="E1412" t="s">
        <v>134</v>
      </c>
      <c r="F1412" t="s">
        <v>6589</v>
      </c>
      <c r="H1412" t="s">
        <v>2385</v>
      </c>
      <c r="I1412" t="s">
        <v>2383</v>
      </c>
      <c r="J1412" s="2">
        <v>218170</v>
      </c>
      <c r="K1412" s="2">
        <v>1000</v>
      </c>
      <c r="L1412" s="2">
        <v>21</v>
      </c>
      <c r="M1412" s="2">
        <v>0</v>
      </c>
      <c r="N1412" t="s">
        <v>2384</v>
      </c>
      <c r="O1412" t="s">
        <v>2385</v>
      </c>
      <c r="P1412" t="s">
        <v>103</v>
      </c>
      <c r="Q1412" t="s">
        <v>104</v>
      </c>
      <c r="S1412" t="s">
        <v>6590</v>
      </c>
      <c r="U1412" t="s">
        <v>45</v>
      </c>
      <c r="V1412" t="s">
        <v>46</v>
      </c>
      <c r="W1412" t="s">
        <v>2384</v>
      </c>
      <c r="X1412" t="s">
        <v>2385</v>
      </c>
      <c r="Y1412" t="s">
        <v>106</v>
      </c>
      <c r="Z1412" t="s">
        <v>107</v>
      </c>
      <c r="AA1412" t="s">
        <v>49</v>
      </c>
      <c r="AB1412" t="s">
        <v>50</v>
      </c>
      <c r="AC1412" s="2">
        <v>218170</v>
      </c>
      <c r="AD1412" t="s">
        <v>64</v>
      </c>
    </row>
    <row r="1413" spans="1:31" x14ac:dyDescent="0.25">
      <c r="A1413" t="s">
        <v>6591</v>
      </c>
      <c r="B1413" t="s">
        <v>6592</v>
      </c>
      <c r="C1413" t="s">
        <v>6592</v>
      </c>
      <c r="D1413" t="s">
        <v>153</v>
      </c>
      <c r="E1413" t="s">
        <v>272</v>
      </c>
      <c r="F1413" t="s">
        <v>6593</v>
      </c>
      <c r="G1413" t="s">
        <v>792</v>
      </c>
      <c r="H1413" t="s">
        <v>6594</v>
      </c>
      <c r="J1413" s="2">
        <v>87268</v>
      </c>
      <c r="K1413" s="2">
        <v>400</v>
      </c>
      <c r="L1413" s="2">
        <v>12</v>
      </c>
      <c r="M1413" s="2">
        <v>0</v>
      </c>
      <c r="N1413" t="s">
        <v>254</v>
      </c>
      <c r="O1413" t="s">
        <v>255</v>
      </c>
      <c r="P1413" t="s">
        <v>256</v>
      </c>
      <c r="Q1413" t="s">
        <v>255</v>
      </c>
      <c r="S1413" t="s">
        <v>6595</v>
      </c>
      <c r="U1413" t="s">
        <v>45</v>
      </c>
      <c r="V1413" t="s">
        <v>46</v>
      </c>
      <c r="W1413" t="s">
        <v>254</v>
      </c>
      <c r="X1413" t="s">
        <v>255</v>
      </c>
      <c r="Y1413" t="s">
        <v>1122</v>
      </c>
      <c r="Z1413" t="s">
        <v>1122</v>
      </c>
      <c r="AA1413" t="s">
        <v>49</v>
      </c>
      <c r="AB1413" t="s">
        <v>50</v>
      </c>
      <c r="AC1413" s="2">
        <v>87138.22</v>
      </c>
      <c r="AD1413" t="s">
        <v>6596</v>
      </c>
      <c r="AE1413" t="s">
        <v>115</v>
      </c>
    </row>
    <row r="1414" spans="1:31" hidden="1" x14ac:dyDescent="0.25">
      <c r="I1414" t="s">
        <v>6597</v>
      </c>
      <c r="J1414" s="2">
        <v>109085</v>
      </c>
      <c r="K1414" s="2">
        <v>500</v>
      </c>
      <c r="L1414" s="2">
        <v>15</v>
      </c>
      <c r="M1414" s="2">
        <v>0</v>
      </c>
      <c r="S1414" t="s">
        <v>6598</v>
      </c>
      <c r="U1414" t="s">
        <v>45</v>
      </c>
      <c r="V1414" t="s">
        <v>46</v>
      </c>
      <c r="W1414" t="s">
        <v>80</v>
      </c>
      <c r="X1414" t="s">
        <v>81</v>
      </c>
      <c r="Y1414" t="s">
        <v>85</v>
      </c>
      <c r="Z1414" t="s">
        <v>86</v>
      </c>
      <c r="AA1414" t="s">
        <v>49</v>
      </c>
      <c r="AC1414" s="2"/>
    </row>
    <row r="1415" spans="1:31" x14ac:dyDescent="0.25">
      <c r="A1415" t="s">
        <v>6599</v>
      </c>
      <c r="B1415" t="s">
        <v>6600</v>
      </c>
      <c r="C1415" t="s">
        <v>6601</v>
      </c>
      <c r="D1415" t="s">
        <v>153</v>
      </c>
      <c r="E1415" t="s">
        <v>272</v>
      </c>
      <c r="F1415" t="s">
        <v>4931</v>
      </c>
      <c r="G1415" t="s">
        <v>847</v>
      </c>
      <c r="H1415" t="s">
        <v>1360</v>
      </c>
      <c r="I1415" t="s">
        <v>4939</v>
      </c>
      <c r="J1415" s="2">
        <v>796473</v>
      </c>
      <c r="K1415" s="2">
        <v>3196.12</v>
      </c>
      <c r="L1415" s="2">
        <v>45</v>
      </c>
      <c r="M1415" s="2">
        <v>0</v>
      </c>
      <c r="N1415" t="s">
        <v>1362</v>
      </c>
      <c r="O1415" t="s">
        <v>1360</v>
      </c>
      <c r="P1415" t="s">
        <v>1421</v>
      </c>
      <c r="Q1415" t="s">
        <v>1422</v>
      </c>
      <c r="S1415" t="s">
        <v>4935</v>
      </c>
      <c r="U1415" t="s">
        <v>45</v>
      </c>
      <c r="V1415" t="s">
        <v>46</v>
      </c>
      <c r="W1415" t="s">
        <v>1362</v>
      </c>
      <c r="X1415" t="s">
        <v>1360</v>
      </c>
      <c r="Y1415" t="s">
        <v>1215</v>
      </c>
      <c r="Z1415" t="s">
        <v>1216</v>
      </c>
      <c r="AA1415" t="s">
        <v>49</v>
      </c>
      <c r="AB1415" t="s">
        <v>50</v>
      </c>
      <c r="AC1415" s="2">
        <v>211259.2</v>
      </c>
      <c r="AD1415" t="s">
        <v>6602</v>
      </c>
      <c r="AE1415" t="s">
        <v>115</v>
      </c>
    </row>
    <row r="1416" spans="1:31" x14ac:dyDescent="0.25">
      <c r="A1416" t="s">
        <v>6603</v>
      </c>
      <c r="B1416" t="s">
        <v>6604</v>
      </c>
      <c r="C1416" t="s">
        <v>6604</v>
      </c>
      <c r="D1416" t="s">
        <v>153</v>
      </c>
      <c r="E1416" t="s">
        <v>272</v>
      </c>
      <c r="F1416" t="s">
        <v>6605</v>
      </c>
      <c r="G1416" t="s">
        <v>153</v>
      </c>
      <c r="H1416" t="s">
        <v>173</v>
      </c>
      <c r="I1416" t="s">
        <v>6606</v>
      </c>
      <c r="J1416" s="2">
        <v>4984000</v>
      </c>
      <c r="K1416" s="2">
        <v>20000</v>
      </c>
      <c r="L1416" s="2">
        <v>21</v>
      </c>
      <c r="M1416" s="2">
        <v>0</v>
      </c>
      <c r="N1416" t="s">
        <v>172</v>
      </c>
      <c r="O1416" t="s">
        <v>173</v>
      </c>
      <c r="P1416" t="s">
        <v>158</v>
      </c>
      <c r="Q1416" t="s">
        <v>159</v>
      </c>
      <c r="S1416" t="s">
        <v>6607</v>
      </c>
      <c r="U1416" t="s">
        <v>45</v>
      </c>
      <c r="V1416" t="s">
        <v>46</v>
      </c>
      <c r="W1416" t="s">
        <v>172</v>
      </c>
      <c r="X1416" t="s">
        <v>173</v>
      </c>
      <c r="Y1416" t="s">
        <v>161</v>
      </c>
      <c r="Z1416" t="s">
        <v>162</v>
      </c>
      <c r="AA1416" t="s">
        <v>49</v>
      </c>
      <c r="AB1416" t="s">
        <v>50</v>
      </c>
      <c r="AC1416" s="2">
        <v>1110225.73</v>
      </c>
      <c r="AD1416" t="s">
        <v>6608</v>
      </c>
      <c r="AE1416" t="s">
        <v>52</v>
      </c>
    </row>
    <row r="1417" spans="1:31" hidden="1" x14ac:dyDescent="0.25">
      <c r="I1417" t="s">
        <v>6609</v>
      </c>
      <c r="J1417" s="2">
        <v>1008</v>
      </c>
      <c r="K1417" s="2">
        <v>4.62</v>
      </c>
      <c r="L1417" s="2">
        <v>1</v>
      </c>
      <c r="M1417" s="2">
        <v>0</v>
      </c>
      <c r="S1417" t="s">
        <v>6610</v>
      </c>
      <c r="U1417" t="s">
        <v>45</v>
      </c>
      <c r="V1417" t="s">
        <v>46</v>
      </c>
      <c r="W1417" t="s">
        <v>5741</v>
      </c>
      <c r="X1417" t="s">
        <v>5739</v>
      </c>
      <c r="Y1417" t="s">
        <v>5743</v>
      </c>
      <c r="Z1417" t="s">
        <v>5744</v>
      </c>
      <c r="AA1417" t="s">
        <v>49</v>
      </c>
      <c r="AC1417" s="2"/>
    </row>
    <row r="1418" spans="1:31" x14ac:dyDescent="0.25">
      <c r="A1418" t="s">
        <v>6611</v>
      </c>
      <c r="B1418" t="s">
        <v>6612</v>
      </c>
      <c r="C1418" t="s">
        <v>6612</v>
      </c>
      <c r="D1418" t="s">
        <v>125</v>
      </c>
      <c r="E1418" t="s">
        <v>126</v>
      </c>
      <c r="F1418" t="s">
        <v>6613</v>
      </c>
      <c r="G1418" t="s">
        <v>125</v>
      </c>
      <c r="H1418" t="s">
        <v>41</v>
      </c>
      <c r="I1418" t="s">
        <v>6614</v>
      </c>
      <c r="J1418" s="2">
        <v>282815</v>
      </c>
      <c r="K1418" s="2">
        <v>1156</v>
      </c>
      <c r="L1418" s="2">
        <v>15</v>
      </c>
      <c r="M1418" s="2">
        <v>0</v>
      </c>
      <c r="N1418" t="s">
        <v>40</v>
      </c>
      <c r="O1418" t="s">
        <v>41</v>
      </c>
      <c r="P1418" t="s">
        <v>61</v>
      </c>
      <c r="Q1418" t="s">
        <v>62</v>
      </c>
      <c r="S1418" t="s">
        <v>6615</v>
      </c>
      <c r="U1418" t="s">
        <v>45</v>
      </c>
      <c r="V1418" t="s">
        <v>46</v>
      </c>
      <c r="W1418" t="s">
        <v>40</v>
      </c>
      <c r="X1418" t="s">
        <v>41</v>
      </c>
      <c r="Y1418" t="s">
        <v>47</v>
      </c>
      <c r="Z1418" t="s">
        <v>48</v>
      </c>
      <c r="AA1418" t="s">
        <v>49</v>
      </c>
      <c r="AB1418" t="s">
        <v>50</v>
      </c>
      <c r="AC1418" s="2">
        <v>38699.24</v>
      </c>
      <c r="AD1418" t="s">
        <v>6616</v>
      </c>
      <c r="AE1418" t="s">
        <v>52</v>
      </c>
    </row>
    <row r="1419" spans="1:31" hidden="1" x14ac:dyDescent="0.25">
      <c r="I1419" t="s">
        <v>6617</v>
      </c>
      <c r="J1419" s="2">
        <v>43634</v>
      </c>
      <c r="K1419" s="2">
        <v>200</v>
      </c>
      <c r="L1419" s="2">
        <v>15</v>
      </c>
      <c r="M1419" s="2">
        <v>0</v>
      </c>
      <c r="S1419" t="s">
        <v>6618</v>
      </c>
      <c r="U1419" t="s">
        <v>45</v>
      </c>
      <c r="V1419" t="s">
        <v>46</v>
      </c>
      <c r="W1419" t="s">
        <v>118</v>
      </c>
      <c r="X1419" t="s">
        <v>119</v>
      </c>
      <c r="Y1419" t="s">
        <v>121</v>
      </c>
      <c r="Z1419" t="s">
        <v>94</v>
      </c>
      <c r="AA1419" t="s">
        <v>49</v>
      </c>
      <c r="AC1419" s="2"/>
    </row>
    <row r="1420" spans="1:31" x14ac:dyDescent="0.25">
      <c r="A1420" t="s">
        <v>6619</v>
      </c>
      <c r="B1420" t="s">
        <v>6620</v>
      </c>
      <c r="C1420" t="s">
        <v>6620</v>
      </c>
      <c r="D1420" t="s">
        <v>153</v>
      </c>
      <c r="E1420" t="s">
        <v>272</v>
      </c>
      <c r="F1420" t="s">
        <v>6621</v>
      </c>
      <c r="G1420" t="s">
        <v>299</v>
      </c>
      <c r="H1420" t="s">
        <v>404</v>
      </c>
      <c r="J1420" s="2">
        <v>327255</v>
      </c>
      <c r="K1420" s="2">
        <v>1500</v>
      </c>
      <c r="L1420" s="2">
        <v>30</v>
      </c>
      <c r="M1420" s="2">
        <v>0</v>
      </c>
      <c r="N1420" t="s">
        <v>403</v>
      </c>
      <c r="O1420" t="s">
        <v>404</v>
      </c>
      <c r="P1420" t="s">
        <v>205</v>
      </c>
      <c r="Q1420" t="s">
        <v>206</v>
      </c>
      <c r="S1420" t="s">
        <v>6622</v>
      </c>
      <c r="U1420" t="s">
        <v>45</v>
      </c>
      <c r="V1420" t="s">
        <v>46</v>
      </c>
      <c r="W1420" t="s">
        <v>403</v>
      </c>
      <c r="X1420" t="s">
        <v>404</v>
      </c>
      <c r="Y1420" t="s">
        <v>161</v>
      </c>
      <c r="Z1420" t="s">
        <v>162</v>
      </c>
      <c r="AA1420" t="s">
        <v>49</v>
      </c>
      <c r="AB1420" t="s">
        <v>50</v>
      </c>
      <c r="AC1420" s="2">
        <v>179594.51</v>
      </c>
      <c r="AD1420" t="s">
        <v>6623</v>
      </c>
      <c r="AE1420" t="s">
        <v>52</v>
      </c>
    </row>
    <row r="1421" spans="1:31" x14ac:dyDescent="0.25">
      <c r="A1421" t="s">
        <v>6624</v>
      </c>
      <c r="B1421" t="s">
        <v>6625</v>
      </c>
      <c r="C1421" t="s">
        <v>6625</v>
      </c>
      <c r="D1421" t="s">
        <v>125</v>
      </c>
      <c r="E1421" t="s">
        <v>126</v>
      </c>
      <c r="F1421" t="s">
        <v>6626</v>
      </c>
      <c r="G1421" t="s">
        <v>125</v>
      </c>
      <c r="H1421" t="s">
        <v>6627</v>
      </c>
      <c r="I1421" t="s">
        <v>6628</v>
      </c>
      <c r="J1421" s="2">
        <v>3937360</v>
      </c>
      <c r="K1421" s="2">
        <v>15800</v>
      </c>
      <c r="L1421" s="2">
        <v>25</v>
      </c>
      <c r="M1421" s="2">
        <v>0</v>
      </c>
      <c r="N1421" t="s">
        <v>6629</v>
      </c>
      <c r="O1421" t="s">
        <v>6630</v>
      </c>
      <c r="P1421" t="s">
        <v>3487</v>
      </c>
      <c r="Q1421" t="s">
        <v>3488</v>
      </c>
      <c r="S1421" t="s">
        <v>6631</v>
      </c>
      <c r="U1421" t="s">
        <v>45</v>
      </c>
      <c r="V1421" t="s">
        <v>46</v>
      </c>
      <c r="W1421" t="s">
        <v>6629</v>
      </c>
      <c r="X1421" t="s">
        <v>6630</v>
      </c>
      <c r="Y1421" t="s">
        <v>79</v>
      </c>
      <c r="Z1421" t="s">
        <v>94</v>
      </c>
      <c r="AA1421" t="s">
        <v>49</v>
      </c>
      <c r="AB1421" t="s">
        <v>50</v>
      </c>
      <c r="AC1421" s="2">
        <v>1948633.8</v>
      </c>
      <c r="AD1421" t="s">
        <v>6632</v>
      </c>
      <c r="AE1421" t="s">
        <v>52</v>
      </c>
    </row>
    <row r="1422" spans="1:31" x14ac:dyDescent="0.25">
      <c r="A1422" t="s">
        <v>6633</v>
      </c>
      <c r="B1422" t="s">
        <v>6634</v>
      </c>
      <c r="C1422" t="s">
        <v>6634</v>
      </c>
      <c r="D1422" t="s">
        <v>125</v>
      </c>
      <c r="E1422" t="s">
        <v>126</v>
      </c>
      <c r="F1422" t="s">
        <v>6635</v>
      </c>
      <c r="G1422" t="s">
        <v>125</v>
      </c>
      <c r="H1422" t="s">
        <v>6627</v>
      </c>
      <c r="I1422" t="s">
        <v>6636</v>
      </c>
      <c r="J1422" s="2">
        <v>1352654</v>
      </c>
      <c r="K1422" s="2">
        <v>6200</v>
      </c>
      <c r="L1422" s="2">
        <v>25</v>
      </c>
      <c r="M1422" s="2">
        <v>0</v>
      </c>
      <c r="N1422" t="s">
        <v>6629</v>
      </c>
      <c r="O1422" t="s">
        <v>6630</v>
      </c>
      <c r="P1422" t="s">
        <v>3487</v>
      </c>
      <c r="Q1422" t="s">
        <v>3488</v>
      </c>
      <c r="S1422" t="s">
        <v>6637</v>
      </c>
      <c r="U1422" t="s">
        <v>45</v>
      </c>
      <c r="V1422" t="s">
        <v>46</v>
      </c>
      <c r="W1422" t="s">
        <v>6629</v>
      </c>
      <c r="X1422" t="s">
        <v>6630</v>
      </c>
      <c r="Y1422" t="s">
        <v>79</v>
      </c>
      <c r="Z1422" t="s">
        <v>94</v>
      </c>
      <c r="AA1422" t="s">
        <v>49</v>
      </c>
      <c r="AB1422" t="s">
        <v>50</v>
      </c>
      <c r="AC1422" s="2">
        <v>964831.65</v>
      </c>
      <c r="AD1422" t="s">
        <v>6638</v>
      </c>
      <c r="AE1422" t="s">
        <v>52</v>
      </c>
    </row>
    <row r="1423" spans="1:31" x14ac:dyDescent="0.25">
      <c r="A1423" t="s">
        <v>6639</v>
      </c>
      <c r="B1423" t="s">
        <v>6640</v>
      </c>
      <c r="C1423" t="s">
        <v>6640</v>
      </c>
      <c r="D1423" t="s">
        <v>847</v>
      </c>
      <c r="E1423" t="s">
        <v>848</v>
      </c>
      <c r="F1423" t="s">
        <v>6641</v>
      </c>
      <c r="G1423" t="s">
        <v>178</v>
      </c>
      <c r="H1423" t="s">
        <v>5927</v>
      </c>
      <c r="J1423" s="2">
        <v>486220</v>
      </c>
      <c r="K1423" s="2">
        <v>2000</v>
      </c>
      <c r="L1423" s="2">
        <v>15</v>
      </c>
      <c r="M1423" s="2">
        <v>0</v>
      </c>
      <c r="N1423" t="s">
        <v>5929</v>
      </c>
      <c r="O1423" t="s">
        <v>5930</v>
      </c>
      <c r="P1423" t="s">
        <v>1363</v>
      </c>
      <c r="Q1423" t="s">
        <v>1364</v>
      </c>
      <c r="S1423" t="s">
        <v>6642</v>
      </c>
      <c r="U1423" t="s">
        <v>45</v>
      </c>
      <c r="V1423" t="s">
        <v>46</v>
      </c>
      <c r="W1423" t="s">
        <v>5929</v>
      </c>
      <c r="X1423" t="s">
        <v>5930</v>
      </c>
      <c r="Y1423" t="s">
        <v>85</v>
      </c>
      <c r="Z1423" t="s">
        <v>86</v>
      </c>
      <c r="AA1423" t="s">
        <v>49</v>
      </c>
      <c r="AB1423" t="s">
        <v>50</v>
      </c>
      <c r="AC1423" s="2">
        <v>-33672.879999999997</v>
      </c>
      <c r="AD1423" t="s">
        <v>6643</v>
      </c>
      <c r="AE1423" t="s">
        <v>52</v>
      </c>
    </row>
    <row r="1424" spans="1:31" x14ac:dyDescent="0.25">
      <c r="A1424" t="s">
        <v>6644</v>
      </c>
      <c r="B1424" t="s">
        <v>6645</v>
      </c>
      <c r="C1424" t="s">
        <v>6645</v>
      </c>
      <c r="D1424" t="s">
        <v>35</v>
      </c>
      <c r="E1424" t="s">
        <v>36</v>
      </c>
      <c r="F1424" t="s">
        <v>6646</v>
      </c>
      <c r="G1424" t="s">
        <v>178</v>
      </c>
      <c r="H1424" t="s">
        <v>6027</v>
      </c>
      <c r="I1424" t="s">
        <v>6647</v>
      </c>
      <c r="J1424" s="2">
        <v>247300</v>
      </c>
      <c r="K1424" s="2">
        <v>1000</v>
      </c>
      <c r="L1424" s="2">
        <v>15</v>
      </c>
      <c r="M1424" s="2">
        <v>0</v>
      </c>
      <c r="N1424" t="s">
        <v>6029</v>
      </c>
      <c r="O1424" t="s">
        <v>6030</v>
      </c>
      <c r="P1424" t="s">
        <v>1363</v>
      </c>
      <c r="Q1424" t="s">
        <v>1364</v>
      </c>
      <c r="S1424" t="s">
        <v>6648</v>
      </c>
      <c r="U1424" t="s">
        <v>45</v>
      </c>
      <c r="V1424" t="s">
        <v>46</v>
      </c>
      <c r="W1424" t="s">
        <v>6029</v>
      </c>
      <c r="X1424" t="s">
        <v>6030</v>
      </c>
      <c r="Y1424" t="s">
        <v>85</v>
      </c>
      <c r="Z1424" t="s">
        <v>86</v>
      </c>
      <c r="AA1424" t="s">
        <v>49</v>
      </c>
      <c r="AB1424" t="s">
        <v>50</v>
      </c>
      <c r="AC1424" s="2">
        <v>8586.52</v>
      </c>
      <c r="AD1424" t="s">
        <v>6649</v>
      </c>
      <c r="AE1424" t="s">
        <v>115</v>
      </c>
    </row>
    <row r="1425" spans="1:31" x14ac:dyDescent="0.25">
      <c r="A1425" t="s">
        <v>6650</v>
      </c>
      <c r="B1425" t="s">
        <v>6651</v>
      </c>
      <c r="C1425" t="s">
        <v>6651</v>
      </c>
      <c r="D1425" t="s">
        <v>125</v>
      </c>
      <c r="E1425" t="s">
        <v>126</v>
      </c>
      <c r="F1425" t="s">
        <v>6652</v>
      </c>
      <c r="G1425" t="s">
        <v>125</v>
      </c>
      <c r="H1425" t="s">
        <v>6627</v>
      </c>
      <c r="I1425" t="s">
        <v>6653</v>
      </c>
      <c r="J1425" s="2">
        <v>1090850</v>
      </c>
      <c r="K1425" s="2">
        <v>5000</v>
      </c>
      <c r="L1425" s="2">
        <v>25</v>
      </c>
      <c r="M1425" s="2">
        <v>0</v>
      </c>
      <c r="N1425" t="s">
        <v>6629</v>
      </c>
      <c r="O1425" t="s">
        <v>6630</v>
      </c>
      <c r="P1425" t="s">
        <v>3487</v>
      </c>
      <c r="Q1425" t="s">
        <v>3488</v>
      </c>
      <c r="S1425" t="s">
        <v>6654</v>
      </c>
      <c r="U1425" t="s">
        <v>45</v>
      </c>
      <c r="V1425" t="s">
        <v>46</v>
      </c>
      <c r="W1425" t="s">
        <v>6629</v>
      </c>
      <c r="X1425" t="s">
        <v>6630</v>
      </c>
      <c r="Y1425" t="s">
        <v>79</v>
      </c>
      <c r="Z1425" t="s">
        <v>94</v>
      </c>
      <c r="AA1425" t="s">
        <v>49</v>
      </c>
      <c r="AB1425" t="s">
        <v>50</v>
      </c>
      <c r="AC1425" s="2">
        <v>933255.69</v>
      </c>
      <c r="AD1425" t="s">
        <v>6655</v>
      </c>
      <c r="AE1425" t="s">
        <v>52</v>
      </c>
    </row>
    <row r="1426" spans="1:31" x14ac:dyDescent="0.25">
      <c r="A1426" t="s">
        <v>6656</v>
      </c>
      <c r="B1426" t="s">
        <v>6657</v>
      </c>
      <c r="C1426" t="s">
        <v>6657</v>
      </c>
      <c r="D1426" t="s">
        <v>178</v>
      </c>
      <c r="E1426" t="s">
        <v>179</v>
      </c>
      <c r="F1426" t="s">
        <v>6658</v>
      </c>
      <c r="G1426" t="s">
        <v>2687</v>
      </c>
      <c r="H1426" t="s">
        <v>1222</v>
      </c>
      <c r="I1426" t="s">
        <v>6659</v>
      </c>
      <c r="J1426" s="2">
        <v>436340</v>
      </c>
      <c r="K1426" s="2">
        <v>2000</v>
      </c>
      <c r="L1426" s="2">
        <v>30</v>
      </c>
      <c r="M1426" s="2">
        <v>0</v>
      </c>
      <c r="N1426" t="s">
        <v>1221</v>
      </c>
      <c r="O1426" t="s">
        <v>1222</v>
      </c>
      <c r="P1426" t="s">
        <v>205</v>
      </c>
      <c r="Q1426" t="s">
        <v>206</v>
      </c>
      <c r="S1426" t="s">
        <v>6660</v>
      </c>
      <c r="U1426" t="s">
        <v>45</v>
      </c>
      <c r="V1426" t="s">
        <v>46</v>
      </c>
      <c r="W1426" t="s">
        <v>1221</v>
      </c>
      <c r="X1426" t="s">
        <v>1222</v>
      </c>
      <c r="Y1426" t="s">
        <v>161</v>
      </c>
      <c r="Z1426" t="s">
        <v>162</v>
      </c>
      <c r="AA1426" t="s">
        <v>49</v>
      </c>
      <c r="AB1426" t="s">
        <v>50</v>
      </c>
      <c r="AC1426" s="2">
        <v>436340</v>
      </c>
      <c r="AD1426" t="s">
        <v>64</v>
      </c>
    </row>
    <row r="1427" spans="1:31" x14ac:dyDescent="0.25">
      <c r="A1427" t="s">
        <v>6661</v>
      </c>
      <c r="B1427" t="s">
        <v>6662</v>
      </c>
      <c r="C1427" t="s">
        <v>6662</v>
      </c>
      <c r="D1427" t="s">
        <v>873</v>
      </c>
      <c r="E1427" t="s">
        <v>224</v>
      </c>
      <c r="F1427" t="s">
        <v>6663</v>
      </c>
      <c r="H1427" t="s">
        <v>119</v>
      </c>
      <c r="I1427" t="s">
        <v>6664</v>
      </c>
      <c r="J1427" s="2">
        <v>1000</v>
      </c>
      <c r="K1427" s="2">
        <v>0</v>
      </c>
      <c r="L1427" s="2">
        <v>1</v>
      </c>
      <c r="M1427" s="2">
        <v>0</v>
      </c>
      <c r="N1427" t="s">
        <v>118</v>
      </c>
      <c r="O1427" t="s">
        <v>119</v>
      </c>
      <c r="P1427" t="s">
        <v>120</v>
      </c>
      <c r="Q1427" t="s">
        <v>121</v>
      </c>
      <c r="S1427" t="s">
        <v>6665</v>
      </c>
      <c r="U1427" t="s">
        <v>45</v>
      </c>
      <c r="V1427" t="s">
        <v>46</v>
      </c>
      <c r="W1427" t="s">
        <v>118</v>
      </c>
      <c r="X1427" t="s">
        <v>119</v>
      </c>
      <c r="Y1427" t="s">
        <v>121</v>
      </c>
      <c r="Z1427" t="s">
        <v>94</v>
      </c>
      <c r="AA1427" t="s">
        <v>49</v>
      </c>
      <c r="AB1427" t="s">
        <v>50</v>
      </c>
      <c r="AC1427" s="2">
        <v>-9874.69</v>
      </c>
      <c r="AD1427" t="s">
        <v>6666</v>
      </c>
      <c r="AE1427" t="s">
        <v>115</v>
      </c>
    </row>
    <row r="1428" spans="1:31" x14ac:dyDescent="0.25">
      <c r="A1428" t="s">
        <v>6667</v>
      </c>
      <c r="B1428" t="s">
        <v>6668</v>
      </c>
      <c r="C1428" t="s">
        <v>6668</v>
      </c>
      <c r="D1428" t="s">
        <v>888</v>
      </c>
      <c r="E1428" t="s">
        <v>167</v>
      </c>
      <c r="F1428" t="s">
        <v>6669</v>
      </c>
      <c r="H1428" t="s">
        <v>6670</v>
      </c>
      <c r="I1428" t="s">
        <v>6671</v>
      </c>
      <c r="J1428" s="2">
        <v>218</v>
      </c>
      <c r="K1428" s="2">
        <v>1</v>
      </c>
      <c r="L1428" s="2">
        <v>1</v>
      </c>
      <c r="M1428" s="2">
        <v>0</v>
      </c>
      <c r="N1428" t="s">
        <v>5112</v>
      </c>
      <c r="O1428" t="s">
        <v>5110</v>
      </c>
      <c r="P1428" t="s">
        <v>256</v>
      </c>
      <c r="Q1428" t="s">
        <v>255</v>
      </c>
      <c r="S1428" t="s">
        <v>6672</v>
      </c>
      <c r="U1428" t="s">
        <v>45</v>
      </c>
      <c r="V1428" t="s">
        <v>46</v>
      </c>
      <c r="W1428" t="s">
        <v>5112</v>
      </c>
      <c r="X1428" t="s">
        <v>5110</v>
      </c>
      <c r="Y1428" t="s">
        <v>137</v>
      </c>
      <c r="Z1428" t="s">
        <v>717</v>
      </c>
      <c r="AA1428" t="s">
        <v>49</v>
      </c>
      <c r="AB1428" t="s">
        <v>50</v>
      </c>
      <c r="AC1428" s="2">
        <v>-45713.56</v>
      </c>
      <c r="AD1428" t="s">
        <v>6673</v>
      </c>
      <c r="AE1428" t="s">
        <v>115</v>
      </c>
    </row>
    <row r="1429" spans="1:31" x14ac:dyDescent="0.25">
      <c r="A1429" t="s">
        <v>6674</v>
      </c>
      <c r="B1429" t="s">
        <v>6675</v>
      </c>
      <c r="C1429" t="s">
        <v>6675</v>
      </c>
      <c r="D1429" t="s">
        <v>2126</v>
      </c>
      <c r="E1429" t="s">
        <v>77</v>
      </c>
      <c r="F1429" t="s">
        <v>6676</v>
      </c>
      <c r="H1429" t="s">
        <v>404</v>
      </c>
      <c r="I1429" t="s">
        <v>6677</v>
      </c>
      <c r="J1429" s="2">
        <v>218</v>
      </c>
      <c r="K1429" s="2">
        <v>1</v>
      </c>
      <c r="L1429" s="2">
        <v>1</v>
      </c>
      <c r="M1429" s="2">
        <v>0</v>
      </c>
      <c r="N1429" t="s">
        <v>403</v>
      </c>
      <c r="O1429" t="s">
        <v>404</v>
      </c>
      <c r="P1429" t="s">
        <v>205</v>
      </c>
      <c r="Q1429" t="s">
        <v>206</v>
      </c>
      <c r="S1429" t="s">
        <v>6678</v>
      </c>
      <c r="U1429" t="s">
        <v>45</v>
      </c>
      <c r="V1429" t="s">
        <v>46</v>
      </c>
      <c r="W1429" t="s">
        <v>403</v>
      </c>
      <c r="X1429" t="s">
        <v>404</v>
      </c>
      <c r="Y1429" t="s">
        <v>161</v>
      </c>
      <c r="Z1429" t="s">
        <v>162</v>
      </c>
      <c r="AA1429" t="s">
        <v>49</v>
      </c>
      <c r="AB1429" t="s">
        <v>50</v>
      </c>
      <c r="AC1429" s="2">
        <v>218</v>
      </c>
      <c r="AD1429" t="s">
        <v>64</v>
      </c>
    </row>
    <row r="1430" spans="1:31" x14ac:dyDescent="0.25">
      <c r="A1430" t="s">
        <v>6679</v>
      </c>
      <c r="B1430" t="s">
        <v>6680</v>
      </c>
      <c r="C1430" t="s">
        <v>6680</v>
      </c>
      <c r="D1430" t="s">
        <v>297</v>
      </c>
      <c r="E1430" t="s">
        <v>167</v>
      </c>
      <c r="F1430" t="s">
        <v>6681</v>
      </c>
      <c r="G1430" t="s">
        <v>297</v>
      </c>
      <c r="H1430" t="s">
        <v>2951</v>
      </c>
      <c r="I1430" t="s">
        <v>6682</v>
      </c>
      <c r="J1430" s="2">
        <v>1418760</v>
      </c>
      <c r="K1430" s="2">
        <v>6000</v>
      </c>
      <c r="L1430" s="2">
        <v>15</v>
      </c>
      <c r="M1430" s="2">
        <v>0</v>
      </c>
      <c r="N1430" t="s">
        <v>1725</v>
      </c>
      <c r="O1430" t="s">
        <v>1723</v>
      </c>
      <c r="P1430" t="s">
        <v>120</v>
      </c>
      <c r="Q1430" t="s">
        <v>121</v>
      </c>
      <c r="S1430" t="s">
        <v>6683</v>
      </c>
      <c r="U1430" t="s">
        <v>45</v>
      </c>
      <c r="V1430" t="s">
        <v>46</v>
      </c>
      <c r="W1430" t="s">
        <v>1725</v>
      </c>
      <c r="X1430" t="s">
        <v>1723</v>
      </c>
      <c r="Y1430" t="s">
        <v>121</v>
      </c>
      <c r="Z1430" t="s">
        <v>94</v>
      </c>
      <c r="AA1430" t="s">
        <v>49</v>
      </c>
      <c r="AB1430" t="s">
        <v>50</v>
      </c>
      <c r="AC1430" s="2">
        <v>976978.07</v>
      </c>
      <c r="AD1430" t="s">
        <v>6684</v>
      </c>
      <c r="AE1430" t="s">
        <v>52</v>
      </c>
    </row>
    <row r="1431" spans="1:31" hidden="1" x14ac:dyDescent="0.25">
      <c r="I1431" t="s">
        <v>6686</v>
      </c>
      <c r="J1431" s="2">
        <v>218</v>
      </c>
      <c r="K1431" s="2">
        <v>1</v>
      </c>
      <c r="L1431" s="2">
        <v>1</v>
      </c>
      <c r="M1431" s="2">
        <v>0</v>
      </c>
      <c r="S1431" t="s">
        <v>6687</v>
      </c>
      <c r="U1431" t="s">
        <v>45</v>
      </c>
      <c r="V1431" t="s">
        <v>46</v>
      </c>
      <c r="W1431" t="s">
        <v>2277</v>
      </c>
      <c r="X1431" t="s">
        <v>2278</v>
      </c>
      <c r="Y1431" t="s">
        <v>137</v>
      </c>
      <c r="Z1431" t="s">
        <v>717</v>
      </c>
      <c r="AA1431" t="s">
        <v>49</v>
      </c>
      <c r="AC1431" s="2"/>
    </row>
    <row r="1432" spans="1:31" x14ac:dyDescent="0.25">
      <c r="A1432" t="s">
        <v>6688</v>
      </c>
      <c r="B1432" t="s">
        <v>6689</v>
      </c>
      <c r="C1432" t="s">
        <v>6689</v>
      </c>
      <c r="D1432" t="s">
        <v>35</v>
      </c>
      <c r="E1432" t="s">
        <v>36</v>
      </c>
      <c r="F1432" t="s">
        <v>6690</v>
      </c>
      <c r="G1432" t="s">
        <v>178</v>
      </c>
      <c r="H1432" t="s">
        <v>6093</v>
      </c>
      <c r="I1432" t="s">
        <v>6691</v>
      </c>
      <c r="J1432" s="2">
        <v>1309020</v>
      </c>
      <c r="K1432" s="2">
        <v>6000</v>
      </c>
      <c r="L1432" s="2">
        <v>30</v>
      </c>
      <c r="M1432" s="2">
        <v>0</v>
      </c>
      <c r="N1432" t="s">
        <v>6094</v>
      </c>
      <c r="O1432" t="s">
        <v>6095</v>
      </c>
      <c r="P1432" t="s">
        <v>5966</v>
      </c>
      <c r="Q1432" t="s">
        <v>5739</v>
      </c>
      <c r="S1432" t="s">
        <v>6692</v>
      </c>
      <c r="U1432" t="s">
        <v>45</v>
      </c>
      <c r="V1432" t="s">
        <v>46</v>
      </c>
      <c r="W1432" t="s">
        <v>6094</v>
      </c>
      <c r="X1432" t="s">
        <v>6095</v>
      </c>
      <c r="Y1432" t="s">
        <v>2157</v>
      </c>
      <c r="Z1432" t="s">
        <v>48</v>
      </c>
      <c r="AA1432" t="s">
        <v>49</v>
      </c>
      <c r="AB1432" t="s">
        <v>50</v>
      </c>
      <c r="AC1432" s="2">
        <v>1309020</v>
      </c>
      <c r="AD1432" t="s">
        <v>64</v>
      </c>
    </row>
    <row r="1433" spans="1:31" x14ac:dyDescent="0.25">
      <c r="A1433" t="s">
        <v>6693</v>
      </c>
      <c r="B1433" t="s">
        <v>6694</v>
      </c>
      <c r="C1433" t="s">
        <v>6694</v>
      </c>
      <c r="D1433" t="s">
        <v>153</v>
      </c>
      <c r="E1433" t="s">
        <v>272</v>
      </c>
      <c r="F1433" t="s">
        <v>6695</v>
      </c>
      <c r="G1433" t="s">
        <v>153</v>
      </c>
      <c r="H1433" t="s">
        <v>79</v>
      </c>
      <c r="I1433" t="s">
        <v>6696</v>
      </c>
      <c r="J1433" s="2">
        <v>218170</v>
      </c>
      <c r="K1433" s="2">
        <v>1000</v>
      </c>
      <c r="L1433" s="2">
        <v>15</v>
      </c>
      <c r="M1433" s="2">
        <v>0</v>
      </c>
      <c r="N1433" t="s">
        <v>495</v>
      </c>
      <c r="O1433" t="s">
        <v>79</v>
      </c>
      <c r="P1433" t="s">
        <v>3487</v>
      </c>
      <c r="Q1433" t="s">
        <v>3488</v>
      </c>
      <c r="S1433" t="s">
        <v>6697</v>
      </c>
      <c r="U1433" t="s">
        <v>45</v>
      </c>
      <c r="V1433" t="s">
        <v>46</v>
      </c>
      <c r="W1433" t="s">
        <v>495</v>
      </c>
      <c r="X1433" t="s">
        <v>79</v>
      </c>
      <c r="Y1433" t="s">
        <v>79</v>
      </c>
      <c r="Z1433" t="s">
        <v>94</v>
      </c>
      <c r="AA1433" t="s">
        <v>49</v>
      </c>
      <c r="AB1433" t="s">
        <v>50</v>
      </c>
      <c r="AC1433" s="2">
        <v>12704.02</v>
      </c>
      <c r="AD1433" t="s">
        <v>6698</v>
      </c>
      <c r="AE1433" t="s">
        <v>52</v>
      </c>
    </row>
    <row r="1434" spans="1:31" x14ac:dyDescent="0.25">
      <c r="A1434" t="s">
        <v>6699</v>
      </c>
      <c r="B1434" t="s">
        <v>6700</v>
      </c>
      <c r="C1434" t="s">
        <v>6700</v>
      </c>
      <c r="D1434" t="s">
        <v>125</v>
      </c>
      <c r="E1434" t="s">
        <v>126</v>
      </c>
      <c r="F1434" t="s">
        <v>6701</v>
      </c>
      <c r="G1434" t="s">
        <v>35</v>
      </c>
      <c r="H1434" t="s">
        <v>6702</v>
      </c>
      <c r="I1434" t="s">
        <v>6703</v>
      </c>
      <c r="J1434" s="2">
        <v>545425</v>
      </c>
      <c r="K1434" s="2">
        <v>2500</v>
      </c>
      <c r="L1434" s="2">
        <v>21</v>
      </c>
      <c r="M1434" s="2">
        <v>0</v>
      </c>
      <c r="N1434" t="s">
        <v>2806</v>
      </c>
      <c r="O1434" t="s">
        <v>2805</v>
      </c>
      <c r="P1434" t="s">
        <v>61</v>
      </c>
      <c r="Q1434" t="s">
        <v>62</v>
      </c>
      <c r="S1434" t="s">
        <v>6704</v>
      </c>
      <c r="U1434" t="s">
        <v>45</v>
      </c>
      <c r="V1434" t="s">
        <v>46</v>
      </c>
      <c r="W1434" t="s">
        <v>2806</v>
      </c>
      <c r="X1434" t="s">
        <v>2805</v>
      </c>
      <c r="Y1434" t="s">
        <v>47</v>
      </c>
      <c r="Z1434" t="s">
        <v>48</v>
      </c>
      <c r="AA1434" t="s">
        <v>49</v>
      </c>
      <c r="AB1434" t="s">
        <v>50</v>
      </c>
      <c r="AC1434" s="2">
        <v>207995.59</v>
      </c>
      <c r="AD1434" t="s">
        <v>6705</v>
      </c>
      <c r="AE1434" t="s">
        <v>115</v>
      </c>
    </row>
    <row r="1435" spans="1:31" x14ac:dyDescent="0.25">
      <c r="A1435" t="s">
        <v>6706</v>
      </c>
      <c r="B1435" t="s">
        <v>6707</v>
      </c>
      <c r="C1435" t="s">
        <v>6708</v>
      </c>
      <c r="D1435" t="s">
        <v>888</v>
      </c>
      <c r="E1435" t="s">
        <v>167</v>
      </c>
      <c r="F1435" t="s">
        <v>6709</v>
      </c>
      <c r="G1435" t="s">
        <v>888</v>
      </c>
      <c r="H1435" t="s">
        <v>820</v>
      </c>
      <c r="I1435" t="s">
        <v>6710</v>
      </c>
      <c r="J1435" s="2">
        <v>327255</v>
      </c>
      <c r="K1435" s="2">
        <v>1500</v>
      </c>
      <c r="L1435" s="2">
        <v>21</v>
      </c>
      <c r="M1435" s="2">
        <v>0</v>
      </c>
      <c r="N1435" t="s">
        <v>822</v>
      </c>
      <c r="O1435" t="s">
        <v>820</v>
      </c>
      <c r="P1435" t="s">
        <v>91</v>
      </c>
      <c r="Q1435" t="s">
        <v>92</v>
      </c>
      <c r="S1435" t="s">
        <v>6711</v>
      </c>
      <c r="U1435" t="s">
        <v>45</v>
      </c>
      <c r="V1435" t="s">
        <v>46</v>
      </c>
      <c r="W1435" t="s">
        <v>822</v>
      </c>
      <c r="X1435" t="s">
        <v>820</v>
      </c>
      <c r="Y1435" t="s">
        <v>92</v>
      </c>
      <c r="Z1435" t="s">
        <v>94</v>
      </c>
      <c r="AA1435" t="s">
        <v>49</v>
      </c>
      <c r="AB1435" t="s">
        <v>50</v>
      </c>
      <c r="AC1435" s="2">
        <v>90074.19</v>
      </c>
      <c r="AD1435" t="s">
        <v>6712</v>
      </c>
      <c r="AE1435" t="s">
        <v>52</v>
      </c>
    </row>
    <row r="1436" spans="1:31" hidden="1" x14ac:dyDescent="0.25">
      <c r="A1436" t="s">
        <v>6713</v>
      </c>
      <c r="B1436" t="s">
        <v>6714</v>
      </c>
      <c r="C1436" t="s">
        <v>6714</v>
      </c>
      <c r="F1436" t="s">
        <v>6715</v>
      </c>
      <c r="H1436" t="s">
        <v>404</v>
      </c>
      <c r="I1436" t="s">
        <v>6716</v>
      </c>
      <c r="J1436" s="2">
        <v>1000</v>
      </c>
      <c r="K1436" s="2">
        <v>0</v>
      </c>
      <c r="L1436" s="2">
        <v>1</v>
      </c>
      <c r="M1436" s="2">
        <v>0</v>
      </c>
      <c r="N1436" t="s">
        <v>403</v>
      </c>
      <c r="O1436" t="s">
        <v>404</v>
      </c>
      <c r="P1436" t="s">
        <v>205</v>
      </c>
      <c r="Q1436" t="s">
        <v>206</v>
      </c>
      <c r="S1436" t="s">
        <v>6717</v>
      </c>
      <c r="U1436" t="s">
        <v>45</v>
      </c>
      <c r="V1436" t="s">
        <v>46</v>
      </c>
      <c r="W1436" t="s">
        <v>403</v>
      </c>
      <c r="X1436" t="s">
        <v>404</v>
      </c>
      <c r="Y1436" t="s">
        <v>161</v>
      </c>
      <c r="Z1436" t="s">
        <v>162</v>
      </c>
      <c r="AA1436" t="s">
        <v>49</v>
      </c>
      <c r="AB1436" t="s">
        <v>50</v>
      </c>
      <c r="AC1436" s="2">
        <v>1000</v>
      </c>
      <c r="AD1436" t="s">
        <v>64</v>
      </c>
    </row>
    <row r="1437" spans="1:31" hidden="1" x14ac:dyDescent="0.25">
      <c r="J1437" s="2">
        <v>21817</v>
      </c>
      <c r="K1437" s="2">
        <v>100</v>
      </c>
      <c r="L1437" s="2">
        <v>1</v>
      </c>
      <c r="M1437" s="2">
        <v>0</v>
      </c>
      <c r="S1437" t="s">
        <v>6718</v>
      </c>
      <c r="U1437" t="s">
        <v>45</v>
      </c>
      <c r="V1437" t="s">
        <v>46</v>
      </c>
      <c r="W1437" t="s">
        <v>1362</v>
      </c>
      <c r="X1437" t="s">
        <v>1360</v>
      </c>
      <c r="Y1437" t="s">
        <v>1215</v>
      </c>
      <c r="Z1437" t="s">
        <v>1216</v>
      </c>
      <c r="AA1437" t="s">
        <v>49</v>
      </c>
      <c r="AC1437" s="2"/>
    </row>
    <row r="1438" spans="1:31" x14ac:dyDescent="0.25">
      <c r="A1438" t="s">
        <v>6719</v>
      </c>
      <c r="B1438" t="s">
        <v>6720</v>
      </c>
      <c r="C1438" t="s">
        <v>6720</v>
      </c>
      <c r="D1438" t="s">
        <v>6721</v>
      </c>
      <c r="E1438" t="s">
        <v>77</v>
      </c>
      <c r="F1438" t="s">
        <v>6722</v>
      </c>
      <c r="G1438" t="s">
        <v>2126</v>
      </c>
      <c r="H1438" t="s">
        <v>614</v>
      </c>
      <c r="I1438" t="s">
        <v>6723</v>
      </c>
      <c r="J1438" s="2">
        <v>1090850</v>
      </c>
      <c r="K1438" s="2">
        <v>5000</v>
      </c>
      <c r="L1438" s="2">
        <v>7</v>
      </c>
      <c r="M1438" s="2">
        <v>0</v>
      </c>
      <c r="N1438" t="s">
        <v>613</v>
      </c>
      <c r="O1438" t="s">
        <v>614</v>
      </c>
      <c r="P1438" t="s">
        <v>91</v>
      </c>
      <c r="Q1438" t="s">
        <v>92</v>
      </c>
      <c r="S1438" t="s">
        <v>6724</v>
      </c>
      <c r="U1438" t="s">
        <v>45</v>
      </c>
      <c r="V1438" t="s">
        <v>46</v>
      </c>
      <c r="W1438" t="s">
        <v>613</v>
      </c>
      <c r="X1438" t="s">
        <v>614</v>
      </c>
      <c r="Y1438" t="s">
        <v>92</v>
      </c>
      <c r="Z1438" t="s">
        <v>94</v>
      </c>
      <c r="AA1438" t="s">
        <v>49</v>
      </c>
      <c r="AB1438" t="s">
        <v>50</v>
      </c>
      <c r="AC1438" s="2">
        <v>1090850</v>
      </c>
      <c r="AD1438" t="s">
        <v>64</v>
      </c>
    </row>
    <row r="1439" spans="1:31" x14ac:dyDescent="0.25">
      <c r="A1439" t="s">
        <v>6725</v>
      </c>
      <c r="B1439" t="s">
        <v>6726</v>
      </c>
      <c r="C1439" t="s">
        <v>6726</v>
      </c>
      <c r="D1439" t="s">
        <v>847</v>
      </c>
      <c r="E1439" t="s">
        <v>848</v>
      </c>
      <c r="F1439" t="s">
        <v>6727</v>
      </c>
      <c r="G1439" t="s">
        <v>847</v>
      </c>
      <c r="H1439" t="s">
        <v>6728</v>
      </c>
      <c r="I1439" t="s">
        <v>6729</v>
      </c>
      <c r="J1439" s="2">
        <v>174536</v>
      </c>
      <c r="K1439" s="2">
        <v>800</v>
      </c>
      <c r="L1439" s="2">
        <v>15</v>
      </c>
      <c r="M1439" s="2">
        <v>0</v>
      </c>
      <c r="N1439" t="s">
        <v>6730</v>
      </c>
      <c r="O1439" t="s">
        <v>6728</v>
      </c>
      <c r="P1439" t="s">
        <v>557</v>
      </c>
      <c r="Q1439" t="s">
        <v>558</v>
      </c>
      <c r="S1439" t="s">
        <v>6731</v>
      </c>
      <c r="U1439" t="s">
        <v>45</v>
      </c>
      <c r="V1439" t="s">
        <v>46</v>
      </c>
      <c r="W1439" t="s">
        <v>6730</v>
      </c>
      <c r="X1439" t="s">
        <v>6728</v>
      </c>
      <c r="Y1439" t="s">
        <v>85</v>
      </c>
      <c r="Z1439" t="s">
        <v>86</v>
      </c>
      <c r="AA1439" t="s">
        <v>49</v>
      </c>
      <c r="AB1439" t="s">
        <v>50</v>
      </c>
      <c r="AC1439" s="2">
        <v>118015.67999999999</v>
      </c>
      <c r="AD1439" t="s">
        <v>6732</v>
      </c>
      <c r="AE1439" t="s">
        <v>52</v>
      </c>
    </row>
    <row r="1440" spans="1:31" hidden="1" x14ac:dyDescent="0.25">
      <c r="J1440" s="2">
        <v>109085</v>
      </c>
      <c r="K1440" s="2">
        <v>500</v>
      </c>
      <c r="L1440" s="2">
        <v>15</v>
      </c>
      <c r="M1440" s="2">
        <v>0</v>
      </c>
      <c r="S1440" t="s">
        <v>6736</v>
      </c>
      <c r="U1440" t="s">
        <v>45</v>
      </c>
      <c r="V1440" t="s">
        <v>46</v>
      </c>
      <c r="W1440" t="s">
        <v>6734</v>
      </c>
      <c r="X1440" t="s">
        <v>6735</v>
      </c>
      <c r="Y1440" t="s">
        <v>85</v>
      </c>
      <c r="Z1440" t="s">
        <v>86</v>
      </c>
      <c r="AA1440" t="s">
        <v>49</v>
      </c>
      <c r="AC1440" s="2"/>
    </row>
    <row r="1441" spans="1:31" x14ac:dyDescent="0.25">
      <c r="A1441" t="s">
        <v>6737</v>
      </c>
      <c r="B1441" t="s">
        <v>6738</v>
      </c>
      <c r="C1441" t="s">
        <v>6739</v>
      </c>
      <c r="D1441" t="s">
        <v>847</v>
      </c>
      <c r="E1441" t="s">
        <v>848</v>
      </c>
      <c r="F1441" t="s">
        <v>6740</v>
      </c>
      <c r="G1441" t="s">
        <v>847</v>
      </c>
      <c r="H1441" t="s">
        <v>79</v>
      </c>
      <c r="I1441" t="s">
        <v>6741</v>
      </c>
      <c r="J1441" s="2">
        <v>152719</v>
      </c>
      <c r="K1441" s="2">
        <v>700</v>
      </c>
      <c r="L1441" s="2">
        <v>18</v>
      </c>
      <c r="M1441" s="2">
        <v>0</v>
      </c>
      <c r="N1441" t="s">
        <v>495</v>
      </c>
      <c r="O1441" t="s">
        <v>79</v>
      </c>
      <c r="P1441" t="s">
        <v>3487</v>
      </c>
      <c r="Q1441" t="s">
        <v>3488</v>
      </c>
      <c r="S1441" t="s">
        <v>6742</v>
      </c>
      <c r="U1441" t="s">
        <v>45</v>
      </c>
      <c r="V1441" t="s">
        <v>46</v>
      </c>
      <c r="W1441" t="s">
        <v>495</v>
      </c>
      <c r="X1441" t="s">
        <v>79</v>
      </c>
      <c r="Y1441" t="s">
        <v>79</v>
      </c>
      <c r="Z1441" t="s">
        <v>94</v>
      </c>
      <c r="AA1441" t="s">
        <v>49</v>
      </c>
      <c r="AB1441" t="s">
        <v>50</v>
      </c>
      <c r="AC1441" s="2">
        <v>42963.32</v>
      </c>
      <c r="AD1441" t="s">
        <v>6743</v>
      </c>
      <c r="AE1441" t="s">
        <v>52</v>
      </c>
    </row>
    <row r="1442" spans="1:31" x14ac:dyDescent="0.25">
      <c r="A1442" t="s">
        <v>6744</v>
      </c>
      <c r="B1442" t="s">
        <v>6745</v>
      </c>
      <c r="C1442" t="s">
        <v>6745</v>
      </c>
      <c r="D1442" t="s">
        <v>35</v>
      </c>
      <c r="E1442" t="s">
        <v>36</v>
      </c>
      <c r="F1442" t="s">
        <v>6746</v>
      </c>
      <c r="G1442" t="s">
        <v>35</v>
      </c>
      <c r="H1442" t="s">
        <v>584</v>
      </c>
      <c r="J1442" s="2">
        <v>2435700</v>
      </c>
      <c r="K1442" s="2">
        <v>10000</v>
      </c>
      <c r="L1442" s="2">
        <v>21</v>
      </c>
      <c r="M1442" s="2">
        <v>0</v>
      </c>
      <c r="N1442" t="s">
        <v>585</v>
      </c>
      <c r="O1442" t="s">
        <v>584</v>
      </c>
      <c r="P1442" t="s">
        <v>158</v>
      </c>
      <c r="Q1442" t="s">
        <v>159</v>
      </c>
      <c r="S1442" t="s">
        <v>6747</v>
      </c>
      <c r="U1442" t="s">
        <v>45</v>
      </c>
      <c r="V1442" t="s">
        <v>46</v>
      </c>
      <c r="W1442" t="s">
        <v>585</v>
      </c>
      <c r="X1442" t="s">
        <v>584</v>
      </c>
      <c r="Y1442" t="s">
        <v>161</v>
      </c>
      <c r="Z1442" t="s">
        <v>162</v>
      </c>
      <c r="AA1442" t="s">
        <v>49</v>
      </c>
      <c r="AB1442" t="s">
        <v>50</v>
      </c>
      <c r="AC1442" s="2">
        <v>1557112.1</v>
      </c>
      <c r="AD1442" t="s">
        <v>6748</v>
      </c>
      <c r="AE1442" t="s">
        <v>52</v>
      </c>
    </row>
    <row r="1443" spans="1:31" x14ac:dyDescent="0.25">
      <c r="A1443" s="15" t="s">
        <v>6749</v>
      </c>
      <c r="B1443" s="15" t="s">
        <v>6750</v>
      </c>
      <c r="C1443" s="15" t="s">
        <v>6750</v>
      </c>
      <c r="D1443" s="15" t="s">
        <v>55</v>
      </c>
      <c r="E1443" s="15" t="s">
        <v>56</v>
      </c>
      <c r="F1443" s="15" t="s">
        <v>6751</v>
      </c>
      <c r="H1443" s="15" t="s">
        <v>5110</v>
      </c>
      <c r="I1443" t="s">
        <v>6752</v>
      </c>
      <c r="J1443" s="2">
        <v>1000</v>
      </c>
      <c r="K1443" s="2">
        <v>0</v>
      </c>
      <c r="L1443" s="2">
        <v>15</v>
      </c>
      <c r="M1443" s="2">
        <v>0</v>
      </c>
      <c r="N1443" s="15" t="s">
        <v>5112</v>
      </c>
      <c r="O1443" s="15" t="s">
        <v>5110</v>
      </c>
      <c r="P1443" s="15" t="s">
        <v>256</v>
      </c>
      <c r="Q1443" s="15" t="s">
        <v>255</v>
      </c>
      <c r="S1443" t="s">
        <v>6753</v>
      </c>
      <c r="U1443" t="s">
        <v>45</v>
      </c>
      <c r="V1443" t="s">
        <v>46</v>
      </c>
      <c r="W1443" t="s">
        <v>5112</v>
      </c>
      <c r="X1443" t="s">
        <v>5110</v>
      </c>
      <c r="Y1443" t="s">
        <v>137</v>
      </c>
      <c r="Z1443" t="s">
        <v>717</v>
      </c>
      <c r="AA1443" t="s">
        <v>49</v>
      </c>
      <c r="AB1443" s="15" t="s">
        <v>50</v>
      </c>
      <c r="AC1443" s="16">
        <v>-55811.02</v>
      </c>
      <c r="AD1443" s="15" t="s">
        <v>6754</v>
      </c>
      <c r="AE1443" s="15" t="s">
        <v>115</v>
      </c>
    </row>
    <row r="1444" spans="1:31" hidden="1" x14ac:dyDescent="0.25">
      <c r="I1444" t="s">
        <v>6755</v>
      </c>
      <c r="J1444" s="2">
        <v>109085</v>
      </c>
      <c r="K1444" s="2">
        <v>500</v>
      </c>
      <c r="L1444" s="2">
        <v>1</v>
      </c>
      <c r="M1444" s="2">
        <v>0</v>
      </c>
      <c r="S1444" t="s">
        <v>6756</v>
      </c>
      <c r="U1444" t="s">
        <v>45</v>
      </c>
      <c r="V1444" t="s">
        <v>46</v>
      </c>
      <c r="W1444" t="s">
        <v>4488</v>
      </c>
      <c r="X1444" t="s">
        <v>4487</v>
      </c>
      <c r="Y1444" t="s">
        <v>106</v>
      </c>
      <c r="Z1444" t="s">
        <v>107</v>
      </c>
      <c r="AA1444" t="s">
        <v>49</v>
      </c>
      <c r="AC1444" s="2"/>
    </row>
    <row r="1445" spans="1:31" hidden="1" x14ac:dyDescent="0.25">
      <c r="J1445" s="2">
        <v>218</v>
      </c>
      <c r="K1445" s="2">
        <v>1</v>
      </c>
      <c r="L1445" s="2">
        <v>1</v>
      </c>
      <c r="M1445" s="2">
        <v>0</v>
      </c>
      <c r="S1445" t="s">
        <v>6757</v>
      </c>
      <c r="U1445" t="s">
        <v>45</v>
      </c>
      <c r="V1445" t="s">
        <v>46</v>
      </c>
      <c r="W1445" t="s">
        <v>254</v>
      </c>
      <c r="X1445" t="s">
        <v>255</v>
      </c>
      <c r="Y1445" t="s">
        <v>137</v>
      </c>
      <c r="Z1445" t="s">
        <v>717</v>
      </c>
      <c r="AA1445" t="s">
        <v>49</v>
      </c>
      <c r="AC1445" s="2"/>
    </row>
    <row r="1446" spans="1:31" hidden="1" x14ac:dyDescent="0.25">
      <c r="A1446" t="s">
        <v>6758</v>
      </c>
      <c r="B1446" t="s">
        <v>6759</v>
      </c>
      <c r="C1446" t="s">
        <v>6759</v>
      </c>
      <c r="D1446" t="s">
        <v>55</v>
      </c>
      <c r="E1446" t="s">
        <v>56</v>
      </c>
      <c r="F1446" t="s">
        <v>5417</v>
      </c>
      <c r="J1446" s="2">
        <v>1000</v>
      </c>
      <c r="K1446" s="2">
        <v>0</v>
      </c>
      <c r="L1446" s="2">
        <v>1</v>
      </c>
      <c r="M1446" s="2">
        <v>0</v>
      </c>
      <c r="N1446" t="s">
        <v>933</v>
      </c>
      <c r="O1446" t="s">
        <v>932</v>
      </c>
      <c r="P1446" t="s">
        <v>103</v>
      </c>
      <c r="Q1446" t="s">
        <v>104</v>
      </c>
      <c r="U1446" t="s">
        <v>45</v>
      </c>
      <c r="V1446" t="s">
        <v>46</v>
      </c>
      <c r="W1446" t="s">
        <v>933</v>
      </c>
      <c r="X1446" t="s">
        <v>932</v>
      </c>
      <c r="Y1446" t="s">
        <v>279</v>
      </c>
      <c r="Z1446" t="s">
        <v>280</v>
      </c>
      <c r="AA1446" t="s">
        <v>49</v>
      </c>
      <c r="AB1446" t="s">
        <v>50</v>
      </c>
      <c r="AC1446" s="2">
        <v>1000</v>
      </c>
      <c r="AD1446" t="s">
        <v>64</v>
      </c>
    </row>
    <row r="1447" spans="1:31" x14ac:dyDescent="0.25">
      <c r="A1447" t="s">
        <v>6760</v>
      </c>
      <c r="B1447" t="s">
        <v>6761</v>
      </c>
      <c r="C1447" t="s">
        <v>5416</v>
      </c>
      <c r="D1447" t="s">
        <v>569</v>
      </c>
      <c r="E1447" t="s">
        <v>570</v>
      </c>
      <c r="F1447" t="s">
        <v>5417</v>
      </c>
      <c r="G1447" t="s">
        <v>178</v>
      </c>
      <c r="H1447" t="s">
        <v>2105</v>
      </c>
      <c r="J1447" s="2">
        <v>1452397</v>
      </c>
      <c r="K1447" s="2">
        <v>6550</v>
      </c>
      <c r="L1447" s="2">
        <v>21</v>
      </c>
      <c r="M1447" s="2">
        <v>0</v>
      </c>
      <c r="N1447" t="s">
        <v>1546</v>
      </c>
      <c r="O1447" t="s">
        <v>1547</v>
      </c>
      <c r="P1447" t="s">
        <v>103</v>
      </c>
      <c r="Q1447" t="s">
        <v>104</v>
      </c>
      <c r="S1447" t="s">
        <v>5418</v>
      </c>
      <c r="U1447" t="s">
        <v>45</v>
      </c>
      <c r="V1447" t="s">
        <v>46</v>
      </c>
      <c r="W1447" t="s">
        <v>1546</v>
      </c>
      <c r="X1447" t="s">
        <v>1547</v>
      </c>
      <c r="Y1447" t="s">
        <v>279</v>
      </c>
      <c r="Z1447" t="s">
        <v>280</v>
      </c>
      <c r="AA1447" t="s">
        <v>49</v>
      </c>
      <c r="AB1447" t="s">
        <v>50</v>
      </c>
      <c r="AC1447" s="2">
        <v>624867.18000000005</v>
      </c>
      <c r="AD1447" t="s">
        <v>6762</v>
      </c>
      <c r="AE1447" t="s">
        <v>52</v>
      </c>
    </row>
    <row r="1448" spans="1:31" hidden="1" x14ac:dyDescent="0.25">
      <c r="A1448" t="s">
        <v>6763</v>
      </c>
      <c r="B1448" t="s">
        <v>6764</v>
      </c>
      <c r="C1448" t="s">
        <v>6764</v>
      </c>
      <c r="F1448" t="s">
        <v>5850</v>
      </c>
      <c r="J1448" s="2">
        <v>1000</v>
      </c>
      <c r="K1448" s="2">
        <v>0</v>
      </c>
      <c r="L1448" s="2">
        <v>1</v>
      </c>
      <c r="M1448" s="2">
        <v>0</v>
      </c>
      <c r="N1448" t="s">
        <v>1221</v>
      </c>
      <c r="O1448" t="s">
        <v>1222</v>
      </c>
      <c r="P1448" t="s">
        <v>205</v>
      </c>
      <c r="Q1448" t="s">
        <v>206</v>
      </c>
      <c r="U1448" t="s">
        <v>45</v>
      </c>
      <c r="V1448" t="s">
        <v>46</v>
      </c>
      <c r="W1448" t="s">
        <v>1221</v>
      </c>
      <c r="X1448" t="s">
        <v>1222</v>
      </c>
      <c r="Y1448" t="s">
        <v>161</v>
      </c>
      <c r="Z1448" t="s">
        <v>162</v>
      </c>
      <c r="AA1448" t="s">
        <v>49</v>
      </c>
      <c r="AB1448" t="s">
        <v>50</v>
      </c>
      <c r="AC1448" s="2">
        <v>1000</v>
      </c>
      <c r="AD1448" t="s">
        <v>64</v>
      </c>
    </row>
    <row r="1449" spans="1:31" x14ac:dyDescent="0.25">
      <c r="A1449" t="s">
        <v>6765</v>
      </c>
      <c r="B1449" t="s">
        <v>6766</v>
      </c>
      <c r="C1449" t="s">
        <v>6767</v>
      </c>
      <c r="D1449" t="s">
        <v>153</v>
      </c>
      <c r="E1449" t="s">
        <v>272</v>
      </c>
      <c r="F1449" t="s">
        <v>5850</v>
      </c>
      <c r="G1449" t="s">
        <v>153</v>
      </c>
      <c r="H1449" t="s">
        <v>1607</v>
      </c>
      <c r="J1449" s="2">
        <v>545425</v>
      </c>
      <c r="K1449" s="2">
        <v>2500</v>
      </c>
      <c r="L1449" s="2">
        <v>30</v>
      </c>
      <c r="M1449" s="2">
        <v>0</v>
      </c>
      <c r="N1449" t="s">
        <v>1221</v>
      </c>
      <c r="O1449" t="s">
        <v>1222</v>
      </c>
      <c r="P1449" t="s">
        <v>205</v>
      </c>
      <c r="Q1449" t="s">
        <v>206</v>
      </c>
      <c r="S1449" t="s">
        <v>6768</v>
      </c>
      <c r="U1449" t="s">
        <v>45</v>
      </c>
      <c r="V1449" t="s">
        <v>46</v>
      </c>
      <c r="W1449" t="s">
        <v>1221</v>
      </c>
      <c r="X1449" t="s">
        <v>1222</v>
      </c>
      <c r="Y1449" t="s">
        <v>161</v>
      </c>
      <c r="Z1449" t="s">
        <v>162</v>
      </c>
      <c r="AA1449" t="s">
        <v>49</v>
      </c>
      <c r="AB1449" t="s">
        <v>50</v>
      </c>
      <c r="AC1449" s="2">
        <v>359542.41</v>
      </c>
      <c r="AD1449" t="s">
        <v>6769</v>
      </c>
      <c r="AE1449" t="s">
        <v>115</v>
      </c>
    </row>
    <row r="1450" spans="1:31" x14ac:dyDescent="0.25">
      <c r="A1450" t="s">
        <v>6770</v>
      </c>
      <c r="B1450" t="s">
        <v>6771</v>
      </c>
      <c r="C1450" t="s">
        <v>6771</v>
      </c>
      <c r="D1450" t="s">
        <v>35</v>
      </c>
      <c r="E1450" t="s">
        <v>36</v>
      </c>
      <c r="F1450" t="s">
        <v>6772</v>
      </c>
      <c r="G1450" t="s">
        <v>485</v>
      </c>
      <c r="H1450" t="s">
        <v>79</v>
      </c>
      <c r="I1450" t="s">
        <v>6773</v>
      </c>
      <c r="J1450" s="2">
        <v>567242</v>
      </c>
      <c r="K1450" s="2">
        <v>2600</v>
      </c>
      <c r="L1450" s="2">
        <v>25</v>
      </c>
      <c r="M1450" s="2">
        <v>0</v>
      </c>
      <c r="N1450" t="s">
        <v>495</v>
      </c>
      <c r="O1450" t="s">
        <v>79</v>
      </c>
      <c r="P1450" t="s">
        <v>3487</v>
      </c>
      <c r="Q1450" t="s">
        <v>3488</v>
      </c>
      <c r="S1450" t="s">
        <v>6774</v>
      </c>
      <c r="U1450" t="s">
        <v>45</v>
      </c>
      <c r="V1450" t="s">
        <v>46</v>
      </c>
      <c r="W1450" t="s">
        <v>495</v>
      </c>
      <c r="X1450" t="s">
        <v>79</v>
      </c>
      <c r="Y1450" t="s">
        <v>79</v>
      </c>
      <c r="Z1450" t="s">
        <v>94</v>
      </c>
      <c r="AA1450" t="s">
        <v>49</v>
      </c>
      <c r="AB1450" t="s">
        <v>50</v>
      </c>
      <c r="AC1450" s="2">
        <v>314565.69</v>
      </c>
      <c r="AD1450" t="s">
        <v>6775</v>
      </c>
      <c r="AE1450" t="s">
        <v>115</v>
      </c>
    </row>
    <row r="1451" spans="1:31" x14ac:dyDescent="0.25">
      <c r="A1451" t="s">
        <v>6776</v>
      </c>
      <c r="B1451" t="s">
        <v>6777</v>
      </c>
      <c r="C1451" t="s">
        <v>6777</v>
      </c>
      <c r="D1451" t="s">
        <v>153</v>
      </c>
      <c r="E1451" t="s">
        <v>272</v>
      </c>
      <c r="F1451" t="s">
        <v>6778</v>
      </c>
      <c r="G1451" t="s">
        <v>153</v>
      </c>
      <c r="H1451" t="s">
        <v>6779</v>
      </c>
      <c r="J1451" s="2">
        <v>2590434</v>
      </c>
      <c r="K1451" s="2">
        <v>10395</v>
      </c>
      <c r="L1451" s="2">
        <v>21</v>
      </c>
      <c r="M1451" s="2">
        <v>0</v>
      </c>
      <c r="N1451" t="s">
        <v>541</v>
      </c>
      <c r="O1451" t="s">
        <v>542</v>
      </c>
      <c r="P1451" t="s">
        <v>91</v>
      </c>
      <c r="Q1451" t="s">
        <v>92</v>
      </c>
      <c r="S1451" t="s">
        <v>6780</v>
      </c>
      <c r="U1451" t="s">
        <v>45</v>
      </c>
      <c r="V1451" t="s">
        <v>46</v>
      </c>
      <c r="W1451" t="s">
        <v>541</v>
      </c>
      <c r="X1451" t="s">
        <v>542</v>
      </c>
      <c r="Y1451" t="s">
        <v>92</v>
      </c>
      <c r="Z1451" t="s">
        <v>94</v>
      </c>
      <c r="AA1451" t="s">
        <v>49</v>
      </c>
      <c r="AB1451" t="s">
        <v>50</v>
      </c>
      <c r="AC1451" s="2">
        <v>14670.39</v>
      </c>
      <c r="AD1451" t="s">
        <v>6781</v>
      </c>
      <c r="AE1451" t="s">
        <v>115</v>
      </c>
    </row>
    <row r="1452" spans="1:31" x14ac:dyDescent="0.25">
      <c r="A1452" t="s">
        <v>6782</v>
      </c>
      <c r="B1452" t="s">
        <v>6783</v>
      </c>
      <c r="C1452" t="s">
        <v>6784</v>
      </c>
      <c r="D1452" t="s">
        <v>331</v>
      </c>
      <c r="E1452" t="s">
        <v>224</v>
      </c>
      <c r="F1452" t="s">
        <v>6785</v>
      </c>
      <c r="G1452" t="s">
        <v>1941</v>
      </c>
      <c r="H1452" t="s">
        <v>6627</v>
      </c>
      <c r="I1452" t="s">
        <v>6786</v>
      </c>
      <c r="J1452" s="2">
        <v>174536</v>
      </c>
      <c r="K1452" s="2">
        <v>800</v>
      </c>
      <c r="L1452" s="2">
        <v>1</v>
      </c>
      <c r="M1452" s="2">
        <v>0</v>
      </c>
      <c r="N1452" t="s">
        <v>6629</v>
      </c>
      <c r="O1452" t="s">
        <v>6630</v>
      </c>
      <c r="P1452" t="s">
        <v>3487</v>
      </c>
      <c r="Q1452" t="s">
        <v>3488</v>
      </c>
      <c r="S1452" t="s">
        <v>6787</v>
      </c>
      <c r="U1452" t="s">
        <v>45</v>
      </c>
      <c r="V1452" t="s">
        <v>46</v>
      </c>
      <c r="W1452" t="s">
        <v>6629</v>
      </c>
      <c r="X1452" t="s">
        <v>6630</v>
      </c>
      <c r="Y1452" t="s">
        <v>79</v>
      </c>
      <c r="Z1452" t="s">
        <v>94</v>
      </c>
      <c r="AA1452" t="s">
        <v>49</v>
      </c>
      <c r="AB1452" t="s">
        <v>50</v>
      </c>
      <c r="AC1452" s="2">
        <v>111609.82</v>
      </c>
      <c r="AD1452" t="s">
        <v>6788</v>
      </c>
    </row>
    <row r="1453" spans="1:31" hidden="1" x14ac:dyDescent="0.25">
      <c r="J1453" s="2">
        <v>1000</v>
      </c>
      <c r="K1453" s="2">
        <v>0</v>
      </c>
      <c r="L1453" s="2">
        <v>1</v>
      </c>
      <c r="M1453" s="2">
        <v>0</v>
      </c>
      <c r="U1453" t="s">
        <v>45</v>
      </c>
      <c r="V1453" t="s">
        <v>46</v>
      </c>
      <c r="W1453" t="s">
        <v>40</v>
      </c>
      <c r="X1453" t="s">
        <v>41</v>
      </c>
      <c r="Y1453" t="s">
        <v>47</v>
      </c>
      <c r="Z1453" t="s">
        <v>48</v>
      </c>
      <c r="AA1453" t="s">
        <v>49</v>
      </c>
      <c r="AC1453" s="2"/>
    </row>
    <row r="1454" spans="1:31" hidden="1" x14ac:dyDescent="0.25">
      <c r="I1454" t="s">
        <v>6789</v>
      </c>
      <c r="J1454" s="2">
        <v>218170</v>
      </c>
      <c r="K1454" s="2">
        <v>1000</v>
      </c>
      <c r="L1454" s="2">
        <v>7</v>
      </c>
      <c r="M1454" s="2">
        <v>0</v>
      </c>
      <c r="S1454" t="s">
        <v>6790</v>
      </c>
      <c r="U1454" t="s">
        <v>45</v>
      </c>
      <c r="V1454" t="s">
        <v>46</v>
      </c>
      <c r="W1454" t="s">
        <v>40</v>
      </c>
      <c r="X1454" t="s">
        <v>41</v>
      </c>
      <c r="Y1454" t="s">
        <v>47</v>
      </c>
      <c r="Z1454" t="s">
        <v>48</v>
      </c>
      <c r="AA1454" t="s">
        <v>49</v>
      </c>
      <c r="AC1454" s="2"/>
    </row>
    <row r="1455" spans="1:31" hidden="1" x14ac:dyDescent="0.25">
      <c r="A1455" t="s">
        <v>6791</v>
      </c>
      <c r="B1455" t="s">
        <v>6792</v>
      </c>
      <c r="C1455" t="s">
        <v>6792</v>
      </c>
      <c r="F1455" t="s">
        <v>1975</v>
      </c>
      <c r="J1455" s="2">
        <v>1000</v>
      </c>
      <c r="K1455" s="2">
        <v>0</v>
      </c>
      <c r="L1455" s="2">
        <v>1</v>
      </c>
      <c r="M1455" s="2">
        <v>0</v>
      </c>
      <c r="N1455" t="s">
        <v>40</v>
      </c>
      <c r="O1455" t="s">
        <v>41</v>
      </c>
      <c r="P1455" t="s">
        <v>61</v>
      </c>
      <c r="Q1455" t="s">
        <v>62</v>
      </c>
      <c r="U1455" t="s">
        <v>45</v>
      </c>
      <c r="V1455" t="s">
        <v>46</v>
      </c>
      <c r="W1455" t="s">
        <v>40</v>
      </c>
      <c r="X1455" t="s">
        <v>41</v>
      </c>
      <c r="Y1455" t="s">
        <v>47</v>
      </c>
      <c r="Z1455" t="s">
        <v>48</v>
      </c>
      <c r="AA1455" t="s">
        <v>49</v>
      </c>
      <c r="AB1455" t="s">
        <v>50</v>
      </c>
      <c r="AC1455" s="2">
        <v>1000</v>
      </c>
      <c r="AD1455" t="s">
        <v>64</v>
      </c>
    </row>
    <row r="1456" spans="1:31" x14ac:dyDescent="0.25">
      <c r="A1456" t="s">
        <v>6793</v>
      </c>
      <c r="B1456" t="s">
        <v>6794</v>
      </c>
      <c r="C1456" t="s">
        <v>1974</v>
      </c>
      <c r="D1456" t="s">
        <v>873</v>
      </c>
      <c r="E1456" t="s">
        <v>224</v>
      </c>
      <c r="F1456" t="s">
        <v>1975</v>
      </c>
      <c r="G1456" t="s">
        <v>1958</v>
      </c>
      <c r="H1456" t="s">
        <v>38</v>
      </c>
      <c r="J1456" s="2">
        <v>130902</v>
      </c>
      <c r="K1456" s="2">
        <v>600</v>
      </c>
      <c r="L1456" s="2">
        <v>15</v>
      </c>
      <c r="M1456" s="2">
        <v>0</v>
      </c>
      <c r="N1456" t="s">
        <v>40</v>
      </c>
      <c r="O1456" t="s">
        <v>41</v>
      </c>
      <c r="P1456" t="s">
        <v>61</v>
      </c>
      <c r="Q1456" t="s">
        <v>62</v>
      </c>
      <c r="S1456" t="s">
        <v>6795</v>
      </c>
      <c r="U1456" t="s">
        <v>45</v>
      </c>
      <c r="V1456" t="s">
        <v>46</v>
      </c>
      <c r="W1456" t="s">
        <v>40</v>
      </c>
      <c r="X1456" t="s">
        <v>41</v>
      </c>
      <c r="Y1456" t="s">
        <v>47</v>
      </c>
      <c r="Z1456" t="s">
        <v>48</v>
      </c>
      <c r="AA1456" t="s">
        <v>49</v>
      </c>
      <c r="AB1456" t="s">
        <v>50</v>
      </c>
      <c r="AC1456" s="2">
        <v>126941.21</v>
      </c>
      <c r="AD1456" t="s">
        <v>6796</v>
      </c>
    </row>
    <row r="1457" spans="1:31" x14ac:dyDescent="0.25">
      <c r="A1457" t="s">
        <v>6797</v>
      </c>
      <c r="B1457" t="s">
        <v>6798</v>
      </c>
      <c r="C1457" t="s">
        <v>6798</v>
      </c>
      <c r="D1457" t="s">
        <v>153</v>
      </c>
      <c r="E1457" t="s">
        <v>272</v>
      </c>
      <c r="F1457" t="s">
        <v>6799</v>
      </c>
      <c r="G1457" t="s">
        <v>153</v>
      </c>
      <c r="H1457" t="s">
        <v>327</v>
      </c>
      <c r="I1457" t="s">
        <v>6800</v>
      </c>
      <c r="J1457" s="2">
        <v>218170</v>
      </c>
      <c r="K1457" s="2">
        <v>1000</v>
      </c>
      <c r="L1457" s="2">
        <v>15</v>
      </c>
      <c r="M1457" s="2">
        <v>0</v>
      </c>
      <c r="N1457" t="s">
        <v>326</v>
      </c>
      <c r="O1457" t="s">
        <v>327</v>
      </c>
      <c r="P1457" t="s">
        <v>120</v>
      </c>
      <c r="Q1457" t="s">
        <v>121</v>
      </c>
      <c r="S1457" t="s">
        <v>6801</v>
      </c>
      <c r="U1457" t="s">
        <v>45</v>
      </c>
      <c r="V1457" t="s">
        <v>46</v>
      </c>
      <c r="W1457" t="s">
        <v>326</v>
      </c>
      <c r="X1457" t="s">
        <v>327</v>
      </c>
      <c r="Y1457" t="s">
        <v>121</v>
      </c>
      <c r="Z1457" t="s">
        <v>94</v>
      </c>
      <c r="AA1457" t="s">
        <v>49</v>
      </c>
      <c r="AB1457" t="s">
        <v>50</v>
      </c>
      <c r="AC1457" s="2">
        <v>118262.65</v>
      </c>
      <c r="AD1457" t="s">
        <v>6802</v>
      </c>
      <c r="AE1457" t="s">
        <v>52</v>
      </c>
    </row>
    <row r="1458" spans="1:31" x14ac:dyDescent="0.25">
      <c r="A1458" t="s">
        <v>6803</v>
      </c>
      <c r="B1458" t="s">
        <v>6804</v>
      </c>
      <c r="C1458" t="s">
        <v>6804</v>
      </c>
      <c r="D1458" t="s">
        <v>125</v>
      </c>
      <c r="E1458" t="s">
        <v>126</v>
      </c>
      <c r="F1458" t="s">
        <v>6805</v>
      </c>
      <c r="G1458" t="s">
        <v>847</v>
      </c>
      <c r="H1458" t="s">
        <v>6806</v>
      </c>
      <c r="I1458" t="s">
        <v>6807</v>
      </c>
      <c r="J1458" s="2">
        <v>872680</v>
      </c>
      <c r="K1458" s="2">
        <v>4000</v>
      </c>
      <c r="L1458" s="2">
        <v>15</v>
      </c>
      <c r="M1458" s="2">
        <v>0</v>
      </c>
      <c r="N1458" t="s">
        <v>6808</v>
      </c>
      <c r="O1458" t="s">
        <v>6809</v>
      </c>
      <c r="P1458" t="s">
        <v>5966</v>
      </c>
      <c r="Q1458" t="s">
        <v>5739</v>
      </c>
      <c r="S1458" t="s">
        <v>6810</v>
      </c>
      <c r="U1458" t="s">
        <v>45</v>
      </c>
      <c r="V1458" t="s">
        <v>46</v>
      </c>
      <c r="W1458" t="s">
        <v>6808</v>
      </c>
      <c r="X1458" t="s">
        <v>6809</v>
      </c>
      <c r="Y1458" t="s">
        <v>2157</v>
      </c>
      <c r="Z1458" t="s">
        <v>48</v>
      </c>
      <c r="AA1458" t="s">
        <v>49</v>
      </c>
      <c r="AB1458" t="s">
        <v>50</v>
      </c>
      <c r="AC1458" s="2">
        <v>471158.71</v>
      </c>
      <c r="AD1458" t="s">
        <v>6811</v>
      </c>
      <c r="AE1458" t="s">
        <v>52</v>
      </c>
    </row>
    <row r="1459" spans="1:31" x14ac:dyDescent="0.25">
      <c r="A1459" t="s">
        <v>6812</v>
      </c>
      <c r="B1459" t="s">
        <v>6813</v>
      </c>
      <c r="C1459" t="s">
        <v>6813</v>
      </c>
      <c r="D1459" t="s">
        <v>1245</v>
      </c>
      <c r="E1459" t="s">
        <v>224</v>
      </c>
      <c r="F1459" t="s">
        <v>6814</v>
      </c>
      <c r="G1459" t="s">
        <v>1865</v>
      </c>
      <c r="H1459" t="s">
        <v>119</v>
      </c>
      <c r="I1459" t="s">
        <v>6815</v>
      </c>
      <c r="J1459" s="2">
        <v>130902</v>
      </c>
      <c r="K1459" s="2">
        <v>600</v>
      </c>
      <c r="L1459" s="2">
        <v>1</v>
      </c>
      <c r="M1459" s="2">
        <v>0</v>
      </c>
      <c r="N1459" t="s">
        <v>118</v>
      </c>
      <c r="O1459" t="s">
        <v>119</v>
      </c>
      <c r="P1459" t="s">
        <v>120</v>
      </c>
      <c r="Q1459" t="s">
        <v>121</v>
      </c>
      <c r="S1459" t="s">
        <v>6816</v>
      </c>
      <c r="U1459" t="s">
        <v>45</v>
      </c>
      <c r="V1459" t="s">
        <v>46</v>
      </c>
      <c r="W1459" t="s">
        <v>118</v>
      </c>
      <c r="X1459" t="s">
        <v>119</v>
      </c>
      <c r="Y1459" t="s">
        <v>121</v>
      </c>
      <c r="Z1459" t="s">
        <v>94</v>
      </c>
      <c r="AA1459" t="s">
        <v>49</v>
      </c>
      <c r="AB1459" t="s">
        <v>50</v>
      </c>
      <c r="AC1459" s="2">
        <v>130902</v>
      </c>
      <c r="AD1459" t="s">
        <v>64</v>
      </c>
    </row>
    <row r="1460" spans="1:31" hidden="1" x14ac:dyDescent="0.25">
      <c r="J1460" s="2">
        <v>1008</v>
      </c>
      <c r="K1460" s="2">
        <v>4.62</v>
      </c>
      <c r="L1460" s="2">
        <v>1</v>
      </c>
      <c r="M1460" s="2">
        <v>0</v>
      </c>
      <c r="S1460" t="s">
        <v>6817</v>
      </c>
      <c r="U1460" t="s">
        <v>45</v>
      </c>
      <c r="V1460" t="s">
        <v>46</v>
      </c>
      <c r="W1460" t="s">
        <v>5741</v>
      </c>
      <c r="X1460" t="s">
        <v>5739</v>
      </c>
      <c r="Y1460" t="s">
        <v>5743</v>
      </c>
      <c r="Z1460" t="s">
        <v>5744</v>
      </c>
      <c r="AA1460" t="s">
        <v>49</v>
      </c>
      <c r="AC1460" s="2"/>
    </row>
    <row r="1461" spans="1:31" x14ac:dyDescent="0.25">
      <c r="A1461" t="s">
        <v>6818</v>
      </c>
      <c r="B1461" t="s">
        <v>6819</v>
      </c>
      <c r="C1461" t="s">
        <v>6819</v>
      </c>
      <c r="D1461" t="s">
        <v>847</v>
      </c>
      <c r="E1461" t="s">
        <v>848</v>
      </c>
      <c r="F1461" t="s">
        <v>6820</v>
      </c>
      <c r="G1461" t="s">
        <v>847</v>
      </c>
      <c r="H1461" t="s">
        <v>5739</v>
      </c>
      <c r="J1461" s="2">
        <v>218170</v>
      </c>
      <c r="K1461" s="2">
        <v>1000</v>
      </c>
      <c r="L1461" s="2">
        <v>15</v>
      </c>
      <c r="M1461" s="2">
        <v>0</v>
      </c>
      <c r="N1461" t="s">
        <v>5741</v>
      </c>
      <c r="O1461" t="s">
        <v>5739</v>
      </c>
      <c r="P1461" t="s">
        <v>6143</v>
      </c>
      <c r="Q1461" t="s">
        <v>6144</v>
      </c>
      <c r="S1461" t="s">
        <v>6821</v>
      </c>
      <c r="U1461" t="s">
        <v>45</v>
      </c>
      <c r="V1461" t="s">
        <v>46</v>
      </c>
      <c r="W1461" t="s">
        <v>5741</v>
      </c>
      <c r="X1461" t="s">
        <v>5739</v>
      </c>
      <c r="Y1461" t="s">
        <v>5743</v>
      </c>
      <c r="Z1461" t="s">
        <v>5744</v>
      </c>
      <c r="AA1461" t="s">
        <v>49</v>
      </c>
      <c r="AB1461" t="s">
        <v>50</v>
      </c>
      <c r="AC1461" s="2">
        <v>185282.78</v>
      </c>
      <c r="AD1461" t="s">
        <v>6822</v>
      </c>
      <c r="AE1461" t="s">
        <v>52</v>
      </c>
    </row>
    <row r="1462" spans="1:31" x14ac:dyDescent="0.25">
      <c r="A1462" t="s">
        <v>6823</v>
      </c>
      <c r="B1462" t="s">
        <v>6824</v>
      </c>
      <c r="C1462" t="s">
        <v>6824</v>
      </c>
      <c r="D1462" t="s">
        <v>299</v>
      </c>
      <c r="E1462" t="s">
        <v>167</v>
      </c>
      <c r="F1462" t="s">
        <v>6825</v>
      </c>
      <c r="G1462" t="s">
        <v>166</v>
      </c>
      <c r="H1462" t="s">
        <v>6627</v>
      </c>
      <c r="I1462" t="s">
        <v>6826</v>
      </c>
      <c r="J1462" s="2">
        <v>120160</v>
      </c>
      <c r="K1462" s="2">
        <v>500</v>
      </c>
      <c r="L1462" s="2">
        <v>15</v>
      </c>
      <c r="M1462" s="2">
        <v>0</v>
      </c>
      <c r="N1462" t="s">
        <v>6629</v>
      </c>
      <c r="O1462" t="s">
        <v>6630</v>
      </c>
      <c r="P1462" t="s">
        <v>3487</v>
      </c>
      <c r="Q1462" t="s">
        <v>3488</v>
      </c>
      <c r="S1462" t="s">
        <v>6827</v>
      </c>
      <c r="U1462" t="s">
        <v>45</v>
      </c>
      <c r="V1462" t="s">
        <v>46</v>
      </c>
      <c r="W1462" t="s">
        <v>6629</v>
      </c>
      <c r="X1462" t="s">
        <v>6630</v>
      </c>
      <c r="Y1462" t="s">
        <v>79</v>
      </c>
      <c r="Z1462" t="s">
        <v>94</v>
      </c>
      <c r="AA1462" t="s">
        <v>49</v>
      </c>
      <c r="AB1462" t="s">
        <v>50</v>
      </c>
      <c r="AC1462" s="2">
        <v>61756.04</v>
      </c>
      <c r="AD1462" t="s">
        <v>6828</v>
      </c>
      <c r="AE1462" t="s">
        <v>52</v>
      </c>
    </row>
    <row r="1463" spans="1:31" x14ac:dyDescent="0.25">
      <c r="A1463" t="s">
        <v>6829</v>
      </c>
      <c r="B1463" t="s">
        <v>6830</v>
      </c>
      <c r="C1463" t="s">
        <v>6830</v>
      </c>
      <c r="D1463" t="s">
        <v>3192</v>
      </c>
      <c r="E1463" t="s">
        <v>224</v>
      </c>
      <c r="F1463" t="s">
        <v>6831</v>
      </c>
      <c r="G1463" t="s">
        <v>3194</v>
      </c>
      <c r="H1463" t="s">
        <v>79</v>
      </c>
      <c r="I1463" t="s">
        <v>6832</v>
      </c>
      <c r="J1463" s="2">
        <v>109085</v>
      </c>
      <c r="K1463" s="2">
        <v>500</v>
      </c>
      <c r="L1463" s="2">
        <v>21</v>
      </c>
      <c r="M1463" s="2">
        <v>0</v>
      </c>
      <c r="N1463" t="s">
        <v>495</v>
      </c>
      <c r="O1463" t="s">
        <v>79</v>
      </c>
      <c r="P1463" t="s">
        <v>3487</v>
      </c>
      <c r="Q1463" t="s">
        <v>3488</v>
      </c>
      <c r="S1463" t="s">
        <v>6833</v>
      </c>
      <c r="U1463" t="s">
        <v>45</v>
      </c>
      <c r="V1463" t="s">
        <v>46</v>
      </c>
      <c r="W1463" t="s">
        <v>495</v>
      </c>
      <c r="X1463" t="s">
        <v>79</v>
      </c>
      <c r="Y1463" t="s">
        <v>79</v>
      </c>
      <c r="Z1463" t="s">
        <v>94</v>
      </c>
      <c r="AA1463" t="s">
        <v>49</v>
      </c>
      <c r="AB1463" t="s">
        <v>50</v>
      </c>
      <c r="AC1463" s="2">
        <v>109085</v>
      </c>
      <c r="AD1463" t="s">
        <v>64</v>
      </c>
    </row>
    <row r="1464" spans="1:31" x14ac:dyDescent="0.25">
      <c r="A1464" t="s">
        <v>6834</v>
      </c>
      <c r="B1464" t="s">
        <v>6835</v>
      </c>
      <c r="C1464" t="s">
        <v>6835</v>
      </c>
      <c r="D1464" t="s">
        <v>35</v>
      </c>
      <c r="E1464" t="s">
        <v>36</v>
      </c>
      <c r="F1464" t="s">
        <v>6836</v>
      </c>
      <c r="G1464" t="s">
        <v>299</v>
      </c>
      <c r="H1464" t="s">
        <v>213</v>
      </c>
      <c r="J1464" s="2">
        <v>218170</v>
      </c>
      <c r="K1464" s="2">
        <v>1000</v>
      </c>
      <c r="L1464" s="2">
        <v>15</v>
      </c>
      <c r="M1464" s="2">
        <v>0</v>
      </c>
      <c r="N1464" t="s">
        <v>212</v>
      </c>
      <c r="O1464" t="s">
        <v>213</v>
      </c>
      <c r="P1464" t="s">
        <v>61</v>
      </c>
      <c r="Q1464" t="s">
        <v>62</v>
      </c>
      <c r="S1464" t="s">
        <v>6837</v>
      </c>
      <c r="U1464" t="s">
        <v>45</v>
      </c>
      <c r="V1464" t="s">
        <v>46</v>
      </c>
      <c r="W1464" t="s">
        <v>212</v>
      </c>
      <c r="X1464" t="s">
        <v>213</v>
      </c>
      <c r="Y1464" t="s">
        <v>47</v>
      </c>
      <c r="Z1464" t="s">
        <v>48</v>
      </c>
      <c r="AA1464" t="s">
        <v>49</v>
      </c>
      <c r="AB1464" t="s">
        <v>50</v>
      </c>
      <c r="AC1464" s="2">
        <v>192536.66</v>
      </c>
      <c r="AD1464" t="s">
        <v>6838</v>
      </c>
      <c r="AE1464" t="s">
        <v>52</v>
      </c>
    </row>
    <row r="1465" spans="1:31" hidden="1" x14ac:dyDescent="0.25">
      <c r="J1465" s="2">
        <v>1000</v>
      </c>
      <c r="K1465" s="2">
        <v>0</v>
      </c>
      <c r="L1465" s="2">
        <v>1</v>
      </c>
      <c r="M1465" s="2">
        <v>0</v>
      </c>
      <c r="U1465" t="s">
        <v>45</v>
      </c>
      <c r="V1465" t="s">
        <v>46</v>
      </c>
      <c r="W1465" t="s">
        <v>40</v>
      </c>
      <c r="X1465" t="s">
        <v>41</v>
      </c>
      <c r="Y1465" t="s">
        <v>47</v>
      </c>
      <c r="Z1465" t="s">
        <v>48</v>
      </c>
      <c r="AA1465" t="s">
        <v>49</v>
      </c>
      <c r="AC1465" s="2"/>
    </row>
    <row r="1466" spans="1:31" x14ac:dyDescent="0.25">
      <c r="A1466" t="s">
        <v>6839</v>
      </c>
      <c r="B1466" t="s">
        <v>6840</v>
      </c>
      <c r="C1466" t="s">
        <v>6840</v>
      </c>
      <c r="D1466" t="s">
        <v>35</v>
      </c>
      <c r="E1466" t="s">
        <v>36</v>
      </c>
      <c r="F1466" t="s">
        <v>6841</v>
      </c>
      <c r="G1466" t="s">
        <v>153</v>
      </c>
      <c r="H1466" t="s">
        <v>79</v>
      </c>
      <c r="I1466" t="s">
        <v>6842</v>
      </c>
      <c r="J1466" s="2">
        <v>913920</v>
      </c>
      <c r="K1466" s="2">
        <v>4000</v>
      </c>
      <c r="L1466" s="2">
        <v>25</v>
      </c>
      <c r="M1466" s="2">
        <v>0</v>
      </c>
      <c r="N1466" t="s">
        <v>495</v>
      </c>
      <c r="O1466" t="s">
        <v>79</v>
      </c>
      <c r="P1466" t="s">
        <v>3487</v>
      </c>
      <c r="Q1466" t="s">
        <v>3488</v>
      </c>
      <c r="S1466" t="s">
        <v>6843</v>
      </c>
      <c r="U1466" t="s">
        <v>45</v>
      </c>
      <c r="V1466" t="s">
        <v>46</v>
      </c>
      <c r="W1466" t="s">
        <v>495</v>
      </c>
      <c r="X1466" t="s">
        <v>79</v>
      </c>
      <c r="Y1466" t="s">
        <v>79</v>
      </c>
      <c r="Z1466" t="s">
        <v>94</v>
      </c>
      <c r="AA1466" t="s">
        <v>49</v>
      </c>
      <c r="AB1466" t="s">
        <v>50</v>
      </c>
      <c r="AC1466" s="2">
        <v>750890.18</v>
      </c>
      <c r="AD1466" t="s">
        <v>6844</v>
      </c>
      <c r="AE1466" t="s">
        <v>115</v>
      </c>
    </row>
    <row r="1467" spans="1:31" hidden="1" x14ac:dyDescent="0.25">
      <c r="I1467" t="s">
        <v>6845</v>
      </c>
      <c r="J1467" s="2">
        <v>21817</v>
      </c>
      <c r="K1467" s="2">
        <v>100</v>
      </c>
      <c r="L1467" s="2">
        <v>1</v>
      </c>
      <c r="M1467" s="2">
        <v>0</v>
      </c>
      <c r="S1467" t="s">
        <v>6846</v>
      </c>
      <c r="U1467" t="s">
        <v>45</v>
      </c>
      <c r="V1467" t="s">
        <v>46</v>
      </c>
      <c r="W1467" t="s">
        <v>3232</v>
      </c>
      <c r="X1467" t="s">
        <v>3233</v>
      </c>
      <c r="Y1467" t="s">
        <v>1215</v>
      </c>
      <c r="Z1467" t="s">
        <v>1216</v>
      </c>
      <c r="AA1467" t="s">
        <v>49</v>
      </c>
      <c r="AC1467" s="2"/>
    </row>
    <row r="1468" spans="1:31" x14ac:dyDescent="0.25">
      <c r="A1468" t="s">
        <v>6847</v>
      </c>
      <c r="B1468" t="s">
        <v>6848</v>
      </c>
      <c r="C1468" t="s">
        <v>6848</v>
      </c>
      <c r="D1468" t="s">
        <v>35</v>
      </c>
      <c r="E1468" t="s">
        <v>36</v>
      </c>
      <c r="F1468" t="s">
        <v>6849</v>
      </c>
      <c r="G1468" t="s">
        <v>35</v>
      </c>
      <c r="H1468" t="s">
        <v>277</v>
      </c>
      <c r="J1468" s="2">
        <v>227560</v>
      </c>
      <c r="K1468" s="2">
        <v>1000</v>
      </c>
      <c r="L1468" s="2">
        <v>30</v>
      </c>
      <c r="M1468" s="2">
        <v>0</v>
      </c>
      <c r="N1468" t="s">
        <v>276</v>
      </c>
      <c r="O1468" t="s">
        <v>277</v>
      </c>
      <c r="P1468" t="s">
        <v>103</v>
      </c>
      <c r="Q1468" t="s">
        <v>104</v>
      </c>
      <c r="S1468" t="s">
        <v>6850</v>
      </c>
      <c r="U1468" t="s">
        <v>45</v>
      </c>
      <c r="V1468" t="s">
        <v>46</v>
      </c>
      <c r="W1468" t="s">
        <v>276</v>
      </c>
      <c r="X1468" t="s">
        <v>277</v>
      </c>
      <c r="Y1468" t="s">
        <v>279</v>
      </c>
      <c r="Z1468" t="s">
        <v>280</v>
      </c>
      <c r="AA1468" t="s">
        <v>49</v>
      </c>
      <c r="AB1468" t="s">
        <v>50</v>
      </c>
      <c r="AC1468" s="2">
        <v>36658.410000000003</v>
      </c>
      <c r="AD1468" t="s">
        <v>6851</v>
      </c>
      <c r="AE1468" t="s">
        <v>52</v>
      </c>
    </row>
    <row r="1469" spans="1:31" x14ac:dyDescent="0.25">
      <c r="A1469" t="s">
        <v>6852</v>
      </c>
      <c r="B1469" t="s">
        <v>6853</v>
      </c>
      <c r="C1469" t="s">
        <v>6853</v>
      </c>
      <c r="D1469" t="s">
        <v>1734</v>
      </c>
      <c r="E1469" t="s">
        <v>224</v>
      </c>
      <c r="F1469" t="s">
        <v>6854</v>
      </c>
      <c r="G1469" t="s">
        <v>5597</v>
      </c>
      <c r="H1469" t="s">
        <v>2385</v>
      </c>
      <c r="I1469" t="s">
        <v>6855</v>
      </c>
      <c r="J1469" s="2">
        <v>43634</v>
      </c>
      <c r="K1469" s="2">
        <v>200</v>
      </c>
      <c r="L1469" s="2">
        <v>1</v>
      </c>
      <c r="M1469" s="2">
        <v>0</v>
      </c>
      <c r="N1469" t="s">
        <v>2384</v>
      </c>
      <c r="O1469" t="s">
        <v>2385</v>
      </c>
      <c r="P1469" t="s">
        <v>103</v>
      </c>
      <c r="Q1469" t="s">
        <v>104</v>
      </c>
      <c r="S1469" t="s">
        <v>6856</v>
      </c>
      <c r="U1469" t="s">
        <v>45</v>
      </c>
      <c r="V1469" t="s">
        <v>46</v>
      </c>
      <c r="W1469" t="s">
        <v>2384</v>
      </c>
      <c r="X1469" t="s">
        <v>2385</v>
      </c>
      <c r="Y1469" t="s">
        <v>106</v>
      </c>
      <c r="Z1469" t="s">
        <v>107</v>
      </c>
      <c r="AA1469" t="s">
        <v>49</v>
      </c>
      <c r="AB1469" t="s">
        <v>50</v>
      </c>
      <c r="AC1469" s="2">
        <v>43634</v>
      </c>
      <c r="AD1469" t="s">
        <v>64</v>
      </c>
    </row>
    <row r="1470" spans="1:31" x14ac:dyDescent="0.25">
      <c r="A1470" t="s">
        <v>6857</v>
      </c>
      <c r="B1470" t="s">
        <v>6858</v>
      </c>
      <c r="C1470" t="s">
        <v>6858</v>
      </c>
      <c r="D1470" t="s">
        <v>847</v>
      </c>
      <c r="E1470" t="s">
        <v>848</v>
      </c>
      <c r="F1470" t="s">
        <v>6859</v>
      </c>
      <c r="G1470" t="s">
        <v>792</v>
      </c>
      <c r="H1470" t="s">
        <v>255</v>
      </c>
      <c r="I1470" t="s">
        <v>6860</v>
      </c>
      <c r="J1470" s="2">
        <v>65451</v>
      </c>
      <c r="K1470" s="2">
        <v>300</v>
      </c>
      <c r="L1470" s="2">
        <v>15</v>
      </c>
      <c r="M1470" s="2">
        <v>0</v>
      </c>
      <c r="N1470" t="s">
        <v>254</v>
      </c>
      <c r="O1470" t="s">
        <v>255</v>
      </c>
      <c r="P1470" t="s">
        <v>3534</v>
      </c>
      <c r="Q1470" t="s">
        <v>3535</v>
      </c>
      <c r="S1470" t="s">
        <v>6861</v>
      </c>
      <c r="U1470" t="s">
        <v>45</v>
      </c>
      <c r="V1470" t="s">
        <v>46</v>
      </c>
      <c r="W1470" t="s">
        <v>254</v>
      </c>
      <c r="X1470" t="s">
        <v>255</v>
      </c>
      <c r="Y1470" t="s">
        <v>258</v>
      </c>
      <c r="Z1470" t="s">
        <v>259</v>
      </c>
      <c r="AA1470" t="s">
        <v>49</v>
      </c>
      <c r="AB1470" t="s">
        <v>50</v>
      </c>
      <c r="AC1470" s="2">
        <v>44911.02</v>
      </c>
      <c r="AD1470" t="s">
        <v>6862</v>
      </c>
    </row>
    <row r="1471" spans="1:31" x14ac:dyDescent="0.25">
      <c r="A1471" t="s">
        <v>6863</v>
      </c>
      <c r="B1471" t="s">
        <v>6864</v>
      </c>
      <c r="C1471" t="s">
        <v>6864</v>
      </c>
      <c r="D1471" t="s">
        <v>569</v>
      </c>
      <c r="E1471" t="s">
        <v>570</v>
      </c>
      <c r="F1471" t="s">
        <v>6865</v>
      </c>
      <c r="H1471" t="s">
        <v>404</v>
      </c>
      <c r="I1471" t="s">
        <v>6866</v>
      </c>
      <c r="J1471" s="2">
        <v>109085</v>
      </c>
      <c r="K1471" s="2">
        <v>500</v>
      </c>
      <c r="L1471" s="2">
        <v>21</v>
      </c>
      <c r="M1471" s="2">
        <v>0</v>
      </c>
      <c r="N1471" t="s">
        <v>403</v>
      </c>
      <c r="O1471" t="s">
        <v>404</v>
      </c>
      <c r="P1471" t="s">
        <v>205</v>
      </c>
      <c r="Q1471" t="s">
        <v>206</v>
      </c>
      <c r="S1471" t="s">
        <v>6867</v>
      </c>
      <c r="U1471" t="s">
        <v>45</v>
      </c>
      <c r="V1471" t="s">
        <v>46</v>
      </c>
      <c r="W1471" t="s">
        <v>403</v>
      </c>
      <c r="X1471" t="s">
        <v>404</v>
      </c>
      <c r="Y1471" t="s">
        <v>161</v>
      </c>
      <c r="Z1471" t="s">
        <v>162</v>
      </c>
      <c r="AA1471" t="s">
        <v>49</v>
      </c>
      <c r="AB1471" t="s">
        <v>50</v>
      </c>
      <c r="AC1471" s="2">
        <v>109085</v>
      </c>
      <c r="AD1471" t="s">
        <v>64</v>
      </c>
    </row>
    <row r="1472" spans="1:31" x14ac:dyDescent="0.25">
      <c r="A1472" t="s">
        <v>6868</v>
      </c>
      <c r="B1472" t="s">
        <v>6869</v>
      </c>
      <c r="C1472" t="s">
        <v>6869</v>
      </c>
      <c r="D1472" t="s">
        <v>847</v>
      </c>
      <c r="E1472" t="s">
        <v>848</v>
      </c>
      <c r="F1472" t="s">
        <v>6870</v>
      </c>
      <c r="G1472" t="s">
        <v>297</v>
      </c>
      <c r="H1472" t="s">
        <v>81</v>
      </c>
      <c r="I1472" t="s">
        <v>6871</v>
      </c>
      <c r="J1472" s="2">
        <v>141004</v>
      </c>
      <c r="K1472" s="2">
        <v>580</v>
      </c>
      <c r="L1472" s="2">
        <v>15</v>
      </c>
      <c r="M1472" s="2">
        <v>0</v>
      </c>
      <c r="N1472" t="s">
        <v>80</v>
      </c>
      <c r="O1472" t="s">
        <v>81</v>
      </c>
      <c r="P1472" t="s">
        <v>557</v>
      </c>
      <c r="Q1472" t="s">
        <v>558</v>
      </c>
      <c r="S1472" t="s">
        <v>6872</v>
      </c>
      <c r="U1472" t="s">
        <v>45</v>
      </c>
      <c r="V1472" t="s">
        <v>46</v>
      </c>
      <c r="W1472" t="s">
        <v>80</v>
      </c>
      <c r="X1472" t="s">
        <v>81</v>
      </c>
      <c r="Y1472" t="s">
        <v>85</v>
      </c>
      <c r="Z1472" t="s">
        <v>86</v>
      </c>
      <c r="AA1472" t="s">
        <v>49</v>
      </c>
      <c r="AB1472" t="s">
        <v>50</v>
      </c>
      <c r="AC1472" s="2">
        <v>-40356.85</v>
      </c>
      <c r="AD1472" t="s">
        <v>6873</v>
      </c>
      <c r="AE1472" t="s">
        <v>52</v>
      </c>
    </row>
    <row r="1473" spans="1:31" x14ac:dyDescent="0.25">
      <c r="A1473" t="s">
        <v>6874</v>
      </c>
      <c r="B1473" t="s">
        <v>6875</v>
      </c>
      <c r="C1473" t="s">
        <v>6875</v>
      </c>
      <c r="D1473" t="s">
        <v>178</v>
      </c>
      <c r="E1473" t="s">
        <v>179</v>
      </c>
      <c r="F1473" t="s">
        <v>6876</v>
      </c>
      <c r="G1473" t="s">
        <v>1289</v>
      </c>
      <c r="H1473" t="s">
        <v>1222</v>
      </c>
      <c r="I1473" t="s">
        <v>6877</v>
      </c>
      <c r="J1473" s="2">
        <v>174536</v>
      </c>
      <c r="K1473" s="2">
        <v>800</v>
      </c>
      <c r="L1473" s="2">
        <v>21</v>
      </c>
      <c r="M1473" s="2">
        <v>0</v>
      </c>
      <c r="N1473" t="s">
        <v>1221</v>
      </c>
      <c r="O1473" t="s">
        <v>1222</v>
      </c>
      <c r="P1473" t="s">
        <v>205</v>
      </c>
      <c r="Q1473" t="s">
        <v>206</v>
      </c>
      <c r="S1473" t="s">
        <v>6878</v>
      </c>
      <c r="U1473" t="s">
        <v>45</v>
      </c>
      <c r="V1473" t="s">
        <v>46</v>
      </c>
      <c r="W1473" t="s">
        <v>1221</v>
      </c>
      <c r="X1473" t="s">
        <v>1222</v>
      </c>
      <c r="Y1473" t="s">
        <v>161</v>
      </c>
      <c r="Z1473" t="s">
        <v>162</v>
      </c>
      <c r="AA1473" t="s">
        <v>49</v>
      </c>
      <c r="AB1473" t="s">
        <v>50</v>
      </c>
      <c r="AC1473" s="2">
        <v>174536</v>
      </c>
      <c r="AD1473" t="s">
        <v>64</v>
      </c>
    </row>
    <row r="1474" spans="1:31" x14ac:dyDescent="0.25">
      <c r="A1474" t="s">
        <v>6879</v>
      </c>
      <c r="B1474" t="s">
        <v>6880</v>
      </c>
      <c r="C1474" t="s">
        <v>6880</v>
      </c>
      <c r="D1474" t="s">
        <v>35</v>
      </c>
      <c r="E1474" t="s">
        <v>36</v>
      </c>
      <c r="F1474" t="s">
        <v>6881</v>
      </c>
      <c r="G1474" t="s">
        <v>35</v>
      </c>
      <c r="H1474" t="s">
        <v>255</v>
      </c>
      <c r="I1474" t="s">
        <v>1822</v>
      </c>
      <c r="J1474" s="2">
        <v>3263148</v>
      </c>
      <c r="K1474" s="2">
        <v>13800</v>
      </c>
      <c r="L1474" s="2">
        <v>30</v>
      </c>
      <c r="M1474" s="2">
        <v>0</v>
      </c>
      <c r="N1474" t="s">
        <v>254</v>
      </c>
      <c r="O1474" t="s">
        <v>255</v>
      </c>
      <c r="P1474" t="s">
        <v>256</v>
      </c>
      <c r="Q1474" t="s">
        <v>255</v>
      </c>
      <c r="S1474" t="s">
        <v>6882</v>
      </c>
      <c r="U1474" t="s">
        <v>45</v>
      </c>
      <c r="V1474" t="s">
        <v>46</v>
      </c>
      <c r="W1474" t="s">
        <v>254</v>
      </c>
      <c r="X1474" t="s">
        <v>255</v>
      </c>
      <c r="Y1474" t="s">
        <v>258</v>
      </c>
      <c r="Z1474" t="s">
        <v>259</v>
      </c>
      <c r="AA1474" t="s">
        <v>49</v>
      </c>
      <c r="AB1474" t="s">
        <v>50</v>
      </c>
      <c r="AC1474" s="2">
        <v>192053.51</v>
      </c>
      <c r="AD1474" t="s">
        <v>6883</v>
      </c>
      <c r="AE1474" t="s">
        <v>52</v>
      </c>
    </row>
    <row r="1475" spans="1:31" hidden="1" x14ac:dyDescent="0.25">
      <c r="J1475" s="2">
        <v>1000</v>
      </c>
      <c r="K1475" s="2">
        <v>0</v>
      </c>
      <c r="L1475" s="2">
        <v>1</v>
      </c>
      <c r="M1475" s="2">
        <v>0</v>
      </c>
      <c r="U1475" t="s">
        <v>45</v>
      </c>
      <c r="V1475" t="s">
        <v>46</v>
      </c>
      <c r="W1475" t="s">
        <v>40</v>
      </c>
      <c r="X1475" t="s">
        <v>41</v>
      </c>
      <c r="Y1475" t="s">
        <v>47</v>
      </c>
      <c r="Z1475" t="s">
        <v>48</v>
      </c>
      <c r="AA1475" t="s">
        <v>49</v>
      </c>
      <c r="AC1475" s="2"/>
    </row>
    <row r="1476" spans="1:31" hidden="1" x14ac:dyDescent="0.25">
      <c r="J1476" s="2">
        <v>1000</v>
      </c>
      <c r="K1476" s="2">
        <v>0</v>
      </c>
      <c r="L1476" s="2">
        <v>1</v>
      </c>
      <c r="M1476" s="2">
        <v>0</v>
      </c>
      <c r="U1476" t="s">
        <v>45</v>
      </c>
      <c r="V1476" t="s">
        <v>46</v>
      </c>
      <c r="W1476" t="s">
        <v>40</v>
      </c>
      <c r="X1476" t="s">
        <v>41</v>
      </c>
      <c r="Y1476" t="s">
        <v>47</v>
      </c>
      <c r="Z1476" t="s">
        <v>48</v>
      </c>
      <c r="AA1476" t="s">
        <v>49</v>
      </c>
      <c r="AC1476" s="2"/>
    </row>
    <row r="1477" spans="1:31" hidden="1" x14ac:dyDescent="0.25">
      <c r="A1477" t="s">
        <v>6884</v>
      </c>
      <c r="B1477" t="s">
        <v>6885</v>
      </c>
      <c r="C1477" t="s">
        <v>6885</v>
      </c>
      <c r="D1477" t="s">
        <v>6886</v>
      </c>
      <c r="E1477" t="s">
        <v>4142</v>
      </c>
      <c r="F1477" t="s">
        <v>6887</v>
      </c>
      <c r="J1477" s="2">
        <v>1000</v>
      </c>
      <c r="K1477" s="2">
        <v>0</v>
      </c>
      <c r="L1477" s="2">
        <v>1</v>
      </c>
      <c r="M1477" s="2">
        <v>0</v>
      </c>
      <c r="N1477" t="s">
        <v>495</v>
      </c>
      <c r="O1477" t="s">
        <v>79</v>
      </c>
      <c r="P1477" t="s">
        <v>3487</v>
      </c>
      <c r="Q1477" t="s">
        <v>3488</v>
      </c>
      <c r="U1477" t="s">
        <v>45</v>
      </c>
      <c r="V1477" t="s">
        <v>46</v>
      </c>
      <c r="W1477" t="s">
        <v>495</v>
      </c>
      <c r="X1477" t="s">
        <v>79</v>
      </c>
      <c r="Y1477" t="s">
        <v>79</v>
      </c>
      <c r="Z1477" t="s">
        <v>94</v>
      </c>
      <c r="AA1477" t="s">
        <v>49</v>
      </c>
      <c r="AB1477" t="s">
        <v>50</v>
      </c>
      <c r="AC1477" s="2">
        <v>1000</v>
      </c>
      <c r="AD1477" t="s">
        <v>64</v>
      </c>
    </row>
    <row r="1478" spans="1:31" x14ac:dyDescent="0.25">
      <c r="A1478" t="s">
        <v>6888</v>
      </c>
      <c r="B1478" t="s">
        <v>6889</v>
      </c>
      <c r="C1478" t="s">
        <v>6889</v>
      </c>
      <c r="D1478" t="s">
        <v>98</v>
      </c>
      <c r="E1478" t="s">
        <v>77</v>
      </c>
      <c r="F1478" t="s">
        <v>6890</v>
      </c>
      <c r="H1478" t="s">
        <v>38</v>
      </c>
      <c r="J1478" s="2">
        <v>10909</v>
      </c>
      <c r="K1478" s="2">
        <v>50</v>
      </c>
      <c r="L1478" s="2">
        <v>15</v>
      </c>
      <c r="M1478" s="2">
        <v>0</v>
      </c>
      <c r="N1478" t="s">
        <v>40</v>
      </c>
      <c r="O1478" t="s">
        <v>41</v>
      </c>
      <c r="P1478" t="s">
        <v>42</v>
      </c>
      <c r="Q1478" t="s">
        <v>43</v>
      </c>
      <c r="U1478" t="s">
        <v>45</v>
      </c>
      <c r="V1478" t="s">
        <v>46</v>
      </c>
      <c r="W1478" t="s">
        <v>40</v>
      </c>
      <c r="X1478" t="s">
        <v>41</v>
      </c>
      <c r="Y1478" t="s">
        <v>47</v>
      </c>
      <c r="Z1478" t="s">
        <v>48</v>
      </c>
      <c r="AA1478" t="s">
        <v>141</v>
      </c>
      <c r="AB1478" t="s">
        <v>50</v>
      </c>
      <c r="AC1478" s="2">
        <v>10909</v>
      </c>
      <c r="AD1478" t="s">
        <v>64</v>
      </c>
    </row>
    <row r="1479" spans="1:31" hidden="1" x14ac:dyDescent="0.25">
      <c r="A1479" s="10" t="s">
        <v>6891</v>
      </c>
      <c r="B1479" s="10" t="s">
        <v>6892</v>
      </c>
      <c r="C1479" t="s">
        <v>6892</v>
      </c>
      <c r="D1479" t="s">
        <v>55</v>
      </c>
      <c r="E1479" t="s">
        <v>56</v>
      </c>
      <c r="F1479" t="s">
        <v>6893</v>
      </c>
      <c r="H1479" t="s">
        <v>38</v>
      </c>
      <c r="J1479" s="2">
        <v>1000</v>
      </c>
      <c r="K1479" s="2">
        <v>0</v>
      </c>
      <c r="L1479" s="2">
        <v>1</v>
      </c>
      <c r="M1479" s="2">
        <v>0</v>
      </c>
      <c r="N1479" t="s">
        <v>40</v>
      </c>
      <c r="O1479" t="s">
        <v>41</v>
      </c>
      <c r="P1479" t="s">
        <v>42</v>
      </c>
      <c r="Q1479" t="s">
        <v>43</v>
      </c>
      <c r="U1479" t="s">
        <v>45</v>
      </c>
      <c r="V1479" t="s">
        <v>46</v>
      </c>
      <c r="W1479" t="s">
        <v>40</v>
      </c>
      <c r="X1479" t="s">
        <v>41</v>
      </c>
      <c r="Y1479" t="s">
        <v>47</v>
      </c>
      <c r="Z1479" t="s">
        <v>48</v>
      </c>
      <c r="AA1479" t="s">
        <v>49</v>
      </c>
      <c r="AB1479" t="s">
        <v>142</v>
      </c>
      <c r="AC1479" s="2">
        <v>1000</v>
      </c>
      <c r="AD1479" t="s">
        <v>64</v>
      </c>
    </row>
    <row r="1480" spans="1:31" x14ac:dyDescent="0.25">
      <c r="A1480" t="s">
        <v>6894</v>
      </c>
      <c r="B1480" t="s">
        <v>6895</v>
      </c>
      <c r="C1480" t="s">
        <v>6895</v>
      </c>
      <c r="D1480" t="s">
        <v>35</v>
      </c>
      <c r="E1480" t="s">
        <v>36</v>
      </c>
      <c r="F1480" t="s">
        <v>6896</v>
      </c>
      <c r="G1480" t="s">
        <v>299</v>
      </c>
      <c r="H1480" t="s">
        <v>404</v>
      </c>
      <c r="J1480" s="2">
        <v>763595</v>
      </c>
      <c r="K1480" s="2">
        <v>3500</v>
      </c>
      <c r="L1480" s="2">
        <v>30</v>
      </c>
      <c r="M1480" s="2">
        <v>0</v>
      </c>
      <c r="N1480" t="s">
        <v>403</v>
      </c>
      <c r="O1480" t="s">
        <v>404</v>
      </c>
      <c r="P1480" t="s">
        <v>205</v>
      </c>
      <c r="Q1480" t="s">
        <v>206</v>
      </c>
      <c r="S1480" t="s">
        <v>6897</v>
      </c>
      <c r="U1480" t="s">
        <v>45</v>
      </c>
      <c r="V1480" t="s">
        <v>46</v>
      </c>
      <c r="W1480" t="s">
        <v>403</v>
      </c>
      <c r="X1480" t="s">
        <v>404</v>
      </c>
      <c r="Y1480" t="s">
        <v>161</v>
      </c>
      <c r="Z1480" t="s">
        <v>162</v>
      </c>
      <c r="AA1480" t="s">
        <v>49</v>
      </c>
      <c r="AB1480" t="s">
        <v>50</v>
      </c>
      <c r="AC1480" s="2">
        <v>617678.66</v>
      </c>
      <c r="AD1480" t="s">
        <v>6898</v>
      </c>
      <c r="AE1480" t="s">
        <v>52</v>
      </c>
    </row>
    <row r="1481" spans="1:31" x14ac:dyDescent="0.25">
      <c r="A1481" t="s">
        <v>6899</v>
      </c>
      <c r="B1481" t="s">
        <v>6900</v>
      </c>
      <c r="C1481" t="s">
        <v>6900</v>
      </c>
      <c r="D1481" t="s">
        <v>192</v>
      </c>
      <c r="E1481" t="s">
        <v>224</v>
      </c>
      <c r="F1481" t="s">
        <v>6901</v>
      </c>
      <c r="G1481" t="s">
        <v>1865</v>
      </c>
      <c r="H1481" t="s">
        <v>79</v>
      </c>
      <c r="I1481" t="s">
        <v>6902</v>
      </c>
      <c r="J1481" s="2">
        <v>109085</v>
      </c>
      <c r="K1481" s="2">
        <v>500</v>
      </c>
      <c r="L1481" s="2">
        <v>21</v>
      </c>
      <c r="M1481" s="2">
        <v>0</v>
      </c>
      <c r="N1481" t="s">
        <v>495</v>
      </c>
      <c r="O1481" t="s">
        <v>79</v>
      </c>
      <c r="P1481" t="s">
        <v>3487</v>
      </c>
      <c r="Q1481" t="s">
        <v>3488</v>
      </c>
      <c r="S1481" t="s">
        <v>6903</v>
      </c>
      <c r="U1481" t="s">
        <v>45</v>
      </c>
      <c r="V1481" t="s">
        <v>46</v>
      </c>
      <c r="W1481" t="s">
        <v>495</v>
      </c>
      <c r="X1481" t="s">
        <v>79</v>
      </c>
      <c r="Y1481" t="s">
        <v>79</v>
      </c>
      <c r="Z1481" t="s">
        <v>94</v>
      </c>
      <c r="AA1481" t="s">
        <v>49</v>
      </c>
      <c r="AB1481" t="s">
        <v>50</v>
      </c>
      <c r="AC1481" s="2">
        <v>38927.980000000003</v>
      </c>
      <c r="AD1481" t="s">
        <v>6904</v>
      </c>
    </row>
    <row r="1482" spans="1:31" x14ac:dyDescent="0.25">
      <c r="A1482" t="s">
        <v>6905</v>
      </c>
      <c r="B1482" t="s">
        <v>6906</v>
      </c>
      <c r="C1482" t="s">
        <v>6906</v>
      </c>
      <c r="D1482" t="s">
        <v>3402</v>
      </c>
      <c r="E1482" t="s">
        <v>134</v>
      </c>
      <c r="F1482" t="s">
        <v>6907</v>
      </c>
      <c r="H1482" t="s">
        <v>6627</v>
      </c>
      <c r="I1482" t="s">
        <v>6908</v>
      </c>
      <c r="J1482" s="2">
        <v>124600</v>
      </c>
      <c r="K1482" s="2">
        <v>500</v>
      </c>
      <c r="L1482" s="2">
        <v>15</v>
      </c>
      <c r="M1482" s="2">
        <v>0</v>
      </c>
      <c r="N1482" t="s">
        <v>6629</v>
      </c>
      <c r="O1482" t="s">
        <v>6630</v>
      </c>
      <c r="P1482" t="s">
        <v>3487</v>
      </c>
      <c r="Q1482" t="s">
        <v>3488</v>
      </c>
      <c r="S1482" t="s">
        <v>6909</v>
      </c>
      <c r="U1482" t="s">
        <v>45</v>
      </c>
      <c r="V1482" t="s">
        <v>46</v>
      </c>
      <c r="W1482" t="s">
        <v>6629</v>
      </c>
      <c r="X1482" t="s">
        <v>6630</v>
      </c>
      <c r="Y1482" t="s">
        <v>79</v>
      </c>
      <c r="Z1482" t="s">
        <v>94</v>
      </c>
      <c r="AA1482" t="s">
        <v>49</v>
      </c>
      <c r="AB1482" t="s">
        <v>50</v>
      </c>
      <c r="AC1482" s="2">
        <v>124600</v>
      </c>
      <c r="AD1482" t="s">
        <v>64</v>
      </c>
    </row>
    <row r="1483" spans="1:31" x14ac:dyDescent="0.25">
      <c r="A1483" t="s">
        <v>6910</v>
      </c>
      <c r="B1483" t="s">
        <v>6911</v>
      </c>
      <c r="C1483" t="s">
        <v>5700</v>
      </c>
      <c r="D1483" t="s">
        <v>35</v>
      </c>
      <c r="E1483" t="s">
        <v>36</v>
      </c>
      <c r="F1483" t="s">
        <v>2871</v>
      </c>
      <c r="G1483" t="s">
        <v>35</v>
      </c>
      <c r="H1483" t="s">
        <v>204</v>
      </c>
      <c r="J1483" s="2">
        <v>436340</v>
      </c>
      <c r="K1483" s="2">
        <v>2000</v>
      </c>
      <c r="L1483" s="2">
        <v>30</v>
      </c>
      <c r="M1483" s="2">
        <v>0</v>
      </c>
      <c r="N1483" t="s">
        <v>203</v>
      </c>
      <c r="O1483" t="s">
        <v>204</v>
      </c>
      <c r="P1483" t="s">
        <v>205</v>
      </c>
      <c r="Q1483" t="s">
        <v>206</v>
      </c>
      <c r="S1483" t="s">
        <v>6912</v>
      </c>
      <c r="U1483" t="s">
        <v>45</v>
      </c>
      <c r="V1483" t="s">
        <v>46</v>
      </c>
      <c r="W1483" t="s">
        <v>203</v>
      </c>
      <c r="X1483" t="s">
        <v>204</v>
      </c>
      <c r="Y1483" t="s">
        <v>161</v>
      </c>
      <c r="Z1483" t="s">
        <v>162</v>
      </c>
      <c r="AA1483" t="s">
        <v>49</v>
      </c>
      <c r="AB1483" t="s">
        <v>50</v>
      </c>
      <c r="AC1483" s="2">
        <v>141021.24</v>
      </c>
      <c r="AD1483" t="s">
        <v>6913</v>
      </c>
      <c r="AE1483" t="s">
        <v>52</v>
      </c>
    </row>
    <row r="1484" spans="1:31" x14ac:dyDescent="0.25">
      <c r="A1484" t="s">
        <v>6914</v>
      </c>
      <c r="B1484" t="s">
        <v>6915</v>
      </c>
      <c r="C1484" t="s">
        <v>6916</v>
      </c>
      <c r="D1484" t="s">
        <v>773</v>
      </c>
      <c r="E1484" t="s">
        <v>224</v>
      </c>
      <c r="F1484" t="s">
        <v>6917</v>
      </c>
      <c r="G1484" t="s">
        <v>3221</v>
      </c>
      <c r="H1484" t="s">
        <v>81</v>
      </c>
      <c r="J1484" s="2">
        <v>174536</v>
      </c>
      <c r="K1484" s="2">
        <v>800</v>
      </c>
      <c r="L1484" s="2">
        <v>15</v>
      </c>
      <c r="M1484" s="2">
        <v>0</v>
      </c>
      <c r="N1484" t="s">
        <v>80</v>
      </c>
      <c r="O1484" t="s">
        <v>81</v>
      </c>
      <c r="P1484" t="s">
        <v>557</v>
      </c>
      <c r="Q1484" t="s">
        <v>558</v>
      </c>
      <c r="S1484" t="s">
        <v>6918</v>
      </c>
      <c r="U1484" t="s">
        <v>45</v>
      </c>
      <c r="V1484" t="s">
        <v>46</v>
      </c>
      <c r="W1484" t="s">
        <v>80</v>
      </c>
      <c r="X1484" t="s">
        <v>81</v>
      </c>
      <c r="Y1484" t="s">
        <v>85</v>
      </c>
      <c r="Z1484" t="s">
        <v>86</v>
      </c>
      <c r="AA1484" t="s">
        <v>49</v>
      </c>
      <c r="AB1484" t="s">
        <v>50</v>
      </c>
      <c r="AC1484" s="2">
        <v>174536</v>
      </c>
      <c r="AD1484" t="s">
        <v>64</v>
      </c>
    </row>
    <row r="1485" spans="1:31" x14ac:dyDescent="0.25">
      <c r="A1485" t="s">
        <v>6919</v>
      </c>
      <c r="B1485" t="s">
        <v>6920</v>
      </c>
      <c r="C1485" t="s">
        <v>6920</v>
      </c>
      <c r="D1485" t="s">
        <v>35</v>
      </c>
      <c r="E1485" t="s">
        <v>36</v>
      </c>
      <c r="F1485" t="s">
        <v>6921</v>
      </c>
      <c r="G1485" t="s">
        <v>35</v>
      </c>
      <c r="H1485" t="s">
        <v>1222</v>
      </c>
      <c r="I1485" t="s">
        <v>6922</v>
      </c>
      <c r="J1485" s="2">
        <v>437598</v>
      </c>
      <c r="K1485" s="2">
        <v>1800</v>
      </c>
      <c r="L1485" s="2">
        <v>15</v>
      </c>
      <c r="M1485" s="2">
        <v>0</v>
      </c>
      <c r="N1485" t="s">
        <v>1221</v>
      </c>
      <c r="O1485" t="s">
        <v>1222</v>
      </c>
      <c r="P1485" t="s">
        <v>205</v>
      </c>
      <c r="Q1485" t="s">
        <v>206</v>
      </c>
      <c r="S1485" t="s">
        <v>6923</v>
      </c>
      <c r="U1485" t="s">
        <v>45</v>
      </c>
      <c r="V1485" t="s">
        <v>46</v>
      </c>
      <c r="W1485" t="s">
        <v>1221</v>
      </c>
      <c r="X1485" t="s">
        <v>1222</v>
      </c>
      <c r="Y1485" t="s">
        <v>161</v>
      </c>
      <c r="Z1485" t="s">
        <v>162</v>
      </c>
      <c r="AA1485" t="s">
        <v>49</v>
      </c>
      <c r="AB1485" t="s">
        <v>50</v>
      </c>
      <c r="AC1485" s="2">
        <v>-39319.61</v>
      </c>
      <c r="AD1485" t="s">
        <v>6924</v>
      </c>
      <c r="AE1485" t="s">
        <v>52</v>
      </c>
    </row>
    <row r="1486" spans="1:31" x14ac:dyDescent="0.25">
      <c r="A1486" t="s">
        <v>6925</v>
      </c>
      <c r="B1486" t="s">
        <v>6926</v>
      </c>
      <c r="C1486" t="s">
        <v>6927</v>
      </c>
      <c r="D1486" t="s">
        <v>125</v>
      </c>
      <c r="E1486" t="s">
        <v>126</v>
      </c>
      <c r="F1486" t="s">
        <v>6887</v>
      </c>
      <c r="G1486" t="s">
        <v>125</v>
      </c>
      <c r="H1486" t="s">
        <v>79</v>
      </c>
      <c r="I1486" t="s">
        <v>6928</v>
      </c>
      <c r="J1486" s="2">
        <v>327255</v>
      </c>
      <c r="K1486" s="2">
        <v>1500</v>
      </c>
      <c r="L1486" s="2">
        <v>25</v>
      </c>
      <c r="M1486" s="2">
        <v>0</v>
      </c>
      <c r="N1486" t="s">
        <v>495</v>
      </c>
      <c r="O1486" t="s">
        <v>79</v>
      </c>
      <c r="P1486" t="s">
        <v>3487</v>
      </c>
      <c r="Q1486" t="s">
        <v>3488</v>
      </c>
      <c r="S1486" t="s">
        <v>6929</v>
      </c>
      <c r="U1486" t="s">
        <v>45</v>
      </c>
      <c r="V1486" t="s">
        <v>46</v>
      </c>
      <c r="W1486" t="s">
        <v>495</v>
      </c>
      <c r="X1486" t="s">
        <v>79</v>
      </c>
      <c r="Y1486" t="s">
        <v>79</v>
      </c>
      <c r="Z1486" t="s">
        <v>94</v>
      </c>
      <c r="AA1486" t="s">
        <v>49</v>
      </c>
      <c r="AB1486" t="s">
        <v>50</v>
      </c>
      <c r="AC1486" s="2">
        <v>194481.39</v>
      </c>
      <c r="AD1486" t="s">
        <v>6930</v>
      </c>
      <c r="AE1486" t="s">
        <v>52</v>
      </c>
    </row>
    <row r="1487" spans="1:31" x14ac:dyDescent="0.25">
      <c r="A1487" t="s">
        <v>6931</v>
      </c>
      <c r="B1487" t="s">
        <v>6932</v>
      </c>
      <c r="C1487" t="s">
        <v>6932</v>
      </c>
      <c r="D1487" t="s">
        <v>569</v>
      </c>
      <c r="E1487" t="s">
        <v>570</v>
      </c>
      <c r="F1487" t="s">
        <v>6887</v>
      </c>
      <c r="G1487" t="s">
        <v>555</v>
      </c>
      <c r="H1487" t="s">
        <v>79</v>
      </c>
      <c r="I1487" t="s">
        <v>6933</v>
      </c>
      <c r="J1487" s="2">
        <v>611967</v>
      </c>
      <c r="K1487" s="2">
        <v>2805</v>
      </c>
      <c r="L1487" s="2">
        <v>25</v>
      </c>
      <c r="M1487" s="2">
        <v>0</v>
      </c>
      <c r="N1487" t="s">
        <v>495</v>
      </c>
      <c r="O1487" t="s">
        <v>79</v>
      </c>
      <c r="P1487" t="s">
        <v>3487</v>
      </c>
      <c r="Q1487" t="s">
        <v>3488</v>
      </c>
      <c r="S1487" t="s">
        <v>6934</v>
      </c>
      <c r="U1487" t="s">
        <v>45</v>
      </c>
      <c r="V1487" t="s">
        <v>46</v>
      </c>
      <c r="W1487" t="s">
        <v>495</v>
      </c>
      <c r="X1487" t="s">
        <v>79</v>
      </c>
      <c r="Y1487" t="s">
        <v>79</v>
      </c>
      <c r="Z1487" t="s">
        <v>94</v>
      </c>
      <c r="AA1487" t="s">
        <v>49</v>
      </c>
      <c r="AB1487" t="s">
        <v>50</v>
      </c>
      <c r="AC1487" s="2">
        <v>435238.41</v>
      </c>
      <c r="AD1487" t="s">
        <v>6935</v>
      </c>
      <c r="AE1487" t="s">
        <v>115</v>
      </c>
    </row>
    <row r="1488" spans="1:31" x14ac:dyDescent="0.25">
      <c r="A1488" t="s">
        <v>6936</v>
      </c>
      <c r="B1488" t="s">
        <v>6937</v>
      </c>
      <c r="C1488" t="s">
        <v>6937</v>
      </c>
      <c r="D1488" t="s">
        <v>569</v>
      </c>
      <c r="E1488" t="s">
        <v>570</v>
      </c>
      <c r="F1488" t="s">
        <v>6938</v>
      </c>
      <c r="G1488" t="s">
        <v>299</v>
      </c>
      <c r="H1488" t="s">
        <v>6939</v>
      </c>
      <c r="J1488" s="2">
        <v>109085</v>
      </c>
      <c r="K1488" s="2">
        <v>500</v>
      </c>
      <c r="L1488" s="2">
        <v>15</v>
      </c>
      <c r="M1488" s="2">
        <v>0</v>
      </c>
      <c r="N1488" t="s">
        <v>6940</v>
      </c>
      <c r="O1488" t="s">
        <v>6939</v>
      </c>
      <c r="P1488" t="s">
        <v>3487</v>
      </c>
      <c r="Q1488" t="s">
        <v>3488</v>
      </c>
      <c r="S1488" t="s">
        <v>6941</v>
      </c>
      <c r="U1488" t="s">
        <v>45</v>
      </c>
      <c r="V1488" t="s">
        <v>46</v>
      </c>
      <c r="W1488" t="s">
        <v>6940</v>
      </c>
      <c r="X1488" t="s">
        <v>6939</v>
      </c>
      <c r="Y1488" t="s">
        <v>79</v>
      </c>
      <c r="Z1488" t="s">
        <v>94</v>
      </c>
      <c r="AA1488" t="s">
        <v>49</v>
      </c>
      <c r="AB1488" t="s">
        <v>50</v>
      </c>
      <c r="AC1488" s="2">
        <v>89402.75</v>
      </c>
      <c r="AD1488" t="s">
        <v>6942</v>
      </c>
    </row>
    <row r="1489" spans="1:31" x14ac:dyDescent="0.25">
      <c r="A1489" t="s">
        <v>6943</v>
      </c>
      <c r="B1489" t="s">
        <v>6944</v>
      </c>
      <c r="C1489" t="s">
        <v>6944</v>
      </c>
      <c r="D1489" t="s">
        <v>1410</v>
      </c>
      <c r="E1489" t="s">
        <v>871</v>
      </c>
      <c r="F1489" t="s">
        <v>6945</v>
      </c>
      <c r="G1489" t="s">
        <v>873</v>
      </c>
      <c r="H1489" t="s">
        <v>4978</v>
      </c>
      <c r="J1489" s="2">
        <v>436340</v>
      </c>
      <c r="K1489" s="2">
        <v>2000</v>
      </c>
      <c r="L1489" s="2">
        <v>18</v>
      </c>
      <c r="M1489" s="2">
        <v>0</v>
      </c>
      <c r="N1489" t="s">
        <v>4980</v>
      </c>
      <c r="O1489" t="s">
        <v>4981</v>
      </c>
      <c r="P1489" t="s">
        <v>103</v>
      </c>
      <c r="Q1489" t="s">
        <v>104</v>
      </c>
      <c r="S1489" t="s">
        <v>6946</v>
      </c>
      <c r="U1489" t="s">
        <v>45</v>
      </c>
      <c r="V1489" t="s">
        <v>46</v>
      </c>
      <c r="W1489" t="s">
        <v>4980</v>
      </c>
      <c r="X1489" t="s">
        <v>4978</v>
      </c>
      <c r="Y1489" t="s">
        <v>106</v>
      </c>
      <c r="Z1489" t="s">
        <v>107</v>
      </c>
      <c r="AA1489" t="s">
        <v>49</v>
      </c>
      <c r="AB1489" t="s">
        <v>50</v>
      </c>
      <c r="AC1489" s="2">
        <v>418484.78</v>
      </c>
      <c r="AD1489" t="s">
        <v>6947</v>
      </c>
    </row>
    <row r="1490" spans="1:31" hidden="1" x14ac:dyDescent="0.25">
      <c r="I1490" t="s">
        <v>6948</v>
      </c>
      <c r="J1490" s="2">
        <v>21817</v>
      </c>
      <c r="K1490" s="2">
        <v>100</v>
      </c>
      <c r="L1490" s="2">
        <v>1</v>
      </c>
      <c r="M1490" s="2">
        <v>0</v>
      </c>
      <c r="S1490" t="s">
        <v>6949</v>
      </c>
      <c r="U1490" t="s">
        <v>45</v>
      </c>
      <c r="V1490" t="s">
        <v>46</v>
      </c>
      <c r="W1490" t="s">
        <v>495</v>
      </c>
      <c r="X1490" t="s">
        <v>79</v>
      </c>
      <c r="Y1490" t="s">
        <v>79</v>
      </c>
      <c r="Z1490" t="s">
        <v>94</v>
      </c>
      <c r="AA1490" t="s">
        <v>49</v>
      </c>
      <c r="AC1490" s="2"/>
    </row>
    <row r="1491" spans="1:31" x14ac:dyDescent="0.25">
      <c r="A1491" t="s">
        <v>6950</v>
      </c>
      <c r="B1491" t="s">
        <v>6951</v>
      </c>
      <c r="C1491" t="s">
        <v>6951</v>
      </c>
      <c r="D1491" t="s">
        <v>5795</v>
      </c>
      <c r="E1491" t="s">
        <v>134</v>
      </c>
      <c r="F1491" t="s">
        <v>6952</v>
      </c>
      <c r="G1491" t="s">
        <v>1094</v>
      </c>
      <c r="H1491" t="s">
        <v>820</v>
      </c>
      <c r="I1491" t="s">
        <v>6953</v>
      </c>
      <c r="J1491" s="2">
        <v>21817</v>
      </c>
      <c r="K1491" s="2">
        <v>100</v>
      </c>
      <c r="L1491" s="2">
        <v>21</v>
      </c>
      <c r="M1491" s="2">
        <v>0</v>
      </c>
      <c r="N1491" t="s">
        <v>822</v>
      </c>
      <c r="O1491" t="s">
        <v>820</v>
      </c>
      <c r="P1491" t="s">
        <v>91</v>
      </c>
      <c r="Q1491" t="s">
        <v>92</v>
      </c>
      <c r="S1491" t="s">
        <v>6954</v>
      </c>
      <c r="U1491" t="s">
        <v>45</v>
      </c>
      <c r="V1491" t="s">
        <v>46</v>
      </c>
      <c r="W1491" t="s">
        <v>822</v>
      </c>
      <c r="X1491" t="s">
        <v>820</v>
      </c>
      <c r="Y1491" t="s">
        <v>92</v>
      </c>
      <c r="Z1491" t="s">
        <v>94</v>
      </c>
      <c r="AA1491" t="s">
        <v>49</v>
      </c>
      <c r="AB1491" t="s">
        <v>50</v>
      </c>
      <c r="AC1491" s="2">
        <v>21817</v>
      </c>
      <c r="AD1491" t="s">
        <v>64</v>
      </c>
    </row>
    <row r="1492" spans="1:31" hidden="1" x14ac:dyDescent="0.25">
      <c r="I1492" t="s">
        <v>6955</v>
      </c>
      <c r="J1492" s="2">
        <v>1000</v>
      </c>
      <c r="K1492" s="2">
        <v>0</v>
      </c>
      <c r="L1492" s="2">
        <v>21</v>
      </c>
      <c r="M1492" s="2">
        <v>0</v>
      </c>
      <c r="S1492" t="s">
        <v>6956</v>
      </c>
      <c r="U1492" t="s">
        <v>45</v>
      </c>
      <c r="V1492" t="s">
        <v>46</v>
      </c>
      <c r="W1492" t="s">
        <v>5190</v>
      </c>
      <c r="X1492" t="s">
        <v>5188</v>
      </c>
      <c r="Y1492" t="s">
        <v>137</v>
      </c>
      <c r="Z1492" t="s">
        <v>717</v>
      </c>
      <c r="AA1492" t="s">
        <v>49</v>
      </c>
      <c r="AC1492" s="2"/>
    </row>
    <row r="1493" spans="1:31" hidden="1" x14ac:dyDescent="0.25">
      <c r="I1493" t="s">
        <v>6957</v>
      </c>
      <c r="J1493" s="2">
        <v>1000</v>
      </c>
      <c r="K1493" s="2">
        <v>0</v>
      </c>
      <c r="L1493" s="2">
        <v>21</v>
      </c>
      <c r="M1493" s="2">
        <v>0</v>
      </c>
      <c r="S1493" t="s">
        <v>6958</v>
      </c>
      <c r="U1493" t="s">
        <v>45</v>
      </c>
      <c r="V1493" t="s">
        <v>46</v>
      </c>
      <c r="W1493" t="s">
        <v>5190</v>
      </c>
      <c r="X1493" t="s">
        <v>5188</v>
      </c>
      <c r="Y1493" t="s">
        <v>137</v>
      </c>
      <c r="Z1493" t="s">
        <v>717</v>
      </c>
      <c r="AA1493" t="s">
        <v>49</v>
      </c>
      <c r="AC1493" s="2"/>
    </row>
    <row r="1494" spans="1:31" x14ac:dyDescent="0.25">
      <c r="A1494" t="s">
        <v>6959</v>
      </c>
      <c r="B1494" t="s">
        <v>6960</v>
      </c>
      <c r="C1494" t="s">
        <v>6960</v>
      </c>
      <c r="D1494" t="s">
        <v>297</v>
      </c>
      <c r="E1494" t="s">
        <v>167</v>
      </c>
      <c r="F1494" t="s">
        <v>6961</v>
      </c>
      <c r="G1494" t="s">
        <v>1939</v>
      </c>
      <c r="H1494" t="s">
        <v>6365</v>
      </c>
      <c r="J1494" s="2">
        <v>305438</v>
      </c>
      <c r="K1494" s="2">
        <v>1400</v>
      </c>
      <c r="L1494" s="2">
        <v>15</v>
      </c>
      <c r="M1494" s="2">
        <v>0</v>
      </c>
      <c r="N1494" t="s">
        <v>6366</v>
      </c>
      <c r="O1494" t="s">
        <v>6367</v>
      </c>
      <c r="P1494" t="s">
        <v>82</v>
      </c>
      <c r="Q1494" t="s">
        <v>83</v>
      </c>
      <c r="S1494" t="s">
        <v>6962</v>
      </c>
      <c r="U1494" t="s">
        <v>45</v>
      </c>
      <c r="V1494" t="s">
        <v>46</v>
      </c>
      <c r="W1494" t="s">
        <v>6366</v>
      </c>
      <c r="X1494" t="s">
        <v>6367</v>
      </c>
      <c r="Y1494" t="s">
        <v>85</v>
      </c>
      <c r="Z1494" t="s">
        <v>86</v>
      </c>
      <c r="AA1494" t="s">
        <v>49</v>
      </c>
      <c r="AB1494" t="s">
        <v>50</v>
      </c>
      <c r="AC1494" s="2">
        <v>158165.29999999999</v>
      </c>
      <c r="AD1494" t="s">
        <v>6963</v>
      </c>
    </row>
    <row r="1495" spans="1:31" hidden="1" x14ac:dyDescent="0.25">
      <c r="J1495" s="2">
        <v>1000</v>
      </c>
      <c r="K1495" s="2">
        <v>0</v>
      </c>
      <c r="L1495" s="2">
        <v>1</v>
      </c>
      <c r="M1495" s="2">
        <v>0</v>
      </c>
      <c r="U1495" t="s">
        <v>45</v>
      </c>
      <c r="V1495" t="s">
        <v>46</v>
      </c>
      <c r="W1495" t="s">
        <v>40</v>
      </c>
      <c r="X1495" t="s">
        <v>41</v>
      </c>
      <c r="Y1495" t="s">
        <v>47</v>
      </c>
      <c r="Z1495" t="s">
        <v>48</v>
      </c>
      <c r="AA1495" t="s">
        <v>49</v>
      </c>
      <c r="AC1495" s="2"/>
    </row>
    <row r="1496" spans="1:31" x14ac:dyDescent="0.25">
      <c r="A1496" t="s">
        <v>6964</v>
      </c>
      <c r="B1496" t="s">
        <v>6965</v>
      </c>
      <c r="C1496" t="s">
        <v>6965</v>
      </c>
      <c r="D1496" t="s">
        <v>125</v>
      </c>
      <c r="E1496" t="s">
        <v>126</v>
      </c>
      <c r="F1496" t="s">
        <v>6966</v>
      </c>
      <c r="G1496" t="s">
        <v>125</v>
      </c>
      <c r="H1496" t="s">
        <v>6027</v>
      </c>
      <c r="I1496" t="s">
        <v>6296</v>
      </c>
      <c r="J1496" s="2">
        <v>327255</v>
      </c>
      <c r="K1496" s="2">
        <v>1500</v>
      </c>
      <c r="L1496" s="2">
        <v>15</v>
      </c>
      <c r="M1496" s="2">
        <v>0</v>
      </c>
      <c r="N1496" t="s">
        <v>6029</v>
      </c>
      <c r="O1496" t="s">
        <v>6030</v>
      </c>
      <c r="P1496" t="s">
        <v>1363</v>
      </c>
      <c r="Q1496" t="s">
        <v>1364</v>
      </c>
      <c r="S1496" t="s">
        <v>6967</v>
      </c>
      <c r="U1496" t="s">
        <v>45</v>
      </c>
      <c r="V1496" t="s">
        <v>46</v>
      </c>
      <c r="W1496" t="s">
        <v>6029</v>
      </c>
      <c r="X1496" t="s">
        <v>6030</v>
      </c>
      <c r="Y1496" t="s">
        <v>85</v>
      </c>
      <c r="Z1496" t="s">
        <v>86</v>
      </c>
      <c r="AA1496" t="s">
        <v>49</v>
      </c>
      <c r="AB1496" t="s">
        <v>50</v>
      </c>
      <c r="AC1496" s="2">
        <v>166144.84</v>
      </c>
      <c r="AD1496" t="s">
        <v>6968</v>
      </c>
      <c r="AE1496" t="s">
        <v>52</v>
      </c>
    </row>
    <row r="1497" spans="1:31" x14ac:dyDescent="0.25">
      <c r="A1497" t="s">
        <v>6969</v>
      </c>
      <c r="B1497" t="s">
        <v>6970</v>
      </c>
      <c r="C1497" t="s">
        <v>6970</v>
      </c>
      <c r="D1497" t="s">
        <v>2120</v>
      </c>
      <c r="E1497" t="s">
        <v>224</v>
      </c>
      <c r="F1497" t="s">
        <v>6971</v>
      </c>
      <c r="G1497" t="s">
        <v>133</v>
      </c>
      <c r="H1497" t="s">
        <v>5739</v>
      </c>
      <c r="I1497" t="s">
        <v>6972</v>
      </c>
      <c r="J1497" s="2">
        <v>97090</v>
      </c>
      <c r="K1497" s="2">
        <v>445.02</v>
      </c>
      <c r="L1497" s="2">
        <v>15</v>
      </c>
      <c r="M1497" s="2">
        <v>0</v>
      </c>
      <c r="N1497" t="s">
        <v>5741</v>
      </c>
      <c r="O1497" t="s">
        <v>5739</v>
      </c>
      <c r="P1497" t="s">
        <v>5966</v>
      </c>
      <c r="Q1497" t="s">
        <v>5739</v>
      </c>
      <c r="S1497" t="s">
        <v>6973</v>
      </c>
      <c r="U1497" t="s">
        <v>45</v>
      </c>
      <c r="V1497" t="s">
        <v>46</v>
      </c>
      <c r="W1497" t="s">
        <v>5741</v>
      </c>
      <c r="X1497" t="s">
        <v>5739</v>
      </c>
      <c r="Y1497" t="s">
        <v>5743</v>
      </c>
      <c r="Z1497" t="s">
        <v>5744</v>
      </c>
      <c r="AA1497" t="s">
        <v>49</v>
      </c>
      <c r="AB1497" t="s">
        <v>50</v>
      </c>
      <c r="AC1497" s="2">
        <v>97090</v>
      </c>
      <c r="AD1497" t="s">
        <v>64</v>
      </c>
    </row>
    <row r="1498" spans="1:31" hidden="1" x14ac:dyDescent="0.25">
      <c r="J1498" s="2">
        <v>87268</v>
      </c>
      <c r="K1498" s="2">
        <v>400</v>
      </c>
      <c r="L1498" s="2">
        <v>15</v>
      </c>
      <c r="M1498" s="2">
        <v>0</v>
      </c>
      <c r="S1498" t="s">
        <v>6974</v>
      </c>
      <c r="U1498" t="s">
        <v>45</v>
      </c>
      <c r="V1498" t="s">
        <v>46</v>
      </c>
      <c r="W1498" t="s">
        <v>6629</v>
      </c>
      <c r="X1498" t="s">
        <v>6630</v>
      </c>
      <c r="Y1498" t="s">
        <v>79</v>
      </c>
      <c r="Z1498" t="s">
        <v>94</v>
      </c>
      <c r="AA1498" t="s">
        <v>49</v>
      </c>
      <c r="AC1498" s="2"/>
    </row>
    <row r="1499" spans="1:31" x14ac:dyDescent="0.25">
      <c r="A1499" t="s">
        <v>6975</v>
      </c>
      <c r="B1499" t="s">
        <v>6976</v>
      </c>
      <c r="C1499" t="s">
        <v>6976</v>
      </c>
      <c r="D1499" t="s">
        <v>76</v>
      </c>
      <c r="E1499" t="s">
        <v>77</v>
      </c>
      <c r="F1499" t="s">
        <v>6977</v>
      </c>
      <c r="G1499" t="s">
        <v>1754</v>
      </c>
      <c r="H1499" t="s">
        <v>201</v>
      </c>
      <c r="J1499" s="2">
        <v>436340</v>
      </c>
      <c r="K1499" s="2">
        <v>2000</v>
      </c>
      <c r="L1499" s="2">
        <v>15</v>
      </c>
      <c r="M1499" s="2">
        <v>0</v>
      </c>
      <c r="N1499" t="s">
        <v>203</v>
      </c>
      <c r="O1499" t="s">
        <v>204</v>
      </c>
      <c r="P1499" t="s">
        <v>205</v>
      </c>
      <c r="Q1499" t="s">
        <v>206</v>
      </c>
      <c r="S1499" t="s">
        <v>6978</v>
      </c>
      <c r="U1499" t="s">
        <v>45</v>
      </c>
      <c r="V1499" t="s">
        <v>46</v>
      </c>
      <c r="W1499" t="s">
        <v>203</v>
      </c>
      <c r="X1499" t="s">
        <v>204</v>
      </c>
      <c r="Y1499" t="s">
        <v>161</v>
      </c>
      <c r="Z1499" t="s">
        <v>162</v>
      </c>
      <c r="AA1499" t="s">
        <v>49</v>
      </c>
      <c r="AB1499" t="s">
        <v>50</v>
      </c>
      <c r="AC1499" s="2">
        <v>436340</v>
      </c>
      <c r="AD1499" t="s">
        <v>64</v>
      </c>
    </row>
    <row r="1500" spans="1:31" hidden="1" x14ac:dyDescent="0.25">
      <c r="A1500" t="s">
        <v>6979</v>
      </c>
      <c r="B1500" t="s">
        <v>6980</v>
      </c>
      <c r="C1500" t="s">
        <v>6980</v>
      </c>
      <c r="D1500" t="s">
        <v>55</v>
      </c>
      <c r="E1500" t="s">
        <v>56</v>
      </c>
      <c r="F1500" t="s">
        <v>4539</v>
      </c>
      <c r="J1500" s="2">
        <v>1000</v>
      </c>
      <c r="K1500" s="2">
        <v>0</v>
      </c>
      <c r="L1500" s="2">
        <v>1</v>
      </c>
      <c r="M1500" s="2">
        <v>0</v>
      </c>
      <c r="N1500" t="s">
        <v>40</v>
      </c>
      <c r="O1500" t="s">
        <v>41</v>
      </c>
      <c r="P1500" t="s">
        <v>61</v>
      </c>
      <c r="Q1500" t="s">
        <v>62</v>
      </c>
      <c r="U1500" t="s">
        <v>45</v>
      </c>
      <c r="V1500" t="s">
        <v>46</v>
      </c>
      <c r="W1500" t="s">
        <v>40</v>
      </c>
      <c r="X1500" t="s">
        <v>41</v>
      </c>
      <c r="Y1500" t="s">
        <v>47</v>
      </c>
      <c r="Z1500" t="s">
        <v>48</v>
      </c>
      <c r="AA1500" t="s">
        <v>49</v>
      </c>
      <c r="AB1500" t="s">
        <v>50</v>
      </c>
      <c r="AC1500" s="2">
        <v>1000</v>
      </c>
      <c r="AD1500" t="s">
        <v>64</v>
      </c>
    </row>
    <row r="1501" spans="1:31" x14ac:dyDescent="0.25">
      <c r="A1501" t="s">
        <v>6981</v>
      </c>
      <c r="B1501" t="s">
        <v>6982</v>
      </c>
      <c r="C1501" t="s">
        <v>6982</v>
      </c>
      <c r="D1501" t="s">
        <v>153</v>
      </c>
      <c r="E1501" t="s">
        <v>272</v>
      </c>
      <c r="F1501" t="s">
        <v>6983</v>
      </c>
      <c r="G1501" t="s">
        <v>153</v>
      </c>
      <c r="H1501" t="s">
        <v>2396</v>
      </c>
      <c r="I1501" t="s">
        <v>6984</v>
      </c>
      <c r="J1501" s="2">
        <v>243110</v>
      </c>
      <c r="K1501" s="2">
        <v>1000</v>
      </c>
      <c r="L1501" s="2">
        <v>15</v>
      </c>
      <c r="M1501" s="2">
        <v>0</v>
      </c>
      <c r="N1501" t="s">
        <v>6985</v>
      </c>
      <c r="O1501" t="s">
        <v>6986</v>
      </c>
      <c r="P1501" t="s">
        <v>6987</v>
      </c>
      <c r="Q1501" t="s">
        <v>6988</v>
      </c>
      <c r="S1501" t="s">
        <v>6989</v>
      </c>
      <c r="U1501" t="s">
        <v>45</v>
      </c>
      <c r="V1501" t="s">
        <v>46</v>
      </c>
      <c r="W1501" t="s">
        <v>6985</v>
      </c>
      <c r="X1501" t="s">
        <v>6986</v>
      </c>
      <c r="Y1501" t="s">
        <v>2399</v>
      </c>
      <c r="Z1501" t="s">
        <v>2400</v>
      </c>
      <c r="AA1501" t="s">
        <v>49</v>
      </c>
      <c r="AB1501" t="s">
        <v>50</v>
      </c>
      <c r="AC1501" s="2">
        <v>10901.62</v>
      </c>
      <c r="AD1501" t="s">
        <v>6990</v>
      </c>
      <c r="AE1501" t="s">
        <v>52</v>
      </c>
    </row>
    <row r="1502" spans="1:31" x14ac:dyDescent="0.25">
      <c r="A1502" t="s">
        <v>6991</v>
      </c>
      <c r="B1502" t="s">
        <v>6992</v>
      </c>
      <c r="C1502" t="s">
        <v>6992</v>
      </c>
      <c r="D1502" t="s">
        <v>153</v>
      </c>
      <c r="E1502" t="s">
        <v>272</v>
      </c>
      <c r="F1502" t="s">
        <v>6993</v>
      </c>
      <c r="G1502" t="s">
        <v>153</v>
      </c>
      <c r="H1502" t="s">
        <v>6994</v>
      </c>
      <c r="J1502" s="2">
        <v>4363400</v>
      </c>
      <c r="K1502" s="2">
        <v>20000</v>
      </c>
      <c r="L1502" s="2">
        <v>30</v>
      </c>
      <c r="M1502" s="2">
        <v>0</v>
      </c>
      <c r="N1502" t="s">
        <v>6995</v>
      </c>
      <c r="O1502" t="s">
        <v>6996</v>
      </c>
      <c r="P1502" t="s">
        <v>6987</v>
      </c>
      <c r="Q1502" t="s">
        <v>6988</v>
      </c>
      <c r="S1502" t="s">
        <v>6997</v>
      </c>
      <c r="U1502" t="s">
        <v>45</v>
      </c>
      <c r="V1502" t="s">
        <v>46</v>
      </c>
      <c r="W1502" t="s">
        <v>6995</v>
      </c>
      <c r="X1502" t="s">
        <v>6996</v>
      </c>
      <c r="Y1502" t="s">
        <v>2399</v>
      </c>
      <c r="Z1502" t="s">
        <v>2400</v>
      </c>
      <c r="AA1502" t="s">
        <v>49</v>
      </c>
      <c r="AB1502" t="s">
        <v>50</v>
      </c>
      <c r="AC1502" s="2">
        <v>1826696.96</v>
      </c>
      <c r="AD1502" t="s">
        <v>6998</v>
      </c>
      <c r="AE1502" t="s">
        <v>52</v>
      </c>
    </row>
    <row r="1503" spans="1:31" x14ac:dyDescent="0.25">
      <c r="A1503" t="s">
        <v>6999</v>
      </c>
      <c r="B1503" t="s">
        <v>7000</v>
      </c>
      <c r="C1503" t="s">
        <v>7001</v>
      </c>
      <c r="D1503" t="s">
        <v>35</v>
      </c>
      <c r="E1503" t="s">
        <v>36</v>
      </c>
      <c r="F1503" t="s">
        <v>4539</v>
      </c>
      <c r="G1503" t="s">
        <v>35</v>
      </c>
      <c r="H1503" t="s">
        <v>41</v>
      </c>
      <c r="J1503" s="2">
        <v>545425</v>
      </c>
      <c r="K1503" s="2">
        <v>2500</v>
      </c>
      <c r="L1503" s="2">
        <v>15</v>
      </c>
      <c r="M1503" s="2">
        <v>0</v>
      </c>
      <c r="N1503" t="s">
        <v>40</v>
      </c>
      <c r="O1503" t="s">
        <v>41</v>
      </c>
      <c r="P1503" t="s">
        <v>61</v>
      </c>
      <c r="Q1503" t="s">
        <v>62</v>
      </c>
      <c r="S1503" t="s">
        <v>4541</v>
      </c>
      <c r="U1503" t="s">
        <v>45</v>
      </c>
      <c r="V1503" t="s">
        <v>46</v>
      </c>
      <c r="W1503" t="s">
        <v>40</v>
      </c>
      <c r="X1503" t="s">
        <v>41</v>
      </c>
      <c r="Y1503" t="s">
        <v>47</v>
      </c>
      <c r="Z1503" t="s">
        <v>48</v>
      </c>
      <c r="AA1503" t="s">
        <v>49</v>
      </c>
      <c r="AB1503" t="s">
        <v>50</v>
      </c>
      <c r="AC1503" s="2">
        <v>435701.59</v>
      </c>
      <c r="AD1503" t="s">
        <v>7002</v>
      </c>
      <c r="AE1503" t="s">
        <v>52</v>
      </c>
    </row>
    <row r="1504" spans="1:31" x14ac:dyDescent="0.25">
      <c r="A1504" t="s">
        <v>7003</v>
      </c>
      <c r="B1504" t="s">
        <v>7004</v>
      </c>
      <c r="C1504" t="s">
        <v>7004</v>
      </c>
      <c r="D1504" t="s">
        <v>3472</v>
      </c>
      <c r="E1504" t="s">
        <v>871</v>
      </c>
      <c r="F1504" t="s">
        <v>7005</v>
      </c>
      <c r="G1504" t="s">
        <v>192</v>
      </c>
      <c r="H1504" t="s">
        <v>7006</v>
      </c>
      <c r="I1504" t="s">
        <v>7007</v>
      </c>
      <c r="J1504" s="2">
        <v>185445</v>
      </c>
      <c r="K1504" s="2">
        <v>850</v>
      </c>
      <c r="L1504" s="2">
        <v>15</v>
      </c>
      <c r="M1504" s="2">
        <v>0</v>
      </c>
      <c r="N1504" t="s">
        <v>7008</v>
      </c>
      <c r="O1504" t="s">
        <v>7009</v>
      </c>
      <c r="P1504" t="s">
        <v>103</v>
      </c>
      <c r="Q1504" t="s">
        <v>104</v>
      </c>
      <c r="S1504" t="s">
        <v>7010</v>
      </c>
      <c r="U1504" t="s">
        <v>45</v>
      </c>
      <c r="V1504" t="s">
        <v>46</v>
      </c>
      <c r="W1504" t="s">
        <v>7008</v>
      </c>
      <c r="X1504" t="s">
        <v>7009</v>
      </c>
      <c r="Y1504" t="s">
        <v>279</v>
      </c>
      <c r="Z1504" t="s">
        <v>280</v>
      </c>
      <c r="AA1504" t="s">
        <v>49</v>
      </c>
      <c r="AB1504" t="s">
        <v>50</v>
      </c>
      <c r="AC1504" s="2">
        <v>184656.11</v>
      </c>
      <c r="AD1504" t="s">
        <v>7011</v>
      </c>
    </row>
    <row r="1505" spans="1:31" x14ac:dyDescent="0.25">
      <c r="A1505" t="s">
        <v>7012</v>
      </c>
      <c r="B1505" t="s">
        <v>7013</v>
      </c>
      <c r="C1505" t="s">
        <v>7013</v>
      </c>
      <c r="D1505" t="s">
        <v>847</v>
      </c>
      <c r="E1505" t="s">
        <v>848</v>
      </c>
      <c r="F1505" t="s">
        <v>7014</v>
      </c>
      <c r="G1505" t="s">
        <v>2687</v>
      </c>
      <c r="H1505" t="s">
        <v>255</v>
      </c>
      <c r="I1505" t="s">
        <v>3940</v>
      </c>
      <c r="J1505" s="2">
        <v>218170</v>
      </c>
      <c r="K1505" s="2">
        <v>1000</v>
      </c>
      <c r="L1505" s="2">
        <v>15</v>
      </c>
      <c r="M1505" s="2">
        <v>0</v>
      </c>
      <c r="N1505" t="s">
        <v>254</v>
      </c>
      <c r="O1505" t="s">
        <v>255</v>
      </c>
      <c r="P1505" t="s">
        <v>1363</v>
      </c>
      <c r="Q1505" t="s">
        <v>1364</v>
      </c>
      <c r="S1505" t="s">
        <v>7015</v>
      </c>
      <c r="U1505" t="s">
        <v>45</v>
      </c>
      <c r="V1505" t="s">
        <v>46</v>
      </c>
      <c r="W1505" t="s">
        <v>254</v>
      </c>
      <c r="X1505" t="s">
        <v>255</v>
      </c>
      <c r="Y1505" t="s">
        <v>258</v>
      </c>
      <c r="Z1505" t="s">
        <v>259</v>
      </c>
      <c r="AA1505" t="s">
        <v>49</v>
      </c>
      <c r="AB1505" t="s">
        <v>50</v>
      </c>
      <c r="AC1505" s="2">
        <v>165164.72</v>
      </c>
      <c r="AD1505" t="s">
        <v>7016</v>
      </c>
      <c r="AE1505" t="s">
        <v>52</v>
      </c>
    </row>
    <row r="1506" spans="1:31" x14ac:dyDescent="0.25">
      <c r="A1506" t="s">
        <v>7017</v>
      </c>
      <c r="B1506" t="s">
        <v>7018</v>
      </c>
      <c r="C1506" t="s">
        <v>6932</v>
      </c>
      <c r="D1506" t="s">
        <v>153</v>
      </c>
      <c r="E1506" t="s">
        <v>272</v>
      </c>
      <c r="F1506" t="s">
        <v>6887</v>
      </c>
      <c r="G1506" t="s">
        <v>847</v>
      </c>
      <c r="H1506" t="s">
        <v>79</v>
      </c>
      <c r="I1506" t="s">
        <v>7019</v>
      </c>
      <c r="J1506" s="2">
        <v>654510</v>
      </c>
      <c r="K1506" s="2">
        <v>3000</v>
      </c>
      <c r="L1506" s="2">
        <v>25</v>
      </c>
      <c r="M1506" s="2">
        <v>0</v>
      </c>
      <c r="N1506" t="s">
        <v>495</v>
      </c>
      <c r="O1506" t="s">
        <v>79</v>
      </c>
      <c r="P1506" t="s">
        <v>3487</v>
      </c>
      <c r="Q1506" t="s">
        <v>3488</v>
      </c>
      <c r="S1506" t="s">
        <v>6934</v>
      </c>
      <c r="U1506" t="s">
        <v>45</v>
      </c>
      <c r="V1506" t="s">
        <v>46</v>
      </c>
      <c r="W1506" t="s">
        <v>495</v>
      </c>
      <c r="X1506" t="s">
        <v>79</v>
      </c>
      <c r="Y1506" t="s">
        <v>79</v>
      </c>
      <c r="Z1506" t="s">
        <v>94</v>
      </c>
      <c r="AA1506" t="s">
        <v>49</v>
      </c>
      <c r="AB1506" t="s">
        <v>50</v>
      </c>
      <c r="AC1506" s="2">
        <v>581575.88</v>
      </c>
      <c r="AD1506" t="s">
        <v>7020</v>
      </c>
      <c r="AE1506" t="s">
        <v>52</v>
      </c>
    </row>
    <row r="1507" spans="1:31" x14ac:dyDescent="0.25">
      <c r="A1507" t="s">
        <v>7021</v>
      </c>
      <c r="B1507" t="s">
        <v>7022</v>
      </c>
      <c r="C1507" t="s">
        <v>7022</v>
      </c>
      <c r="D1507" t="s">
        <v>35</v>
      </c>
      <c r="E1507" t="s">
        <v>36</v>
      </c>
      <c r="F1507" t="s">
        <v>7023</v>
      </c>
      <c r="G1507" t="s">
        <v>153</v>
      </c>
      <c r="H1507" t="s">
        <v>2396</v>
      </c>
      <c r="J1507" s="2">
        <v>129920</v>
      </c>
      <c r="K1507" s="2">
        <v>595.5</v>
      </c>
      <c r="L1507" s="2">
        <v>15</v>
      </c>
      <c r="M1507" s="2">
        <v>0</v>
      </c>
      <c r="N1507" t="s">
        <v>6985</v>
      </c>
      <c r="O1507" t="s">
        <v>6986</v>
      </c>
      <c r="P1507" t="s">
        <v>6987</v>
      </c>
      <c r="Q1507" t="s">
        <v>6988</v>
      </c>
      <c r="S1507" t="s">
        <v>7024</v>
      </c>
      <c r="U1507" t="s">
        <v>45</v>
      </c>
      <c r="V1507" t="s">
        <v>46</v>
      </c>
      <c r="W1507" t="s">
        <v>6985</v>
      </c>
      <c r="X1507" t="s">
        <v>6986</v>
      </c>
      <c r="Y1507" t="s">
        <v>2399</v>
      </c>
      <c r="Z1507" t="s">
        <v>2400</v>
      </c>
      <c r="AA1507" t="s">
        <v>49</v>
      </c>
      <c r="AB1507" t="s">
        <v>50</v>
      </c>
      <c r="AC1507" s="2">
        <v>57774.55</v>
      </c>
      <c r="AD1507" t="s">
        <v>7025</v>
      </c>
      <c r="AE1507" t="s">
        <v>52</v>
      </c>
    </row>
    <row r="1508" spans="1:31" x14ac:dyDescent="0.25">
      <c r="A1508" t="s">
        <v>7026</v>
      </c>
      <c r="B1508" t="s">
        <v>7027</v>
      </c>
      <c r="C1508" t="s">
        <v>7027</v>
      </c>
      <c r="D1508" t="s">
        <v>153</v>
      </c>
      <c r="E1508" t="s">
        <v>272</v>
      </c>
      <c r="F1508" t="s">
        <v>7028</v>
      </c>
      <c r="G1508" t="s">
        <v>189</v>
      </c>
      <c r="H1508" t="s">
        <v>303</v>
      </c>
      <c r="I1508" t="s">
        <v>7029</v>
      </c>
      <c r="J1508" s="2">
        <v>145619</v>
      </c>
      <c r="K1508" s="2">
        <v>620</v>
      </c>
      <c r="L1508" s="2">
        <v>21</v>
      </c>
      <c r="M1508" s="2">
        <v>0</v>
      </c>
      <c r="N1508" t="s">
        <v>302</v>
      </c>
      <c r="O1508" t="s">
        <v>303</v>
      </c>
      <c r="P1508" t="s">
        <v>304</v>
      </c>
      <c r="Q1508" t="s">
        <v>72</v>
      </c>
      <c r="S1508" t="s">
        <v>7030</v>
      </c>
      <c r="U1508" t="s">
        <v>45</v>
      </c>
      <c r="V1508" t="s">
        <v>46</v>
      </c>
      <c r="W1508" t="s">
        <v>302</v>
      </c>
      <c r="X1508" t="s">
        <v>303</v>
      </c>
      <c r="Y1508" t="s">
        <v>72</v>
      </c>
      <c r="Z1508" t="s">
        <v>68</v>
      </c>
      <c r="AA1508" t="s">
        <v>49</v>
      </c>
      <c r="AB1508" t="s">
        <v>50</v>
      </c>
      <c r="AC1508" s="2">
        <v>48918.43</v>
      </c>
      <c r="AD1508" t="s">
        <v>7031</v>
      </c>
      <c r="AE1508" t="s">
        <v>115</v>
      </c>
    </row>
    <row r="1509" spans="1:31" x14ac:dyDescent="0.25">
      <c r="A1509" t="s">
        <v>7032</v>
      </c>
      <c r="B1509" t="s">
        <v>7033</v>
      </c>
      <c r="C1509" t="s">
        <v>7033</v>
      </c>
      <c r="D1509" t="s">
        <v>1958</v>
      </c>
      <c r="E1509" t="s">
        <v>77</v>
      </c>
      <c r="F1509" t="s">
        <v>7034</v>
      </c>
      <c r="G1509" t="s">
        <v>2126</v>
      </c>
      <c r="H1509" t="s">
        <v>1360</v>
      </c>
      <c r="J1509" s="2">
        <v>130902</v>
      </c>
      <c r="K1509" s="2">
        <v>600</v>
      </c>
      <c r="L1509" s="2">
        <v>15</v>
      </c>
      <c r="M1509" s="2">
        <v>0</v>
      </c>
      <c r="N1509" t="s">
        <v>1362</v>
      </c>
      <c r="O1509" t="s">
        <v>1360</v>
      </c>
      <c r="P1509" t="s">
        <v>1212</v>
      </c>
      <c r="Q1509" t="s">
        <v>1213</v>
      </c>
      <c r="S1509" t="s">
        <v>7035</v>
      </c>
      <c r="U1509" t="s">
        <v>45</v>
      </c>
      <c r="V1509" t="s">
        <v>46</v>
      </c>
      <c r="W1509" t="s">
        <v>1362</v>
      </c>
      <c r="X1509" t="s">
        <v>1360</v>
      </c>
      <c r="Y1509" t="s">
        <v>1215</v>
      </c>
      <c r="Z1509" t="s">
        <v>1216</v>
      </c>
      <c r="AA1509" t="s">
        <v>49</v>
      </c>
      <c r="AB1509" t="s">
        <v>50</v>
      </c>
      <c r="AC1509" s="2">
        <v>130902</v>
      </c>
      <c r="AD1509" t="s">
        <v>64</v>
      </c>
    </row>
    <row r="1510" spans="1:31" x14ac:dyDescent="0.25">
      <c r="A1510" t="s">
        <v>7036</v>
      </c>
      <c r="B1510" t="s">
        <v>7037</v>
      </c>
      <c r="C1510" t="s">
        <v>7037</v>
      </c>
      <c r="D1510" t="s">
        <v>847</v>
      </c>
      <c r="E1510" t="s">
        <v>848</v>
      </c>
      <c r="F1510" t="s">
        <v>7038</v>
      </c>
      <c r="G1510" t="s">
        <v>847</v>
      </c>
      <c r="H1510" t="s">
        <v>6237</v>
      </c>
      <c r="I1510" t="s">
        <v>7039</v>
      </c>
      <c r="J1510" s="2">
        <v>924200</v>
      </c>
      <c r="K1510" s="2">
        <v>4000</v>
      </c>
      <c r="L1510" s="2">
        <v>21</v>
      </c>
      <c r="M1510" s="2">
        <v>0</v>
      </c>
      <c r="N1510" t="s">
        <v>6239</v>
      </c>
      <c r="O1510" t="s">
        <v>6240</v>
      </c>
      <c r="P1510" t="s">
        <v>82</v>
      </c>
      <c r="Q1510" t="s">
        <v>83</v>
      </c>
      <c r="S1510" t="s">
        <v>7040</v>
      </c>
      <c r="U1510" t="s">
        <v>45</v>
      </c>
      <c r="V1510" t="s">
        <v>46</v>
      </c>
      <c r="W1510" t="s">
        <v>6239</v>
      </c>
      <c r="X1510" t="s">
        <v>6240</v>
      </c>
      <c r="Y1510" t="s">
        <v>85</v>
      </c>
      <c r="Z1510" t="s">
        <v>86</v>
      </c>
      <c r="AA1510" t="s">
        <v>49</v>
      </c>
      <c r="AB1510" t="s">
        <v>50</v>
      </c>
      <c r="AC1510" s="2">
        <v>856598.41</v>
      </c>
      <c r="AD1510" t="s">
        <v>7041</v>
      </c>
      <c r="AE1510" t="s">
        <v>52</v>
      </c>
    </row>
    <row r="1511" spans="1:31" hidden="1" x14ac:dyDescent="0.25">
      <c r="I1511" t="s">
        <v>7042</v>
      </c>
      <c r="J1511" s="2">
        <v>21817</v>
      </c>
      <c r="K1511" s="2">
        <v>100</v>
      </c>
      <c r="L1511" s="2">
        <v>1</v>
      </c>
      <c r="M1511" s="2">
        <v>0</v>
      </c>
      <c r="S1511" t="s">
        <v>7043</v>
      </c>
      <c r="U1511" t="s">
        <v>45</v>
      </c>
      <c r="V1511" t="s">
        <v>46</v>
      </c>
      <c r="W1511" t="s">
        <v>1362</v>
      </c>
      <c r="X1511" t="s">
        <v>1360</v>
      </c>
      <c r="Y1511" t="s">
        <v>1215</v>
      </c>
      <c r="Z1511" t="s">
        <v>1216</v>
      </c>
      <c r="AA1511" t="s">
        <v>49</v>
      </c>
      <c r="AC1511" s="2"/>
    </row>
    <row r="1512" spans="1:31" x14ac:dyDescent="0.25">
      <c r="A1512" t="s">
        <v>7044</v>
      </c>
      <c r="B1512" t="s">
        <v>7045</v>
      </c>
      <c r="C1512" t="s">
        <v>7001</v>
      </c>
      <c r="D1512" t="s">
        <v>153</v>
      </c>
      <c r="E1512" t="s">
        <v>272</v>
      </c>
      <c r="F1512" t="s">
        <v>4539</v>
      </c>
      <c r="G1512" t="s">
        <v>153</v>
      </c>
      <c r="H1512" t="s">
        <v>41</v>
      </c>
      <c r="J1512" s="2">
        <v>545425</v>
      </c>
      <c r="K1512" s="2">
        <v>2500</v>
      </c>
      <c r="L1512" s="2">
        <v>15</v>
      </c>
      <c r="M1512" s="2">
        <v>0</v>
      </c>
      <c r="N1512" t="s">
        <v>40</v>
      </c>
      <c r="O1512" t="s">
        <v>41</v>
      </c>
      <c r="P1512" t="s">
        <v>61</v>
      </c>
      <c r="Q1512" t="s">
        <v>62</v>
      </c>
      <c r="S1512" t="s">
        <v>4541</v>
      </c>
      <c r="U1512" t="s">
        <v>45</v>
      </c>
      <c r="V1512" t="s">
        <v>46</v>
      </c>
      <c r="W1512" t="s">
        <v>40</v>
      </c>
      <c r="X1512" t="s">
        <v>41</v>
      </c>
      <c r="Y1512" t="s">
        <v>47</v>
      </c>
      <c r="Z1512" t="s">
        <v>48</v>
      </c>
      <c r="AA1512" t="s">
        <v>49</v>
      </c>
      <c r="AB1512" t="s">
        <v>50</v>
      </c>
      <c r="AC1512" s="2">
        <v>535399</v>
      </c>
      <c r="AD1512" t="s">
        <v>7046</v>
      </c>
      <c r="AE1512" t="s">
        <v>52</v>
      </c>
    </row>
    <row r="1513" spans="1:31" x14ac:dyDescent="0.25">
      <c r="A1513" t="s">
        <v>7047</v>
      </c>
      <c r="B1513" t="s">
        <v>7048</v>
      </c>
      <c r="C1513" t="s">
        <v>7001</v>
      </c>
      <c r="D1513" t="s">
        <v>297</v>
      </c>
      <c r="E1513" t="s">
        <v>167</v>
      </c>
      <c r="F1513" t="s">
        <v>4539</v>
      </c>
      <c r="G1513" t="s">
        <v>297</v>
      </c>
      <c r="H1513" t="s">
        <v>38</v>
      </c>
      <c r="J1513" s="2">
        <v>545425</v>
      </c>
      <c r="K1513" s="2">
        <v>2500</v>
      </c>
      <c r="L1513" s="2">
        <v>15</v>
      </c>
      <c r="M1513" s="2">
        <v>0</v>
      </c>
      <c r="N1513" t="s">
        <v>40</v>
      </c>
      <c r="O1513" t="s">
        <v>41</v>
      </c>
      <c r="P1513" t="s">
        <v>61</v>
      </c>
      <c r="Q1513" t="s">
        <v>62</v>
      </c>
      <c r="S1513" t="s">
        <v>7049</v>
      </c>
      <c r="U1513" t="s">
        <v>45</v>
      </c>
      <c r="V1513" t="s">
        <v>46</v>
      </c>
      <c r="W1513" t="s">
        <v>40</v>
      </c>
      <c r="X1513" t="s">
        <v>41</v>
      </c>
      <c r="Y1513" t="s">
        <v>47</v>
      </c>
      <c r="Z1513" t="s">
        <v>48</v>
      </c>
      <c r="AA1513" t="s">
        <v>49</v>
      </c>
      <c r="AB1513" t="s">
        <v>50</v>
      </c>
      <c r="AC1513" s="2">
        <v>491959.3</v>
      </c>
      <c r="AD1513" t="s">
        <v>7050</v>
      </c>
      <c r="AE1513" t="s">
        <v>52</v>
      </c>
    </row>
    <row r="1514" spans="1:31" x14ac:dyDescent="0.25">
      <c r="A1514" t="s">
        <v>7051</v>
      </c>
      <c r="B1514" t="s">
        <v>7052</v>
      </c>
      <c r="C1514" t="s">
        <v>7052</v>
      </c>
      <c r="D1514" t="s">
        <v>847</v>
      </c>
      <c r="E1514" t="s">
        <v>848</v>
      </c>
      <c r="F1514" t="s">
        <v>7053</v>
      </c>
      <c r="J1514" s="2">
        <v>93220</v>
      </c>
      <c r="K1514" s="2">
        <v>400</v>
      </c>
      <c r="L1514" s="2">
        <v>15</v>
      </c>
      <c r="M1514" s="2">
        <v>0</v>
      </c>
      <c r="N1514" t="s">
        <v>40</v>
      </c>
      <c r="O1514" t="s">
        <v>41</v>
      </c>
      <c r="P1514" t="s">
        <v>42</v>
      </c>
      <c r="Q1514" t="s">
        <v>43</v>
      </c>
      <c r="U1514" t="s">
        <v>45</v>
      </c>
      <c r="V1514" t="s">
        <v>46</v>
      </c>
      <c r="W1514" t="s">
        <v>40</v>
      </c>
      <c r="X1514" t="s">
        <v>41</v>
      </c>
      <c r="Y1514" t="s">
        <v>47</v>
      </c>
      <c r="Z1514" t="s">
        <v>48</v>
      </c>
      <c r="AA1514" t="s">
        <v>141</v>
      </c>
      <c r="AB1514" t="s">
        <v>50</v>
      </c>
      <c r="AC1514" s="2">
        <v>41028</v>
      </c>
      <c r="AD1514" t="s">
        <v>7054</v>
      </c>
    </row>
    <row r="1515" spans="1:31" x14ac:dyDescent="0.25">
      <c r="A1515" t="s">
        <v>7055</v>
      </c>
      <c r="B1515" t="s">
        <v>7056</v>
      </c>
      <c r="C1515" t="s">
        <v>7056</v>
      </c>
      <c r="D1515" t="s">
        <v>847</v>
      </c>
      <c r="E1515" t="s">
        <v>848</v>
      </c>
      <c r="F1515" t="s">
        <v>7057</v>
      </c>
      <c r="H1515" t="s">
        <v>38</v>
      </c>
      <c r="J1515" s="2">
        <v>10909</v>
      </c>
      <c r="K1515" s="2">
        <v>50</v>
      </c>
      <c r="L1515" s="2">
        <v>15</v>
      </c>
      <c r="M1515" s="2">
        <v>0</v>
      </c>
      <c r="N1515" t="s">
        <v>40</v>
      </c>
      <c r="O1515" t="s">
        <v>41</v>
      </c>
      <c r="P1515" t="s">
        <v>42</v>
      </c>
      <c r="Q1515" t="s">
        <v>43</v>
      </c>
      <c r="U1515" t="s">
        <v>45</v>
      </c>
      <c r="V1515" t="s">
        <v>46</v>
      </c>
      <c r="W1515" t="s">
        <v>40</v>
      </c>
      <c r="X1515" t="s">
        <v>41</v>
      </c>
      <c r="Y1515" t="s">
        <v>47</v>
      </c>
      <c r="Z1515" t="s">
        <v>48</v>
      </c>
      <c r="AA1515" t="s">
        <v>141</v>
      </c>
      <c r="AB1515" t="s">
        <v>50</v>
      </c>
      <c r="AC1515" s="2">
        <v>10909</v>
      </c>
      <c r="AD1515" t="s">
        <v>64</v>
      </c>
    </row>
    <row r="1516" spans="1:31" x14ac:dyDescent="0.25">
      <c r="A1516" t="s">
        <v>7058</v>
      </c>
      <c r="B1516" t="s">
        <v>7059</v>
      </c>
      <c r="C1516" t="s">
        <v>7059</v>
      </c>
      <c r="D1516" t="s">
        <v>35</v>
      </c>
      <c r="E1516" t="s">
        <v>36</v>
      </c>
      <c r="F1516" t="s">
        <v>7060</v>
      </c>
      <c r="G1516" t="s">
        <v>153</v>
      </c>
      <c r="H1516" t="s">
        <v>204</v>
      </c>
      <c r="I1516" t="s">
        <v>7061</v>
      </c>
      <c r="J1516" s="2">
        <v>747600</v>
      </c>
      <c r="K1516" s="2">
        <v>3000</v>
      </c>
      <c r="L1516" s="2">
        <v>21</v>
      </c>
      <c r="M1516" s="2">
        <v>0</v>
      </c>
      <c r="N1516" t="s">
        <v>203</v>
      </c>
      <c r="O1516" t="s">
        <v>204</v>
      </c>
      <c r="P1516" t="s">
        <v>205</v>
      </c>
      <c r="Q1516" t="s">
        <v>206</v>
      </c>
      <c r="S1516" t="s">
        <v>7062</v>
      </c>
      <c r="U1516" t="s">
        <v>45</v>
      </c>
      <c r="V1516" t="s">
        <v>46</v>
      </c>
      <c r="W1516" t="s">
        <v>203</v>
      </c>
      <c r="X1516" t="s">
        <v>204</v>
      </c>
      <c r="Y1516" t="s">
        <v>161</v>
      </c>
      <c r="Z1516" t="s">
        <v>162</v>
      </c>
      <c r="AA1516" t="s">
        <v>49</v>
      </c>
      <c r="AB1516" t="s">
        <v>50</v>
      </c>
      <c r="AC1516" s="2">
        <v>583622.05000000005</v>
      </c>
      <c r="AD1516" t="s">
        <v>7063</v>
      </c>
      <c r="AE1516" t="s">
        <v>52</v>
      </c>
    </row>
    <row r="1517" spans="1:31" x14ac:dyDescent="0.25">
      <c r="A1517" t="s">
        <v>7064</v>
      </c>
      <c r="B1517" t="s">
        <v>7065</v>
      </c>
      <c r="C1517" t="s">
        <v>7065</v>
      </c>
      <c r="D1517" t="s">
        <v>498</v>
      </c>
      <c r="E1517" t="s">
        <v>190</v>
      </c>
      <c r="F1517" t="s">
        <v>7066</v>
      </c>
      <c r="G1517" t="s">
        <v>498</v>
      </c>
      <c r="H1517" t="s">
        <v>404</v>
      </c>
      <c r="I1517" t="s">
        <v>7067</v>
      </c>
      <c r="J1517" s="2">
        <v>654510</v>
      </c>
      <c r="K1517" s="2">
        <v>3000</v>
      </c>
      <c r="L1517" s="2">
        <v>21</v>
      </c>
      <c r="M1517" s="2">
        <v>0</v>
      </c>
      <c r="N1517" t="s">
        <v>403</v>
      </c>
      <c r="O1517" t="s">
        <v>404</v>
      </c>
      <c r="P1517" t="s">
        <v>205</v>
      </c>
      <c r="Q1517" t="s">
        <v>206</v>
      </c>
      <c r="S1517" t="s">
        <v>7068</v>
      </c>
      <c r="U1517" t="s">
        <v>45</v>
      </c>
      <c r="V1517" t="s">
        <v>46</v>
      </c>
      <c r="W1517" t="s">
        <v>403</v>
      </c>
      <c r="X1517" t="s">
        <v>404</v>
      </c>
      <c r="Y1517" t="s">
        <v>161</v>
      </c>
      <c r="Z1517" t="s">
        <v>162</v>
      </c>
      <c r="AA1517" t="s">
        <v>49</v>
      </c>
      <c r="AB1517" t="s">
        <v>50</v>
      </c>
      <c r="AC1517" s="2">
        <v>511169.59</v>
      </c>
      <c r="AD1517" t="s">
        <v>7069</v>
      </c>
      <c r="AE1517" t="s">
        <v>52</v>
      </c>
    </row>
    <row r="1518" spans="1:31" x14ac:dyDescent="0.25">
      <c r="A1518" t="s">
        <v>7070</v>
      </c>
      <c r="B1518" t="s">
        <v>7071</v>
      </c>
      <c r="C1518" t="s">
        <v>7071</v>
      </c>
      <c r="D1518" t="s">
        <v>35</v>
      </c>
      <c r="E1518" t="s">
        <v>36</v>
      </c>
      <c r="F1518" t="s">
        <v>7072</v>
      </c>
      <c r="G1518" t="s">
        <v>178</v>
      </c>
      <c r="H1518" t="s">
        <v>204</v>
      </c>
      <c r="J1518" s="2">
        <v>747600</v>
      </c>
      <c r="K1518" s="2">
        <v>3000</v>
      </c>
      <c r="L1518" s="2">
        <v>21</v>
      </c>
      <c r="M1518" s="2">
        <v>0</v>
      </c>
      <c r="N1518" t="s">
        <v>203</v>
      </c>
      <c r="O1518" t="s">
        <v>204</v>
      </c>
      <c r="P1518" t="s">
        <v>205</v>
      </c>
      <c r="Q1518" t="s">
        <v>206</v>
      </c>
      <c r="S1518" t="s">
        <v>7073</v>
      </c>
      <c r="U1518" t="s">
        <v>45</v>
      </c>
      <c r="V1518" t="s">
        <v>46</v>
      </c>
      <c r="W1518" t="s">
        <v>203</v>
      </c>
      <c r="X1518" t="s">
        <v>204</v>
      </c>
      <c r="Y1518" t="s">
        <v>161</v>
      </c>
      <c r="Z1518" t="s">
        <v>162</v>
      </c>
      <c r="AA1518" t="s">
        <v>49</v>
      </c>
      <c r="AB1518" t="s">
        <v>50</v>
      </c>
      <c r="AC1518" s="2">
        <v>745918.28</v>
      </c>
      <c r="AD1518" t="s">
        <v>7074</v>
      </c>
      <c r="AE1518" t="s">
        <v>52</v>
      </c>
    </row>
    <row r="1519" spans="1:31" x14ac:dyDescent="0.25">
      <c r="A1519" t="s">
        <v>7075</v>
      </c>
      <c r="B1519" t="s">
        <v>7076</v>
      </c>
      <c r="C1519" t="s">
        <v>7076</v>
      </c>
      <c r="D1519" t="s">
        <v>35</v>
      </c>
      <c r="E1519" t="s">
        <v>36</v>
      </c>
      <c r="F1519" t="s">
        <v>7077</v>
      </c>
      <c r="G1519" t="s">
        <v>35</v>
      </c>
      <c r="H1519" t="s">
        <v>1581</v>
      </c>
      <c r="I1519" t="s">
        <v>7078</v>
      </c>
      <c r="J1519" s="2">
        <v>654510</v>
      </c>
      <c r="K1519" s="2">
        <v>3000</v>
      </c>
      <c r="L1519" s="2">
        <v>21</v>
      </c>
      <c r="M1519" s="2">
        <v>0</v>
      </c>
      <c r="N1519" t="s">
        <v>203</v>
      </c>
      <c r="O1519" t="s">
        <v>204</v>
      </c>
      <c r="P1519" t="s">
        <v>205</v>
      </c>
      <c r="Q1519" t="s">
        <v>206</v>
      </c>
      <c r="S1519" t="s">
        <v>7079</v>
      </c>
      <c r="U1519" t="s">
        <v>45</v>
      </c>
      <c r="V1519" t="s">
        <v>46</v>
      </c>
      <c r="W1519" t="s">
        <v>203</v>
      </c>
      <c r="X1519" t="s">
        <v>204</v>
      </c>
      <c r="Y1519" t="s">
        <v>161</v>
      </c>
      <c r="Z1519" t="s">
        <v>162</v>
      </c>
      <c r="AA1519" t="s">
        <v>49</v>
      </c>
      <c r="AB1519" t="s">
        <v>50</v>
      </c>
      <c r="AC1519" s="2">
        <v>624628.54</v>
      </c>
      <c r="AD1519" t="s">
        <v>7080</v>
      </c>
      <c r="AE1519" t="s">
        <v>52</v>
      </c>
    </row>
    <row r="1520" spans="1:31" x14ac:dyDescent="0.25">
      <c r="A1520" t="s">
        <v>7081</v>
      </c>
      <c r="B1520" t="s">
        <v>4538</v>
      </c>
      <c r="C1520" t="s">
        <v>4538</v>
      </c>
      <c r="D1520" t="s">
        <v>125</v>
      </c>
      <c r="E1520" t="s">
        <v>126</v>
      </c>
      <c r="F1520" t="s">
        <v>4539</v>
      </c>
      <c r="G1520" t="s">
        <v>125</v>
      </c>
      <c r="H1520" t="s">
        <v>41</v>
      </c>
      <c r="J1520" s="2">
        <v>1341746</v>
      </c>
      <c r="K1520" s="2">
        <v>6150</v>
      </c>
      <c r="L1520" s="2">
        <v>15</v>
      </c>
      <c r="M1520" s="2">
        <v>0</v>
      </c>
      <c r="N1520" t="s">
        <v>40</v>
      </c>
      <c r="O1520" t="s">
        <v>41</v>
      </c>
      <c r="P1520" t="s">
        <v>61</v>
      </c>
      <c r="Q1520" t="s">
        <v>62</v>
      </c>
      <c r="S1520" t="s">
        <v>4541</v>
      </c>
      <c r="U1520" t="s">
        <v>45</v>
      </c>
      <c r="V1520" t="s">
        <v>46</v>
      </c>
      <c r="W1520" t="s">
        <v>40</v>
      </c>
      <c r="X1520" t="s">
        <v>41</v>
      </c>
      <c r="Y1520" t="s">
        <v>47</v>
      </c>
      <c r="Z1520" t="s">
        <v>48</v>
      </c>
      <c r="AA1520" t="s">
        <v>49</v>
      </c>
      <c r="AB1520" t="s">
        <v>50</v>
      </c>
      <c r="AC1520" s="2">
        <v>360548.7</v>
      </c>
      <c r="AD1520" t="s">
        <v>7082</v>
      </c>
      <c r="AE1520" t="s">
        <v>52</v>
      </c>
    </row>
    <row r="1521" spans="1:31" hidden="1" x14ac:dyDescent="0.25">
      <c r="I1521" t="s">
        <v>7083</v>
      </c>
      <c r="J1521" s="2">
        <v>109085</v>
      </c>
      <c r="K1521" s="2">
        <v>500</v>
      </c>
      <c r="L1521" s="2">
        <v>21</v>
      </c>
      <c r="M1521" s="2">
        <v>0</v>
      </c>
      <c r="S1521" t="s">
        <v>7084</v>
      </c>
      <c r="U1521" t="s">
        <v>45</v>
      </c>
      <c r="V1521" t="s">
        <v>46</v>
      </c>
      <c r="W1521" t="s">
        <v>6629</v>
      </c>
      <c r="X1521" t="s">
        <v>6630</v>
      </c>
      <c r="Y1521" t="s">
        <v>79</v>
      </c>
      <c r="Z1521" t="s">
        <v>94</v>
      </c>
      <c r="AA1521" t="s">
        <v>49</v>
      </c>
      <c r="AC1521" s="2"/>
    </row>
    <row r="1522" spans="1:31" x14ac:dyDescent="0.25">
      <c r="A1522" t="s">
        <v>7085</v>
      </c>
      <c r="B1522" t="s">
        <v>7086</v>
      </c>
      <c r="C1522" t="s">
        <v>7086</v>
      </c>
      <c r="D1522" t="s">
        <v>3472</v>
      </c>
      <c r="E1522" t="s">
        <v>871</v>
      </c>
      <c r="F1522" t="s">
        <v>7087</v>
      </c>
      <c r="G1522" t="s">
        <v>2118</v>
      </c>
      <c r="H1522" t="s">
        <v>7088</v>
      </c>
      <c r="J1522" s="2">
        <v>23105</v>
      </c>
      <c r="K1522" s="2">
        <v>100</v>
      </c>
      <c r="L1522" s="2">
        <v>15</v>
      </c>
      <c r="M1522" s="2">
        <v>0</v>
      </c>
      <c r="N1522" t="s">
        <v>7089</v>
      </c>
      <c r="O1522" t="s">
        <v>7090</v>
      </c>
      <c r="P1522" t="s">
        <v>557</v>
      </c>
      <c r="Q1522" t="s">
        <v>558</v>
      </c>
      <c r="S1522" t="s">
        <v>7091</v>
      </c>
      <c r="U1522" t="s">
        <v>45</v>
      </c>
      <c r="V1522" t="s">
        <v>46</v>
      </c>
      <c r="W1522" t="s">
        <v>7089</v>
      </c>
      <c r="X1522" t="s">
        <v>7090</v>
      </c>
      <c r="Y1522" t="s">
        <v>85</v>
      </c>
      <c r="Z1522" t="s">
        <v>86</v>
      </c>
      <c r="AA1522" t="s">
        <v>49</v>
      </c>
      <c r="AB1522" t="s">
        <v>50</v>
      </c>
      <c r="AC1522" s="2">
        <v>23105</v>
      </c>
      <c r="AD1522" t="s">
        <v>64</v>
      </c>
    </row>
    <row r="1523" spans="1:31" hidden="1" x14ac:dyDescent="0.25">
      <c r="A1523" t="s">
        <v>7092</v>
      </c>
      <c r="B1523" t="s">
        <v>7093</v>
      </c>
      <c r="C1523" t="s">
        <v>7093</v>
      </c>
      <c r="F1523" t="s">
        <v>7094</v>
      </c>
      <c r="H1523" t="s">
        <v>5739</v>
      </c>
      <c r="I1523" t="s">
        <v>7095</v>
      </c>
      <c r="J1523" s="2">
        <v>236460</v>
      </c>
      <c r="K1523" s="2">
        <v>1000</v>
      </c>
      <c r="L1523" s="2">
        <v>15</v>
      </c>
      <c r="M1523" s="2">
        <v>0</v>
      </c>
      <c r="N1523" t="s">
        <v>5741</v>
      </c>
      <c r="O1523" t="s">
        <v>5739</v>
      </c>
      <c r="P1523" t="s">
        <v>5966</v>
      </c>
      <c r="Q1523" t="s">
        <v>5739</v>
      </c>
      <c r="S1523" t="s">
        <v>7096</v>
      </c>
      <c r="U1523" t="s">
        <v>45</v>
      </c>
      <c r="V1523" t="s">
        <v>46</v>
      </c>
      <c r="W1523" t="s">
        <v>5741</v>
      </c>
      <c r="X1523" t="s">
        <v>5739</v>
      </c>
      <c r="Y1523" t="s">
        <v>5743</v>
      </c>
      <c r="Z1523" t="s">
        <v>5744</v>
      </c>
      <c r="AA1523" t="s">
        <v>49</v>
      </c>
      <c r="AB1523" t="s">
        <v>50</v>
      </c>
      <c r="AC1523" s="2">
        <v>236460</v>
      </c>
      <c r="AD1523" t="s">
        <v>64</v>
      </c>
    </row>
    <row r="1524" spans="1:31" hidden="1" x14ac:dyDescent="0.25">
      <c r="A1524" t="s">
        <v>7097</v>
      </c>
      <c r="B1524" t="s">
        <v>7098</v>
      </c>
      <c r="C1524" t="s">
        <v>7098</v>
      </c>
      <c r="F1524" t="s">
        <v>7099</v>
      </c>
      <c r="H1524" t="s">
        <v>2114</v>
      </c>
      <c r="J1524" s="2">
        <v>65451</v>
      </c>
      <c r="K1524" s="2">
        <v>300</v>
      </c>
      <c r="L1524" s="2">
        <v>1</v>
      </c>
      <c r="M1524" s="2">
        <v>0</v>
      </c>
      <c r="N1524" t="s">
        <v>2113</v>
      </c>
      <c r="O1524" t="s">
        <v>2114</v>
      </c>
      <c r="P1524" t="s">
        <v>103</v>
      </c>
      <c r="Q1524" t="s">
        <v>104</v>
      </c>
      <c r="S1524" t="s">
        <v>7100</v>
      </c>
      <c r="U1524" t="s">
        <v>45</v>
      </c>
      <c r="V1524" t="s">
        <v>46</v>
      </c>
      <c r="W1524" t="s">
        <v>2113</v>
      </c>
      <c r="X1524" t="s">
        <v>2114</v>
      </c>
      <c r="Y1524" t="s">
        <v>106</v>
      </c>
      <c r="Z1524" t="s">
        <v>107</v>
      </c>
      <c r="AA1524" t="s">
        <v>49</v>
      </c>
      <c r="AB1524" t="s">
        <v>50</v>
      </c>
      <c r="AC1524" s="2">
        <v>65451</v>
      </c>
      <c r="AD1524" t="s">
        <v>64</v>
      </c>
    </row>
    <row r="1525" spans="1:31" hidden="1" x14ac:dyDescent="0.25">
      <c r="J1525" s="2">
        <v>43634</v>
      </c>
      <c r="K1525" s="2">
        <v>200</v>
      </c>
      <c r="L1525" s="2">
        <v>1</v>
      </c>
      <c r="M1525" s="2">
        <v>0</v>
      </c>
      <c r="S1525" t="s">
        <v>7101</v>
      </c>
      <c r="U1525" t="s">
        <v>45</v>
      </c>
      <c r="V1525" t="s">
        <v>46</v>
      </c>
      <c r="W1525" t="s">
        <v>3073</v>
      </c>
      <c r="X1525" t="s">
        <v>3074</v>
      </c>
      <c r="Y1525" t="s">
        <v>106</v>
      </c>
      <c r="Z1525" t="s">
        <v>107</v>
      </c>
      <c r="AA1525" t="s">
        <v>49</v>
      </c>
      <c r="AC1525" s="2"/>
    </row>
    <row r="1526" spans="1:31" x14ac:dyDescent="0.25">
      <c r="A1526" t="s">
        <v>7102</v>
      </c>
      <c r="B1526" t="s">
        <v>7103</v>
      </c>
      <c r="C1526" t="s">
        <v>7103</v>
      </c>
      <c r="D1526" t="s">
        <v>1941</v>
      </c>
      <c r="E1526" t="s">
        <v>224</v>
      </c>
      <c r="F1526" t="s">
        <v>7104</v>
      </c>
      <c r="H1526" t="s">
        <v>5739</v>
      </c>
      <c r="I1526" t="s">
        <v>7105</v>
      </c>
      <c r="J1526" s="2">
        <v>1060</v>
      </c>
      <c r="K1526" s="2">
        <v>4.8600000000000003</v>
      </c>
      <c r="L1526" s="2">
        <v>1</v>
      </c>
      <c r="M1526" s="2">
        <v>0</v>
      </c>
      <c r="N1526" t="s">
        <v>5741</v>
      </c>
      <c r="O1526" t="s">
        <v>5739</v>
      </c>
      <c r="P1526" t="s">
        <v>5966</v>
      </c>
      <c r="Q1526" t="s">
        <v>5739</v>
      </c>
      <c r="S1526" t="s">
        <v>7106</v>
      </c>
      <c r="U1526" t="s">
        <v>45</v>
      </c>
      <c r="V1526" t="s">
        <v>46</v>
      </c>
      <c r="W1526" t="s">
        <v>5741</v>
      </c>
      <c r="X1526" t="s">
        <v>5739</v>
      </c>
      <c r="Y1526" t="s">
        <v>5743</v>
      </c>
      <c r="Z1526" t="s">
        <v>5744</v>
      </c>
      <c r="AA1526" t="s">
        <v>49</v>
      </c>
      <c r="AB1526" t="s">
        <v>50</v>
      </c>
      <c r="AC1526" s="2">
        <v>1060</v>
      </c>
      <c r="AD1526" t="s">
        <v>64</v>
      </c>
    </row>
    <row r="1527" spans="1:31" hidden="1" x14ac:dyDescent="0.25">
      <c r="I1527" t="s">
        <v>7107</v>
      </c>
      <c r="J1527" s="2">
        <v>109085</v>
      </c>
      <c r="K1527" s="2">
        <v>500</v>
      </c>
      <c r="L1527" s="2">
        <v>15</v>
      </c>
      <c r="M1527" s="2">
        <v>0</v>
      </c>
      <c r="S1527" t="s">
        <v>7108</v>
      </c>
      <c r="U1527" t="s">
        <v>45</v>
      </c>
      <c r="V1527" t="s">
        <v>46</v>
      </c>
      <c r="W1527" t="s">
        <v>1221</v>
      </c>
      <c r="X1527" t="s">
        <v>1222</v>
      </c>
      <c r="Y1527" t="s">
        <v>161</v>
      </c>
      <c r="Z1527" t="s">
        <v>162</v>
      </c>
      <c r="AA1527" t="s">
        <v>49</v>
      </c>
      <c r="AC1527" s="2"/>
    </row>
    <row r="1528" spans="1:31" x14ac:dyDescent="0.25">
      <c r="A1528" t="s">
        <v>7109</v>
      </c>
      <c r="B1528" t="s">
        <v>7110</v>
      </c>
      <c r="C1528" t="s">
        <v>7110</v>
      </c>
      <c r="D1528" t="s">
        <v>35</v>
      </c>
      <c r="E1528" t="s">
        <v>36</v>
      </c>
      <c r="F1528" t="s">
        <v>7111</v>
      </c>
      <c r="G1528" t="s">
        <v>35</v>
      </c>
      <c r="H1528" t="s">
        <v>6030</v>
      </c>
      <c r="I1528" t="s">
        <v>7112</v>
      </c>
      <c r="J1528" s="2">
        <v>247410</v>
      </c>
      <c r="K1528" s="2">
        <v>1000</v>
      </c>
      <c r="L1528" s="2">
        <v>15</v>
      </c>
      <c r="M1528" s="2">
        <v>0</v>
      </c>
      <c r="N1528" t="s">
        <v>6029</v>
      </c>
      <c r="O1528" t="s">
        <v>6030</v>
      </c>
      <c r="P1528" t="s">
        <v>1363</v>
      </c>
      <c r="Q1528" t="s">
        <v>1364</v>
      </c>
      <c r="S1528" t="s">
        <v>7113</v>
      </c>
      <c r="U1528" t="s">
        <v>45</v>
      </c>
      <c r="V1528" t="s">
        <v>46</v>
      </c>
      <c r="W1528" t="s">
        <v>6029</v>
      </c>
      <c r="X1528" t="s">
        <v>6030</v>
      </c>
      <c r="Y1528" t="s">
        <v>85</v>
      </c>
      <c r="Z1528" t="s">
        <v>86</v>
      </c>
      <c r="AA1528" t="s">
        <v>49</v>
      </c>
      <c r="AB1528" t="s">
        <v>50</v>
      </c>
      <c r="AC1528" s="2">
        <v>1842.32</v>
      </c>
      <c r="AD1528" t="s">
        <v>7114</v>
      </c>
      <c r="AE1528" t="s">
        <v>115</v>
      </c>
    </row>
    <row r="1529" spans="1:31" hidden="1" x14ac:dyDescent="0.25">
      <c r="J1529" s="2">
        <v>21817</v>
      </c>
      <c r="K1529" s="2">
        <v>100</v>
      </c>
      <c r="L1529" s="2">
        <v>1</v>
      </c>
      <c r="M1529" s="2">
        <v>0</v>
      </c>
      <c r="S1529" t="s">
        <v>7115</v>
      </c>
      <c r="U1529" t="s">
        <v>45</v>
      </c>
      <c r="V1529" t="s">
        <v>46</v>
      </c>
      <c r="W1529" t="s">
        <v>1362</v>
      </c>
      <c r="X1529" t="s">
        <v>1360</v>
      </c>
      <c r="Y1529" t="s">
        <v>1215</v>
      </c>
      <c r="Z1529" t="s">
        <v>1216</v>
      </c>
      <c r="AA1529" t="s">
        <v>49</v>
      </c>
      <c r="AC1529" s="2"/>
    </row>
    <row r="1530" spans="1:31" x14ac:dyDescent="0.25">
      <c r="A1530" t="s">
        <v>7116</v>
      </c>
      <c r="B1530" t="s">
        <v>7117</v>
      </c>
      <c r="C1530" t="s">
        <v>3088</v>
      </c>
      <c r="D1530" t="s">
        <v>125</v>
      </c>
      <c r="E1530" t="s">
        <v>126</v>
      </c>
      <c r="F1530" t="s">
        <v>3089</v>
      </c>
      <c r="G1530" t="s">
        <v>153</v>
      </c>
      <c r="H1530" t="s">
        <v>349</v>
      </c>
      <c r="I1530" t="s">
        <v>7118</v>
      </c>
      <c r="J1530" s="2">
        <v>327255</v>
      </c>
      <c r="K1530" s="2">
        <v>1500</v>
      </c>
      <c r="L1530" s="2">
        <v>15</v>
      </c>
      <c r="M1530" s="2">
        <v>0</v>
      </c>
      <c r="N1530" t="s">
        <v>348</v>
      </c>
      <c r="O1530" t="s">
        <v>349</v>
      </c>
      <c r="P1530" t="s">
        <v>316</v>
      </c>
      <c r="Q1530" t="s">
        <v>317</v>
      </c>
      <c r="S1530" t="s">
        <v>3091</v>
      </c>
      <c r="U1530" t="s">
        <v>45</v>
      </c>
      <c r="V1530" t="s">
        <v>46</v>
      </c>
      <c r="W1530" t="s">
        <v>348</v>
      </c>
      <c r="X1530" t="s">
        <v>349</v>
      </c>
      <c r="Y1530" t="s">
        <v>317</v>
      </c>
      <c r="Z1530" t="s">
        <v>349</v>
      </c>
      <c r="AA1530" t="s">
        <v>49</v>
      </c>
      <c r="AB1530" t="s">
        <v>50</v>
      </c>
      <c r="AC1530" s="2">
        <v>-4048.11</v>
      </c>
      <c r="AD1530" t="s">
        <v>7119</v>
      </c>
      <c r="AE1530" t="s">
        <v>115</v>
      </c>
    </row>
    <row r="1531" spans="1:31" x14ac:dyDescent="0.25">
      <c r="A1531" t="s">
        <v>7120</v>
      </c>
      <c r="B1531" t="s">
        <v>7121</v>
      </c>
      <c r="C1531" t="s">
        <v>7121</v>
      </c>
      <c r="D1531" t="s">
        <v>153</v>
      </c>
      <c r="E1531" t="s">
        <v>272</v>
      </c>
      <c r="F1531" t="s">
        <v>7122</v>
      </c>
      <c r="G1531" t="s">
        <v>153</v>
      </c>
      <c r="H1531" t="s">
        <v>584</v>
      </c>
      <c r="J1531" s="2">
        <v>4363400</v>
      </c>
      <c r="K1531" s="2">
        <v>20000</v>
      </c>
      <c r="L1531" s="2">
        <v>30</v>
      </c>
      <c r="M1531" s="2">
        <v>0</v>
      </c>
      <c r="N1531" t="s">
        <v>585</v>
      </c>
      <c r="O1531" t="s">
        <v>584</v>
      </c>
      <c r="P1531" t="s">
        <v>158</v>
      </c>
      <c r="Q1531" t="s">
        <v>159</v>
      </c>
      <c r="S1531" t="s">
        <v>7123</v>
      </c>
      <c r="U1531" t="s">
        <v>45</v>
      </c>
      <c r="V1531" t="s">
        <v>46</v>
      </c>
      <c r="W1531" t="s">
        <v>585</v>
      </c>
      <c r="X1531" t="s">
        <v>584</v>
      </c>
      <c r="Y1531" t="s">
        <v>161</v>
      </c>
      <c r="Z1531" t="s">
        <v>162</v>
      </c>
      <c r="AA1531" t="s">
        <v>49</v>
      </c>
      <c r="AB1531" t="s">
        <v>50</v>
      </c>
      <c r="AC1531" s="2">
        <v>3822695.97</v>
      </c>
      <c r="AD1531" t="s">
        <v>7124</v>
      </c>
      <c r="AE1531" t="s">
        <v>52</v>
      </c>
    </row>
    <row r="1532" spans="1:31" x14ac:dyDescent="0.25">
      <c r="A1532" t="s">
        <v>7125</v>
      </c>
      <c r="B1532" t="s">
        <v>7126</v>
      </c>
      <c r="C1532" t="s">
        <v>7126</v>
      </c>
      <c r="D1532" t="s">
        <v>569</v>
      </c>
      <c r="E1532" t="s">
        <v>570</v>
      </c>
      <c r="F1532" t="s">
        <v>7127</v>
      </c>
      <c r="G1532" t="s">
        <v>498</v>
      </c>
      <c r="H1532" t="s">
        <v>268</v>
      </c>
      <c r="J1532" s="2">
        <v>545425</v>
      </c>
      <c r="K1532" s="2">
        <v>2500</v>
      </c>
      <c r="L1532" s="2">
        <v>30</v>
      </c>
      <c r="M1532" s="2">
        <v>0</v>
      </c>
      <c r="N1532" t="s">
        <v>267</v>
      </c>
      <c r="O1532" t="s">
        <v>268</v>
      </c>
      <c r="P1532" t="s">
        <v>103</v>
      </c>
      <c r="Q1532" t="s">
        <v>104</v>
      </c>
      <c r="S1532" t="s">
        <v>7128</v>
      </c>
      <c r="U1532" t="s">
        <v>45</v>
      </c>
      <c r="V1532" t="s">
        <v>46</v>
      </c>
      <c r="W1532" t="s">
        <v>267</v>
      </c>
      <c r="X1532" t="s">
        <v>268</v>
      </c>
      <c r="Y1532" t="s">
        <v>106</v>
      </c>
      <c r="Z1532" t="s">
        <v>107</v>
      </c>
      <c r="AA1532" t="s">
        <v>49</v>
      </c>
      <c r="AB1532" t="s">
        <v>50</v>
      </c>
      <c r="AC1532" s="2">
        <v>358649.89</v>
      </c>
      <c r="AD1532" t="s">
        <v>7129</v>
      </c>
      <c r="AE1532" t="s">
        <v>52</v>
      </c>
    </row>
    <row r="1533" spans="1:31" hidden="1" x14ac:dyDescent="0.25">
      <c r="I1533" t="s">
        <v>7130</v>
      </c>
      <c r="J1533" s="2">
        <v>1000</v>
      </c>
      <c r="K1533" s="2">
        <v>0</v>
      </c>
      <c r="L1533" s="2">
        <v>21</v>
      </c>
      <c r="M1533" s="2">
        <v>0</v>
      </c>
      <c r="S1533" t="s">
        <v>7131</v>
      </c>
      <c r="U1533" t="s">
        <v>45</v>
      </c>
      <c r="V1533" t="s">
        <v>46</v>
      </c>
      <c r="W1533" t="s">
        <v>302</v>
      </c>
      <c r="X1533" t="s">
        <v>303</v>
      </c>
      <c r="Y1533" t="s">
        <v>72</v>
      </c>
      <c r="Z1533" t="s">
        <v>68</v>
      </c>
      <c r="AA1533" t="s">
        <v>49</v>
      </c>
      <c r="AC1533" s="2"/>
    </row>
    <row r="1534" spans="1:31" x14ac:dyDescent="0.25">
      <c r="A1534" t="s">
        <v>7132</v>
      </c>
      <c r="B1534" t="s">
        <v>7133</v>
      </c>
      <c r="C1534" t="s">
        <v>7133</v>
      </c>
      <c r="D1534" t="s">
        <v>125</v>
      </c>
      <c r="E1534" t="s">
        <v>126</v>
      </c>
      <c r="F1534" t="s">
        <v>7134</v>
      </c>
      <c r="G1534" t="s">
        <v>1410</v>
      </c>
      <c r="H1534" t="s">
        <v>7135</v>
      </c>
      <c r="I1534" t="s">
        <v>7136</v>
      </c>
      <c r="J1534" s="2">
        <v>220352</v>
      </c>
      <c r="K1534" s="2">
        <v>1010</v>
      </c>
      <c r="L1534" s="2">
        <v>21</v>
      </c>
      <c r="M1534" s="2">
        <v>0</v>
      </c>
      <c r="N1534" t="s">
        <v>4385</v>
      </c>
      <c r="O1534" t="s">
        <v>4386</v>
      </c>
      <c r="P1534" t="s">
        <v>304</v>
      </c>
      <c r="Q1534" t="s">
        <v>72</v>
      </c>
      <c r="S1534" t="s">
        <v>7137</v>
      </c>
      <c r="U1534" t="s">
        <v>45</v>
      </c>
      <c r="V1534" t="s">
        <v>46</v>
      </c>
      <c r="W1534" t="s">
        <v>4385</v>
      </c>
      <c r="X1534" t="s">
        <v>4386</v>
      </c>
      <c r="Y1534" t="s">
        <v>72</v>
      </c>
      <c r="Z1534" t="s">
        <v>68</v>
      </c>
      <c r="AA1534" t="s">
        <v>49</v>
      </c>
      <c r="AB1534" t="s">
        <v>50</v>
      </c>
      <c r="AC1534" s="2">
        <v>220352</v>
      </c>
      <c r="AD1534" t="s">
        <v>64</v>
      </c>
    </row>
    <row r="1535" spans="1:31" x14ac:dyDescent="0.25">
      <c r="A1535" t="s">
        <v>7138</v>
      </c>
      <c r="B1535" t="s">
        <v>7139</v>
      </c>
      <c r="C1535" t="s">
        <v>7139</v>
      </c>
      <c r="D1535" t="s">
        <v>153</v>
      </c>
      <c r="E1535" t="s">
        <v>272</v>
      </c>
      <c r="F1535" t="s">
        <v>7140</v>
      </c>
      <c r="G1535" t="s">
        <v>478</v>
      </c>
      <c r="H1535" t="s">
        <v>79</v>
      </c>
      <c r="I1535" t="s">
        <v>7141</v>
      </c>
      <c r="J1535" s="2">
        <v>87268</v>
      </c>
      <c r="K1535" s="2">
        <v>400</v>
      </c>
      <c r="L1535" s="2">
        <v>18</v>
      </c>
      <c r="M1535" s="2">
        <v>0</v>
      </c>
      <c r="N1535" t="s">
        <v>495</v>
      </c>
      <c r="O1535" t="s">
        <v>79</v>
      </c>
      <c r="P1535" t="s">
        <v>3487</v>
      </c>
      <c r="Q1535" t="s">
        <v>3488</v>
      </c>
      <c r="S1535" t="s">
        <v>7142</v>
      </c>
      <c r="U1535" t="s">
        <v>45</v>
      </c>
      <c r="V1535" t="s">
        <v>46</v>
      </c>
      <c r="W1535" t="s">
        <v>495</v>
      </c>
      <c r="X1535" t="s">
        <v>79</v>
      </c>
      <c r="Y1535" t="s">
        <v>79</v>
      </c>
      <c r="Z1535" t="s">
        <v>94</v>
      </c>
      <c r="AA1535" t="s">
        <v>49</v>
      </c>
      <c r="AB1535" t="s">
        <v>50</v>
      </c>
      <c r="AC1535" s="2">
        <v>72717.08</v>
      </c>
      <c r="AD1535" t="s">
        <v>7143</v>
      </c>
    </row>
    <row r="1536" spans="1:31" x14ac:dyDescent="0.25">
      <c r="A1536" t="s">
        <v>7144</v>
      </c>
      <c r="B1536" t="s">
        <v>7145</v>
      </c>
      <c r="C1536" t="s">
        <v>7145</v>
      </c>
      <c r="D1536" t="s">
        <v>1410</v>
      </c>
      <c r="E1536" t="s">
        <v>871</v>
      </c>
      <c r="F1536" t="s">
        <v>7146</v>
      </c>
      <c r="G1536" t="s">
        <v>1995</v>
      </c>
      <c r="H1536" t="s">
        <v>7147</v>
      </c>
      <c r="I1536" t="s">
        <v>7148</v>
      </c>
      <c r="J1536" s="2">
        <v>266167</v>
      </c>
      <c r="K1536" s="2">
        <v>1220</v>
      </c>
      <c r="L1536" s="2">
        <v>21</v>
      </c>
      <c r="M1536" s="2">
        <v>0</v>
      </c>
      <c r="N1536" t="s">
        <v>6940</v>
      </c>
      <c r="O1536" t="s">
        <v>6939</v>
      </c>
      <c r="P1536" t="s">
        <v>3487</v>
      </c>
      <c r="Q1536" t="s">
        <v>3488</v>
      </c>
      <c r="S1536" t="s">
        <v>7149</v>
      </c>
      <c r="U1536" t="s">
        <v>45</v>
      </c>
      <c r="V1536" t="s">
        <v>46</v>
      </c>
      <c r="W1536" t="s">
        <v>6940</v>
      </c>
      <c r="X1536" t="s">
        <v>6939</v>
      </c>
      <c r="Y1536" t="s">
        <v>79</v>
      </c>
      <c r="Z1536" t="s">
        <v>94</v>
      </c>
      <c r="AA1536" t="s">
        <v>49</v>
      </c>
      <c r="AB1536" t="s">
        <v>50</v>
      </c>
      <c r="AC1536" s="2">
        <v>266045.07</v>
      </c>
      <c r="AD1536" t="s">
        <v>7150</v>
      </c>
    </row>
    <row r="1537" spans="1:31" hidden="1" x14ac:dyDescent="0.25">
      <c r="I1537" t="s">
        <v>7151</v>
      </c>
      <c r="J1537" s="2">
        <v>1000</v>
      </c>
      <c r="K1537" s="2">
        <v>0</v>
      </c>
      <c r="L1537" s="2">
        <v>1</v>
      </c>
      <c r="M1537" s="2">
        <v>0</v>
      </c>
      <c r="U1537" t="s">
        <v>45</v>
      </c>
      <c r="V1537" t="s">
        <v>46</v>
      </c>
      <c r="W1537" t="s">
        <v>40</v>
      </c>
      <c r="X1537" t="s">
        <v>41</v>
      </c>
      <c r="Y1537" t="s">
        <v>47</v>
      </c>
      <c r="Z1537" t="s">
        <v>48</v>
      </c>
      <c r="AA1537" t="s">
        <v>49</v>
      </c>
      <c r="AC1537" s="2"/>
    </row>
    <row r="1538" spans="1:31" hidden="1" x14ac:dyDescent="0.25">
      <c r="I1538" t="s">
        <v>7152</v>
      </c>
      <c r="J1538" s="2">
        <v>43634</v>
      </c>
      <c r="K1538" s="2">
        <v>200</v>
      </c>
      <c r="L1538" s="2">
        <v>15</v>
      </c>
      <c r="M1538" s="2">
        <v>0</v>
      </c>
      <c r="S1538" t="s">
        <v>7153</v>
      </c>
      <c r="U1538" t="s">
        <v>45</v>
      </c>
      <c r="V1538" t="s">
        <v>46</v>
      </c>
      <c r="W1538" t="s">
        <v>6629</v>
      </c>
      <c r="X1538" t="s">
        <v>6630</v>
      </c>
      <c r="Y1538" t="s">
        <v>79</v>
      </c>
      <c r="Z1538" t="s">
        <v>94</v>
      </c>
      <c r="AA1538" t="s">
        <v>49</v>
      </c>
      <c r="AC1538" s="2"/>
    </row>
    <row r="1539" spans="1:31" x14ac:dyDescent="0.25">
      <c r="A1539" t="s">
        <v>7154</v>
      </c>
      <c r="B1539" t="s">
        <v>7155</v>
      </c>
      <c r="C1539" t="s">
        <v>7155</v>
      </c>
      <c r="D1539" t="s">
        <v>569</v>
      </c>
      <c r="E1539" t="s">
        <v>570</v>
      </c>
      <c r="F1539" t="s">
        <v>7156</v>
      </c>
      <c r="G1539" t="s">
        <v>178</v>
      </c>
      <c r="H1539" t="s">
        <v>881</v>
      </c>
      <c r="J1539" s="2">
        <v>327255</v>
      </c>
      <c r="K1539" s="2">
        <v>1500</v>
      </c>
      <c r="L1539" s="2">
        <v>15</v>
      </c>
      <c r="M1539" s="2">
        <v>0</v>
      </c>
      <c r="N1539" t="s">
        <v>883</v>
      </c>
      <c r="O1539" t="s">
        <v>881</v>
      </c>
      <c r="P1539" t="s">
        <v>158</v>
      </c>
      <c r="Q1539" t="s">
        <v>159</v>
      </c>
      <c r="S1539" t="s">
        <v>7157</v>
      </c>
      <c r="U1539" t="s">
        <v>45</v>
      </c>
      <c r="V1539" t="s">
        <v>46</v>
      </c>
      <c r="W1539" t="s">
        <v>883</v>
      </c>
      <c r="X1539" t="s">
        <v>881</v>
      </c>
      <c r="Y1539" t="s">
        <v>161</v>
      </c>
      <c r="Z1539" t="s">
        <v>162</v>
      </c>
      <c r="AA1539" t="s">
        <v>49</v>
      </c>
      <c r="AB1539" t="s">
        <v>50</v>
      </c>
      <c r="AC1539" s="2">
        <v>197923.88</v>
      </c>
      <c r="AD1539" t="s">
        <v>7158</v>
      </c>
      <c r="AE1539" t="s">
        <v>52</v>
      </c>
    </row>
    <row r="1540" spans="1:31" x14ac:dyDescent="0.25">
      <c r="A1540" t="s">
        <v>7159</v>
      </c>
      <c r="B1540" t="s">
        <v>7160</v>
      </c>
      <c r="C1540" t="s">
        <v>7160</v>
      </c>
      <c r="D1540" t="s">
        <v>35</v>
      </c>
      <c r="E1540" t="s">
        <v>36</v>
      </c>
      <c r="F1540" t="s">
        <v>7161</v>
      </c>
      <c r="G1540" t="s">
        <v>178</v>
      </c>
      <c r="H1540" t="s">
        <v>2114</v>
      </c>
      <c r="I1540" t="s">
        <v>7162</v>
      </c>
      <c r="J1540" s="2">
        <v>109085</v>
      </c>
      <c r="K1540" s="2">
        <v>500</v>
      </c>
      <c r="L1540" s="2">
        <v>15</v>
      </c>
      <c r="M1540" s="2">
        <v>0</v>
      </c>
      <c r="N1540" t="s">
        <v>2113</v>
      </c>
      <c r="O1540" t="s">
        <v>2114</v>
      </c>
      <c r="P1540" t="s">
        <v>103</v>
      </c>
      <c r="Q1540" t="s">
        <v>104</v>
      </c>
      <c r="S1540" t="s">
        <v>7163</v>
      </c>
      <c r="U1540" t="s">
        <v>45</v>
      </c>
      <c r="V1540" t="s">
        <v>46</v>
      </c>
      <c r="W1540" t="s">
        <v>2113</v>
      </c>
      <c r="X1540" t="s">
        <v>2114</v>
      </c>
      <c r="Y1540" t="s">
        <v>106</v>
      </c>
      <c r="Z1540" t="s">
        <v>107</v>
      </c>
      <c r="AA1540" t="s">
        <v>49</v>
      </c>
      <c r="AB1540" t="s">
        <v>50</v>
      </c>
      <c r="AC1540" s="2">
        <v>109085</v>
      </c>
      <c r="AD1540" t="s">
        <v>64</v>
      </c>
    </row>
    <row r="1541" spans="1:31" x14ac:dyDescent="0.25">
      <c r="A1541" t="s">
        <v>7164</v>
      </c>
      <c r="B1541" t="s">
        <v>7165</v>
      </c>
      <c r="C1541" t="s">
        <v>7166</v>
      </c>
      <c r="D1541" t="s">
        <v>178</v>
      </c>
      <c r="E1541" t="s">
        <v>179</v>
      </c>
      <c r="F1541" t="s">
        <v>7167</v>
      </c>
      <c r="G1541" t="s">
        <v>178</v>
      </c>
      <c r="H1541" t="s">
        <v>881</v>
      </c>
      <c r="J1541" s="2">
        <v>218170</v>
      </c>
      <c r="K1541" s="2">
        <v>1000</v>
      </c>
      <c r="L1541" s="2">
        <v>7</v>
      </c>
      <c r="M1541" s="2">
        <v>0</v>
      </c>
      <c r="N1541" t="s">
        <v>883</v>
      </c>
      <c r="O1541" t="s">
        <v>881</v>
      </c>
      <c r="P1541" t="s">
        <v>158</v>
      </c>
      <c r="Q1541" t="s">
        <v>159</v>
      </c>
      <c r="S1541" t="s">
        <v>7168</v>
      </c>
      <c r="U1541" t="s">
        <v>45</v>
      </c>
      <c r="V1541" t="s">
        <v>46</v>
      </c>
      <c r="W1541" t="s">
        <v>883</v>
      </c>
      <c r="X1541" t="s">
        <v>881</v>
      </c>
      <c r="Y1541" t="s">
        <v>161</v>
      </c>
      <c r="Z1541" t="s">
        <v>162</v>
      </c>
      <c r="AA1541" t="s">
        <v>49</v>
      </c>
      <c r="AB1541" t="s">
        <v>50</v>
      </c>
      <c r="AC1541" s="2">
        <v>116378.44</v>
      </c>
      <c r="AD1541" t="s">
        <v>7169</v>
      </c>
      <c r="AE1541" t="s">
        <v>52</v>
      </c>
    </row>
    <row r="1542" spans="1:31" x14ac:dyDescent="0.25">
      <c r="A1542" t="s">
        <v>7170</v>
      </c>
      <c r="B1542" t="s">
        <v>7171</v>
      </c>
      <c r="C1542" t="s">
        <v>7171</v>
      </c>
      <c r="D1542" t="s">
        <v>35</v>
      </c>
      <c r="E1542" t="s">
        <v>36</v>
      </c>
      <c r="F1542" t="s">
        <v>7172</v>
      </c>
      <c r="G1542" t="s">
        <v>153</v>
      </c>
      <c r="H1542" t="s">
        <v>1531</v>
      </c>
      <c r="I1542" t="s">
        <v>4283</v>
      </c>
      <c r="J1542" s="2">
        <v>4363400</v>
      </c>
      <c r="K1542" s="2">
        <v>20000</v>
      </c>
      <c r="L1542" s="2">
        <v>30</v>
      </c>
      <c r="M1542" s="2">
        <v>0</v>
      </c>
      <c r="N1542" t="s">
        <v>585</v>
      </c>
      <c r="O1542" t="s">
        <v>584</v>
      </c>
      <c r="P1542" t="s">
        <v>158</v>
      </c>
      <c r="Q1542" t="s">
        <v>159</v>
      </c>
      <c r="S1542" t="s">
        <v>7173</v>
      </c>
      <c r="U1542" t="s">
        <v>45</v>
      </c>
      <c r="V1542" t="s">
        <v>46</v>
      </c>
      <c r="W1542" t="s">
        <v>585</v>
      </c>
      <c r="X1542" t="s">
        <v>584</v>
      </c>
      <c r="Y1542" t="s">
        <v>161</v>
      </c>
      <c r="Z1542" t="s">
        <v>162</v>
      </c>
      <c r="AA1542" t="s">
        <v>49</v>
      </c>
      <c r="AB1542" t="s">
        <v>50</v>
      </c>
      <c r="AC1542" s="2">
        <v>3388555.94</v>
      </c>
      <c r="AD1542" t="s">
        <v>7174</v>
      </c>
      <c r="AE1542" t="s">
        <v>52</v>
      </c>
    </row>
    <row r="1543" spans="1:31" hidden="1" x14ac:dyDescent="0.25">
      <c r="I1543" t="s">
        <v>7175</v>
      </c>
      <c r="J1543" s="2">
        <v>65451</v>
      </c>
      <c r="K1543" s="2">
        <v>300</v>
      </c>
      <c r="L1543" s="2">
        <v>15</v>
      </c>
      <c r="M1543" s="2">
        <v>0</v>
      </c>
      <c r="S1543" t="s">
        <v>7176</v>
      </c>
      <c r="U1543" t="s">
        <v>45</v>
      </c>
      <c r="V1543" t="s">
        <v>46</v>
      </c>
      <c r="W1543" t="s">
        <v>6940</v>
      </c>
      <c r="X1543" t="s">
        <v>6939</v>
      </c>
      <c r="Y1543" t="s">
        <v>79</v>
      </c>
      <c r="Z1543" t="s">
        <v>94</v>
      </c>
      <c r="AA1543" t="s">
        <v>49</v>
      </c>
      <c r="AC1543" s="2"/>
    </row>
    <row r="1544" spans="1:31" x14ac:dyDescent="0.25">
      <c r="A1544" t="s">
        <v>7177</v>
      </c>
      <c r="B1544" t="s">
        <v>7178</v>
      </c>
      <c r="C1544" t="s">
        <v>7178</v>
      </c>
      <c r="D1544" t="s">
        <v>125</v>
      </c>
      <c r="E1544" t="s">
        <v>126</v>
      </c>
      <c r="F1544" t="s">
        <v>7179</v>
      </c>
      <c r="G1544" t="s">
        <v>125</v>
      </c>
      <c r="H1544" t="s">
        <v>1360</v>
      </c>
      <c r="J1544" s="2">
        <v>1596528</v>
      </c>
      <c r="K1544" s="2">
        <v>7200</v>
      </c>
      <c r="L1544" s="2">
        <v>15</v>
      </c>
      <c r="M1544" s="2">
        <v>0</v>
      </c>
      <c r="N1544" t="s">
        <v>1362</v>
      </c>
      <c r="O1544" t="s">
        <v>1360</v>
      </c>
      <c r="P1544" t="s">
        <v>1421</v>
      </c>
      <c r="Q1544" t="s">
        <v>1422</v>
      </c>
      <c r="S1544" t="s">
        <v>7180</v>
      </c>
      <c r="U1544" t="s">
        <v>45</v>
      </c>
      <c r="V1544" t="s">
        <v>46</v>
      </c>
      <c r="W1544" t="s">
        <v>1362</v>
      </c>
      <c r="X1544" t="s">
        <v>1360</v>
      </c>
      <c r="Y1544" t="s">
        <v>1215</v>
      </c>
      <c r="Z1544" t="s">
        <v>1216</v>
      </c>
      <c r="AA1544" t="s">
        <v>49</v>
      </c>
      <c r="AB1544" t="s">
        <v>50</v>
      </c>
      <c r="AC1544" s="2">
        <v>1265002.69</v>
      </c>
      <c r="AD1544" t="s">
        <v>7181</v>
      </c>
      <c r="AE1544" t="s">
        <v>52</v>
      </c>
    </row>
    <row r="1545" spans="1:31" x14ac:dyDescent="0.25">
      <c r="A1545" t="s">
        <v>7182</v>
      </c>
      <c r="B1545" t="s">
        <v>7183</v>
      </c>
      <c r="C1545" t="s">
        <v>7183</v>
      </c>
      <c r="D1545" t="s">
        <v>297</v>
      </c>
      <c r="E1545" t="s">
        <v>167</v>
      </c>
      <c r="F1545" t="s">
        <v>7184</v>
      </c>
      <c r="G1545" t="s">
        <v>297</v>
      </c>
      <c r="H1545" t="s">
        <v>79</v>
      </c>
      <c r="I1545" t="s">
        <v>7185</v>
      </c>
      <c r="J1545" s="2">
        <v>174536</v>
      </c>
      <c r="K1545" s="2">
        <v>800</v>
      </c>
      <c r="L1545" s="2">
        <v>18</v>
      </c>
      <c r="M1545" s="2">
        <v>0</v>
      </c>
      <c r="N1545" t="s">
        <v>495</v>
      </c>
      <c r="O1545" t="s">
        <v>79</v>
      </c>
      <c r="P1545" t="s">
        <v>3487</v>
      </c>
      <c r="Q1545" t="s">
        <v>3488</v>
      </c>
      <c r="S1545" t="s">
        <v>7186</v>
      </c>
      <c r="U1545" t="s">
        <v>45</v>
      </c>
      <c r="V1545" t="s">
        <v>46</v>
      </c>
      <c r="W1545" t="s">
        <v>495</v>
      </c>
      <c r="X1545" t="s">
        <v>79</v>
      </c>
      <c r="Y1545" t="s">
        <v>79</v>
      </c>
      <c r="Z1545" t="s">
        <v>94</v>
      </c>
      <c r="AA1545" t="s">
        <v>49</v>
      </c>
      <c r="AB1545" t="s">
        <v>50</v>
      </c>
      <c r="AC1545" s="2">
        <v>20715.169999999998</v>
      </c>
      <c r="AD1545" t="s">
        <v>7187</v>
      </c>
      <c r="AE1545" t="s">
        <v>52</v>
      </c>
    </row>
    <row r="1546" spans="1:31" x14ac:dyDescent="0.25">
      <c r="A1546" t="s">
        <v>7188</v>
      </c>
      <c r="B1546" t="s">
        <v>7189</v>
      </c>
      <c r="C1546" t="s">
        <v>7189</v>
      </c>
      <c r="D1546" t="s">
        <v>569</v>
      </c>
      <c r="E1546" t="s">
        <v>570</v>
      </c>
      <c r="F1546" t="s">
        <v>7190</v>
      </c>
      <c r="G1546" t="s">
        <v>192</v>
      </c>
      <c r="H1546" t="s">
        <v>584</v>
      </c>
      <c r="I1546" t="s">
        <v>7191</v>
      </c>
      <c r="J1546" s="2">
        <v>370889</v>
      </c>
      <c r="K1546" s="2">
        <v>1700</v>
      </c>
      <c r="L1546" s="2">
        <v>15</v>
      </c>
      <c r="M1546" s="2">
        <v>0</v>
      </c>
      <c r="N1546" t="s">
        <v>585</v>
      </c>
      <c r="O1546" t="s">
        <v>584</v>
      </c>
      <c r="P1546" t="s">
        <v>158</v>
      </c>
      <c r="Q1546" t="s">
        <v>159</v>
      </c>
      <c r="S1546" t="s">
        <v>7192</v>
      </c>
      <c r="U1546" t="s">
        <v>45</v>
      </c>
      <c r="V1546" t="s">
        <v>46</v>
      </c>
      <c r="W1546" t="s">
        <v>585</v>
      </c>
      <c r="X1546" t="s">
        <v>584</v>
      </c>
      <c r="Y1546" t="s">
        <v>161</v>
      </c>
      <c r="Z1546" t="s">
        <v>162</v>
      </c>
      <c r="AA1546" t="s">
        <v>49</v>
      </c>
      <c r="AB1546" t="s">
        <v>50</v>
      </c>
      <c r="AC1546" s="2">
        <v>312701.06</v>
      </c>
      <c r="AD1546" t="s">
        <v>7193</v>
      </c>
    </row>
    <row r="1547" spans="1:31" hidden="1" x14ac:dyDescent="0.25">
      <c r="A1547" t="s">
        <v>7194</v>
      </c>
      <c r="B1547" t="s">
        <v>7195</v>
      </c>
      <c r="C1547" t="s">
        <v>7195</v>
      </c>
      <c r="F1547" t="s">
        <v>7196</v>
      </c>
      <c r="H1547" t="s">
        <v>7006</v>
      </c>
      <c r="J1547" s="2">
        <v>43634</v>
      </c>
      <c r="K1547" s="2">
        <v>200</v>
      </c>
      <c r="L1547" s="2">
        <v>1</v>
      </c>
      <c r="M1547" s="2">
        <v>0</v>
      </c>
      <c r="N1547" t="s">
        <v>7008</v>
      </c>
      <c r="O1547" t="s">
        <v>7009</v>
      </c>
      <c r="P1547" t="s">
        <v>103</v>
      </c>
      <c r="Q1547" t="s">
        <v>104</v>
      </c>
      <c r="S1547" t="s">
        <v>7197</v>
      </c>
      <c r="U1547" t="s">
        <v>45</v>
      </c>
      <c r="V1547" t="s">
        <v>46</v>
      </c>
      <c r="W1547" t="s">
        <v>7008</v>
      </c>
      <c r="X1547" t="s">
        <v>7009</v>
      </c>
      <c r="Y1547" t="s">
        <v>279</v>
      </c>
      <c r="Z1547" t="s">
        <v>280</v>
      </c>
      <c r="AA1547" t="s">
        <v>49</v>
      </c>
      <c r="AB1547" t="s">
        <v>50</v>
      </c>
      <c r="AC1547" s="2">
        <v>43634</v>
      </c>
      <c r="AD1547" t="s">
        <v>64</v>
      </c>
    </row>
    <row r="1548" spans="1:31" hidden="1" x14ac:dyDescent="0.25">
      <c r="J1548" s="2">
        <v>10909</v>
      </c>
      <c r="K1548" s="2">
        <v>50</v>
      </c>
      <c r="L1548" s="2">
        <v>15</v>
      </c>
      <c r="M1548" s="2">
        <v>0</v>
      </c>
      <c r="U1548" t="s">
        <v>45</v>
      </c>
      <c r="V1548" t="s">
        <v>46</v>
      </c>
      <c r="W1548" t="s">
        <v>40</v>
      </c>
      <c r="X1548" t="s">
        <v>41</v>
      </c>
      <c r="Y1548" t="s">
        <v>47</v>
      </c>
      <c r="Z1548" t="s">
        <v>48</v>
      </c>
      <c r="AA1548" t="s">
        <v>49</v>
      </c>
      <c r="AC1548" s="2"/>
    </row>
    <row r="1549" spans="1:31" x14ac:dyDescent="0.25">
      <c r="A1549" t="s">
        <v>7198</v>
      </c>
      <c r="B1549" t="s">
        <v>7199</v>
      </c>
      <c r="C1549" t="s">
        <v>7199</v>
      </c>
      <c r="D1549" t="s">
        <v>125</v>
      </c>
      <c r="E1549" t="s">
        <v>126</v>
      </c>
      <c r="F1549" t="s">
        <v>7200</v>
      </c>
      <c r="G1549" t="s">
        <v>569</v>
      </c>
      <c r="H1549" t="s">
        <v>7201</v>
      </c>
      <c r="I1549" t="s">
        <v>7202</v>
      </c>
      <c r="J1549" s="2">
        <v>1361307</v>
      </c>
      <c r="K1549" s="2">
        <v>5796</v>
      </c>
      <c r="L1549" s="2">
        <v>21</v>
      </c>
      <c r="M1549" s="2">
        <v>0</v>
      </c>
      <c r="N1549" t="s">
        <v>7203</v>
      </c>
      <c r="O1549" t="s">
        <v>7204</v>
      </c>
      <c r="P1549" t="s">
        <v>4315</v>
      </c>
      <c r="Q1549" t="s">
        <v>4316</v>
      </c>
      <c r="S1549" t="s">
        <v>7205</v>
      </c>
      <c r="U1549" t="s">
        <v>45</v>
      </c>
      <c r="V1549" t="s">
        <v>46</v>
      </c>
      <c r="W1549" t="s">
        <v>7203</v>
      </c>
      <c r="X1549" t="s">
        <v>7204</v>
      </c>
      <c r="Y1549" t="s">
        <v>121</v>
      </c>
      <c r="Z1549" t="s">
        <v>94</v>
      </c>
      <c r="AA1549" t="s">
        <v>49</v>
      </c>
      <c r="AB1549" t="s">
        <v>50</v>
      </c>
      <c r="AC1549" s="2">
        <v>416608.57</v>
      </c>
      <c r="AD1549" t="s">
        <v>7206</v>
      </c>
      <c r="AE1549" t="s">
        <v>115</v>
      </c>
    </row>
    <row r="1550" spans="1:31" x14ac:dyDescent="0.25">
      <c r="A1550" t="s">
        <v>7207</v>
      </c>
      <c r="B1550" t="s">
        <v>7208</v>
      </c>
      <c r="C1550" t="s">
        <v>7208</v>
      </c>
      <c r="D1550" t="s">
        <v>498</v>
      </c>
      <c r="E1550" t="s">
        <v>190</v>
      </c>
      <c r="F1550" t="s">
        <v>7209</v>
      </c>
      <c r="G1550" t="s">
        <v>649</v>
      </c>
      <c r="H1550" t="s">
        <v>7210</v>
      </c>
      <c r="J1550" s="2">
        <v>109085</v>
      </c>
      <c r="K1550" s="2">
        <v>500</v>
      </c>
      <c r="L1550" s="2">
        <v>15</v>
      </c>
      <c r="M1550" s="2">
        <v>0</v>
      </c>
      <c r="N1550" t="s">
        <v>4996</v>
      </c>
      <c r="O1550" t="s">
        <v>4997</v>
      </c>
      <c r="P1550" t="s">
        <v>1212</v>
      </c>
      <c r="Q1550" t="s">
        <v>1213</v>
      </c>
      <c r="S1550" t="s">
        <v>7211</v>
      </c>
      <c r="U1550" t="s">
        <v>45</v>
      </c>
      <c r="V1550" t="s">
        <v>46</v>
      </c>
      <c r="W1550" t="s">
        <v>4996</v>
      </c>
      <c r="X1550" t="s">
        <v>4997</v>
      </c>
      <c r="Y1550" t="s">
        <v>1215</v>
      </c>
      <c r="Z1550" t="s">
        <v>1216</v>
      </c>
      <c r="AA1550" t="s">
        <v>49</v>
      </c>
      <c r="AB1550" t="s">
        <v>50</v>
      </c>
      <c r="AC1550" s="2">
        <v>107091.23</v>
      </c>
      <c r="AD1550" t="s">
        <v>7212</v>
      </c>
    </row>
    <row r="1551" spans="1:31" x14ac:dyDescent="0.25">
      <c r="A1551" t="s">
        <v>7213</v>
      </c>
      <c r="B1551" t="s">
        <v>7214</v>
      </c>
      <c r="C1551" t="s">
        <v>7214</v>
      </c>
      <c r="D1551" t="s">
        <v>35</v>
      </c>
      <c r="E1551" t="s">
        <v>36</v>
      </c>
      <c r="F1551" t="s">
        <v>7215</v>
      </c>
      <c r="G1551" t="s">
        <v>35</v>
      </c>
      <c r="H1551" t="s">
        <v>81</v>
      </c>
      <c r="I1551" t="s">
        <v>7216</v>
      </c>
      <c r="J1551" s="2">
        <v>174536</v>
      </c>
      <c r="K1551" s="2">
        <v>800</v>
      </c>
      <c r="L1551" s="2">
        <v>15</v>
      </c>
      <c r="M1551" s="2">
        <v>0</v>
      </c>
      <c r="N1551" t="s">
        <v>80</v>
      </c>
      <c r="O1551" t="s">
        <v>81</v>
      </c>
      <c r="P1551" t="s">
        <v>557</v>
      </c>
      <c r="Q1551" t="s">
        <v>558</v>
      </c>
      <c r="S1551" t="s">
        <v>7217</v>
      </c>
      <c r="U1551" t="s">
        <v>45</v>
      </c>
      <c r="V1551" t="s">
        <v>46</v>
      </c>
      <c r="W1551" t="s">
        <v>80</v>
      </c>
      <c r="X1551" t="s">
        <v>81</v>
      </c>
      <c r="Y1551" t="s">
        <v>85</v>
      </c>
      <c r="Z1551" t="s">
        <v>86</v>
      </c>
      <c r="AA1551" t="s">
        <v>49</v>
      </c>
      <c r="AB1551" t="s">
        <v>50</v>
      </c>
      <c r="AC1551" s="2">
        <v>121913.63</v>
      </c>
      <c r="AD1551" t="s">
        <v>7218</v>
      </c>
      <c r="AE1551" t="s">
        <v>52</v>
      </c>
    </row>
    <row r="1552" spans="1:31" x14ac:dyDescent="0.25">
      <c r="A1552" t="s">
        <v>7219</v>
      </c>
      <c r="B1552" t="s">
        <v>7220</v>
      </c>
      <c r="C1552" t="s">
        <v>7220</v>
      </c>
      <c r="D1552" t="s">
        <v>553</v>
      </c>
      <c r="E1552" t="s">
        <v>167</v>
      </c>
      <c r="F1552" t="s">
        <v>7221</v>
      </c>
      <c r="G1552" t="s">
        <v>1520</v>
      </c>
      <c r="H1552" t="s">
        <v>7222</v>
      </c>
      <c r="J1552" s="2">
        <v>152719</v>
      </c>
      <c r="K1552" s="2">
        <v>700</v>
      </c>
      <c r="L1552" s="2">
        <v>21</v>
      </c>
      <c r="M1552" s="2">
        <v>0</v>
      </c>
      <c r="N1552" t="s">
        <v>6985</v>
      </c>
      <c r="O1552" t="s">
        <v>6986</v>
      </c>
      <c r="P1552" t="s">
        <v>6987</v>
      </c>
      <c r="Q1552" t="s">
        <v>6988</v>
      </c>
      <c r="S1552" t="s">
        <v>7223</v>
      </c>
      <c r="U1552" t="s">
        <v>45</v>
      </c>
      <c r="V1552" t="s">
        <v>46</v>
      </c>
      <c r="W1552" t="s">
        <v>6985</v>
      </c>
      <c r="X1552" t="s">
        <v>6986</v>
      </c>
      <c r="Y1552" t="s">
        <v>2399</v>
      </c>
      <c r="Z1552" t="s">
        <v>2400</v>
      </c>
      <c r="AA1552" t="s">
        <v>49</v>
      </c>
      <c r="AB1552" t="s">
        <v>50</v>
      </c>
      <c r="AC1552" s="2">
        <v>152719</v>
      </c>
      <c r="AD1552" t="s">
        <v>64</v>
      </c>
    </row>
    <row r="1553" spans="1:31" x14ac:dyDescent="0.25">
      <c r="A1553" t="s">
        <v>7224</v>
      </c>
      <c r="B1553" t="s">
        <v>7225</v>
      </c>
      <c r="C1553" t="s">
        <v>7225</v>
      </c>
      <c r="D1553" t="s">
        <v>478</v>
      </c>
      <c r="E1553" t="s">
        <v>190</v>
      </c>
      <c r="F1553" t="s">
        <v>7226</v>
      </c>
      <c r="G1553" t="s">
        <v>819</v>
      </c>
      <c r="H1553" t="s">
        <v>590</v>
      </c>
      <c r="I1553" t="s">
        <v>7227</v>
      </c>
      <c r="J1553" s="2">
        <v>1090850</v>
      </c>
      <c r="K1553" s="2">
        <v>5000</v>
      </c>
      <c r="L1553" s="2">
        <v>30</v>
      </c>
      <c r="M1553" s="2">
        <v>0</v>
      </c>
      <c r="N1553" t="s">
        <v>592</v>
      </c>
      <c r="O1553" t="s">
        <v>593</v>
      </c>
      <c r="P1553" t="s">
        <v>91</v>
      </c>
      <c r="Q1553" t="s">
        <v>92</v>
      </c>
      <c r="S1553" t="s">
        <v>7228</v>
      </c>
      <c r="U1553" t="s">
        <v>45</v>
      </c>
      <c r="V1553" t="s">
        <v>46</v>
      </c>
      <c r="W1553" t="s">
        <v>592</v>
      </c>
      <c r="X1553" t="s">
        <v>593</v>
      </c>
      <c r="Y1553" t="s">
        <v>92</v>
      </c>
      <c r="Z1553" t="s">
        <v>94</v>
      </c>
      <c r="AA1553" t="s">
        <v>49</v>
      </c>
      <c r="AB1553" t="s">
        <v>50</v>
      </c>
      <c r="AC1553" s="2">
        <v>1038473.76</v>
      </c>
      <c r="AD1553" t="s">
        <v>7229</v>
      </c>
    </row>
    <row r="1554" spans="1:31" hidden="1" x14ac:dyDescent="0.25">
      <c r="A1554" t="s">
        <v>7230</v>
      </c>
      <c r="B1554" t="s">
        <v>7231</v>
      </c>
      <c r="C1554" t="s">
        <v>7231</v>
      </c>
      <c r="F1554" t="s">
        <v>7232</v>
      </c>
      <c r="H1554" t="s">
        <v>303</v>
      </c>
      <c r="I1554" t="s">
        <v>7233</v>
      </c>
      <c r="J1554" s="2">
        <v>2182</v>
      </c>
      <c r="K1554" s="2">
        <v>10</v>
      </c>
      <c r="L1554" s="2">
        <v>1</v>
      </c>
      <c r="M1554" s="2">
        <v>0</v>
      </c>
      <c r="N1554" t="s">
        <v>302</v>
      </c>
      <c r="O1554" t="s">
        <v>303</v>
      </c>
      <c r="P1554" t="s">
        <v>304</v>
      </c>
      <c r="Q1554" t="s">
        <v>72</v>
      </c>
      <c r="S1554" t="s">
        <v>7234</v>
      </c>
      <c r="U1554" t="s">
        <v>45</v>
      </c>
      <c r="V1554" t="s">
        <v>46</v>
      </c>
      <c r="W1554" t="s">
        <v>302</v>
      </c>
      <c r="X1554" t="s">
        <v>303</v>
      </c>
      <c r="Y1554" t="s">
        <v>72</v>
      </c>
      <c r="Z1554" t="s">
        <v>68</v>
      </c>
      <c r="AA1554" t="s">
        <v>49</v>
      </c>
      <c r="AB1554" t="s">
        <v>50</v>
      </c>
      <c r="AC1554" s="2">
        <v>2182</v>
      </c>
      <c r="AD1554" t="s">
        <v>64</v>
      </c>
    </row>
    <row r="1555" spans="1:31" hidden="1" x14ac:dyDescent="0.25">
      <c r="I1555" t="s">
        <v>7235</v>
      </c>
      <c r="J1555" s="2">
        <v>1000</v>
      </c>
      <c r="K1555" s="2">
        <v>0</v>
      </c>
      <c r="L1555" s="2">
        <v>7</v>
      </c>
      <c r="M1555" s="2">
        <v>0</v>
      </c>
      <c r="S1555" t="s">
        <v>7236</v>
      </c>
      <c r="U1555" t="s">
        <v>45</v>
      </c>
      <c r="V1555" t="s">
        <v>46</v>
      </c>
      <c r="W1555" t="s">
        <v>302</v>
      </c>
      <c r="X1555" t="s">
        <v>303</v>
      </c>
      <c r="Y1555" t="s">
        <v>72</v>
      </c>
      <c r="Z1555" t="s">
        <v>68</v>
      </c>
      <c r="AA1555" t="s">
        <v>49</v>
      </c>
      <c r="AC1555" s="2"/>
    </row>
    <row r="1556" spans="1:31" hidden="1" x14ac:dyDescent="0.25">
      <c r="A1556" t="s">
        <v>7237</v>
      </c>
      <c r="B1556" t="s">
        <v>7238</v>
      </c>
      <c r="C1556" t="s">
        <v>7238</v>
      </c>
      <c r="F1556" t="s">
        <v>7239</v>
      </c>
      <c r="J1556" s="2">
        <v>1000</v>
      </c>
      <c r="K1556" s="2">
        <v>0</v>
      </c>
      <c r="L1556" s="2">
        <v>1</v>
      </c>
      <c r="M1556" s="2">
        <v>0</v>
      </c>
      <c r="N1556" t="s">
        <v>67</v>
      </c>
      <c r="O1556" t="s">
        <v>68</v>
      </c>
      <c r="P1556" t="s">
        <v>69</v>
      </c>
      <c r="Q1556" t="s">
        <v>70</v>
      </c>
      <c r="U1556" t="s">
        <v>45</v>
      </c>
      <c r="V1556" t="s">
        <v>46</v>
      </c>
      <c r="W1556" t="s">
        <v>67</v>
      </c>
      <c r="X1556" t="s">
        <v>68</v>
      </c>
      <c r="Y1556" t="s">
        <v>72</v>
      </c>
      <c r="Z1556" t="s">
        <v>68</v>
      </c>
      <c r="AA1556" t="s">
        <v>49</v>
      </c>
      <c r="AB1556" t="s">
        <v>50</v>
      </c>
      <c r="AC1556" s="2">
        <v>1000</v>
      </c>
      <c r="AD1556" t="s">
        <v>64</v>
      </c>
    </row>
    <row r="1557" spans="1:31" x14ac:dyDescent="0.25">
      <c r="A1557" t="s">
        <v>7240</v>
      </c>
      <c r="B1557" t="s">
        <v>7241</v>
      </c>
      <c r="C1557" t="s">
        <v>7241</v>
      </c>
      <c r="D1557" t="s">
        <v>35</v>
      </c>
      <c r="E1557" t="s">
        <v>36</v>
      </c>
      <c r="F1557" t="s">
        <v>7239</v>
      </c>
      <c r="G1557" t="s">
        <v>153</v>
      </c>
      <c r="H1557" t="s">
        <v>68</v>
      </c>
      <c r="I1557" t="s">
        <v>7242</v>
      </c>
      <c r="J1557" s="2">
        <v>109085</v>
      </c>
      <c r="K1557" s="2">
        <v>500</v>
      </c>
      <c r="L1557" s="2">
        <v>10</v>
      </c>
      <c r="M1557" s="2">
        <v>0</v>
      </c>
      <c r="N1557" t="s">
        <v>67</v>
      </c>
      <c r="O1557" t="s">
        <v>68</v>
      </c>
      <c r="P1557" t="s">
        <v>69</v>
      </c>
      <c r="Q1557" t="s">
        <v>70</v>
      </c>
      <c r="S1557" t="s">
        <v>7243</v>
      </c>
      <c r="U1557" t="s">
        <v>45</v>
      </c>
      <c r="V1557" t="s">
        <v>46</v>
      </c>
      <c r="W1557" t="s">
        <v>67</v>
      </c>
      <c r="X1557" t="s">
        <v>68</v>
      </c>
      <c r="Y1557" t="s">
        <v>72</v>
      </c>
      <c r="Z1557" t="s">
        <v>68</v>
      </c>
      <c r="AA1557" t="s">
        <v>49</v>
      </c>
      <c r="AB1557" t="s">
        <v>50</v>
      </c>
      <c r="AC1557" s="2">
        <v>14540.76</v>
      </c>
      <c r="AD1557" t="s">
        <v>7244</v>
      </c>
      <c r="AE1557" t="s">
        <v>52</v>
      </c>
    </row>
    <row r="1558" spans="1:31" hidden="1" x14ac:dyDescent="0.25">
      <c r="I1558" t="s">
        <v>7242</v>
      </c>
      <c r="J1558" s="2">
        <v>65451</v>
      </c>
      <c r="K1558" s="2">
        <v>300</v>
      </c>
      <c r="L1558" s="2">
        <v>7</v>
      </c>
      <c r="M1558" s="2">
        <v>0</v>
      </c>
      <c r="S1558" t="s">
        <v>7243</v>
      </c>
      <c r="U1558" t="s">
        <v>45</v>
      </c>
      <c r="V1558" t="s">
        <v>46</v>
      </c>
      <c r="W1558" t="s">
        <v>67</v>
      </c>
      <c r="X1558" t="s">
        <v>68</v>
      </c>
      <c r="Y1558" t="s">
        <v>72</v>
      </c>
      <c r="Z1558" t="s">
        <v>68</v>
      </c>
      <c r="AA1558" t="s">
        <v>49</v>
      </c>
      <c r="AC1558" s="2"/>
    </row>
    <row r="1559" spans="1:31" hidden="1" x14ac:dyDescent="0.25">
      <c r="I1559" t="s">
        <v>7245</v>
      </c>
      <c r="J1559" s="2">
        <v>1000</v>
      </c>
      <c r="K1559" s="2">
        <v>0</v>
      </c>
      <c r="L1559" s="2">
        <v>15</v>
      </c>
      <c r="M1559" s="2">
        <v>0</v>
      </c>
      <c r="S1559" t="s">
        <v>7247</v>
      </c>
      <c r="U1559" t="s">
        <v>45</v>
      </c>
      <c r="V1559" t="s">
        <v>46</v>
      </c>
      <c r="W1559" t="s">
        <v>7246</v>
      </c>
      <c r="X1559" t="s">
        <v>85</v>
      </c>
      <c r="Y1559" t="s">
        <v>79</v>
      </c>
      <c r="Z1559" t="s">
        <v>94</v>
      </c>
      <c r="AA1559" t="s">
        <v>49</v>
      </c>
      <c r="AC1559" s="2"/>
    </row>
    <row r="1560" spans="1:31" x14ac:dyDescent="0.25">
      <c r="A1560" t="s">
        <v>7248</v>
      </c>
      <c r="B1560" t="s">
        <v>7249</v>
      </c>
      <c r="C1560" t="s">
        <v>7249</v>
      </c>
      <c r="D1560" t="s">
        <v>649</v>
      </c>
      <c r="E1560" t="s">
        <v>871</v>
      </c>
      <c r="F1560" t="s">
        <v>7250</v>
      </c>
      <c r="G1560" t="s">
        <v>1410</v>
      </c>
      <c r="H1560" t="s">
        <v>68</v>
      </c>
      <c r="I1560" t="s">
        <v>7251</v>
      </c>
      <c r="J1560" s="2">
        <v>174536</v>
      </c>
      <c r="K1560" s="2">
        <v>800</v>
      </c>
      <c r="L1560" s="2">
        <v>21</v>
      </c>
      <c r="M1560" s="2">
        <v>0</v>
      </c>
      <c r="N1560" t="s">
        <v>67</v>
      </c>
      <c r="O1560" t="s">
        <v>68</v>
      </c>
      <c r="P1560" t="s">
        <v>4315</v>
      </c>
      <c r="Q1560" t="s">
        <v>4316</v>
      </c>
      <c r="S1560" t="s">
        <v>7252</v>
      </c>
      <c r="U1560" t="s">
        <v>45</v>
      </c>
      <c r="V1560" t="s">
        <v>46</v>
      </c>
      <c r="W1560" t="s">
        <v>67</v>
      </c>
      <c r="X1560" t="s">
        <v>68</v>
      </c>
      <c r="Y1560" t="s">
        <v>72</v>
      </c>
      <c r="Z1560" t="s">
        <v>68</v>
      </c>
      <c r="AA1560" t="s">
        <v>49</v>
      </c>
      <c r="AB1560" t="s">
        <v>50</v>
      </c>
      <c r="AC1560" s="2">
        <v>120499.26</v>
      </c>
      <c r="AD1560" t="s">
        <v>7253</v>
      </c>
    </row>
    <row r="1561" spans="1:31" x14ac:dyDescent="0.25">
      <c r="A1561" t="s">
        <v>7254</v>
      </c>
      <c r="B1561" t="s">
        <v>7255</v>
      </c>
      <c r="C1561" t="s">
        <v>7255</v>
      </c>
      <c r="D1561" t="s">
        <v>4647</v>
      </c>
      <c r="E1561" t="s">
        <v>224</v>
      </c>
      <c r="F1561" t="s">
        <v>7256</v>
      </c>
      <c r="G1561" t="s">
        <v>577</v>
      </c>
      <c r="H1561" t="s">
        <v>6519</v>
      </c>
      <c r="I1561" t="s">
        <v>7257</v>
      </c>
      <c r="J1561" s="2">
        <v>237805</v>
      </c>
      <c r="K1561" s="2">
        <v>1090</v>
      </c>
      <c r="L1561" s="2">
        <v>30</v>
      </c>
      <c r="M1561" s="2">
        <v>0</v>
      </c>
      <c r="N1561" t="s">
        <v>5201</v>
      </c>
      <c r="O1561" t="s">
        <v>5202</v>
      </c>
      <c r="P1561" t="s">
        <v>4853</v>
      </c>
      <c r="Q1561" t="s">
        <v>4854</v>
      </c>
      <c r="S1561" t="s">
        <v>7258</v>
      </c>
      <c r="U1561" t="s">
        <v>45</v>
      </c>
      <c r="V1561" t="s">
        <v>46</v>
      </c>
      <c r="W1561" t="s">
        <v>5201</v>
      </c>
      <c r="X1561" t="s">
        <v>5202</v>
      </c>
      <c r="Y1561" t="s">
        <v>4854</v>
      </c>
      <c r="Z1561" t="s">
        <v>72</v>
      </c>
      <c r="AA1561" t="s">
        <v>49</v>
      </c>
      <c r="AB1561" t="s">
        <v>50</v>
      </c>
      <c r="AC1561" s="2">
        <v>141954.84</v>
      </c>
      <c r="AD1561" t="s">
        <v>7259</v>
      </c>
      <c r="AE1561" t="s">
        <v>115</v>
      </c>
    </row>
    <row r="1562" spans="1:31" x14ac:dyDescent="0.25">
      <c r="A1562" t="s">
        <v>7260</v>
      </c>
      <c r="B1562" t="s">
        <v>7261</v>
      </c>
      <c r="C1562" t="s">
        <v>7261</v>
      </c>
      <c r="D1562" t="s">
        <v>125</v>
      </c>
      <c r="E1562" t="s">
        <v>126</v>
      </c>
      <c r="F1562" t="s">
        <v>7262</v>
      </c>
      <c r="G1562" t="s">
        <v>649</v>
      </c>
      <c r="H1562" t="s">
        <v>7263</v>
      </c>
      <c r="I1562" t="s">
        <v>7264</v>
      </c>
      <c r="J1562" s="2">
        <v>261694</v>
      </c>
      <c r="K1562" s="2">
        <v>1150</v>
      </c>
      <c r="L1562" s="2">
        <v>15</v>
      </c>
      <c r="M1562" s="2">
        <v>0</v>
      </c>
      <c r="N1562" t="s">
        <v>2571</v>
      </c>
      <c r="O1562" t="s">
        <v>2572</v>
      </c>
      <c r="P1562" t="s">
        <v>6987</v>
      </c>
      <c r="Q1562" t="s">
        <v>6988</v>
      </c>
      <c r="S1562" t="s">
        <v>7265</v>
      </c>
      <c r="U1562" t="s">
        <v>45</v>
      </c>
      <c r="V1562" t="s">
        <v>46</v>
      </c>
      <c r="W1562" t="s">
        <v>2571</v>
      </c>
      <c r="X1562" t="s">
        <v>2572</v>
      </c>
      <c r="Y1562" t="s">
        <v>2399</v>
      </c>
      <c r="Z1562" t="s">
        <v>2400</v>
      </c>
      <c r="AA1562" t="s">
        <v>49</v>
      </c>
      <c r="AB1562" t="s">
        <v>50</v>
      </c>
      <c r="AC1562" s="2">
        <v>257331.11</v>
      </c>
      <c r="AD1562" t="s">
        <v>7266</v>
      </c>
      <c r="AE1562" t="s">
        <v>115</v>
      </c>
    </row>
    <row r="1563" spans="1:31" hidden="1" x14ac:dyDescent="0.25">
      <c r="A1563" t="s">
        <v>7267</v>
      </c>
      <c r="B1563" t="s">
        <v>7268</v>
      </c>
      <c r="C1563" t="s">
        <v>7268</v>
      </c>
      <c r="F1563" t="s">
        <v>7269</v>
      </c>
      <c r="H1563" t="s">
        <v>204</v>
      </c>
      <c r="I1563" t="s">
        <v>7270</v>
      </c>
      <c r="J1563" s="2">
        <v>1000</v>
      </c>
      <c r="K1563" s="2">
        <v>0</v>
      </c>
      <c r="L1563" s="2">
        <v>7</v>
      </c>
      <c r="M1563" s="2">
        <v>0</v>
      </c>
      <c r="N1563" t="s">
        <v>203</v>
      </c>
      <c r="O1563" t="s">
        <v>204</v>
      </c>
      <c r="P1563" t="s">
        <v>205</v>
      </c>
      <c r="Q1563" t="s">
        <v>206</v>
      </c>
      <c r="S1563" t="s">
        <v>7271</v>
      </c>
      <c r="U1563" t="s">
        <v>45</v>
      </c>
      <c r="V1563" t="s">
        <v>46</v>
      </c>
      <c r="W1563" t="s">
        <v>203</v>
      </c>
      <c r="X1563" t="s">
        <v>204</v>
      </c>
      <c r="Y1563" t="s">
        <v>161</v>
      </c>
      <c r="Z1563" t="s">
        <v>162</v>
      </c>
      <c r="AA1563" t="s">
        <v>49</v>
      </c>
      <c r="AB1563" t="s">
        <v>50</v>
      </c>
      <c r="AC1563" s="2">
        <v>1000</v>
      </c>
      <c r="AD1563" t="s">
        <v>64</v>
      </c>
    </row>
    <row r="1564" spans="1:31" x14ac:dyDescent="0.25">
      <c r="A1564" t="s">
        <v>7272</v>
      </c>
      <c r="B1564" t="s">
        <v>7273</v>
      </c>
      <c r="C1564" t="s">
        <v>7273</v>
      </c>
      <c r="D1564" t="s">
        <v>321</v>
      </c>
      <c r="E1564" t="s">
        <v>224</v>
      </c>
      <c r="F1564" t="s">
        <v>7274</v>
      </c>
      <c r="G1564" t="s">
        <v>2120</v>
      </c>
      <c r="H1564" t="s">
        <v>79</v>
      </c>
      <c r="I1564" t="s">
        <v>7275</v>
      </c>
      <c r="J1564" s="2">
        <v>654510</v>
      </c>
      <c r="K1564" s="2">
        <v>3000</v>
      </c>
      <c r="L1564" s="2">
        <v>21</v>
      </c>
      <c r="M1564" s="2">
        <v>0</v>
      </c>
      <c r="N1564" t="s">
        <v>7276</v>
      </c>
      <c r="O1564" t="s">
        <v>7277</v>
      </c>
      <c r="P1564" t="s">
        <v>3487</v>
      </c>
      <c r="Q1564" t="s">
        <v>3488</v>
      </c>
      <c r="S1564" t="s">
        <v>7278</v>
      </c>
      <c r="U1564" t="s">
        <v>45</v>
      </c>
      <c r="V1564" t="s">
        <v>46</v>
      </c>
      <c r="W1564" t="s">
        <v>7276</v>
      </c>
      <c r="X1564" t="s">
        <v>7277</v>
      </c>
      <c r="Y1564" t="s">
        <v>79</v>
      </c>
      <c r="Z1564" t="s">
        <v>94</v>
      </c>
      <c r="AA1564" t="s">
        <v>49</v>
      </c>
      <c r="AB1564" t="s">
        <v>50</v>
      </c>
      <c r="AC1564" s="2">
        <v>640224.05000000005</v>
      </c>
      <c r="AD1564" t="s">
        <v>7279</v>
      </c>
    </row>
    <row r="1565" spans="1:31" x14ac:dyDescent="0.25">
      <c r="A1565" t="s">
        <v>7280</v>
      </c>
      <c r="B1565" t="s">
        <v>7281</v>
      </c>
      <c r="C1565" t="s">
        <v>7281</v>
      </c>
      <c r="D1565" t="s">
        <v>1958</v>
      </c>
      <c r="E1565" t="s">
        <v>77</v>
      </c>
      <c r="F1565" t="s">
        <v>7282</v>
      </c>
      <c r="H1565" t="s">
        <v>41</v>
      </c>
      <c r="J1565" s="2">
        <v>21817</v>
      </c>
      <c r="K1565" s="2">
        <v>100</v>
      </c>
      <c r="L1565" s="2">
        <v>15</v>
      </c>
      <c r="M1565" s="2">
        <v>0</v>
      </c>
      <c r="N1565" t="s">
        <v>40</v>
      </c>
      <c r="O1565" t="s">
        <v>41</v>
      </c>
      <c r="P1565" t="s">
        <v>42</v>
      </c>
      <c r="Q1565" t="s">
        <v>43</v>
      </c>
      <c r="U1565" t="s">
        <v>45</v>
      </c>
      <c r="V1565" t="s">
        <v>46</v>
      </c>
      <c r="W1565" t="s">
        <v>40</v>
      </c>
      <c r="X1565" t="s">
        <v>41</v>
      </c>
      <c r="Y1565" t="s">
        <v>47</v>
      </c>
      <c r="Z1565" t="s">
        <v>48</v>
      </c>
      <c r="AA1565" t="s">
        <v>141</v>
      </c>
      <c r="AB1565" t="s">
        <v>50</v>
      </c>
      <c r="AC1565" s="2">
        <v>21817</v>
      </c>
      <c r="AD1565" t="s">
        <v>64</v>
      </c>
    </row>
    <row r="1566" spans="1:31" hidden="1" x14ac:dyDescent="0.25">
      <c r="J1566" s="2">
        <v>109085</v>
      </c>
      <c r="K1566" s="2">
        <v>500</v>
      </c>
      <c r="L1566" s="2">
        <v>1</v>
      </c>
      <c r="M1566" s="2">
        <v>0</v>
      </c>
      <c r="S1566" t="s">
        <v>7283</v>
      </c>
      <c r="U1566" t="s">
        <v>45</v>
      </c>
      <c r="V1566" t="s">
        <v>46</v>
      </c>
      <c r="W1566" t="s">
        <v>2113</v>
      </c>
      <c r="X1566" t="s">
        <v>2114</v>
      </c>
      <c r="Y1566" t="s">
        <v>106</v>
      </c>
      <c r="Z1566" t="s">
        <v>107</v>
      </c>
      <c r="AA1566" t="s">
        <v>49</v>
      </c>
      <c r="AC1566" s="2"/>
    </row>
    <row r="1567" spans="1:31" x14ac:dyDescent="0.25">
      <c r="A1567" t="s">
        <v>7284</v>
      </c>
      <c r="B1567" t="s">
        <v>7285</v>
      </c>
      <c r="C1567" t="s">
        <v>7285</v>
      </c>
      <c r="D1567" t="s">
        <v>35</v>
      </c>
      <c r="E1567" t="s">
        <v>36</v>
      </c>
      <c r="F1567" t="s">
        <v>7286</v>
      </c>
      <c r="G1567" t="s">
        <v>178</v>
      </c>
      <c r="H1567" t="s">
        <v>4566</v>
      </c>
      <c r="I1567" t="s">
        <v>7287</v>
      </c>
      <c r="J1567" s="2">
        <v>327255</v>
      </c>
      <c r="K1567" s="2">
        <v>1500</v>
      </c>
      <c r="L1567" s="2">
        <v>30</v>
      </c>
      <c r="M1567" s="2">
        <v>0</v>
      </c>
      <c r="N1567" t="s">
        <v>4565</v>
      </c>
      <c r="O1567" t="s">
        <v>4566</v>
      </c>
      <c r="P1567" t="s">
        <v>103</v>
      </c>
      <c r="Q1567" t="s">
        <v>104</v>
      </c>
      <c r="S1567" t="s">
        <v>7288</v>
      </c>
      <c r="U1567" t="s">
        <v>45</v>
      </c>
      <c r="V1567" t="s">
        <v>46</v>
      </c>
      <c r="W1567" t="s">
        <v>4565</v>
      </c>
      <c r="X1567" t="s">
        <v>4566</v>
      </c>
      <c r="Y1567" t="s">
        <v>279</v>
      </c>
      <c r="Z1567" t="s">
        <v>280</v>
      </c>
      <c r="AA1567" t="s">
        <v>49</v>
      </c>
      <c r="AB1567" t="s">
        <v>50</v>
      </c>
      <c r="AC1567" s="2">
        <v>195664.97</v>
      </c>
      <c r="AD1567" t="s">
        <v>7289</v>
      </c>
      <c r="AE1567" t="s">
        <v>52</v>
      </c>
    </row>
    <row r="1568" spans="1:31" x14ac:dyDescent="0.25">
      <c r="A1568" t="s">
        <v>7290</v>
      </c>
      <c r="B1568" t="s">
        <v>7291</v>
      </c>
      <c r="C1568" t="s">
        <v>7291</v>
      </c>
      <c r="D1568" t="s">
        <v>299</v>
      </c>
      <c r="E1568" t="s">
        <v>167</v>
      </c>
      <c r="F1568" t="s">
        <v>7292</v>
      </c>
      <c r="G1568" t="s">
        <v>344</v>
      </c>
      <c r="H1568" t="s">
        <v>1062</v>
      </c>
      <c r="J1568" s="2">
        <v>120790</v>
      </c>
      <c r="K1568" s="2">
        <v>500</v>
      </c>
      <c r="L1568" s="2">
        <v>21</v>
      </c>
      <c r="M1568" s="2">
        <v>0</v>
      </c>
      <c r="N1568" t="s">
        <v>1064</v>
      </c>
      <c r="O1568" t="s">
        <v>1062</v>
      </c>
      <c r="P1568" t="s">
        <v>304</v>
      </c>
      <c r="Q1568" t="s">
        <v>72</v>
      </c>
      <c r="S1568" t="s">
        <v>7293</v>
      </c>
      <c r="U1568" t="s">
        <v>45</v>
      </c>
      <c r="V1568" t="s">
        <v>46</v>
      </c>
      <c r="W1568" t="s">
        <v>1064</v>
      </c>
      <c r="X1568" t="s">
        <v>1062</v>
      </c>
      <c r="Y1568" t="s">
        <v>72</v>
      </c>
      <c r="Z1568" t="s">
        <v>68</v>
      </c>
      <c r="AA1568" t="s">
        <v>49</v>
      </c>
      <c r="AB1568" t="s">
        <v>50</v>
      </c>
      <c r="AC1568" s="2">
        <v>-1789.7</v>
      </c>
      <c r="AD1568" t="s">
        <v>7294</v>
      </c>
    </row>
    <row r="1569" spans="1:31" x14ac:dyDescent="0.25">
      <c r="A1569" t="s">
        <v>7295</v>
      </c>
      <c r="B1569" t="s">
        <v>7296</v>
      </c>
      <c r="C1569" t="s">
        <v>7296</v>
      </c>
      <c r="D1569" t="s">
        <v>125</v>
      </c>
      <c r="E1569" t="s">
        <v>126</v>
      </c>
      <c r="F1569" t="s">
        <v>7297</v>
      </c>
      <c r="G1569" t="s">
        <v>297</v>
      </c>
      <c r="H1569" t="s">
        <v>7298</v>
      </c>
      <c r="I1569" t="s">
        <v>7299</v>
      </c>
      <c r="J1569" s="2">
        <v>233560</v>
      </c>
      <c r="K1569" s="2">
        <v>1000</v>
      </c>
      <c r="L1569" s="2">
        <v>15</v>
      </c>
      <c r="M1569" s="2">
        <v>0</v>
      </c>
      <c r="N1569" t="s">
        <v>7300</v>
      </c>
      <c r="O1569" t="s">
        <v>7301</v>
      </c>
      <c r="P1569" t="s">
        <v>5966</v>
      </c>
      <c r="Q1569" t="s">
        <v>5739</v>
      </c>
      <c r="S1569" t="s">
        <v>7302</v>
      </c>
      <c r="U1569" t="s">
        <v>45</v>
      </c>
      <c r="V1569" t="s">
        <v>46</v>
      </c>
      <c r="W1569" t="s">
        <v>7300</v>
      </c>
      <c r="X1569" t="s">
        <v>7301</v>
      </c>
      <c r="Y1569" t="s">
        <v>5743</v>
      </c>
      <c r="Z1569" t="s">
        <v>5744</v>
      </c>
      <c r="AA1569" t="s">
        <v>49</v>
      </c>
      <c r="AB1569" t="s">
        <v>50</v>
      </c>
      <c r="AC1569" s="2">
        <v>185638.42</v>
      </c>
      <c r="AD1569" t="s">
        <v>7303</v>
      </c>
      <c r="AE1569" t="s">
        <v>52</v>
      </c>
    </row>
    <row r="1570" spans="1:31" x14ac:dyDescent="0.25">
      <c r="A1570" t="s">
        <v>7304</v>
      </c>
      <c r="B1570" t="s">
        <v>7305</v>
      </c>
      <c r="C1570" t="s">
        <v>7305</v>
      </c>
      <c r="D1570" t="s">
        <v>153</v>
      </c>
      <c r="E1570" t="s">
        <v>272</v>
      </c>
      <c r="F1570" t="s">
        <v>7306</v>
      </c>
      <c r="G1570" t="s">
        <v>153</v>
      </c>
      <c r="H1570" t="s">
        <v>1123</v>
      </c>
      <c r="J1570" s="2">
        <v>654510</v>
      </c>
      <c r="K1570" s="2">
        <v>3000</v>
      </c>
      <c r="L1570" s="2">
        <v>21</v>
      </c>
      <c r="M1570" s="2">
        <v>0</v>
      </c>
      <c r="N1570" t="s">
        <v>1125</v>
      </c>
      <c r="O1570" t="s">
        <v>1123</v>
      </c>
      <c r="P1570" t="s">
        <v>158</v>
      </c>
      <c r="Q1570" t="s">
        <v>159</v>
      </c>
      <c r="S1570" t="s">
        <v>7307</v>
      </c>
      <c r="U1570" t="s">
        <v>45</v>
      </c>
      <c r="V1570" t="s">
        <v>46</v>
      </c>
      <c r="W1570" t="s">
        <v>1125</v>
      </c>
      <c r="X1570" t="s">
        <v>1123</v>
      </c>
      <c r="Y1570" t="s">
        <v>161</v>
      </c>
      <c r="Z1570" t="s">
        <v>162</v>
      </c>
      <c r="AA1570" t="s">
        <v>49</v>
      </c>
      <c r="AB1570" t="s">
        <v>50</v>
      </c>
      <c r="AC1570" s="2">
        <v>394361.09</v>
      </c>
      <c r="AD1570" t="s">
        <v>7308</v>
      </c>
      <c r="AE1570" t="s">
        <v>52</v>
      </c>
    </row>
    <row r="1571" spans="1:31" x14ac:dyDescent="0.25">
      <c r="A1571" t="s">
        <v>7309</v>
      </c>
      <c r="B1571" t="s">
        <v>7310</v>
      </c>
      <c r="C1571" t="s">
        <v>7310</v>
      </c>
      <c r="D1571" t="s">
        <v>35</v>
      </c>
      <c r="E1571" t="s">
        <v>36</v>
      </c>
      <c r="F1571" t="s">
        <v>7311</v>
      </c>
      <c r="G1571" t="s">
        <v>35</v>
      </c>
      <c r="H1571" t="s">
        <v>1123</v>
      </c>
      <c r="I1571" t="s">
        <v>4988</v>
      </c>
      <c r="J1571" s="2">
        <v>2181700</v>
      </c>
      <c r="K1571" s="2">
        <v>10000</v>
      </c>
      <c r="L1571" s="2">
        <v>15</v>
      </c>
      <c r="M1571" s="2">
        <v>0</v>
      </c>
      <c r="N1571" t="s">
        <v>1125</v>
      </c>
      <c r="O1571" t="s">
        <v>1123</v>
      </c>
      <c r="P1571" t="s">
        <v>158</v>
      </c>
      <c r="Q1571" t="s">
        <v>159</v>
      </c>
      <c r="S1571" t="s">
        <v>7312</v>
      </c>
      <c r="U1571" t="s">
        <v>45</v>
      </c>
      <c r="V1571" t="s">
        <v>46</v>
      </c>
      <c r="W1571" t="s">
        <v>1125</v>
      </c>
      <c r="X1571" t="s">
        <v>1123</v>
      </c>
      <c r="Y1571" t="s">
        <v>161</v>
      </c>
      <c r="Z1571" t="s">
        <v>162</v>
      </c>
      <c r="AA1571" t="s">
        <v>49</v>
      </c>
      <c r="AB1571" t="s">
        <v>50</v>
      </c>
      <c r="AC1571" s="2">
        <v>985405.3</v>
      </c>
      <c r="AD1571" t="s">
        <v>7313</v>
      </c>
      <c r="AE1571" t="s">
        <v>52</v>
      </c>
    </row>
    <row r="1572" spans="1:31" x14ac:dyDescent="0.25">
      <c r="A1572" t="s">
        <v>7314</v>
      </c>
      <c r="B1572" t="s">
        <v>7315</v>
      </c>
      <c r="C1572" t="s">
        <v>7315</v>
      </c>
      <c r="D1572" t="s">
        <v>153</v>
      </c>
      <c r="E1572" t="s">
        <v>272</v>
      </c>
      <c r="F1572" t="s">
        <v>7316</v>
      </c>
      <c r="G1572" t="s">
        <v>153</v>
      </c>
      <c r="H1572" t="s">
        <v>614</v>
      </c>
      <c r="J1572" s="2">
        <v>1878998</v>
      </c>
      <c r="K1572" s="2">
        <v>8612.5400000000009</v>
      </c>
      <c r="L1572" s="2">
        <v>3</v>
      </c>
      <c r="M1572" s="2">
        <v>0</v>
      </c>
      <c r="N1572" t="s">
        <v>613</v>
      </c>
      <c r="O1572" t="s">
        <v>614</v>
      </c>
      <c r="P1572" t="s">
        <v>91</v>
      </c>
      <c r="Q1572" t="s">
        <v>92</v>
      </c>
      <c r="S1572" t="s">
        <v>7317</v>
      </c>
      <c r="U1572" t="s">
        <v>45</v>
      </c>
      <c r="V1572" t="s">
        <v>46</v>
      </c>
      <c r="W1572" t="s">
        <v>613</v>
      </c>
      <c r="X1572" t="s">
        <v>614</v>
      </c>
      <c r="Y1572" t="s">
        <v>92</v>
      </c>
      <c r="Z1572" t="s">
        <v>94</v>
      </c>
      <c r="AA1572" t="s">
        <v>49</v>
      </c>
      <c r="AB1572" t="s">
        <v>50</v>
      </c>
      <c r="AC1572" s="2">
        <v>1383363.95</v>
      </c>
      <c r="AD1572" t="s">
        <v>7318</v>
      </c>
      <c r="AE1572" t="s">
        <v>52</v>
      </c>
    </row>
    <row r="1573" spans="1:31" hidden="1" x14ac:dyDescent="0.25">
      <c r="A1573" t="s">
        <v>7319</v>
      </c>
      <c r="B1573" t="s">
        <v>7320</v>
      </c>
      <c r="C1573" t="s">
        <v>7320</v>
      </c>
      <c r="F1573" t="s">
        <v>7023</v>
      </c>
      <c r="J1573" s="2">
        <v>1000</v>
      </c>
      <c r="K1573" s="2">
        <v>0</v>
      </c>
      <c r="L1573" s="2">
        <v>1</v>
      </c>
      <c r="M1573" s="2">
        <v>0</v>
      </c>
      <c r="N1573" t="s">
        <v>6985</v>
      </c>
      <c r="O1573" t="s">
        <v>6986</v>
      </c>
      <c r="P1573" t="s">
        <v>6987</v>
      </c>
      <c r="Q1573" t="s">
        <v>6988</v>
      </c>
      <c r="U1573" t="s">
        <v>45</v>
      </c>
      <c r="V1573" t="s">
        <v>46</v>
      </c>
      <c r="W1573" t="s">
        <v>6985</v>
      </c>
      <c r="X1573" t="s">
        <v>6986</v>
      </c>
      <c r="Y1573" t="s">
        <v>2399</v>
      </c>
      <c r="Z1573" t="s">
        <v>2400</v>
      </c>
      <c r="AA1573" t="s">
        <v>49</v>
      </c>
      <c r="AB1573" t="s">
        <v>50</v>
      </c>
      <c r="AC1573" s="2">
        <v>1000</v>
      </c>
      <c r="AD1573" t="s">
        <v>64</v>
      </c>
    </row>
    <row r="1574" spans="1:31" x14ac:dyDescent="0.25">
      <c r="A1574" t="s">
        <v>7321</v>
      </c>
      <c r="B1574" t="s">
        <v>7322</v>
      </c>
      <c r="C1574" t="s">
        <v>7022</v>
      </c>
      <c r="D1574" t="s">
        <v>35</v>
      </c>
      <c r="E1574" t="s">
        <v>36</v>
      </c>
      <c r="F1574" t="s">
        <v>7023</v>
      </c>
      <c r="G1574" t="s">
        <v>35</v>
      </c>
      <c r="H1574" t="s">
        <v>2396</v>
      </c>
      <c r="J1574" s="2">
        <v>129920</v>
      </c>
      <c r="K1574" s="2">
        <v>595.5</v>
      </c>
      <c r="L1574" s="2">
        <v>15</v>
      </c>
      <c r="M1574" s="2">
        <v>0</v>
      </c>
      <c r="N1574" t="s">
        <v>6985</v>
      </c>
      <c r="O1574" t="s">
        <v>6986</v>
      </c>
      <c r="P1574" t="s">
        <v>6987</v>
      </c>
      <c r="Q1574" t="s">
        <v>6988</v>
      </c>
      <c r="S1574" t="s">
        <v>7024</v>
      </c>
      <c r="U1574" t="s">
        <v>45</v>
      </c>
      <c r="V1574" t="s">
        <v>46</v>
      </c>
      <c r="W1574" t="s">
        <v>6985</v>
      </c>
      <c r="X1574" t="s">
        <v>6986</v>
      </c>
      <c r="Y1574" t="s">
        <v>2399</v>
      </c>
      <c r="Z1574" t="s">
        <v>2400</v>
      </c>
      <c r="AA1574" t="s">
        <v>49</v>
      </c>
      <c r="AB1574" t="s">
        <v>50</v>
      </c>
      <c r="AC1574" s="2">
        <v>86244.71</v>
      </c>
      <c r="AD1574" t="s">
        <v>7323</v>
      </c>
      <c r="AE1574" t="s">
        <v>52</v>
      </c>
    </row>
    <row r="1575" spans="1:31" x14ac:dyDescent="0.25">
      <c r="A1575" t="s">
        <v>7324</v>
      </c>
      <c r="B1575" t="s">
        <v>7325</v>
      </c>
      <c r="C1575" t="s">
        <v>7325</v>
      </c>
      <c r="D1575" t="s">
        <v>166</v>
      </c>
      <c r="E1575" t="s">
        <v>167</v>
      </c>
      <c r="F1575" t="s">
        <v>7326</v>
      </c>
      <c r="G1575" t="s">
        <v>264</v>
      </c>
      <c r="H1575" t="s">
        <v>3750</v>
      </c>
      <c r="I1575" t="s">
        <v>7327</v>
      </c>
      <c r="J1575" s="2">
        <v>174536</v>
      </c>
      <c r="K1575" s="2">
        <v>800</v>
      </c>
      <c r="L1575" s="2">
        <v>7</v>
      </c>
      <c r="M1575" s="2">
        <v>0</v>
      </c>
      <c r="N1575" t="s">
        <v>3752</v>
      </c>
      <c r="O1575" t="s">
        <v>3753</v>
      </c>
      <c r="P1575" t="s">
        <v>158</v>
      </c>
      <c r="Q1575" t="s">
        <v>159</v>
      </c>
      <c r="S1575" t="s">
        <v>7328</v>
      </c>
      <c r="U1575" t="s">
        <v>45</v>
      </c>
      <c r="V1575" t="s">
        <v>46</v>
      </c>
      <c r="W1575" t="s">
        <v>3752</v>
      </c>
      <c r="X1575" t="s">
        <v>3753</v>
      </c>
      <c r="Y1575" t="s">
        <v>161</v>
      </c>
      <c r="Z1575" t="s">
        <v>162</v>
      </c>
      <c r="AA1575" t="s">
        <v>49</v>
      </c>
      <c r="AB1575" t="s">
        <v>50</v>
      </c>
      <c r="AC1575" s="2">
        <v>174536</v>
      </c>
      <c r="AD1575" t="s">
        <v>64</v>
      </c>
    </row>
    <row r="1576" spans="1:31" hidden="1" x14ac:dyDescent="0.25">
      <c r="A1576" t="s">
        <v>7329</v>
      </c>
      <c r="B1576" t="s">
        <v>7330</v>
      </c>
      <c r="C1576" t="s">
        <v>7330</v>
      </c>
      <c r="F1576" t="s">
        <v>7331</v>
      </c>
      <c r="H1576" t="s">
        <v>5739</v>
      </c>
      <c r="J1576" s="2">
        <v>1000</v>
      </c>
      <c r="K1576" s="2">
        <v>0</v>
      </c>
      <c r="L1576" s="2">
        <v>15</v>
      </c>
      <c r="M1576" s="2">
        <v>0</v>
      </c>
      <c r="N1576" t="s">
        <v>5741</v>
      </c>
      <c r="O1576" t="s">
        <v>5739</v>
      </c>
      <c r="P1576" t="s">
        <v>5966</v>
      </c>
      <c r="Q1576" t="s">
        <v>5739</v>
      </c>
      <c r="S1576" t="s">
        <v>7332</v>
      </c>
      <c r="U1576" t="s">
        <v>45</v>
      </c>
      <c r="V1576" t="s">
        <v>46</v>
      </c>
      <c r="W1576" t="s">
        <v>5741</v>
      </c>
      <c r="X1576" t="s">
        <v>5739</v>
      </c>
      <c r="Y1576" t="s">
        <v>5743</v>
      </c>
      <c r="Z1576" t="s">
        <v>5744</v>
      </c>
      <c r="AA1576" t="s">
        <v>49</v>
      </c>
      <c r="AB1576" t="s">
        <v>50</v>
      </c>
      <c r="AC1576" s="2">
        <v>1000</v>
      </c>
      <c r="AD1576" t="s">
        <v>64</v>
      </c>
    </row>
    <row r="1577" spans="1:31" hidden="1" x14ac:dyDescent="0.25">
      <c r="J1577" s="2">
        <v>21817</v>
      </c>
      <c r="K1577" s="2">
        <v>100</v>
      </c>
      <c r="L1577" s="2">
        <v>15</v>
      </c>
      <c r="M1577" s="2">
        <v>0</v>
      </c>
      <c r="S1577" t="s">
        <v>7336</v>
      </c>
      <c r="U1577" t="s">
        <v>45</v>
      </c>
      <c r="V1577" t="s">
        <v>46</v>
      </c>
      <c r="W1577" t="s">
        <v>7334</v>
      </c>
      <c r="X1577" t="s">
        <v>7335</v>
      </c>
      <c r="Y1577" t="s">
        <v>5743</v>
      </c>
      <c r="Z1577" t="s">
        <v>5744</v>
      </c>
      <c r="AA1577" t="s">
        <v>49</v>
      </c>
      <c r="AC1577" s="2"/>
    </row>
    <row r="1578" spans="1:31" x14ac:dyDescent="0.25">
      <c r="A1578" t="s">
        <v>7337</v>
      </c>
      <c r="B1578" t="s">
        <v>7338</v>
      </c>
      <c r="C1578" t="s">
        <v>7338</v>
      </c>
      <c r="D1578" t="s">
        <v>125</v>
      </c>
      <c r="E1578" t="s">
        <v>126</v>
      </c>
      <c r="F1578" t="s">
        <v>7339</v>
      </c>
      <c r="G1578" t="s">
        <v>125</v>
      </c>
      <c r="H1578" t="s">
        <v>7340</v>
      </c>
      <c r="J1578" s="2">
        <v>342720</v>
      </c>
      <c r="K1578" s="2">
        <v>1500</v>
      </c>
      <c r="L1578" s="2">
        <v>15</v>
      </c>
      <c r="M1578" s="2">
        <v>0</v>
      </c>
      <c r="N1578" t="s">
        <v>7341</v>
      </c>
      <c r="O1578" t="s">
        <v>7342</v>
      </c>
      <c r="P1578" t="s">
        <v>6987</v>
      </c>
      <c r="Q1578" t="s">
        <v>6988</v>
      </c>
      <c r="S1578" t="s">
        <v>7343</v>
      </c>
      <c r="U1578" t="s">
        <v>45</v>
      </c>
      <c r="V1578" t="s">
        <v>46</v>
      </c>
      <c r="W1578" t="s">
        <v>7341</v>
      </c>
      <c r="X1578" t="s">
        <v>7342</v>
      </c>
      <c r="Y1578" t="s">
        <v>2399</v>
      </c>
      <c r="Z1578" t="s">
        <v>2400</v>
      </c>
      <c r="AA1578" t="s">
        <v>49</v>
      </c>
      <c r="AB1578" t="s">
        <v>50</v>
      </c>
      <c r="AC1578" s="2">
        <v>-16660.32</v>
      </c>
      <c r="AD1578" t="s">
        <v>7344</v>
      </c>
      <c r="AE1578" t="s">
        <v>52</v>
      </c>
    </row>
    <row r="1579" spans="1:31" x14ac:dyDescent="0.25">
      <c r="A1579" t="s">
        <v>7345</v>
      </c>
      <c r="B1579" t="s">
        <v>7346</v>
      </c>
      <c r="C1579" t="s">
        <v>7346</v>
      </c>
      <c r="D1579" t="s">
        <v>35</v>
      </c>
      <c r="E1579" t="s">
        <v>36</v>
      </c>
      <c r="F1579" t="s">
        <v>7347</v>
      </c>
      <c r="G1579" t="s">
        <v>153</v>
      </c>
      <c r="H1579" t="s">
        <v>7348</v>
      </c>
      <c r="I1579" t="s">
        <v>7349</v>
      </c>
      <c r="J1579" s="2">
        <v>1309020</v>
      </c>
      <c r="K1579" s="2">
        <v>6000</v>
      </c>
      <c r="L1579" s="2">
        <v>15</v>
      </c>
      <c r="M1579" s="2">
        <v>0</v>
      </c>
      <c r="N1579" t="s">
        <v>7350</v>
      </c>
      <c r="O1579" t="s">
        <v>7351</v>
      </c>
      <c r="P1579" t="s">
        <v>91</v>
      </c>
      <c r="Q1579" t="s">
        <v>92</v>
      </c>
      <c r="S1579" t="s">
        <v>7352</v>
      </c>
      <c r="U1579" t="s">
        <v>45</v>
      </c>
      <c r="V1579" t="s">
        <v>46</v>
      </c>
      <c r="W1579" t="s">
        <v>7350</v>
      </c>
      <c r="X1579" t="s">
        <v>7351</v>
      </c>
      <c r="Y1579" t="s">
        <v>92</v>
      </c>
      <c r="Z1579" t="s">
        <v>94</v>
      </c>
      <c r="AA1579" t="s">
        <v>49</v>
      </c>
      <c r="AB1579" t="s">
        <v>50</v>
      </c>
      <c r="AC1579" s="2">
        <v>1201626.52</v>
      </c>
      <c r="AD1579" t="s">
        <v>7353</v>
      </c>
      <c r="AE1579" t="s">
        <v>52</v>
      </c>
    </row>
    <row r="1580" spans="1:31" x14ac:dyDescent="0.25">
      <c r="A1580" t="s">
        <v>7354</v>
      </c>
      <c r="B1580" t="s">
        <v>7355</v>
      </c>
      <c r="C1580" t="s">
        <v>7355</v>
      </c>
      <c r="D1580" t="s">
        <v>299</v>
      </c>
      <c r="E1580" t="s">
        <v>167</v>
      </c>
      <c r="F1580" t="s">
        <v>7356</v>
      </c>
      <c r="G1580" t="s">
        <v>299</v>
      </c>
      <c r="H1580" t="s">
        <v>7333</v>
      </c>
      <c r="I1580" t="s">
        <v>7357</v>
      </c>
      <c r="J1580" s="2">
        <v>1032895</v>
      </c>
      <c r="K1580" s="2">
        <v>4734.3599999999997</v>
      </c>
      <c r="L1580" s="2">
        <v>30</v>
      </c>
      <c r="M1580" s="2">
        <v>0</v>
      </c>
      <c r="N1580" t="s">
        <v>7334</v>
      </c>
      <c r="O1580" t="s">
        <v>7335</v>
      </c>
      <c r="P1580" t="s">
        <v>2320</v>
      </c>
      <c r="Q1580" t="s">
        <v>2321</v>
      </c>
      <c r="S1580" t="s">
        <v>7358</v>
      </c>
      <c r="U1580" t="s">
        <v>45</v>
      </c>
      <c r="V1580" t="s">
        <v>46</v>
      </c>
      <c r="W1580" t="s">
        <v>7334</v>
      </c>
      <c r="X1580" t="s">
        <v>7335</v>
      </c>
      <c r="Y1580" t="s">
        <v>5743</v>
      </c>
      <c r="Z1580" t="s">
        <v>5744</v>
      </c>
      <c r="AA1580" t="s">
        <v>49</v>
      </c>
      <c r="AB1580" t="s">
        <v>50</v>
      </c>
      <c r="AC1580" s="2">
        <v>144008.76</v>
      </c>
      <c r="AD1580" t="s">
        <v>7359</v>
      </c>
      <c r="AE1580" t="s">
        <v>52</v>
      </c>
    </row>
    <row r="1581" spans="1:31" x14ac:dyDescent="0.25">
      <c r="A1581" t="s">
        <v>7360</v>
      </c>
      <c r="B1581" t="s">
        <v>7361</v>
      </c>
      <c r="C1581" t="s">
        <v>7361</v>
      </c>
      <c r="D1581" t="s">
        <v>125</v>
      </c>
      <c r="E1581" t="s">
        <v>126</v>
      </c>
      <c r="F1581" t="s">
        <v>7362</v>
      </c>
      <c r="G1581" t="s">
        <v>125</v>
      </c>
      <c r="H1581" t="s">
        <v>7333</v>
      </c>
      <c r="I1581" t="s">
        <v>7357</v>
      </c>
      <c r="J1581" s="2">
        <v>3466350</v>
      </c>
      <c r="K1581" s="2">
        <v>15000</v>
      </c>
      <c r="L1581" s="2">
        <v>30</v>
      </c>
      <c r="M1581" s="2">
        <v>0</v>
      </c>
      <c r="N1581" t="s">
        <v>7334</v>
      </c>
      <c r="O1581" t="s">
        <v>7335</v>
      </c>
      <c r="P1581" t="s">
        <v>2320</v>
      </c>
      <c r="Q1581" t="s">
        <v>2321</v>
      </c>
      <c r="S1581" t="s">
        <v>7363</v>
      </c>
      <c r="U1581" t="s">
        <v>45</v>
      </c>
      <c r="V1581" t="s">
        <v>46</v>
      </c>
      <c r="W1581" t="s">
        <v>7334</v>
      </c>
      <c r="X1581" t="s">
        <v>7335</v>
      </c>
      <c r="Y1581" t="s">
        <v>5743</v>
      </c>
      <c r="Z1581" t="s">
        <v>5744</v>
      </c>
      <c r="AA1581" t="s">
        <v>49</v>
      </c>
      <c r="AB1581" t="s">
        <v>50</v>
      </c>
      <c r="AC1581" s="2">
        <v>1348370.44</v>
      </c>
      <c r="AD1581" t="s">
        <v>7364</v>
      </c>
      <c r="AE1581" t="s">
        <v>115</v>
      </c>
    </row>
    <row r="1582" spans="1:31" x14ac:dyDescent="0.25">
      <c r="A1582" t="s">
        <v>7365</v>
      </c>
      <c r="B1582" t="s">
        <v>7366</v>
      </c>
      <c r="C1582" t="s">
        <v>7366</v>
      </c>
      <c r="D1582" t="s">
        <v>125</v>
      </c>
      <c r="E1582" t="s">
        <v>126</v>
      </c>
      <c r="F1582" t="s">
        <v>7367</v>
      </c>
      <c r="G1582" t="s">
        <v>125</v>
      </c>
      <c r="H1582" t="s">
        <v>7333</v>
      </c>
      <c r="I1582" t="s">
        <v>7368</v>
      </c>
      <c r="J1582" s="2">
        <v>2474100</v>
      </c>
      <c r="K1582" s="2">
        <v>10000</v>
      </c>
      <c r="L1582" s="2">
        <v>30</v>
      </c>
      <c r="M1582" s="2">
        <v>0</v>
      </c>
      <c r="N1582" t="s">
        <v>7334</v>
      </c>
      <c r="O1582" t="s">
        <v>7335</v>
      </c>
      <c r="P1582" t="s">
        <v>2320</v>
      </c>
      <c r="Q1582" t="s">
        <v>2321</v>
      </c>
      <c r="S1582" t="s">
        <v>7369</v>
      </c>
      <c r="U1582" t="s">
        <v>45</v>
      </c>
      <c r="V1582" t="s">
        <v>46</v>
      </c>
      <c r="W1582" t="s">
        <v>7334</v>
      </c>
      <c r="X1582" t="s">
        <v>7335</v>
      </c>
      <c r="Y1582" t="s">
        <v>5743</v>
      </c>
      <c r="Z1582" t="s">
        <v>5744</v>
      </c>
      <c r="AA1582" t="s">
        <v>49</v>
      </c>
      <c r="AB1582" t="s">
        <v>50</v>
      </c>
      <c r="AC1582" s="2">
        <v>987969.51</v>
      </c>
      <c r="AD1582" t="s">
        <v>7370</v>
      </c>
      <c r="AE1582" t="s">
        <v>115</v>
      </c>
    </row>
    <row r="1583" spans="1:31" x14ac:dyDescent="0.25">
      <c r="A1583" t="s">
        <v>7371</v>
      </c>
      <c r="B1583" t="s">
        <v>7372</v>
      </c>
      <c r="C1583" t="s">
        <v>7372</v>
      </c>
      <c r="D1583" t="s">
        <v>125</v>
      </c>
      <c r="E1583" t="s">
        <v>126</v>
      </c>
      <c r="F1583" t="s">
        <v>7373</v>
      </c>
      <c r="G1583" t="s">
        <v>125</v>
      </c>
      <c r="H1583" t="s">
        <v>7374</v>
      </c>
      <c r="I1583" t="s">
        <v>7357</v>
      </c>
      <c r="J1583" s="2">
        <v>4948200</v>
      </c>
      <c r="K1583" s="2">
        <v>20000</v>
      </c>
      <c r="L1583" s="2">
        <v>30</v>
      </c>
      <c r="M1583" s="2">
        <v>0</v>
      </c>
      <c r="N1583" t="s">
        <v>7375</v>
      </c>
      <c r="O1583" t="s">
        <v>7376</v>
      </c>
      <c r="P1583" t="s">
        <v>2320</v>
      </c>
      <c r="Q1583" t="s">
        <v>2321</v>
      </c>
      <c r="S1583" t="s">
        <v>7377</v>
      </c>
      <c r="U1583" t="s">
        <v>45</v>
      </c>
      <c r="V1583" t="s">
        <v>46</v>
      </c>
      <c r="W1583" t="s">
        <v>7375</v>
      </c>
      <c r="X1583" t="s">
        <v>7376</v>
      </c>
      <c r="Y1583" t="s">
        <v>5743</v>
      </c>
      <c r="Z1583" t="s">
        <v>5744</v>
      </c>
      <c r="AA1583" t="s">
        <v>49</v>
      </c>
      <c r="AB1583" t="s">
        <v>50</v>
      </c>
      <c r="AC1583" s="2">
        <v>-1160201.94</v>
      </c>
      <c r="AD1583" t="s">
        <v>7378</v>
      </c>
      <c r="AE1583" t="s">
        <v>115</v>
      </c>
    </row>
    <row r="1584" spans="1:31" hidden="1" x14ac:dyDescent="0.25">
      <c r="A1584" t="s">
        <v>7379</v>
      </c>
      <c r="B1584" t="s">
        <v>7380</v>
      </c>
      <c r="C1584" t="s">
        <v>7380</v>
      </c>
      <c r="F1584" t="s">
        <v>7381</v>
      </c>
      <c r="J1584" s="2">
        <v>1000</v>
      </c>
      <c r="K1584" s="2">
        <v>0</v>
      </c>
      <c r="L1584" s="2">
        <v>1</v>
      </c>
      <c r="M1584" s="2">
        <v>0</v>
      </c>
      <c r="N1584" t="s">
        <v>5741</v>
      </c>
      <c r="O1584" t="s">
        <v>5739</v>
      </c>
      <c r="P1584" t="s">
        <v>2320</v>
      </c>
      <c r="Q1584" t="s">
        <v>2321</v>
      </c>
      <c r="U1584" t="s">
        <v>45</v>
      </c>
      <c r="V1584" t="s">
        <v>46</v>
      </c>
      <c r="W1584" t="s">
        <v>5741</v>
      </c>
      <c r="X1584" t="s">
        <v>5739</v>
      </c>
      <c r="Y1584" t="s">
        <v>5743</v>
      </c>
      <c r="Z1584" t="s">
        <v>5744</v>
      </c>
      <c r="AA1584" t="s">
        <v>49</v>
      </c>
      <c r="AB1584" t="s">
        <v>50</v>
      </c>
      <c r="AC1584" s="2">
        <v>1000</v>
      </c>
      <c r="AD1584" t="s">
        <v>64</v>
      </c>
    </row>
    <row r="1585" spans="1:31" x14ac:dyDescent="0.25">
      <c r="A1585" t="s">
        <v>7382</v>
      </c>
      <c r="B1585" t="s">
        <v>7383</v>
      </c>
      <c r="C1585" t="s">
        <v>7384</v>
      </c>
      <c r="D1585" t="s">
        <v>35</v>
      </c>
      <c r="E1585" t="s">
        <v>36</v>
      </c>
      <c r="F1585" t="s">
        <v>7381</v>
      </c>
      <c r="G1585" t="s">
        <v>35</v>
      </c>
      <c r="H1585" t="s">
        <v>5739</v>
      </c>
      <c r="I1585" t="s">
        <v>7385</v>
      </c>
      <c r="J1585" s="2">
        <v>2181700</v>
      </c>
      <c r="K1585" s="2">
        <v>10000</v>
      </c>
      <c r="L1585" s="2">
        <v>30</v>
      </c>
      <c r="M1585" s="2">
        <v>0</v>
      </c>
      <c r="N1585" t="s">
        <v>5741</v>
      </c>
      <c r="O1585" t="s">
        <v>5739</v>
      </c>
      <c r="P1585" t="s">
        <v>2320</v>
      </c>
      <c r="Q1585" t="s">
        <v>2321</v>
      </c>
      <c r="S1585" t="s">
        <v>7386</v>
      </c>
      <c r="U1585" t="s">
        <v>45</v>
      </c>
      <c r="V1585" t="s">
        <v>46</v>
      </c>
      <c r="W1585" t="s">
        <v>5741</v>
      </c>
      <c r="X1585" t="s">
        <v>5739</v>
      </c>
      <c r="Y1585" t="s">
        <v>5743</v>
      </c>
      <c r="Z1585" t="s">
        <v>5744</v>
      </c>
      <c r="AA1585" t="s">
        <v>49</v>
      </c>
      <c r="AB1585" t="s">
        <v>50</v>
      </c>
      <c r="AC1585" s="2">
        <v>226913.82</v>
      </c>
      <c r="AD1585" t="s">
        <v>7387</v>
      </c>
      <c r="AE1585" t="s">
        <v>115</v>
      </c>
    </row>
    <row r="1586" spans="1:31" x14ac:dyDescent="0.25">
      <c r="A1586" t="s">
        <v>7388</v>
      </c>
      <c r="B1586" t="s">
        <v>7389</v>
      </c>
      <c r="C1586" t="s">
        <v>7389</v>
      </c>
      <c r="D1586" t="s">
        <v>35</v>
      </c>
      <c r="E1586" t="s">
        <v>36</v>
      </c>
      <c r="F1586" t="s">
        <v>7381</v>
      </c>
      <c r="G1586" t="s">
        <v>35</v>
      </c>
      <c r="H1586" t="s">
        <v>6055</v>
      </c>
      <c r="I1586" t="s">
        <v>7385</v>
      </c>
      <c r="J1586" s="2">
        <v>2181700</v>
      </c>
      <c r="K1586" s="2">
        <v>10000</v>
      </c>
      <c r="L1586" s="2">
        <v>30</v>
      </c>
      <c r="M1586" s="2">
        <v>0</v>
      </c>
      <c r="N1586" t="s">
        <v>6057</v>
      </c>
      <c r="O1586" t="s">
        <v>6058</v>
      </c>
      <c r="P1586" t="s">
        <v>2320</v>
      </c>
      <c r="Q1586" t="s">
        <v>2321</v>
      </c>
      <c r="S1586" t="s">
        <v>7386</v>
      </c>
      <c r="U1586" t="s">
        <v>45</v>
      </c>
      <c r="V1586" t="s">
        <v>46</v>
      </c>
      <c r="W1586" t="s">
        <v>6057</v>
      </c>
      <c r="X1586" t="s">
        <v>6058</v>
      </c>
      <c r="Y1586" t="s">
        <v>5743</v>
      </c>
      <c r="Z1586" t="s">
        <v>5744</v>
      </c>
      <c r="AA1586" t="s">
        <v>49</v>
      </c>
      <c r="AB1586" t="s">
        <v>50</v>
      </c>
      <c r="AC1586" s="2">
        <v>589420.32999999996</v>
      </c>
      <c r="AD1586" t="s">
        <v>7390</v>
      </c>
      <c r="AE1586" t="s">
        <v>115</v>
      </c>
    </row>
    <row r="1587" spans="1:31" x14ac:dyDescent="0.25">
      <c r="A1587" t="s">
        <v>7391</v>
      </c>
      <c r="B1587" t="s">
        <v>7392</v>
      </c>
      <c r="C1587" t="s">
        <v>7392</v>
      </c>
      <c r="D1587" t="s">
        <v>35</v>
      </c>
      <c r="E1587" t="s">
        <v>36</v>
      </c>
      <c r="F1587" t="s">
        <v>7393</v>
      </c>
      <c r="G1587" t="s">
        <v>35</v>
      </c>
      <c r="H1587" t="s">
        <v>6113</v>
      </c>
      <c r="I1587" t="s">
        <v>7385</v>
      </c>
      <c r="J1587" s="2">
        <v>2181700</v>
      </c>
      <c r="K1587" s="2">
        <v>10000</v>
      </c>
      <c r="L1587" s="2">
        <v>30</v>
      </c>
      <c r="M1587" s="2">
        <v>0</v>
      </c>
      <c r="N1587" t="s">
        <v>5741</v>
      </c>
      <c r="O1587" t="s">
        <v>5739</v>
      </c>
      <c r="P1587" t="s">
        <v>2320</v>
      </c>
      <c r="Q1587" t="s">
        <v>2321</v>
      </c>
      <c r="S1587" t="s">
        <v>7394</v>
      </c>
      <c r="U1587" t="s">
        <v>45</v>
      </c>
      <c r="V1587" t="s">
        <v>46</v>
      </c>
      <c r="W1587" t="s">
        <v>5741</v>
      </c>
      <c r="X1587" t="s">
        <v>5739</v>
      </c>
      <c r="Y1587" t="s">
        <v>5743</v>
      </c>
      <c r="Z1587" t="s">
        <v>5744</v>
      </c>
      <c r="AA1587" t="s">
        <v>49</v>
      </c>
      <c r="AB1587" t="s">
        <v>50</v>
      </c>
      <c r="AC1587" s="2">
        <v>143910.87</v>
      </c>
      <c r="AD1587" t="s">
        <v>7395</v>
      </c>
      <c r="AE1587" t="s">
        <v>115</v>
      </c>
    </row>
    <row r="1588" spans="1:31" x14ac:dyDescent="0.25">
      <c r="A1588" t="s">
        <v>7396</v>
      </c>
      <c r="B1588" t="s">
        <v>7397</v>
      </c>
      <c r="C1588" t="s">
        <v>7397</v>
      </c>
      <c r="D1588" t="s">
        <v>35</v>
      </c>
      <c r="E1588" t="s">
        <v>36</v>
      </c>
      <c r="F1588" t="s">
        <v>7398</v>
      </c>
      <c r="G1588" t="s">
        <v>35</v>
      </c>
      <c r="H1588" t="s">
        <v>6113</v>
      </c>
      <c r="I1588" t="s">
        <v>7385</v>
      </c>
      <c r="J1588" s="2">
        <v>2181700</v>
      </c>
      <c r="K1588" s="2">
        <v>10000</v>
      </c>
      <c r="L1588" s="2">
        <v>30</v>
      </c>
      <c r="M1588" s="2">
        <v>0</v>
      </c>
      <c r="N1588" t="s">
        <v>5741</v>
      </c>
      <c r="O1588" t="s">
        <v>5739</v>
      </c>
      <c r="P1588" t="s">
        <v>2320</v>
      </c>
      <c r="Q1588" t="s">
        <v>2321</v>
      </c>
      <c r="S1588" t="s">
        <v>7399</v>
      </c>
      <c r="U1588" t="s">
        <v>45</v>
      </c>
      <c r="V1588" t="s">
        <v>46</v>
      </c>
      <c r="W1588" t="s">
        <v>5741</v>
      </c>
      <c r="X1588" t="s">
        <v>5739</v>
      </c>
      <c r="Y1588" t="s">
        <v>5743</v>
      </c>
      <c r="Z1588" t="s">
        <v>5744</v>
      </c>
      <c r="AA1588" t="s">
        <v>49</v>
      </c>
      <c r="AB1588" t="s">
        <v>50</v>
      </c>
      <c r="AC1588" s="2">
        <v>298297.88</v>
      </c>
      <c r="AD1588" t="s">
        <v>7400</v>
      </c>
      <c r="AE1588" t="s">
        <v>115</v>
      </c>
    </row>
    <row r="1589" spans="1:31" x14ac:dyDescent="0.25">
      <c r="A1589" t="s">
        <v>7401</v>
      </c>
      <c r="B1589" t="s">
        <v>7402</v>
      </c>
      <c r="C1589" t="s">
        <v>7402</v>
      </c>
      <c r="D1589" t="s">
        <v>125</v>
      </c>
      <c r="E1589" t="s">
        <v>126</v>
      </c>
      <c r="F1589" t="s">
        <v>7403</v>
      </c>
      <c r="G1589" t="s">
        <v>125</v>
      </c>
      <c r="H1589" t="s">
        <v>6113</v>
      </c>
      <c r="I1589" t="s">
        <v>7385</v>
      </c>
      <c r="J1589" s="2">
        <v>1090850</v>
      </c>
      <c r="K1589" s="2">
        <v>5000</v>
      </c>
      <c r="L1589" s="2">
        <v>30</v>
      </c>
      <c r="M1589" s="2">
        <v>0</v>
      </c>
      <c r="N1589" t="s">
        <v>5741</v>
      </c>
      <c r="O1589" t="s">
        <v>5739</v>
      </c>
      <c r="P1589" t="s">
        <v>2320</v>
      </c>
      <c r="Q1589" t="s">
        <v>2321</v>
      </c>
      <c r="S1589" t="s">
        <v>7404</v>
      </c>
      <c r="U1589" t="s">
        <v>45</v>
      </c>
      <c r="V1589" t="s">
        <v>46</v>
      </c>
      <c r="W1589" t="s">
        <v>5741</v>
      </c>
      <c r="X1589" t="s">
        <v>5739</v>
      </c>
      <c r="Y1589" t="s">
        <v>5743</v>
      </c>
      <c r="Z1589" t="s">
        <v>5744</v>
      </c>
      <c r="AA1589" t="s">
        <v>49</v>
      </c>
      <c r="AB1589" t="s">
        <v>50</v>
      </c>
      <c r="AC1589" s="2">
        <v>123671.14</v>
      </c>
      <c r="AD1589" t="s">
        <v>7405</v>
      </c>
      <c r="AE1589" t="s">
        <v>115</v>
      </c>
    </row>
    <row r="1590" spans="1:31" x14ac:dyDescent="0.25">
      <c r="A1590" t="s">
        <v>7406</v>
      </c>
      <c r="B1590" t="s">
        <v>7407</v>
      </c>
      <c r="C1590" t="s">
        <v>7407</v>
      </c>
      <c r="D1590" t="s">
        <v>125</v>
      </c>
      <c r="E1590" t="s">
        <v>126</v>
      </c>
      <c r="F1590" t="s">
        <v>7408</v>
      </c>
      <c r="G1590" t="s">
        <v>125</v>
      </c>
      <c r="H1590" t="s">
        <v>1360</v>
      </c>
      <c r="I1590" t="s">
        <v>7409</v>
      </c>
      <c r="J1590" s="2">
        <v>786144</v>
      </c>
      <c r="K1590" s="2">
        <v>3200</v>
      </c>
      <c r="L1590" s="2">
        <v>15</v>
      </c>
      <c r="M1590" s="2">
        <v>0</v>
      </c>
      <c r="N1590" t="s">
        <v>1362</v>
      </c>
      <c r="O1590" t="s">
        <v>1360</v>
      </c>
      <c r="P1590" t="s">
        <v>1421</v>
      </c>
      <c r="Q1590" t="s">
        <v>1422</v>
      </c>
      <c r="S1590" t="s">
        <v>7410</v>
      </c>
      <c r="U1590" t="s">
        <v>45</v>
      </c>
      <c r="V1590" t="s">
        <v>46</v>
      </c>
      <c r="W1590" t="s">
        <v>1362</v>
      </c>
      <c r="X1590" t="s">
        <v>1360</v>
      </c>
      <c r="Y1590" t="s">
        <v>1215</v>
      </c>
      <c r="Z1590" t="s">
        <v>1216</v>
      </c>
      <c r="AA1590" t="s">
        <v>49</v>
      </c>
      <c r="AB1590" t="s">
        <v>50</v>
      </c>
      <c r="AC1590" s="2">
        <v>559297.86</v>
      </c>
      <c r="AD1590" t="s">
        <v>7411</v>
      </c>
      <c r="AE1590" t="s">
        <v>115</v>
      </c>
    </row>
    <row r="1591" spans="1:31" x14ac:dyDescent="0.25">
      <c r="A1591" t="s">
        <v>7412</v>
      </c>
      <c r="B1591" t="s">
        <v>7413</v>
      </c>
      <c r="C1591" t="s">
        <v>7413</v>
      </c>
      <c r="D1591" t="s">
        <v>1865</v>
      </c>
      <c r="E1591" t="s">
        <v>224</v>
      </c>
      <c r="F1591" t="s">
        <v>7414</v>
      </c>
      <c r="G1591" t="s">
        <v>2120</v>
      </c>
      <c r="H1591" t="s">
        <v>7147</v>
      </c>
      <c r="I1591" t="s">
        <v>7415</v>
      </c>
      <c r="J1591" s="2">
        <v>87268</v>
      </c>
      <c r="K1591" s="2">
        <v>400</v>
      </c>
      <c r="L1591" s="2">
        <v>15</v>
      </c>
      <c r="M1591" s="2">
        <v>0</v>
      </c>
      <c r="N1591" t="s">
        <v>6940</v>
      </c>
      <c r="O1591" t="s">
        <v>6939</v>
      </c>
      <c r="P1591" t="s">
        <v>3487</v>
      </c>
      <c r="Q1591" t="s">
        <v>3488</v>
      </c>
      <c r="S1591" t="s">
        <v>7416</v>
      </c>
      <c r="U1591" t="s">
        <v>45</v>
      </c>
      <c r="V1591" t="s">
        <v>46</v>
      </c>
      <c r="W1591" t="s">
        <v>6940</v>
      </c>
      <c r="X1591" t="s">
        <v>6939</v>
      </c>
      <c r="Y1591" t="s">
        <v>79</v>
      </c>
      <c r="Z1591" t="s">
        <v>94</v>
      </c>
      <c r="AA1591" t="s">
        <v>49</v>
      </c>
      <c r="AB1591" t="s">
        <v>50</v>
      </c>
      <c r="AC1591" s="2">
        <v>87268</v>
      </c>
      <c r="AD1591" t="s">
        <v>64</v>
      </c>
    </row>
    <row r="1592" spans="1:31" x14ac:dyDescent="0.25">
      <c r="A1592" t="s">
        <v>7417</v>
      </c>
      <c r="B1592" t="s">
        <v>7418</v>
      </c>
      <c r="C1592" t="s">
        <v>7418</v>
      </c>
      <c r="D1592" t="s">
        <v>1410</v>
      </c>
      <c r="E1592" t="s">
        <v>871</v>
      </c>
      <c r="F1592" t="s">
        <v>7419</v>
      </c>
      <c r="G1592" t="s">
        <v>3194</v>
      </c>
      <c r="H1592" t="s">
        <v>79</v>
      </c>
      <c r="I1592" t="s">
        <v>7420</v>
      </c>
      <c r="J1592" s="2">
        <v>2181700</v>
      </c>
      <c r="K1592" s="2">
        <v>10000</v>
      </c>
      <c r="L1592" s="2">
        <v>21</v>
      </c>
      <c r="M1592" s="2">
        <v>0</v>
      </c>
      <c r="N1592" t="s">
        <v>495</v>
      </c>
      <c r="O1592" t="s">
        <v>79</v>
      </c>
      <c r="P1592" t="s">
        <v>3487</v>
      </c>
      <c r="Q1592" t="s">
        <v>3488</v>
      </c>
      <c r="S1592" t="s">
        <v>7421</v>
      </c>
      <c r="U1592" t="s">
        <v>45</v>
      </c>
      <c r="V1592" t="s">
        <v>46</v>
      </c>
      <c r="W1592" t="s">
        <v>495</v>
      </c>
      <c r="X1592" t="s">
        <v>79</v>
      </c>
      <c r="Y1592" t="s">
        <v>79</v>
      </c>
      <c r="Z1592" t="s">
        <v>94</v>
      </c>
      <c r="AA1592" t="s">
        <v>49</v>
      </c>
      <c r="AB1592" t="s">
        <v>50</v>
      </c>
      <c r="AC1592" s="2">
        <v>2181700</v>
      </c>
      <c r="AD1592" t="s">
        <v>64</v>
      </c>
    </row>
    <row r="1593" spans="1:31" hidden="1" x14ac:dyDescent="0.25">
      <c r="I1593" t="s">
        <v>7422</v>
      </c>
      <c r="J1593" s="2">
        <v>1000</v>
      </c>
      <c r="K1593" s="2">
        <v>0</v>
      </c>
      <c r="L1593" s="2">
        <v>15</v>
      </c>
      <c r="M1593" s="2">
        <v>0</v>
      </c>
      <c r="S1593" t="s">
        <v>7425</v>
      </c>
      <c r="U1593" t="s">
        <v>45</v>
      </c>
      <c r="V1593" t="s">
        <v>46</v>
      </c>
      <c r="W1593" t="s">
        <v>7423</v>
      </c>
      <c r="X1593" t="s">
        <v>7424</v>
      </c>
      <c r="Y1593" t="s">
        <v>79</v>
      </c>
      <c r="Z1593" t="s">
        <v>94</v>
      </c>
      <c r="AA1593" t="s">
        <v>49</v>
      </c>
      <c r="AC1593" s="2"/>
    </row>
    <row r="1594" spans="1:31" x14ac:dyDescent="0.25">
      <c r="A1594" t="s">
        <v>7426</v>
      </c>
      <c r="B1594" t="s">
        <v>7427</v>
      </c>
      <c r="C1594" t="s">
        <v>7427</v>
      </c>
      <c r="D1594" t="s">
        <v>4391</v>
      </c>
      <c r="E1594" t="s">
        <v>134</v>
      </c>
      <c r="F1594" t="s">
        <v>7428</v>
      </c>
      <c r="G1594" t="s">
        <v>76</v>
      </c>
      <c r="H1594" t="s">
        <v>7340</v>
      </c>
      <c r="J1594" s="2">
        <v>109085</v>
      </c>
      <c r="K1594" s="2">
        <v>500</v>
      </c>
      <c r="L1594" s="2">
        <v>30</v>
      </c>
      <c r="M1594" s="2">
        <v>0</v>
      </c>
      <c r="N1594" t="s">
        <v>7341</v>
      </c>
      <c r="O1594" t="s">
        <v>7342</v>
      </c>
      <c r="P1594" t="s">
        <v>6987</v>
      </c>
      <c r="Q1594" t="s">
        <v>6988</v>
      </c>
      <c r="S1594" t="s">
        <v>7429</v>
      </c>
      <c r="U1594" t="s">
        <v>45</v>
      </c>
      <c r="V1594" t="s">
        <v>46</v>
      </c>
      <c r="W1594" t="s">
        <v>7341</v>
      </c>
      <c r="X1594" t="s">
        <v>7342</v>
      </c>
      <c r="Y1594" t="s">
        <v>2399</v>
      </c>
      <c r="Z1594" t="s">
        <v>2400</v>
      </c>
      <c r="AA1594" t="s">
        <v>49</v>
      </c>
      <c r="AB1594" t="s">
        <v>50</v>
      </c>
      <c r="AC1594" s="2">
        <v>109085</v>
      </c>
      <c r="AD1594" t="s">
        <v>64</v>
      </c>
    </row>
    <row r="1595" spans="1:31" x14ac:dyDescent="0.25">
      <c r="A1595" t="s">
        <v>7430</v>
      </c>
      <c r="B1595" t="s">
        <v>7431</v>
      </c>
      <c r="C1595" t="s">
        <v>7431</v>
      </c>
      <c r="D1595" t="s">
        <v>125</v>
      </c>
      <c r="E1595" t="s">
        <v>126</v>
      </c>
      <c r="F1595" t="s">
        <v>7432</v>
      </c>
      <c r="G1595" t="s">
        <v>125</v>
      </c>
      <c r="H1595" t="s">
        <v>1360</v>
      </c>
      <c r="I1595" t="s">
        <v>7385</v>
      </c>
      <c r="J1595" s="2">
        <v>2181700</v>
      </c>
      <c r="K1595" s="2">
        <v>10000</v>
      </c>
      <c r="L1595" s="2">
        <v>30</v>
      </c>
      <c r="M1595" s="2">
        <v>0</v>
      </c>
      <c r="N1595" t="s">
        <v>1362</v>
      </c>
      <c r="O1595" t="s">
        <v>1360</v>
      </c>
      <c r="P1595" t="s">
        <v>2320</v>
      </c>
      <c r="Q1595" t="s">
        <v>2321</v>
      </c>
      <c r="S1595" t="s">
        <v>7433</v>
      </c>
      <c r="U1595" t="s">
        <v>45</v>
      </c>
      <c r="V1595" t="s">
        <v>46</v>
      </c>
      <c r="W1595" t="s">
        <v>1362</v>
      </c>
      <c r="X1595" t="s">
        <v>1360</v>
      </c>
      <c r="Y1595" t="s">
        <v>1215</v>
      </c>
      <c r="Z1595" t="s">
        <v>1216</v>
      </c>
      <c r="AA1595" t="s">
        <v>49</v>
      </c>
      <c r="AB1595" t="s">
        <v>50</v>
      </c>
      <c r="AC1595" s="2">
        <v>759501.07</v>
      </c>
      <c r="AD1595" t="s">
        <v>7434</v>
      </c>
      <c r="AE1595" t="s">
        <v>115</v>
      </c>
    </row>
    <row r="1596" spans="1:31" hidden="1" x14ac:dyDescent="0.25">
      <c r="A1596" t="s">
        <v>7435</v>
      </c>
      <c r="B1596" t="s">
        <v>7436</v>
      </c>
      <c r="C1596" t="s">
        <v>7436</v>
      </c>
      <c r="F1596" t="s">
        <v>7437</v>
      </c>
      <c r="H1596" t="s">
        <v>79</v>
      </c>
      <c r="J1596" s="2">
        <v>1000</v>
      </c>
      <c r="K1596" s="2">
        <v>0</v>
      </c>
      <c r="L1596" s="2">
        <v>1</v>
      </c>
      <c r="M1596" s="2">
        <v>0</v>
      </c>
      <c r="N1596" t="s">
        <v>495</v>
      </c>
      <c r="O1596" t="s">
        <v>79</v>
      </c>
      <c r="P1596" t="s">
        <v>3487</v>
      </c>
      <c r="Q1596" t="s">
        <v>3488</v>
      </c>
      <c r="U1596" t="s">
        <v>45</v>
      </c>
      <c r="V1596" t="s">
        <v>46</v>
      </c>
      <c r="W1596" t="s">
        <v>495</v>
      </c>
      <c r="X1596" t="s">
        <v>79</v>
      </c>
      <c r="Y1596" t="s">
        <v>79</v>
      </c>
      <c r="Z1596" t="s">
        <v>94</v>
      </c>
      <c r="AA1596" t="s">
        <v>49</v>
      </c>
      <c r="AB1596" t="s">
        <v>50</v>
      </c>
      <c r="AC1596" s="2">
        <v>1000</v>
      </c>
      <c r="AD1596" t="s">
        <v>64</v>
      </c>
    </row>
    <row r="1597" spans="1:31" x14ac:dyDescent="0.25">
      <c r="A1597" t="s">
        <v>7438</v>
      </c>
      <c r="B1597" t="s">
        <v>7439</v>
      </c>
      <c r="C1597" t="s">
        <v>6927</v>
      </c>
      <c r="D1597" t="s">
        <v>35</v>
      </c>
      <c r="E1597" t="s">
        <v>36</v>
      </c>
      <c r="F1597" t="s">
        <v>7437</v>
      </c>
      <c r="G1597" t="s">
        <v>297</v>
      </c>
      <c r="H1597" t="s">
        <v>79</v>
      </c>
      <c r="I1597" t="s">
        <v>7440</v>
      </c>
      <c r="J1597" s="2">
        <v>479974</v>
      </c>
      <c r="K1597" s="2">
        <v>2200</v>
      </c>
      <c r="L1597" s="2">
        <v>25</v>
      </c>
      <c r="M1597" s="2">
        <v>0</v>
      </c>
      <c r="N1597" t="s">
        <v>495</v>
      </c>
      <c r="O1597" t="s">
        <v>79</v>
      </c>
      <c r="P1597" t="s">
        <v>3487</v>
      </c>
      <c r="Q1597" t="s">
        <v>3488</v>
      </c>
      <c r="S1597" t="s">
        <v>6929</v>
      </c>
      <c r="U1597" t="s">
        <v>45</v>
      </c>
      <c r="V1597" t="s">
        <v>46</v>
      </c>
      <c r="W1597" t="s">
        <v>495</v>
      </c>
      <c r="X1597" t="s">
        <v>79</v>
      </c>
      <c r="Y1597" t="s">
        <v>79</v>
      </c>
      <c r="Z1597" t="s">
        <v>94</v>
      </c>
      <c r="AA1597" t="s">
        <v>49</v>
      </c>
      <c r="AB1597" t="s">
        <v>50</v>
      </c>
      <c r="AC1597" s="2">
        <v>350290.74</v>
      </c>
      <c r="AD1597" t="s">
        <v>7441</v>
      </c>
      <c r="AE1597" t="s">
        <v>52</v>
      </c>
    </row>
    <row r="1598" spans="1:31" x14ac:dyDescent="0.25">
      <c r="A1598" t="s">
        <v>7442</v>
      </c>
      <c r="B1598" t="s">
        <v>7443</v>
      </c>
      <c r="C1598" t="s">
        <v>7443</v>
      </c>
      <c r="D1598" t="s">
        <v>297</v>
      </c>
      <c r="E1598" t="s">
        <v>167</v>
      </c>
      <c r="F1598" t="s">
        <v>7444</v>
      </c>
      <c r="G1598" t="s">
        <v>297</v>
      </c>
      <c r="H1598" t="s">
        <v>6627</v>
      </c>
      <c r="I1598" t="s">
        <v>7445</v>
      </c>
      <c r="J1598" s="2">
        <v>479974</v>
      </c>
      <c r="K1598" s="2">
        <v>2200</v>
      </c>
      <c r="L1598" s="2">
        <v>21</v>
      </c>
      <c r="M1598" s="2">
        <v>0</v>
      </c>
      <c r="N1598" t="s">
        <v>6629</v>
      </c>
      <c r="O1598" t="s">
        <v>6630</v>
      </c>
      <c r="P1598" t="s">
        <v>3487</v>
      </c>
      <c r="Q1598" t="s">
        <v>3488</v>
      </c>
      <c r="S1598" t="s">
        <v>7446</v>
      </c>
      <c r="U1598" t="s">
        <v>45</v>
      </c>
      <c r="V1598" t="s">
        <v>46</v>
      </c>
      <c r="W1598" t="s">
        <v>6629</v>
      </c>
      <c r="X1598" t="s">
        <v>6630</v>
      </c>
      <c r="Y1598" t="s">
        <v>79</v>
      </c>
      <c r="Z1598" t="s">
        <v>94</v>
      </c>
      <c r="AA1598" t="s">
        <v>49</v>
      </c>
      <c r="AB1598" t="s">
        <v>50</v>
      </c>
      <c r="AC1598" s="2">
        <v>81643.95</v>
      </c>
      <c r="AD1598" t="s">
        <v>7447</v>
      </c>
      <c r="AE1598" t="s">
        <v>52</v>
      </c>
    </row>
    <row r="1599" spans="1:31" x14ac:dyDescent="0.25">
      <c r="A1599" t="s">
        <v>7448</v>
      </c>
      <c r="B1599" t="s">
        <v>7449</v>
      </c>
      <c r="C1599" t="s">
        <v>7449</v>
      </c>
      <c r="D1599" t="s">
        <v>3472</v>
      </c>
      <c r="E1599" t="s">
        <v>871</v>
      </c>
      <c r="F1599" t="s">
        <v>7450</v>
      </c>
      <c r="G1599" t="s">
        <v>3857</v>
      </c>
      <c r="H1599" t="s">
        <v>79</v>
      </c>
      <c r="I1599" t="s">
        <v>7451</v>
      </c>
      <c r="J1599" s="2">
        <v>109085</v>
      </c>
      <c r="K1599" s="2">
        <v>500</v>
      </c>
      <c r="L1599" s="2">
        <v>15</v>
      </c>
      <c r="M1599" s="2">
        <v>0</v>
      </c>
      <c r="N1599" t="s">
        <v>495</v>
      </c>
      <c r="O1599" t="s">
        <v>79</v>
      </c>
      <c r="P1599" t="s">
        <v>3487</v>
      </c>
      <c r="Q1599" t="s">
        <v>3488</v>
      </c>
      <c r="S1599" t="s">
        <v>7452</v>
      </c>
      <c r="U1599" t="s">
        <v>45</v>
      </c>
      <c r="V1599" t="s">
        <v>46</v>
      </c>
      <c r="W1599" t="s">
        <v>495</v>
      </c>
      <c r="X1599" t="s">
        <v>79</v>
      </c>
      <c r="Y1599" t="s">
        <v>79</v>
      </c>
      <c r="Z1599" t="s">
        <v>94</v>
      </c>
      <c r="AA1599" t="s">
        <v>49</v>
      </c>
      <c r="AB1599" t="s">
        <v>50</v>
      </c>
      <c r="AC1599" s="2">
        <v>109085</v>
      </c>
      <c r="AD1599" t="s">
        <v>64</v>
      </c>
    </row>
    <row r="1600" spans="1:31" x14ac:dyDescent="0.25">
      <c r="A1600" t="s">
        <v>7453</v>
      </c>
      <c r="B1600" t="s">
        <v>7454</v>
      </c>
      <c r="C1600" t="s">
        <v>7454</v>
      </c>
      <c r="D1600" t="s">
        <v>125</v>
      </c>
      <c r="E1600" t="s">
        <v>126</v>
      </c>
      <c r="F1600" t="s">
        <v>7455</v>
      </c>
      <c r="G1600" t="s">
        <v>125</v>
      </c>
      <c r="H1600" t="s">
        <v>2318</v>
      </c>
      <c r="I1600" t="s">
        <v>7456</v>
      </c>
      <c r="J1600" s="2">
        <v>241580</v>
      </c>
      <c r="K1600" s="2">
        <v>1000</v>
      </c>
      <c r="L1600" s="2">
        <v>21</v>
      </c>
      <c r="M1600" s="2">
        <v>0</v>
      </c>
      <c r="N1600" t="s">
        <v>2159</v>
      </c>
      <c r="O1600" t="s">
        <v>2160</v>
      </c>
      <c r="P1600" t="s">
        <v>4315</v>
      </c>
      <c r="Q1600" t="s">
        <v>4316</v>
      </c>
      <c r="S1600" t="s">
        <v>7457</v>
      </c>
      <c r="U1600" t="s">
        <v>45</v>
      </c>
      <c r="V1600" t="s">
        <v>46</v>
      </c>
      <c r="W1600" t="s">
        <v>2159</v>
      </c>
      <c r="X1600" t="s">
        <v>2160</v>
      </c>
      <c r="Y1600" t="s">
        <v>2157</v>
      </c>
      <c r="Z1600" t="s">
        <v>48</v>
      </c>
      <c r="AA1600" t="s">
        <v>49</v>
      </c>
      <c r="AB1600" t="s">
        <v>50</v>
      </c>
      <c r="AC1600" s="2">
        <v>64677.93</v>
      </c>
      <c r="AD1600" t="s">
        <v>7458</v>
      </c>
      <c r="AE1600" t="s">
        <v>52</v>
      </c>
    </row>
    <row r="1601" spans="1:31" x14ac:dyDescent="0.25">
      <c r="A1601" t="s">
        <v>7459</v>
      </c>
      <c r="B1601" t="s">
        <v>7460</v>
      </c>
      <c r="C1601" t="s">
        <v>7460</v>
      </c>
      <c r="D1601" t="s">
        <v>773</v>
      </c>
      <c r="E1601" t="s">
        <v>224</v>
      </c>
      <c r="F1601" t="s">
        <v>7461</v>
      </c>
      <c r="G1601" t="s">
        <v>773</v>
      </c>
      <c r="H1601" t="s">
        <v>41</v>
      </c>
      <c r="J1601" s="2">
        <v>654510</v>
      </c>
      <c r="K1601" s="2">
        <v>3000</v>
      </c>
      <c r="L1601" s="2">
        <v>21</v>
      </c>
      <c r="M1601" s="2">
        <v>0</v>
      </c>
      <c r="N1601" t="s">
        <v>40</v>
      </c>
      <c r="O1601" t="s">
        <v>41</v>
      </c>
      <c r="P1601" t="s">
        <v>61</v>
      </c>
      <c r="Q1601" t="s">
        <v>62</v>
      </c>
      <c r="S1601" t="s">
        <v>7462</v>
      </c>
      <c r="U1601" t="s">
        <v>45</v>
      </c>
      <c r="V1601" t="s">
        <v>46</v>
      </c>
      <c r="W1601" t="s">
        <v>40</v>
      </c>
      <c r="X1601" t="s">
        <v>41</v>
      </c>
      <c r="Y1601" t="s">
        <v>47</v>
      </c>
      <c r="Z1601" t="s">
        <v>48</v>
      </c>
      <c r="AA1601" t="s">
        <v>49</v>
      </c>
      <c r="AB1601" t="s">
        <v>50</v>
      </c>
      <c r="AC1601" s="2">
        <v>654510</v>
      </c>
      <c r="AD1601" t="s">
        <v>64</v>
      </c>
    </row>
    <row r="1602" spans="1:31" hidden="1" x14ac:dyDescent="0.25">
      <c r="A1602" t="s">
        <v>7463</v>
      </c>
      <c r="B1602" t="s">
        <v>7464</v>
      </c>
      <c r="C1602" t="s">
        <v>7464</v>
      </c>
      <c r="F1602" t="s">
        <v>7465</v>
      </c>
      <c r="H1602" t="s">
        <v>404</v>
      </c>
      <c r="J1602" s="2">
        <v>1000</v>
      </c>
      <c r="K1602" s="2">
        <v>0</v>
      </c>
      <c r="L1602" s="2">
        <v>1</v>
      </c>
      <c r="M1602" s="2">
        <v>0</v>
      </c>
      <c r="N1602" t="s">
        <v>403</v>
      </c>
      <c r="O1602" t="s">
        <v>404</v>
      </c>
      <c r="P1602" t="s">
        <v>5952</v>
      </c>
      <c r="Q1602" t="s">
        <v>5953</v>
      </c>
      <c r="S1602" t="s">
        <v>7466</v>
      </c>
      <c r="U1602" t="s">
        <v>45</v>
      </c>
      <c r="V1602" t="s">
        <v>46</v>
      </c>
      <c r="W1602" t="s">
        <v>403</v>
      </c>
      <c r="X1602" t="s">
        <v>404</v>
      </c>
      <c r="Y1602" t="s">
        <v>161</v>
      </c>
      <c r="Z1602" t="s">
        <v>162</v>
      </c>
      <c r="AA1602" t="s">
        <v>49</v>
      </c>
      <c r="AB1602" t="s">
        <v>50</v>
      </c>
      <c r="AC1602" s="2">
        <v>1000</v>
      </c>
      <c r="AD1602" t="s">
        <v>64</v>
      </c>
    </row>
    <row r="1603" spans="1:31" x14ac:dyDescent="0.25">
      <c r="A1603" t="s">
        <v>7467</v>
      </c>
      <c r="B1603" t="s">
        <v>7468</v>
      </c>
      <c r="C1603" t="s">
        <v>7468</v>
      </c>
      <c r="D1603" t="s">
        <v>577</v>
      </c>
      <c r="E1603" t="s">
        <v>134</v>
      </c>
      <c r="F1603" t="s">
        <v>7469</v>
      </c>
      <c r="G1603" t="s">
        <v>1094</v>
      </c>
      <c r="H1603" t="s">
        <v>6986</v>
      </c>
      <c r="I1603" t="s">
        <v>7470</v>
      </c>
      <c r="J1603" s="2">
        <v>76360</v>
      </c>
      <c r="K1603" s="2">
        <v>350</v>
      </c>
      <c r="L1603" s="2">
        <v>15</v>
      </c>
      <c r="M1603" s="2">
        <v>0</v>
      </c>
      <c r="N1603" t="s">
        <v>6985</v>
      </c>
      <c r="O1603" t="s">
        <v>6986</v>
      </c>
      <c r="P1603" t="s">
        <v>6987</v>
      </c>
      <c r="Q1603" t="s">
        <v>6988</v>
      </c>
      <c r="S1603" t="s">
        <v>7471</v>
      </c>
      <c r="U1603" t="s">
        <v>45</v>
      </c>
      <c r="V1603" t="s">
        <v>46</v>
      </c>
      <c r="W1603" t="s">
        <v>6985</v>
      </c>
      <c r="X1603" t="s">
        <v>6986</v>
      </c>
      <c r="Y1603" t="s">
        <v>2399</v>
      </c>
      <c r="Z1603" t="s">
        <v>2400</v>
      </c>
      <c r="AA1603" t="s">
        <v>49</v>
      </c>
      <c r="AB1603" t="s">
        <v>50</v>
      </c>
      <c r="AC1603" s="2">
        <v>76360</v>
      </c>
      <c r="AD1603" t="s">
        <v>64</v>
      </c>
    </row>
    <row r="1604" spans="1:31" x14ac:dyDescent="0.25">
      <c r="A1604" t="s">
        <v>7472</v>
      </c>
      <c r="B1604" t="s">
        <v>7473</v>
      </c>
      <c r="C1604" t="s">
        <v>7473</v>
      </c>
      <c r="D1604" t="s">
        <v>35</v>
      </c>
      <c r="E1604" t="s">
        <v>36</v>
      </c>
      <c r="F1604" t="s">
        <v>7474</v>
      </c>
      <c r="G1604" t="s">
        <v>178</v>
      </c>
      <c r="H1604" t="s">
        <v>81</v>
      </c>
      <c r="I1604" t="s">
        <v>7475</v>
      </c>
      <c r="J1604" s="2">
        <v>174536</v>
      </c>
      <c r="K1604" s="2">
        <v>800</v>
      </c>
      <c r="L1604" s="2">
        <v>15</v>
      </c>
      <c r="M1604" s="2">
        <v>0</v>
      </c>
      <c r="N1604" t="s">
        <v>80</v>
      </c>
      <c r="O1604" t="s">
        <v>81</v>
      </c>
      <c r="P1604" t="s">
        <v>82</v>
      </c>
      <c r="Q1604" t="s">
        <v>83</v>
      </c>
      <c r="S1604" t="s">
        <v>7476</v>
      </c>
      <c r="U1604" t="s">
        <v>45</v>
      </c>
      <c r="V1604" t="s">
        <v>46</v>
      </c>
      <c r="W1604" t="s">
        <v>80</v>
      </c>
      <c r="X1604" t="s">
        <v>81</v>
      </c>
      <c r="Y1604" t="s">
        <v>85</v>
      </c>
      <c r="Z1604" t="s">
        <v>86</v>
      </c>
      <c r="AA1604" t="s">
        <v>49</v>
      </c>
      <c r="AB1604" t="s">
        <v>50</v>
      </c>
      <c r="AC1604" s="2">
        <v>168661.36</v>
      </c>
      <c r="AD1604" t="s">
        <v>7477</v>
      </c>
      <c r="AE1604" t="s">
        <v>52</v>
      </c>
    </row>
    <row r="1605" spans="1:31" hidden="1" x14ac:dyDescent="0.25">
      <c r="I1605" t="s">
        <v>7478</v>
      </c>
      <c r="J1605" s="2">
        <v>1000</v>
      </c>
      <c r="K1605" s="2">
        <v>0</v>
      </c>
      <c r="L1605" s="2">
        <v>7</v>
      </c>
      <c r="M1605" s="2">
        <v>0</v>
      </c>
      <c r="S1605" t="s">
        <v>7479</v>
      </c>
      <c r="U1605" t="s">
        <v>45</v>
      </c>
      <c r="V1605" t="s">
        <v>46</v>
      </c>
      <c r="W1605" t="s">
        <v>5938</v>
      </c>
      <c r="X1605" t="s">
        <v>5939</v>
      </c>
      <c r="Y1605" t="s">
        <v>85</v>
      </c>
      <c r="Z1605" t="s">
        <v>86</v>
      </c>
      <c r="AA1605" t="s">
        <v>49</v>
      </c>
      <c r="AC1605" s="2"/>
    </row>
    <row r="1606" spans="1:31" x14ac:dyDescent="0.25">
      <c r="A1606" t="s">
        <v>7480</v>
      </c>
      <c r="B1606" t="s">
        <v>7481</v>
      </c>
      <c r="C1606" t="s">
        <v>7481</v>
      </c>
      <c r="D1606" t="s">
        <v>125</v>
      </c>
      <c r="E1606" t="s">
        <v>126</v>
      </c>
      <c r="F1606" t="s">
        <v>7482</v>
      </c>
      <c r="G1606" t="s">
        <v>35</v>
      </c>
      <c r="H1606" t="s">
        <v>5739</v>
      </c>
      <c r="I1606" t="s">
        <v>7483</v>
      </c>
      <c r="J1606" s="2">
        <v>218170</v>
      </c>
      <c r="K1606" s="2">
        <v>1000</v>
      </c>
      <c r="L1606" s="2">
        <v>21</v>
      </c>
      <c r="M1606" s="2">
        <v>0</v>
      </c>
      <c r="N1606" t="s">
        <v>5741</v>
      </c>
      <c r="O1606" t="s">
        <v>5739</v>
      </c>
      <c r="P1606" t="s">
        <v>5966</v>
      </c>
      <c r="Q1606" t="s">
        <v>5739</v>
      </c>
      <c r="S1606" t="s">
        <v>7484</v>
      </c>
      <c r="U1606" t="s">
        <v>45</v>
      </c>
      <c r="V1606" t="s">
        <v>46</v>
      </c>
      <c r="W1606" t="s">
        <v>5741</v>
      </c>
      <c r="X1606" t="s">
        <v>5739</v>
      </c>
      <c r="Y1606" t="s">
        <v>5743</v>
      </c>
      <c r="Z1606" t="s">
        <v>5744</v>
      </c>
      <c r="AA1606" t="s">
        <v>49</v>
      </c>
      <c r="AB1606" t="s">
        <v>50</v>
      </c>
      <c r="AC1606" s="2">
        <v>45258.34</v>
      </c>
      <c r="AD1606" t="s">
        <v>7485</v>
      </c>
      <c r="AE1606" t="s">
        <v>52</v>
      </c>
    </row>
    <row r="1607" spans="1:31" hidden="1" x14ac:dyDescent="0.25">
      <c r="A1607" t="s">
        <v>7486</v>
      </c>
      <c r="B1607" t="s">
        <v>7487</v>
      </c>
      <c r="C1607" t="s">
        <v>7487</v>
      </c>
      <c r="F1607" t="s">
        <v>7488</v>
      </c>
      <c r="H1607" t="s">
        <v>7489</v>
      </c>
      <c r="J1607" s="2">
        <v>1000</v>
      </c>
      <c r="K1607" s="2">
        <v>0</v>
      </c>
      <c r="L1607" s="2">
        <v>1</v>
      </c>
      <c r="M1607" s="2">
        <v>0</v>
      </c>
      <c r="N1607" t="s">
        <v>7490</v>
      </c>
      <c r="O1607" t="s">
        <v>7491</v>
      </c>
      <c r="P1607" t="s">
        <v>5966</v>
      </c>
      <c r="Q1607" t="s">
        <v>5739</v>
      </c>
      <c r="S1607" t="s">
        <v>7492</v>
      </c>
      <c r="U1607" t="s">
        <v>45</v>
      </c>
      <c r="V1607" t="s">
        <v>46</v>
      </c>
      <c r="W1607" t="s">
        <v>7490</v>
      </c>
      <c r="X1607" t="s">
        <v>7491</v>
      </c>
      <c r="Y1607" t="s">
        <v>7493</v>
      </c>
      <c r="Z1607" t="s">
        <v>7494</v>
      </c>
      <c r="AA1607" t="s">
        <v>49</v>
      </c>
      <c r="AB1607" t="s">
        <v>50</v>
      </c>
      <c r="AC1607" s="2">
        <v>1000</v>
      </c>
      <c r="AD1607" t="s">
        <v>64</v>
      </c>
    </row>
    <row r="1608" spans="1:31" x14ac:dyDescent="0.25">
      <c r="A1608" t="s">
        <v>7495</v>
      </c>
      <c r="B1608" t="s">
        <v>7496</v>
      </c>
      <c r="C1608" t="s">
        <v>7496</v>
      </c>
      <c r="D1608" t="s">
        <v>847</v>
      </c>
      <c r="E1608" t="s">
        <v>848</v>
      </c>
      <c r="F1608" t="s">
        <v>7497</v>
      </c>
      <c r="H1608" t="s">
        <v>4795</v>
      </c>
      <c r="I1608" t="s">
        <v>7498</v>
      </c>
      <c r="J1608" s="2">
        <v>436340</v>
      </c>
      <c r="K1608" s="2">
        <v>2000</v>
      </c>
      <c r="L1608" s="2">
        <v>15</v>
      </c>
      <c r="M1608" s="2">
        <v>0</v>
      </c>
      <c r="N1608" t="s">
        <v>4797</v>
      </c>
      <c r="O1608" t="s">
        <v>4798</v>
      </c>
      <c r="P1608" t="s">
        <v>2320</v>
      </c>
      <c r="Q1608" t="s">
        <v>2321</v>
      </c>
      <c r="S1608" t="s">
        <v>7499</v>
      </c>
      <c r="U1608" t="s">
        <v>45</v>
      </c>
      <c r="V1608" t="s">
        <v>46</v>
      </c>
      <c r="W1608" t="s">
        <v>4797</v>
      </c>
      <c r="X1608" t="s">
        <v>4798</v>
      </c>
      <c r="Y1608" t="s">
        <v>1215</v>
      </c>
      <c r="Z1608" t="s">
        <v>1216</v>
      </c>
      <c r="AA1608" t="s">
        <v>49</v>
      </c>
      <c r="AB1608" t="s">
        <v>50</v>
      </c>
      <c r="AC1608" s="2">
        <v>436340</v>
      </c>
      <c r="AD1608" t="s">
        <v>64</v>
      </c>
      <c r="AE1608" t="s">
        <v>115</v>
      </c>
    </row>
    <row r="1609" spans="1:31" x14ac:dyDescent="0.25">
      <c r="A1609" t="s">
        <v>7500</v>
      </c>
      <c r="B1609" t="s">
        <v>7501</v>
      </c>
      <c r="C1609" t="s">
        <v>7501</v>
      </c>
      <c r="D1609" t="s">
        <v>478</v>
      </c>
      <c r="E1609" t="s">
        <v>190</v>
      </c>
      <c r="F1609" t="s">
        <v>7502</v>
      </c>
      <c r="G1609" t="s">
        <v>478</v>
      </c>
      <c r="H1609" t="s">
        <v>7333</v>
      </c>
      <c r="I1609" t="s">
        <v>7503</v>
      </c>
      <c r="J1609" s="2">
        <v>1090850</v>
      </c>
      <c r="K1609" s="2">
        <v>5000</v>
      </c>
      <c r="L1609" s="2">
        <v>30</v>
      </c>
      <c r="M1609" s="2">
        <v>0</v>
      </c>
      <c r="N1609" t="s">
        <v>7334</v>
      </c>
      <c r="O1609" t="s">
        <v>7335</v>
      </c>
      <c r="P1609" t="s">
        <v>2320</v>
      </c>
      <c r="Q1609" t="s">
        <v>2321</v>
      </c>
      <c r="S1609" t="s">
        <v>7504</v>
      </c>
      <c r="U1609" t="s">
        <v>45</v>
      </c>
      <c r="V1609" t="s">
        <v>46</v>
      </c>
      <c r="W1609" t="s">
        <v>7334</v>
      </c>
      <c r="X1609" t="s">
        <v>7335</v>
      </c>
      <c r="Y1609" t="s">
        <v>5743</v>
      </c>
      <c r="Z1609" t="s">
        <v>5744</v>
      </c>
      <c r="AA1609" t="s">
        <v>49</v>
      </c>
      <c r="AB1609" t="s">
        <v>50</v>
      </c>
      <c r="AC1609" s="2">
        <v>107513.77</v>
      </c>
      <c r="AD1609" t="s">
        <v>7505</v>
      </c>
      <c r="AE1609" t="s">
        <v>52</v>
      </c>
    </row>
    <row r="1610" spans="1:31" x14ac:dyDescent="0.25">
      <c r="A1610" t="s">
        <v>7506</v>
      </c>
      <c r="B1610" t="s">
        <v>7507</v>
      </c>
      <c r="C1610" t="s">
        <v>7507</v>
      </c>
      <c r="D1610" t="s">
        <v>35</v>
      </c>
      <c r="E1610" t="s">
        <v>36</v>
      </c>
      <c r="F1610" t="s">
        <v>7508</v>
      </c>
      <c r="G1610" t="s">
        <v>35</v>
      </c>
      <c r="H1610" t="s">
        <v>1360</v>
      </c>
      <c r="I1610" t="s">
        <v>7509</v>
      </c>
      <c r="J1610" s="2">
        <v>4363400</v>
      </c>
      <c r="K1610" s="2">
        <v>20000</v>
      </c>
      <c r="L1610" s="2">
        <v>15</v>
      </c>
      <c r="M1610" s="2">
        <v>0</v>
      </c>
      <c r="N1610" t="s">
        <v>1362</v>
      </c>
      <c r="O1610" t="s">
        <v>1360</v>
      </c>
      <c r="P1610" t="s">
        <v>1421</v>
      </c>
      <c r="Q1610" t="s">
        <v>1422</v>
      </c>
      <c r="S1610" t="s">
        <v>7510</v>
      </c>
      <c r="U1610" t="s">
        <v>45</v>
      </c>
      <c r="V1610" t="s">
        <v>46</v>
      </c>
      <c r="W1610" t="s">
        <v>1362</v>
      </c>
      <c r="X1610" t="s">
        <v>1360</v>
      </c>
      <c r="Y1610" t="s">
        <v>1215</v>
      </c>
      <c r="Z1610" t="s">
        <v>1216</v>
      </c>
      <c r="AA1610" t="s">
        <v>49</v>
      </c>
      <c r="AB1610" t="s">
        <v>50</v>
      </c>
      <c r="AC1610" s="2">
        <v>3772907.55</v>
      </c>
      <c r="AD1610" t="s">
        <v>7511</v>
      </c>
      <c r="AE1610" t="s">
        <v>52</v>
      </c>
    </row>
    <row r="1611" spans="1:31" x14ac:dyDescent="0.25">
      <c r="A1611" t="s">
        <v>7512</v>
      </c>
      <c r="B1611" t="s">
        <v>7513</v>
      </c>
      <c r="C1611" t="s">
        <v>7513</v>
      </c>
      <c r="D1611" t="s">
        <v>169</v>
      </c>
      <c r="E1611" t="s">
        <v>190</v>
      </c>
      <c r="F1611" t="s">
        <v>7514</v>
      </c>
      <c r="G1611" t="s">
        <v>169</v>
      </c>
      <c r="H1611" t="s">
        <v>7515</v>
      </c>
      <c r="I1611" t="s">
        <v>7516</v>
      </c>
      <c r="J1611" s="2">
        <v>1090850</v>
      </c>
      <c r="K1611" s="2">
        <v>5000</v>
      </c>
      <c r="L1611" s="2">
        <v>30</v>
      </c>
      <c r="M1611" s="2">
        <v>0</v>
      </c>
      <c r="N1611" t="s">
        <v>7517</v>
      </c>
      <c r="O1611" t="s">
        <v>7518</v>
      </c>
      <c r="P1611" t="s">
        <v>2320</v>
      </c>
      <c r="Q1611" t="s">
        <v>2321</v>
      </c>
      <c r="S1611" t="s">
        <v>7519</v>
      </c>
      <c r="U1611" t="s">
        <v>45</v>
      </c>
      <c r="V1611" t="s">
        <v>46</v>
      </c>
      <c r="W1611" t="s">
        <v>7517</v>
      </c>
      <c r="X1611" t="s">
        <v>7518</v>
      </c>
      <c r="Y1611" t="s">
        <v>1215</v>
      </c>
      <c r="Z1611" t="s">
        <v>1216</v>
      </c>
      <c r="AA1611" t="s">
        <v>49</v>
      </c>
      <c r="AB1611" t="s">
        <v>50</v>
      </c>
      <c r="AC1611" s="2">
        <v>223113.73</v>
      </c>
      <c r="AD1611" t="s">
        <v>7520</v>
      </c>
      <c r="AE1611" t="s">
        <v>115</v>
      </c>
    </row>
    <row r="1612" spans="1:31" hidden="1" x14ac:dyDescent="0.25">
      <c r="I1612" t="s">
        <v>7498</v>
      </c>
      <c r="J1612" s="2">
        <v>436340</v>
      </c>
      <c r="K1612" s="2">
        <v>2000</v>
      </c>
      <c r="L1612" s="2">
        <v>15</v>
      </c>
      <c r="M1612" s="2">
        <v>0</v>
      </c>
      <c r="S1612" t="s">
        <v>7521</v>
      </c>
      <c r="U1612" t="s">
        <v>45</v>
      </c>
      <c r="V1612" t="s">
        <v>46</v>
      </c>
      <c r="W1612" t="s">
        <v>4797</v>
      </c>
      <c r="X1612" t="s">
        <v>4798</v>
      </c>
      <c r="Y1612" t="s">
        <v>1215</v>
      </c>
      <c r="Z1612" t="s">
        <v>1216</v>
      </c>
      <c r="AA1612" t="s">
        <v>49</v>
      </c>
      <c r="AC1612" s="2"/>
    </row>
    <row r="1613" spans="1:31" x14ac:dyDescent="0.25">
      <c r="A1613" t="s">
        <v>7522</v>
      </c>
      <c r="B1613" t="s">
        <v>7523</v>
      </c>
      <c r="C1613" t="s">
        <v>7523</v>
      </c>
      <c r="D1613" t="s">
        <v>847</v>
      </c>
      <c r="E1613" t="s">
        <v>848</v>
      </c>
      <c r="F1613" t="s">
        <v>7524</v>
      </c>
      <c r="G1613" t="s">
        <v>166</v>
      </c>
      <c r="H1613" t="s">
        <v>4795</v>
      </c>
      <c r="I1613" t="s">
        <v>7498</v>
      </c>
      <c r="J1613" s="2">
        <v>436340</v>
      </c>
      <c r="K1613" s="2">
        <v>2000</v>
      </c>
      <c r="L1613" s="2">
        <v>15</v>
      </c>
      <c r="M1613" s="2">
        <v>0</v>
      </c>
      <c r="N1613" t="s">
        <v>4797</v>
      </c>
      <c r="O1613" t="s">
        <v>4798</v>
      </c>
      <c r="P1613" t="s">
        <v>2320</v>
      </c>
      <c r="Q1613" t="s">
        <v>2321</v>
      </c>
      <c r="S1613" t="s">
        <v>7525</v>
      </c>
      <c r="U1613" t="s">
        <v>45</v>
      </c>
      <c r="V1613" t="s">
        <v>46</v>
      </c>
      <c r="W1613" t="s">
        <v>4797</v>
      </c>
      <c r="X1613" t="s">
        <v>4798</v>
      </c>
      <c r="Y1613" t="s">
        <v>1215</v>
      </c>
      <c r="Z1613" t="s">
        <v>1216</v>
      </c>
      <c r="AA1613" t="s">
        <v>49</v>
      </c>
      <c r="AB1613" t="s">
        <v>50</v>
      </c>
      <c r="AC1613" s="2">
        <v>436340</v>
      </c>
      <c r="AD1613" t="s">
        <v>64</v>
      </c>
    </row>
    <row r="1614" spans="1:31" hidden="1" x14ac:dyDescent="0.25">
      <c r="J1614" s="2">
        <v>1000</v>
      </c>
      <c r="K1614" s="2">
        <v>0</v>
      </c>
      <c r="L1614" s="2">
        <v>7</v>
      </c>
      <c r="M1614" s="2">
        <v>0</v>
      </c>
      <c r="S1614" t="s">
        <v>7526</v>
      </c>
      <c r="U1614" t="s">
        <v>45</v>
      </c>
      <c r="V1614" t="s">
        <v>46</v>
      </c>
      <c r="W1614" t="s">
        <v>302</v>
      </c>
      <c r="X1614" t="s">
        <v>303</v>
      </c>
      <c r="Y1614" t="s">
        <v>72</v>
      </c>
      <c r="Z1614" t="s">
        <v>68</v>
      </c>
      <c r="AA1614" t="s">
        <v>49</v>
      </c>
      <c r="AC1614" s="2"/>
    </row>
    <row r="1615" spans="1:31" hidden="1" x14ac:dyDescent="0.25">
      <c r="I1615" t="s">
        <v>7527</v>
      </c>
      <c r="J1615" s="2">
        <v>32726</v>
      </c>
      <c r="K1615" s="2">
        <v>150</v>
      </c>
      <c r="L1615" s="2">
        <v>15</v>
      </c>
      <c r="M1615" s="2">
        <v>0</v>
      </c>
      <c r="S1615" t="s">
        <v>7528</v>
      </c>
      <c r="U1615" t="s">
        <v>45</v>
      </c>
      <c r="V1615" t="s">
        <v>46</v>
      </c>
      <c r="W1615" t="s">
        <v>6940</v>
      </c>
      <c r="X1615" t="s">
        <v>6939</v>
      </c>
      <c r="Y1615" t="s">
        <v>79</v>
      </c>
      <c r="Z1615" t="s">
        <v>94</v>
      </c>
      <c r="AA1615" t="s">
        <v>49</v>
      </c>
      <c r="AC1615" s="2"/>
    </row>
    <row r="1616" spans="1:31" x14ac:dyDescent="0.25">
      <c r="A1616" t="s">
        <v>7529</v>
      </c>
      <c r="B1616" t="s">
        <v>7530</v>
      </c>
      <c r="C1616" t="s">
        <v>7530</v>
      </c>
      <c r="D1616" t="s">
        <v>166</v>
      </c>
      <c r="E1616" t="s">
        <v>167</v>
      </c>
      <c r="F1616" t="s">
        <v>7531</v>
      </c>
      <c r="G1616" t="s">
        <v>166</v>
      </c>
      <c r="H1616" t="s">
        <v>7532</v>
      </c>
      <c r="I1616" t="s">
        <v>7533</v>
      </c>
      <c r="J1616" s="2">
        <v>109085</v>
      </c>
      <c r="K1616" s="2">
        <v>500</v>
      </c>
      <c r="L1616" s="2">
        <v>21</v>
      </c>
      <c r="M1616" s="2">
        <v>0</v>
      </c>
      <c r="N1616" t="s">
        <v>7534</v>
      </c>
      <c r="O1616" t="s">
        <v>7535</v>
      </c>
      <c r="P1616" t="s">
        <v>6987</v>
      </c>
      <c r="Q1616" t="s">
        <v>6988</v>
      </c>
      <c r="S1616" t="s">
        <v>7536</v>
      </c>
      <c r="U1616" t="s">
        <v>45</v>
      </c>
      <c r="V1616" t="s">
        <v>46</v>
      </c>
      <c r="W1616" t="s">
        <v>7534</v>
      </c>
      <c r="X1616" t="s">
        <v>7535</v>
      </c>
      <c r="Y1616" t="s">
        <v>2399</v>
      </c>
      <c r="Z1616" t="s">
        <v>2400</v>
      </c>
      <c r="AA1616" t="s">
        <v>49</v>
      </c>
      <c r="AB1616" t="s">
        <v>50</v>
      </c>
      <c r="AC1616" s="2">
        <v>22148.62</v>
      </c>
      <c r="AD1616" t="s">
        <v>7537</v>
      </c>
      <c r="AE1616" t="s">
        <v>52</v>
      </c>
    </row>
    <row r="1617" spans="1:31" hidden="1" x14ac:dyDescent="0.25">
      <c r="A1617" t="s">
        <v>7538</v>
      </c>
      <c r="B1617" t="s">
        <v>7539</v>
      </c>
      <c r="C1617" t="s">
        <v>7539</v>
      </c>
      <c r="F1617" t="s">
        <v>7540</v>
      </c>
      <c r="H1617" t="s">
        <v>5739</v>
      </c>
      <c r="J1617" s="2">
        <v>1000</v>
      </c>
      <c r="K1617" s="2">
        <v>0</v>
      </c>
      <c r="L1617" s="2">
        <v>7</v>
      </c>
      <c r="M1617" s="2">
        <v>0</v>
      </c>
      <c r="N1617" t="s">
        <v>5741</v>
      </c>
      <c r="O1617" t="s">
        <v>5739</v>
      </c>
      <c r="P1617" t="s">
        <v>5966</v>
      </c>
      <c r="Q1617" t="s">
        <v>5739</v>
      </c>
      <c r="S1617" t="s">
        <v>7541</v>
      </c>
      <c r="U1617" t="s">
        <v>45</v>
      </c>
      <c r="V1617" t="s">
        <v>46</v>
      </c>
      <c r="W1617" t="s">
        <v>5741</v>
      </c>
      <c r="X1617" t="s">
        <v>5739</v>
      </c>
      <c r="Y1617" t="s">
        <v>5743</v>
      </c>
      <c r="Z1617" t="s">
        <v>5744</v>
      </c>
      <c r="AA1617" t="s">
        <v>49</v>
      </c>
      <c r="AB1617" t="s">
        <v>50</v>
      </c>
      <c r="AC1617" s="2">
        <v>1000</v>
      </c>
      <c r="AD1617" t="s">
        <v>64</v>
      </c>
    </row>
    <row r="1618" spans="1:31" hidden="1" x14ac:dyDescent="0.25">
      <c r="A1618" t="s">
        <v>7542</v>
      </c>
      <c r="B1618" t="s">
        <v>7543</v>
      </c>
      <c r="C1618" t="s">
        <v>7543</v>
      </c>
      <c r="F1618" t="s">
        <v>7544</v>
      </c>
      <c r="H1618" t="s">
        <v>5739</v>
      </c>
      <c r="J1618" s="2">
        <v>1728</v>
      </c>
      <c r="K1618" s="2">
        <v>7.92</v>
      </c>
      <c r="L1618" s="2">
        <v>7</v>
      </c>
      <c r="M1618" s="2">
        <v>0</v>
      </c>
      <c r="N1618" t="s">
        <v>5741</v>
      </c>
      <c r="O1618" t="s">
        <v>5739</v>
      </c>
      <c r="P1618" t="s">
        <v>5966</v>
      </c>
      <c r="Q1618" t="s">
        <v>5739</v>
      </c>
      <c r="S1618" t="s">
        <v>7545</v>
      </c>
      <c r="U1618" t="s">
        <v>45</v>
      </c>
      <c r="V1618" t="s">
        <v>46</v>
      </c>
      <c r="W1618" t="s">
        <v>5741</v>
      </c>
      <c r="X1618" t="s">
        <v>5739</v>
      </c>
      <c r="Y1618" t="s">
        <v>5743</v>
      </c>
      <c r="Z1618" t="s">
        <v>5744</v>
      </c>
      <c r="AA1618" t="s">
        <v>49</v>
      </c>
      <c r="AB1618" t="s">
        <v>50</v>
      </c>
      <c r="AC1618" s="2">
        <v>1728</v>
      </c>
      <c r="AD1618" t="s">
        <v>64</v>
      </c>
    </row>
    <row r="1619" spans="1:31" x14ac:dyDescent="0.25">
      <c r="A1619" t="s">
        <v>7546</v>
      </c>
      <c r="B1619" t="s">
        <v>7547</v>
      </c>
      <c r="C1619" t="s">
        <v>7547</v>
      </c>
      <c r="D1619" t="s">
        <v>1410</v>
      </c>
      <c r="E1619" t="s">
        <v>871</v>
      </c>
      <c r="F1619" t="s">
        <v>7548</v>
      </c>
      <c r="G1619" t="s">
        <v>2120</v>
      </c>
      <c r="H1619" t="s">
        <v>7549</v>
      </c>
      <c r="I1619" t="s">
        <v>7550</v>
      </c>
      <c r="J1619" s="2">
        <v>109085</v>
      </c>
      <c r="K1619" s="2">
        <v>500</v>
      </c>
      <c r="L1619" s="2">
        <v>15</v>
      </c>
      <c r="M1619" s="2">
        <v>0</v>
      </c>
      <c r="N1619" t="s">
        <v>7551</v>
      </c>
      <c r="O1619" t="s">
        <v>7552</v>
      </c>
      <c r="P1619" t="s">
        <v>120</v>
      </c>
      <c r="Q1619" t="s">
        <v>121</v>
      </c>
      <c r="S1619" t="s">
        <v>7553</v>
      </c>
      <c r="U1619" t="s">
        <v>45</v>
      </c>
      <c r="V1619" t="s">
        <v>46</v>
      </c>
      <c r="W1619" t="s">
        <v>7551</v>
      </c>
      <c r="X1619" t="s">
        <v>7552</v>
      </c>
      <c r="Y1619" t="s">
        <v>121</v>
      </c>
      <c r="Z1619" t="s">
        <v>94</v>
      </c>
      <c r="AA1619" t="s">
        <v>49</v>
      </c>
      <c r="AB1619" t="s">
        <v>50</v>
      </c>
      <c r="AC1619" s="2">
        <v>109085</v>
      </c>
      <c r="AD1619" t="s">
        <v>64</v>
      </c>
    </row>
    <row r="1620" spans="1:31" x14ac:dyDescent="0.25">
      <c r="A1620" t="s">
        <v>7554</v>
      </c>
      <c r="B1620" t="s">
        <v>7555</v>
      </c>
      <c r="C1620" t="s">
        <v>7555</v>
      </c>
      <c r="D1620" t="s">
        <v>125</v>
      </c>
      <c r="E1620" t="s">
        <v>126</v>
      </c>
      <c r="F1620" t="s">
        <v>7556</v>
      </c>
      <c r="G1620" t="s">
        <v>847</v>
      </c>
      <c r="H1620" t="s">
        <v>7557</v>
      </c>
      <c r="I1620" t="s">
        <v>7558</v>
      </c>
      <c r="J1620" s="2">
        <v>1176652</v>
      </c>
      <c r="K1620" s="2">
        <v>4840</v>
      </c>
      <c r="L1620" s="2">
        <v>30</v>
      </c>
      <c r="M1620" s="2">
        <v>0</v>
      </c>
      <c r="N1620" t="s">
        <v>7559</v>
      </c>
      <c r="O1620" t="s">
        <v>7560</v>
      </c>
      <c r="P1620" t="s">
        <v>4315</v>
      </c>
      <c r="Q1620" t="s">
        <v>4316</v>
      </c>
      <c r="S1620" t="s">
        <v>7561</v>
      </c>
      <c r="U1620" t="s">
        <v>45</v>
      </c>
      <c r="V1620" t="s">
        <v>46</v>
      </c>
      <c r="W1620" t="s">
        <v>7559</v>
      </c>
      <c r="X1620" t="s">
        <v>7560</v>
      </c>
      <c r="Y1620" t="s">
        <v>72</v>
      </c>
      <c r="Z1620" t="s">
        <v>68</v>
      </c>
      <c r="AA1620" t="s">
        <v>49</v>
      </c>
      <c r="AB1620" t="s">
        <v>50</v>
      </c>
      <c r="AC1620" s="2">
        <v>369966.4</v>
      </c>
      <c r="AD1620" t="s">
        <v>7562</v>
      </c>
      <c r="AE1620" t="s">
        <v>52</v>
      </c>
    </row>
    <row r="1621" spans="1:31" x14ac:dyDescent="0.25">
      <c r="A1621" t="s">
        <v>7563</v>
      </c>
      <c r="B1621" t="s">
        <v>7564</v>
      </c>
      <c r="C1621" t="s">
        <v>7564</v>
      </c>
      <c r="D1621" t="s">
        <v>35</v>
      </c>
      <c r="E1621" t="s">
        <v>36</v>
      </c>
      <c r="F1621" t="s">
        <v>7565</v>
      </c>
      <c r="G1621" t="s">
        <v>35</v>
      </c>
      <c r="H1621" t="s">
        <v>7566</v>
      </c>
      <c r="I1621" t="s">
        <v>7567</v>
      </c>
      <c r="J1621" s="2">
        <v>654510</v>
      </c>
      <c r="K1621" s="2">
        <v>3000</v>
      </c>
      <c r="L1621" s="2">
        <v>30</v>
      </c>
      <c r="M1621" s="2">
        <v>0</v>
      </c>
      <c r="N1621" t="s">
        <v>7568</v>
      </c>
      <c r="O1621" t="s">
        <v>7569</v>
      </c>
      <c r="P1621" t="s">
        <v>2320</v>
      </c>
      <c r="Q1621" t="s">
        <v>2321</v>
      </c>
      <c r="S1621" t="s">
        <v>7570</v>
      </c>
      <c r="U1621" t="s">
        <v>45</v>
      </c>
      <c r="V1621" t="s">
        <v>46</v>
      </c>
      <c r="W1621" t="s">
        <v>7568</v>
      </c>
      <c r="X1621" t="s">
        <v>7569</v>
      </c>
      <c r="Y1621" t="s">
        <v>137</v>
      </c>
      <c r="Z1621" t="s">
        <v>717</v>
      </c>
      <c r="AA1621" t="s">
        <v>49</v>
      </c>
      <c r="AB1621" t="s">
        <v>50</v>
      </c>
      <c r="AC1621" s="2">
        <v>155116.07999999999</v>
      </c>
      <c r="AD1621" t="s">
        <v>7571</v>
      </c>
      <c r="AE1621" t="s">
        <v>52</v>
      </c>
    </row>
    <row r="1622" spans="1:31" hidden="1" x14ac:dyDescent="0.25">
      <c r="J1622" s="2">
        <v>1000</v>
      </c>
      <c r="K1622" s="2">
        <v>0</v>
      </c>
      <c r="L1622" s="2">
        <v>15</v>
      </c>
      <c r="M1622" s="2">
        <v>0</v>
      </c>
      <c r="S1622" t="s">
        <v>7572</v>
      </c>
      <c r="U1622" t="s">
        <v>45</v>
      </c>
      <c r="V1622" t="s">
        <v>46</v>
      </c>
      <c r="W1622" t="s">
        <v>5741</v>
      </c>
      <c r="X1622" t="s">
        <v>5739</v>
      </c>
      <c r="Y1622" t="s">
        <v>5743</v>
      </c>
      <c r="Z1622" t="s">
        <v>5744</v>
      </c>
      <c r="AA1622" t="s">
        <v>49</v>
      </c>
      <c r="AC1622" s="2"/>
    </row>
    <row r="1623" spans="1:31" x14ac:dyDescent="0.25">
      <c r="A1623" t="s">
        <v>7573</v>
      </c>
      <c r="B1623" t="s">
        <v>7574</v>
      </c>
      <c r="C1623" t="s">
        <v>7574</v>
      </c>
      <c r="D1623" t="s">
        <v>125</v>
      </c>
      <c r="E1623" t="s">
        <v>126</v>
      </c>
      <c r="F1623" t="s">
        <v>7575</v>
      </c>
      <c r="G1623" t="s">
        <v>125</v>
      </c>
      <c r="H1623" t="s">
        <v>1360</v>
      </c>
      <c r="I1623" t="s">
        <v>7576</v>
      </c>
      <c r="J1623" s="2">
        <v>549745</v>
      </c>
      <c r="K1623" s="2">
        <v>2222</v>
      </c>
      <c r="L1623" s="2">
        <v>15</v>
      </c>
      <c r="M1623" s="2">
        <v>0</v>
      </c>
      <c r="N1623" t="s">
        <v>1362</v>
      </c>
      <c r="O1623" t="s">
        <v>1360</v>
      </c>
      <c r="P1623" t="s">
        <v>1421</v>
      </c>
      <c r="Q1623" t="s">
        <v>1422</v>
      </c>
      <c r="S1623" t="s">
        <v>7577</v>
      </c>
      <c r="U1623" t="s">
        <v>45</v>
      </c>
      <c r="V1623" t="s">
        <v>46</v>
      </c>
      <c r="W1623" t="s">
        <v>1362</v>
      </c>
      <c r="X1623" t="s">
        <v>1360</v>
      </c>
      <c r="Y1623" t="s">
        <v>1215</v>
      </c>
      <c r="Z1623" t="s">
        <v>1216</v>
      </c>
      <c r="AA1623" t="s">
        <v>49</v>
      </c>
      <c r="AB1623" t="s">
        <v>50</v>
      </c>
      <c r="AC1623" s="2">
        <v>-7133.57</v>
      </c>
      <c r="AD1623" t="s">
        <v>7578</v>
      </c>
      <c r="AE1623" t="s">
        <v>115</v>
      </c>
    </row>
    <row r="1624" spans="1:31" x14ac:dyDescent="0.25">
      <c r="A1624" t="s">
        <v>7579</v>
      </c>
      <c r="B1624" t="s">
        <v>7580</v>
      </c>
      <c r="C1624" t="s">
        <v>7580</v>
      </c>
      <c r="D1624" t="s">
        <v>98</v>
      </c>
      <c r="E1624" t="s">
        <v>77</v>
      </c>
      <c r="F1624" t="s">
        <v>7581</v>
      </c>
      <c r="H1624" t="s">
        <v>5739</v>
      </c>
      <c r="I1624" t="s">
        <v>7582</v>
      </c>
      <c r="J1624" s="2">
        <v>1090850</v>
      </c>
      <c r="K1624" s="2">
        <v>5000</v>
      </c>
      <c r="L1624" s="2">
        <v>30</v>
      </c>
      <c r="M1624" s="2">
        <v>0</v>
      </c>
      <c r="N1624" t="s">
        <v>5741</v>
      </c>
      <c r="O1624" t="s">
        <v>5739</v>
      </c>
      <c r="P1624" t="s">
        <v>2320</v>
      </c>
      <c r="Q1624" t="s">
        <v>2321</v>
      </c>
      <c r="S1624" t="s">
        <v>7583</v>
      </c>
      <c r="U1624" t="s">
        <v>45</v>
      </c>
      <c r="V1624" t="s">
        <v>46</v>
      </c>
      <c r="W1624" t="s">
        <v>5741</v>
      </c>
      <c r="X1624" t="s">
        <v>5739</v>
      </c>
      <c r="Y1624" t="s">
        <v>5743</v>
      </c>
      <c r="Z1624" t="s">
        <v>5744</v>
      </c>
      <c r="AA1624" t="s">
        <v>49</v>
      </c>
      <c r="AB1624" t="s">
        <v>50</v>
      </c>
      <c r="AC1624" s="2">
        <v>1090850</v>
      </c>
      <c r="AD1624" t="s">
        <v>64</v>
      </c>
    </row>
    <row r="1625" spans="1:31" hidden="1" x14ac:dyDescent="0.25">
      <c r="J1625" s="2">
        <v>112190</v>
      </c>
      <c r="K1625" s="2">
        <v>500</v>
      </c>
      <c r="L1625" s="2">
        <v>15</v>
      </c>
      <c r="M1625" s="2">
        <v>0</v>
      </c>
      <c r="S1625" t="s">
        <v>7587</v>
      </c>
      <c r="U1625" t="s">
        <v>45</v>
      </c>
      <c r="V1625" t="s">
        <v>46</v>
      </c>
      <c r="W1625" t="s">
        <v>7585</v>
      </c>
      <c r="X1625" t="s">
        <v>7588</v>
      </c>
      <c r="Y1625" t="s">
        <v>5743</v>
      </c>
      <c r="Z1625" t="s">
        <v>5744</v>
      </c>
      <c r="AA1625" t="s">
        <v>49</v>
      </c>
      <c r="AC1625" s="2"/>
    </row>
    <row r="1626" spans="1:31" x14ac:dyDescent="0.25">
      <c r="A1626" t="s">
        <v>7589</v>
      </c>
      <c r="B1626" t="s">
        <v>7590</v>
      </c>
      <c r="C1626" t="s">
        <v>7590</v>
      </c>
      <c r="D1626" t="s">
        <v>153</v>
      </c>
      <c r="E1626" t="s">
        <v>272</v>
      </c>
      <c r="F1626" t="s">
        <v>7591</v>
      </c>
      <c r="G1626" t="s">
        <v>153</v>
      </c>
      <c r="H1626" t="s">
        <v>303</v>
      </c>
      <c r="J1626" s="2">
        <v>126539</v>
      </c>
      <c r="K1626" s="2">
        <v>580</v>
      </c>
      <c r="L1626" s="2">
        <v>21</v>
      </c>
      <c r="M1626" s="2">
        <v>0</v>
      </c>
      <c r="N1626" t="s">
        <v>302</v>
      </c>
      <c r="O1626" t="s">
        <v>303</v>
      </c>
      <c r="P1626" t="s">
        <v>304</v>
      </c>
      <c r="Q1626" t="s">
        <v>72</v>
      </c>
      <c r="S1626" t="s">
        <v>7592</v>
      </c>
      <c r="U1626" t="s">
        <v>45</v>
      </c>
      <c r="V1626" t="s">
        <v>46</v>
      </c>
      <c r="W1626" t="s">
        <v>302</v>
      </c>
      <c r="X1626" t="s">
        <v>303</v>
      </c>
      <c r="Y1626" t="s">
        <v>72</v>
      </c>
      <c r="Z1626" t="s">
        <v>68</v>
      </c>
      <c r="AA1626" t="s">
        <v>49</v>
      </c>
      <c r="AB1626" t="s">
        <v>50</v>
      </c>
      <c r="AC1626" s="2">
        <v>98939.32</v>
      </c>
      <c r="AD1626" t="s">
        <v>7593</v>
      </c>
      <c r="AE1626" t="s">
        <v>52</v>
      </c>
    </row>
    <row r="1627" spans="1:31" hidden="1" x14ac:dyDescent="0.25">
      <c r="A1627" t="s">
        <v>7594</v>
      </c>
      <c r="B1627" t="s">
        <v>7595</v>
      </c>
      <c r="C1627" t="s">
        <v>7595</v>
      </c>
      <c r="F1627" t="s">
        <v>7596</v>
      </c>
      <c r="H1627" t="s">
        <v>79</v>
      </c>
      <c r="J1627" s="2">
        <v>1000</v>
      </c>
      <c r="K1627" s="2">
        <v>0</v>
      </c>
      <c r="L1627" s="2">
        <v>1</v>
      </c>
      <c r="M1627" s="2">
        <v>0</v>
      </c>
      <c r="N1627" t="s">
        <v>495</v>
      </c>
      <c r="O1627" t="s">
        <v>79</v>
      </c>
      <c r="P1627" t="s">
        <v>3487</v>
      </c>
      <c r="Q1627" t="s">
        <v>3488</v>
      </c>
      <c r="S1627" t="s">
        <v>7597</v>
      </c>
      <c r="U1627" t="s">
        <v>45</v>
      </c>
      <c r="V1627" t="s">
        <v>46</v>
      </c>
      <c r="W1627" t="s">
        <v>495</v>
      </c>
      <c r="X1627" t="s">
        <v>79</v>
      </c>
      <c r="Y1627" t="s">
        <v>79</v>
      </c>
      <c r="Z1627" t="s">
        <v>94</v>
      </c>
      <c r="AA1627" t="s">
        <v>49</v>
      </c>
      <c r="AB1627" t="s">
        <v>50</v>
      </c>
      <c r="AC1627" s="2">
        <v>1000</v>
      </c>
      <c r="AD1627" t="s">
        <v>64</v>
      </c>
    </row>
    <row r="1628" spans="1:31" hidden="1" x14ac:dyDescent="0.25">
      <c r="A1628" t="s">
        <v>7598</v>
      </c>
      <c r="B1628" t="s">
        <v>7599</v>
      </c>
      <c r="C1628" t="s">
        <v>7600</v>
      </c>
      <c r="F1628" t="s">
        <v>7596</v>
      </c>
      <c r="H1628" t="s">
        <v>79</v>
      </c>
      <c r="I1628" t="s">
        <v>7601</v>
      </c>
      <c r="J1628" s="2">
        <v>65451</v>
      </c>
      <c r="K1628" s="2">
        <v>300</v>
      </c>
      <c r="L1628" s="2">
        <v>21</v>
      </c>
      <c r="M1628" s="2">
        <v>0</v>
      </c>
      <c r="N1628" t="s">
        <v>495</v>
      </c>
      <c r="O1628" t="s">
        <v>79</v>
      </c>
      <c r="P1628" t="s">
        <v>3487</v>
      </c>
      <c r="Q1628" t="s">
        <v>3488</v>
      </c>
      <c r="S1628" t="s">
        <v>7597</v>
      </c>
      <c r="U1628" t="s">
        <v>45</v>
      </c>
      <c r="V1628" t="s">
        <v>46</v>
      </c>
      <c r="W1628" t="s">
        <v>495</v>
      </c>
      <c r="X1628" t="s">
        <v>79</v>
      </c>
      <c r="Y1628" t="s">
        <v>79</v>
      </c>
      <c r="Z1628" t="s">
        <v>94</v>
      </c>
      <c r="AA1628" t="s">
        <v>49</v>
      </c>
      <c r="AB1628" t="s">
        <v>50</v>
      </c>
      <c r="AC1628" s="2">
        <v>65451</v>
      </c>
      <c r="AD1628" t="s">
        <v>64</v>
      </c>
    </row>
    <row r="1629" spans="1:31" hidden="1" x14ac:dyDescent="0.25">
      <c r="I1629" t="s">
        <v>7601</v>
      </c>
      <c r="J1629" s="2">
        <v>65451</v>
      </c>
      <c r="K1629" s="2">
        <v>300</v>
      </c>
      <c r="L1629" s="2">
        <v>21</v>
      </c>
      <c r="M1629" s="2">
        <v>0</v>
      </c>
      <c r="S1629" t="s">
        <v>7597</v>
      </c>
      <c r="U1629" t="s">
        <v>45</v>
      </c>
      <c r="V1629" t="s">
        <v>46</v>
      </c>
      <c r="W1629" t="s">
        <v>495</v>
      </c>
      <c r="X1629" t="s">
        <v>79</v>
      </c>
      <c r="Y1629" t="s">
        <v>79</v>
      </c>
      <c r="Z1629" t="s">
        <v>94</v>
      </c>
      <c r="AA1629" t="s">
        <v>49</v>
      </c>
      <c r="AC1629" s="2"/>
    </row>
    <row r="1630" spans="1:31" x14ac:dyDescent="0.25">
      <c r="A1630" t="s">
        <v>7602</v>
      </c>
      <c r="B1630" t="s">
        <v>7603</v>
      </c>
      <c r="C1630" t="s">
        <v>7603</v>
      </c>
      <c r="D1630" t="s">
        <v>847</v>
      </c>
      <c r="E1630" t="s">
        <v>848</v>
      </c>
      <c r="F1630" t="s">
        <v>7604</v>
      </c>
      <c r="G1630" t="s">
        <v>847</v>
      </c>
      <c r="H1630" t="s">
        <v>79</v>
      </c>
      <c r="I1630" t="s">
        <v>7605</v>
      </c>
      <c r="J1630" s="2">
        <v>76360</v>
      </c>
      <c r="K1630" s="2">
        <v>350</v>
      </c>
      <c r="L1630" s="2">
        <v>15</v>
      </c>
      <c r="M1630" s="2">
        <v>0</v>
      </c>
      <c r="N1630" t="s">
        <v>495</v>
      </c>
      <c r="O1630" t="s">
        <v>79</v>
      </c>
      <c r="P1630" t="s">
        <v>3487</v>
      </c>
      <c r="Q1630" t="s">
        <v>3488</v>
      </c>
      <c r="S1630" t="s">
        <v>7606</v>
      </c>
      <c r="U1630" t="s">
        <v>45</v>
      </c>
      <c r="V1630" t="s">
        <v>46</v>
      </c>
      <c r="W1630" t="s">
        <v>495</v>
      </c>
      <c r="X1630" t="s">
        <v>79</v>
      </c>
      <c r="Y1630" t="s">
        <v>79</v>
      </c>
      <c r="Z1630" t="s">
        <v>94</v>
      </c>
      <c r="AA1630" t="s">
        <v>49</v>
      </c>
      <c r="AB1630" t="s">
        <v>50</v>
      </c>
      <c r="AC1630" s="2">
        <v>8540.65</v>
      </c>
      <c r="AD1630" t="s">
        <v>7607</v>
      </c>
      <c r="AE1630" t="s">
        <v>52</v>
      </c>
    </row>
    <row r="1631" spans="1:31" x14ac:dyDescent="0.25">
      <c r="A1631" t="s">
        <v>7608</v>
      </c>
      <c r="B1631" t="s">
        <v>7609</v>
      </c>
      <c r="C1631" t="s">
        <v>7609</v>
      </c>
      <c r="D1631" t="s">
        <v>35</v>
      </c>
      <c r="E1631" t="s">
        <v>36</v>
      </c>
      <c r="F1631" t="s">
        <v>7610</v>
      </c>
      <c r="G1631" t="s">
        <v>35</v>
      </c>
      <c r="H1631" t="s">
        <v>1360</v>
      </c>
      <c r="I1631" t="s">
        <v>7611</v>
      </c>
      <c r="J1631" s="2">
        <v>318847</v>
      </c>
      <c r="K1631" s="2">
        <v>1461.46</v>
      </c>
      <c r="L1631" s="2">
        <v>15</v>
      </c>
      <c r="M1631" s="2">
        <v>0</v>
      </c>
      <c r="N1631" t="s">
        <v>1362</v>
      </c>
      <c r="O1631" t="s">
        <v>1360</v>
      </c>
      <c r="P1631" t="s">
        <v>1421</v>
      </c>
      <c r="Q1631" t="s">
        <v>1422</v>
      </c>
      <c r="S1631" t="s">
        <v>7612</v>
      </c>
      <c r="U1631" t="s">
        <v>45</v>
      </c>
      <c r="V1631" t="s">
        <v>46</v>
      </c>
      <c r="W1631" t="s">
        <v>1362</v>
      </c>
      <c r="X1631" t="s">
        <v>1360</v>
      </c>
      <c r="Y1631" t="s">
        <v>1215</v>
      </c>
      <c r="Z1631" t="s">
        <v>1216</v>
      </c>
      <c r="AA1631" t="s">
        <v>49</v>
      </c>
      <c r="AB1631" t="s">
        <v>50</v>
      </c>
      <c r="AC1631" s="2">
        <v>259474.71</v>
      </c>
      <c r="AD1631" t="s">
        <v>7613</v>
      </c>
      <c r="AE1631" t="s">
        <v>52</v>
      </c>
    </row>
    <row r="1632" spans="1:31" hidden="1" x14ac:dyDescent="0.25">
      <c r="I1632" t="s">
        <v>7614</v>
      </c>
      <c r="J1632" s="2">
        <v>1000</v>
      </c>
      <c r="K1632" s="2">
        <v>0</v>
      </c>
      <c r="L1632" s="2">
        <v>15</v>
      </c>
      <c r="M1632" s="2">
        <v>0</v>
      </c>
      <c r="S1632" t="s">
        <v>7615</v>
      </c>
      <c r="U1632" t="s">
        <v>45</v>
      </c>
      <c r="V1632" t="s">
        <v>46</v>
      </c>
      <c r="W1632" t="s">
        <v>495</v>
      </c>
      <c r="X1632" t="s">
        <v>79</v>
      </c>
      <c r="Y1632" t="s">
        <v>79</v>
      </c>
      <c r="Z1632" t="s">
        <v>94</v>
      </c>
      <c r="AA1632" t="s">
        <v>49</v>
      </c>
      <c r="AC1632" s="2"/>
    </row>
    <row r="1633" spans="1:31" x14ac:dyDescent="0.25">
      <c r="A1633" t="s">
        <v>7616</v>
      </c>
      <c r="B1633" t="s">
        <v>7617</v>
      </c>
      <c r="C1633" t="s">
        <v>7617</v>
      </c>
      <c r="D1633" t="s">
        <v>125</v>
      </c>
      <c r="E1633" t="s">
        <v>126</v>
      </c>
      <c r="F1633" t="s">
        <v>7618</v>
      </c>
      <c r="G1633" t="s">
        <v>847</v>
      </c>
      <c r="H1633" t="s">
        <v>6055</v>
      </c>
      <c r="I1633" t="s">
        <v>7619</v>
      </c>
      <c r="J1633" s="2">
        <v>109085</v>
      </c>
      <c r="K1633" s="2">
        <v>500</v>
      </c>
      <c r="L1633" s="2">
        <v>15</v>
      </c>
      <c r="M1633" s="2">
        <v>0</v>
      </c>
      <c r="N1633" t="s">
        <v>6057</v>
      </c>
      <c r="O1633" t="s">
        <v>6058</v>
      </c>
      <c r="P1633" t="s">
        <v>5966</v>
      </c>
      <c r="Q1633" t="s">
        <v>5739</v>
      </c>
      <c r="S1633" t="s">
        <v>7620</v>
      </c>
      <c r="U1633" t="s">
        <v>45</v>
      </c>
      <c r="V1633" t="s">
        <v>46</v>
      </c>
      <c r="W1633" t="s">
        <v>6057</v>
      </c>
      <c r="X1633" t="s">
        <v>6058</v>
      </c>
      <c r="Y1633" t="s">
        <v>5743</v>
      </c>
      <c r="Z1633" t="s">
        <v>5744</v>
      </c>
      <c r="AA1633" t="s">
        <v>49</v>
      </c>
      <c r="AB1633" t="s">
        <v>50</v>
      </c>
      <c r="AC1633" s="2">
        <v>65666.289999999994</v>
      </c>
      <c r="AD1633" t="s">
        <v>7621</v>
      </c>
      <c r="AE1633" t="s">
        <v>52</v>
      </c>
    </row>
    <row r="1634" spans="1:31" hidden="1" x14ac:dyDescent="0.25">
      <c r="J1634" s="2">
        <v>218170</v>
      </c>
      <c r="K1634" s="2">
        <v>881.82</v>
      </c>
      <c r="L1634" s="2">
        <v>21</v>
      </c>
      <c r="M1634" s="2">
        <v>0</v>
      </c>
      <c r="S1634" t="s">
        <v>7623</v>
      </c>
      <c r="U1634" t="s">
        <v>45</v>
      </c>
      <c r="V1634" t="s">
        <v>46</v>
      </c>
      <c r="W1634" t="s">
        <v>7375</v>
      </c>
      <c r="X1634" t="s">
        <v>7376</v>
      </c>
      <c r="Y1634" t="s">
        <v>5743</v>
      </c>
      <c r="Z1634" t="s">
        <v>5744</v>
      </c>
      <c r="AA1634" t="s">
        <v>49</v>
      </c>
      <c r="AC1634" s="2"/>
    </row>
    <row r="1635" spans="1:31" hidden="1" x14ac:dyDescent="0.25">
      <c r="A1635" t="s">
        <v>7624</v>
      </c>
      <c r="B1635" t="s">
        <v>7625</v>
      </c>
      <c r="C1635" t="s">
        <v>7625</v>
      </c>
      <c r="F1635" t="s">
        <v>7626</v>
      </c>
      <c r="J1635" s="2">
        <v>1000</v>
      </c>
      <c r="K1635" s="2">
        <v>0</v>
      </c>
      <c r="L1635" s="2">
        <v>15</v>
      </c>
      <c r="M1635" s="2">
        <v>0</v>
      </c>
      <c r="N1635" t="s">
        <v>7490</v>
      </c>
      <c r="O1635" t="s">
        <v>7491</v>
      </c>
      <c r="P1635" t="s">
        <v>5966</v>
      </c>
      <c r="Q1635" t="s">
        <v>5739</v>
      </c>
      <c r="S1635" t="s">
        <v>7627</v>
      </c>
      <c r="U1635" t="s">
        <v>45</v>
      </c>
      <c r="V1635" t="s">
        <v>46</v>
      </c>
      <c r="W1635" t="s">
        <v>7490</v>
      </c>
      <c r="X1635" t="s">
        <v>7491</v>
      </c>
      <c r="Y1635" t="s">
        <v>5743</v>
      </c>
      <c r="Z1635" t="s">
        <v>5744</v>
      </c>
      <c r="AA1635" t="s">
        <v>49</v>
      </c>
      <c r="AB1635" t="s">
        <v>50</v>
      </c>
      <c r="AC1635" s="2">
        <v>1000</v>
      </c>
      <c r="AD1635" t="s">
        <v>64</v>
      </c>
    </row>
    <row r="1636" spans="1:31" x14ac:dyDescent="0.25">
      <c r="A1636" t="s">
        <v>7628</v>
      </c>
      <c r="B1636" t="s">
        <v>7629</v>
      </c>
      <c r="C1636" t="s">
        <v>7629</v>
      </c>
      <c r="D1636" t="s">
        <v>125</v>
      </c>
      <c r="E1636" t="s">
        <v>126</v>
      </c>
      <c r="F1636" t="s">
        <v>866</v>
      </c>
      <c r="G1636" t="s">
        <v>125</v>
      </c>
      <c r="H1636" t="s">
        <v>79</v>
      </c>
      <c r="I1636" t="s">
        <v>7630</v>
      </c>
      <c r="J1636" s="2">
        <v>872680</v>
      </c>
      <c r="K1636" s="2">
        <v>4000</v>
      </c>
      <c r="L1636" s="2">
        <v>21</v>
      </c>
      <c r="M1636" s="2">
        <v>0</v>
      </c>
      <c r="N1636" t="s">
        <v>495</v>
      </c>
      <c r="O1636" t="s">
        <v>79</v>
      </c>
      <c r="P1636" t="s">
        <v>3487</v>
      </c>
      <c r="Q1636" t="s">
        <v>3488</v>
      </c>
      <c r="S1636" t="s">
        <v>7631</v>
      </c>
      <c r="U1636" t="s">
        <v>45</v>
      </c>
      <c r="V1636" t="s">
        <v>46</v>
      </c>
      <c r="W1636" t="s">
        <v>495</v>
      </c>
      <c r="X1636" t="s">
        <v>79</v>
      </c>
      <c r="Y1636" t="s">
        <v>79</v>
      </c>
      <c r="Z1636" t="s">
        <v>94</v>
      </c>
      <c r="AA1636" t="s">
        <v>49</v>
      </c>
      <c r="AB1636" t="s">
        <v>50</v>
      </c>
      <c r="AC1636" s="2">
        <v>671780.04</v>
      </c>
      <c r="AD1636" t="s">
        <v>7632</v>
      </c>
      <c r="AE1636" t="s">
        <v>52</v>
      </c>
    </row>
    <row r="1637" spans="1:31" x14ac:dyDescent="0.25">
      <c r="A1637" t="s">
        <v>7633</v>
      </c>
      <c r="B1637" t="s">
        <v>7634</v>
      </c>
      <c r="C1637" t="s">
        <v>7634</v>
      </c>
      <c r="D1637" t="s">
        <v>847</v>
      </c>
      <c r="E1637" t="s">
        <v>848</v>
      </c>
      <c r="F1637" t="s">
        <v>7635</v>
      </c>
      <c r="G1637" t="s">
        <v>847</v>
      </c>
      <c r="H1637" t="s">
        <v>5739</v>
      </c>
      <c r="I1637" t="s">
        <v>7636</v>
      </c>
      <c r="J1637" s="2">
        <v>3503400</v>
      </c>
      <c r="K1637" s="2">
        <v>15000</v>
      </c>
      <c r="L1637" s="2">
        <v>30</v>
      </c>
      <c r="M1637" s="2">
        <v>0</v>
      </c>
      <c r="N1637" t="s">
        <v>5741</v>
      </c>
      <c r="O1637" t="s">
        <v>5739</v>
      </c>
      <c r="P1637" t="s">
        <v>2320</v>
      </c>
      <c r="Q1637" t="s">
        <v>2321</v>
      </c>
      <c r="S1637" t="s">
        <v>7637</v>
      </c>
      <c r="U1637" t="s">
        <v>45</v>
      </c>
      <c r="V1637" t="s">
        <v>46</v>
      </c>
      <c r="W1637" t="s">
        <v>5741</v>
      </c>
      <c r="X1637" t="s">
        <v>5739</v>
      </c>
      <c r="Y1637" t="s">
        <v>5743</v>
      </c>
      <c r="Z1637" t="s">
        <v>5744</v>
      </c>
      <c r="AA1637" t="s">
        <v>49</v>
      </c>
      <c r="AB1637" t="s">
        <v>50</v>
      </c>
      <c r="AC1637" s="2">
        <v>1025857.72</v>
      </c>
      <c r="AD1637" t="s">
        <v>7638</v>
      </c>
      <c r="AE1637" t="s">
        <v>115</v>
      </c>
    </row>
    <row r="1638" spans="1:31" x14ac:dyDescent="0.25">
      <c r="A1638" t="s">
        <v>7639</v>
      </c>
      <c r="B1638" t="s">
        <v>7640</v>
      </c>
      <c r="C1638" t="s">
        <v>7629</v>
      </c>
      <c r="D1638" t="s">
        <v>125</v>
      </c>
      <c r="E1638" t="s">
        <v>126</v>
      </c>
      <c r="F1638" t="s">
        <v>866</v>
      </c>
      <c r="G1638" t="s">
        <v>299</v>
      </c>
      <c r="H1638" t="s">
        <v>79</v>
      </c>
      <c r="I1638" t="s">
        <v>7630</v>
      </c>
      <c r="J1638" s="2">
        <v>479974</v>
      </c>
      <c r="K1638" s="2">
        <v>2200</v>
      </c>
      <c r="L1638" s="2">
        <v>21</v>
      </c>
      <c r="M1638" s="2">
        <v>0</v>
      </c>
      <c r="N1638" t="s">
        <v>495</v>
      </c>
      <c r="O1638" t="s">
        <v>79</v>
      </c>
      <c r="P1638" t="s">
        <v>3487</v>
      </c>
      <c r="Q1638" t="s">
        <v>3488</v>
      </c>
      <c r="S1638" t="s">
        <v>7631</v>
      </c>
      <c r="U1638" t="s">
        <v>45</v>
      </c>
      <c r="V1638" t="s">
        <v>46</v>
      </c>
      <c r="W1638" t="s">
        <v>495</v>
      </c>
      <c r="X1638" t="s">
        <v>79</v>
      </c>
      <c r="Y1638" t="s">
        <v>79</v>
      </c>
      <c r="Z1638" t="s">
        <v>94</v>
      </c>
      <c r="AA1638" t="s">
        <v>49</v>
      </c>
      <c r="AB1638" t="s">
        <v>50</v>
      </c>
      <c r="AC1638" s="2">
        <v>407178.48</v>
      </c>
      <c r="AD1638" t="s">
        <v>7641</v>
      </c>
      <c r="AE1638" t="s">
        <v>52</v>
      </c>
    </row>
    <row r="1639" spans="1:31" x14ac:dyDescent="0.25">
      <c r="A1639" t="s">
        <v>7642</v>
      </c>
      <c r="B1639" t="s">
        <v>7643</v>
      </c>
      <c r="C1639" t="s">
        <v>7643</v>
      </c>
      <c r="D1639" t="s">
        <v>35</v>
      </c>
      <c r="E1639" t="s">
        <v>36</v>
      </c>
      <c r="F1639" t="s">
        <v>7644</v>
      </c>
      <c r="G1639" t="s">
        <v>478</v>
      </c>
      <c r="H1639" t="s">
        <v>1360</v>
      </c>
      <c r="I1639" t="s">
        <v>7645</v>
      </c>
      <c r="J1639" s="2">
        <v>313881</v>
      </c>
      <c r="K1639" s="2">
        <v>1438.7</v>
      </c>
      <c r="L1639" s="2">
        <v>15</v>
      </c>
      <c r="M1639" s="2">
        <v>0</v>
      </c>
      <c r="N1639" t="s">
        <v>1362</v>
      </c>
      <c r="O1639" t="s">
        <v>1360</v>
      </c>
      <c r="P1639" t="s">
        <v>1421</v>
      </c>
      <c r="Q1639" t="s">
        <v>1422</v>
      </c>
      <c r="S1639" t="s">
        <v>7646</v>
      </c>
      <c r="U1639" t="s">
        <v>45</v>
      </c>
      <c r="V1639" t="s">
        <v>46</v>
      </c>
      <c r="W1639" t="s">
        <v>1362</v>
      </c>
      <c r="X1639" t="s">
        <v>1360</v>
      </c>
      <c r="Y1639" t="s">
        <v>1215</v>
      </c>
      <c r="Z1639" t="s">
        <v>1216</v>
      </c>
      <c r="AA1639" t="s">
        <v>49</v>
      </c>
      <c r="AB1639" t="s">
        <v>50</v>
      </c>
      <c r="AC1639" s="2">
        <v>313881</v>
      </c>
      <c r="AD1639" t="s">
        <v>64</v>
      </c>
    </row>
    <row r="1640" spans="1:31" x14ac:dyDescent="0.25">
      <c r="A1640" t="s">
        <v>7647</v>
      </c>
      <c r="B1640" t="s">
        <v>7648</v>
      </c>
      <c r="C1640" t="s">
        <v>7648</v>
      </c>
      <c r="D1640" t="s">
        <v>35</v>
      </c>
      <c r="E1640" t="s">
        <v>36</v>
      </c>
      <c r="F1640" t="s">
        <v>7649</v>
      </c>
      <c r="G1640" t="s">
        <v>35</v>
      </c>
      <c r="H1640" t="s">
        <v>404</v>
      </c>
      <c r="I1640" t="s">
        <v>1298</v>
      </c>
      <c r="J1640" s="2">
        <v>713250</v>
      </c>
      <c r="K1640" s="2">
        <v>3000</v>
      </c>
      <c r="L1640" s="2">
        <v>30</v>
      </c>
      <c r="M1640" s="2">
        <v>0</v>
      </c>
      <c r="N1640" t="s">
        <v>403</v>
      </c>
      <c r="O1640" t="s">
        <v>404</v>
      </c>
      <c r="P1640" t="s">
        <v>205</v>
      </c>
      <c r="Q1640" t="s">
        <v>206</v>
      </c>
      <c r="S1640" t="s">
        <v>7650</v>
      </c>
      <c r="U1640" t="s">
        <v>45</v>
      </c>
      <c r="V1640" t="s">
        <v>46</v>
      </c>
      <c r="W1640" t="s">
        <v>403</v>
      </c>
      <c r="X1640" t="s">
        <v>404</v>
      </c>
      <c r="Y1640" t="s">
        <v>161</v>
      </c>
      <c r="Z1640" t="s">
        <v>162</v>
      </c>
      <c r="AA1640" t="s">
        <v>49</v>
      </c>
      <c r="AB1640" t="s">
        <v>50</v>
      </c>
      <c r="AC1640" s="2">
        <v>187048.74</v>
      </c>
      <c r="AD1640" t="s">
        <v>7651</v>
      </c>
      <c r="AE1640" t="s">
        <v>52</v>
      </c>
    </row>
    <row r="1641" spans="1:31" x14ac:dyDescent="0.25">
      <c r="A1641" t="s">
        <v>7652</v>
      </c>
      <c r="B1641" t="s">
        <v>7653</v>
      </c>
      <c r="C1641" t="s">
        <v>7653</v>
      </c>
      <c r="D1641" t="s">
        <v>847</v>
      </c>
      <c r="E1641" t="s">
        <v>848</v>
      </c>
      <c r="F1641" t="s">
        <v>7654</v>
      </c>
      <c r="G1641" t="s">
        <v>299</v>
      </c>
      <c r="H1641" t="s">
        <v>1360</v>
      </c>
      <c r="I1641" t="s">
        <v>7655</v>
      </c>
      <c r="J1641" s="2">
        <v>143408</v>
      </c>
      <c r="K1641" s="2">
        <v>657.32</v>
      </c>
      <c r="L1641" s="2">
        <v>15</v>
      </c>
      <c r="M1641" s="2">
        <v>0</v>
      </c>
      <c r="N1641" t="s">
        <v>1362</v>
      </c>
      <c r="O1641" t="s">
        <v>1360</v>
      </c>
      <c r="P1641" t="s">
        <v>1421</v>
      </c>
      <c r="Q1641" t="s">
        <v>1422</v>
      </c>
      <c r="S1641" t="s">
        <v>7656</v>
      </c>
      <c r="U1641" t="s">
        <v>45</v>
      </c>
      <c r="V1641" t="s">
        <v>46</v>
      </c>
      <c r="W1641" t="s">
        <v>1362</v>
      </c>
      <c r="X1641" t="s">
        <v>1360</v>
      </c>
      <c r="Y1641" t="s">
        <v>1215</v>
      </c>
      <c r="Z1641" t="s">
        <v>1216</v>
      </c>
      <c r="AA1641" t="s">
        <v>49</v>
      </c>
      <c r="AB1641" t="s">
        <v>50</v>
      </c>
      <c r="AC1641" s="2">
        <v>116608.67</v>
      </c>
      <c r="AD1641" t="s">
        <v>7657</v>
      </c>
      <c r="AE1641" t="s">
        <v>52</v>
      </c>
    </row>
    <row r="1642" spans="1:31" x14ac:dyDescent="0.25">
      <c r="A1642" t="s">
        <v>7658</v>
      </c>
      <c r="B1642" t="s">
        <v>7659</v>
      </c>
      <c r="C1642" t="s">
        <v>7659</v>
      </c>
      <c r="D1642" t="s">
        <v>847</v>
      </c>
      <c r="E1642" t="s">
        <v>848</v>
      </c>
      <c r="F1642" t="s">
        <v>7660</v>
      </c>
      <c r="G1642" t="s">
        <v>178</v>
      </c>
      <c r="H1642" t="s">
        <v>65</v>
      </c>
      <c r="I1642" t="s">
        <v>7661</v>
      </c>
      <c r="J1642" s="2">
        <v>65451</v>
      </c>
      <c r="K1642" s="2">
        <v>300</v>
      </c>
      <c r="L1642" s="2">
        <v>15</v>
      </c>
      <c r="M1642" s="2">
        <v>0</v>
      </c>
      <c r="N1642" t="s">
        <v>67</v>
      </c>
      <c r="O1642" t="s">
        <v>68</v>
      </c>
      <c r="P1642" t="s">
        <v>69</v>
      </c>
      <c r="Q1642" t="s">
        <v>70</v>
      </c>
      <c r="S1642" t="s">
        <v>7662</v>
      </c>
      <c r="U1642" t="s">
        <v>45</v>
      </c>
      <c r="V1642" t="s">
        <v>46</v>
      </c>
      <c r="W1642" t="s">
        <v>67</v>
      </c>
      <c r="X1642" t="s">
        <v>68</v>
      </c>
      <c r="Y1642" t="s">
        <v>72</v>
      </c>
      <c r="Z1642" t="s">
        <v>68</v>
      </c>
      <c r="AA1642" t="s">
        <v>49</v>
      </c>
      <c r="AB1642" t="s">
        <v>50</v>
      </c>
      <c r="AC1642" s="2">
        <v>52958.25</v>
      </c>
      <c r="AD1642" t="s">
        <v>7663</v>
      </c>
    </row>
    <row r="1643" spans="1:31" x14ac:dyDescent="0.25">
      <c r="A1643" t="s">
        <v>7664</v>
      </c>
      <c r="B1643" t="s">
        <v>7665</v>
      </c>
      <c r="C1643" t="s">
        <v>7665</v>
      </c>
      <c r="D1643" t="s">
        <v>7666</v>
      </c>
      <c r="E1643" t="s">
        <v>77</v>
      </c>
      <c r="F1643" t="s">
        <v>7667</v>
      </c>
      <c r="H1643" t="s">
        <v>7668</v>
      </c>
      <c r="J1643" s="2">
        <v>123705</v>
      </c>
      <c r="K1643" s="2">
        <v>500</v>
      </c>
      <c r="L1643" s="2">
        <v>21</v>
      </c>
      <c r="M1643" s="2">
        <v>0</v>
      </c>
      <c r="N1643" t="s">
        <v>7669</v>
      </c>
      <c r="O1643" t="s">
        <v>7670</v>
      </c>
      <c r="P1643" t="s">
        <v>5966</v>
      </c>
      <c r="Q1643" t="s">
        <v>5739</v>
      </c>
      <c r="S1643" t="s">
        <v>7671</v>
      </c>
      <c r="U1643" t="s">
        <v>45</v>
      </c>
      <c r="V1643" t="s">
        <v>46</v>
      </c>
      <c r="W1643" t="s">
        <v>7669</v>
      </c>
      <c r="X1643" t="s">
        <v>7670</v>
      </c>
      <c r="Y1643" t="s">
        <v>5743</v>
      </c>
      <c r="Z1643" t="s">
        <v>5744</v>
      </c>
      <c r="AA1643" t="s">
        <v>49</v>
      </c>
      <c r="AB1643" t="s">
        <v>50</v>
      </c>
      <c r="AC1643" s="2">
        <v>123705</v>
      </c>
      <c r="AD1643" t="s">
        <v>64</v>
      </c>
    </row>
    <row r="1644" spans="1:31" x14ac:dyDescent="0.25">
      <c r="A1644" t="s">
        <v>7672</v>
      </c>
      <c r="B1644" t="s">
        <v>7673</v>
      </c>
      <c r="C1644" t="s">
        <v>7673</v>
      </c>
      <c r="D1644" t="s">
        <v>153</v>
      </c>
      <c r="E1644" t="s">
        <v>272</v>
      </c>
      <c r="F1644" t="s">
        <v>7674</v>
      </c>
      <c r="G1644" t="s">
        <v>478</v>
      </c>
      <c r="H1644" t="s">
        <v>255</v>
      </c>
      <c r="I1644" t="s">
        <v>7675</v>
      </c>
      <c r="J1644" s="2">
        <v>130902</v>
      </c>
      <c r="K1644" s="2">
        <v>600</v>
      </c>
      <c r="L1644" s="2">
        <v>15</v>
      </c>
      <c r="M1644" s="2">
        <v>0</v>
      </c>
      <c r="N1644" t="s">
        <v>254</v>
      </c>
      <c r="O1644" t="s">
        <v>255</v>
      </c>
      <c r="P1644" t="s">
        <v>256</v>
      </c>
      <c r="Q1644" t="s">
        <v>255</v>
      </c>
      <c r="S1644" t="s">
        <v>7676</v>
      </c>
      <c r="U1644" t="s">
        <v>45</v>
      </c>
      <c r="V1644" t="s">
        <v>46</v>
      </c>
      <c r="W1644" t="s">
        <v>254</v>
      </c>
      <c r="X1644" t="s">
        <v>255</v>
      </c>
      <c r="Y1644" t="s">
        <v>258</v>
      </c>
      <c r="Z1644" t="s">
        <v>259</v>
      </c>
      <c r="AA1644" t="s">
        <v>49</v>
      </c>
      <c r="AB1644" t="s">
        <v>50</v>
      </c>
      <c r="AC1644" s="2">
        <v>26307.72</v>
      </c>
      <c r="AD1644" t="s">
        <v>7677</v>
      </c>
      <c r="AE1644" t="s">
        <v>52</v>
      </c>
    </row>
    <row r="1645" spans="1:31" x14ac:dyDescent="0.25">
      <c r="A1645" t="s">
        <v>7678</v>
      </c>
      <c r="B1645" t="s">
        <v>7679</v>
      </c>
      <c r="C1645" t="s">
        <v>7679</v>
      </c>
      <c r="D1645" t="s">
        <v>125</v>
      </c>
      <c r="E1645" t="s">
        <v>126</v>
      </c>
      <c r="F1645" t="s">
        <v>7680</v>
      </c>
      <c r="G1645" t="s">
        <v>35</v>
      </c>
      <c r="H1645" t="s">
        <v>277</v>
      </c>
      <c r="J1645" s="2">
        <v>2207880</v>
      </c>
      <c r="K1645" s="2">
        <v>10120</v>
      </c>
      <c r="L1645" s="2">
        <v>30</v>
      </c>
      <c r="M1645" s="2">
        <v>0</v>
      </c>
      <c r="N1645" t="s">
        <v>276</v>
      </c>
      <c r="O1645" t="s">
        <v>277</v>
      </c>
      <c r="P1645" t="s">
        <v>103</v>
      </c>
      <c r="Q1645" t="s">
        <v>104</v>
      </c>
      <c r="S1645" t="s">
        <v>7681</v>
      </c>
      <c r="U1645" t="s">
        <v>45</v>
      </c>
      <c r="V1645" t="s">
        <v>46</v>
      </c>
      <c r="W1645" t="s">
        <v>276</v>
      </c>
      <c r="X1645" t="s">
        <v>277</v>
      </c>
      <c r="Y1645" t="s">
        <v>279</v>
      </c>
      <c r="Z1645" t="s">
        <v>280</v>
      </c>
      <c r="AA1645" t="s">
        <v>49</v>
      </c>
      <c r="AB1645" t="s">
        <v>50</v>
      </c>
      <c r="AC1645" s="2">
        <v>1569187.97</v>
      </c>
      <c r="AD1645" t="s">
        <v>7682</v>
      </c>
      <c r="AE1645" t="s">
        <v>52</v>
      </c>
    </row>
    <row r="1646" spans="1:31" x14ac:dyDescent="0.25">
      <c r="A1646" t="s">
        <v>7683</v>
      </c>
      <c r="B1646" t="s">
        <v>7684</v>
      </c>
      <c r="C1646" t="s">
        <v>7684</v>
      </c>
      <c r="D1646" t="s">
        <v>847</v>
      </c>
      <c r="E1646" t="s">
        <v>848</v>
      </c>
      <c r="F1646" t="s">
        <v>7685</v>
      </c>
      <c r="G1646" t="s">
        <v>847</v>
      </c>
      <c r="H1646" t="s">
        <v>7263</v>
      </c>
      <c r="J1646" s="2">
        <v>218170</v>
      </c>
      <c r="K1646" s="2">
        <v>1000</v>
      </c>
      <c r="L1646" s="2">
        <v>30</v>
      </c>
      <c r="M1646" s="2">
        <v>0</v>
      </c>
      <c r="N1646" t="s">
        <v>2571</v>
      </c>
      <c r="O1646" t="s">
        <v>2572</v>
      </c>
      <c r="P1646" t="s">
        <v>6987</v>
      </c>
      <c r="Q1646" t="s">
        <v>6988</v>
      </c>
      <c r="S1646" t="s">
        <v>7686</v>
      </c>
      <c r="U1646" t="s">
        <v>45</v>
      </c>
      <c r="V1646" t="s">
        <v>46</v>
      </c>
      <c r="W1646" t="s">
        <v>2571</v>
      </c>
      <c r="X1646" t="s">
        <v>2572</v>
      </c>
      <c r="Y1646" t="s">
        <v>2399</v>
      </c>
      <c r="Z1646" t="s">
        <v>2400</v>
      </c>
      <c r="AA1646" t="s">
        <v>49</v>
      </c>
      <c r="AB1646" t="s">
        <v>50</v>
      </c>
      <c r="AC1646" s="2">
        <v>158028.45000000001</v>
      </c>
      <c r="AD1646" t="s">
        <v>7687</v>
      </c>
      <c r="AE1646" t="s">
        <v>52</v>
      </c>
    </row>
    <row r="1647" spans="1:31" hidden="1" x14ac:dyDescent="0.25">
      <c r="A1647" t="s">
        <v>7688</v>
      </c>
      <c r="B1647" t="s">
        <v>7689</v>
      </c>
      <c r="C1647" t="s">
        <v>7689</v>
      </c>
      <c r="F1647" t="s">
        <v>7690</v>
      </c>
      <c r="H1647" t="s">
        <v>92</v>
      </c>
      <c r="J1647" s="2">
        <v>1000</v>
      </c>
      <c r="K1647" s="2">
        <v>0</v>
      </c>
      <c r="L1647" s="2">
        <v>21</v>
      </c>
      <c r="M1647" s="2">
        <v>0</v>
      </c>
      <c r="N1647" t="s">
        <v>640</v>
      </c>
      <c r="O1647" t="s">
        <v>641</v>
      </c>
      <c r="P1647" t="s">
        <v>91</v>
      </c>
      <c r="Q1647" t="s">
        <v>92</v>
      </c>
      <c r="S1647" t="s">
        <v>7691</v>
      </c>
      <c r="U1647" t="s">
        <v>45</v>
      </c>
      <c r="V1647" t="s">
        <v>46</v>
      </c>
      <c r="W1647" t="s">
        <v>640</v>
      </c>
      <c r="X1647" t="s">
        <v>641</v>
      </c>
      <c r="Y1647" t="s">
        <v>92</v>
      </c>
      <c r="Z1647" t="s">
        <v>94</v>
      </c>
      <c r="AA1647" t="s">
        <v>49</v>
      </c>
      <c r="AB1647" t="s">
        <v>50</v>
      </c>
      <c r="AC1647" s="2">
        <v>1000</v>
      </c>
      <c r="AD1647" t="s">
        <v>64</v>
      </c>
    </row>
    <row r="1648" spans="1:31" hidden="1" x14ac:dyDescent="0.25">
      <c r="A1648" t="s">
        <v>7692</v>
      </c>
      <c r="B1648" t="s">
        <v>7693</v>
      </c>
      <c r="C1648" t="s">
        <v>7693</v>
      </c>
      <c r="F1648" t="s">
        <v>7690</v>
      </c>
      <c r="H1648" t="s">
        <v>92</v>
      </c>
      <c r="J1648" s="2">
        <v>1000</v>
      </c>
      <c r="K1648" s="2">
        <v>0</v>
      </c>
      <c r="L1648" s="2">
        <v>21</v>
      </c>
      <c r="M1648" s="2">
        <v>0</v>
      </c>
      <c r="N1648" t="s">
        <v>640</v>
      </c>
      <c r="O1648" t="s">
        <v>641</v>
      </c>
      <c r="P1648" t="s">
        <v>91</v>
      </c>
      <c r="Q1648" t="s">
        <v>92</v>
      </c>
      <c r="S1648" t="s">
        <v>7691</v>
      </c>
      <c r="U1648" t="s">
        <v>45</v>
      </c>
      <c r="V1648" t="s">
        <v>46</v>
      </c>
      <c r="W1648" t="s">
        <v>640</v>
      </c>
      <c r="X1648" t="s">
        <v>641</v>
      </c>
      <c r="Y1648" t="s">
        <v>92</v>
      </c>
      <c r="Z1648" t="s">
        <v>94</v>
      </c>
      <c r="AA1648" t="s">
        <v>49</v>
      </c>
      <c r="AB1648" t="s">
        <v>50</v>
      </c>
      <c r="AC1648" s="2">
        <v>1000</v>
      </c>
      <c r="AD1648" t="s">
        <v>64</v>
      </c>
    </row>
    <row r="1649" spans="1:31" hidden="1" x14ac:dyDescent="0.25">
      <c r="A1649" t="s">
        <v>7694</v>
      </c>
      <c r="B1649" t="s">
        <v>7695</v>
      </c>
      <c r="C1649" t="s">
        <v>7696</v>
      </c>
      <c r="F1649" t="s">
        <v>7690</v>
      </c>
      <c r="H1649" t="s">
        <v>4313</v>
      </c>
      <c r="J1649" s="2">
        <v>1000</v>
      </c>
      <c r="K1649" s="2">
        <v>0</v>
      </c>
      <c r="L1649" s="2">
        <v>21</v>
      </c>
      <c r="M1649" s="2">
        <v>0</v>
      </c>
      <c r="N1649" t="s">
        <v>624</v>
      </c>
      <c r="O1649" t="s">
        <v>622</v>
      </c>
      <c r="P1649" t="s">
        <v>91</v>
      </c>
      <c r="Q1649" t="s">
        <v>92</v>
      </c>
      <c r="S1649" t="s">
        <v>7697</v>
      </c>
      <c r="U1649" t="s">
        <v>45</v>
      </c>
      <c r="V1649" t="s">
        <v>46</v>
      </c>
      <c r="W1649" t="s">
        <v>624</v>
      </c>
      <c r="X1649" t="s">
        <v>622</v>
      </c>
      <c r="Y1649" t="s">
        <v>92</v>
      </c>
      <c r="Z1649" t="s">
        <v>94</v>
      </c>
      <c r="AA1649" t="s">
        <v>49</v>
      </c>
      <c r="AB1649" t="s">
        <v>50</v>
      </c>
      <c r="AC1649" s="2">
        <v>1000</v>
      </c>
      <c r="AD1649" t="s">
        <v>64</v>
      </c>
    </row>
    <row r="1650" spans="1:31" hidden="1" x14ac:dyDescent="0.25">
      <c r="A1650" t="s">
        <v>7698</v>
      </c>
      <c r="B1650" t="s">
        <v>7699</v>
      </c>
      <c r="C1650" t="s">
        <v>7700</v>
      </c>
      <c r="F1650" t="s">
        <v>7690</v>
      </c>
      <c r="H1650" t="s">
        <v>90</v>
      </c>
      <c r="J1650" s="2">
        <v>1000</v>
      </c>
      <c r="K1650" s="2">
        <v>0</v>
      </c>
      <c r="L1650" s="2">
        <v>21</v>
      </c>
      <c r="M1650" s="2">
        <v>0</v>
      </c>
      <c r="N1650" t="s">
        <v>89</v>
      </c>
      <c r="O1650" t="s">
        <v>90</v>
      </c>
      <c r="P1650" t="s">
        <v>91</v>
      </c>
      <c r="Q1650" t="s">
        <v>92</v>
      </c>
      <c r="S1650" t="s">
        <v>7697</v>
      </c>
      <c r="U1650" t="s">
        <v>45</v>
      </c>
      <c r="V1650" t="s">
        <v>46</v>
      </c>
      <c r="W1650" t="s">
        <v>89</v>
      </c>
      <c r="X1650" t="s">
        <v>90</v>
      </c>
      <c r="Y1650" t="s">
        <v>92</v>
      </c>
      <c r="Z1650" t="s">
        <v>94</v>
      </c>
      <c r="AA1650" t="s">
        <v>49</v>
      </c>
      <c r="AB1650" t="s">
        <v>50</v>
      </c>
      <c r="AC1650" s="2">
        <v>1000</v>
      </c>
      <c r="AD1650" t="s">
        <v>64</v>
      </c>
    </row>
    <row r="1651" spans="1:31" hidden="1" x14ac:dyDescent="0.25">
      <c r="A1651" t="s">
        <v>7701</v>
      </c>
      <c r="B1651" t="s">
        <v>7702</v>
      </c>
      <c r="C1651" t="s">
        <v>7703</v>
      </c>
      <c r="F1651" t="s">
        <v>7690</v>
      </c>
      <c r="H1651" t="s">
        <v>7704</v>
      </c>
      <c r="J1651" s="2">
        <v>1000</v>
      </c>
      <c r="K1651" s="2">
        <v>0</v>
      </c>
      <c r="L1651" s="2">
        <v>21</v>
      </c>
      <c r="M1651" s="2">
        <v>0</v>
      </c>
      <c r="N1651" t="s">
        <v>7705</v>
      </c>
      <c r="O1651" t="s">
        <v>7706</v>
      </c>
      <c r="P1651" t="s">
        <v>91</v>
      </c>
      <c r="Q1651" t="s">
        <v>92</v>
      </c>
      <c r="S1651" t="s">
        <v>7697</v>
      </c>
      <c r="U1651" t="s">
        <v>45</v>
      </c>
      <c r="V1651" t="s">
        <v>46</v>
      </c>
      <c r="W1651" t="s">
        <v>7705</v>
      </c>
      <c r="X1651" t="s">
        <v>7706</v>
      </c>
      <c r="Y1651" t="s">
        <v>137</v>
      </c>
      <c r="Z1651" t="s">
        <v>717</v>
      </c>
      <c r="AA1651" t="s">
        <v>49</v>
      </c>
      <c r="AB1651" t="s">
        <v>50</v>
      </c>
      <c r="AC1651" s="2">
        <v>1000</v>
      </c>
      <c r="AD1651" t="s">
        <v>64</v>
      </c>
    </row>
    <row r="1652" spans="1:31" hidden="1" x14ac:dyDescent="0.25">
      <c r="A1652" t="s">
        <v>7707</v>
      </c>
      <c r="B1652" t="s">
        <v>7708</v>
      </c>
      <c r="C1652" t="s">
        <v>7709</v>
      </c>
      <c r="F1652" t="s">
        <v>7690</v>
      </c>
      <c r="H1652" t="s">
        <v>922</v>
      </c>
      <c r="J1652" s="2">
        <v>1000</v>
      </c>
      <c r="K1652" s="2">
        <v>0</v>
      </c>
      <c r="L1652" s="2">
        <v>21</v>
      </c>
      <c r="M1652" s="2">
        <v>0</v>
      </c>
      <c r="N1652" t="s">
        <v>822</v>
      </c>
      <c r="O1652" t="s">
        <v>820</v>
      </c>
      <c r="P1652" t="s">
        <v>91</v>
      </c>
      <c r="Q1652" t="s">
        <v>92</v>
      </c>
      <c r="S1652" t="s">
        <v>7697</v>
      </c>
      <c r="U1652" t="s">
        <v>45</v>
      </c>
      <c r="V1652" t="s">
        <v>46</v>
      </c>
      <c r="W1652" t="s">
        <v>822</v>
      </c>
      <c r="X1652" t="s">
        <v>820</v>
      </c>
      <c r="Y1652" t="s">
        <v>92</v>
      </c>
      <c r="Z1652" t="s">
        <v>94</v>
      </c>
      <c r="AA1652" t="s">
        <v>49</v>
      </c>
      <c r="AB1652" t="s">
        <v>50</v>
      </c>
      <c r="AC1652" s="2">
        <v>1000</v>
      </c>
      <c r="AD1652" t="s">
        <v>64</v>
      </c>
    </row>
    <row r="1653" spans="1:31" hidden="1" x14ac:dyDescent="0.25">
      <c r="A1653" t="s">
        <v>7710</v>
      </c>
      <c r="B1653" t="s">
        <v>7711</v>
      </c>
      <c r="C1653" t="s">
        <v>7700</v>
      </c>
      <c r="F1653" t="s">
        <v>7690</v>
      </c>
      <c r="H1653" t="s">
        <v>90</v>
      </c>
      <c r="J1653" s="2">
        <v>1000</v>
      </c>
      <c r="K1653" s="2">
        <v>0</v>
      </c>
      <c r="L1653" s="2">
        <v>21</v>
      </c>
      <c r="M1653" s="2">
        <v>0</v>
      </c>
      <c r="N1653" t="s">
        <v>89</v>
      </c>
      <c r="O1653" t="s">
        <v>90</v>
      </c>
      <c r="P1653" t="s">
        <v>91</v>
      </c>
      <c r="Q1653" t="s">
        <v>92</v>
      </c>
      <c r="S1653" t="s">
        <v>7697</v>
      </c>
      <c r="U1653" t="s">
        <v>45</v>
      </c>
      <c r="V1653" t="s">
        <v>46</v>
      </c>
      <c r="W1653" t="s">
        <v>89</v>
      </c>
      <c r="X1653" t="s">
        <v>90</v>
      </c>
      <c r="Y1653" t="s">
        <v>92</v>
      </c>
      <c r="Z1653" t="s">
        <v>94</v>
      </c>
      <c r="AA1653" t="s">
        <v>49</v>
      </c>
      <c r="AB1653" t="s">
        <v>50</v>
      </c>
      <c r="AC1653" s="2">
        <v>1000</v>
      </c>
      <c r="AD1653" t="s">
        <v>64</v>
      </c>
    </row>
    <row r="1654" spans="1:31" hidden="1" x14ac:dyDescent="0.25">
      <c r="A1654" t="s">
        <v>7712</v>
      </c>
      <c r="B1654" t="s">
        <v>7713</v>
      </c>
      <c r="C1654" t="s">
        <v>7700</v>
      </c>
      <c r="F1654" t="s">
        <v>7690</v>
      </c>
      <c r="H1654" t="s">
        <v>255</v>
      </c>
      <c r="J1654" s="2">
        <v>1000</v>
      </c>
      <c r="K1654" s="2">
        <v>0</v>
      </c>
      <c r="L1654" s="2">
        <v>21</v>
      </c>
      <c r="M1654" s="2">
        <v>0</v>
      </c>
      <c r="N1654" t="s">
        <v>254</v>
      </c>
      <c r="O1654" t="s">
        <v>255</v>
      </c>
      <c r="P1654" t="s">
        <v>91</v>
      </c>
      <c r="Q1654" t="s">
        <v>92</v>
      </c>
      <c r="S1654" t="s">
        <v>7697</v>
      </c>
      <c r="U1654" t="s">
        <v>45</v>
      </c>
      <c r="V1654" t="s">
        <v>46</v>
      </c>
      <c r="W1654" t="s">
        <v>254</v>
      </c>
      <c r="X1654" t="s">
        <v>255</v>
      </c>
      <c r="Y1654" t="s">
        <v>258</v>
      </c>
      <c r="Z1654" t="s">
        <v>259</v>
      </c>
      <c r="AA1654" t="s">
        <v>49</v>
      </c>
      <c r="AB1654" t="s">
        <v>50</v>
      </c>
      <c r="AC1654" s="2">
        <v>1000</v>
      </c>
      <c r="AD1654" t="s">
        <v>64</v>
      </c>
    </row>
    <row r="1655" spans="1:31" hidden="1" x14ac:dyDescent="0.25">
      <c r="A1655" t="s">
        <v>7714</v>
      </c>
      <c r="B1655" t="s">
        <v>7715</v>
      </c>
      <c r="C1655" t="s">
        <v>7700</v>
      </c>
      <c r="F1655" t="s">
        <v>7690</v>
      </c>
      <c r="H1655" t="s">
        <v>611</v>
      </c>
      <c r="J1655" s="2">
        <v>1000</v>
      </c>
      <c r="K1655" s="2">
        <v>0</v>
      </c>
      <c r="L1655" s="2">
        <v>21</v>
      </c>
      <c r="M1655" s="2">
        <v>0</v>
      </c>
      <c r="N1655" t="s">
        <v>613</v>
      </c>
      <c r="O1655" t="s">
        <v>614</v>
      </c>
      <c r="P1655" t="s">
        <v>91</v>
      </c>
      <c r="Q1655" t="s">
        <v>92</v>
      </c>
      <c r="S1655" t="s">
        <v>7697</v>
      </c>
      <c r="U1655" t="s">
        <v>45</v>
      </c>
      <c r="V1655" t="s">
        <v>46</v>
      </c>
      <c r="W1655" t="s">
        <v>613</v>
      </c>
      <c r="X1655" t="s">
        <v>614</v>
      </c>
      <c r="Y1655" t="s">
        <v>92</v>
      </c>
      <c r="Z1655" t="s">
        <v>94</v>
      </c>
      <c r="AA1655" t="s">
        <v>49</v>
      </c>
      <c r="AB1655" t="s">
        <v>50</v>
      </c>
      <c r="AC1655" s="2">
        <v>1000</v>
      </c>
      <c r="AD1655" t="s">
        <v>64</v>
      </c>
    </row>
    <row r="1656" spans="1:31" hidden="1" x14ac:dyDescent="0.25">
      <c r="A1656" t="s">
        <v>7716</v>
      </c>
      <c r="B1656" t="s">
        <v>7717</v>
      </c>
      <c r="C1656" t="s">
        <v>7718</v>
      </c>
      <c r="F1656" t="s">
        <v>7690</v>
      </c>
      <c r="H1656" t="s">
        <v>665</v>
      </c>
      <c r="J1656" s="2">
        <v>1000</v>
      </c>
      <c r="K1656" s="2">
        <v>0</v>
      </c>
      <c r="L1656" s="2">
        <v>21</v>
      </c>
      <c r="M1656" s="2">
        <v>0</v>
      </c>
      <c r="N1656" t="s">
        <v>664</v>
      </c>
      <c r="O1656" t="s">
        <v>665</v>
      </c>
      <c r="P1656" t="s">
        <v>91</v>
      </c>
      <c r="Q1656" t="s">
        <v>92</v>
      </c>
      <c r="S1656" t="s">
        <v>7697</v>
      </c>
      <c r="U1656" t="s">
        <v>45</v>
      </c>
      <c r="V1656" t="s">
        <v>46</v>
      </c>
      <c r="W1656" t="s">
        <v>664</v>
      </c>
      <c r="X1656" t="s">
        <v>665</v>
      </c>
      <c r="Y1656" t="s">
        <v>106</v>
      </c>
      <c r="Z1656" t="s">
        <v>107</v>
      </c>
      <c r="AA1656" t="s">
        <v>49</v>
      </c>
      <c r="AB1656" t="s">
        <v>50</v>
      </c>
      <c r="AC1656" s="2">
        <v>1000</v>
      </c>
      <c r="AD1656" t="s">
        <v>64</v>
      </c>
    </row>
    <row r="1657" spans="1:31" hidden="1" x14ac:dyDescent="0.25">
      <c r="A1657" t="s">
        <v>7719</v>
      </c>
      <c r="B1657" t="s">
        <v>7720</v>
      </c>
      <c r="C1657" t="s">
        <v>7721</v>
      </c>
      <c r="F1657" t="s">
        <v>7690</v>
      </c>
      <c r="H1657" t="s">
        <v>7722</v>
      </c>
      <c r="J1657" s="2">
        <v>1000</v>
      </c>
      <c r="K1657" s="2">
        <v>0</v>
      </c>
      <c r="L1657" s="2">
        <v>21</v>
      </c>
      <c r="M1657" s="2">
        <v>0</v>
      </c>
      <c r="N1657" t="s">
        <v>7723</v>
      </c>
      <c r="O1657" t="s">
        <v>7722</v>
      </c>
      <c r="P1657" t="s">
        <v>91</v>
      </c>
      <c r="Q1657" t="s">
        <v>92</v>
      </c>
      <c r="S1657" t="s">
        <v>7697</v>
      </c>
      <c r="U1657" t="s">
        <v>45</v>
      </c>
      <c r="V1657" t="s">
        <v>46</v>
      </c>
      <c r="W1657" t="s">
        <v>7723</v>
      </c>
      <c r="X1657" t="s">
        <v>7722</v>
      </c>
      <c r="Y1657" t="s">
        <v>258</v>
      </c>
      <c r="Z1657" t="s">
        <v>259</v>
      </c>
      <c r="AA1657" t="s">
        <v>49</v>
      </c>
      <c r="AB1657" t="s">
        <v>50</v>
      </c>
      <c r="AC1657" s="2">
        <v>1000</v>
      </c>
      <c r="AD1657" t="s">
        <v>64</v>
      </c>
    </row>
    <row r="1658" spans="1:31" x14ac:dyDescent="0.25">
      <c r="A1658" t="s">
        <v>7724</v>
      </c>
      <c r="B1658" t="s">
        <v>7725</v>
      </c>
      <c r="C1658" t="s">
        <v>7725</v>
      </c>
      <c r="D1658" t="s">
        <v>35</v>
      </c>
      <c r="E1658" t="s">
        <v>36</v>
      </c>
      <c r="F1658" t="s">
        <v>7726</v>
      </c>
      <c r="G1658" t="s">
        <v>847</v>
      </c>
      <c r="H1658" t="s">
        <v>81</v>
      </c>
      <c r="J1658" s="2">
        <v>174536</v>
      </c>
      <c r="K1658" s="2">
        <v>800</v>
      </c>
      <c r="L1658" s="2">
        <v>15</v>
      </c>
      <c r="M1658" s="2">
        <v>0</v>
      </c>
      <c r="N1658" t="s">
        <v>80</v>
      </c>
      <c r="O1658" t="s">
        <v>81</v>
      </c>
      <c r="P1658" t="s">
        <v>557</v>
      </c>
      <c r="Q1658" t="s">
        <v>558</v>
      </c>
      <c r="S1658" t="s">
        <v>7727</v>
      </c>
      <c r="U1658" t="s">
        <v>45</v>
      </c>
      <c r="V1658" t="s">
        <v>46</v>
      </c>
      <c r="W1658" t="s">
        <v>80</v>
      </c>
      <c r="X1658" t="s">
        <v>81</v>
      </c>
      <c r="Y1658" t="s">
        <v>85</v>
      </c>
      <c r="Z1658" t="s">
        <v>86</v>
      </c>
      <c r="AA1658" t="s">
        <v>49</v>
      </c>
      <c r="AB1658" t="s">
        <v>50</v>
      </c>
      <c r="AC1658" s="2">
        <v>107453.04</v>
      </c>
      <c r="AD1658" t="s">
        <v>7728</v>
      </c>
      <c r="AE1658" t="s">
        <v>52</v>
      </c>
    </row>
    <row r="1659" spans="1:31" hidden="1" x14ac:dyDescent="0.25">
      <c r="A1659" t="s">
        <v>7729</v>
      </c>
      <c r="B1659" t="s">
        <v>7730</v>
      </c>
      <c r="C1659" t="s">
        <v>7730</v>
      </c>
      <c r="F1659" t="s">
        <v>7731</v>
      </c>
      <c r="H1659" t="s">
        <v>6733</v>
      </c>
      <c r="J1659" s="2">
        <v>218</v>
      </c>
      <c r="K1659" s="2">
        <v>1</v>
      </c>
      <c r="L1659" s="2">
        <v>15</v>
      </c>
      <c r="M1659" s="2">
        <v>0</v>
      </c>
      <c r="N1659" t="s">
        <v>6734</v>
      </c>
      <c r="O1659" t="s">
        <v>6735</v>
      </c>
      <c r="P1659" t="s">
        <v>82</v>
      </c>
      <c r="Q1659" t="s">
        <v>83</v>
      </c>
      <c r="S1659" t="s">
        <v>7732</v>
      </c>
      <c r="U1659" t="s">
        <v>45</v>
      </c>
      <c r="V1659" t="s">
        <v>46</v>
      </c>
      <c r="W1659" t="s">
        <v>6734</v>
      </c>
      <c r="X1659" t="s">
        <v>6735</v>
      </c>
      <c r="Y1659" t="s">
        <v>85</v>
      </c>
      <c r="Z1659" t="s">
        <v>86</v>
      </c>
      <c r="AA1659" t="s">
        <v>49</v>
      </c>
      <c r="AB1659" t="s">
        <v>50</v>
      </c>
      <c r="AC1659" s="2">
        <v>218</v>
      </c>
      <c r="AD1659" t="s">
        <v>64</v>
      </c>
    </row>
    <row r="1660" spans="1:31" x14ac:dyDescent="0.25">
      <c r="A1660" t="s">
        <v>7733</v>
      </c>
      <c r="B1660" t="s">
        <v>7734</v>
      </c>
      <c r="C1660" t="s">
        <v>7734</v>
      </c>
      <c r="D1660" t="s">
        <v>153</v>
      </c>
      <c r="E1660" t="s">
        <v>272</v>
      </c>
      <c r="F1660" t="s">
        <v>7735</v>
      </c>
      <c r="G1660" t="s">
        <v>153</v>
      </c>
      <c r="H1660" t="s">
        <v>79</v>
      </c>
      <c r="I1660" t="s">
        <v>7736</v>
      </c>
      <c r="J1660" s="2">
        <v>414959</v>
      </c>
      <c r="K1660" s="2">
        <v>1902</v>
      </c>
      <c r="L1660" s="2">
        <v>21</v>
      </c>
      <c r="M1660" s="2">
        <v>0</v>
      </c>
      <c r="N1660" t="s">
        <v>495</v>
      </c>
      <c r="O1660" t="s">
        <v>79</v>
      </c>
      <c r="P1660" t="s">
        <v>3487</v>
      </c>
      <c r="Q1660" t="s">
        <v>3488</v>
      </c>
      <c r="S1660" t="s">
        <v>7737</v>
      </c>
      <c r="U1660" t="s">
        <v>45</v>
      </c>
      <c r="V1660" t="s">
        <v>46</v>
      </c>
      <c r="W1660" t="s">
        <v>495</v>
      </c>
      <c r="X1660" t="s">
        <v>79</v>
      </c>
      <c r="Y1660" t="s">
        <v>79</v>
      </c>
      <c r="Z1660" t="s">
        <v>94</v>
      </c>
      <c r="AA1660" t="s">
        <v>49</v>
      </c>
      <c r="AB1660" t="s">
        <v>50</v>
      </c>
      <c r="AC1660" s="2">
        <v>299967.68</v>
      </c>
      <c r="AD1660" t="s">
        <v>7738</v>
      </c>
      <c r="AE1660" t="s">
        <v>52</v>
      </c>
    </row>
    <row r="1661" spans="1:31" hidden="1" x14ac:dyDescent="0.25">
      <c r="I1661" t="s">
        <v>6902</v>
      </c>
      <c r="J1661" s="2">
        <v>65451</v>
      </c>
      <c r="K1661" s="2">
        <v>300</v>
      </c>
      <c r="L1661" s="2">
        <v>21</v>
      </c>
      <c r="M1661" s="2">
        <v>0</v>
      </c>
      <c r="S1661" t="s">
        <v>7741</v>
      </c>
      <c r="U1661" t="s">
        <v>45</v>
      </c>
      <c r="V1661" t="s">
        <v>46</v>
      </c>
      <c r="W1661" t="s">
        <v>7740</v>
      </c>
      <c r="X1661" t="s">
        <v>7739</v>
      </c>
      <c r="Y1661" t="s">
        <v>79</v>
      </c>
      <c r="Z1661" t="s">
        <v>94</v>
      </c>
      <c r="AA1661" t="s">
        <v>49</v>
      </c>
      <c r="AC1661" s="2"/>
    </row>
    <row r="1662" spans="1:31" hidden="1" x14ac:dyDescent="0.25">
      <c r="A1662" t="s">
        <v>7742</v>
      </c>
      <c r="B1662" t="s">
        <v>7743</v>
      </c>
      <c r="C1662" t="s">
        <v>7743</v>
      </c>
      <c r="F1662" t="s">
        <v>7744</v>
      </c>
      <c r="H1662" t="s">
        <v>7745</v>
      </c>
      <c r="I1662" t="s">
        <v>7746</v>
      </c>
      <c r="J1662" s="2">
        <v>218170</v>
      </c>
      <c r="K1662" s="2">
        <v>1000</v>
      </c>
      <c r="L1662" s="2">
        <v>15</v>
      </c>
      <c r="M1662" s="2">
        <v>0</v>
      </c>
      <c r="N1662" t="s">
        <v>7747</v>
      </c>
      <c r="O1662" t="s">
        <v>2400</v>
      </c>
      <c r="P1662" t="s">
        <v>6987</v>
      </c>
      <c r="Q1662" t="s">
        <v>6988</v>
      </c>
      <c r="S1662" t="s">
        <v>7748</v>
      </c>
      <c r="U1662" t="s">
        <v>45</v>
      </c>
      <c r="V1662" t="s">
        <v>46</v>
      </c>
      <c r="W1662" t="s">
        <v>7747</v>
      </c>
      <c r="X1662" t="s">
        <v>2400</v>
      </c>
      <c r="Y1662" t="s">
        <v>2399</v>
      </c>
      <c r="Z1662" t="s">
        <v>2400</v>
      </c>
      <c r="AA1662" t="s">
        <v>49</v>
      </c>
      <c r="AB1662" t="s">
        <v>50</v>
      </c>
      <c r="AC1662" s="2">
        <v>218170</v>
      </c>
      <c r="AD1662" t="s">
        <v>64</v>
      </c>
    </row>
    <row r="1663" spans="1:31" hidden="1" x14ac:dyDescent="0.25">
      <c r="A1663" t="s">
        <v>7749</v>
      </c>
      <c r="B1663" t="s">
        <v>7750</v>
      </c>
      <c r="C1663" t="s">
        <v>7750</v>
      </c>
      <c r="F1663" t="s">
        <v>7751</v>
      </c>
      <c r="H1663" t="s">
        <v>7263</v>
      </c>
      <c r="I1663" t="s">
        <v>7746</v>
      </c>
      <c r="J1663" s="2">
        <v>218170</v>
      </c>
      <c r="K1663" s="2">
        <v>1000</v>
      </c>
      <c r="L1663" s="2">
        <v>15</v>
      </c>
      <c r="M1663" s="2">
        <v>0</v>
      </c>
      <c r="N1663" t="s">
        <v>2571</v>
      </c>
      <c r="O1663" t="s">
        <v>2572</v>
      </c>
      <c r="P1663" t="s">
        <v>6987</v>
      </c>
      <c r="Q1663" t="s">
        <v>6988</v>
      </c>
      <c r="S1663" t="s">
        <v>7752</v>
      </c>
      <c r="U1663" t="s">
        <v>45</v>
      </c>
      <c r="V1663" t="s">
        <v>46</v>
      </c>
      <c r="W1663" t="s">
        <v>2571</v>
      </c>
      <c r="X1663" t="s">
        <v>2572</v>
      </c>
      <c r="Y1663" t="s">
        <v>2399</v>
      </c>
      <c r="Z1663" t="s">
        <v>2400</v>
      </c>
      <c r="AA1663" t="s">
        <v>49</v>
      </c>
      <c r="AB1663" t="s">
        <v>50</v>
      </c>
      <c r="AC1663" s="2">
        <v>218170</v>
      </c>
      <c r="AD1663" t="s">
        <v>64</v>
      </c>
    </row>
    <row r="1664" spans="1:31" hidden="1" x14ac:dyDescent="0.25">
      <c r="A1664" t="s">
        <v>7753</v>
      </c>
      <c r="B1664" t="s">
        <v>7754</v>
      </c>
      <c r="C1664" t="s">
        <v>7754</v>
      </c>
      <c r="F1664" t="s">
        <v>7755</v>
      </c>
      <c r="H1664" t="s">
        <v>7263</v>
      </c>
      <c r="I1664" t="s">
        <v>7746</v>
      </c>
      <c r="J1664" s="2">
        <v>218170</v>
      </c>
      <c r="K1664" s="2">
        <v>1000</v>
      </c>
      <c r="L1664" s="2">
        <v>15</v>
      </c>
      <c r="M1664" s="2">
        <v>0</v>
      </c>
      <c r="N1664" t="s">
        <v>2571</v>
      </c>
      <c r="O1664" t="s">
        <v>2572</v>
      </c>
      <c r="P1664" t="s">
        <v>6987</v>
      </c>
      <c r="Q1664" t="s">
        <v>6988</v>
      </c>
      <c r="S1664" t="s">
        <v>7756</v>
      </c>
      <c r="U1664" t="s">
        <v>45</v>
      </c>
      <c r="V1664" t="s">
        <v>46</v>
      </c>
      <c r="W1664" t="s">
        <v>2571</v>
      </c>
      <c r="X1664" t="s">
        <v>2572</v>
      </c>
      <c r="Y1664" t="s">
        <v>2399</v>
      </c>
      <c r="Z1664" t="s">
        <v>2400</v>
      </c>
      <c r="AA1664" t="s">
        <v>49</v>
      </c>
      <c r="AB1664" t="s">
        <v>50</v>
      </c>
      <c r="AC1664" s="2">
        <v>218170</v>
      </c>
      <c r="AD1664" t="s">
        <v>64</v>
      </c>
    </row>
    <row r="1665" spans="1:31" x14ac:dyDescent="0.25">
      <c r="A1665" t="s">
        <v>7757</v>
      </c>
      <c r="B1665" t="s">
        <v>7758</v>
      </c>
      <c r="C1665" t="s">
        <v>7758</v>
      </c>
      <c r="D1665" t="s">
        <v>35</v>
      </c>
      <c r="E1665" t="s">
        <v>36</v>
      </c>
      <c r="F1665" t="s">
        <v>7759</v>
      </c>
      <c r="G1665" t="s">
        <v>153</v>
      </c>
      <c r="H1665" t="s">
        <v>2396</v>
      </c>
      <c r="I1665" t="s">
        <v>7760</v>
      </c>
      <c r="J1665" s="2">
        <v>283621</v>
      </c>
      <c r="K1665" s="2">
        <v>1300</v>
      </c>
      <c r="L1665" s="2">
        <v>21</v>
      </c>
      <c r="M1665" s="2">
        <v>0</v>
      </c>
      <c r="N1665" t="s">
        <v>6985</v>
      </c>
      <c r="O1665" t="s">
        <v>6986</v>
      </c>
      <c r="P1665" t="s">
        <v>6987</v>
      </c>
      <c r="Q1665" t="s">
        <v>6988</v>
      </c>
      <c r="S1665" t="s">
        <v>7761</v>
      </c>
      <c r="U1665" t="s">
        <v>45</v>
      </c>
      <c r="V1665" t="s">
        <v>46</v>
      </c>
      <c r="W1665" t="s">
        <v>6985</v>
      </c>
      <c r="X1665" t="s">
        <v>6986</v>
      </c>
      <c r="Y1665" t="s">
        <v>2399</v>
      </c>
      <c r="Z1665" t="s">
        <v>2400</v>
      </c>
      <c r="AA1665" t="s">
        <v>49</v>
      </c>
      <c r="AB1665" t="s">
        <v>50</v>
      </c>
      <c r="AC1665" s="2">
        <v>115601.87</v>
      </c>
      <c r="AD1665" t="s">
        <v>7762</v>
      </c>
      <c r="AE1665" t="s">
        <v>52</v>
      </c>
    </row>
    <row r="1666" spans="1:31" hidden="1" x14ac:dyDescent="0.25">
      <c r="A1666" t="s">
        <v>7763</v>
      </c>
      <c r="B1666" t="s">
        <v>7764</v>
      </c>
      <c r="C1666" t="s">
        <v>7764</v>
      </c>
      <c r="F1666" t="s">
        <v>7765</v>
      </c>
      <c r="H1666" t="s">
        <v>7766</v>
      </c>
      <c r="I1666" t="s">
        <v>7760</v>
      </c>
      <c r="J1666" s="2">
        <v>218170</v>
      </c>
      <c r="K1666" s="2">
        <v>1000</v>
      </c>
      <c r="L1666" s="2">
        <v>15</v>
      </c>
      <c r="M1666" s="2">
        <v>0</v>
      </c>
      <c r="N1666" t="s">
        <v>7747</v>
      </c>
      <c r="O1666" t="s">
        <v>2400</v>
      </c>
      <c r="P1666" t="s">
        <v>6987</v>
      </c>
      <c r="Q1666" t="s">
        <v>6988</v>
      </c>
      <c r="S1666" t="s">
        <v>7767</v>
      </c>
      <c r="U1666" t="s">
        <v>45</v>
      </c>
      <c r="V1666" t="s">
        <v>46</v>
      </c>
      <c r="W1666" t="s">
        <v>7747</v>
      </c>
      <c r="X1666" t="s">
        <v>2400</v>
      </c>
      <c r="Y1666" t="s">
        <v>2399</v>
      </c>
      <c r="Z1666" t="s">
        <v>2400</v>
      </c>
      <c r="AA1666" t="s">
        <v>49</v>
      </c>
      <c r="AB1666" t="s">
        <v>50</v>
      </c>
      <c r="AC1666" s="2">
        <v>218170</v>
      </c>
      <c r="AD1666" t="s">
        <v>64</v>
      </c>
    </row>
    <row r="1667" spans="1:31" hidden="1" x14ac:dyDescent="0.25">
      <c r="A1667" t="s">
        <v>7768</v>
      </c>
      <c r="B1667" t="s">
        <v>7769</v>
      </c>
      <c r="C1667" t="s">
        <v>7769</v>
      </c>
      <c r="F1667" t="s">
        <v>7770</v>
      </c>
      <c r="H1667" t="s">
        <v>7263</v>
      </c>
      <c r="I1667" t="s">
        <v>7760</v>
      </c>
      <c r="J1667" s="2">
        <v>218170</v>
      </c>
      <c r="K1667" s="2">
        <v>1000</v>
      </c>
      <c r="L1667" s="2">
        <v>15</v>
      </c>
      <c r="M1667" s="2">
        <v>0</v>
      </c>
      <c r="N1667" t="s">
        <v>2571</v>
      </c>
      <c r="O1667" t="s">
        <v>2572</v>
      </c>
      <c r="P1667" t="s">
        <v>6987</v>
      </c>
      <c r="Q1667" t="s">
        <v>6988</v>
      </c>
      <c r="S1667" t="s">
        <v>7771</v>
      </c>
      <c r="U1667" t="s">
        <v>45</v>
      </c>
      <c r="V1667" t="s">
        <v>46</v>
      </c>
      <c r="W1667" t="s">
        <v>2571</v>
      </c>
      <c r="X1667" t="s">
        <v>2572</v>
      </c>
      <c r="Y1667" t="s">
        <v>2399</v>
      </c>
      <c r="Z1667" t="s">
        <v>2400</v>
      </c>
      <c r="AA1667" t="s">
        <v>49</v>
      </c>
      <c r="AB1667" t="s">
        <v>50</v>
      </c>
      <c r="AC1667" s="2">
        <v>218170</v>
      </c>
      <c r="AD1667" t="s">
        <v>64</v>
      </c>
    </row>
    <row r="1668" spans="1:31" hidden="1" x14ac:dyDescent="0.25">
      <c r="I1668" t="s">
        <v>7772</v>
      </c>
      <c r="J1668" s="2">
        <v>43634</v>
      </c>
      <c r="K1668" s="2">
        <v>200</v>
      </c>
      <c r="L1668" s="2">
        <v>15</v>
      </c>
      <c r="M1668" s="2">
        <v>0</v>
      </c>
      <c r="S1668" t="s">
        <v>7773</v>
      </c>
      <c r="U1668" t="s">
        <v>45</v>
      </c>
      <c r="V1668" t="s">
        <v>46</v>
      </c>
      <c r="W1668" t="s">
        <v>267</v>
      </c>
      <c r="X1668" t="s">
        <v>268</v>
      </c>
      <c r="Y1668" t="s">
        <v>106</v>
      </c>
      <c r="Z1668" t="s">
        <v>107</v>
      </c>
      <c r="AA1668" t="s">
        <v>49</v>
      </c>
      <c r="AC1668" s="2"/>
    </row>
    <row r="1669" spans="1:31" x14ac:dyDescent="0.25">
      <c r="A1669" t="s">
        <v>7774</v>
      </c>
      <c r="B1669" t="s">
        <v>7775</v>
      </c>
      <c r="C1669" t="s">
        <v>7775</v>
      </c>
      <c r="D1669" t="s">
        <v>847</v>
      </c>
      <c r="E1669" t="s">
        <v>848</v>
      </c>
      <c r="F1669" t="s">
        <v>7776</v>
      </c>
      <c r="G1669" t="s">
        <v>1454</v>
      </c>
      <c r="H1669" t="s">
        <v>41</v>
      </c>
      <c r="I1669" t="s">
        <v>7777</v>
      </c>
      <c r="J1669" s="2">
        <v>194082</v>
      </c>
      <c r="K1669" s="2">
        <v>840</v>
      </c>
      <c r="L1669" s="2">
        <v>15</v>
      </c>
      <c r="M1669" s="2">
        <v>0</v>
      </c>
      <c r="N1669" t="s">
        <v>40</v>
      </c>
      <c r="O1669" t="s">
        <v>41</v>
      </c>
      <c r="P1669" t="s">
        <v>61</v>
      </c>
      <c r="Q1669" t="s">
        <v>62</v>
      </c>
      <c r="S1669" t="s">
        <v>7778</v>
      </c>
      <c r="U1669" t="s">
        <v>45</v>
      </c>
      <c r="V1669" t="s">
        <v>46</v>
      </c>
      <c r="W1669" t="s">
        <v>40</v>
      </c>
      <c r="X1669" t="s">
        <v>41</v>
      </c>
      <c r="Y1669" t="s">
        <v>47</v>
      </c>
      <c r="Z1669" t="s">
        <v>48</v>
      </c>
      <c r="AA1669" t="s">
        <v>49</v>
      </c>
      <c r="AB1669" t="s">
        <v>50</v>
      </c>
      <c r="AC1669" s="2">
        <v>194082</v>
      </c>
      <c r="AD1669" t="s">
        <v>64</v>
      </c>
    </row>
    <row r="1670" spans="1:31" x14ac:dyDescent="0.25">
      <c r="A1670" t="s">
        <v>7779</v>
      </c>
      <c r="B1670" t="s">
        <v>7780</v>
      </c>
      <c r="C1670" t="s">
        <v>7780</v>
      </c>
      <c r="D1670" t="s">
        <v>2661</v>
      </c>
      <c r="E1670" t="s">
        <v>134</v>
      </c>
      <c r="F1670" t="s">
        <v>7781</v>
      </c>
      <c r="H1670" t="s">
        <v>3122</v>
      </c>
      <c r="I1670" t="s">
        <v>7782</v>
      </c>
      <c r="J1670" s="2">
        <v>54543</v>
      </c>
      <c r="K1670" s="2">
        <v>250</v>
      </c>
      <c r="L1670" s="2">
        <v>15</v>
      </c>
      <c r="M1670" s="2">
        <v>0</v>
      </c>
      <c r="N1670" t="s">
        <v>3121</v>
      </c>
      <c r="O1670" t="s">
        <v>3122</v>
      </c>
      <c r="P1670" t="s">
        <v>1212</v>
      </c>
      <c r="Q1670" t="s">
        <v>1213</v>
      </c>
      <c r="S1670" t="s">
        <v>7783</v>
      </c>
      <c r="U1670" t="s">
        <v>45</v>
      </c>
      <c r="V1670" t="s">
        <v>46</v>
      </c>
      <c r="W1670" t="s">
        <v>3121</v>
      </c>
      <c r="X1670" t="s">
        <v>3124</v>
      </c>
      <c r="Y1670" t="s">
        <v>1215</v>
      </c>
      <c r="Z1670" t="s">
        <v>1216</v>
      </c>
      <c r="AA1670" t="s">
        <v>49</v>
      </c>
      <c r="AB1670" t="s">
        <v>50</v>
      </c>
      <c r="AC1670" s="2">
        <v>54543</v>
      </c>
      <c r="AD1670" t="s">
        <v>64</v>
      </c>
    </row>
    <row r="1671" spans="1:31" x14ac:dyDescent="0.25">
      <c r="A1671" t="s">
        <v>7784</v>
      </c>
      <c r="B1671" t="s">
        <v>7785</v>
      </c>
      <c r="C1671" t="s">
        <v>7785</v>
      </c>
      <c r="D1671" t="s">
        <v>125</v>
      </c>
      <c r="E1671" t="s">
        <v>126</v>
      </c>
      <c r="F1671" t="s">
        <v>7786</v>
      </c>
      <c r="G1671" t="s">
        <v>125</v>
      </c>
      <c r="H1671" t="s">
        <v>81</v>
      </c>
      <c r="I1671" t="s">
        <v>7787</v>
      </c>
      <c r="J1671" s="2">
        <v>259781</v>
      </c>
      <c r="K1671" s="2">
        <v>1050</v>
      </c>
      <c r="L1671" s="2">
        <v>15</v>
      </c>
      <c r="M1671" s="2">
        <v>0</v>
      </c>
      <c r="N1671" t="s">
        <v>80</v>
      </c>
      <c r="O1671" t="s">
        <v>81</v>
      </c>
      <c r="P1671" t="s">
        <v>1363</v>
      </c>
      <c r="Q1671" t="s">
        <v>1364</v>
      </c>
      <c r="S1671" t="s">
        <v>7788</v>
      </c>
      <c r="U1671" t="s">
        <v>45</v>
      </c>
      <c r="V1671" t="s">
        <v>46</v>
      </c>
      <c r="W1671" t="s">
        <v>80</v>
      </c>
      <c r="X1671" t="s">
        <v>81</v>
      </c>
      <c r="Y1671" t="s">
        <v>85</v>
      </c>
      <c r="Z1671" t="s">
        <v>86</v>
      </c>
      <c r="AA1671" t="s">
        <v>49</v>
      </c>
      <c r="AB1671" t="s">
        <v>50</v>
      </c>
      <c r="AC1671" s="2">
        <v>18643.71</v>
      </c>
      <c r="AD1671" t="s">
        <v>7789</v>
      </c>
      <c r="AE1671" t="s">
        <v>52</v>
      </c>
    </row>
    <row r="1672" spans="1:31" hidden="1" x14ac:dyDescent="0.25">
      <c r="I1672" t="s">
        <v>7790</v>
      </c>
      <c r="J1672" s="2">
        <v>109085</v>
      </c>
      <c r="K1672" s="2">
        <v>500</v>
      </c>
      <c r="L1672" s="2">
        <v>25</v>
      </c>
      <c r="M1672" s="2">
        <v>0</v>
      </c>
      <c r="S1672" t="s">
        <v>7791</v>
      </c>
      <c r="U1672" t="s">
        <v>45</v>
      </c>
      <c r="V1672" t="s">
        <v>46</v>
      </c>
      <c r="W1672" t="s">
        <v>89</v>
      </c>
      <c r="X1672" t="s">
        <v>90</v>
      </c>
      <c r="Y1672" t="s">
        <v>92</v>
      </c>
      <c r="Z1672" t="s">
        <v>94</v>
      </c>
      <c r="AA1672" t="s">
        <v>49</v>
      </c>
      <c r="AC1672" s="2"/>
    </row>
    <row r="1673" spans="1:31" x14ac:dyDescent="0.25">
      <c r="A1673" t="s">
        <v>7792</v>
      </c>
      <c r="B1673" t="s">
        <v>7793</v>
      </c>
      <c r="C1673" t="s">
        <v>7793</v>
      </c>
      <c r="D1673" t="s">
        <v>35</v>
      </c>
      <c r="E1673" t="s">
        <v>36</v>
      </c>
      <c r="F1673" t="s">
        <v>7794</v>
      </c>
      <c r="G1673" t="s">
        <v>35</v>
      </c>
      <c r="H1673" t="s">
        <v>2396</v>
      </c>
      <c r="I1673" t="s">
        <v>7795</v>
      </c>
      <c r="J1673" s="2">
        <v>1256879</v>
      </c>
      <c r="K1673" s="2">
        <v>5170</v>
      </c>
      <c r="L1673" s="2">
        <v>30</v>
      </c>
      <c r="M1673" s="2">
        <v>0</v>
      </c>
      <c r="N1673" t="s">
        <v>6985</v>
      </c>
      <c r="O1673" t="s">
        <v>6986</v>
      </c>
      <c r="P1673" t="s">
        <v>2320</v>
      </c>
      <c r="Q1673" t="s">
        <v>2321</v>
      </c>
      <c r="S1673" t="s">
        <v>7796</v>
      </c>
      <c r="U1673" t="s">
        <v>45</v>
      </c>
      <c r="V1673" t="s">
        <v>46</v>
      </c>
      <c r="W1673" t="s">
        <v>6985</v>
      </c>
      <c r="X1673" t="s">
        <v>6986</v>
      </c>
      <c r="Y1673" t="s">
        <v>2399</v>
      </c>
      <c r="Z1673" t="s">
        <v>2400</v>
      </c>
      <c r="AA1673" t="s">
        <v>49</v>
      </c>
      <c r="AB1673" t="s">
        <v>50</v>
      </c>
      <c r="AC1673" s="2">
        <v>28093.82</v>
      </c>
      <c r="AD1673" t="s">
        <v>7797</v>
      </c>
      <c r="AE1673" t="s">
        <v>115</v>
      </c>
    </row>
    <row r="1674" spans="1:31" hidden="1" x14ac:dyDescent="0.25">
      <c r="J1674" s="2">
        <v>218170</v>
      </c>
      <c r="K1674" s="2">
        <v>1000</v>
      </c>
      <c r="L1674" s="2">
        <v>15</v>
      </c>
      <c r="M1674" s="2">
        <v>0</v>
      </c>
      <c r="S1674" t="s">
        <v>7800</v>
      </c>
      <c r="U1674" t="s">
        <v>45</v>
      </c>
      <c r="V1674" t="s">
        <v>46</v>
      </c>
      <c r="W1674" t="s">
        <v>7799</v>
      </c>
      <c r="X1674" t="s">
        <v>7798</v>
      </c>
      <c r="Y1674" t="s">
        <v>47</v>
      </c>
      <c r="Z1674" t="s">
        <v>48</v>
      </c>
      <c r="AA1674" t="s">
        <v>49</v>
      </c>
      <c r="AC1674" s="2"/>
    </row>
    <row r="1675" spans="1:31" x14ac:dyDescent="0.25">
      <c r="A1675" t="s">
        <v>7801</v>
      </c>
      <c r="B1675" t="s">
        <v>7802</v>
      </c>
      <c r="C1675" t="s">
        <v>7802</v>
      </c>
      <c r="D1675" t="s">
        <v>1289</v>
      </c>
      <c r="E1675" t="s">
        <v>224</v>
      </c>
      <c r="F1675" t="s">
        <v>7803</v>
      </c>
      <c r="G1675" t="s">
        <v>577</v>
      </c>
      <c r="H1675" t="s">
        <v>1062</v>
      </c>
      <c r="I1675" t="s">
        <v>7804</v>
      </c>
      <c r="J1675" s="2">
        <v>21817</v>
      </c>
      <c r="K1675" s="2">
        <v>100</v>
      </c>
      <c r="L1675" s="2">
        <v>10</v>
      </c>
      <c r="M1675" s="2">
        <v>0</v>
      </c>
      <c r="N1675" t="s">
        <v>1064</v>
      </c>
      <c r="O1675" t="s">
        <v>1062</v>
      </c>
      <c r="P1675" t="s">
        <v>304</v>
      </c>
      <c r="Q1675" t="s">
        <v>72</v>
      </c>
      <c r="S1675" t="s">
        <v>7805</v>
      </c>
      <c r="U1675" t="s">
        <v>45</v>
      </c>
      <c r="V1675" t="s">
        <v>46</v>
      </c>
      <c r="W1675" t="s">
        <v>1064</v>
      </c>
      <c r="X1675" t="s">
        <v>1062</v>
      </c>
      <c r="Y1675" t="s">
        <v>72</v>
      </c>
      <c r="Z1675" t="s">
        <v>68</v>
      </c>
      <c r="AA1675" t="s">
        <v>49</v>
      </c>
      <c r="AB1675" t="s">
        <v>50</v>
      </c>
      <c r="AC1675" s="2">
        <v>21817</v>
      </c>
      <c r="AD1675" t="s">
        <v>64</v>
      </c>
    </row>
    <row r="1676" spans="1:31" x14ac:dyDescent="0.25">
      <c r="A1676" t="s">
        <v>7806</v>
      </c>
      <c r="B1676" t="s">
        <v>7807</v>
      </c>
      <c r="C1676" t="s">
        <v>7807</v>
      </c>
      <c r="D1676" t="s">
        <v>125</v>
      </c>
      <c r="E1676" t="s">
        <v>126</v>
      </c>
      <c r="F1676" t="s">
        <v>7808</v>
      </c>
      <c r="G1676" t="s">
        <v>166</v>
      </c>
      <c r="H1676" t="s">
        <v>7809</v>
      </c>
      <c r="I1676" t="s">
        <v>7810</v>
      </c>
      <c r="J1676" s="2">
        <v>364665</v>
      </c>
      <c r="K1676" s="2">
        <v>1500</v>
      </c>
      <c r="L1676" s="2">
        <v>15</v>
      </c>
      <c r="M1676" s="2">
        <v>0</v>
      </c>
      <c r="N1676" t="s">
        <v>4996</v>
      </c>
      <c r="O1676" t="s">
        <v>4997</v>
      </c>
      <c r="P1676" t="s">
        <v>1421</v>
      </c>
      <c r="Q1676" t="s">
        <v>1422</v>
      </c>
      <c r="S1676" t="s">
        <v>7811</v>
      </c>
      <c r="U1676" t="s">
        <v>45</v>
      </c>
      <c r="V1676" t="s">
        <v>46</v>
      </c>
      <c r="W1676" t="s">
        <v>4996</v>
      </c>
      <c r="X1676" t="s">
        <v>4997</v>
      </c>
      <c r="Y1676" t="s">
        <v>1215</v>
      </c>
      <c r="Z1676" t="s">
        <v>1216</v>
      </c>
      <c r="AA1676" t="s">
        <v>49</v>
      </c>
      <c r="AB1676" t="s">
        <v>50</v>
      </c>
      <c r="AC1676" s="2">
        <v>293119.37</v>
      </c>
      <c r="AD1676" t="s">
        <v>7812</v>
      </c>
      <c r="AE1676" t="s">
        <v>115</v>
      </c>
    </row>
    <row r="1677" spans="1:31" x14ac:dyDescent="0.25">
      <c r="A1677" t="s">
        <v>7813</v>
      </c>
      <c r="B1677" t="s">
        <v>7814</v>
      </c>
      <c r="C1677" t="s">
        <v>7814</v>
      </c>
      <c r="D1677" t="s">
        <v>125</v>
      </c>
      <c r="E1677" t="s">
        <v>126</v>
      </c>
      <c r="F1677" t="s">
        <v>7815</v>
      </c>
      <c r="G1677" t="s">
        <v>125</v>
      </c>
      <c r="H1677" t="s">
        <v>1360</v>
      </c>
      <c r="I1677" t="s">
        <v>7816</v>
      </c>
      <c r="J1677" s="2">
        <v>700188</v>
      </c>
      <c r="K1677" s="2">
        <v>2862</v>
      </c>
      <c r="L1677" s="2">
        <v>15</v>
      </c>
      <c r="M1677" s="2">
        <v>0</v>
      </c>
      <c r="N1677" t="s">
        <v>1362</v>
      </c>
      <c r="O1677" t="s">
        <v>1360</v>
      </c>
      <c r="P1677" t="s">
        <v>1421</v>
      </c>
      <c r="Q1677" t="s">
        <v>1422</v>
      </c>
      <c r="S1677" t="s">
        <v>7817</v>
      </c>
      <c r="U1677" t="s">
        <v>45</v>
      </c>
      <c r="V1677" t="s">
        <v>46</v>
      </c>
      <c r="W1677" t="s">
        <v>1362</v>
      </c>
      <c r="X1677" t="s">
        <v>1360</v>
      </c>
      <c r="Y1677" t="s">
        <v>1215</v>
      </c>
      <c r="Z1677" t="s">
        <v>1216</v>
      </c>
      <c r="AA1677" t="s">
        <v>49</v>
      </c>
      <c r="AB1677" t="s">
        <v>50</v>
      </c>
      <c r="AC1677" s="2">
        <v>123075.41</v>
      </c>
      <c r="AD1677" t="s">
        <v>7818</v>
      </c>
      <c r="AE1677" t="s">
        <v>52</v>
      </c>
    </row>
    <row r="1678" spans="1:31" hidden="1" x14ac:dyDescent="0.25">
      <c r="J1678" s="2">
        <v>327255</v>
      </c>
      <c r="K1678" s="2">
        <v>1500</v>
      </c>
      <c r="L1678" s="2">
        <v>15</v>
      </c>
      <c r="M1678" s="2">
        <v>0</v>
      </c>
      <c r="S1678" t="s">
        <v>7820</v>
      </c>
      <c r="U1678" t="s">
        <v>45</v>
      </c>
      <c r="V1678" t="s">
        <v>46</v>
      </c>
      <c r="W1678" t="s">
        <v>2472</v>
      </c>
      <c r="X1678" t="s">
        <v>2475</v>
      </c>
      <c r="Y1678" t="s">
        <v>1215</v>
      </c>
      <c r="Z1678" t="s">
        <v>1216</v>
      </c>
      <c r="AA1678" t="s">
        <v>49</v>
      </c>
      <c r="AC1678" s="2"/>
    </row>
    <row r="1679" spans="1:31" hidden="1" x14ac:dyDescent="0.25">
      <c r="A1679" t="s">
        <v>7821</v>
      </c>
      <c r="B1679" t="s">
        <v>7822</v>
      </c>
      <c r="C1679" t="s">
        <v>7822</v>
      </c>
      <c r="F1679" t="s">
        <v>7823</v>
      </c>
      <c r="H1679" t="s">
        <v>665</v>
      </c>
      <c r="J1679" s="2">
        <v>43634</v>
      </c>
      <c r="K1679" s="2">
        <v>200</v>
      </c>
      <c r="L1679" s="2">
        <v>1</v>
      </c>
      <c r="M1679" s="2">
        <v>0</v>
      </c>
      <c r="N1679" t="s">
        <v>664</v>
      </c>
      <c r="O1679" t="s">
        <v>665</v>
      </c>
      <c r="P1679" t="s">
        <v>103</v>
      </c>
      <c r="Q1679" t="s">
        <v>104</v>
      </c>
      <c r="S1679" t="s">
        <v>7824</v>
      </c>
      <c r="U1679" t="s">
        <v>45</v>
      </c>
      <c r="V1679" t="s">
        <v>46</v>
      </c>
      <c r="W1679" t="s">
        <v>664</v>
      </c>
      <c r="X1679" t="s">
        <v>665</v>
      </c>
      <c r="Y1679" t="s">
        <v>106</v>
      </c>
      <c r="Z1679" t="s">
        <v>107</v>
      </c>
      <c r="AA1679" t="s">
        <v>49</v>
      </c>
      <c r="AB1679" t="s">
        <v>50</v>
      </c>
      <c r="AC1679" s="2">
        <v>43634</v>
      </c>
      <c r="AD1679" t="s">
        <v>64</v>
      </c>
    </row>
    <row r="1680" spans="1:31" x14ac:dyDescent="0.25">
      <c r="A1680" t="s">
        <v>7825</v>
      </c>
      <c r="B1680" t="s">
        <v>7826</v>
      </c>
      <c r="C1680" t="s">
        <v>7827</v>
      </c>
      <c r="D1680" t="s">
        <v>478</v>
      </c>
      <c r="E1680" t="s">
        <v>190</v>
      </c>
      <c r="F1680" t="s">
        <v>1684</v>
      </c>
      <c r="G1680" t="s">
        <v>498</v>
      </c>
      <c r="H1680" t="s">
        <v>7828</v>
      </c>
      <c r="I1680" t="s">
        <v>7829</v>
      </c>
      <c r="J1680" s="2">
        <v>218170</v>
      </c>
      <c r="K1680" s="2">
        <v>1000</v>
      </c>
      <c r="L1680" s="2">
        <v>21</v>
      </c>
      <c r="M1680" s="2">
        <v>0</v>
      </c>
      <c r="N1680" t="s">
        <v>664</v>
      </c>
      <c r="O1680" t="s">
        <v>665</v>
      </c>
      <c r="P1680" t="s">
        <v>103</v>
      </c>
      <c r="Q1680" t="s">
        <v>104</v>
      </c>
      <c r="S1680" t="s">
        <v>7830</v>
      </c>
      <c r="U1680" t="s">
        <v>45</v>
      </c>
      <c r="V1680" t="s">
        <v>46</v>
      </c>
      <c r="W1680" t="s">
        <v>664</v>
      </c>
      <c r="X1680" t="s">
        <v>665</v>
      </c>
      <c r="Y1680" t="s">
        <v>106</v>
      </c>
      <c r="Z1680" t="s">
        <v>107</v>
      </c>
      <c r="AA1680" t="s">
        <v>49</v>
      </c>
      <c r="AB1680" t="s">
        <v>50</v>
      </c>
      <c r="AC1680" s="2">
        <v>171590.76</v>
      </c>
      <c r="AD1680" t="s">
        <v>7831</v>
      </c>
      <c r="AE1680" t="s">
        <v>115</v>
      </c>
    </row>
    <row r="1681" spans="1:31" x14ac:dyDescent="0.25">
      <c r="A1681" t="s">
        <v>7832</v>
      </c>
      <c r="B1681" t="s">
        <v>7833</v>
      </c>
      <c r="C1681" t="s">
        <v>7833</v>
      </c>
      <c r="D1681" t="s">
        <v>125</v>
      </c>
      <c r="E1681" t="s">
        <v>126</v>
      </c>
      <c r="F1681" t="s">
        <v>7834</v>
      </c>
      <c r="G1681" t="s">
        <v>125</v>
      </c>
      <c r="H1681" t="s">
        <v>7835</v>
      </c>
      <c r="I1681" t="s">
        <v>7836</v>
      </c>
      <c r="J1681" s="2">
        <v>10908500</v>
      </c>
      <c r="K1681" s="2">
        <v>50000</v>
      </c>
      <c r="L1681" s="2">
        <v>30</v>
      </c>
      <c r="M1681" s="2">
        <v>0</v>
      </c>
      <c r="N1681" t="s">
        <v>7837</v>
      </c>
      <c r="O1681" t="s">
        <v>7838</v>
      </c>
      <c r="P1681" t="s">
        <v>3487</v>
      </c>
      <c r="Q1681" t="s">
        <v>3488</v>
      </c>
      <c r="S1681" t="s">
        <v>7839</v>
      </c>
      <c r="U1681" t="s">
        <v>45</v>
      </c>
      <c r="V1681" t="s">
        <v>46</v>
      </c>
      <c r="W1681" t="s">
        <v>7837</v>
      </c>
      <c r="X1681" t="s">
        <v>7838</v>
      </c>
      <c r="Y1681" t="s">
        <v>79</v>
      </c>
      <c r="Z1681" t="s">
        <v>94</v>
      </c>
      <c r="AA1681" t="s">
        <v>49</v>
      </c>
      <c r="AB1681" t="s">
        <v>50</v>
      </c>
      <c r="AC1681" s="2">
        <v>8740245.4900000002</v>
      </c>
      <c r="AD1681" t="s">
        <v>7840</v>
      </c>
      <c r="AE1681" t="s">
        <v>52</v>
      </c>
    </row>
    <row r="1682" spans="1:31" x14ac:dyDescent="0.25">
      <c r="A1682" t="s">
        <v>7841</v>
      </c>
      <c r="B1682" t="s">
        <v>7842</v>
      </c>
      <c r="C1682" t="s">
        <v>7842</v>
      </c>
      <c r="D1682" t="s">
        <v>847</v>
      </c>
      <c r="E1682" t="s">
        <v>848</v>
      </c>
      <c r="F1682" t="s">
        <v>7843</v>
      </c>
      <c r="G1682" t="s">
        <v>847</v>
      </c>
      <c r="H1682" t="s">
        <v>5739</v>
      </c>
      <c r="I1682" t="s">
        <v>7385</v>
      </c>
      <c r="J1682" s="2">
        <v>4621000</v>
      </c>
      <c r="K1682" s="2">
        <v>20000</v>
      </c>
      <c r="L1682" s="2">
        <v>30</v>
      </c>
      <c r="M1682" s="2">
        <v>0</v>
      </c>
      <c r="N1682" t="s">
        <v>5741</v>
      </c>
      <c r="O1682" t="s">
        <v>5739</v>
      </c>
      <c r="P1682" t="s">
        <v>2320</v>
      </c>
      <c r="Q1682" t="s">
        <v>2321</v>
      </c>
      <c r="S1682" t="s">
        <v>7844</v>
      </c>
      <c r="U1682" t="s">
        <v>45</v>
      </c>
      <c r="V1682" t="s">
        <v>46</v>
      </c>
      <c r="W1682" t="s">
        <v>5741</v>
      </c>
      <c r="X1682" t="s">
        <v>5739</v>
      </c>
      <c r="Y1682" t="s">
        <v>5743</v>
      </c>
      <c r="Z1682" t="s">
        <v>5744</v>
      </c>
      <c r="AA1682" t="s">
        <v>49</v>
      </c>
      <c r="AB1682" t="s">
        <v>50</v>
      </c>
      <c r="AC1682" s="2">
        <v>1559241.91</v>
      </c>
      <c r="AD1682" t="s">
        <v>7845</v>
      </c>
      <c r="AE1682" t="s">
        <v>115</v>
      </c>
    </row>
    <row r="1683" spans="1:31" x14ac:dyDescent="0.25">
      <c r="A1683" t="s">
        <v>7846</v>
      </c>
      <c r="B1683" t="s">
        <v>7847</v>
      </c>
      <c r="C1683" t="s">
        <v>7847</v>
      </c>
      <c r="D1683" t="s">
        <v>125</v>
      </c>
      <c r="E1683" t="s">
        <v>126</v>
      </c>
      <c r="F1683" t="s">
        <v>7848</v>
      </c>
      <c r="G1683" t="s">
        <v>35</v>
      </c>
      <c r="H1683" t="s">
        <v>79</v>
      </c>
      <c r="I1683" t="s">
        <v>7849</v>
      </c>
      <c r="J1683" s="2">
        <v>628108</v>
      </c>
      <c r="K1683" s="2">
        <v>2600</v>
      </c>
      <c r="L1683" s="2">
        <v>21</v>
      </c>
      <c r="M1683" s="2">
        <v>0</v>
      </c>
      <c r="N1683" t="s">
        <v>495</v>
      </c>
      <c r="O1683" t="s">
        <v>79</v>
      </c>
      <c r="P1683" t="s">
        <v>3487</v>
      </c>
      <c r="Q1683" t="s">
        <v>3488</v>
      </c>
      <c r="S1683" t="s">
        <v>7850</v>
      </c>
      <c r="U1683" t="s">
        <v>45</v>
      </c>
      <c r="V1683" t="s">
        <v>46</v>
      </c>
      <c r="W1683" t="s">
        <v>495</v>
      </c>
      <c r="X1683" t="s">
        <v>79</v>
      </c>
      <c r="Y1683" t="s">
        <v>79</v>
      </c>
      <c r="Z1683" t="s">
        <v>94</v>
      </c>
      <c r="AA1683" t="s">
        <v>49</v>
      </c>
      <c r="AB1683" t="s">
        <v>50</v>
      </c>
      <c r="AC1683" s="2">
        <v>-8420.42</v>
      </c>
      <c r="AD1683" t="s">
        <v>7851</v>
      </c>
      <c r="AE1683" t="s">
        <v>115</v>
      </c>
    </row>
    <row r="1684" spans="1:31" x14ac:dyDescent="0.25">
      <c r="A1684" t="s">
        <v>7852</v>
      </c>
      <c r="B1684" t="s">
        <v>7853</v>
      </c>
      <c r="C1684" t="s">
        <v>7853</v>
      </c>
      <c r="D1684" t="s">
        <v>35</v>
      </c>
      <c r="E1684" t="s">
        <v>36</v>
      </c>
      <c r="F1684" t="s">
        <v>7854</v>
      </c>
      <c r="G1684" t="s">
        <v>35</v>
      </c>
      <c r="H1684" t="s">
        <v>5739</v>
      </c>
      <c r="J1684" s="2">
        <v>2181700</v>
      </c>
      <c r="K1684" s="2">
        <v>10000</v>
      </c>
      <c r="L1684" s="2">
        <v>30</v>
      </c>
      <c r="M1684" s="2">
        <v>0</v>
      </c>
      <c r="N1684" t="s">
        <v>5741</v>
      </c>
      <c r="O1684" t="s">
        <v>5739</v>
      </c>
      <c r="P1684" t="s">
        <v>2320</v>
      </c>
      <c r="Q1684" t="s">
        <v>2321</v>
      </c>
      <c r="S1684" t="s">
        <v>7855</v>
      </c>
      <c r="U1684" t="s">
        <v>45</v>
      </c>
      <c r="V1684" t="s">
        <v>46</v>
      </c>
      <c r="W1684" t="s">
        <v>5741</v>
      </c>
      <c r="X1684" t="s">
        <v>5739</v>
      </c>
      <c r="Y1684" t="s">
        <v>5743</v>
      </c>
      <c r="Z1684" t="s">
        <v>5744</v>
      </c>
      <c r="AA1684" t="s">
        <v>49</v>
      </c>
      <c r="AB1684" t="s">
        <v>50</v>
      </c>
      <c r="AC1684" s="2">
        <v>184944.12</v>
      </c>
      <c r="AD1684" t="s">
        <v>7856</v>
      </c>
      <c r="AE1684" t="s">
        <v>115</v>
      </c>
    </row>
    <row r="1685" spans="1:31" x14ac:dyDescent="0.25">
      <c r="A1685" t="s">
        <v>7857</v>
      </c>
      <c r="B1685" t="s">
        <v>7858</v>
      </c>
      <c r="C1685" t="s">
        <v>7858</v>
      </c>
      <c r="D1685" t="s">
        <v>35</v>
      </c>
      <c r="E1685" t="s">
        <v>36</v>
      </c>
      <c r="F1685" t="s">
        <v>7859</v>
      </c>
      <c r="G1685" t="s">
        <v>35</v>
      </c>
      <c r="H1685" t="s">
        <v>7860</v>
      </c>
      <c r="J1685" s="2">
        <v>2181700</v>
      </c>
      <c r="K1685" s="2">
        <v>10000</v>
      </c>
      <c r="L1685" s="2">
        <v>30</v>
      </c>
      <c r="M1685" s="2">
        <v>0</v>
      </c>
      <c r="N1685" t="s">
        <v>4852</v>
      </c>
      <c r="O1685" t="s">
        <v>4851</v>
      </c>
      <c r="P1685" t="s">
        <v>2320</v>
      </c>
      <c r="Q1685" t="s">
        <v>2321</v>
      </c>
      <c r="S1685" t="s">
        <v>7861</v>
      </c>
      <c r="U1685" t="s">
        <v>45</v>
      </c>
      <c r="V1685" t="s">
        <v>46</v>
      </c>
      <c r="W1685" t="s">
        <v>4852</v>
      </c>
      <c r="X1685" t="s">
        <v>4851</v>
      </c>
      <c r="Y1685" t="s">
        <v>4854</v>
      </c>
      <c r="Z1685" t="s">
        <v>72</v>
      </c>
      <c r="AA1685" t="s">
        <v>49</v>
      </c>
      <c r="AB1685" t="s">
        <v>50</v>
      </c>
      <c r="AC1685" s="2">
        <v>476977.47</v>
      </c>
      <c r="AD1685" t="s">
        <v>7862</v>
      </c>
      <c r="AE1685" t="s">
        <v>115</v>
      </c>
    </row>
    <row r="1686" spans="1:31" x14ac:dyDescent="0.25">
      <c r="A1686" t="s">
        <v>7863</v>
      </c>
      <c r="B1686" t="s">
        <v>7864</v>
      </c>
      <c r="C1686" t="s">
        <v>7864</v>
      </c>
      <c r="D1686" t="s">
        <v>35</v>
      </c>
      <c r="E1686" t="s">
        <v>36</v>
      </c>
      <c r="F1686" t="s">
        <v>7865</v>
      </c>
      <c r="G1686" t="s">
        <v>35</v>
      </c>
      <c r="H1686" t="s">
        <v>5739</v>
      </c>
      <c r="J1686" s="2">
        <v>2181700</v>
      </c>
      <c r="K1686" s="2">
        <v>10000</v>
      </c>
      <c r="L1686" s="2">
        <v>30</v>
      </c>
      <c r="M1686" s="2">
        <v>0</v>
      </c>
      <c r="N1686" t="s">
        <v>5741</v>
      </c>
      <c r="O1686" t="s">
        <v>5739</v>
      </c>
      <c r="P1686" t="s">
        <v>2320</v>
      </c>
      <c r="Q1686" t="s">
        <v>2321</v>
      </c>
      <c r="S1686" t="s">
        <v>7866</v>
      </c>
      <c r="U1686" t="s">
        <v>45</v>
      </c>
      <c r="V1686" t="s">
        <v>46</v>
      </c>
      <c r="W1686" t="s">
        <v>5741</v>
      </c>
      <c r="X1686" t="s">
        <v>5739</v>
      </c>
      <c r="Y1686" t="s">
        <v>5743</v>
      </c>
      <c r="Z1686" t="s">
        <v>5744</v>
      </c>
      <c r="AA1686" t="s">
        <v>49</v>
      </c>
      <c r="AB1686" t="s">
        <v>50</v>
      </c>
      <c r="AC1686" s="2">
        <v>184778.44</v>
      </c>
      <c r="AD1686" t="s">
        <v>7867</v>
      </c>
      <c r="AE1686" t="s">
        <v>115</v>
      </c>
    </row>
    <row r="1687" spans="1:31" x14ac:dyDescent="0.25">
      <c r="A1687" t="s">
        <v>7868</v>
      </c>
      <c r="B1687" t="s">
        <v>7869</v>
      </c>
      <c r="C1687" t="s">
        <v>7869</v>
      </c>
      <c r="D1687" t="s">
        <v>35</v>
      </c>
      <c r="E1687" t="s">
        <v>36</v>
      </c>
      <c r="F1687" t="s">
        <v>7870</v>
      </c>
      <c r="G1687" t="s">
        <v>35</v>
      </c>
      <c r="H1687" t="s">
        <v>6519</v>
      </c>
      <c r="J1687" s="2">
        <v>2181700</v>
      </c>
      <c r="K1687" s="2">
        <v>10000</v>
      </c>
      <c r="L1687" s="2">
        <v>30</v>
      </c>
      <c r="M1687" s="2">
        <v>0</v>
      </c>
      <c r="N1687" t="s">
        <v>5201</v>
      </c>
      <c r="O1687" t="s">
        <v>5202</v>
      </c>
      <c r="P1687" t="s">
        <v>2320</v>
      </c>
      <c r="Q1687" t="s">
        <v>2321</v>
      </c>
      <c r="S1687" t="s">
        <v>7871</v>
      </c>
      <c r="U1687" t="s">
        <v>45</v>
      </c>
      <c r="V1687" t="s">
        <v>46</v>
      </c>
      <c r="W1687" t="s">
        <v>5201</v>
      </c>
      <c r="X1687" t="s">
        <v>5202</v>
      </c>
      <c r="Y1687" t="s">
        <v>4854</v>
      </c>
      <c r="Z1687" t="s">
        <v>72</v>
      </c>
      <c r="AA1687" t="s">
        <v>49</v>
      </c>
      <c r="AB1687" t="s">
        <v>50</v>
      </c>
      <c r="AC1687" s="2">
        <v>243486.33</v>
      </c>
      <c r="AD1687" t="s">
        <v>7872</v>
      </c>
      <c r="AE1687" t="s">
        <v>115</v>
      </c>
    </row>
    <row r="1688" spans="1:31" x14ac:dyDescent="0.25">
      <c r="A1688" t="s">
        <v>7873</v>
      </c>
      <c r="B1688" t="s">
        <v>7874</v>
      </c>
      <c r="C1688" t="s">
        <v>7874</v>
      </c>
      <c r="D1688" t="s">
        <v>35</v>
      </c>
      <c r="E1688" t="s">
        <v>36</v>
      </c>
      <c r="F1688" t="s">
        <v>7875</v>
      </c>
      <c r="G1688" t="s">
        <v>35</v>
      </c>
      <c r="H1688" t="s">
        <v>7876</v>
      </c>
      <c r="J1688" s="2">
        <v>3495750</v>
      </c>
      <c r="K1688" s="2">
        <v>15000</v>
      </c>
      <c r="L1688" s="2">
        <v>30</v>
      </c>
      <c r="M1688" s="2">
        <v>0</v>
      </c>
      <c r="N1688" t="s">
        <v>4852</v>
      </c>
      <c r="O1688" t="s">
        <v>4851</v>
      </c>
      <c r="P1688" t="s">
        <v>2320</v>
      </c>
      <c r="Q1688" t="s">
        <v>2321</v>
      </c>
      <c r="S1688" t="s">
        <v>7877</v>
      </c>
      <c r="U1688" t="s">
        <v>45</v>
      </c>
      <c r="V1688" t="s">
        <v>46</v>
      </c>
      <c r="W1688" t="s">
        <v>4852</v>
      </c>
      <c r="X1688" t="s">
        <v>4851</v>
      </c>
      <c r="Y1688" t="s">
        <v>4854</v>
      </c>
      <c r="Z1688" t="s">
        <v>72</v>
      </c>
      <c r="AA1688" t="s">
        <v>49</v>
      </c>
      <c r="AB1688" t="s">
        <v>50</v>
      </c>
      <c r="AC1688" s="2">
        <v>-354010.86</v>
      </c>
      <c r="AD1688" t="s">
        <v>7878</v>
      </c>
      <c r="AE1688" t="s">
        <v>115</v>
      </c>
    </row>
    <row r="1689" spans="1:31" x14ac:dyDescent="0.25">
      <c r="A1689" t="s">
        <v>7879</v>
      </c>
      <c r="B1689" t="s">
        <v>7880</v>
      </c>
      <c r="C1689" t="s">
        <v>7880</v>
      </c>
      <c r="D1689" t="s">
        <v>125</v>
      </c>
      <c r="E1689" t="s">
        <v>126</v>
      </c>
      <c r="F1689" t="s">
        <v>7881</v>
      </c>
      <c r="G1689" t="s">
        <v>125</v>
      </c>
      <c r="H1689" t="s">
        <v>5739</v>
      </c>
      <c r="J1689" s="2">
        <v>2181700</v>
      </c>
      <c r="K1689" s="2">
        <v>10000</v>
      </c>
      <c r="L1689" s="2">
        <v>30</v>
      </c>
      <c r="M1689" s="2">
        <v>0</v>
      </c>
      <c r="N1689" t="s">
        <v>5741</v>
      </c>
      <c r="O1689" t="s">
        <v>5739</v>
      </c>
      <c r="P1689" t="s">
        <v>2320</v>
      </c>
      <c r="Q1689" t="s">
        <v>2321</v>
      </c>
      <c r="S1689" t="s">
        <v>7882</v>
      </c>
      <c r="U1689" t="s">
        <v>45</v>
      </c>
      <c r="V1689" t="s">
        <v>46</v>
      </c>
      <c r="W1689" t="s">
        <v>5741</v>
      </c>
      <c r="X1689" t="s">
        <v>5739</v>
      </c>
      <c r="Y1689" t="s">
        <v>5743</v>
      </c>
      <c r="Z1689" t="s">
        <v>5744</v>
      </c>
      <c r="AA1689" t="s">
        <v>49</v>
      </c>
      <c r="AB1689" t="s">
        <v>50</v>
      </c>
      <c r="AC1689" s="2">
        <v>840345.31</v>
      </c>
      <c r="AD1689" t="s">
        <v>7883</v>
      </c>
      <c r="AE1689" t="s">
        <v>115</v>
      </c>
    </row>
    <row r="1690" spans="1:31" x14ac:dyDescent="0.25">
      <c r="A1690" t="s">
        <v>7884</v>
      </c>
      <c r="B1690" t="s">
        <v>7885</v>
      </c>
      <c r="C1690" t="s">
        <v>7885</v>
      </c>
      <c r="D1690" t="s">
        <v>35</v>
      </c>
      <c r="E1690" t="s">
        <v>36</v>
      </c>
      <c r="F1690" t="s">
        <v>7886</v>
      </c>
      <c r="G1690" t="s">
        <v>35</v>
      </c>
      <c r="H1690" t="s">
        <v>5739</v>
      </c>
      <c r="J1690" s="2">
        <v>3135440</v>
      </c>
      <c r="K1690" s="2">
        <v>14000</v>
      </c>
      <c r="L1690" s="2">
        <v>30</v>
      </c>
      <c r="M1690" s="2">
        <v>0</v>
      </c>
      <c r="N1690" t="s">
        <v>5741</v>
      </c>
      <c r="O1690" t="s">
        <v>5739</v>
      </c>
      <c r="P1690" t="s">
        <v>2320</v>
      </c>
      <c r="Q1690" t="s">
        <v>2321</v>
      </c>
      <c r="S1690" t="s">
        <v>7887</v>
      </c>
      <c r="U1690" t="s">
        <v>45</v>
      </c>
      <c r="V1690" t="s">
        <v>46</v>
      </c>
      <c r="W1690" t="s">
        <v>5741</v>
      </c>
      <c r="X1690" t="s">
        <v>5739</v>
      </c>
      <c r="Y1690" t="s">
        <v>5743</v>
      </c>
      <c r="Z1690" t="s">
        <v>5744</v>
      </c>
      <c r="AA1690" t="s">
        <v>49</v>
      </c>
      <c r="AB1690" t="s">
        <v>50</v>
      </c>
      <c r="AC1690" s="2">
        <v>495962.39</v>
      </c>
      <c r="AD1690" t="s">
        <v>7888</v>
      </c>
      <c r="AE1690" t="s">
        <v>115</v>
      </c>
    </row>
    <row r="1691" spans="1:31" x14ac:dyDescent="0.25">
      <c r="A1691" t="s">
        <v>7889</v>
      </c>
      <c r="B1691" t="s">
        <v>7890</v>
      </c>
      <c r="C1691" t="s">
        <v>7890</v>
      </c>
      <c r="D1691" t="s">
        <v>35</v>
      </c>
      <c r="E1691" t="s">
        <v>36</v>
      </c>
      <c r="F1691" t="s">
        <v>7891</v>
      </c>
      <c r="G1691" t="s">
        <v>35</v>
      </c>
      <c r="H1691" t="s">
        <v>5739</v>
      </c>
      <c r="J1691" s="2">
        <v>2539771</v>
      </c>
      <c r="K1691" s="2">
        <v>10270</v>
      </c>
      <c r="L1691" s="2">
        <v>30</v>
      </c>
      <c r="M1691" s="2">
        <v>0</v>
      </c>
      <c r="N1691" t="s">
        <v>5741</v>
      </c>
      <c r="O1691" t="s">
        <v>5739</v>
      </c>
      <c r="P1691" t="s">
        <v>2320</v>
      </c>
      <c r="Q1691" t="s">
        <v>2321</v>
      </c>
      <c r="S1691" t="s">
        <v>7892</v>
      </c>
      <c r="U1691" t="s">
        <v>45</v>
      </c>
      <c r="V1691" t="s">
        <v>46</v>
      </c>
      <c r="W1691" t="s">
        <v>5741</v>
      </c>
      <c r="X1691" t="s">
        <v>5739</v>
      </c>
      <c r="Y1691" t="s">
        <v>5743</v>
      </c>
      <c r="Z1691" t="s">
        <v>5744</v>
      </c>
      <c r="AA1691" t="s">
        <v>49</v>
      </c>
      <c r="AB1691" t="s">
        <v>50</v>
      </c>
      <c r="AC1691" s="2">
        <v>292373.87</v>
      </c>
      <c r="AD1691" t="s">
        <v>7893</v>
      </c>
      <c r="AE1691" t="s">
        <v>115</v>
      </c>
    </row>
    <row r="1692" spans="1:31" x14ac:dyDescent="0.25">
      <c r="A1692" t="s">
        <v>7894</v>
      </c>
      <c r="B1692" t="s">
        <v>7895</v>
      </c>
      <c r="C1692" t="s">
        <v>7895</v>
      </c>
      <c r="D1692" t="s">
        <v>35</v>
      </c>
      <c r="E1692" t="s">
        <v>36</v>
      </c>
      <c r="F1692" t="s">
        <v>7896</v>
      </c>
      <c r="G1692" t="s">
        <v>35</v>
      </c>
      <c r="H1692" t="s">
        <v>7897</v>
      </c>
      <c r="I1692" t="s">
        <v>7898</v>
      </c>
      <c r="J1692" s="2">
        <v>194182</v>
      </c>
      <c r="K1692" s="2">
        <v>890.05</v>
      </c>
      <c r="L1692" s="2">
        <v>15</v>
      </c>
      <c r="M1692" s="2">
        <v>0</v>
      </c>
      <c r="N1692" t="s">
        <v>541</v>
      </c>
      <c r="O1692" t="s">
        <v>542</v>
      </c>
      <c r="P1692" t="s">
        <v>91</v>
      </c>
      <c r="Q1692" t="s">
        <v>92</v>
      </c>
      <c r="S1692" t="s">
        <v>7899</v>
      </c>
      <c r="U1692" t="s">
        <v>45</v>
      </c>
      <c r="V1692" t="s">
        <v>46</v>
      </c>
      <c r="W1692" t="s">
        <v>541</v>
      </c>
      <c r="X1692" t="s">
        <v>542</v>
      </c>
      <c r="Y1692" t="s">
        <v>92</v>
      </c>
      <c r="Z1692" t="s">
        <v>94</v>
      </c>
      <c r="AA1692" t="s">
        <v>49</v>
      </c>
      <c r="AB1692" t="s">
        <v>50</v>
      </c>
      <c r="AC1692" s="2">
        <v>89413.67</v>
      </c>
      <c r="AD1692" t="s">
        <v>7900</v>
      </c>
      <c r="AE1692" t="s">
        <v>115</v>
      </c>
    </row>
    <row r="1693" spans="1:31" hidden="1" x14ac:dyDescent="0.25">
      <c r="I1693" t="s">
        <v>7901</v>
      </c>
      <c r="J1693" s="2">
        <v>1270</v>
      </c>
      <c r="K1693" s="2">
        <v>5.82</v>
      </c>
      <c r="L1693" s="2">
        <v>21</v>
      </c>
      <c r="M1693" s="2">
        <v>0</v>
      </c>
      <c r="S1693" t="s">
        <v>7902</v>
      </c>
      <c r="U1693" t="s">
        <v>45</v>
      </c>
      <c r="V1693" t="s">
        <v>46</v>
      </c>
      <c r="W1693" t="s">
        <v>445</v>
      </c>
      <c r="X1693" t="s">
        <v>446</v>
      </c>
      <c r="Y1693" t="s">
        <v>72</v>
      </c>
      <c r="Z1693" t="s">
        <v>68</v>
      </c>
      <c r="AA1693" t="s">
        <v>49</v>
      </c>
      <c r="AC1693" s="2"/>
    </row>
    <row r="1694" spans="1:31" x14ac:dyDescent="0.25">
      <c r="A1694" t="s">
        <v>7903</v>
      </c>
      <c r="B1694" t="s">
        <v>7904</v>
      </c>
      <c r="C1694" t="s">
        <v>7904</v>
      </c>
      <c r="D1694" t="s">
        <v>35</v>
      </c>
      <c r="E1694" t="s">
        <v>36</v>
      </c>
      <c r="F1694" t="s">
        <v>7905</v>
      </c>
      <c r="H1694" t="s">
        <v>41</v>
      </c>
      <c r="J1694" s="2">
        <v>10909</v>
      </c>
      <c r="K1694" s="2">
        <v>50</v>
      </c>
      <c r="L1694" s="2">
        <v>15</v>
      </c>
      <c r="M1694" s="2">
        <v>0</v>
      </c>
      <c r="N1694" t="s">
        <v>40</v>
      </c>
      <c r="O1694" t="s">
        <v>41</v>
      </c>
      <c r="P1694" t="s">
        <v>42</v>
      </c>
      <c r="Q1694" t="s">
        <v>43</v>
      </c>
      <c r="U1694" t="s">
        <v>45</v>
      </c>
      <c r="V1694" t="s">
        <v>46</v>
      </c>
      <c r="W1694" t="s">
        <v>40</v>
      </c>
      <c r="X1694" t="s">
        <v>41</v>
      </c>
      <c r="Y1694" t="s">
        <v>47</v>
      </c>
      <c r="Z1694" t="s">
        <v>48</v>
      </c>
      <c r="AA1694" t="s">
        <v>141</v>
      </c>
      <c r="AB1694" t="s">
        <v>50</v>
      </c>
      <c r="AC1694" s="2">
        <v>10892</v>
      </c>
      <c r="AD1694" t="s">
        <v>7906</v>
      </c>
    </row>
    <row r="1695" spans="1:31" x14ac:dyDescent="0.25">
      <c r="A1695" t="s">
        <v>7907</v>
      </c>
      <c r="B1695" t="s">
        <v>7908</v>
      </c>
      <c r="C1695" t="s">
        <v>7908</v>
      </c>
      <c r="D1695" t="s">
        <v>125</v>
      </c>
      <c r="E1695" t="s">
        <v>126</v>
      </c>
      <c r="F1695" t="s">
        <v>7909</v>
      </c>
      <c r="G1695" t="s">
        <v>125</v>
      </c>
      <c r="H1695" t="s">
        <v>2396</v>
      </c>
      <c r="I1695" t="s">
        <v>7910</v>
      </c>
      <c r="J1695" s="2">
        <v>436340</v>
      </c>
      <c r="K1695" s="2">
        <v>2000</v>
      </c>
      <c r="L1695" s="2">
        <v>21</v>
      </c>
      <c r="M1695" s="2">
        <v>0</v>
      </c>
      <c r="N1695" t="s">
        <v>6985</v>
      </c>
      <c r="O1695" t="s">
        <v>6986</v>
      </c>
      <c r="P1695" t="s">
        <v>6987</v>
      </c>
      <c r="Q1695" t="s">
        <v>6988</v>
      </c>
      <c r="S1695" t="s">
        <v>7911</v>
      </c>
      <c r="U1695" t="s">
        <v>45</v>
      </c>
      <c r="V1695" t="s">
        <v>46</v>
      </c>
      <c r="W1695" t="s">
        <v>6985</v>
      </c>
      <c r="X1695" t="s">
        <v>6986</v>
      </c>
      <c r="Y1695" t="s">
        <v>2399</v>
      </c>
      <c r="Z1695" t="s">
        <v>2400</v>
      </c>
      <c r="AA1695" t="s">
        <v>49</v>
      </c>
      <c r="AB1695" t="s">
        <v>50</v>
      </c>
      <c r="AC1695" s="2">
        <v>308061.67</v>
      </c>
      <c r="AD1695" t="s">
        <v>7912</v>
      </c>
      <c r="AE1695" t="s">
        <v>52</v>
      </c>
    </row>
    <row r="1696" spans="1:31" x14ac:dyDescent="0.25">
      <c r="A1696" t="s">
        <v>7913</v>
      </c>
      <c r="B1696" t="s">
        <v>7914</v>
      </c>
      <c r="C1696" t="s">
        <v>7914</v>
      </c>
      <c r="D1696" t="s">
        <v>847</v>
      </c>
      <c r="E1696" t="s">
        <v>848</v>
      </c>
      <c r="F1696" t="s">
        <v>7915</v>
      </c>
      <c r="G1696" t="s">
        <v>847</v>
      </c>
      <c r="H1696" t="s">
        <v>7147</v>
      </c>
      <c r="I1696" t="s">
        <v>7916</v>
      </c>
      <c r="J1696" s="2">
        <v>654510</v>
      </c>
      <c r="K1696" s="2">
        <v>3000</v>
      </c>
      <c r="L1696" s="2">
        <v>25</v>
      </c>
      <c r="M1696" s="2">
        <v>0</v>
      </c>
      <c r="N1696" t="s">
        <v>6940</v>
      </c>
      <c r="O1696" t="s">
        <v>6939</v>
      </c>
      <c r="P1696" t="s">
        <v>3487</v>
      </c>
      <c r="Q1696" t="s">
        <v>3488</v>
      </c>
      <c r="S1696" t="s">
        <v>7917</v>
      </c>
      <c r="U1696" t="s">
        <v>45</v>
      </c>
      <c r="V1696" t="s">
        <v>46</v>
      </c>
      <c r="W1696" t="s">
        <v>6940</v>
      </c>
      <c r="X1696" t="s">
        <v>6939</v>
      </c>
      <c r="Y1696" t="s">
        <v>79</v>
      </c>
      <c r="Z1696" t="s">
        <v>94</v>
      </c>
      <c r="AA1696" t="s">
        <v>49</v>
      </c>
      <c r="AB1696" t="s">
        <v>50</v>
      </c>
      <c r="AC1696" s="2">
        <v>536581.9</v>
      </c>
      <c r="AD1696" t="s">
        <v>7918</v>
      </c>
      <c r="AE1696" t="s">
        <v>52</v>
      </c>
    </row>
    <row r="1697" spans="1:31" x14ac:dyDescent="0.25">
      <c r="A1697" t="s">
        <v>7919</v>
      </c>
      <c r="B1697" t="s">
        <v>7920</v>
      </c>
      <c r="C1697" t="s">
        <v>7920</v>
      </c>
      <c r="D1697" t="s">
        <v>153</v>
      </c>
      <c r="E1697" t="s">
        <v>272</v>
      </c>
      <c r="F1697" t="s">
        <v>7921</v>
      </c>
      <c r="G1697" t="s">
        <v>153</v>
      </c>
      <c r="H1697" t="s">
        <v>7922</v>
      </c>
      <c r="J1697" s="2">
        <v>134628</v>
      </c>
      <c r="K1697" s="2">
        <v>600</v>
      </c>
      <c r="L1697" s="2">
        <v>15</v>
      </c>
      <c r="M1697" s="2">
        <v>0</v>
      </c>
      <c r="N1697" t="s">
        <v>7923</v>
      </c>
      <c r="O1697" t="s">
        <v>7924</v>
      </c>
      <c r="P1697" t="s">
        <v>6987</v>
      </c>
      <c r="Q1697" t="s">
        <v>6988</v>
      </c>
      <c r="S1697" t="s">
        <v>7925</v>
      </c>
      <c r="U1697" t="s">
        <v>45</v>
      </c>
      <c r="V1697" t="s">
        <v>46</v>
      </c>
      <c r="W1697" t="s">
        <v>7923</v>
      </c>
      <c r="X1697" t="s">
        <v>7922</v>
      </c>
      <c r="Y1697" t="s">
        <v>2399</v>
      </c>
      <c r="Z1697" t="s">
        <v>2400</v>
      </c>
      <c r="AA1697" t="s">
        <v>49</v>
      </c>
      <c r="AB1697" t="s">
        <v>50</v>
      </c>
      <c r="AC1697" s="2">
        <v>59065.88</v>
      </c>
      <c r="AD1697" t="s">
        <v>7926</v>
      </c>
      <c r="AE1697" t="s">
        <v>52</v>
      </c>
    </row>
    <row r="1698" spans="1:31" hidden="1" x14ac:dyDescent="0.25">
      <c r="I1698" t="s">
        <v>7927</v>
      </c>
      <c r="J1698" s="2">
        <v>1000</v>
      </c>
      <c r="K1698" s="2">
        <v>0</v>
      </c>
      <c r="L1698" s="2">
        <v>1</v>
      </c>
      <c r="M1698" s="2">
        <v>0</v>
      </c>
      <c r="S1698" t="s">
        <v>7928</v>
      </c>
      <c r="U1698" t="s">
        <v>45</v>
      </c>
      <c r="V1698" t="s">
        <v>46</v>
      </c>
      <c r="W1698" t="s">
        <v>101</v>
      </c>
      <c r="X1698" t="s">
        <v>102</v>
      </c>
      <c r="Y1698" t="s">
        <v>106</v>
      </c>
      <c r="Z1698" t="s">
        <v>107</v>
      </c>
      <c r="AA1698" t="s">
        <v>49</v>
      </c>
      <c r="AC1698" s="2"/>
    </row>
    <row r="1699" spans="1:31" x14ac:dyDescent="0.25">
      <c r="A1699" t="s">
        <v>7929</v>
      </c>
      <c r="B1699" t="s">
        <v>7930</v>
      </c>
      <c r="C1699" t="s">
        <v>7930</v>
      </c>
      <c r="D1699" t="s">
        <v>847</v>
      </c>
      <c r="E1699" t="s">
        <v>848</v>
      </c>
      <c r="F1699" t="s">
        <v>7931</v>
      </c>
      <c r="G1699" t="s">
        <v>1504</v>
      </c>
      <c r="H1699" t="s">
        <v>881</v>
      </c>
      <c r="I1699" t="s">
        <v>7932</v>
      </c>
      <c r="J1699" s="2">
        <v>218170</v>
      </c>
      <c r="K1699" s="2">
        <v>1000</v>
      </c>
      <c r="L1699" s="2">
        <v>7</v>
      </c>
      <c r="M1699" s="2">
        <v>0</v>
      </c>
      <c r="N1699" t="s">
        <v>883</v>
      </c>
      <c r="O1699" t="s">
        <v>881</v>
      </c>
      <c r="P1699" t="s">
        <v>158</v>
      </c>
      <c r="Q1699" t="s">
        <v>159</v>
      </c>
      <c r="S1699" t="s">
        <v>7933</v>
      </c>
      <c r="U1699" t="s">
        <v>45</v>
      </c>
      <c r="V1699" t="s">
        <v>46</v>
      </c>
      <c r="W1699" t="s">
        <v>883</v>
      </c>
      <c r="X1699" t="s">
        <v>881</v>
      </c>
      <c r="Y1699" t="s">
        <v>161</v>
      </c>
      <c r="Z1699" t="s">
        <v>162</v>
      </c>
      <c r="AA1699" t="s">
        <v>49</v>
      </c>
      <c r="AB1699" t="s">
        <v>50</v>
      </c>
      <c r="AC1699" s="2">
        <v>205560.12</v>
      </c>
      <c r="AD1699" t="s">
        <v>7934</v>
      </c>
    </row>
    <row r="1700" spans="1:31" hidden="1" x14ac:dyDescent="0.25">
      <c r="J1700" s="2">
        <v>1000</v>
      </c>
      <c r="K1700" s="2">
        <v>0</v>
      </c>
      <c r="L1700" s="2">
        <v>1</v>
      </c>
      <c r="M1700" s="2">
        <v>0</v>
      </c>
      <c r="S1700" t="s">
        <v>7937</v>
      </c>
      <c r="U1700" t="s">
        <v>45</v>
      </c>
      <c r="V1700" t="s">
        <v>46</v>
      </c>
      <c r="W1700" t="s">
        <v>7936</v>
      </c>
      <c r="X1700" t="s">
        <v>7935</v>
      </c>
      <c r="Y1700" t="s">
        <v>7938</v>
      </c>
      <c r="Z1700" t="s">
        <v>7939</v>
      </c>
      <c r="AA1700" t="s">
        <v>49</v>
      </c>
      <c r="AC1700" s="2"/>
    </row>
    <row r="1701" spans="1:31" x14ac:dyDescent="0.25">
      <c r="A1701" t="s">
        <v>7940</v>
      </c>
      <c r="B1701" t="s">
        <v>7941</v>
      </c>
      <c r="C1701" t="s">
        <v>7941</v>
      </c>
      <c r="D1701" t="s">
        <v>35</v>
      </c>
      <c r="E1701" t="s">
        <v>36</v>
      </c>
      <c r="F1701" t="s">
        <v>7942</v>
      </c>
      <c r="G1701" t="s">
        <v>35</v>
      </c>
      <c r="H1701" t="s">
        <v>2647</v>
      </c>
      <c r="I1701" t="s">
        <v>7943</v>
      </c>
      <c r="J1701" s="2">
        <v>321490</v>
      </c>
      <c r="K1701" s="2">
        <v>1300</v>
      </c>
      <c r="L1701" s="2">
        <v>15</v>
      </c>
      <c r="M1701" s="2">
        <v>0</v>
      </c>
      <c r="N1701" t="s">
        <v>1362</v>
      </c>
      <c r="O1701" t="s">
        <v>1360</v>
      </c>
      <c r="P1701" t="s">
        <v>1109</v>
      </c>
      <c r="Q1701" t="s">
        <v>1110</v>
      </c>
      <c r="S1701" t="s">
        <v>7944</v>
      </c>
      <c r="U1701" t="s">
        <v>45</v>
      </c>
      <c r="V1701" t="s">
        <v>46</v>
      </c>
      <c r="W1701" t="s">
        <v>1362</v>
      </c>
      <c r="X1701" t="s">
        <v>1360</v>
      </c>
      <c r="Y1701" t="s">
        <v>1215</v>
      </c>
      <c r="Z1701" t="s">
        <v>1216</v>
      </c>
      <c r="AA1701" t="s">
        <v>49</v>
      </c>
      <c r="AB1701" t="s">
        <v>50</v>
      </c>
      <c r="AC1701" s="2">
        <v>165943.16</v>
      </c>
      <c r="AD1701" t="s">
        <v>7945</v>
      </c>
      <c r="AE1701" t="s">
        <v>52</v>
      </c>
    </row>
    <row r="1702" spans="1:31" x14ac:dyDescent="0.25">
      <c r="A1702" t="s">
        <v>7946</v>
      </c>
      <c r="B1702" t="s">
        <v>7947</v>
      </c>
      <c r="C1702" t="s">
        <v>7947</v>
      </c>
      <c r="D1702" t="s">
        <v>1410</v>
      </c>
      <c r="E1702" t="s">
        <v>871</v>
      </c>
      <c r="F1702" t="s">
        <v>7948</v>
      </c>
      <c r="G1702" t="s">
        <v>7666</v>
      </c>
      <c r="H1702" t="s">
        <v>7949</v>
      </c>
      <c r="I1702" t="s">
        <v>7950</v>
      </c>
      <c r="J1702" s="2">
        <v>117435</v>
      </c>
      <c r="K1702" s="2">
        <v>500</v>
      </c>
      <c r="L1702" s="2">
        <v>15</v>
      </c>
      <c r="M1702" s="2">
        <v>0</v>
      </c>
      <c r="N1702" t="s">
        <v>7951</v>
      </c>
      <c r="O1702" t="s">
        <v>7949</v>
      </c>
      <c r="P1702" t="s">
        <v>4374</v>
      </c>
      <c r="Q1702" t="s">
        <v>4375</v>
      </c>
      <c r="S1702" t="s">
        <v>7952</v>
      </c>
      <c r="U1702" t="s">
        <v>45</v>
      </c>
      <c r="V1702" t="s">
        <v>46</v>
      </c>
      <c r="W1702" t="s">
        <v>7951</v>
      </c>
      <c r="X1702" t="s">
        <v>7949</v>
      </c>
      <c r="Y1702" t="s">
        <v>258</v>
      </c>
      <c r="Z1702" t="s">
        <v>259</v>
      </c>
      <c r="AA1702" t="s">
        <v>49</v>
      </c>
      <c r="AB1702" t="s">
        <v>50</v>
      </c>
      <c r="AC1702" s="2">
        <v>73647.17</v>
      </c>
      <c r="AD1702" t="s">
        <v>7953</v>
      </c>
    </row>
    <row r="1703" spans="1:31" x14ac:dyDescent="0.25">
      <c r="A1703" t="s">
        <v>7954</v>
      </c>
      <c r="B1703" t="s">
        <v>7955</v>
      </c>
      <c r="C1703" t="s">
        <v>7955</v>
      </c>
      <c r="D1703" t="s">
        <v>125</v>
      </c>
      <c r="E1703" t="s">
        <v>126</v>
      </c>
      <c r="F1703" t="s">
        <v>7956</v>
      </c>
      <c r="G1703" t="s">
        <v>125</v>
      </c>
      <c r="H1703" t="s">
        <v>6986</v>
      </c>
      <c r="I1703" t="s">
        <v>7957</v>
      </c>
      <c r="J1703" s="2">
        <v>981765</v>
      </c>
      <c r="K1703" s="2">
        <v>4500</v>
      </c>
      <c r="L1703" s="2">
        <v>15</v>
      </c>
      <c r="M1703" s="2">
        <v>0</v>
      </c>
      <c r="N1703" t="s">
        <v>6985</v>
      </c>
      <c r="O1703" t="s">
        <v>6986</v>
      </c>
      <c r="P1703" t="s">
        <v>6987</v>
      </c>
      <c r="Q1703" t="s">
        <v>6988</v>
      </c>
      <c r="S1703" t="s">
        <v>7958</v>
      </c>
      <c r="U1703" t="s">
        <v>45</v>
      </c>
      <c r="V1703" t="s">
        <v>46</v>
      </c>
      <c r="W1703" t="s">
        <v>6985</v>
      </c>
      <c r="X1703" t="s">
        <v>6986</v>
      </c>
      <c r="Y1703" t="s">
        <v>2399</v>
      </c>
      <c r="Z1703" t="s">
        <v>2400</v>
      </c>
      <c r="AA1703" t="s">
        <v>49</v>
      </c>
      <c r="AB1703" t="s">
        <v>50</v>
      </c>
      <c r="AC1703" s="2">
        <v>767351.38</v>
      </c>
      <c r="AD1703" t="s">
        <v>7959</v>
      </c>
      <c r="AE1703" t="s">
        <v>52</v>
      </c>
    </row>
    <row r="1704" spans="1:31" x14ac:dyDescent="0.25">
      <c r="A1704" t="s">
        <v>7960</v>
      </c>
      <c r="B1704" t="s">
        <v>7961</v>
      </c>
      <c r="C1704" t="s">
        <v>7961</v>
      </c>
      <c r="D1704" t="s">
        <v>178</v>
      </c>
      <c r="E1704" t="s">
        <v>179</v>
      </c>
      <c r="F1704" t="s">
        <v>7962</v>
      </c>
      <c r="G1704" t="s">
        <v>166</v>
      </c>
      <c r="H1704" t="s">
        <v>7860</v>
      </c>
      <c r="I1704" t="s">
        <v>7963</v>
      </c>
      <c r="J1704" s="2">
        <v>501791</v>
      </c>
      <c r="K1704" s="2">
        <v>2300</v>
      </c>
      <c r="L1704" s="2">
        <v>30</v>
      </c>
      <c r="M1704" s="2">
        <v>0</v>
      </c>
      <c r="N1704" t="s">
        <v>4852</v>
      </c>
      <c r="O1704" t="s">
        <v>4851</v>
      </c>
      <c r="P1704" t="s">
        <v>4853</v>
      </c>
      <c r="Q1704" t="s">
        <v>4854</v>
      </c>
      <c r="S1704" t="s">
        <v>7964</v>
      </c>
      <c r="U1704" t="s">
        <v>45</v>
      </c>
      <c r="V1704" t="s">
        <v>46</v>
      </c>
      <c r="W1704" t="s">
        <v>4852</v>
      </c>
      <c r="X1704" t="s">
        <v>4851</v>
      </c>
      <c r="Y1704" t="s">
        <v>4854</v>
      </c>
      <c r="Z1704" t="s">
        <v>72</v>
      </c>
      <c r="AA1704" t="s">
        <v>49</v>
      </c>
      <c r="AB1704" t="s">
        <v>50</v>
      </c>
      <c r="AC1704" s="2">
        <v>173993.55</v>
      </c>
      <c r="AD1704" t="s">
        <v>7965</v>
      </c>
      <c r="AE1704" t="s">
        <v>52</v>
      </c>
    </row>
    <row r="1705" spans="1:31" x14ac:dyDescent="0.25">
      <c r="A1705" t="s">
        <v>7966</v>
      </c>
      <c r="B1705" t="s">
        <v>7967</v>
      </c>
      <c r="C1705" t="s">
        <v>7967</v>
      </c>
      <c r="D1705" t="s">
        <v>870</v>
      </c>
      <c r="E1705" t="s">
        <v>871</v>
      </c>
      <c r="F1705" t="s">
        <v>7968</v>
      </c>
      <c r="G1705" t="s">
        <v>1504</v>
      </c>
      <c r="H1705" t="s">
        <v>184</v>
      </c>
      <c r="I1705" t="s">
        <v>7969</v>
      </c>
      <c r="J1705" s="2">
        <v>693150</v>
      </c>
      <c r="K1705" s="2">
        <v>3000</v>
      </c>
      <c r="L1705" s="2">
        <v>15</v>
      </c>
      <c r="M1705" s="2">
        <v>0</v>
      </c>
      <c r="N1705" t="s">
        <v>183</v>
      </c>
      <c r="O1705" t="s">
        <v>184</v>
      </c>
      <c r="P1705" t="s">
        <v>158</v>
      </c>
      <c r="Q1705" t="s">
        <v>159</v>
      </c>
      <c r="S1705" t="s">
        <v>7970</v>
      </c>
      <c r="U1705" t="s">
        <v>45</v>
      </c>
      <c r="V1705" t="s">
        <v>46</v>
      </c>
      <c r="W1705" t="s">
        <v>183</v>
      </c>
      <c r="X1705" t="s">
        <v>184</v>
      </c>
      <c r="Y1705" t="s">
        <v>161</v>
      </c>
      <c r="Z1705" t="s">
        <v>162</v>
      </c>
      <c r="AA1705" t="s">
        <v>49</v>
      </c>
      <c r="AB1705" t="s">
        <v>50</v>
      </c>
      <c r="AC1705" s="2">
        <v>554306.06999999995</v>
      </c>
      <c r="AD1705" t="s">
        <v>7971</v>
      </c>
    </row>
    <row r="1706" spans="1:31" x14ac:dyDescent="0.25">
      <c r="A1706" t="s">
        <v>7972</v>
      </c>
      <c r="B1706" t="s">
        <v>7973</v>
      </c>
      <c r="C1706" t="s">
        <v>7973</v>
      </c>
      <c r="D1706" t="s">
        <v>125</v>
      </c>
      <c r="E1706" t="s">
        <v>126</v>
      </c>
      <c r="F1706" t="s">
        <v>7974</v>
      </c>
      <c r="G1706" t="s">
        <v>847</v>
      </c>
      <c r="H1706" t="s">
        <v>6939</v>
      </c>
      <c r="I1706" t="s">
        <v>7975</v>
      </c>
      <c r="J1706" s="2">
        <v>763595</v>
      </c>
      <c r="K1706" s="2">
        <v>3500</v>
      </c>
      <c r="L1706" s="2">
        <v>25</v>
      </c>
      <c r="M1706" s="2">
        <v>0</v>
      </c>
      <c r="N1706" t="s">
        <v>6940</v>
      </c>
      <c r="O1706" t="s">
        <v>6939</v>
      </c>
      <c r="P1706" t="s">
        <v>3487</v>
      </c>
      <c r="Q1706" t="s">
        <v>3488</v>
      </c>
      <c r="S1706" t="s">
        <v>7976</v>
      </c>
      <c r="U1706" t="s">
        <v>45</v>
      </c>
      <c r="V1706" t="s">
        <v>46</v>
      </c>
      <c r="W1706" t="s">
        <v>6940</v>
      </c>
      <c r="X1706" t="s">
        <v>6939</v>
      </c>
      <c r="Y1706" t="s">
        <v>79</v>
      </c>
      <c r="Z1706" t="s">
        <v>94</v>
      </c>
      <c r="AA1706" t="s">
        <v>49</v>
      </c>
      <c r="AB1706" t="s">
        <v>50</v>
      </c>
      <c r="AC1706" s="2">
        <v>467102.88</v>
      </c>
      <c r="AD1706" t="s">
        <v>7977</v>
      </c>
      <c r="AE1706" t="s">
        <v>52</v>
      </c>
    </row>
    <row r="1707" spans="1:31" x14ac:dyDescent="0.25">
      <c r="A1707" t="s">
        <v>7978</v>
      </c>
      <c r="B1707" t="s">
        <v>7979</v>
      </c>
      <c r="C1707" t="s">
        <v>7979</v>
      </c>
      <c r="D1707" t="s">
        <v>178</v>
      </c>
      <c r="E1707" t="s">
        <v>179</v>
      </c>
      <c r="F1707" t="s">
        <v>7980</v>
      </c>
      <c r="G1707" t="s">
        <v>817</v>
      </c>
      <c r="H1707" t="s">
        <v>7766</v>
      </c>
      <c r="I1707" t="s">
        <v>7981</v>
      </c>
      <c r="J1707" s="2">
        <v>78386</v>
      </c>
      <c r="K1707" s="2">
        <v>350</v>
      </c>
      <c r="L1707" s="2">
        <v>21</v>
      </c>
      <c r="M1707" s="2">
        <v>0</v>
      </c>
      <c r="N1707" t="s">
        <v>7747</v>
      </c>
      <c r="O1707" t="s">
        <v>2400</v>
      </c>
      <c r="P1707" t="s">
        <v>6987</v>
      </c>
      <c r="Q1707" t="s">
        <v>6988</v>
      </c>
      <c r="S1707" t="s">
        <v>7982</v>
      </c>
      <c r="U1707" t="s">
        <v>45</v>
      </c>
      <c r="V1707" t="s">
        <v>46</v>
      </c>
      <c r="W1707" t="s">
        <v>7747</v>
      </c>
      <c r="X1707" t="s">
        <v>2400</v>
      </c>
      <c r="Y1707" t="s">
        <v>2399</v>
      </c>
      <c r="Z1707" t="s">
        <v>2400</v>
      </c>
      <c r="AA1707" t="s">
        <v>49</v>
      </c>
      <c r="AB1707" t="s">
        <v>50</v>
      </c>
      <c r="AC1707" s="2">
        <v>64420.03</v>
      </c>
      <c r="AD1707" t="s">
        <v>7983</v>
      </c>
    </row>
    <row r="1708" spans="1:31" x14ac:dyDescent="0.25">
      <c r="A1708" t="s">
        <v>7984</v>
      </c>
      <c r="B1708" t="s">
        <v>7985</v>
      </c>
      <c r="C1708" t="s">
        <v>7985</v>
      </c>
      <c r="D1708" t="s">
        <v>847</v>
      </c>
      <c r="E1708" t="s">
        <v>848</v>
      </c>
      <c r="F1708" t="s">
        <v>7986</v>
      </c>
      <c r="G1708" t="s">
        <v>792</v>
      </c>
      <c r="H1708" t="s">
        <v>6986</v>
      </c>
      <c r="I1708" t="s">
        <v>7987</v>
      </c>
      <c r="J1708" s="2">
        <v>130902</v>
      </c>
      <c r="K1708" s="2">
        <v>600</v>
      </c>
      <c r="L1708" s="2">
        <v>21</v>
      </c>
      <c r="M1708" s="2">
        <v>0</v>
      </c>
      <c r="N1708" t="s">
        <v>6985</v>
      </c>
      <c r="O1708" t="s">
        <v>6986</v>
      </c>
      <c r="P1708" t="s">
        <v>6987</v>
      </c>
      <c r="Q1708" t="s">
        <v>6988</v>
      </c>
      <c r="S1708" t="s">
        <v>7988</v>
      </c>
      <c r="U1708" t="s">
        <v>45</v>
      </c>
      <c r="V1708" t="s">
        <v>46</v>
      </c>
      <c r="W1708" t="s">
        <v>6985</v>
      </c>
      <c r="X1708" t="s">
        <v>6986</v>
      </c>
      <c r="Y1708" t="s">
        <v>2399</v>
      </c>
      <c r="Z1708" t="s">
        <v>2400</v>
      </c>
      <c r="AA1708" t="s">
        <v>49</v>
      </c>
      <c r="AB1708" t="s">
        <v>50</v>
      </c>
      <c r="AC1708" s="2">
        <v>-100429.02</v>
      </c>
      <c r="AD1708" t="s">
        <v>7989</v>
      </c>
      <c r="AE1708" t="s">
        <v>52</v>
      </c>
    </row>
    <row r="1709" spans="1:31" x14ac:dyDescent="0.25">
      <c r="A1709" t="s">
        <v>7990</v>
      </c>
      <c r="B1709" t="s">
        <v>7991</v>
      </c>
      <c r="C1709" t="s">
        <v>7991</v>
      </c>
      <c r="D1709" t="s">
        <v>35</v>
      </c>
      <c r="E1709" t="s">
        <v>36</v>
      </c>
      <c r="F1709" t="s">
        <v>7992</v>
      </c>
      <c r="G1709" t="s">
        <v>847</v>
      </c>
      <c r="H1709" t="s">
        <v>2396</v>
      </c>
      <c r="I1709" t="s">
        <v>7993</v>
      </c>
      <c r="J1709" s="2">
        <v>1027080</v>
      </c>
      <c r="K1709" s="2">
        <v>4320</v>
      </c>
      <c r="L1709" s="2">
        <v>21</v>
      </c>
      <c r="M1709" s="2">
        <v>0</v>
      </c>
      <c r="N1709" t="s">
        <v>6985</v>
      </c>
      <c r="O1709" t="s">
        <v>6986</v>
      </c>
      <c r="P1709" t="s">
        <v>6987</v>
      </c>
      <c r="Q1709" t="s">
        <v>6988</v>
      </c>
      <c r="S1709" t="s">
        <v>7994</v>
      </c>
      <c r="U1709" t="s">
        <v>45</v>
      </c>
      <c r="V1709" t="s">
        <v>46</v>
      </c>
      <c r="W1709" t="s">
        <v>6985</v>
      </c>
      <c r="X1709" t="s">
        <v>6986</v>
      </c>
      <c r="Y1709" t="s">
        <v>2399</v>
      </c>
      <c r="Z1709" t="s">
        <v>2400</v>
      </c>
      <c r="AA1709" t="s">
        <v>49</v>
      </c>
      <c r="AB1709" t="s">
        <v>50</v>
      </c>
      <c r="AC1709" s="2">
        <v>879990.06</v>
      </c>
      <c r="AD1709" t="s">
        <v>7995</v>
      </c>
      <c r="AE1709" t="s">
        <v>52</v>
      </c>
    </row>
    <row r="1710" spans="1:31" x14ac:dyDescent="0.25">
      <c r="A1710" t="s">
        <v>7996</v>
      </c>
      <c r="B1710" t="s">
        <v>7997</v>
      </c>
      <c r="C1710" t="s">
        <v>7997</v>
      </c>
      <c r="D1710" t="s">
        <v>153</v>
      </c>
      <c r="E1710" t="s">
        <v>272</v>
      </c>
      <c r="F1710" t="s">
        <v>7998</v>
      </c>
      <c r="G1710" t="s">
        <v>847</v>
      </c>
      <c r="H1710" t="s">
        <v>6986</v>
      </c>
      <c r="I1710" t="s">
        <v>7999</v>
      </c>
      <c r="J1710" s="2">
        <v>709053</v>
      </c>
      <c r="K1710" s="2">
        <v>3250</v>
      </c>
      <c r="L1710" s="2">
        <v>21</v>
      </c>
      <c r="M1710" s="2">
        <v>0</v>
      </c>
      <c r="N1710" t="s">
        <v>6985</v>
      </c>
      <c r="O1710" t="s">
        <v>6986</v>
      </c>
      <c r="P1710" t="s">
        <v>6987</v>
      </c>
      <c r="Q1710" t="s">
        <v>6988</v>
      </c>
      <c r="S1710" t="s">
        <v>8000</v>
      </c>
      <c r="U1710" t="s">
        <v>45</v>
      </c>
      <c r="V1710" t="s">
        <v>46</v>
      </c>
      <c r="W1710" t="s">
        <v>6985</v>
      </c>
      <c r="X1710" t="s">
        <v>6986</v>
      </c>
      <c r="Y1710" t="s">
        <v>2399</v>
      </c>
      <c r="Z1710" t="s">
        <v>2400</v>
      </c>
      <c r="AA1710" t="s">
        <v>49</v>
      </c>
      <c r="AB1710" t="s">
        <v>50</v>
      </c>
      <c r="AC1710" s="2">
        <v>598589.02</v>
      </c>
      <c r="AD1710" t="s">
        <v>8001</v>
      </c>
      <c r="AE1710" t="s">
        <v>115</v>
      </c>
    </row>
    <row r="1711" spans="1:31" x14ac:dyDescent="0.25">
      <c r="A1711" t="s">
        <v>8002</v>
      </c>
      <c r="B1711" t="s">
        <v>8003</v>
      </c>
      <c r="C1711" t="s">
        <v>8003</v>
      </c>
      <c r="D1711" t="s">
        <v>125</v>
      </c>
      <c r="E1711" t="s">
        <v>126</v>
      </c>
      <c r="F1711" t="s">
        <v>8004</v>
      </c>
      <c r="G1711" t="s">
        <v>35</v>
      </c>
      <c r="H1711" t="s">
        <v>8005</v>
      </c>
      <c r="I1711" t="s">
        <v>8006</v>
      </c>
      <c r="J1711" s="2">
        <v>1142617</v>
      </c>
      <c r="K1711" s="2">
        <v>4700</v>
      </c>
      <c r="L1711" s="2">
        <v>21</v>
      </c>
      <c r="M1711" s="2">
        <v>0</v>
      </c>
      <c r="N1711" t="s">
        <v>8007</v>
      </c>
      <c r="O1711" t="s">
        <v>8005</v>
      </c>
      <c r="P1711" t="s">
        <v>6987</v>
      </c>
      <c r="Q1711" t="s">
        <v>6988</v>
      </c>
      <c r="S1711" t="s">
        <v>8008</v>
      </c>
      <c r="U1711" t="s">
        <v>45</v>
      </c>
      <c r="V1711" t="s">
        <v>46</v>
      </c>
      <c r="W1711" t="s">
        <v>8007</v>
      </c>
      <c r="X1711" t="s">
        <v>8005</v>
      </c>
      <c r="Y1711" t="s">
        <v>2399</v>
      </c>
      <c r="Z1711" t="s">
        <v>2400</v>
      </c>
      <c r="AA1711" t="s">
        <v>49</v>
      </c>
      <c r="AB1711" t="s">
        <v>50</v>
      </c>
      <c r="AC1711" s="2">
        <v>770417.26</v>
      </c>
      <c r="AD1711" t="s">
        <v>8009</v>
      </c>
      <c r="AE1711" t="s">
        <v>52</v>
      </c>
    </row>
    <row r="1712" spans="1:31" x14ac:dyDescent="0.25">
      <c r="A1712" t="s">
        <v>8010</v>
      </c>
      <c r="B1712" t="s">
        <v>8011</v>
      </c>
      <c r="C1712" t="s">
        <v>8011</v>
      </c>
      <c r="D1712" t="s">
        <v>125</v>
      </c>
      <c r="E1712" t="s">
        <v>126</v>
      </c>
      <c r="F1712" t="s">
        <v>8012</v>
      </c>
      <c r="G1712" t="s">
        <v>125</v>
      </c>
      <c r="H1712" t="s">
        <v>2396</v>
      </c>
      <c r="I1712" t="s">
        <v>8013</v>
      </c>
      <c r="J1712" s="2">
        <v>654510</v>
      </c>
      <c r="K1712" s="2">
        <v>3000</v>
      </c>
      <c r="L1712" s="2">
        <v>21</v>
      </c>
      <c r="M1712" s="2">
        <v>0</v>
      </c>
      <c r="N1712" t="s">
        <v>6985</v>
      </c>
      <c r="O1712" t="s">
        <v>6986</v>
      </c>
      <c r="P1712" t="s">
        <v>6987</v>
      </c>
      <c r="Q1712" t="s">
        <v>6988</v>
      </c>
      <c r="S1712" t="s">
        <v>8014</v>
      </c>
      <c r="U1712" t="s">
        <v>45</v>
      </c>
      <c r="V1712" t="s">
        <v>46</v>
      </c>
      <c r="W1712" t="s">
        <v>6985</v>
      </c>
      <c r="X1712" t="s">
        <v>6986</v>
      </c>
      <c r="Y1712" t="s">
        <v>2399</v>
      </c>
      <c r="Z1712" t="s">
        <v>2400</v>
      </c>
      <c r="AA1712" t="s">
        <v>49</v>
      </c>
      <c r="AB1712" t="s">
        <v>50</v>
      </c>
      <c r="AC1712" s="2">
        <v>208286.25</v>
      </c>
      <c r="AD1712" t="s">
        <v>8015</v>
      </c>
      <c r="AE1712" t="s">
        <v>115</v>
      </c>
    </row>
    <row r="1713" spans="1:31" x14ac:dyDescent="0.25">
      <c r="A1713" t="s">
        <v>8016</v>
      </c>
      <c r="B1713" t="s">
        <v>8017</v>
      </c>
      <c r="C1713" t="s">
        <v>8017</v>
      </c>
      <c r="D1713" t="s">
        <v>569</v>
      </c>
      <c r="E1713" t="s">
        <v>570</v>
      </c>
      <c r="F1713" t="s">
        <v>8018</v>
      </c>
      <c r="G1713" t="s">
        <v>299</v>
      </c>
      <c r="H1713" t="s">
        <v>404</v>
      </c>
      <c r="J1713" s="2">
        <v>487140</v>
      </c>
      <c r="K1713" s="2">
        <v>2000</v>
      </c>
      <c r="L1713" s="2">
        <v>30</v>
      </c>
      <c r="M1713" s="2">
        <v>0</v>
      </c>
      <c r="N1713" t="s">
        <v>403</v>
      </c>
      <c r="O1713" t="s">
        <v>404</v>
      </c>
      <c r="P1713" t="s">
        <v>205</v>
      </c>
      <c r="Q1713" t="s">
        <v>206</v>
      </c>
      <c r="S1713" t="s">
        <v>8019</v>
      </c>
      <c r="U1713" t="s">
        <v>45</v>
      </c>
      <c r="V1713" t="s">
        <v>46</v>
      </c>
      <c r="W1713" t="s">
        <v>403</v>
      </c>
      <c r="X1713" t="s">
        <v>404</v>
      </c>
      <c r="Y1713" t="s">
        <v>161</v>
      </c>
      <c r="Z1713" t="s">
        <v>162</v>
      </c>
      <c r="AA1713" t="s">
        <v>49</v>
      </c>
      <c r="AB1713" t="s">
        <v>50</v>
      </c>
      <c r="AC1713" s="2">
        <v>344125.15</v>
      </c>
      <c r="AD1713" t="s">
        <v>8020</v>
      </c>
      <c r="AE1713" t="s">
        <v>52</v>
      </c>
    </row>
    <row r="1714" spans="1:31" x14ac:dyDescent="0.25">
      <c r="A1714" t="s">
        <v>8021</v>
      </c>
      <c r="B1714" t="s">
        <v>8022</v>
      </c>
      <c r="C1714" t="s">
        <v>8022</v>
      </c>
      <c r="D1714" t="s">
        <v>1633</v>
      </c>
      <c r="E1714" t="s">
        <v>1502</v>
      </c>
      <c r="F1714" t="s">
        <v>8023</v>
      </c>
      <c r="G1714" t="s">
        <v>1633</v>
      </c>
      <c r="H1714" t="s">
        <v>79</v>
      </c>
      <c r="I1714" t="s">
        <v>8024</v>
      </c>
      <c r="J1714" s="2">
        <v>5999675</v>
      </c>
      <c r="K1714" s="2">
        <v>27500</v>
      </c>
      <c r="L1714" s="2">
        <v>30</v>
      </c>
      <c r="M1714" s="2">
        <v>0</v>
      </c>
      <c r="N1714" t="s">
        <v>495</v>
      </c>
      <c r="O1714" t="s">
        <v>79</v>
      </c>
      <c r="P1714" t="s">
        <v>3487</v>
      </c>
      <c r="Q1714" t="s">
        <v>3488</v>
      </c>
      <c r="S1714" t="s">
        <v>8025</v>
      </c>
      <c r="U1714" t="s">
        <v>45</v>
      </c>
      <c r="V1714" t="s">
        <v>46</v>
      </c>
      <c r="W1714" t="s">
        <v>495</v>
      </c>
      <c r="X1714" t="s">
        <v>79</v>
      </c>
      <c r="Y1714" t="s">
        <v>79</v>
      </c>
      <c r="Z1714" t="s">
        <v>94</v>
      </c>
      <c r="AA1714" t="s">
        <v>49</v>
      </c>
      <c r="AB1714" t="s">
        <v>50</v>
      </c>
      <c r="AC1714" s="2">
        <v>422265.31</v>
      </c>
      <c r="AD1714" t="s">
        <v>8026</v>
      </c>
      <c r="AE1714" t="s">
        <v>52</v>
      </c>
    </row>
    <row r="1715" spans="1:31" hidden="1" x14ac:dyDescent="0.25">
      <c r="A1715" t="s">
        <v>8027</v>
      </c>
      <c r="B1715" t="s">
        <v>8028</v>
      </c>
      <c r="C1715" t="s">
        <v>8028</v>
      </c>
      <c r="D1715" t="s">
        <v>55</v>
      </c>
      <c r="E1715" t="s">
        <v>56</v>
      </c>
      <c r="F1715" t="s">
        <v>8029</v>
      </c>
      <c r="H1715" t="s">
        <v>5467</v>
      </c>
      <c r="J1715" s="2">
        <v>1000</v>
      </c>
      <c r="K1715" s="2">
        <v>0</v>
      </c>
      <c r="L1715" s="2">
        <v>30</v>
      </c>
      <c r="M1715" s="2">
        <v>0</v>
      </c>
      <c r="N1715" t="s">
        <v>5469</v>
      </c>
      <c r="O1715" t="s">
        <v>5467</v>
      </c>
      <c r="P1715" t="s">
        <v>2320</v>
      </c>
      <c r="Q1715" t="s">
        <v>2321</v>
      </c>
      <c r="S1715" t="s">
        <v>8030</v>
      </c>
      <c r="U1715" t="s">
        <v>45</v>
      </c>
      <c r="V1715" t="s">
        <v>46</v>
      </c>
      <c r="W1715" t="s">
        <v>5469</v>
      </c>
      <c r="X1715" t="s">
        <v>5467</v>
      </c>
      <c r="Y1715" t="s">
        <v>137</v>
      </c>
      <c r="Z1715" t="s">
        <v>717</v>
      </c>
      <c r="AA1715" t="s">
        <v>49</v>
      </c>
      <c r="AB1715" t="s">
        <v>50</v>
      </c>
      <c r="AC1715" s="2">
        <v>1000</v>
      </c>
      <c r="AD1715" t="s">
        <v>64</v>
      </c>
    </row>
    <row r="1716" spans="1:31" hidden="1" x14ac:dyDescent="0.25">
      <c r="I1716" t="s">
        <v>8031</v>
      </c>
      <c r="J1716" s="2">
        <v>1000</v>
      </c>
      <c r="K1716" s="2">
        <v>0</v>
      </c>
      <c r="L1716" s="2">
        <v>30</v>
      </c>
      <c r="M1716" s="2">
        <v>0</v>
      </c>
      <c r="S1716" t="s">
        <v>8030</v>
      </c>
      <c r="U1716" t="s">
        <v>45</v>
      </c>
      <c r="V1716" t="s">
        <v>46</v>
      </c>
      <c r="W1716" t="s">
        <v>5469</v>
      </c>
      <c r="X1716" t="s">
        <v>5467</v>
      </c>
      <c r="Y1716" t="s">
        <v>137</v>
      </c>
      <c r="Z1716" t="s">
        <v>717</v>
      </c>
      <c r="AA1716" t="s">
        <v>49</v>
      </c>
      <c r="AC1716" s="2"/>
    </row>
    <row r="1717" spans="1:31" x14ac:dyDescent="0.25">
      <c r="A1717" t="s">
        <v>8032</v>
      </c>
      <c r="B1717" t="s">
        <v>8033</v>
      </c>
      <c r="C1717" t="s">
        <v>8033</v>
      </c>
      <c r="D1717" t="s">
        <v>35</v>
      </c>
      <c r="E1717" t="s">
        <v>36</v>
      </c>
      <c r="F1717" t="s">
        <v>8034</v>
      </c>
      <c r="G1717" t="s">
        <v>344</v>
      </c>
      <c r="H1717" t="s">
        <v>665</v>
      </c>
      <c r="I1717" t="s">
        <v>8035</v>
      </c>
      <c r="J1717" s="2">
        <v>2721510</v>
      </c>
      <c r="K1717" s="2">
        <v>11000</v>
      </c>
      <c r="L1717" s="2">
        <v>30</v>
      </c>
      <c r="M1717" s="2">
        <v>0</v>
      </c>
      <c r="N1717" t="s">
        <v>664</v>
      </c>
      <c r="O1717" t="s">
        <v>665</v>
      </c>
      <c r="P1717" t="s">
        <v>103</v>
      </c>
      <c r="Q1717" t="s">
        <v>104</v>
      </c>
      <c r="S1717" t="s">
        <v>8036</v>
      </c>
      <c r="U1717" t="s">
        <v>45</v>
      </c>
      <c r="V1717" t="s">
        <v>46</v>
      </c>
      <c r="W1717" t="s">
        <v>664</v>
      </c>
      <c r="X1717" t="s">
        <v>665</v>
      </c>
      <c r="Y1717" t="s">
        <v>106</v>
      </c>
      <c r="Z1717" t="s">
        <v>107</v>
      </c>
      <c r="AA1717" t="s">
        <v>49</v>
      </c>
      <c r="AB1717" t="s">
        <v>50</v>
      </c>
      <c r="AC1717" s="2">
        <v>2251745.7999999998</v>
      </c>
      <c r="AD1717" t="s">
        <v>8037</v>
      </c>
      <c r="AE1717" t="s">
        <v>52</v>
      </c>
    </row>
    <row r="1718" spans="1:31" hidden="1" x14ac:dyDescent="0.25">
      <c r="I1718" t="s">
        <v>8031</v>
      </c>
      <c r="J1718" s="2">
        <v>1000</v>
      </c>
      <c r="K1718" s="2">
        <v>0</v>
      </c>
      <c r="L1718" s="2">
        <v>30</v>
      </c>
      <c r="M1718" s="2">
        <v>0</v>
      </c>
      <c r="S1718" t="s">
        <v>8030</v>
      </c>
      <c r="U1718" t="s">
        <v>45</v>
      </c>
      <c r="V1718" t="s">
        <v>46</v>
      </c>
      <c r="W1718" t="s">
        <v>8038</v>
      </c>
      <c r="X1718" t="s">
        <v>8039</v>
      </c>
      <c r="Y1718" t="s">
        <v>137</v>
      </c>
      <c r="Z1718" t="s">
        <v>717</v>
      </c>
      <c r="AA1718" t="s">
        <v>49</v>
      </c>
      <c r="AC1718" s="2"/>
    </row>
    <row r="1719" spans="1:31" hidden="1" x14ac:dyDescent="0.25">
      <c r="I1719" t="s">
        <v>8031</v>
      </c>
      <c r="J1719" s="2">
        <v>1000</v>
      </c>
      <c r="K1719" s="2">
        <v>0</v>
      </c>
      <c r="L1719" s="2">
        <v>30</v>
      </c>
      <c r="M1719" s="2">
        <v>0</v>
      </c>
      <c r="S1719" t="s">
        <v>8040</v>
      </c>
      <c r="U1719" t="s">
        <v>45</v>
      </c>
      <c r="V1719" t="s">
        <v>46</v>
      </c>
      <c r="W1719" t="s">
        <v>254</v>
      </c>
      <c r="X1719" t="s">
        <v>255</v>
      </c>
      <c r="Y1719" t="s">
        <v>258</v>
      </c>
      <c r="Z1719" t="s">
        <v>259</v>
      </c>
      <c r="AA1719" t="s">
        <v>49</v>
      </c>
      <c r="AC1719" s="2"/>
    </row>
    <row r="1720" spans="1:31" hidden="1" x14ac:dyDescent="0.25">
      <c r="I1720" t="s">
        <v>8031</v>
      </c>
      <c r="J1720" s="2">
        <v>1000</v>
      </c>
      <c r="K1720" s="2">
        <v>0</v>
      </c>
      <c r="L1720" s="2">
        <v>30</v>
      </c>
      <c r="M1720" s="2">
        <v>0</v>
      </c>
      <c r="S1720" t="s">
        <v>8040</v>
      </c>
      <c r="U1720" t="s">
        <v>45</v>
      </c>
      <c r="V1720" t="s">
        <v>46</v>
      </c>
      <c r="W1720" t="s">
        <v>7951</v>
      </c>
      <c r="X1720" t="s">
        <v>7949</v>
      </c>
      <c r="Y1720" t="s">
        <v>258</v>
      </c>
      <c r="Z1720" t="s">
        <v>259</v>
      </c>
      <c r="AA1720" t="s">
        <v>49</v>
      </c>
      <c r="AC1720" s="2"/>
    </row>
    <row r="1721" spans="1:31" hidden="1" x14ac:dyDescent="0.25">
      <c r="I1721" t="s">
        <v>8031</v>
      </c>
      <c r="J1721" s="2">
        <v>1000</v>
      </c>
      <c r="K1721" s="2">
        <v>0</v>
      </c>
      <c r="L1721" s="2">
        <v>30</v>
      </c>
      <c r="M1721" s="2">
        <v>0</v>
      </c>
      <c r="S1721" t="s">
        <v>8030</v>
      </c>
      <c r="U1721" t="s">
        <v>45</v>
      </c>
      <c r="V1721" t="s">
        <v>46</v>
      </c>
      <c r="W1721" t="s">
        <v>8041</v>
      </c>
      <c r="X1721" t="s">
        <v>8042</v>
      </c>
      <c r="Y1721" t="s">
        <v>1122</v>
      </c>
      <c r="Z1721" t="s">
        <v>1122</v>
      </c>
      <c r="AA1721" t="s">
        <v>49</v>
      </c>
      <c r="AC1721" s="2"/>
    </row>
    <row r="1722" spans="1:31" hidden="1" x14ac:dyDescent="0.25">
      <c r="I1722" t="s">
        <v>8031</v>
      </c>
      <c r="J1722" s="2">
        <v>1000</v>
      </c>
      <c r="K1722" s="2">
        <v>0</v>
      </c>
      <c r="L1722" s="2">
        <v>30</v>
      </c>
      <c r="M1722" s="2">
        <v>0</v>
      </c>
      <c r="S1722" t="s">
        <v>8040</v>
      </c>
      <c r="U1722" t="s">
        <v>45</v>
      </c>
      <c r="V1722" t="s">
        <v>46</v>
      </c>
      <c r="W1722" t="s">
        <v>1362</v>
      </c>
      <c r="X1722" t="s">
        <v>1360</v>
      </c>
      <c r="Y1722" t="s">
        <v>1215</v>
      </c>
      <c r="Z1722" t="s">
        <v>1216</v>
      </c>
      <c r="AA1722" t="s">
        <v>49</v>
      </c>
      <c r="AC1722" s="2"/>
    </row>
    <row r="1723" spans="1:31" hidden="1" x14ac:dyDescent="0.25">
      <c r="A1723" t="s">
        <v>8043</v>
      </c>
      <c r="B1723" t="s">
        <v>8044</v>
      </c>
      <c r="C1723" t="s">
        <v>8044</v>
      </c>
      <c r="F1723" t="s">
        <v>8029</v>
      </c>
      <c r="H1723" t="s">
        <v>2278</v>
      </c>
      <c r="I1723" t="s">
        <v>8031</v>
      </c>
      <c r="J1723" s="2">
        <v>1000</v>
      </c>
      <c r="K1723" s="2">
        <v>0</v>
      </c>
      <c r="L1723" s="2">
        <v>30</v>
      </c>
      <c r="M1723" s="2">
        <v>0</v>
      </c>
      <c r="N1723" t="s">
        <v>2277</v>
      </c>
      <c r="O1723" t="s">
        <v>2278</v>
      </c>
      <c r="P1723" t="s">
        <v>2320</v>
      </c>
      <c r="Q1723" t="s">
        <v>2321</v>
      </c>
      <c r="S1723" t="s">
        <v>8040</v>
      </c>
      <c r="U1723" t="s">
        <v>45</v>
      </c>
      <c r="V1723" t="s">
        <v>46</v>
      </c>
      <c r="W1723" t="s">
        <v>2277</v>
      </c>
      <c r="X1723" t="s">
        <v>2278</v>
      </c>
      <c r="Y1723" t="s">
        <v>258</v>
      </c>
      <c r="Z1723" t="s">
        <v>259</v>
      </c>
      <c r="AA1723" t="s">
        <v>49</v>
      </c>
      <c r="AB1723" t="s">
        <v>50</v>
      </c>
      <c r="AC1723" s="2">
        <v>1000</v>
      </c>
      <c r="AD1723" t="s">
        <v>64</v>
      </c>
    </row>
    <row r="1724" spans="1:31" hidden="1" x14ac:dyDescent="0.25">
      <c r="I1724" t="s">
        <v>8031</v>
      </c>
      <c r="J1724" s="2">
        <v>1000</v>
      </c>
      <c r="K1724" s="2">
        <v>0</v>
      </c>
      <c r="L1724" s="2">
        <v>30</v>
      </c>
      <c r="M1724" s="2">
        <v>0</v>
      </c>
      <c r="S1724" t="s">
        <v>8040</v>
      </c>
      <c r="U1724" t="s">
        <v>45</v>
      </c>
      <c r="V1724" t="s">
        <v>46</v>
      </c>
      <c r="W1724" t="s">
        <v>254</v>
      </c>
      <c r="X1724" t="s">
        <v>255</v>
      </c>
      <c r="Y1724" t="s">
        <v>258</v>
      </c>
      <c r="Z1724" t="s">
        <v>259</v>
      </c>
      <c r="AA1724" t="s">
        <v>49</v>
      </c>
      <c r="AC1724" s="2"/>
    </row>
    <row r="1725" spans="1:31" hidden="1" x14ac:dyDescent="0.25">
      <c r="I1725" t="s">
        <v>8031</v>
      </c>
      <c r="J1725" s="2">
        <v>1000</v>
      </c>
      <c r="K1725" s="2">
        <v>0</v>
      </c>
      <c r="L1725" s="2">
        <v>30</v>
      </c>
      <c r="M1725" s="2">
        <v>0</v>
      </c>
      <c r="S1725" t="s">
        <v>8040</v>
      </c>
      <c r="U1725" t="s">
        <v>45</v>
      </c>
      <c r="V1725" t="s">
        <v>46</v>
      </c>
      <c r="W1725" t="s">
        <v>7705</v>
      </c>
      <c r="X1725" t="s">
        <v>7706</v>
      </c>
      <c r="Y1725" t="s">
        <v>137</v>
      </c>
      <c r="Z1725" t="s">
        <v>717</v>
      </c>
      <c r="AA1725" t="s">
        <v>49</v>
      </c>
      <c r="AC1725" s="2"/>
    </row>
    <row r="1726" spans="1:31" hidden="1" x14ac:dyDescent="0.25">
      <c r="I1726" t="s">
        <v>8031</v>
      </c>
      <c r="J1726" s="2">
        <v>1000</v>
      </c>
      <c r="K1726" s="2">
        <v>0</v>
      </c>
      <c r="L1726" s="2">
        <v>30</v>
      </c>
      <c r="M1726" s="2">
        <v>0</v>
      </c>
      <c r="S1726" t="s">
        <v>8040</v>
      </c>
      <c r="U1726" t="s">
        <v>45</v>
      </c>
      <c r="V1726" t="s">
        <v>46</v>
      </c>
      <c r="W1726" t="s">
        <v>2277</v>
      </c>
      <c r="X1726" t="s">
        <v>2278</v>
      </c>
      <c r="Y1726" t="s">
        <v>137</v>
      </c>
      <c r="Z1726" t="s">
        <v>717</v>
      </c>
      <c r="AA1726" t="s">
        <v>49</v>
      </c>
      <c r="AC1726" s="2"/>
    </row>
    <row r="1727" spans="1:31" x14ac:dyDescent="0.25">
      <c r="A1727" t="s">
        <v>8045</v>
      </c>
      <c r="B1727" t="s">
        <v>8046</v>
      </c>
      <c r="C1727" t="s">
        <v>8046</v>
      </c>
      <c r="D1727" t="s">
        <v>649</v>
      </c>
      <c r="E1727" t="s">
        <v>871</v>
      </c>
      <c r="F1727" t="s">
        <v>8047</v>
      </c>
      <c r="H1727" t="s">
        <v>911</v>
      </c>
      <c r="I1727" t="s">
        <v>8048</v>
      </c>
      <c r="J1727" s="2">
        <v>392706</v>
      </c>
      <c r="K1727" s="2">
        <v>1800</v>
      </c>
      <c r="L1727" s="2">
        <v>30</v>
      </c>
      <c r="M1727" s="2">
        <v>0</v>
      </c>
      <c r="N1727" t="s">
        <v>913</v>
      </c>
      <c r="O1727" t="s">
        <v>914</v>
      </c>
      <c r="P1727" t="s">
        <v>103</v>
      </c>
      <c r="Q1727" t="s">
        <v>104</v>
      </c>
      <c r="S1727" t="s">
        <v>8049</v>
      </c>
      <c r="U1727" t="s">
        <v>45</v>
      </c>
      <c r="V1727" t="s">
        <v>46</v>
      </c>
      <c r="W1727" t="s">
        <v>913</v>
      </c>
      <c r="X1727" t="s">
        <v>914</v>
      </c>
      <c r="Y1727" t="s">
        <v>106</v>
      </c>
      <c r="Z1727" t="s">
        <v>107</v>
      </c>
      <c r="AA1727" t="s">
        <v>49</v>
      </c>
      <c r="AB1727" t="s">
        <v>50</v>
      </c>
      <c r="AC1727" s="2">
        <v>392706</v>
      </c>
      <c r="AD1727" t="s">
        <v>64</v>
      </c>
    </row>
    <row r="1728" spans="1:31" x14ac:dyDescent="0.25">
      <c r="A1728" t="s">
        <v>8050</v>
      </c>
      <c r="B1728" t="s">
        <v>8051</v>
      </c>
      <c r="C1728" t="s">
        <v>8051</v>
      </c>
      <c r="D1728" t="s">
        <v>125</v>
      </c>
      <c r="E1728" t="s">
        <v>126</v>
      </c>
      <c r="F1728" t="s">
        <v>8052</v>
      </c>
      <c r="G1728" t="s">
        <v>153</v>
      </c>
      <c r="H1728" t="s">
        <v>255</v>
      </c>
      <c r="J1728" s="2">
        <v>436340</v>
      </c>
      <c r="K1728" s="2">
        <v>2000</v>
      </c>
      <c r="L1728" s="2">
        <v>15</v>
      </c>
      <c r="M1728" s="2">
        <v>0</v>
      </c>
      <c r="N1728" t="s">
        <v>254</v>
      </c>
      <c r="O1728" t="s">
        <v>255</v>
      </c>
      <c r="P1728" t="s">
        <v>2320</v>
      </c>
      <c r="Q1728" t="s">
        <v>2321</v>
      </c>
      <c r="S1728" t="s">
        <v>8053</v>
      </c>
      <c r="U1728" t="s">
        <v>45</v>
      </c>
      <c r="V1728" t="s">
        <v>46</v>
      </c>
      <c r="W1728" t="s">
        <v>254</v>
      </c>
      <c r="X1728" t="s">
        <v>255</v>
      </c>
      <c r="Y1728" t="s">
        <v>258</v>
      </c>
      <c r="Z1728" t="s">
        <v>259</v>
      </c>
      <c r="AA1728" t="s">
        <v>49</v>
      </c>
      <c r="AB1728" t="s">
        <v>50</v>
      </c>
      <c r="AC1728" s="2">
        <v>60740.93</v>
      </c>
      <c r="AD1728" t="s">
        <v>8054</v>
      </c>
      <c r="AE1728" t="s">
        <v>52</v>
      </c>
    </row>
    <row r="1729" spans="1:31" x14ac:dyDescent="0.25">
      <c r="A1729" t="s">
        <v>8055</v>
      </c>
      <c r="B1729" t="s">
        <v>8056</v>
      </c>
      <c r="C1729" t="s">
        <v>8056</v>
      </c>
      <c r="D1729" t="s">
        <v>125</v>
      </c>
      <c r="E1729" t="s">
        <v>126</v>
      </c>
      <c r="F1729" t="s">
        <v>8057</v>
      </c>
      <c r="G1729" t="s">
        <v>35</v>
      </c>
      <c r="H1729" t="s">
        <v>255</v>
      </c>
      <c r="I1729" t="s">
        <v>8058</v>
      </c>
      <c r="J1729" s="2">
        <v>836246</v>
      </c>
      <c r="K1729" s="2">
        <v>3380</v>
      </c>
      <c r="L1729" s="2">
        <v>15</v>
      </c>
      <c r="M1729" s="2">
        <v>0</v>
      </c>
      <c r="N1729" t="s">
        <v>254</v>
      </c>
      <c r="O1729" t="s">
        <v>255</v>
      </c>
      <c r="P1729" t="s">
        <v>2320</v>
      </c>
      <c r="Q1729" t="s">
        <v>2321</v>
      </c>
      <c r="S1729" t="s">
        <v>8059</v>
      </c>
      <c r="U1729" t="s">
        <v>45</v>
      </c>
      <c r="V1729" t="s">
        <v>46</v>
      </c>
      <c r="W1729" t="s">
        <v>254</v>
      </c>
      <c r="X1729" t="s">
        <v>255</v>
      </c>
      <c r="Y1729" t="s">
        <v>258</v>
      </c>
      <c r="Z1729" t="s">
        <v>259</v>
      </c>
      <c r="AA1729" t="s">
        <v>49</v>
      </c>
      <c r="AB1729" t="s">
        <v>50</v>
      </c>
      <c r="AC1729" s="2">
        <v>-158712.62</v>
      </c>
      <c r="AD1729" t="s">
        <v>8060</v>
      </c>
      <c r="AE1729" t="s">
        <v>52</v>
      </c>
    </row>
    <row r="1730" spans="1:31" hidden="1" x14ac:dyDescent="0.25">
      <c r="A1730" t="s">
        <v>8061</v>
      </c>
      <c r="B1730" t="s">
        <v>8062</v>
      </c>
      <c r="C1730" t="s">
        <v>8062</v>
      </c>
      <c r="D1730" t="s">
        <v>55</v>
      </c>
      <c r="E1730" t="s">
        <v>56</v>
      </c>
      <c r="F1730" t="s">
        <v>8057</v>
      </c>
      <c r="H1730" t="s">
        <v>255</v>
      </c>
      <c r="I1730" t="s">
        <v>8058</v>
      </c>
      <c r="J1730" s="2">
        <v>1000</v>
      </c>
      <c r="K1730" s="2">
        <v>0</v>
      </c>
      <c r="L1730" s="2">
        <v>1</v>
      </c>
      <c r="M1730" s="2">
        <v>0</v>
      </c>
      <c r="N1730" t="s">
        <v>254</v>
      </c>
      <c r="O1730" t="s">
        <v>255</v>
      </c>
      <c r="P1730" t="s">
        <v>2320</v>
      </c>
      <c r="Q1730" t="s">
        <v>2321</v>
      </c>
      <c r="S1730" t="s">
        <v>8059</v>
      </c>
      <c r="U1730" t="s">
        <v>45</v>
      </c>
      <c r="V1730" t="s">
        <v>46</v>
      </c>
      <c r="W1730" t="s">
        <v>254</v>
      </c>
      <c r="X1730" t="s">
        <v>255</v>
      </c>
      <c r="Y1730" t="s">
        <v>258</v>
      </c>
      <c r="Z1730" t="s">
        <v>259</v>
      </c>
      <c r="AA1730" t="s">
        <v>49</v>
      </c>
      <c r="AB1730" t="s">
        <v>50</v>
      </c>
      <c r="AC1730" s="2">
        <v>1000</v>
      </c>
      <c r="AD1730" t="s">
        <v>64</v>
      </c>
    </row>
    <row r="1731" spans="1:31" x14ac:dyDescent="0.25">
      <c r="A1731" t="s">
        <v>8063</v>
      </c>
      <c r="B1731" t="s">
        <v>8064</v>
      </c>
      <c r="C1731" t="s">
        <v>8064</v>
      </c>
      <c r="D1731" t="s">
        <v>125</v>
      </c>
      <c r="E1731" t="s">
        <v>126</v>
      </c>
      <c r="F1731" t="s">
        <v>8057</v>
      </c>
      <c r="G1731" t="s">
        <v>125</v>
      </c>
      <c r="H1731" t="s">
        <v>5110</v>
      </c>
      <c r="I1731" t="s">
        <v>8058</v>
      </c>
      <c r="J1731" s="2">
        <v>525847</v>
      </c>
      <c r="K1731" s="2">
        <v>2163</v>
      </c>
      <c r="L1731" s="2">
        <v>15</v>
      </c>
      <c r="M1731" s="2">
        <v>0</v>
      </c>
      <c r="N1731" t="s">
        <v>5112</v>
      </c>
      <c r="O1731" t="s">
        <v>5110</v>
      </c>
      <c r="P1731" t="s">
        <v>2320</v>
      </c>
      <c r="Q1731" t="s">
        <v>2321</v>
      </c>
      <c r="S1731" t="s">
        <v>8059</v>
      </c>
      <c r="U1731" t="s">
        <v>45</v>
      </c>
      <c r="V1731" t="s">
        <v>46</v>
      </c>
      <c r="W1731" t="s">
        <v>5112</v>
      </c>
      <c r="X1731" t="s">
        <v>5110</v>
      </c>
      <c r="Y1731" t="s">
        <v>137</v>
      </c>
      <c r="Z1731" t="s">
        <v>717</v>
      </c>
      <c r="AA1731" t="s">
        <v>49</v>
      </c>
      <c r="AB1731" t="s">
        <v>50</v>
      </c>
      <c r="AC1731" s="2">
        <v>58206.080000000002</v>
      </c>
      <c r="AD1731" t="s">
        <v>8065</v>
      </c>
      <c r="AE1731" t="s">
        <v>52</v>
      </c>
    </row>
    <row r="1732" spans="1:31" x14ac:dyDescent="0.25">
      <c r="A1732" t="s">
        <v>8066</v>
      </c>
      <c r="B1732" t="s">
        <v>8067</v>
      </c>
      <c r="C1732" t="s">
        <v>8067</v>
      </c>
      <c r="D1732" t="s">
        <v>153</v>
      </c>
      <c r="E1732" t="s">
        <v>272</v>
      </c>
      <c r="F1732" t="s">
        <v>8068</v>
      </c>
      <c r="G1732" t="s">
        <v>153</v>
      </c>
      <c r="H1732" t="s">
        <v>7518</v>
      </c>
      <c r="I1732" t="s">
        <v>8069</v>
      </c>
      <c r="J1732" s="2">
        <v>1309020</v>
      </c>
      <c r="K1732" s="2">
        <v>6000</v>
      </c>
      <c r="L1732" s="2">
        <v>21</v>
      </c>
      <c r="M1732" s="2">
        <v>0</v>
      </c>
      <c r="N1732" t="s">
        <v>7517</v>
      </c>
      <c r="O1732" t="s">
        <v>7518</v>
      </c>
      <c r="P1732" t="s">
        <v>2320</v>
      </c>
      <c r="Q1732" t="s">
        <v>2321</v>
      </c>
      <c r="S1732" t="s">
        <v>8070</v>
      </c>
      <c r="U1732" t="s">
        <v>45</v>
      </c>
      <c r="V1732" t="s">
        <v>46</v>
      </c>
      <c r="W1732" t="s">
        <v>7517</v>
      </c>
      <c r="X1732" t="s">
        <v>7518</v>
      </c>
      <c r="Y1732" t="s">
        <v>1215</v>
      </c>
      <c r="Z1732" t="s">
        <v>1216</v>
      </c>
      <c r="AA1732" t="s">
        <v>49</v>
      </c>
      <c r="AB1732" t="s">
        <v>50</v>
      </c>
      <c r="AC1732" s="2">
        <v>597834.07999999996</v>
      </c>
      <c r="AD1732" t="s">
        <v>8071</v>
      </c>
      <c r="AE1732" t="s">
        <v>52</v>
      </c>
    </row>
    <row r="1733" spans="1:31" x14ac:dyDescent="0.25">
      <c r="A1733" t="s">
        <v>8072</v>
      </c>
      <c r="B1733" t="s">
        <v>8073</v>
      </c>
      <c r="C1733" t="s">
        <v>8073</v>
      </c>
      <c r="D1733" t="s">
        <v>125</v>
      </c>
      <c r="E1733" t="s">
        <v>126</v>
      </c>
      <c r="F1733" t="s">
        <v>8074</v>
      </c>
      <c r="G1733" t="s">
        <v>35</v>
      </c>
      <c r="H1733" t="s">
        <v>8075</v>
      </c>
      <c r="I1733" t="s">
        <v>8069</v>
      </c>
      <c r="J1733" s="2">
        <v>1758303</v>
      </c>
      <c r="K1733" s="2">
        <v>7110</v>
      </c>
      <c r="L1733" s="2">
        <v>21</v>
      </c>
      <c r="M1733" s="2">
        <v>0</v>
      </c>
      <c r="N1733" t="s">
        <v>8076</v>
      </c>
      <c r="O1733" t="s">
        <v>8077</v>
      </c>
      <c r="P1733" t="s">
        <v>2320</v>
      </c>
      <c r="Q1733" t="s">
        <v>2321</v>
      </c>
      <c r="S1733" t="s">
        <v>8078</v>
      </c>
      <c r="U1733" t="s">
        <v>45</v>
      </c>
      <c r="V1733" t="s">
        <v>46</v>
      </c>
      <c r="W1733" t="s">
        <v>8076</v>
      </c>
      <c r="X1733" t="s">
        <v>8079</v>
      </c>
      <c r="Y1733" t="s">
        <v>1215</v>
      </c>
      <c r="Z1733" t="s">
        <v>1216</v>
      </c>
      <c r="AA1733" t="s">
        <v>49</v>
      </c>
      <c r="AB1733" t="s">
        <v>50</v>
      </c>
      <c r="AC1733" s="2">
        <v>-85049.76</v>
      </c>
      <c r="AD1733" t="s">
        <v>8080</v>
      </c>
      <c r="AE1733" t="s">
        <v>52</v>
      </c>
    </row>
    <row r="1734" spans="1:31" x14ac:dyDescent="0.25">
      <c r="A1734" t="s">
        <v>8081</v>
      </c>
      <c r="B1734" t="s">
        <v>8082</v>
      </c>
      <c r="C1734" t="s">
        <v>8082</v>
      </c>
      <c r="D1734" t="s">
        <v>153</v>
      </c>
      <c r="E1734" t="s">
        <v>272</v>
      </c>
      <c r="F1734" t="s">
        <v>8083</v>
      </c>
      <c r="G1734" t="s">
        <v>153</v>
      </c>
      <c r="H1734" t="s">
        <v>7518</v>
      </c>
      <c r="I1734" t="s">
        <v>8069</v>
      </c>
      <c r="J1734" s="2">
        <v>654510</v>
      </c>
      <c r="K1734" s="2">
        <v>3000</v>
      </c>
      <c r="L1734" s="2">
        <v>21</v>
      </c>
      <c r="M1734" s="2">
        <v>0</v>
      </c>
      <c r="N1734" t="s">
        <v>7517</v>
      </c>
      <c r="O1734" t="s">
        <v>7518</v>
      </c>
      <c r="P1734" t="s">
        <v>2320</v>
      </c>
      <c r="Q1734" t="s">
        <v>2321</v>
      </c>
      <c r="S1734" t="s">
        <v>8084</v>
      </c>
      <c r="U1734" t="s">
        <v>45</v>
      </c>
      <c r="V1734" t="s">
        <v>46</v>
      </c>
      <c r="W1734" t="s">
        <v>7517</v>
      </c>
      <c r="X1734" t="s">
        <v>7518</v>
      </c>
      <c r="Y1734" t="s">
        <v>1215</v>
      </c>
      <c r="Z1734" t="s">
        <v>1216</v>
      </c>
      <c r="AA1734" t="s">
        <v>49</v>
      </c>
      <c r="AB1734" t="s">
        <v>50</v>
      </c>
      <c r="AC1734" s="2">
        <v>101237.84</v>
      </c>
      <c r="AD1734" t="s">
        <v>8085</v>
      </c>
      <c r="AE1734" t="s">
        <v>115</v>
      </c>
    </row>
    <row r="1735" spans="1:31" x14ac:dyDescent="0.25">
      <c r="A1735" t="s">
        <v>8086</v>
      </c>
      <c r="B1735" t="s">
        <v>8087</v>
      </c>
      <c r="C1735" t="s">
        <v>8087</v>
      </c>
      <c r="D1735" t="s">
        <v>297</v>
      </c>
      <c r="E1735" t="s">
        <v>167</v>
      </c>
      <c r="F1735" t="s">
        <v>8088</v>
      </c>
      <c r="G1735" t="s">
        <v>297</v>
      </c>
      <c r="H1735" t="s">
        <v>7518</v>
      </c>
      <c r="I1735" t="s">
        <v>8069</v>
      </c>
      <c r="J1735" s="2">
        <v>654510</v>
      </c>
      <c r="K1735" s="2">
        <v>3000</v>
      </c>
      <c r="L1735" s="2">
        <v>21</v>
      </c>
      <c r="M1735" s="2">
        <v>0</v>
      </c>
      <c r="N1735" t="s">
        <v>7517</v>
      </c>
      <c r="O1735" t="s">
        <v>7518</v>
      </c>
      <c r="P1735" t="s">
        <v>2320</v>
      </c>
      <c r="Q1735" t="s">
        <v>2321</v>
      </c>
      <c r="S1735" t="s">
        <v>8089</v>
      </c>
      <c r="U1735" t="s">
        <v>45</v>
      </c>
      <c r="V1735" t="s">
        <v>46</v>
      </c>
      <c r="W1735" t="s">
        <v>7517</v>
      </c>
      <c r="X1735" t="s">
        <v>7518</v>
      </c>
      <c r="Y1735" t="s">
        <v>1215</v>
      </c>
      <c r="Z1735" t="s">
        <v>1216</v>
      </c>
      <c r="AA1735" t="s">
        <v>49</v>
      </c>
      <c r="AB1735" t="s">
        <v>50</v>
      </c>
      <c r="AC1735" s="2">
        <v>343110.95</v>
      </c>
      <c r="AD1735" t="s">
        <v>8090</v>
      </c>
      <c r="AE1735" t="s">
        <v>115</v>
      </c>
    </row>
    <row r="1736" spans="1:31" x14ac:dyDescent="0.25">
      <c r="A1736" t="s">
        <v>8091</v>
      </c>
      <c r="B1736" t="s">
        <v>8092</v>
      </c>
      <c r="C1736" t="s">
        <v>8092</v>
      </c>
      <c r="D1736" t="s">
        <v>125</v>
      </c>
      <c r="E1736" t="s">
        <v>126</v>
      </c>
      <c r="F1736" t="s">
        <v>8093</v>
      </c>
      <c r="G1736" t="s">
        <v>35</v>
      </c>
      <c r="H1736" t="s">
        <v>4795</v>
      </c>
      <c r="I1736" t="s">
        <v>8069</v>
      </c>
      <c r="J1736" s="2">
        <v>2197755</v>
      </c>
      <c r="K1736" s="2">
        <v>8887</v>
      </c>
      <c r="L1736" s="2">
        <v>21</v>
      </c>
      <c r="M1736" s="2">
        <v>0</v>
      </c>
      <c r="N1736" t="s">
        <v>4797</v>
      </c>
      <c r="O1736" t="s">
        <v>4798</v>
      </c>
      <c r="P1736" t="s">
        <v>2320</v>
      </c>
      <c r="Q1736" t="s">
        <v>2321</v>
      </c>
      <c r="S1736" t="s">
        <v>8094</v>
      </c>
      <c r="U1736" t="s">
        <v>45</v>
      </c>
      <c r="V1736" t="s">
        <v>46</v>
      </c>
      <c r="W1736" t="s">
        <v>4797</v>
      </c>
      <c r="X1736" t="s">
        <v>4798</v>
      </c>
      <c r="Y1736" t="s">
        <v>1215</v>
      </c>
      <c r="Z1736" t="s">
        <v>1216</v>
      </c>
      <c r="AA1736" t="s">
        <v>49</v>
      </c>
      <c r="AB1736" t="s">
        <v>50</v>
      </c>
      <c r="AC1736" s="2">
        <v>228919.84</v>
      </c>
      <c r="AD1736" t="s">
        <v>8095</v>
      </c>
      <c r="AE1736" t="s">
        <v>115</v>
      </c>
    </row>
    <row r="1737" spans="1:31" x14ac:dyDescent="0.25">
      <c r="A1737" t="s">
        <v>8096</v>
      </c>
      <c r="B1737" t="s">
        <v>8097</v>
      </c>
      <c r="C1737" t="s">
        <v>8097</v>
      </c>
      <c r="D1737" t="s">
        <v>519</v>
      </c>
      <c r="E1737" t="s">
        <v>77</v>
      </c>
      <c r="F1737" t="s">
        <v>8098</v>
      </c>
      <c r="H1737" t="s">
        <v>8099</v>
      </c>
      <c r="J1737" s="2">
        <v>780</v>
      </c>
      <c r="K1737" s="2">
        <v>0</v>
      </c>
      <c r="L1737" s="2">
        <v>30</v>
      </c>
      <c r="M1737" s="2">
        <v>0</v>
      </c>
      <c r="N1737" t="s">
        <v>8100</v>
      </c>
      <c r="O1737" t="s">
        <v>8101</v>
      </c>
      <c r="P1737" t="s">
        <v>4853</v>
      </c>
      <c r="Q1737" t="s">
        <v>4854</v>
      </c>
      <c r="S1737" t="s">
        <v>8102</v>
      </c>
      <c r="U1737" t="s">
        <v>45</v>
      </c>
      <c r="V1737" t="s">
        <v>46</v>
      </c>
      <c r="W1737" t="s">
        <v>8100</v>
      </c>
      <c r="X1737" t="s">
        <v>8101</v>
      </c>
      <c r="Y1737" t="s">
        <v>4854</v>
      </c>
      <c r="Z1737" t="s">
        <v>72</v>
      </c>
      <c r="AA1737" t="s">
        <v>49</v>
      </c>
      <c r="AB1737" t="s">
        <v>50</v>
      </c>
      <c r="AC1737" s="2">
        <v>780</v>
      </c>
      <c r="AD1737" t="s">
        <v>64</v>
      </c>
    </row>
    <row r="1738" spans="1:31" x14ac:dyDescent="0.25">
      <c r="A1738" t="s">
        <v>8103</v>
      </c>
      <c r="B1738" t="s">
        <v>8104</v>
      </c>
      <c r="C1738" t="s">
        <v>8104</v>
      </c>
      <c r="D1738" t="s">
        <v>1846</v>
      </c>
      <c r="E1738" t="s">
        <v>134</v>
      </c>
      <c r="F1738" t="s">
        <v>8105</v>
      </c>
      <c r="G1738" t="s">
        <v>76</v>
      </c>
      <c r="H1738" t="s">
        <v>665</v>
      </c>
      <c r="J1738" s="2">
        <v>109085</v>
      </c>
      <c r="K1738" s="2">
        <v>500</v>
      </c>
      <c r="L1738" s="2">
        <v>15</v>
      </c>
      <c r="M1738" s="2">
        <v>0</v>
      </c>
      <c r="N1738" t="s">
        <v>664</v>
      </c>
      <c r="O1738" t="s">
        <v>665</v>
      </c>
      <c r="P1738" t="s">
        <v>103</v>
      </c>
      <c r="Q1738" t="s">
        <v>104</v>
      </c>
      <c r="S1738" t="s">
        <v>8106</v>
      </c>
      <c r="U1738" t="s">
        <v>45</v>
      </c>
      <c r="V1738" t="s">
        <v>46</v>
      </c>
      <c r="W1738" t="s">
        <v>1592</v>
      </c>
      <c r="X1738" t="s">
        <v>280</v>
      </c>
      <c r="Y1738" t="s">
        <v>106</v>
      </c>
      <c r="Z1738" t="s">
        <v>107</v>
      </c>
      <c r="AA1738" t="s">
        <v>49</v>
      </c>
      <c r="AB1738" t="s">
        <v>50</v>
      </c>
      <c r="AC1738" s="2">
        <v>109085</v>
      </c>
      <c r="AD1738" t="s">
        <v>64</v>
      </c>
    </row>
    <row r="1739" spans="1:31" x14ac:dyDescent="0.25">
      <c r="A1739" t="s">
        <v>8107</v>
      </c>
      <c r="B1739" t="s">
        <v>8108</v>
      </c>
      <c r="C1739" t="s">
        <v>8108</v>
      </c>
      <c r="D1739" t="s">
        <v>178</v>
      </c>
      <c r="E1739" t="s">
        <v>179</v>
      </c>
      <c r="F1739" t="s">
        <v>8109</v>
      </c>
      <c r="G1739" t="s">
        <v>344</v>
      </c>
      <c r="H1739" t="s">
        <v>280</v>
      </c>
      <c r="J1739" s="2">
        <v>447920</v>
      </c>
      <c r="K1739" s="2">
        <v>2000</v>
      </c>
      <c r="L1739" s="2">
        <v>21</v>
      </c>
      <c r="M1739" s="2">
        <v>0</v>
      </c>
      <c r="N1739" t="s">
        <v>1592</v>
      </c>
      <c r="O1739" t="s">
        <v>280</v>
      </c>
      <c r="P1739" t="s">
        <v>103</v>
      </c>
      <c r="Q1739" t="s">
        <v>104</v>
      </c>
      <c r="S1739" t="s">
        <v>8106</v>
      </c>
      <c r="U1739" t="s">
        <v>45</v>
      </c>
      <c r="V1739" t="s">
        <v>46</v>
      </c>
      <c r="W1739" t="s">
        <v>1592</v>
      </c>
      <c r="X1739" t="s">
        <v>280</v>
      </c>
      <c r="Y1739" t="s">
        <v>279</v>
      </c>
      <c r="Z1739" t="s">
        <v>280</v>
      </c>
      <c r="AA1739" t="s">
        <v>49</v>
      </c>
      <c r="AB1739" t="s">
        <v>50</v>
      </c>
      <c r="AC1739" s="2">
        <v>237787.68</v>
      </c>
      <c r="AD1739" t="s">
        <v>8110</v>
      </c>
      <c r="AE1739" t="s">
        <v>52</v>
      </c>
    </row>
    <row r="1740" spans="1:31" x14ac:dyDescent="0.25">
      <c r="A1740" t="s">
        <v>8111</v>
      </c>
      <c r="B1740" t="s">
        <v>8112</v>
      </c>
      <c r="C1740" t="s">
        <v>8112</v>
      </c>
      <c r="D1740" t="s">
        <v>125</v>
      </c>
      <c r="E1740" t="s">
        <v>126</v>
      </c>
      <c r="F1740" t="s">
        <v>8113</v>
      </c>
      <c r="G1740" t="s">
        <v>35</v>
      </c>
      <c r="H1740" t="s">
        <v>914</v>
      </c>
      <c r="I1740" t="s">
        <v>8114</v>
      </c>
      <c r="J1740" s="2">
        <v>1090850</v>
      </c>
      <c r="K1740" s="2">
        <v>5000</v>
      </c>
      <c r="L1740" s="2">
        <v>30</v>
      </c>
      <c r="M1740" s="2">
        <v>0</v>
      </c>
      <c r="N1740" t="s">
        <v>913</v>
      </c>
      <c r="O1740" t="s">
        <v>914</v>
      </c>
      <c r="P1740" t="s">
        <v>103</v>
      </c>
      <c r="Q1740" t="s">
        <v>104</v>
      </c>
      <c r="S1740" t="s">
        <v>8115</v>
      </c>
      <c r="U1740" t="s">
        <v>45</v>
      </c>
      <c r="V1740" t="s">
        <v>46</v>
      </c>
      <c r="W1740" t="s">
        <v>913</v>
      </c>
      <c r="X1740" t="s">
        <v>914</v>
      </c>
      <c r="Y1740" t="s">
        <v>106</v>
      </c>
      <c r="Z1740" t="s">
        <v>107</v>
      </c>
      <c r="AA1740" t="s">
        <v>49</v>
      </c>
      <c r="AB1740" t="s">
        <v>50</v>
      </c>
      <c r="AC1740" s="2">
        <v>815841.23</v>
      </c>
      <c r="AD1740" t="s">
        <v>8116</v>
      </c>
      <c r="AE1740" t="s">
        <v>52</v>
      </c>
    </row>
    <row r="1741" spans="1:31" x14ac:dyDescent="0.25">
      <c r="A1741" t="s">
        <v>8117</v>
      </c>
      <c r="B1741" t="s">
        <v>8118</v>
      </c>
      <c r="C1741" t="s">
        <v>8118</v>
      </c>
      <c r="D1741" t="s">
        <v>153</v>
      </c>
      <c r="E1741" t="s">
        <v>272</v>
      </c>
      <c r="F1741" t="s">
        <v>8119</v>
      </c>
      <c r="G1741" t="s">
        <v>792</v>
      </c>
      <c r="H1741" t="s">
        <v>6519</v>
      </c>
      <c r="J1741" s="2">
        <v>951000</v>
      </c>
      <c r="K1741" s="2">
        <v>4000</v>
      </c>
      <c r="L1741" s="2">
        <v>30</v>
      </c>
      <c r="M1741" s="2">
        <v>0</v>
      </c>
      <c r="N1741" t="s">
        <v>5201</v>
      </c>
      <c r="O1741" t="s">
        <v>5202</v>
      </c>
      <c r="P1741" t="s">
        <v>4853</v>
      </c>
      <c r="Q1741" t="s">
        <v>4854</v>
      </c>
      <c r="S1741" t="s">
        <v>8120</v>
      </c>
      <c r="U1741" t="s">
        <v>45</v>
      </c>
      <c r="V1741" t="s">
        <v>46</v>
      </c>
      <c r="W1741" t="s">
        <v>5201</v>
      </c>
      <c r="X1741" t="s">
        <v>5202</v>
      </c>
      <c r="Y1741" t="s">
        <v>4854</v>
      </c>
      <c r="Z1741" t="s">
        <v>72</v>
      </c>
      <c r="AA1741" t="s">
        <v>49</v>
      </c>
      <c r="AB1741" t="s">
        <v>50</v>
      </c>
      <c r="AC1741" s="2">
        <v>277565.27</v>
      </c>
      <c r="AD1741" t="s">
        <v>8121</v>
      </c>
      <c r="AE1741" t="s">
        <v>52</v>
      </c>
    </row>
    <row r="1742" spans="1:31" hidden="1" x14ac:dyDescent="0.25">
      <c r="A1742" s="10" t="s">
        <v>8122</v>
      </c>
      <c r="B1742" s="10" t="s">
        <v>8123</v>
      </c>
      <c r="C1742" t="s">
        <v>8123</v>
      </c>
      <c r="D1742" t="s">
        <v>55</v>
      </c>
      <c r="E1742" t="s">
        <v>56</v>
      </c>
      <c r="F1742" t="s">
        <v>8124</v>
      </c>
      <c r="H1742" t="s">
        <v>41</v>
      </c>
      <c r="J1742" s="2">
        <v>1000</v>
      </c>
      <c r="K1742" s="2">
        <v>4.33</v>
      </c>
      <c r="L1742" s="2">
        <v>1</v>
      </c>
      <c r="M1742" s="2">
        <v>0</v>
      </c>
      <c r="N1742" t="s">
        <v>40</v>
      </c>
      <c r="O1742" t="s">
        <v>41</v>
      </c>
      <c r="P1742" t="s">
        <v>61</v>
      </c>
      <c r="Q1742" t="s">
        <v>62</v>
      </c>
      <c r="S1742" t="s">
        <v>8125</v>
      </c>
      <c r="U1742" t="s">
        <v>45</v>
      </c>
      <c r="V1742" t="s">
        <v>46</v>
      </c>
      <c r="W1742" t="s">
        <v>40</v>
      </c>
      <c r="X1742" t="s">
        <v>41</v>
      </c>
      <c r="Y1742" t="s">
        <v>47</v>
      </c>
      <c r="Z1742" t="s">
        <v>48</v>
      </c>
      <c r="AA1742" t="s">
        <v>49</v>
      </c>
      <c r="AB1742" t="s">
        <v>142</v>
      </c>
      <c r="AC1742" s="2">
        <v>1000</v>
      </c>
      <c r="AD1742" t="s">
        <v>64</v>
      </c>
    </row>
    <row r="1743" spans="1:31" x14ac:dyDescent="0.25">
      <c r="A1743" t="s">
        <v>8126</v>
      </c>
      <c r="B1743" t="s">
        <v>8127</v>
      </c>
      <c r="C1743" t="s">
        <v>8127</v>
      </c>
      <c r="D1743" t="s">
        <v>3192</v>
      </c>
      <c r="E1743" t="s">
        <v>224</v>
      </c>
      <c r="F1743" t="s">
        <v>8128</v>
      </c>
      <c r="G1743" t="s">
        <v>2286</v>
      </c>
      <c r="H1743" t="s">
        <v>1360</v>
      </c>
      <c r="J1743" s="2">
        <v>109085</v>
      </c>
      <c r="K1743" s="2">
        <v>500</v>
      </c>
      <c r="L1743" s="2">
        <v>15</v>
      </c>
      <c r="M1743" s="2">
        <v>0</v>
      </c>
      <c r="N1743" t="s">
        <v>1362</v>
      </c>
      <c r="O1743" t="s">
        <v>1360</v>
      </c>
      <c r="P1743" t="s">
        <v>1421</v>
      </c>
      <c r="Q1743" t="s">
        <v>1422</v>
      </c>
      <c r="S1743" t="s">
        <v>8129</v>
      </c>
      <c r="U1743" t="s">
        <v>45</v>
      </c>
      <c r="V1743" t="s">
        <v>46</v>
      </c>
      <c r="W1743" t="s">
        <v>1362</v>
      </c>
      <c r="X1743" t="s">
        <v>1360</v>
      </c>
      <c r="Y1743" t="s">
        <v>1215</v>
      </c>
      <c r="Z1743" t="s">
        <v>1216</v>
      </c>
      <c r="AA1743" t="s">
        <v>49</v>
      </c>
      <c r="AB1743" t="s">
        <v>50</v>
      </c>
      <c r="AC1743" s="2">
        <v>109085</v>
      </c>
      <c r="AD1743" t="s">
        <v>64</v>
      </c>
    </row>
    <row r="1744" spans="1:31" x14ac:dyDescent="0.25">
      <c r="A1744" t="s">
        <v>8130</v>
      </c>
      <c r="B1744" t="s">
        <v>8131</v>
      </c>
      <c r="C1744" t="s">
        <v>8131</v>
      </c>
      <c r="D1744" t="s">
        <v>569</v>
      </c>
      <c r="E1744" t="s">
        <v>570</v>
      </c>
      <c r="F1744" t="s">
        <v>8132</v>
      </c>
      <c r="G1744" t="s">
        <v>1865</v>
      </c>
      <c r="H1744" t="s">
        <v>8133</v>
      </c>
      <c r="I1744" t="s">
        <v>8134</v>
      </c>
      <c r="J1744" s="2">
        <v>141811</v>
      </c>
      <c r="K1744" s="2">
        <v>650</v>
      </c>
      <c r="L1744" s="2">
        <v>21</v>
      </c>
      <c r="M1744" s="2">
        <v>0</v>
      </c>
      <c r="N1744" t="s">
        <v>7837</v>
      </c>
      <c r="O1744" t="s">
        <v>7838</v>
      </c>
      <c r="P1744" t="s">
        <v>3487</v>
      </c>
      <c r="Q1744" t="s">
        <v>3488</v>
      </c>
      <c r="S1744" t="s">
        <v>8135</v>
      </c>
      <c r="U1744" t="s">
        <v>45</v>
      </c>
      <c r="V1744" t="s">
        <v>46</v>
      </c>
      <c r="W1744" t="s">
        <v>7837</v>
      </c>
      <c r="X1744" t="s">
        <v>7838</v>
      </c>
      <c r="Y1744" t="s">
        <v>79</v>
      </c>
      <c r="Z1744" t="s">
        <v>94</v>
      </c>
      <c r="AA1744" t="s">
        <v>49</v>
      </c>
      <c r="AB1744" t="s">
        <v>50</v>
      </c>
      <c r="AC1744" s="2">
        <v>126084.27</v>
      </c>
      <c r="AD1744" t="s">
        <v>8136</v>
      </c>
    </row>
    <row r="1745" spans="1:31" x14ac:dyDescent="0.25">
      <c r="A1745" t="s">
        <v>8137</v>
      </c>
      <c r="B1745" t="s">
        <v>8138</v>
      </c>
      <c r="C1745" t="s">
        <v>8138</v>
      </c>
      <c r="D1745" t="s">
        <v>35</v>
      </c>
      <c r="E1745" t="s">
        <v>36</v>
      </c>
      <c r="F1745" t="s">
        <v>8139</v>
      </c>
      <c r="G1745" t="s">
        <v>35</v>
      </c>
      <c r="H1745" t="s">
        <v>6519</v>
      </c>
      <c r="J1745" s="2">
        <v>436340</v>
      </c>
      <c r="K1745" s="2">
        <v>2000</v>
      </c>
      <c r="L1745" s="2">
        <v>30</v>
      </c>
      <c r="M1745" s="2">
        <v>0</v>
      </c>
      <c r="N1745" t="s">
        <v>5201</v>
      </c>
      <c r="O1745" t="s">
        <v>5202</v>
      </c>
      <c r="P1745" t="s">
        <v>4853</v>
      </c>
      <c r="Q1745" t="s">
        <v>4854</v>
      </c>
      <c r="S1745" t="s">
        <v>8140</v>
      </c>
      <c r="U1745" t="s">
        <v>45</v>
      </c>
      <c r="V1745" t="s">
        <v>46</v>
      </c>
      <c r="W1745" t="s">
        <v>5201</v>
      </c>
      <c r="X1745" t="s">
        <v>5202</v>
      </c>
      <c r="Y1745" t="s">
        <v>4854</v>
      </c>
      <c r="Z1745" t="s">
        <v>72</v>
      </c>
      <c r="AA1745" t="s">
        <v>49</v>
      </c>
      <c r="AB1745" t="s">
        <v>50</v>
      </c>
      <c r="AC1745" s="2">
        <v>288108.15999999997</v>
      </c>
      <c r="AD1745" t="s">
        <v>8141</v>
      </c>
      <c r="AE1745" t="s">
        <v>52</v>
      </c>
    </row>
    <row r="1746" spans="1:31" x14ac:dyDescent="0.25">
      <c r="A1746" t="s">
        <v>8142</v>
      </c>
      <c r="B1746" t="s">
        <v>8143</v>
      </c>
      <c r="C1746" t="s">
        <v>8143</v>
      </c>
      <c r="D1746" t="s">
        <v>299</v>
      </c>
      <c r="E1746" t="s">
        <v>167</v>
      </c>
      <c r="F1746" t="s">
        <v>8144</v>
      </c>
      <c r="G1746" t="s">
        <v>299</v>
      </c>
      <c r="H1746" t="s">
        <v>8145</v>
      </c>
      <c r="J1746" s="2">
        <v>87268</v>
      </c>
      <c r="K1746" s="2">
        <v>400</v>
      </c>
      <c r="L1746" s="2">
        <v>15</v>
      </c>
      <c r="M1746" s="2">
        <v>0</v>
      </c>
      <c r="N1746" t="s">
        <v>753</v>
      </c>
      <c r="O1746" t="s">
        <v>754</v>
      </c>
      <c r="P1746" t="s">
        <v>61</v>
      </c>
      <c r="Q1746" t="s">
        <v>62</v>
      </c>
      <c r="S1746" t="s">
        <v>8146</v>
      </c>
      <c r="U1746" t="s">
        <v>45</v>
      </c>
      <c r="V1746" t="s">
        <v>46</v>
      </c>
      <c r="W1746" t="s">
        <v>753</v>
      </c>
      <c r="X1746" t="s">
        <v>754</v>
      </c>
      <c r="Y1746" t="s">
        <v>47</v>
      </c>
      <c r="Z1746" t="s">
        <v>48</v>
      </c>
      <c r="AA1746" t="s">
        <v>49</v>
      </c>
      <c r="AB1746" t="s">
        <v>50</v>
      </c>
      <c r="AC1746" s="2">
        <v>70152.460000000006</v>
      </c>
      <c r="AD1746" t="s">
        <v>8147</v>
      </c>
      <c r="AE1746" t="s">
        <v>52</v>
      </c>
    </row>
    <row r="1747" spans="1:31" x14ac:dyDescent="0.25">
      <c r="A1747" t="s">
        <v>8148</v>
      </c>
      <c r="B1747" t="s">
        <v>8149</v>
      </c>
      <c r="C1747" t="s">
        <v>8149</v>
      </c>
      <c r="D1747" t="s">
        <v>178</v>
      </c>
      <c r="E1747" t="s">
        <v>179</v>
      </c>
      <c r="F1747" t="s">
        <v>8150</v>
      </c>
      <c r="G1747" t="s">
        <v>178</v>
      </c>
      <c r="H1747" t="s">
        <v>277</v>
      </c>
      <c r="I1747" t="s">
        <v>8151</v>
      </c>
      <c r="J1747" s="2">
        <v>1090850</v>
      </c>
      <c r="K1747" s="2">
        <v>5000</v>
      </c>
      <c r="L1747" s="2">
        <v>30</v>
      </c>
      <c r="M1747" s="2">
        <v>0</v>
      </c>
      <c r="N1747" t="s">
        <v>276</v>
      </c>
      <c r="O1747" t="s">
        <v>277</v>
      </c>
      <c r="P1747" t="s">
        <v>103</v>
      </c>
      <c r="Q1747" t="s">
        <v>104</v>
      </c>
      <c r="S1747" t="s">
        <v>8152</v>
      </c>
      <c r="U1747" t="s">
        <v>45</v>
      </c>
      <c r="V1747" t="s">
        <v>46</v>
      </c>
      <c r="W1747" t="s">
        <v>276</v>
      </c>
      <c r="X1747" t="s">
        <v>277</v>
      </c>
      <c r="Y1747" t="s">
        <v>279</v>
      </c>
      <c r="Z1747" t="s">
        <v>280</v>
      </c>
      <c r="AA1747" t="s">
        <v>49</v>
      </c>
      <c r="AB1747" t="s">
        <v>50</v>
      </c>
      <c r="AC1747" s="2">
        <v>839541.56</v>
      </c>
      <c r="AD1747" t="s">
        <v>8153</v>
      </c>
      <c r="AE1747" t="s">
        <v>52</v>
      </c>
    </row>
    <row r="1748" spans="1:31" x14ac:dyDescent="0.25">
      <c r="A1748" t="s">
        <v>8154</v>
      </c>
      <c r="B1748" t="s">
        <v>8155</v>
      </c>
      <c r="C1748" t="s">
        <v>8155</v>
      </c>
      <c r="D1748" t="s">
        <v>125</v>
      </c>
      <c r="E1748" t="s">
        <v>126</v>
      </c>
      <c r="F1748" t="s">
        <v>8156</v>
      </c>
      <c r="G1748" t="s">
        <v>178</v>
      </c>
      <c r="H1748" t="s">
        <v>861</v>
      </c>
      <c r="I1748" t="s">
        <v>8157</v>
      </c>
      <c r="J1748" s="2">
        <v>1309020</v>
      </c>
      <c r="K1748" s="2">
        <v>6000</v>
      </c>
      <c r="L1748" s="2">
        <v>30</v>
      </c>
      <c r="M1748" s="2">
        <v>0</v>
      </c>
      <c r="N1748" t="s">
        <v>860</v>
      </c>
      <c r="O1748" t="s">
        <v>861</v>
      </c>
      <c r="P1748" t="s">
        <v>103</v>
      </c>
      <c r="Q1748" t="s">
        <v>104</v>
      </c>
      <c r="S1748" t="s">
        <v>8158</v>
      </c>
      <c r="U1748" t="s">
        <v>45</v>
      </c>
      <c r="V1748" t="s">
        <v>46</v>
      </c>
      <c r="W1748" t="s">
        <v>860</v>
      </c>
      <c r="X1748" t="s">
        <v>861</v>
      </c>
      <c r="Y1748" t="s">
        <v>106</v>
      </c>
      <c r="Z1748" t="s">
        <v>107</v>
      </c>
      <c r="AA1748" t="s">
        <v>49</v>
      </c>
      <c r="AB1748" t="s">
        <v>50</v>
      </c>
      <c r="AC1748" s="2">
        <v>826883.28</v>
      </c>
      <c r="AD1748" t="s">
        <v>8159</v>
      </c>
      <c r="AE1748" t="s">
        <v>52</v>
      </c>
    </row>
    <row r="1749" spans="1:31" x14ac:dyDescent="0.25">
      <c r="A1749" t="s">
        <v>8160</v>
      </c>
      <c r="B1749" t="s">
        <v>8161</v>
      </c>
      <c r="C1749" t="s">
        <v>8161</v>
      </c>
      <c r="D1749" t="s">
        <v>125</v>
      </c>
      <c r="E1749" t="s">
        <v>126</v>
      </c>
      <c r="F1749" t="s">
        <v>8162</v>
      </c>
      <c r="G1749" t="s">
        <v>153</v>
      </c>
      <c r="H1749" t="s">
        <v>277</v>
      </c>
      <c r="I1749" t="s">
        <v>8163</v>
      </c>
      <c r="J1749" s="2">
        <v>1745360</v>
      </c>
      <c r="K1749" s="2">
        <v>8000</v>
      </c>
      <c r="L1749" s="2">
        <v>30</v>
      </c>
      <c r="M1749" s="2">
        <v>0</v>
      </c>
      <c r="N1749" t="s">
        <v>276</v>
      </c>
      <c r="O1749" t="s">
        <v>277</v>
      </c>
      <c r="P1749" t="s">
        <v>103</v>
      </c>
      <c r="Q1749" t="s">
        <v>104</v>
      </c>
      <c r="S1749" t="s">
        <v>8164</v>
      </c>
      <c r="U1749" t="s">
        <v>45</v>
      </c>
      <c r="V1749" t="s">
        <v>46</v>
      </c>
      <c r="W1749" t="s">
        <v>276</v>
      </c>
      <c r="X1749" t="s">
        <v>277</v>
      </c>
      <c r="Y1749" t="s">
        <v>279</v>
      </c>
      <c r="Z1749" t="s">
        <v>280</v>
      </c>
      <c r="AA1749" t="s">
        <v>49</v>
      </c>
      <c r="AB1749" t="s">
        <v>50</v>
      </c>
      <c r="AC1749" s="2">
        <v>927689.32</v>
      </c>
      <c r="AD1749" t="s">
        <v>8165</v>
      </c>
      <c r="AE1749" t="s">
        <v>52</v>
      </c>
    </row>
    <row r="1750" spans="1:31" x14ac:dyDescent="0.25">
      <c r="A1750" t="s">
        <v>8166</v>
      </c>
      <c r="B1750" t="s">
        <v>8167</v>
      </c>
      <c r="C1750" t="s">
        <v>8167</v>
      </c>
      <c r="D1750" t="s">
        <v>125</v>
      </c>
      <c r="E1750" t="s">
        <v>126</v>
      </c>
      <c r="F1750" t="s">
        <v>8168</v>
      </c>
      <c r="G1750" t="s">
        <v>35</v>
      </c>
      <c r="H1750" t="s">
        <v>280</v>
      </c>
      <c r="I1750" t="s">
        <v>2370</v>
      </c>
      <c r="J1750" s="2">
        <v>4363400</v>
      </c>
      <c r="K1750" s="2">
        <v>20000</v>
      </c>
      <c r="L1750" s="2">
        <v>30</v>
      </c>
      <c r="M1750" s="2">
        <v>0</v>
      </c>
      <c r="N1750" t="s">
        <v>1592</v>
      </c>
      <c r="O1750" t="s">
        <v>280</v>
      </c>
      <c r="P1750" t="s">
        <v>103</v>
      </c>
      <c r="Q1750" t="s">
        <v>104</v>
      </c>
      <c r="S1750" t="s">
        <v>8169</v>
      </c>
      <c r="U1750" t="s">
        <v>45</v>
      </c>
      <c r="V1750" t="s">
        <v>46</v>
      </c>
      <c r="W1750" t="s">
        <v>1592</v>
      </c>
      <c r="X1750" t="s">
        <v>280</v>
      </c>
      <c r="Y1750" t="s">
        <v>279</v>
      </c>
      <c r="Z1750" t="s">
        <v>280</v>
      </c>
      <c r="AA1750" t="s">
        <v>49</v>
      </c>
      <c r="AB1750" t="s">
        <v>50</v>
      </c>
      <c r="AC1750" s="2">
        <v>3698637.01</v>
      </c>
      <c r="AD1750" t="s">
        <v>8170</v>
      </c>
      <c r="AE1750" t="s">
        <v>115</v>
      </c>
    </row>
    <row r="1751" spans="1:31" x14ac:dyDescent="0.25">
      <c r="A1751" t="s">
        <v>8171</v>
      </c>
      <c r="B1751" t="s">
        <v>8172</v>
      </c>
      <c r="C1751" t="s">
        <v>8172</v>
      </c>
      <c r="D1751" t="s">
        <v>153</v>
      </c>
      <c r="E1751" t="s">
        <v>272</v>
      </c>
      <c r="F1751" t="s">
        <v>8173</v>
      </c>
      <c r="G1751" t="s">
        <v>153</v>
      </c>
      <c r="H1751" t="s">
        <v>277</v>
      </c>
      <c r="I1751" t="s">
        <v>8174</v>
      </c>
      <c r="J1751" s="2">
        <v>1346280</v>
      </c>
      <c r="K1751" s="2">
        <v>6000</v>
      </c>
      <c r="L1751" s="2">
        <v>30</v>
      </c>
      <c r="M1751" s="2">
        <v>0</v>
      </c>
      <c r="N1751" t="s">
        <v>276</v>
      </c>
      <c r="O1751" t="s">
        <v>277</v>
      </c>
      <c r="P1751" t="s">
        <v>103</v>
      </c>
      <c r="Q1751" t="s">
        <v>104</v>
      </c>
      <c r="S1751" t="s">
        <v>8175</v>
      </c>
      <c r="U1751" t="s">
        <v>45</v>
      </c>
      <c r="V1751" t="s">
        <v>46</v>
      </c>
      <c r="W1751" t="s">
        <v>276</v>
      </c>
      <c r="X1751" t="s">
        <v>277</v>
      </c>
      <c r="Y1751" t="s">
        <v>279</v>
      </c>
      <c r="Z1751" t="s">
        <v>280</v>
      </c>
      <c r="AA1751" t="s">
        <v>49</v>
      </c>
      <c r="AB1751" t="s">
        <v>50</v>
      </c>
      <c r="AC1751" s="2">
        <v>671930.41</v>
      </c>
      <c r="AD1751" t="s">
        <v>8176</v>
      </c>
      <c r="AE1751" t="s">
        <v>52</v>
      </c>
    </row>
    <row r="1752" spans="1:31" x14ac:dyDescent="0.25">
      <c r="A1752" t="s">
        <v>8177</v>
      </c>
      <c r="B1752" t="s">
        <v>8178</v>
      </c>
      <c r="C1752" t="s">
        <v>8178</v>
      </c>
      <c r="D1752" t="s">
        <v>125</v>
      </c>
      <c r="E1752" t="s">
        <v>126</v>
      </c>
      <c r="F1752" t="s">
        <v>8179</v>
      </c>
      <c r="G1752" t="s">
        <v>125</v>
      </c>
      <c r="H1752" t="s">
        <v>7835</v>
      </c>
      <c r="J1752" s="2">
        <v>109085</v>
      </c>
      <c r="K1752" s="2">
        <v>500</v>
      </c>
      <c r="L1752" s="2">
        <v>21</v>
      </c>
      <c r="M1752" s="2">
        <v>0</v>
      </c>
      <c r="N1752" t="s">
        <v>7837</v>
      </c>
      <c r="O1752" t="s">
        <v>7838</v>
      </c>
      <c r="P1752" t="s">
        <v>3487</v>
      </c>
      <c r="Q1752" t="s">
        <v>3488</v>
      </c>
      <c r="S1752" t="s">
        <v>8180</v>
      </c>
      <c r="U1752" t="s">
        <v>45</v>
      </c>
      <c r="V1752" t="s">
        <v>46</v>
      </c>
      <c r="W1752" t="s">
        <v>7837</v>
      </c>
      <c r="X1752" t="s">
        <v>7838</v>
      </c>
      <c r="Y1752" t="s">
        <v>79</v>
      </c>
      <c r="Z1752" t="s">
        <v>94</v>
      </c>
      <c r="AA1752" t="s">
        <v>49</v>
      </c>
      <c r="AB1752" t="s">
        <v>50</v>
      </c>
      <c r="AC1752" s="2">
        <v>67984.25</v>
      </c>
      <c r="AD1752" t="s">
        <v>8181</v>
      </c>
      <c r="AE1752" t="s">
        <v>52</v>
      </c>
    </row>
    <row r="1753" spans="1:31" x14ac:dyDescent="0.25">
      <c r="A1753" t="s">
        <v>8182</v>
      </c>
      <c r="B1753" t="s">
        <v>8183</v>
      </c>
      <c r="C1753" t="s">
        <v>8183</v>
      </c>
      <c r="D1753" t="s">
        <v>125</v>
      </c>
      <c r="E1753" t="s">
        <v>126</v>
      </c>
      <c r="F1753" t="s">
        <v>8184</v>
      </c>
      <c r="G1753" t="s">
        <v>153</v>
      </c>
      <c r="H1753" t="s">
        <v>277</v>
      </c>
      <c r="I1753" t="s">
        <v>2370</v>
      </c>
      <c r="J1753" s="2">
        <v>1309020</v>
      </c>
      <c r="K1753" s="2">
        <v>6000</v>
      </c>
      <c r="L1753" s="2">
        <v>30</v>
      </c>
      <c r="M1753" s="2">
        <v>0</v>
      </c>
      <c r="N1753" t="s">
        <v>276</v>
      </c>
      <c r="O1753" t="s">
        <v>277</v>
      </c>
      <c r="P1753" t="s">
        <v>103</v>
      </c>
      <c r="Q1753" t="s">
        <v>104</v>
      </c>
      <c r="S1753" t="s">
        <v>8185</v>
      </c>
      <c r="U1753" t="s">
        <v>45</v>
      </c>
      <c r="V1753" t="s">
        <v>46</v>
      </c>
      <c r="W1753" t="s">
        <v>276</v>
      </c>
      <c r="X1753" t="s">
        <v>277</v>
      </c>
      <c r="Y1753" t="s">
        <v>279</v>
      </c>
      <c r="Z1753" t="s">
        <v>280</v>
      </c>
      <c r="AA1753" t="s">
        <v>49</v>
      </c>
      <c r="AB1753" t="s">
        <v>50</v>
      </c>
      <c r="AC1753" s="2">
        <v>654446.35</v>
      </c>
      <c r="AD1753" t="s">
        <v>8186</v>
      </c>
      <c r="AE1753" t="s">
        <v>52</v>
      </c>
    </row>
    <row r="1754" spans="1:31" x14ac:dyDescent="0.25">
      <c r="A1754" t="s">
        <v>8187</v>
      </c>
      <c r="B1754" t="s">
        <v>8188</v>
      </c>
      <c r="C1754" t="s">
        <v>8188</v>
      </c>
      <c r="D1754" t="s">
        <v>478</v>
      </c>
      <c r="E1754" t="s">
        <v>190</v>
      </c>
      <c r="F1754" t="s">
        <v>8189</v>
      </c>
      <c r="G1754" t="s">
        <v>478</v>
      </c>
      <c r="H1754" t="s">
        <v>8190</v>
      </c>
      <c r="J1754" s="2">
        <v>501132</v>
      </c>
      <c r="K1754" s="2">
        <v>2260</v>
      </c>
      <c r="L1754" s="2">
        <v>21</v>
      </c>
      <c r="M1754" s="2">
        <v>0</v>
      </c>
      <c r="N1754" t="s">
        <v>8191</v>
      </c>
      <c r="O1754" t="s">
        <v>8192</v>
      </c>
      <c r="P1754" t="s">
        <v>6987</v>
      </c>
      <c r="Q1754" t="s">
        <v>6988</v>
      </c>
      <c r="S1754" t="s">
        <v>8193</v>
      </c>
      <c r="U1754" t="s">
        <v>45</v>
      </c>
      <c r="V1754" t="s">
        <v>46</v>
      </c>
      <c r="W1754" t="s">
        <v>8191</v>
      </c>
      <c r="X1754" t="s">
        <v>8192</v>
      </c>
      <c r="Y1754" t="s">
        <v>2399</v>
      </c>
      <c r="Z1754" t="s">
        <v>2400</v>
      </c>
      <c r="AA1754" t="s">
        <v>49</v>
      </c>
      <c r="AB1754" t="s">
        <v>50</v>
      </c>
      <c r="AC1754" s="2">
        <v>96115.13</v>
      </c>
      <c r="AD1754" t="s">
        <v>8194</v>
      </c>
      <c r="AE1754" t="s">
        <v>115</v>
      </c>
    </row>
    <row r="1755" spans="1:31" x14ac:dyDescent="0.25">
      <c r="A1755" t="s">
        <v>8195</v>
      </c>
      <c r="B1755" t="s">
        <v>8196</v>
      </c>
      <c r="C1755" t="s">
        <v>8196</v>
      </c>
      <c r="D1755" t="s">
        <v>35</v>
      </c>
      <c r="E1755" t="s">
        <v>36</v>
      </c>
      <c r="F1755" t="s">
        <v>8197</v>
      </c>
      <c r="G1755" t="s">
        <v>35</v>
      </c>
      <c r="H1755" t="s">
        <v>7557</v>
      </c>
      <c r="I1755" t="s">
        <v>8198</v>
      </c>
      <c r="J1755" s="2">
        <v>568790</v>
      </c>
      <c r="K1755" s="2">
        <v>2300</v>
      </c>
      <c r="L1755" s="2">
        <v>15</v>
      </c>
      <c r="M1755" s="2">
        <v>0</v>
      </c>
      <c r="N1755" t="s">
        <v>7559</v>
      </c>
      <c r="O1755" t="s">
        <v>7560</v>
      </c>
      <c r="P1755" t="s">
        <v>4315</v>
      </c>
      <c r="Q1755" t="s">
        <v>4316</v>
      </c>
      <c r="S1755" t="s">
        <v>8199</v>
      </c>
      <c r="U1755" t="s">
        <v>45</v>
      </c>
      <c r="V1755" t="s">
        <v>46</v>
      </c>
      <c r="W1755" t="s">
        <v>7559</v>
      </c>
      <c r="X1755" t="s">
        <v>7560</v>
      </c>
      <c r="Y1755" t="s">
        <v>72</v>
      </c>
      <c r="Z1755" t="s">
        <v>68</v>
      </c>
      <c r="AA1755" t="s">
        <v>49</v>
      </c>
      <c r="AB1755" t="s">
        <v>50</v>
      </c>
      <c r="AC1755" s="2">
        <v>36609.660000000003</v>
      </c>
      <c r="AD1755" t="s">
        <v>8200</v>
      </c>
      <c r="AE1755" t="s">
        <v>52</v>
      </c>
    </row>
    <row r="1756" spans="1:31" x14ac:dyDescent="0.25">
      <c r="A1756" t="s">
        <v>8201</v>
      </c>
      <c r="B1756" t="s">
        <v>8202</v>
      </c>
      <c r="C1756" t="s">
        <v>8202</v>
      </c>
      <c r="D1756" t="s">
        <v>35</v>
      </c>
      <c r="E1756" t="s">
        <v>36</v>
      </c>
      <c r="F1756" t="s">
        <v>8203</v>
      </c>
      <c r="G1756" t="s">
        <v>1410</v>
      </c>
      <c r="H1756" t="s">
        <v>4371</v>
      </c>
      <c r="I1756" t="s">
        <v>8204</v>
      </c>
      <c r="J1756" s="2">
        <v>117435</v>
      </c>
      <c r="K1756" s="2">
        <v>500</v>
      </c>
      <c r="L1756" s="2">
        <v>15</v>
      </c>
      <c r="M1756" s="2">
        <v>0</v>
      </c>
      <c r="N1756" t="s">
        <v>4373</v>
      </c>
      <c r="O1756" t="s">
        <v>4371</v>
      </c>
      <c r="P1756" t="s">
        <v>256</v>
      </c>
      <c r="Q1756" t="s">
        <v>255</v>
      </c>
      <c r="S1756" t="s">
        <v>8205</v>
      </c>
      <c r="U1756" t="s">
        <v>45</v>
      </c>
      <c r="V1756" t="s">
        <v>46</v>
      </c>
      <c r="W1756" t="s">
        <v>4373</v>
      </c>
      <c r="X1756" t="s">
        <v>4371</v>
      </c>
      <c r="Y1756" t="s">
        <v>258</v>
      </c>
      <c r="Z1756" t="s">
        <v>259</v>
      </c>
      <c r="AA1756" t="s">
        <v>49</v>
      </c>
      <c r="AB1756" t="s">
        <v>50</v>
      </c>
      <c r="AC1756" s="2">
        <v>115841.78</v>
      </c>
      <c r="AD1756" t="s">
        <v>8206</v>
      </c>
      <c r="AE1756" t="s">
        <v>115</v>
      </c>
    </row>
    <row r="1757" spans="1:31" hidden="1" x14ac:dyDescent="0.25">
      <c r="I1757" t="s">
        <v>8207</v>
      </c>
      <c r="J1757" s="2">
        <v>109085</v>
      </c>
      <c r="K1757" s="2">
        <v>500</v>
      </c>
      <c r="L1757" s="2">
        <v>15</v>
      </c>
      <c r="M1757" s="2">
        <v>0</v>
      </c>
      <c r="S1757" t="s">
        <v>8210</v>
      </c>
      <c r="U1757" t="s">
        <v>45</v>
      </c>
      <c r="V1757" t="s">
        <v>46</v>
      </c>
      <c r="W1757" t="s">
        <v>1119</v>
      </c>
      <c r="X1757" t="s">
        <v>1120</v>
      </c>
      <c r="Y1757" t="s">
        <v>79</v>
      </c>
      <c r="Z1757" t="s">
        <v>94</v>
      </c>
      <c r="AA1757" t="s">
        <v>49</v>
      </c>
      <c r="AC1757" s="2"/>
    </row>
    <row r="1758" spans="1:31" x14ac:dyDescent="0.25">
      <c r="A1758" t="s">
        <v>8211</v>
      </c>
      <c r="B1758" t="s">
        <v>8212</v>
      </c>
      <c r="C1758" t="s">
        <v>8212</v>
      </c>
      <c r="D1758" t="s">
        <v>1289</v>
      </c>
      <c r="E1758" t="s">
        <v>224</v>
      </c>
      <c r="F1758" t="s">
        <v>8213</v>
      </c>
      <c r="G1758" t="s">
        <v>1329</v>
      </c>
      <c r="H1758" t="s">
        <v>6986</v>
      </c>
      <c r="J1758" s="2">
        <v>21817</v>
      </c>
      <c r="K1758" s="2">
        <v>100</v>
      </c>
      <c r="L1758" s="2">
        <v>21</v>
      </c>
      <c r="M1758" s="2">
        <v>0</v>
      </c>
      <c r="N1758" t="s">
        <v>6985</v>
      </c>
      <c r="O1758" t="s">
        <v>6986</v>
      </c>
      <c r="P1758" t="s">
        <v>6987</v>
      </c>
      <c r="Q1758" t="s">
        <v>6988</v>
      </c>
      <c r="S1758" t="s">
        <v>8214</v>
      </c>
      <c r="U1758" t="s">
        <v>45</v>
      </c>
      <c r="V1758" t="s">
        <v>46</v>
      </c>
      <c r="W1758" t="s">
        <v>6985</v>
      </c>
      <c r="X1758" t="s">
        <v>6986</v>
      </c>
      <c r="Y1758" t="s">
        <v>2399</v>
      </c>
      <c r="Z1758" t="s">
        <v>2400</v>
      </c>
      <c r="AA1758" t="s">
        <v>49</v>
      </c>
      <c r="AB1758" t="s">
        <v>50</v>
      </c>
      <c r="AC1758" s="2">
        <v>21817</v>
      </c>
      <c r="AD1758" t="s">
        <v>64</v>
      </c>
    </row>
    <row r="1759" spans="1:31" hidden="1" x14ac:dyDescent="0.25">
      <c r="I1759" t="s">
        <v>8215</v>
      </c>
      <c r="J1759" s="2">
        <v>43634</v>
      </c>
      <c r="K1759" s="2">
        <v>200</v>
      </c>
      <c r="L1759" s="2">
        <v>15</v>
      </c>
      <c r="M1759" s="2">
        <v>0</v>
      </c>
      <c r="S1759" t="s">
        <v>8216</v>
      </c>
      <c r="U1759" t="s">
        <v>45</v>
      </c>
      <c r="V1759" t="s">
        <v>46</v>
      </c>
      <c r="W1759" t="s">
        <v>6940</v>
      </c>
      <c r="X1759" t="s">
        <v>6939</v>
      </c>
      <c r="Y1759" t="s">
        <v>79</v>
      </c>
      <c r="Z1759" t="s">
        <v>94</v>
      </c>
      <c r="AA1759" t="s">
        <v>49</v>
      </c>
      <c r="AC1759" s="2"/>
    </row>
    <row r="1760" spans="1:31" hidden="1" x14ac:dyDescent="0.25">
      <c r="I1760" t="s">
        <v>8217</v>
      </c>
      <c r="J1760" s="2">
        <v>21817</v>
      </c>
      <c r="K1760" s="2">
        <v>100</v>
      </c>
      <c r="L1760" s="2">
        <v>12</v>
      </c>
      <c r="M1760" s="2">
        <v>0</v>
      </c>
      <c r="S1760" t="s">
        <v>8218</v>
      </c>
      <c r="U1760" t="s">
        <v>45</v>
      </c>
      <c r="V1760" t="s">
        <v>46</v>
      </c>
      <c r="W1760" t="s">
        <v>1362</v>
      </c>
      <c r="X1760" t="s">
        <v>1360</v>
      </c>
      <c r="Y1760" t="s">
        <v>1215</v>
      </c>
      <c r="Z1760" t="s">
        <v>1216</v>
      </c>
      <c r="AA1760" t="s">
        <v>49</v>
      </c>
      <c r="AC1760" s="2"/>
    </row>
    <row r="1761" spans="1:31" x14ac:dyDescent="0.25">
      <c r="A1761" t="s">
        <v>8219</v>
      </c>
      <c r="B1761" t="s">
        <v>8220</v>
      </c>
      <c r="C1761" t="s">
        <v>8220</v>
      </c>
      <c r="D1761" t="s">
        <v>35</v>
      </c>
      <c r="E1761" t="s">
        <v>36</v>
      </c>
      <c r="F1761" t="s">
        <v>8221</v>
      </c>
      <c r="G1761" t="s">
        <v>847</v>
      </c>
      <c r="H1761" t="s">
        <v>1360</v>
      </c>
      <c r="I1761" t="s">
        <v>8222</v>
      </c>
      <c r="J1761" s="2">
        <v>106282</v>
      </c>
      <c r="K1761" s="2">
        <v>432.62</v>
      </c>
      <c r="L1761" s="2">
        <v>15</v>
      </c>
      <c r="M1761" s="2">
        <v>0</v>
      </c>
      <c r="N1761" t="s">
        <v>1362</v>
      </c>
      <c r="O1761" t="s">
        <v>1360</v>
      </c>
      <c r="P1761" t="s">
        <v>1421</v>
      </c>
      <c r="Q1761" t="s">
        <v>1422</v>
      </c>
      <c r="S1761" t="s">
        <v>8223</v>
      </c>
      <c r="U1761" t="s">
        <v>45</v>
      </c>
      <c r="V1761" t="s">
        <v>46</v>
      </c>
      <c r="W1761" t="s">
        <v>1362</v>
      </c>
      <c r="X1761" t="s">
        <v>1360</v>
      </c>
      <c r="Y1761" t="s">
        <v>1215</v>
      </c>
      <c r="Z1761" t="s">
        <v>1216</v>
      </c>
      <c r="AA1761" t="s">
        <v>49</v>
      </c>
      <c r="AB1761" t="s">
        <v>50</v>
      </c>
      <c r="AC1761" s="2">
        <v>94732.87</v>
      </c>
      <c r="AD1761" t="s">
        <v>8224</v>
      </c>
    </row>
    <row r="1762" spans="1:31" x14ac:dyDescent="0.25">
      <c r="A1762" t="s">
        <v>8225</v>
      </c>
      <c r="B1762" t="s">
        <v>8226</v>
      </c>
      <c r="C1762" t="s">
        <v>8226</v>
      </c>
      <c r="D1762" t="s">
        <v>847</v>
      </c>
      <c r="E1762" t="s">
        <v>848</v>
      </c>
      <c r="F1762" t="s">
        <v>8227</v>
      </c>
      <c r="G1762" t="s">
        <v>847</v>
      </c>
      <c r="H1762" t="s">
        <v>8005</v>
      </c>
      <c r="I1762" t="s">
        <v>8228</v>
      </c>
      <c r="J1762" s="2">
        <v>994964</v>
      </c>
      <c r="K1762" s="2">
        <v>4050</v>
      </c>
      <c r="L1762" s="2">
        <v>21</v>
      </c>
      <c r="M1762" s="2">
        <v>0</v>
      </c>
      <c r="N1762" t="s">
        <v>8007</v>
      </c>
      <c r="O1762" t="s">
        <v>8005</v>
      </c>
      <c r="P1762" t="s">
        <v>6987</v>
      </c>
      <c r="Q1762" t="s">
        <v>6988</v>
      </c>
      <c r="S1762" t="s">
        <v>8229</v>
      </c>
      <c r="U1762" t="s">
        <v>45</v>
      </c>
      <c r="V1762" t="s">
        <v>46</v>
      </c>
      <c r="W1762" t="s">
        <v>8007</v>
      </c>
      <c r="X1762" t="s">
        <v>8005</v>
      </c>
      <c r="Y1762" t="s">
        <v>2399</v>
      </c>
      <c r="Z1762" t="s">
        <v>2400</v>
      </c>
      <c r="AA1762" t="s">
        <v>49</v>
      </c>
      <c r="AB1762" t="s">
        <v>50</v>
      </c>
      <c r="AC1762" s="2">
        <v>79325.289999999994</v>
      </c>
      <c r="AD1762" t="s">
        <v>8230</v>
      </c>
      <c r="AE1762" t="s">
        <v>115</v>
      </c>
    </row>
    <row r="1763" spans="1:31" x14ac:dyDescent="0.25">
      <c r="A1763" t="s">
        <v>8231</v>
      </c>
      <c r="B1763" t="s">
        <v>8232</v>
      </c>
      <c r="C1763" t="s">
        <v>8232</v>
      </c>
      <c r="D1763" t="s">
        <v>1289</v>
      </c>
      <c r="E1763" t="s">
        <v>224</v>
      </c>
      <c r="F1763" t="s">
        <v>8233</v>
      </c>
      <c r="G1763" t="s">
        <v>4891</v>
      </c>
      <c r="H1763" t="s">
        <v>8234</v>
      </c>
      <c r="I1763" t="s">
        <v>8228</v>
      </c>
      <c r="J1763" s="2">
        <v>309402</v>
      </c>
      <c r="K1763" s="2">
        <v>1418.17</v>
      </c>
      <c r="L1763" s="2">
        <v>21</v>
      </c>
      <c r="M1763" s="2">
        <v>0</v>
      </c>
      <c r="N1763" t="s">
        <v>8235</v>
      </c>
      <c r="O1763" t="s">
        <v>8234</v>
      </c>
      <c r="P1763" t="s">
        <v>6987</v>
      </c>
      <c r="Q1763" t="s">
        <v>6988</v>
      </c>
      <c r="S1763" t="s">
        <v>8236</v>
      </c>
      <c r="U1763" t="s">
        <v>45</v>
      </c>
      <c r="V1763" t="s">
        <v>46</v>
      </c>
      <c r="W1763" t="s">
        <v>8235</v>
      </c>
      <c r="X1763" t="s">
        <v>8234</v>
      </c>
      <c r="Y1763" t="s">
        <v>2399</v>
      </c>
      <c r="Z1763" t="s">
        <v>2400</v>
      </c>
      <c r="AA1763" t="s">
        <v>49</v>
      </c>
      <c r="AB1763" t="s">
        <v>50</v>
      </c>
      <c r="AC1763" s="2">
        <v>284055.8</v>
      </c>
      <c r="AD1763" t="s">
        <v>8237</v>
      </c>
    </row>
    <row r="1764" spans="1:31" x14ac:dyDescent="0.25">
      <c r="A1764" t="s">
        <v>8238</v>
      </c>
      <c r="B1764" t="s">
        <v>8239</v>
      </c>
      <c r="C1764" t="s">
        <v>8239</v>
      </c>
      <c r="D1764" t="s">
        <v>153</v>
      </c>
      <c r="E1764" t="s">
        <v>272</v>
      </c>
      <c r="F1764" t="s">
        <v>8240</v>
      </c>
      <c r="G1764" t="s">
        <v>847</v>
      </c>
      <c r="H1764" t="s">
        <v>1430</v>
      </c>
      <c r="J1764" s="2">
        <v>1719690</v>
      </c>
      <c r="K1764" s="2">
        <v>7000</v>
      </c>
      <c r="L1764" s="2">
        <v>30</v>
      </c>
      <c r="M1764" s="2">
        <v>0</v>
      </c>
      <c r="N1764" t="s">
        <v>1427</v>
      </c>
      <c r="O1764" t="s">
        <v>1428</v>
      </c>
      <c r="P1764" t="s">
        <v>2320</v>
      </c>
      <c r="Q1764" t="s">
        <v>2321</v>
      </c>
      <c r="S1764" t="s">
        <v>8241</v>
      </c>
      <c r="U1764" t="s">
        <v>45</v>
      </c>
      <c r="V1764" t="s">
        <v>46</v>
      </c>
      <c r="W1764" t="s">
        <v>1427</v>
      </c>
      <c r="X1764" t="s">
        <v>1430</v>
      </c>
      <c r="Y1764" t="s">
        <v>85</v>
      </c>
      <c r="Z1764" t="s">
        <v>86</v>
      </c>
      <c r="AA1764" t="s">
        <v>49</v>
      </c>
      <c r="AB1764" t="s">
        <v>50</v>
      </c>
      <c r="AC1764" s="2">
        <v>-8795.9</v>
      </c>
      <c r="AD1764" t="s">
        <v>8242</v>
      </c>
      <c r="AE1764" t="s">
        <v>52</v>
      </c>
    </row>
    <row r="1765" spans="1:31" x14ac:dyDescent="0.25">
      <c r="A1765" t="s">
        <v>8243</v>
      </c>
      <c r="B1765" t="s">
        <v>8244</v>
      </c>
      <c r="C1765" t="s">
        <v>8244</v>
      </c>
      <c r="D1765" t="s">
        <v>478</v>
      </c>
      <c r="E1765" t="s">
        <v>190</v>
      </c>
      <c r="F1765" t="s">
        <v>8245</v>
      </c>
      <c r="G1765" t="s">
        <v>3221</v>
      </c>
      <c r="H1765" t="s">
        <v>7342</v>
      </c>
      <c r="I1765" t="s">
        <v>8246</v>
      </c>
      <c r="J1765" s="2">
        <v>109085</v>
      </c>
      <c r="K1765" s="2">
        <v>500</v>
      </c>
      <c r="L1765" s="2">
        <v>21</v>
      </c>
      <c r="M1765" s="2">
        <v>0</v>
      </c>
      <c r="N1765" t="s">
        <v>7341</v>
      </c>
      <c r="O1765" t="s">
        <v>7342</v>
      </c>
      <c r="P1765" t="s">
        <v>6987</v>
      </c>
      <c r="Q1765" t="s">
        <v>6988</v>
      </c>
      <c r="S1765" t="s">
        <v>8247</v>
      </c>
      <c r="U1765" t="s">
        <v>45</v>
      </c>
      <c r="V1765" t="s">
        <v>46</v>
      </c>
      <c r="W1765" t="s">
        <v>7341</v>
      </c>
      <c r="X1765" t="s">
        <v>7342</v>
      </c>
      <c r="Y1765" t="s">
        <v>2399</v>
      </c>
      <c r="Z1765" t="s">
        <v>2400</v>
      </c>
      <c r="AA1765" t="s">
        <v>49</v>
      </c>
      <c r="AB1765" t="s">
        <v>50</v>
      </c>
      <c r="AC1765" s="2">
        <v>109085</v>
      </c>
      <c r="AD1765" t="s">
        <v>64</v>
      </c>
    </row>
    <row r="1766" spans="1:31" hidden="1" x14ac:dyDescent="0.25">
      <c r="J1766" s="2">
        <v>87268</v>
      </c>
      <c r="K1766" s="2">
        <v>400</v>
      </c>
      <c r="L1766" s="2">
        <v>7</v>
      </c>
      <c r="M1766" s="2">
        <v>0</v>
      </c>
      <c r="S1766" t="s">
        <v>8248</v>
      </c>
      <c r="U1766" t="s">
        <v>45</v>
      </c>
      <c r="V1766" t="s">
        <v>46</v>
      </c>
      <c r="W1766" t="s">
        <v>753</v>
      </c>
      <c r="X1766" t="s">
        <v>754</v>
      </c>
      <c r="Y1766" t="s">
        <v>47</v>
      </c>
      <c r="Z1766" t="s">
        <v>48</v>
      </c>
      <c r="AA1766" t="s">
        <v>49</v>
      </c>
      <c r="AC1766" s="2"/>
    </row>
    <row r="1767" spans="1:31" hidden="1" x14ac:dyDescent="0.25">
      <c r="J1767" s="2">
        <v>1241</v>
      </c>
      <c r="K1767" s="2">
        <v>5.69</v>
      </c>
      <c r="L1767" s="2">
        <v>1</v>
      </c>
      <c r="M1767" s="2">
        <v>0</v>
      </c>
      <c r="S1767" t="s">
        <v>8249</v>
      </c>
      <c r="U1767" t="s">
        <v>45</v>
      </c>
      <c r="V1767" t="s">
        <v>46</v>
      </c>
      <c r="W1767" t="s">
        <v>2571</v>
      </c>
      <c r="X1767" t="s">
        <v>2572</v>
      </c>
      <c r="Y1767" t="s">
        <v>2399</v>
      </c>
      <c r="Z1767" t="s">
        <v>2400</v>
      </c>
      <c r="AA1767" t="s">
        <v>49</v>
      </c>
      <c r="AC1767" s="2"/>
    </row>
    <row r="1768" spans="1:31" hidden="1" x14ac:dyDescent="0.25">
      <c r="I1768" t="s">
        <v>8250</v>
      </c>
      <c r="J1768" s="2">
        <v>65451</v>
      </c>
      <c r="K1768" s="2">
        <v>300</v>
      </c>
      <c r="L1768" s="2">
        <v>15</v>
      </c>
      <c r="M1768" s="2">
        <v>0</v>
      </c>
      <c r="S1768" t="s">
        <v>8253</v>
      </c>
      <c r="U1768" t="s">
        <v>45</v>
      </c>
      <c r="V1768" t="s">
        <v>46</v>
      </c>
      <c r="W1768" t="s">
        <v>8251</v>
      </c>
      <c r="X1768" t="s">
        <v>8252</v>
      </c>
      <c r="Y1768" t="s">
        <v>258</v>
      </c>
      <c r="Z1768" t="s">
        <v>259</v>
      </c>
      <c r="AA1768" t="s">
        <v>49</v>
      </c>
      <c r="AC1768" s="2"/>
    </row>
    <row r="1769" spans="1:31" x14ac:dyDescent="0.25">
      <c r="A1769" t="s">
        <v>8254</v>
      </c>
      <c r="B1769" t="s">
        <v>8255</v>
      </c>
      <c r="C1769" t="s">
        <v>8255</v>
      </c>
      <c r="D1769" t="s">
        <v>8256</v>
      </c>
      <c r="E1769" t="s">
        <v>77</v>
      </c>
      <c r="F1769" t="s">
        <v>8257</v>
      </c>
      <c r="H1769" t="s">
        <v>2572</v>
      </c>
      <c r="I1769" t="s">
        <v>8258</v>
      </c>
      <c r="J1769" s="2">
        <v>19592</v>
      </c>
      <c r="K1769" s="2">
        <v>89.8</v>
      </c>
      <c r="L1769" s="2">
        <v>15</v>
      </c>
      <c r="M1769" s="2">
        <v>0</v>
      </c>
      <c r="N1769" t="s">
        <v>2571</v>
      </c>
      <c r="O1769" t="s">
        <v>2572</v>
      </c>
      <c r="P1769" t="s">
        <v>6987</v>
      </c>
      <c r="Q1769" t="s">
        <v>6988</v>
      </c>
      <c r="S1769" t="s">
        <v>8259</v>
      </c>
      <c r="U1769" t="s">
        <v>45</v>
      </c>
      <c r="V1769" t="s">
        <v>46</v>
      </c>
      <c r="W1769" t="s">
        <v>2571</v>
      </c>
      <c r="X1769" t="s">
        <v>2572</v>
      </c>
      <c r="Y1769" t="s">
        <v>2399</v>
      </c>
      <c r="Z1769" t="s">
        <v>2400</v>
      </c>
      <c r="AA1769" t="s">
        <v>49</v>
      </c>
      <c r="AB1769" t="s">
        <v>50</v>
      </c>
      <c r="AC1769" s="2">
        <v>19592</v>
      </c>
      <c r="AD1769" t="s">
        <v>64</v>
      </c>
    </row>
    <row r="1770" spans="1:31" x14ac:dyDescent="0.25">
      <c r="A1770" t="s">
        <v>8260</v>
      </c>
      <c r="B1770" t="s">
        <v>8261</v>
      </c>
      <c r="C1770" t="s">
        <v>8261</v>
      </c>
      <c r="D1770" t="s">
        <v>125</v>
      </c>
      <c r="E1770" t="s">
        <v>126</v>
      </c>
      <c r="F1770" t="s">
        <v>8262</v>
      </c>
      <c r="G1770" t="s">
        <v>125</v>
      </c>
      <c r="H1770" t="s">
        <v>1360</v>
      </c>
      <c r="I1770" t="s">
        <v>8263</v>
      </c>
      <c r="J1770" s="2">
        <v>545425</v>
      </c>
      <c r="K1770" s="2">
        <v>2500</v>
      </c>
      <c r="L1770" s="2">
        <v>15</v>
      </c>
      <c r="M1770" s="2">
        <v>0</v>
      </c>
      <c r="N1770" t="s">
        <v>1362</v>
      </c>
      <c r="O1770" t="s">
        <v>1360</v>
      </c>
      <c r="P1770" t="s">
        <v>1421</v>
      </c>
      <c r="Q1770" t="s">
        <v>1422</v>
      </c>
      <c r="S1770" t="s">
        <v>8264</v>
      </c>
      <c r="U1770" t="s">
        <v>45</v>
      </c>
      <c r="V1770" t="s">
        <v>46</v>
      </c>
      <c r="W1770" t="s">
        <v>1362</v>
      </c>
      <c r="X1770" t="s">
        <v>1360</v>
      </c>
      <c r="Y1770" t="s">
        <v>1215</v>
      </c>
      <c r="Z1770" t="s">
        <v>1216</v>
      </c>
      <c r="AA1770" t="s">
        <v>49</v>
      </c>
      <c r="AB1770" t="s">
        <v>50</v>
      </c>
      <c r="AC1770" s="2">
        <v>530288.81000000006</v>
      </c>
      <c r="AD1770" t="s">
        <v>8265</v>
      </c>
      <c r="AE1770" t="s">
        <v>52</v>
      </c>
    </row>
    <row r="1771" spans="1:31" x14ac:dyDescent="0.25">
      <c r="A1771" t="s">
        <v>8266</v>
      </c>
      <c r="B1771" t="s">
        <v>8267</v>
      </c>
      <c r="C1771" t="s">
        <v>8267</v>
      </c>
      <c r="D1771" t="s">
        <v>2389</v>
      </c>
      <c r="E1771" t="s">
        <v>134</v>
      </c>
      <c r="F1771" t="s">
        <v>8268</v>
      </c>
      <c r="G1771" t="s">
        <v>2661</v>
      </c>
      <c r="H1771" t="s">
        <v>255</v>
      </c>
      <c r="I1771" t="s">
        <v>8269</v>
      </c>
      <c r="J1771" s="2">
        <v>152719</v>
      </c>
      <c r="K1771" s="2">
        <v>700</v>
      </c>
      <c r="L1771" s="2">
        <v>15</v>
      </c>
      <c r="M1771" s="2">
        <v>0</v>
      </c>
      <c r="N1771" t="s">
        <v>254</v>
      </c>
      <c r="O1771" t="s">
        <v>255</v>
      </c>
      <c r="P1771" t="s">
        <v>256</v>
      </c>
      <c r="Q1771" t="s">
        <v>255</v>
      </c>
      <c r="S1771" t="s">
        <v>8270</v>
      </c>
      <c r="U1771" t="s">
        <v>45</v>
      </c>
      <c r="V1771" t="s">
        <v>46</v>
      </c>
      <c r="W1771" t="s">
        <v>254</v>
      </c>
      <c r="X1771" t="s">
        <v>255</v>
      </c>
      <c r="Y1771" t="s">
        <v>258</v>
      </c>
      <c r="Z1771" t="s">
        <v>259</v>
      </c>
      <c r="AA1771" t="s">
        <v>49</v>
      </c>
      <c r="AB1771" t="s">
        <v>50</v>
      </c>
      <c r="AC1771" s="2">
        <v>152719</v>
      </c>
      <c r="AD1771" t="s">
        <v>64</v>
      </c>
    </row>
    <row r="1772" spans="1:31" x14ac:dyDescent="0.25">
      <c r="A1772" t="s">
        <v>8271</v>
      </c>
      <c r="B1772" t="s">
        <v>8272</v>
      </c>
      <c r="C1772" t="s">
        <v>8272</v>
      </c>
      <c r="D1772" t="s">
        <v>519</v>
      </c>
      <c r="E1772" t="s">
        <v>77</v>
      </c>
      <c r="F1772" t="s">
        <v>8273</v>
      </c>
      <c r="H1772" t="s">
        <v>2114</v>
      </c>
      <c r="I1772" t="s">
        <v>8274</v>
      </c>
      <c r="J1772" s="2">
        <v>109085</v>
      </c>
      <c r="K1772" s="2">
        <v>500</v>
      </c>
      <c r="L1772" s="2">
        <v>21</v>
      </c>
      <c r="M1772" s="2">
        <v>0</v>
      </c>
      <c r="N1772" t="s">
        <v>2113</v>
      </c>
      <c r="O1772" t="s">
        <v>2114</v>
      </c>
      <c r="P1772" t="s">
        <v>103</v>
      </c>
      <c r="Q1772" t="s">
        <v>104</v>
      </c>
      <c r="S1772" t="s">
        <v>8275</v>
      </c>
      <c r="U1772" t="s">
        <v>45</v>
      </c>
      <c r="V1772" t="s">
        <v>46</v>
      </c>
      <c r="W1772" t="s">
        <v>2113</v>
      </c>
      <c r="X1772" t="s">
        <v>2114</v>
      </c>
      <c r="Y1772" t="s">
        <v>106</v>
      </c>
      <c r="Z1772" t="s">
        <v>107</v>
      </c>
      <c r="AA1772" t="s">
        <v>49</v>
      </c>
      <c r="AB1772" t="s">
        <v>50</v>
      </c>
      <c r="AC1772" s="2">
        <v>109085</v>
      </c>
      <c r="AD1772" t="s">
        <v>64</v>
      </c>
    </row>
    <row r="1773" spans="1:31" x14ac:dyDescent="0.25">
      <c r="A1773" t="s">
        <v>8276</v>
      </c>
      <c r="B1773" t="s">
        <v>8277</v>
      </c>
      <c r="C1773" t="s">
        <v>8277</v>
      </c>
      <c r="D1773" t="s">
        <v>125</v>
      </c>
      <c r="E1773" t="s">
        <v>126</v>
      </c>
      <c r="F1773" t="s">
        <v>8278</v>
      </c>
      <c r="G1773" t="s">
        <v>344</v>
      </c>
      <c r="H1773" t="s">
        <v>665</v>
      </c>
      <c r="I1773" t="s">
        <v>8279</v>
      </c>
      <c r="J1773" s="2">
        <v>199350</v>
      </c>
      <c r="K1773" s="2">
        <v>820</v>
      </c>
      <c r="L1773" s="2">
        <v>30</v>
      </c>
      <c r="M1773" s="2">
        <v>0</v>
      </c>
      <c r="N1773" t="s">
        <v>664</v>
      </c>
      <c r="O1773" t="s">
        <v>665</v>
      </c>
      <c r="P1773" t="s">
        <v>103</v>
      </c>
      <c r="Q1773" t="s">
        <v>104</v>
      </c>
      <c r="S1773" t="s">
        <v>8280</v>
      </c>
      <c r="U1773" t="s">
        <v>45</v>
      </c>
      <c r="V1773" t="s">
        <v>46</v>
      </c>
      <c r="W1773" t="s">
        <v>664</v>
      </c>
      <c r="X1773" t="s">
        <v>665</v>
      </c>
      <c r="Y1773" t="s">
        <v>106</v>
      </c>
      <c r="Z1773" t="s">
        <v>107</v>
      </c>
      <c r="AA1773" t="s">
        <v>49</v>
      </c>
      <c r="AB1773" t="s">
        <v>50</v>
      </c>
      <c r="AC1773" s="2">
        <v>11840.71</v>
      </c>
      <c r="AD1773" t="s">
        <v>8281</v>
      </c>
      <c r="AE1773" t="s">
        <v>52</v>
      </c>
    </row>
    <row r="1774" spans="1:31" x14ac:dyDescent="0.25">
      <c r="A1774" t="s">
        <v>8282</v>
      </c>
      <c r="B1774" t="s">
        <v>8283</v>
      </c>
      <c r="C1774" t="s">
        <v>8283</v>
      </c>
      <c r="D1774" t="s">
        <v>7666</v>
      </c>
      <c r="E1774" t="s">
        <v>77</v>
      </c>
      <c r="F1774" t="s">
        <v>8284</v>
      </c>
      <c r="H1774" t="s">
        <v>665</v>
      </c>
      <c r="I1774" t="s">
        <v>8285</v>
      </c>
      <c r="J1774" s="2">
        <v>65451</v>
      </c>
      <c r="K1774" s="2">
        <v>300</v>
      </c>
      <c r="L1774" s="2">
        <v>30</v>
      </c>
      <c r="M1774" s="2">
        <v>0</v>
      </c>
      <c r="N1774" t="s">
        <v>664</v>
      </c>
      <c r="O1774" t="s">
        <v>665</v>
      </c>
      <c r="P1774" t="s">
        <v>103</v>
      </c>
      <c r="Q1774" t="s">
        <v>104</v>
      </c>
      <c r="S1774" t="s">
        <v>8286</v>
      </c>
      <c r="U1774" t="s">
        <v>45</v>
      </c>
      <c r="V1774" t="s">
        <v>46</v>
      </c>
      <c r="W1774" t="s">
        <v>664</v>
      </c>
      <c r="X1774" t="s">
        <v>665</v>
      </c>
      <c r="Y1774" t="s">
        <v>106</v>
      </c>
      <c r="Z1774" t="s">
        <v>107</v>
      </c>
      <c r="AA1774" t="s">
        <v>49</v>
      </c>
      <c r="AB1774" t="s">
        <v>50</v>
      </c>
      <c r="AC1774" s="2">
        <v>65451</v>
      </c>
      <c r="AD1774" t="s">
        <v>64</v>
      </c>
    </row>
    <row r="1775" spans="1:31" x14ac:dyDescent="0.25">
      <c r="A1775" t="s">
        <v>8287</v>
      </c>
      <c r="B1775" t="s">
        <v>8288</v>
      </c>
      <c r="C1775" t="s">
        <v>8288</v>
      </c>
      <c r="D1775" t="s">
        <v>847</v>
      </c>
      <c r="E1775" t="s">
        <v>848</v>
      </c>
      <c r="F1775" t="s">
        <v>8289</v>
      </c>
      <c r="G1775" t="s">
        <v>847</v>
      </c>
      <c r="H1775" t="s">
        <v>8192</v>
      </c>
      <c r="I1775" t="s">
        <v>8290</v>
      </c>
      <c r="J1775" s="2">
        <v>30038</v>
      </c>
      <c r="K1775" s="2">
        <v>137.68</v>
      </c>
      <c r="L1775" s="2">
        <v>1</v>
      </c>
      <c r="M1775" s="2">
        <v>0</v>
      </c>
      <c r="N1775" t="s">
        <v>8191</v>
      </c>
      <c r="O1775" t="s">
        <v>8192</v>
      </c>
      <c r="P1775" t="s">
        <v>6987</v>
      </c>
      <c r="Q1775" t="s">
        <v>6988</v>
      </c>
      <c r="S1775" t="s">
        <v>8291</v>
      </c>
      <c r="U1775" t="s">
        <v>45</v>
      </c>
      <c r="V1775" t="s">
        <v>46</v>
      </c>
      <c r="W1775" t="s">
        <v>8191</v>
      </c>
      <c r="X1775" t="s">
        <v>8192</v>
      </c>
      <c r="Y1775" t="s">
        <v>2399</v>
      </c>
      <c r="Z1775" t="s">
        <v>2400</v>
      </c>
      <c r="AA1775" t="s">
        <v>49</v>
      </c>
      <c r="AB1775" t="s">
        <v>50</v>
      </c>
      <c r="AC1775" s="2">
        <v>21227.87</v>
      </c>
      <c r="AD1775" t="s">
        <v>8292</v>
      </c>
      <c r="AE1775" t="s">
        <v>115</v>
      </c>
    </row>
    <row r="1776" spans="1:31" x14ac:dyDescent="0.25">
      <c r="A1776" t="s">
        <v>8293</v>
      </c>
      <c r="B1776" t="s">
        <v>8294</v>
      </c>
      <c r="C1776" t="s">
        <v>8294</v>
      </c>
      <c r="D1776" t="s">
        <v>498</v>
      </c>
      <c r="E1776" t="s">
        <v>190</v>
      </c>
      <c r="F1776" t="s">
        <v>8295</v>
      </c>
      <c r="G1776" t="s">
        <v>498</v>
      </c>
      <c r="H1776" t="s">
        <v>6996</v>
      </c>
      <c r="I1776" t="s">
        <v>8296</v>
      </c>
      <c r="J1776" s="2">
        <v>294530</v>
      </c>
      <c r="K1776" s="2">
        <v>1350</v>
      </c>
      <c r="L1776" s="2">
        <v>21</v>
      </c>
      <c r="M1776" s="2">
        <v>0</v>
      </c>
      <c r="N1776" t="s">
        <v>6995</v>
      </c>
      <c r="O1776" t="s">
        <v>6996</v>
      </c>
      <c r="P1776" t="s">
        <v>6987</v>
      </c>
      <c r="Q1776" t="s">
        <v>6988</v>
      </c>
      <c r="S1776" t="s">
        <v>8297</v>
      </c>
      <c r="U1776" t="s">
        <v>45</v>
      </c>
      <c r="V1776" t="s">
        <v>46</v>
      </c>
      <c r="W1776" t="s">
        <v>6995</v>
      </c>
      <c r="X1776" t="s">
        <v>6996</v>
      </c>
      <c r="Y1776" t="s">
        <v>2399</v>
      </c>
      <c r="Z1776" t="s">
        <v>2400</v>
      </c>
      <c r="AA1776" t="s">
        <v>49</v>
      </c>
      <c r="AB1776" t="s">
        <v>50</v>
      </c>
      <c r="AC1776" s="2">
        <v>263561.58</v>
      </c>
      <c r="AD1776" t="s">
        <v>8298</v>
      </c>
      <c r="AE1776" t="s">
        <v>52</v>
      </c>
    </row>
    <row r="1777" spans="1:31" x14ac:dyDescent="0.25">
      <c r="A1777" t="s">
        <v>8299</v>
      </c>
      <c r="B1777" t="s">
        <v>8300</v>
      </c>
      <c r="C1777" t="s">
        <v>8300</v>
      </c>
      <c r="D1777" t="s">
        <v>125</v>
      </c>
      <c r="E1777" t="s">
        <v>126</v>
      </c>
      <c r="F1777" t="s">
        <v>8301</v>
      </c>
      <c r="G1777" t="s">
        <v>35</v>
      </c>
      <c r="H1777" t="s">
        <v>8302</v>
      </c>
      <c r="J1777" s="2">
        <v>872680</v>
      </c>
      <c r="K1777" s="2">
        <v>4000</v>
      </c>
      <c r="L1777" s="2">
        <v>30</v>
      </c>
      <c r="M1777" s="2">
        <v>0</v>
      </c>
      <c r="N1777" t="s">
        <v>5201</v>
      </c>
      <c r="O1777" t="s">
        <v>5202</v>
      </c>
      <c r="P1777" t="s">
        <v>4853</v>
      </c>
      <c r="Q1777" t="s">
        <v>4854</v>
      </c>
      <c r="S1777" t="s">
        <v>8303</v>
      </c>
      <c r="U1777" t="s">
        <v>45</v>
      </c>
      <c r="V1777" t="s">
        <v>46</v>
      </c>
      <c r="W1777" t="s">
        <v>5201</v>
      </c>
      <c r="X1777" t="s">
        <v>5202</v>
      </c>
      <c r="Y1777" t="s">
        <v>4854</v>
      </c>
      <c r="Z1777" t="s">
        <v>72</v>
      </c>
      <c r="AA1777" t="s">
        <v>49</v>
      </c>
      <c r="AB1777" t="s">
        <v>50</v>
      </c>
      <c r="AC1777" s="2">
        <v>248360.2</v>
      </c>
      <c r="AD1777" t="s">
        <v>8304</v>
      </c>
      <c r="AE1777" t="s">
        <v>52</v>
      </c>
    </row>
    <row r="1778" spans="1:31" hidden="1" x14ac:dyDescent="0.25">
      <c r="A1778" t="s">
        <v>8305</v>
      </c>
      <c r="B1778" t="s">
        <v>8306</v>
      </c>
      <c r="C1778" t="s">
        <v>8306</v>
      </c>
      <c r="F1778" t="s">
        <v>6380</v>
      </c>
      <c r="H1778" t="s">
        <v>265</v>
      </c>
      <c r="I1778" t="s">
        <v>6381</v>
      </c>
      <c r="J1778" s="2">
        <v>1000</v>
      </c>
      <c r="K1778" s="2">
        <v>0</v>
      </c>
      <c r="L1778" s="2">
        <v>30</v>
      </c>
      <c r="M1778" s="2">
        <v>0</v>
      </c>
      <c r="N1778" t="s">
        <v>267</v>
      </c>
      <c r="O1778" t="s">
        <v>268</v>
      </c>
      <c r="P1778" t="s">
        <v>103</v>
      </c>
      <c r="Q1778" t="s">
        <v>104</v>
      </c>
      <c r="S1778" t="s">
        <v>6382</v>
      </c>
      <c r="U1778" t="s">
        <v>45</v>
      </c>
      <c r="V1778" t="s">
        <v>46</v>
      </c>
      <c r="W1778" t="s">
        <v>267</v>
      </c>
      <c r="X1778" t="s">
        <v>268</v>
      </c>
      <c r="Y1778" t="s">
        <v>106</v>
      </c>
      <c r="Z1778" t="s">
        <v>107</v>
      </c>
      <c r="AA1778" t="s">
        <v>49</v>
      </c>
      <c r="AB1778" t="s">
        <v>50</v>
      </c>
      <c r="AC1778" s="2">
        <v>1000</v>
      </c>
      <c r="AD1778" t="s">
        <v>64</v>
      </c>
    </row>
    <row r="1779" spans="1:31" hidden="1" x14ac:dyDescent="0.25">
      <c r="A1779" t="s">
        <v>8307</v>
      </c>
      <c r="B1779" t="s">
        <v>8308</v>
      </c>
      <c r="C1779" t="s">
        <v>8309</v>
      </c>
      <c r="F1779" t="s">
        <v>6380</v>
      </c>
      <c r="H1779" t="s">
        <v>3396</v>
      </c>
      <c r="I1779" t="s">
        <v>6381</v>
      </c>
      <c r="J1779" s="2">
        <v>218170</v>
      </c>
      <c r="K1779" s="2">
        <v>1000</v>
      </c>
      <c r="L1779" s="2">
        <v>30</v>
      </c>
      <c r="M1779" s="2">
        <v>0</v>
      </c>
      <c r="N1779" t="s">
        <v>3398</v>
      </c>
      <c r="O1779" t="s">
        <v>3399</v>
      </c>
      <c r="P1779" t="s">
        <v>103</v>
      </c>
      <c r="Q1779" t="s">
        <v>104</v>
      </c>
      <c r="S1779" t="s">
        <v>8310</v>
      </c>
      <c r="U1779" t="s">
        <v>45</v>
      </c>
      <c r="V1779" t="s">
        <v>46</v>
      </c>
      <c r="W1779" t="s">
        <v>3398</v>
      </c>
      <c r="X1779" t="s">
        <v>3399</v>
      </c>
      <c r="Y1779" t="s">
        <v>72</v>
      </c>
      <c r="Z1779" t="s">
        <v>68</v>
      </c>
      <c r="AA1779" t="s">
        <v>49</v>
      </c>
      <c r="AB1779" t="s">
        <v>50</v>
      </c>
      <c r="AC1779" s="2">
        <v>218170</v>
      </c>
      <c r="AD1779" t="s">
        <v>64</v>
      </c>
    </row>
    <row r="1780" spans="1:31" x14ac:dyDescent="0.25">
      <c r="A1780" t="s">
        <v>8311</v>
      </c>
      <c r="B1780" t="s">
        <v>8312</v>
      </c>
      <c r="C1780" t="s">
        <v>8312</v>
      </c>
      <c r="D1780" t="s">
        <v>153</v>
      </c>
      <c r="E1780" t="s">
        <v>272</v>
      </c>
      <c r="F1780" t="s">
        <v>8313</v>
      </c>
      <c r="G1780" t="s">
        <v>847</v>
      </c>
      <c r="H1780" t="s">
        <v>8042</v>
      </c>
      <c r="J1780" s="2">
        <v>205559</v>
      </c>
      <c r="K1780" s="2">
        <v>917.84</v>
      </c>
      <c r="L1780" s="2">
        <v>5</v>
      </c>
      <c r="M1780" s="2">
        <v>0</v>
      </c>
      <c r="N1780" t="s">
        <v>8041</v>
      </c>
      <c r="O1780" t="s">
        <v>8042</v>
      </c>
      <c r="P1780" t="s">
        <v>4315</v>
      </c>
      <c r="Q1780" t="s">
        <v>4316</v>
      </c>
      <c r="S1780" t="s">
        <v>8314</v>
      </c>
      <c r="U1780" t="s">
        <v>45</v>
      </c>
      <c r="V1780" t="s">
        <v>46</v>
      </c>
      <c r="W1780" t="s">
        <v>8041</v>
      </c>
      <c r="X1780" t="s">
        <v>8042</v>
      </c>
      <c r="Y1780" t="s">
        <v>1122</v>
      </c>
      <c r="Z1780" t="s">
        <v>1122</v>
      </c>
      <c r="AA1780" t="s">
        <v>49</v>
      </c>
      <c r="AB1780" t="s">
        <v>50</v>
      </c>
      <c r="AC1780" s="2">
        <v>156914.54999999999</v>
      </c>
      <c r="AD1780" t="s">
        <v>8315</v>
      </c>
    </row>
    <row r="1781" spans="1:31" x14ac:dyDescent="0.25">
      <c r="A1781" t="s">
        <v>8316</v>
      </c>
      <c r="B1781" t="s">
        <v>8317</v>
      </c>
      <c r="C1781" t="s">
        <v>8317</v>
      </c>
      <c r="D1781" t="s">
        <v>1094</v>
      </c>
      <c r="E1781" t="s">
        <v>134</v>
      </c>
      <c r="F1781" t="s">
        <v>8318</v>
      </c>
      <c r="H1781" t="s">
        <v>2399</v>
      </c>
      <c r="I1781" t="s">
        <v>8319</v>
      </c>
      <c r="J1781" s="2">
        <v>29387</v>
      </c>
      <c r="K1781" s="2">
        <v>134.69999999999999</v>
      </c>
      <c r="L1781" s="2">
        <v>1</v>
      </c>
      <c r="M1781" s="2">
        <v>0</v>
      </c>
      <c r="N1781" t="s">
        <v>8320</v>
      </c>
      <c r="O1781" t="s">
        <v>8321</v>
      </c>
      <c r="P1781" t="s">
        <v>6987</v>
      </c>
      <c r="Q1781" t="s">
        <v>6988</v>
      </c>
      <c r="S1781" t="s">
        <v>8322</v>
      </c>
      <c r="U1781" t="s">
        <v>45</v>
      </c>
      <c r="V1781" t="s">
        <v>46</v>
      </c>
      <c r="W1781" t="s">
        <v>8320</v>
      </c>
      <c r="X1781" t="s">
        <v>8321</v>
      </c>
      <c r="Y1781" t="s">
        <v>2399</v>
      </c>
      <c r="Z1781" t="s">
        <v>2400</v>
      </c>
      <c r="AA1781" t="s">
        <v>49</v>
      </c>
      <c r="AB1781" t="s">
        <v>50</v>
      </c>
      <c r="AC1781" s="2">
        <v>29387</v>
      </c>
      <c r="AD1781" t="s">
        <v>64</v>
      </c>
    </row>
    <row r="1782" spans="1:31" x14ac:dyDescent="0.25">
      <c r="A1782" t="s">
        <v>8323</v>
      </c>
      <c r="B1782" t="s">
        <v>8324</v>
      </c>
      <c r="C1782" t="s">
        <v>8324</v>
      </c>
      <c r="D1782" t="s">
        <v>35</v>
      </c>
      <c r="E1782" t="s">
        <v>36</v>
      </c>
      <c r="F1782" t="s">
        <v>8325</v>
      </c>
      <c r="G1782" t="s">
        <v>847</v>
      </c>
      <c r="H1782" t="s">
        <v>8326</v>
      </c>
      <c r="J1782" s="2">
        <v>301891</v>
      </c>
      <c r="K1782" s="2">
        <v>1383.74</v>
      </c>
      <c r="L1782" s="2">
        <v>30</v>
      </c>
      <c r="M1782" s="2">
        <v>0</v>
      </c>
      <c r="N1782" t="s">
        <v>8327</v>
      </c>
      <c r="O1782" t="s">
        <v>8326</v>
      </c>
      <c r="P1782" t="s">
        <v>4853</v>
      </c>
      <c r="Q1782" t="s">
        <v>4854</v>
      </c>
      <c r="S1782" t="s">
        <v>8328</v>
      </c>
      <c r="U1782" t="s">
        <v>45</v>
      </c>
      <c r="V1782" t="s">
        <v>46</v>
      </c>
      <c r="W1782" t="s">
        <v>8327</v>
      </c>
      <c r="X1782" t="s">
        <v>8326</v>
      </c>
      <c r="Y1782" t="s">
        <v>4854</v>
      </c>
      <c r="Z1782" t="s">
        <v>72</v>
      </c>
      <c r="AA1782" t="s">
        <v>49</v>
      </c>
      <c r="AB1782" t="s">
        <v>50</v>
      </c>
      <c r="AC1782" s="2">
        <v>226810.02</v>
      </c>
      <c r="AD1782" t="s">
        <v>8329</v>
      </c>
      <c r="AE1782" t="s">
        <v>52</v>
      </c>
    </row>
    <row r="1783" spans="1:31" x14ac:dyDescent="0.25">
      <c r="A1783" t="s">
        <v>8330</v>
      </c>
      <c r="B1783" t="s">
        <v>8331</v>
      </c>
      <c r="C1783" t="s">
        <v>8331</v>
      </c>
      <c r="D1783" t="s">
        <v>819</v>
      </c>
      <c r="E1783" t="s">
        <v>224</v>
      </c>
      <c r="F1783" t="s">
        <v>8332</v>
      </c>
      <c r="G1783" t="s">
        <v>2286</v>
      </c>
      <c r="H1783" t="s">
        <v>1360</v>
      </c>
      <c r="I1783" t="s">
        <v>8333</v>
      </c>
      <c r="J1783" s="2">
        <v>137447</v>
      </c>
      <c r="K1783" s="2">
        <v>630</v>
      </c>
      <c r="L1783" s="2">
        <v>15</v>
      </c>
      <c r="M1783" s="2">
        <v>0</v>
      </c>
      <c r="N1783" t="s">
        <v>1362</v>
      </c>
      <c r="O1783" t="s">
        <v>1360</v>
      </c>
      <c r="P1783" t="s">
        <v>1421</v>
      </c>
      <c r="Q1783" t="s">
        <v>1422</v>
      </c>
      <c r="S1783" t="s">
        <v>8334</v>
      </c>
      <c r="U1783" t="s">
        <v>45</v>
      </c>
      <c r="V1783" t="s">
        <v>46</v>
      </c>
      <c r="W1783" t="s">
        <v>1362</v>
      </c>
      <c r="X1783" t="s">
        <v>1360</v>
      </c>
      <c r="Y1783" t="s">
        <v>1215</v>
      </c>
      <c r="Z1783" t="s">
        <v>1216</v>
      </c>
      <c r="AA1783" t="s">
        <v>49</v>
      </c>
      <c r="AB1783" t="s">
        <v>50</v>
      </c>
      <c r="AC1783" s="2">
        <v>137447</v>
      </c>
      <c r="AD1783" t="s">
        <v>64</v>
      </c>
    </row>
    <row r="1784" spans="1:31" hidden="1" x14ac:dyDescent="0.25">
      <c r="I1784" t="s">
        <v>8335</v>
      </c>
      <c r="J1784" s="2">
        <v>63769</v>
      </c>
      <c r="K1784" s="2">
        <v>292.29000000000002</v>
      </c>
      <c r="L1784" s="2">
        <v>15</v>
      </c>
      <c r="M1784" s="2">
        <v>0</v>
      </c>
      <c r="S1784" t="s">
        <v>8336</v>
      </c>
      <c r="U1784" t="s">
        <v>45</v>
      </c>
      <c r="V1784" t="s">
        <v>46</v>
      </c>
      <c r="W1784" t="s">
        <v>7517</v>
      </c>
      <c r="X1784" t="s">
        <v>7518</v>
      </c>
      <c r="Y1784" t="s">
        <v>1215</v>
      </c>
      <c r="Z1784" t="s">
        <v>1216</v>
      </c>
      <c r="AA1784" t="s">
        <v>49</v>
      </c>
      <c r="AC1784" s="2"/>
    </row>
    <row r="1785" spans="1:31" hidden="1" x14ac:dyDescent="0.25">
      <c r="A1785" t="s">
        <v>8337</v>
      </c>
      <c r="B1785" t="s">
        <v>8338</v>
      </c>
      <c r="C1785" t="s">
        <v>8338</v>
      </c>
      <c r="D1785" t="s">
        <v>55</v>
      </c>
      <c r="E1785" t="s">
        <v>56</v>
      </c>
      <c r="F1785" t="s">
        <v>2546</v>
      </c>
      <c r="H1785" t="s">
        <v>1029</v>
      </c>
      <c r="I1785" t="s">
        <v>2547</v>
      </c>
      <c r="J1785" s="2">
        <v>1000</v>
      </c>
      <c r="K1785" s="2">
        <v>0</v>
      </c>
      <c r="L1785" s="2">
        <v>30</v>
      </c>
      <c r="M1785" s="2">
        <v>0</v>
      </c>
      <c r="N1785" t="s">
        <v>1031</v>
      </c>
      <c r="O1785" t="s">
        <v>1029</v>
      </c>
      <c r="P1785" t="s">
        <v>103</v>
      </c>
      <c r="Q1785" t="s">
        <v>104</v>
      </c>
      <c r="S1785" t="s">
        <v>2548</v>
      </c>
      <c r="U1785" t="s">
        <v>45</v>
      </c>
      <c r="V1785" t="s">
        <v>46</v>
      </c>
      <c r="W1785" t="s">
        <v>1031</v>
      </c>
      <c r="X1785" t="s">
        <v>1029</v>
      </c>
      <c r="Y1785" t="s">
        <v>106</v>
      </c>
      <c r="Z1785" t="s">
        <v>107</v>
      </c>
      <c r="AA1785" t="s">
        <v>49</v>
      </c>
      <c r="AB1785" t="s">
        <v>50</v>
      </c>
      <c r="AC1785" s="2">
        <v>1000</v>
      </c>
      <c r="AD1785" t="s">
        <v>64</v>
      </c>
    </row>
    <row r="1786" spans="1:31" x14ac:dyDescent="0.25">
      <c r="A1786" t="s">
        <v>8339</v>
      </c>
      <c r="B1786" t="s">
        <v>8340</v>
      </c>
      <c r="C1786" t="s">
        <v>8340</v>
      </c>
      <c r="D1786" t="s">
        <v>553</v>
      </c>
      <c r="E1786" t="s">
        <v>167</v>
      </c>
      <c r="F1786" t="s">
        <v>2546</v>
      </c>
      <c r="G1786" t="s">
        <v>1289</v>
      </c>
      <c r="H1786" t="s">
        <v>8341</v>
      </c>
      <c r="I1786" t="s">
        <v>2547</v>
      </c>
      <c r="J1786" s="2">
        <v>698144</v>
      </c>
      <c r="K1786" s="2">
        <v>3200</v>
      </c>
      <c r="L1786" s="2">
        <v>30</v>
      </c>
      <c r="M1786" s="2">
        <v>0</v>
      </c>
      <c r="N1786" t="s">
        <v>8342</v>
      </c>
      <c r="O1786" t="s">
        <v>8341</v>
      </c>
      <c r="P1786" t="s">
        <v>103</v>
      </c>
      <c r="Q1786" t="s">
        <v>104</v>
      </c>
      <c r="S1786" t="s">
        <v>2548</v>
      </c>
      <c r="U1786" t="s">
        <v>45</v>
      </c>
      <c r="V1786" t="s">
        <v>46</v>
      </c>
      <c r="W1786" t="s">
        <v>8342</v>
      </c>
      <c r="X1786" t="s">
        <v>8341</v>
      </c>
      <c r="Y1786" t="s">
        <v>106</v>
      </c>
      <c r="Z1786" t="s">
        <v>107</v>
      </c>
      <c r="AA1786" t="s">
        <v>49</v>
      </c>
      <c r="AB1786" t="s">
        <v>50</v>
      </c>
      <c r="AC1786" s="2">
        <v>698144</v>
      </c>
      <c r="AD1786" t="s">
        <v>64</v>
      </c>
    </row>
    <row r="1787" spans="1:31" hidden="1" x14ac:dyDescent="0.25">
      <c r="J1787" s="2">
        <v>109085</v>
      </c>
      <c r="K1787" s="2">
        <v>500</v>
      </c>
      <c r="L1787" s="2">
        <v>21</v>
      </c>
      <c r="M1787" s="2">
        <v>0</v>
      </c>
      <c r="S1787" t="s">
        <v>5816</v>
      </c>
      <c r="U1787" t="s">
        <v>45</v>
      </c>
      <c r="V1787" t="s">
        <v>46</v>
      </c>
      <c r="W1787" t="s">
        <v>822</v>
      </c>
      <c r="X1787" t="s">
        <v>820</v>
      </c>
      <c r="Y1787" t="s">
        <v>92</v>
      </c>
      <c r="Z1787" t="s">
        <v>94</v>
      </c>
      <c r="AA1787" t="s">
        <v>49</v>
      </c>
      <c r="AC1787" s="2"/>
    </row>
    <row r="1788" spans="1:31" x14ac:dyDescent="0.25">
      <c r="A1788" t="s">
        <v>8343</v>
      </c>
      <c r="B1788" t="s">
        <v>8344</v>
      </c>
      <c r="C1788" t="s">
        <v>8344</v>
      </c>
      <c r="D1788" t="s">
        <v>847</v>
      </c>
      <c r="E1788" t="s">
        <v>848</v>
      </c>
      <c r="F1788" t="s">
        <v>8345</v>
      </c>
      <c r="G1788" t="s">
        <v>847</v>
      </c>
      <c r="H1788" t="s">
        <v>8005</v>
      </c>
      <c r="I1788" t="s">
        <v>8346</v>
      </c>
      <c r="J1788" s="2">
        <v>1181673</v>
      </c>
      <c r="K1788" s="2">
        <v>4810</v>
      </c>
      <c r="L1788" s="2">
        <v>21</v>
      </c>
      <c r="M1788" s="2">
        <v>0</v>
      </c>
      <c r="N1788" t="s">
        <v>8007</v>
      </c>
      <c r="O1788" t="s">
        <v>8005</v>
      </c>
      <c r="P1788" t="s">
        <v>6987</v>
      </c>
      <c r="Q1788" t="s">
        <v>6988</v>
      </c>
      <c r="S1788" t="s">
        <v>8347</v>
      </c>
      <c r="U1788" t="s">
        <v>45</v>
      </c>
      <c r="V1788" t="s">
        <v>46</v>
      </c>
      <c r="W1788" t="s">
        <v>8007</v>
      </c>
      <c r="X1788" t="s">
        <v>8005</v>
      </c>
      <c r="Y1788" t="s">
        <v>2399</v>
      </c>
      <c r="Z1788" t="s">
        <v>2400</v>
      </c>
      <c r="AA1788" t="s">
        <v>49</v>
      </c>
      <c r="AB1788" t="s">
        <v>50</v>
      </c>
      <c r="AC1788" s="2">
        <v>576.22</v>
      </c>
      <c r="AD1788" t="s">
        <v>8348</v>
      </c>
      <c r="AE1788" t="s">
        <v>115</v>
      </c>
    </row>
    <row r="1789" spans="1:31" x14ac:dyDescent="0.25">
      <c r="A1789" t="s">
        <v>8349</v>
      </c>
      <c r="B1789" t="s">
        <v>8350</v>
      </c>
      <c r="C1789" t="s">
        <v>8350</v>
      </c>
      <c r="D1789" t="s">
        <v>817</v>
      </c>
      <c r="E1789" t="s">
        <v>224</v>
      </c>
      <c r="F1789" t="s">
        <v>8351</v>
      </c>
      <c r="G1789" t="s">
        <v>3194</v>
      </c>
      <c r="H1789" t="s">
        <v>8352</v>
      </c>
      <c r="I1789" t="s">
        <v>8353</v>
      </c>
      <c r="J1789" s="2">
        <v>109085</v>
      </c>
      <c r="K1789" s="2">
        <v>500</v>
      </c>
      <c r="L1789" s="2">
        <v>21</v>
      </c>
      <c r="M1789" s="2">
        <v>0</v>
      </c>
      <c r="N1789" t="s">
        <v>8354</v>
      </c>
      <c r="O1789" t="s">
        <v>8352</v>
      </c>
      <c r="P1789" t="s">
        <v>6987</v>
      </c>
      <c r="Q1789" t="s">
        <v>6988</v>
      </c>
      <c r="S1789" t="s">
        <v>8355</v>
      </c>
      <c r="U1789" t="s">
        <v>45</v>
      </c>
      <c r="V1789" t="s">
        <v>46</v>
      </c>
      <c r="W1789" t="s">
        <v>8354</v>
      </c>
      <c r="X1789" t="s">
        <v>8352</v>
      </c>
      <c r="Y1789" t="s">
        <v>2399</v>
      </c>
      <c r="Z1789" t="s">
        <v>2400</v>
      </c>
      <c r="AA1789" t="s">
        <v>49</v>
      </c>
      <c r="AB1789" t="s">
        <v>50</v>
      </c>
      <c r="AC1789" s="2">
        <v>56789.45</v>
      </c>
      <c r="AD1789" t="s">
        <v>8356</v>
      </c>
    </row>
    <row r="1790" spans="1:31" x14ac:dyDescent="0.25">
      <c r="A1790" t="s">
        <v>8357</v>
      </c>
      <c r="B1790" t="s">
        <v>8358</v>
      </c>
      <c r="C1790" t="s">
        <v>8358</v>
      </c>
      <c r="D1790" t="s">
        <v>153</v>
      </c>
      <c r="E1790" t="s">
        <v>272</v>
      </c>
      <c r="F1790" t="s">
        <v>8359</v>
      </c>
      <c r="G1790" t="s">
        <v>178</v>
      </c>
      <c r="H1790" t="s">
        <v>6030</v>
      </c>
      <c r="I1790" t="s">
        <v>8360</v>
      </c>
      <c r="J1790" s="2">
        <v>174536</v>
      </c>
      <c r="K1790" s="2">
        <v>800</v>
      </c>
      <c r="L1790" s="2">
        <v>15</v>
      </c>
      <c r="M1790" s="2">
        <v>0</v>
      </c>
      <c r="N1790" t="s">
        <v>6029</v>
      </c>
      <c r="O1790" t="s">
        <v>6030</v>
      </c>
      <c r="P1790" t="s">
        <v>82</v>
      </c>
      <c r="Q1790" t="s">
        <v>83</v>
      </c>
      <c r="S1790" t="s">
        <v>8361</v>
      </c>
      <c r="U1790" t="s">
        <v>45</v>
      </c>
      <c r="V1790" t="s">
        <v>46</v>
      </c>
      <c r="W1790" t="s">
        <v>6029</v>
      </c>
      <c r="X1790" t="s">
        <v>6030</v>
      </c>
      <c r="Y1790" t="s">
        <v>85</v>
      </c>
      <c r="Z1790" t="s">
        <v>86</v>
      </c>
      <c r="AA1790" t="s">
        <v>49</v>
      </c>
      <c r="AB1790" t="s">
        <v>50</v>
      </c>
      <c r="AC1790" s="2">
        <v>174536</v>
      </c>
      <c r="AD1790" t="s">
        <v>64</v>
      </c>
    </row>
    <row r="1791" spans="1:31" x14ac:dyDescent="0.25">
      <c r="A1791" t="s">
        <v>8362</v>
      </c>
      <c r="B1791" t="s">
        <v>8363</v>
      </c>
      <c r="C1791" t="s">
        <v>8363</v>
      </c>
      <c r="D1791" t="s">
        <v>35</v>
      </c>
      <c r="E1791" t="s">
        <v>36</v>
      </c>
      <c r="F1791" t="s">
        <v>8364</v>
      </c>
      <c r="G1791" t="s">
        <v>153</v>
      </c>
      <c r="H1791" t="s">
        <v>102</v>
      </c>
      <c r="I1791" t="s">
        <v>8365</v>
      </c>
      <c r="J1791" s="2">
        <v>249200</v>
      </c>
      <c r="K1791" s="2">
        <v>1000</v>
      </c>
      <c r="L1791" s="2">
        <v>30</v>
      </c>
      <c r="M1791" s="2">
        <v>0</v>
      </c>
      <c r="N1791" t="s">
        <v>101</v>
      </c>
      <c r="O1791" t="s">
        <v>102</v>
      </c>
      <c r="P1791" t="s">
        <v>103</v>
      </c>
      <c r="Q1791" t="s">
        <v>104</v>
      </c>
      <c r="S1791" t="s">
        <v>8366</v>
      </c>
      <c r="U1791" t="s">
        <v>45</v>
      </c>
      <c r="V1791" t="s">
        <v>46</v>
      </c>
      <c r="W1791" t="s">
        <v>101</v>
      </c>
      <c r="X1791" t="s">
        <v>102</v>
      </c>
      <c r="Y1791" t="s">
        <v>106</v>
      </c>
      <c r="Z1791" t="s">
        <v>107</v>
      </c>
      <c r="AA1791" t="s">
        <v>49</v>
      </c>
      <c r="AB1791" t="s">
        <v>50</v>
      </c>
      <c r="AC1791" s="2">
        <v>40551.21</v>
      </c>
      <c r="AD1791" t="s">
        <v>8367</v>
      </c>
      <c r="AE1791" t="s">
        <v>52</v>
      </c>
    </row>
    <row r="1792" spans="1:31" x14ac:dyDescent="0.25">
      <c r="A1792" t="s">
        <v>8368</v>
      </c>
      <c r="B1792" t="s">
        <v>8369</v>
      </c>
      <c r="C1792" t="s">
        <v>8369</v>
      </c>
      <c r="D1792" t="s">
        <v>125</v>
      </c>
      <c r="E1792" t="s">
        <v>126</v>
      </c>
      <c r="F1792" t="s">
        <v>8370</v>
      </c>
      <c r="G1792" t="s">
        <v>153</v>
      </c>
      <c r="H1792" t="s">
        <v>102</v>
      </c>
      <c r="I1792" t="s">
        <v>8371</v>
      </c>
      <c r="J1792" s="2">
        <v>545425</v>
      </c>
      <c r="K1792" s="2">
        <v>2500</v>
      </c>
      <c r="L1792" s="2">
        <v>30</v>
      </c>
      <c r="M1792" s="2">
        <v>0</v>
      </c>
      <c r="N1792" t="s">
        <v>101</v>
      </c>
      <c r="O1792" t="s">
        <v>102</v>
      </c>
      <c r="P1792" t="s">
        <v>103</v>
      </c>
      <c r="Q1792" t="s">
        <v>104</v>
      </c>
      <c r="S1792" t="s">
        <v>8372</v>
      </c>
      <c r="U1792" t="s">
        <v>45</v>
      </c>
      <c r="V1792" t="s">
        <v>46</v>
      </c>
      <c r="W1792" t="s">
        <v>101</v>
      </c>
      <c r="X1792" t="s">
        <v>102</v>
      </c>
      <c r="Y1792" t="s">
        <v>106</v>
      </c>
      <c r="Z1792" t="s">
        <v>107</v>
      </c>
      <c r="AA1792" t="s">
        <v>49</v>
      </c>
      <c r="AB1792" t="s">
        <v>50</v>
      </c>
      <c r="AC1792" s="2">
        <v>183345.89</v>
      </c>
      <c r="AD1792" t="s">
        <v>8373</v>
      </c>
      <c r="AE1792" t="s">
        <v>52</v>
      </c>
    </row>
    <row r="1793" spans="1:31" x14ac:dyDescent="0.25">
      <c r="A1793" t="s">
        <v>8374</v>
      </c>
      <c r="B1793" t="s">
        <v>8375</v>
      </c>
      <c r="C1793" t="s">
        <v>8375</v>
      </c>
      <c r="D1793" t="s">
        <v>35</v>
      </c>
      <c r="E1793" t="s">
        <v>36</v>
      </c>
      <c r="F1793" t="s">
        <v>8376</v>
      </c>
      <c r="G1793" t="s">
        <v>35</v>
      </c>
      <c r="H1793" t="s">
        <v>5739</v>
      </c>
      <c r="I1793" t="s">
        <v>8377</v>
      </c>
      <c r="J1793" s="2">
        <v>2474617</v>
      </c>
      <c r="K1793" s="2">
        <v>10179</v>
      </c>
      <c r="L1793" s="2">
        <v>30</v>
      </c>
      <c r="M1793" s="2">
        <v>0</v>
      </c>
      <c r="N1793" t="s">
        <v>5741</v>
      </c>
      <c r="O1793" t="s">
        <v>5739</v>
      </c>
      <c r="P1793" t="s">
        <v>2320</v>
      </c>
      <c r="Q1793" t="s">
        <v>2321</v>
      </c>
      <c r="S1793" t="s">
        <v>8378</v>
      </c>
      <c r="U1793" t="s">
        <v>45</v>
      </c>
      <c r="V1793" t="s">
        <v>46</v>
      </c>
      <c r="W1793" t="s">
        <v>5741</v>
      </c>
      <c r="X1793" t="s">
        <v>5739</v>
      </c>
      <c r="Y1793" t="s">
        <v>5743</v>
      </c>
      <c r="Z1793" t="s">
        <v>5744</v>
      </c>
      <c r="AA1793" t="s">
        <v>49</v>
      </c>
      <c r="AB1793" t="s">
        <v>50</v>
      </c>
      <c r="AC1793" s="2">
        <v>337014.46</v>
      </c>
      <c r="AD1793" t="s">
        <v>8379</v>
      </c>
      <c r="AE1793" t="s">
        <v>115</v>
      </c>
    </row>
    <row r="1794" spans="1:31" x14ac:dyDescent="0.25">
      <c r="A1794" t="s">
        <v>8380</v>
      </c>
      <c r="B1794" t="s">
        <v>8381</v>
      </c>
      <c r="C1794" t="s">
        <v>8381</v>
      </c>
      <c r="D1794" t="s">
        <v>125</v>
      </c>
      <c r="E1794" t="s">
        <v>126</v>
      </c>
      <c r="F1794" t="s">
        <v>8382</v>
      </c>
      <c r="G1794" t="s">
        <v>125</v>
      </c>
      <c r="H1794" t="s">
        <v>5739</v>
      </c>
      <c r="I1794" t="s">
        <v>8377</v>
      </c>
      <c r="J1794" s="2">
        <v>5653250</v>
      </c>
      <c r="K1794" s="2">
        <v>25000</v>
      </c>
      <c r="L1794" s="2">
        <v>30</v>
      </c>
      <c r="M1794" s="2">
        <v>0</v>
      </c>
      <c r="N1794" t="s">
        <v>5741</v>
      </c>
      <c r="O1794" t="s">
        <v>5739</v>
      </c>
      <c r="P1794" t="s">
        <v>2320</v>
      </c>
      <c r="Q1794" t="s">
        <v>2321</v>
      </c>
      <c r="S1794" t="s">
        <v>8383</v>
      </c>
      <c r="U1794" t="s">
        <v>45</v>
      </c>
      <c r="V1794" t="s">
        <v>46</v>
      </c>
      <c r="W1794" t="s">
        <v>5741</v>
      </c>
      <c r="X1794" t="s">
        <v>5739</v>
      </c>
      <c r="Y1794" t="s">
        <v>5743</v>
      </c>
      <c r="Z1794" t="s">
        <v>5744</v>
      </c>
      <c r="AA1794" t="s">
        <v>49</v>
      </c>
      <c r="AB1794" t="s">
        <v>50</v>
      </c>
      <c r="AC1794" s="2">
        <v>2323331.9700000002</v>
      </c>
      <c r="AD1794" t="s">
        <v>8384</v>
      </c>
      <c r="AE1794" t="s">
        <v>115</v>
      </c>
    </row>
    <row r="1795" spans="1:31" x14ac:dyDescent="0.25">
      <c r="A1795" t="s">
        <v>8385</v>
      </c>
      <c r="B1795" t="s">
        <v>8386</v>
      </c>
      <c r="C1795" t="s">
        <v>8386</v>
      </c>
      <c r="D1795" t="s">
        <v>125</v>
      </c>
      <c r="E1795" t="s">
        <v>126</v>
      </c>
      <c r="F1795" t="s">
        <v>8387</v>
      </c>
      <c r="G1795" t="s">
        <v>125</v>
      </c>
      <c r="H1795" t="s">
        <v>8388</v>
      </c>
      <c r="I1795" t="s">
        <v>8377</v>
      </c>
      <c r="J1795" s="2">
        <v>3272550</v>
      </c>
      <c r="K1795" s="2">
        <v>15000</v>
      </c>
      <c r="L1795" s="2">
        <v>30</v>
      </c>
      <c r="M1795" s="2">
        <v>0</v>
      </c>
      <c r="N1795" t="s">
        <v>8389</v>
      </c>
      <c r="O1795" t="s">
        <v>8388</v>
      </c>
      <c r="P1795" t="s">
        <v>2320</v>
      </c>
      <c r="Q1795" t="s">
        <v>2321</v>
      </c>
      <c r="S1795" t="s">
        <v>8390</v>
      </c>
      <c r="U1795" t="s">
        <v>45</v>
      </c>
      <c r="V1795" t="s">
        <v>46</v>
      </c>
      <c r="W1795" t="s">
        <v>8389</v>
      </c>
      <c r="X1795" t="s">
        <v>8388</v>
      </c>
      <c r="Y1795" t="s">
        <v>5743</v>
      </c>
      <c r="Z1795" t="s">
        <v>5744</v>
      </c>
      <c r="AA1795" t="s">
        <v>49</v>
      </c>
      <c r="AB1795" t="s">
        <v>50</v>
      </c>
      <c r="AC1795" s="2">
        <v>843697.33</v>
      </c>
      <c r="AD1795" t="s">
        <v>8391</v>
      </c>
      <c r="AE1795" t="s">
        <v>115</v>
      </c>
    </row>
    <row r="1796" spans="1:31" x14ac:dyDescent="0.25">
      <c r="A1796" t="s">
        <v>8392</v>
      </c>
      <c r="B1796" t="s">
        <v>8393</v>
      </c>
      <c r="C1796" t="s">
        <v>8393</v>
      </c>
      <c r="D1796" t="s">
        <v>178</v>
      </c>
      <c r="E1796" t="s">
        <v>179</v>
      </c>
      <c r="F1796" t="s">
        <v>8394</v>
      </c>
      <c r="G1796" t="s">
        <v>2687</v>
      </c>
      <c r="H1796" t="s">
        <v>404</v>
      </c>
      <c r="I1796" t="s">
        <v>8395</v>
      </c>
      <c r="J1796" s="2">
        <v>154830</v>
      </c>
      <c r="K1796" s="2">
        <v>670</v>
      </c>
      <c r="L1796" s="2">
        <v>21</v>
      </c>
      <c r="M1796" s="2">
        <v>0</v>
      </c>
      <c r="N1796" t="s">
        <v>403</v>
      </c>
      <c r="O1796" t="s">
        <v>404</v>
      </c>
      <c r="P1796" t="s">
        <v>4315</v>
      </c>
      <c r="Q1796" t="s">
        <v>4316</v>
      </c>
      <c r="S1796" t="s">
        <v>8396</v>
      </c>
      <c r="U1796" t="s">
        <v>45</v>
      </c>
      <c r="V1796" t="s">
        <v>46</v>
      </c>
      <c r="W1796" t="s">
        <v>403</v>
      </c>
      <c r="X1796" t="s">
        <v>404</v>
      </c>
      <c r="Y1796" t="s">
        <v>161</v>
      </c>
      <c r="Z1796" t="s">
        <v>162</v>
      </c>
      <c r="AA1796" t="s">
        <v>49</v>
      </c>
      <c r="AB1796" t="s">
        <v>50</v>
      </c>
      <c r="AC1796" s="2">
        <v>92012.89</v>
      </c>
      <c r="AD1796" t="s">
        <v>8397</v>
      </c>
      <c r="AE1796" t="s">
        <v>115</v>
      </c>
    </row>
    <row r="1797" spans="1:31" x14ac:dyDescent="0.25">
      <c r="A1797" t="s">
        <v>8398</v>
      </c>
      <c r="B1797" t="s">
        <v>8399</v>
      </c>
      <c r="C1797" t="s">
        <v>8399</v>
      </c>
      <c r="D1797" t="s">
        <v>1854</v>
      </c>
      <c r="E1797" t="s">
        <v>224</v>
      </c>
      <c r="F1797" t="s">
        <v>8400</v>
      </c>
      <c r="G1797" t="s">
        <v>4891</v>
      </c>
      <c r="H1797" t="s">
        <v>8401</v>
      </c>
      <c r="I1797" t="s">
        <v>8402</v>
      </c>
      <c r="J1797" s="2">
        <v>65451</v>
      </c>
      <c r="K1797" s="2">
        <v>300</v>
      </c>
      <c r="L1797" s="2">
        <v>15</v>
      </c>
      <c r="M1797" s="2">
        <v>0</v>
      </c>
      <c r="N1797" t="s">
        <v>8403</v>
      </c>
      <c r="O1797" t="s">
        <v>8401</v>
      </c>
      <c r="P1797" t="s">
        <v>6987</v>
      </c>
      <c r="Q1797" t="s">
        <v>6988</v>
      </c>
      <c r="S1797" t="s">
        <v>8404</v>
      </c>
      <c r="U1797" t="s">
        <v>45</v>
      </c>
      <c r="V1797" t="s">
        <v>46</v>
      </c>
      <c r="W1797" t="s">
        <v>8403</v>
      </c>
      <c r="X1797" t="s">
        <v>8401</v>
      </c>
      <c r="Y1797" t="s">
        <v>2399</v>
      </c>
      <c r="Z1797" t="s">
        <v>2400</v>
      </c>
      <c r="AA1797" t="s">
        <v>49</v>
      </c>
      <c r="AB1797" t="s">
        <v>50</v>
      </c>
      <c r="AC1797" s="2">
        <v>63311.56</v>
      </c>
      <c r="AD1797" t="s">
        <v>8405</v>
      </c>
    </row>
    <row r="1798" spans="1:31" hidden="1" x14ac:dyDescent="0.25">
      <c r="I1798" t="s">
        <v>8406</v>
      </c>
      <c r="J1798" s="2">
        <v>1000</v>
      </c>
      <c r="K1798" s="2">
        <v>0</v>
      </c>
      <c r="L1798" s="2">
        <v>15</v>
      </c>
      <c r="M1798" s="2">
        <v>0</v>
      </c>
      <c r="S1798" t="s">
        <v>8407</v>
      </c>
      <c r="U1798" t="s">
        <v>45</v>
      </c>
      <c r="V1798" t="s">
        <v>46</v>
      </c>
      <c r="W1798" t="s">
        <v>495</v>
      </c>
      <c r="X1798" t="s">
        <v>79</v>
      </c>
      <c r="Y1798" t="s">
        <v>79</v>
      </c>
      <c r="Z1798" t="s">
        <v>94</v>
      </c>
      <c r="AA1798" t="s">
        <v>49</v>
      </c>
      <c r="AC1798" s="2"/>
    </row>
    <row r="1799" spans="1:31" x14ac:dyDescent="0.25">
      <c r="A1799" t="s">
        <v>8408</v>
      </c>
      <c r="B1799" t="s">
        <v>8409</v>
      </c>
      <c r="C1799" t="s">
        <v>8409</v>
      </c>
      <c r="D1799" t="s">
        <v>169</v>
      </c>
      <c r="E1799" t="s">
        <v>190</v>
      </c>
      <c r="F1799" t="s">
        <v>8410</v>
      </c>
      <c r="G1799" t="s">
        <v>819</v>
      </c>
      <c r="H1799" t="s">
        <v>79</v>
      </c>
      <c r="I1799" t="s">
        <v>8411</v>
      </c>
      <c r="J1799" s="2">
        <v>93424</v>
      </c>
      <c r="K1799" s="2">
        <v>400</v>
      </c>
      <c r="L1799" s="2">
        <v>21</v>
      </c>
      <c r="M1799" s="2">
        <v>0</v>
      </c>
      <c r="N1799" t="s">
        <v>495</v>
      </c>
      <c r="O1799" t="s">
        <v>79</v>
      </c>
      <c r="P1799" t="s">
        <v>3487</v>
      </c>
      <c r="Q1799" t="s">
        <v>3488</v>
      </c>
      <c r="S1799" t="s">
        <v>8412</v>
      </c>
      <c r="U1799" t="s">
        <v>45</v>
      </c>
      <c r="V1799" t="s">
        <v>46</v>
      </c>
      <c r="W1799" t="s">
        <v>495</v>
      </c>
      <c r="X1799" t="s">
        <v>79</v>
      </c>
      <c r="Y1799" t="s">
        <v>79</v>
      </c>
      <c r="Z1799" t="s">
        <v>94</v>
      </c>
      <c r="AA1799" t="s">
        <v>49</v>
      </c>
      <c r="AB1799" t="s">
        <v>50</v>
      </c>
      <c r="AC1799" s="2">
        <v>93424</v>
      </c>
      <c r="AD1799" t="s">
        <v>64</v>
      </c>
    </row>
    <row r="1800" spans="1:31" x14ac:dyDescent="0.25">
      <c r="A1800" t="s">
        <v>8413</v>
      </c>
      <c r="B1800" t="s">
        <v>8414</v>
      </c>
      <c r="C1800" t="s">
        <v>8414</v>
      </c>
      <c r="D1800" t="s">
        <v>3855</v>
      </c>
      <c r="E1800" t="s">
        <v>134</v>
      </c>
      <c r="F1800" t="s">
        <v>8415</v>
      </c>
      <c r="G1800" t="s">
        <v>6526</v>
      </c>
      <c r="H1800" t="s">
        <v>8416</v>
      </c>
      <c r="I1800" t="s">
        <v>8417</v>
      </c>
      <c r="J1800" s="2">
        <v>21817</v>
      </c>
      <c r="K1800" s="2">
        <v>100</v>
      </c>
      <c r="L1800" s="2">
        <v>1</v>
      </c>
      <c r="M1800" s="2">
        <v>0</v>
      </c>
      <c r="N1800" t="s">
        <v>7837</v>
      </c>
      <c r="O1800" t="s">
        <v>7838</v>
      </c>
      <c r="P1800" t="s">
        <v>3487</v>
      </c>
      <c r="Q1800" t="s">
        <v>3488</v>
      </c>
      <c r="S1800" t="s">
        <v>8418</v>
      </c>
      <c r="U1800" t="s">
        <v>45</v>
      </c>
      <c r="V1800" t="s">
        <v>46</v>
      </c>
      <c r="W1800" t="s">
        <v>7837</v>
      </c>
      <c r="X1800" t="s">
        <v>7838</v>
      </c>
      <c r="Y1800" t="s">
        <v>79</v>
      </c>
      <c r="Z1800" t="s">
        <v>94</v>
      </c>
      <c r="AA1800" t="s">
        <v>49</v>
      </c>
      <c r="AB1800" t="s">
        <v>50</v>
      </c>
      <c r="AC1800" s="2">
        <v>21817</v>
      </c>
      <c r="AD1800" t="s">
        <v>64</v>
      </c>
    </row>
    <row r="1801" spans="1:31" x14ac:dyDescent="0.25">
      <c r="A1801" t="s">
        <v>8419</v>
      </c>
      <c r="B1801" t="s">
        <v>8420</v>
      </c>
      <c r="C1801" t="s">
        <v>8420</v>
      </c>
      <c r="D1801" t="s">
        <v>125</v>
      </c>
      <c r="E1801" t="s">
        <v>126</v>
      </c>
      <c r="F1801" t="s">
        <v>8421</v>
      </c>
      <c r="G1801" t="s">
        <v>125</v>
      </c>
      <c r="H1801" t="s">
        <v>446</v>
      </c>
      <c r="I1801" t="s">
        <v>8422</v>
      </c>
      <c r="J1801" s="2">
        <v>1521572</v>
      </c>
      <c r="K1801" s="2">
        <v>6150</v>
      </c>
      <c r="L1801" s="2">
        <v>21</v>
      </c>
      <c r="M1801" s="2">
        <v>0</v>
      </c>
      <c r="N1801" t="s">
        <v>445</v>
      </c>
      <c r="O1801" t="s">
        <v>446</v>
      </c>
      <c r="P1801" t="s">
        <v>4315</v>
      </c>
      <c r="Q1801" t="s">
        <v>4316</v>
      </c>
      <c r="S1801" t="s">
        <v>8423</v>
      </c>
      <c r="U1801" t="s">
        <v>45</v>
      </c>
      <c r="V1801" t="s">
        <v>46</v>
      </c>
      <c r="W1801" t="s">
        <v>445</v>
      </c>
      <c r="X1801" t="s">
        <v>446</v>
      </c>
      <c r="Y1801" t="s">
        <v>72</v>
      </c>
      <c r="Z1801" t="s">
        <v>68</v>
      </c>
      <c r="AA1801" t="s">
        <v>49</v>
      </c>
      <c r="AB1801" t="s">
        <v>50</v>
      </c>
      <c r="AC1801" s="2">
        <v>59464.77</v>
      </c>
      <c r="AD1801" t="s">
        <v>8424</v>
      </c>
      <c r="AE1801" t="s">
        <v>115</v>
      </c>
    </row>
    <row r="1802" spans="1:31" hidden="1" x14ac:dyDescent="0.25">
      <c r="J1802" s="2">
        <v>109085</v>
      </c>
      <c r="K1802" s="2">
        <v>500</v>
      </c>
      <c r="L1802" s="2">
        <v>30</v>
      </c>
      <c r="M1802" s="2">
        <v>0</v>
      </c>
      <c r="S1802" t="s">
        <v>8425</v>
      </c>
      <c r="U1802" t="s">
        <v>45</v>
      </c>
      <c r="V1802" t="s">
        <v>46</v>
      </c>
      <c r="W1802" t="s">
        <v>5201</v>
      </c>
      <c r="X1802" t="s">
        <v>5202</v>
      </c>
      <c r="Y1802" t="s">
        <v>4854</v>
      </c>
      <c r="Z1802" t="s">
        <v>72</v>
      </c>
      <c r="AA1802" t="s">
        <v>49</v>
      </c>
      <c r="AC1802" s="2"/>
    </row>
    <row r="1803" spans="1:31" x14ac:dyDescent="0.25">
      <c r="A1803" t="s">
        <v>8426</v>
      </c>
      <c r="B1803" t="s">
        <v>8427</v>
      </c>
      <c r="C1803" t="s">
        <v>8427</v>
      </c>
      <c r="D1803" t="s">
        <v>344</v>
      </c>
      <c r="E1803" t="s">
        <v>167</v>
      </c>
      <c r="F1803" t="s">
        <v>8428</v>
      </c>
      <c r="G1803" t="s">
        <v>5795</v>
      </c>
      <c r="H1803" t="s">
        <v>1360</v>
      </c>
      <c r="I1803" t="s">
        <v>8429</v>
      </c>
      <c r="J1803" s="2">
        <v>218170</v>
      </c>
      <c r="K1803" s="2">
        <v>1000</v>
      </c>
      <c r="L1803" s="2">
        <v>15</v>
      </c>
      <c r="M1803" s="2">
        <v>0</v>
      </c>
      <c r="N1803" t="s">
        <v>1362</v>
      </c>
      <c r="O1803" t="s">
        <v>1360</v>
      </c>
      <c r="P1803" t="s">
        <v>1421</v>
      </c>
      <c r="Q1803" t="s">
        <v>1422</v>
      </c>
      <c r="S1803" t="s">
        <v>8430</v>
      </c>
      <c r="U1803" t="s">
        <v>45</v>
      </c>
      <c r="V1803" t="s">
        <v>46</v>
      </c>
      <c r="W1803" t="s">
        <v>1362</v>
      </c>
      <c r="X1803" t="s">
        <v>1360</v>
      </c>
      <c r="Y1803" t="s">
        <v>1215</v>
      </c>
      <c r="Z1803" t="s">
        <v>1216</v>
      </c>
      <c r="AA1803" t="s">
        <v>49</v>
      </c>
      <c r="AB1803" t="s">
        <v>50</v>
      </c>
      <c r="AC1803" s="2">
        <v>218170</v>
      </c>
      <c r="AD1803" t="s">
        <v>64</v>
      </c>
    </row>
    <row r="1804" spans="1:31" x14ac:dyDescent="0.25">
      <c r="A1804" t="s">
        <v>8431</v>
      </c>
      <c r="B1804" t="s">
        <v>8432</v>
      </c>
      <c r="C1804" t="s">
        <v>8432</v>
      </c>
      <c r="D1804" t="s">
        <v>847</v>
      </c>
      <c r="E1804" t="s">
        <v>848</v>
      </c>
      <c r="F1804" t="s">
        <v>8433</v>
      </c>
      <c r="G1804" t="s">
        <v>847</v>
      </c>
      <c r="H1804" t="s">
        <v>6113</v>
      </c>
      <c r="I1804" t="s">
        <v>8434</v>
      </c>
      <c r="J1804" s="2">
        <v>1713702</v>
      </c>
      <c r="K1804" s="2">
        <v>7208</v>
      </c>
      <c r="L1804" s="2">
        <v>30</v>
      </c>
      <c r="M1804" s="2">
        <v>0</v>
      </c>
      <c r="N1804" t="s">
        <v>5741</v>
      </c>
      <c r="O1804" t="s">
        <v>5739</v>
      </c>
      <c r="P1804" t="s">
        <v>2320</v>
      </c>
      <c r="Q1804" t="s">
        <v>2321</v>
      </c>
      <c r="S1804" t="s">
        <v>8435</v>
      </c>
      <c r="U1804" t="s">
        <v>45</v>
      </c>
      <c r="V1804" t="s">
        <v>46</v>
      </c>
      <c r="W1804" t="s">
        <v>5741</v>
      </c>
      <c r="X1804" t="s">
        <v>5739</v>
      </c>
      <c r="Y1804" t="s">
        <v>5743</v>
      </c>
      <c r="Z1804" t="s">
        <v>5744</v>
      </c>
      <c r="AA1804" t="s">
        <v>49</v>
      </c>
      <c r="AB1804" t="s">
        <v>50</v>
      </c>
      <c r="AC1804" s="2">
        <v>-20730.68</v>
      </c>
      <c r="AD1804" t="s">
        <v>8436</v>
      </c>
      <c r="AE1804" t="s">
        <v>115</v>
      </c>
    </row>
    <row r="1805" spans="1:31" hidden="1" x14ac:dyDescent="0.25">
      <c r="I1805" t="s">
        <v>8437</v>
      </c>
      <c r="J1805" s="2">
        <v>21817</v>
      </c>
      <c r="K1805" s="2">
        <v>100</v>
      </c>
      <c r="L1805" s="2">
        <v>15</v>
      </c>
      <c r="M1805" s="2">
        <v>0</v>
      </c>
      <c r="S1805" t="s">
        <v>8438</v>
      </c>
      <c r="U1805" t="s">
        <v>45</v>
      </c>
      <c r="V1805" t="s">
        <v>46</v>
      </c>
      <c r="W1805" t="s">
        <v>8403</v>
      </c>
      <c r="X1805" t="s">
        <v>8401</v>
      </c>
      <c r="Y1805" t="s">
        <v>2399</v>
      </c>
      <c r="Z1805" t="s">
        <v>2400</v>
      </c>
      <c r="AA1805" t="s">
        <v>49</v>
      </c>
      <c r="AC1805" s="2"/>
    </row>
    <row r="1806" spans="1:31" x14ac:dyDescent="0.25">
      <c r="A1806" t="s">
        <v>8439</v>
      </c>
      <c r="B1806" t="s">
        <v>8440</v>
      </c>
      <c r="C1806" t="s">
        <v>8440</v>
      </c>
      <c r="D1806" t="s">
        <v>166</v>
      </c>
      <c r="E1806" t="s">
        <v>167</v>
      </c>
      <c r="F1806" t="s">
        <v>8441</v>
      </c>
      <c r="H1806" t="s">
        <v>8101</v>
      </c>
      <c r="I1806" t="s">
        <v>8442</v>
      </c>
      <c r="J1806" s="2">
        <v>1000</v>
      </c>
      <c r="K1806" s="2">
        <v>0</v>
      </c>
      <c r="L1806" s="2">
        <v>21</v>
      </c>
      <c r="M1806" s="2">
        <v>0</v>
      </c>
      <c r="N1806" t="s">
        <v>8100</v>
      </c>
      <c r="O1806" t="s">
        <v>8101</v>
      </c>
      <c r="P1806" t="s">
        <v>4853</v>
      </c>
      <c r="Q1806" t="s">
        <v>4854</v>
      </c>
      <c r="S1806" t="s">
        <v>8443</v>
      </c>
      <c r="U1806" t="s">
        <v>45</v>
      </c>
      <c r="V1806" t="s">
        <v>46</v>
      </c>
      <c r="W1806" t="s">
        <v>8100</v>
      </c>
      <c r="X1806" t="s">
        <v>8101</v>
      </c>
      <c r="Y1806" t="s">
        <v>4854</v>
      </c>
      <c r="Z1806" t="s">
        <v>72</v>
      </c>
      <c r="AA1806" t="s">
        <v>49</v>
      </c>
      <c r="AB1806" t="s">
        <v>50</v>
      </c>
      <c r="AC1806" s="2">
        <v>-4005.72</v>
      </c>
      <c r="AD1806" t="s">
        <v>8444</v>
      </c>
      <c r="AE1806" t="s">
        <v>115</v>
      </c>
    </row>
    <row r="1807" spans="1:31" hidden="1" x14ac:dyDescent="0.25">
      <c r="I1807" t="s">
        <v>8445</v>
      </c>
      <c r="J1807" s="2">
        <v>19592</v>
      </c>
      <c r="K1807" s="2">
        <v>89.8</v>
      </c>
      <c r="L1807" s="2">
        <v>1</v>
      </c>
      <c r="M1807" s="2">
        <v>0</v>
      </c>
      <c r="S1807" t="s">
        <v>8446</v>
      </c>
      <c r="U1807" t="s">
        <v>45</v>
      </c>
      <c r="V1807" t="s">
        <v>46</v>
      </c>
      <c r="W1807" t="s">
        <v>7747</v>
      </c>
      <c r="X1807" t="s">
        <v>2400</v>
      </c>
      <c r="Y1807" t="s">
        <v>2399</v>
      </c>
      <c r="Z1807" t="s">
        <v>2400</v>
      </c>
      <c r="AA1807" t="s">
        <v>49</v>
      </c>
      <c r="AC1807" s="2"/>
    </row>
    <row r="1808" spans="1:31" x14ac:dyDescent="0.25">
      <c r="A1808" t="s">
        <v>8447</v>
      </c>
      <c r="B1808" t="s">
        <v>8448</v>
      </c>
      <c r="C1808" t="s">
        <v>8448</v>
      </c>
      <c r="D1808" t="s">
        <v>133</v>
      </c>
      <c r="E1808" t="s">
        <v>134</v>
      </c>
      <c r="F1808" t="s">
        <v>8449</v>
      </c>
      <c r="H1808" t="s">
        <v>2572</v>
      </c>
      <c r="I1808" t="s">
        <v>8445</v>
      </c>
      <c r="J1808" s="2">
        <v>1551</v>
      </c>
      <c r="K1808" s="2">
        <v>7.11</v>
      </c>
      <c r="L1808" s="2">
        <v>1</v>
      </c>
      <c r="M1808" s="2">
        <v>0</v>
      </c>
      <c r="N1808" t="s">
        <v>2571</v>
      </c>
      <c r="O1808" t="s">
        <v>2572</v>
      </c>
      <c r="P1808" t="s">
        <v>6987</v>
      </c>
      <c r="Q1808" t="s">
        <v>6988</v>
      </c>
      <c r="S1808" t="s">
        <v>8450</v>
      </c>
      <c r="U1808" t="s">
        <v>45</v>
      </c>
      <c r="V1808" t="s">
        <v>46</v>
      </c>
      <c r="W1808" t="s">
        <v>2571</v>
      </c>
      <c r="X1808" t="s">
        <v>2572</v>
      </c>
      <c r="Y1808" t="s">
        <v>2399</v>
      </c>
      <c r="Z1808" t="s">
        <v>2400</v>
      </c>
      <c r="AA1808" t="s">
        <v>49</v>
      </c>
      <c r="AB1808" t="s">
        <v>50</v>
      </c>
      <c r="AC1808" s="2">
        <v>1551</v>
      </c>
      <c r="AD1808" t="s">
        <v>64</v>
      </c>
    </row>
    <row r="1809" spans="1:31" hidden="1" x14ac:dyDescent="0.25">
      <c r="A1809" t="s">
        <v>8451</v>
      </c>
      <c r="B1809" t="s">
        <v>8452</v>
      </c>
      <c r="C1809" t="s">
        <v>8452</v>
      </c>
      <c r="F1809" t="s">
        <v>8453</v>
      </c>
      <c r="H1809" t="s">
        <v>2572</v>
      </c>
      <c r="I1809" t="s">
        <v>8445</v>
      </c>
      <c r="J1809" s="2">
        <v>1551</v>
      </c>
      <c r="K1809" s="2">
        <v>7.11</v>
      </c>
      <c r="L1809" s="2">
        <v>1</v>
      </c>
      <c r="M1809" s="2">
        <v>0</v>
      </c>
      <c r="N1809" t="s">
        <v>2571</v>
      </c>
      <c r="O1809" t="s">
        <v>2572</v>
      </c>
      <c r="P1809" t="s">
        <v>6987</v>
      </c>
      <c r="Q1809" t="s">
        <v>6988</v>
      </c>
      <c r="S1809" t="s">
        <v>8454</v>
      </c>
      <c r="U1809" t="s">
        <v>45</v>
      </c>
      <c r="V1809" t="s">
        <v>46</v>
      </c>
      <c r="W1809" t="s">
        <v>2571</v>
      </c>
      <c r="X1809" t="s">
        <v>2572</v>
      </c>
      <c r="Y1809" t="s">
        <v>2399</v>
      </c>
      <c r="Z1809" t="s">
        <v>2400</v>
      </c>
      <c r="AA1809" t="s">
        <v>49</v>
      </c>
      <c r="AB1809" t="s">
        <v>50</v>
      </c>
      <c r="AC1809" s="2">
        <v>1551</v>
      </c>
      <c r="AD1809" t="s">
        <v>64</v>
      </c>
    </row>
    <row r="1810" spans="1:31" hidden="1" x14ac:dyDescent="0.25">
      <c r="A1810" t="s">
        <v>8455</v>
      </c>
      <c r="B1810" t="s">
        <v>8456</v>
      </c>
      <c r="C1810" t="s">
        <v>8456</v>
      </c>
      <c r="F1810" t="s">
        <v>8457</v>
      </c>
      <c r="H1810" t="s">
        <v>8458</v>
      </c>
      <c r="I1810" t="s">
        <v>8258</v>
      </c>
      <c r="J1810" s="2">
        <v>1000</v>
      </c>
      <c r="K1810" s="2">
        <v>0</v>
      </c>
      <c r="L1810" s="2">
        <v>15</v>
      </c>
      <c r="M1810" s="2">
        <v>0</v>
      </c>
      <c r="N1810" t="s">
        <v>8459</v>
      </c>
      <c r="O1810" t="s">
        <v>8458</v>
      </c>
      <c r="P1810" t="s">
        <v>6987</v>
      </c>
      <c r="Q1810" t="s">
        <v>6988</v>
      </c>
      <c r="S1810" t="s">
        <v>8460</v>
      </c>
      <c r="U1810" t="s">
        <v>45</v>
      </c>
      <c r="V1810" t="s">
        <v>46</v>
      </c>
      <c r="W1810" t="s">
        <v>8459</v>
      </c>
      <c r="X1810" t="s">
        <v>8458</v>
      </c>
      <c r="Y1810" t="s">
        <v>2399</v>
      </c>
      <c r="Z1810" t="s">
        <v>2400</v>
      </c>
      <c r="AA1810" t="s">
        <v>49</v>
      </c>
      <c r="AB1810" t="s">
        <v>50</v>
      </c>
      <c r="AC1810" s="2">
        <v>1000</v>
      </c>
      <c r="AD1810" t="s">
        <v>64</v>
      </c>
    </row>
    <row r="1811" spans="1:31" x14ac:dyDescent="0.25">
      <c r="A1811" t="s">
        <v>8461</v>
      </c>
      <c r="B1811" t="s">
        <v>8462</v>
      </c>
      <c r="C1811" t="s">
        <v>8462</v>
      </c>
      <c r="D1811" t="s">
        <v>125</v>
      </c>
      <c r="E1811" t="s">
        <v>126</v>
      </c>
      <c r="F1811" t="s">
        <v>8463</v>
      </c>
      <c r="G1811" t="s">
        <v>125</v>
      </c>
      <c r="H1811" t="s">
        <v>4854</v>
      </c>
      <c r="I1811" t="s">
        <v>8464</v>
      </c>
      <c r="J1811" s="2">
        <v>1527190</v>
      </c>
      <c r="K1811" s="2">
        <v>7000</v>
      </c>
      <c r="L1811" s="2">
        <v>30</v>
      </c>
      <c r="M1811" s="2">
        <v>0</v>
      </c>
      <c r="N1811" t="s">
        <v>5201</v>
      </c>
      <c r="O1811" t="s">
        <v>5202</v>
      </c>
      <c r="P1811" t="s">
        <v>4853</v>
      </c>
      <c r="Q1811" t="s">
        <v>4854</v>
      </c>
      <c r="S1811" t="s">
        <v>8465</v>
      </c>
      <c r="U1811" t="s">
        <v>45</v>
      </c>
      <c r="V1811" t="s">
        <v>46</v>
      </c>
      <c r="W1811" t="s">
        <v>5201</v>
      </c>
      <c r="X1811" t="s">
        <v>5202</v>
      </c>
      <c r="Y1811" t="s">
        <v>4854</v>
      </c>
      <c r="Z1811" t="s">
        <v>72</v>
      </c>
      <c r="AA1811" t="s">
        <v>49</v>
      </c>
      <c r="AB1811" t="s">
        <v>50</v>
      </c>
      <c r="AC1811" s="2">
        <v>250176.42</v>
      </c>
      <c r="AD1811" t="s">
        <v>8466</v>
      </c>
      <c r="AE1811" t="s">
        <v>52</v>
      </c>
    </row>
    <row r="1812" spans="1:31" x14ac:dyDescent="0.25">
      <c r="A1812" t="s">
        <v>8467</v>
      </c>
      <c r="B1812" t="s">
        <v>8468</v>
      </c>
      <c r="C1812" t="s">
        <v>8468</v>
      </c>
      <c r="D1812" t="s">
        <v>153</v>
      </c>
      <c r="E1812" t="s">
        <v>272</v>
      </c>
      <c r="F1812" t="s">
        <v>8469</v>
      </c>
      <c r="G1812" t="s">
        <v>847</v>
      </c>
      <c r="H1812" t="s">
        <v>8302</v>
      </c>
      <c r="I1812" t="s">
        <v>8470</v>
      </c>
      <c r="J1812" s="2">
        <v>44792</v>
      </c>
      <c r="K1812" s="2">
        <v>200</v>
      </c>
      <c r="L1812" s="2">
        <v>21</v>
      </c>
      <c r="M1812" s="2">
        <v>0</v>
      </c>
      <c r="N1812" t="s">
        <v>5201</v>
      </c>
      <c r="O1812" t="s">
        <v>5202</v>
      </c>
      <c r="P1812" t="s">
        <v>4853</v>
      </c>
      <c r="Q1812" t="s">
        <v>4854</v>
      </c>
      <c r="S1812" t="s">
        <v>8471</v>
      </c>
      <c r="U1812" t="s">
        <v>45</v>
      </c>
      <c r="V1812" t="s">
        <v>46</v>
      </c>
      <c r="W1812" t="s">
        <v>5201</v>
      </c>
      <c r="X1812" t="s">
        <v>5202</v>
      </c>
      <c r="Y1812" t="s">
        <v>4854</v>
      </c>
      <c r="Z1812" t="s">
        <v>72</v>
      </c>
      <c r="AA1812" t="s">
        <v>49</v>
      </c>
      <c r="AB1812" t="s">
        <v>50</v>
      </c>
      <c r="AC1812" s="2">
        <v>44792</v>
      </c>
      <c r="AD1812" t="s">
        <v>64</v>
      </c>
    </row>
    <row r="1813" spans="1:31" hidden="1" x14ac:dyDescent="0.25">
      <c r="I1813" t="s">
        <v>8472</v>
      </c>
      <c r="J1813" s="2">
        <v>436340</v>
      </c>
      <c r="K1813" s="2">
        <v>2000</v>
      </c>
      <c r="L1813" s="2">
        <v>21</v>
      </c>
      <c r="M1813" s="2">
        <v>0</v>
      </c>
      <c r="S1813" t="s">
        <v>8473</v>
      </c>
      <c r="U1813" t="s">
        <v>45</v>
      </c>
      <c r="V1813" t="s">
        <v>46</v>
      </c>
      <c r="W1813" t="s">
        <v>6995</v>
      </c>
      <c r="X1813" t="s">
        <v>6996</v>
      </c>
      <c r="Y1813" t="s">
        <v>2399</v>
      </c>
      <c r="Z1813" t="s">
        <v>2400</v>
      </c>
      <c r="AA1813" t="s">
        <v>49</v>
      </c>
      <c r="AC1813" s="2"/>
    </row>
    <row r="1814" spans="1:31" hidden="1" x14ac:dyDescent="0.25">
      <c r="A1814" s="10" t="s">
        <v>8474</v>
      </c>
      <c r="B1814" s="10" t="s">
        <v>8475</v>
      </c>
      <c r="C1814" t="s">
        <v>8475</v>
      </c>
      <c r="F1814" t="s">
        <v>8476</v>
      </c>
      <c r="H1814" t="s">
        <v>665</v>
      </c>
      <c r="I1814" t="s">
        <v>8477</v>
      </c>
      <c r="J1814" s="2">
        <v>10909</v>
      </c>
      <c r="K1814" s="2">
        <v>50</v>
      </c>
      <c r="L1814" s="2">
        <v>15</v>
      </c>
      <c r="M1814" s="2">
        <v>0</v>
      </c>
      <c r="N1814" t="s">
        <v>664</v>
      </c>
      <c r="O1814" t="s">
        <v>665</v>
      </c>
      <c r="P1814" t="s">
        <v>42</v>
      </c>
      <c r="Q1814" t="s">
        <v>43</v>
      </c>
      <c r="S1814" t="s">
        <v>8478</v>
      </c>
      <c r="U1814" t="s">
        <v>45</v>
      </c>
      <c r="V1814" t="s">
        <v>46</v>
      </c>
      <c r="W1814" t="s">
        <v>664</v>
      </c>
      <c r="X1814" t="s">
        <v>665</v>
      </c>
      <c r="Y1814" t="s">
        <v>106</v>
      </c>
      <c r="Z1814" t="s">
        <v>107</v>
      </c>
      <c r="AA1814" t="s">
        <v>141</v>
      </c>
      <c r="AB1814" t="s">
        <v>142</v>
      </c>
      <c r="AC1814" s="2">
        <v>10909</v>
      </c>
      <c r="AD1814" t="s">
        <v>64</v>
      </c>
    </row>
    <row r="1815" spans="1:31" hidden="1" x14ac:dyDescent="0.25">
      <c r="I1815" t="s">
        <v>8480</v>
      </c>
      <c r="J1815" s="2">
        <v>109085</v>
      </c>
      <c r="K1815" s="2">
        <v>500</v>
      </c>
      <c r="L1815" s="2">
        <v>15</v>
      </c>
      <c r="M1815" s="2">
        <v>0</v>
      </c>
      <c r="S1815" t="s">
        <v>8481</v>
      </c>
      <c r="U1815" t="s">
        <v>45</v>
      </c>
      <c r="V1815" t="s">
        <v>46</v>
      </c>
      <c r="W1815" t="s">
        <v>1119</v>
      </c>
      <c r="X1815" t="s">
        <v>1120</v>
      </c>
      <c r="Y1815" t="s">
        <v>1122</v>
      </c>
      <c r="Z1815" t="s">
        <v>1122</v>
      </c>
      <c r="AA1815" t="s">
        <v>49</v>
      </c>
      <c r="AC1815" s="2"/>
    </row>
    <row r="1816" spans="1:31" x14ac:dyDescent="0.25">
      <c r="A1816" t="s">
        <v>8482</v>
      </c>
      <c r="B1816" t="s">
        <v>8483</v>
      </c>
      <c r="C1816" t="s">
        <v>8483</v>
      </c>
      <c r="D1816" t="s">
        <v>847</v>
      </c>
      <c r="E1816" t="s">
        <v>848</v>
      </c>
      <c r="F1816" t="s">
        <v>8484</v>
      </c>
      <c r="H1816" t="s">
        <v>41</v>
      </c>
      <c r="J1816" s="2">
        <v>10909</v>
      </c>
      <c r="K1816" s="2">
        <v>50</v>
      </c>
      <c r="L1816" s="2">
        <v>15</v>
      </c>
      <c r="M1816" s="2">
        <v>0</v>
      </c>
      <c r="N1816" t="s">
        <v>40</v>
      </c>
      <c r="O1816" t="s">
        <v>41</v>
      </c>
      <c r="P1816" t="s">
        <v>42</v>
      </c>
      <c r="Q1816" t="s">
        <v>43</v>
      </c>
      <c r="U1816" t="s">
        <v>45</v>
      </c>
      <c r="V1816" t="s">
        <v>46</v>
      </c>
      <c r="W1816" t="s">
        <v>40</v>
      </c>
      <c r="X1816" t="s">
        <v>41</v>
      </c>
      <c r="Y1816" t="s">
        <v>47</v>
      </c>
      <c r="Z1816" t="s">
        <v>48</v>
      </c>
      <c r="AA1816" t="s">
        <v>141</v>
      </c>
      <c r="AB1816" t="s">
        <v>50</v>
      </c>
      <c r="AC1816" s="2">
        <v>10904.27</v>
      </c>
      <c r="AD1816" t="s">
        <v>5692</v>
      </c>
    </row>
    <row r="1817" spans="1:31" x14ac:dyDescent="0.25">
      <c r="A1817" t="s">
        <v>8485</v>
      </c>
      <c r="B1817" t="s">
        <v>8486</v>
      </c>
      <c r="C1817" t="s">
        <v>8486</v>
      </c>
      <c r="D1817" t="s">
        <v>35</v>
      </c>
      <c r="E1817" t="s">
        <v>36</v>
      </c>
      <c r="F1817" t="s">
        <v>8487</v>
      </c>
      <c r="G1817" t="s">
        <v>35</v>
      </c>
      <c r="H1817" t="s">
        <v>8005</v>
      </c>
      <c r="I1817" t="s">
        <v>8488</v>
      </c>
      <c r="J1817" s="2">
        <v>565041</v>
      </c>
      <c r="K1817" s="2">
        <v>2300</v>
      </c>
      <c r="L1817" s="2">
        <v>21</v>
      </c>
      <c r="M1817" s="2">
        <v>0</v>
      </c>
      <c r="N1817" t="s">
        <v>8007</v>
      </c>
      <c r="O1817" t="s">
        <v>8005</v>
      </c>
      <c r="P1817" t="s">
        <v>6987</v>
      </c>
      <c r="Q1817" t="s">
        <v>6988</v>
      </c>
      <c r="S1817" t="s">
        <v>8489</v>
      </c>
      <c r="U1817" t="s">
        <v>45</v>
      </c>
      <c r="V1817" t="s">
        <v>46</v>
      </c>
      <c r="W1817" t="s">
        <v>8007</v>
      </c>
      <c r="X1817" t="s">
        <v>8005</v>
      </c>
      <c r="Y1817" t="s">
        <v>2399</v>
      </c>
      <c r="Z1817" t="s">
        <v>2400</v>
      </c>
      <c r="AA1817" t="s">
        <v>49</v>
      </c>
      <c r="AB1817" t="s">
        <v>50</v>
      </c>
      <c r="AC1817" s="2">
        <v>301580.40999999997</v>
      </c>
      <c r="AD1817" t="s">
        <v>8490</v>
      </c>
      <c r="AE1817" t="s">
        <v>52</v>
      </c>
    </row>
    <row r="1818" spans="1:31" x14ac:dyDescent="0.25">
      <c r="A1818" t="s">
        <v>8491</v>
      </c>
      <c r="B1818" t="s">
        <v>8492</v>
      </c>
      <c r="C1818" t="s">
        <v>8492</v>
      </c>
      <c r="D1818" t="s">
        <v>297</v>
      </c>
      <c r="E1818" t="s">
        <v>167</v>
      </c>
      <c r="F1818" t="s">
        <v>8493</v>
      </c>
      <c r="G1818" t="s">
        <v>299</v>
      </c>
      <c r="H1818" t="s">
        <v>2572</v>
      </c>
      <c r="I1818" t="s">
        <v>8494</v>
      </c>
      <c r="J1818" s="2">
        <v>327255</v>
      </c>
      <c r="K1818" s="2">
        <v>1500</v>
      </c>
      <c r="L1818" s="2">
        <v>21</v>
      </c>
      <c r="M1818" s="2">
        <v>0</v>
      </c>
      <c r="N1818" t="s">
        <v>2571</v>
      </c>
      <c r="O1818" t="s">
        <v>2572</v>
      </c>
      <c r="P1818" t="s">
        <v>6987</v>
      </c>
      <c r="Q1818" t="s">
        <v>6988</v>
      </c>
      <c r="S1818" t="s">
        <v>8495</v>
      </c>
      <c r="U1818" t="s">
        <v>45</v>
      </c>
      <c r="V1818" t="s">
        <v>46</v>
      </c>
      <c r="W1818" t="s">
        <v>2571</v>
      </c>
      <c r="X1818" t="s">
        <v>2572</v>
      </c>
      <c r="Y1818" t="s">
        <v>2399</v>
      </c>
      <c r="Z1818" t="s">
        <v>2400</v>
      </c>
      <c r="AA1818" t="s">
        <v>49</v>
      </c>
      <c r="AB1818" t="s">
        <v>50</v>
      </c>
      <c r="AC1818" s="2">
        <v>247878.98</v>
      </c>
      <c r="AD1818" t="s">
        <v>8496</v>
      </c>
      <c r="AE1818" t="s">
        <v>52</v>
      </c>
    </row>
    <row r="1819" spans="1:31" x14ac:dyDescent="0.25">
      <c r="A1819" t="s">
        <v>8497</v>
      </c>
      <c r="B1819" t="s">
        <v>8498</v>
      </c>
      <c r="C1819" t="s">
        <v>8498</v>
      </c>
      <c r="D1819" t="s">
        <v>1169</v>
      </c>
      <c r="E1819" t="s">
        <v>77</v>
      </c>
      <c r="F1819" t="s">
        <v>8499</v>
      </c>
      <c r="G1819" t="s">
        <v>4891</v>
      </c>
      <c r="H1819" t="s">
        <v>8005</v>
      </c>
      <c r="I1819" t="s">
        <v>8500</v>
      </c>
      <c r="J1819" s="2">
        <v>327255</v>
      </c>
      <c r="K1819" s="2">
        <v>1500</v>
      </c>
      <c r="L1819" s="2">
        <v>21</v>
      </c>
      <c r="M1819" s="2">
        <v>0</v>
      </c>
      <c r="N1819" t="s">
        <v>8007</v>
      </c>
      <c r="O1819" t="s">
        <v>8005</v>
      </c>
      <c r="P1819" t="s">
        <v>6987</v>
      </c>
      <c r="Q1819" t="s">
        <v>6988</v>
      </c>
      <c r="S1819" t="s">
        <v>8501</v>
      </c>
      <c r="U1819" t="s">
        <v>45</v>
      </c>
      <c r="V1819" t="s">
        <v>46</v>
      </c>
      <c r="W1819" t="s">
        <v>8007</v>
      </c>
      <c r="X1819" t="s">
        <v>8005</v>
      </c>
      <c r="Y1819" t="s">
        <v>2399</v>
      </c>
      <c r="Z1819" t="s">
        <v>2400</v>
      </c>
      <c r="AA1819" t="s">
        <v>49</v>
      </c>
      <c r="AB1819" t="s">
        <v>50</v>
      </c>
      <c r="AC1819" s="2">
        <v>327255</v>
      </c>
      <c r="AD1819" t="s">
        <v>64</v>
      </c>
    </row>
    <row r="1820" spans="1:31" x14ac:dyDescent="0.25">
      <c r="A1820" t="s">
        <v>8502</v>
      </c>
      <c r="B1820" t="s">
        <v>8503</v>
      </c>
      <c r="C1820" t="s">
        <v>8504</v>
      </c>
      <c r="D1820" t="s">
        <v>847</v>
      </c>
      <c r="E1820" t="s">
        <v>848</v>
      </c>
      <c r="F1820" t="s">
        <v>8505</v>
      </c>
      <c r="G1820" t="s">
        <v>847</v>
      </c>
      <c r="H1820" t="s">
        <v>79</v>
      </c>
      <c r="I1820" t="s">
        <v>8506</v>
      </c>
      <c r="J1820" s="2">
        <v>436340</v>
      </c>
      <c r="K1820" s="2">
        <v>2000</v>
      </c>
      <c r="L1820" s="2">
        <v>21</v>
      </c>
      <c r="M1820" s="2">
        <v>0</v>
      </c>
      <c r="N1820" t="s">
        <v>495</v>
      </c>
      <c r="O1820" t="s">
        <v>79</v>
      </c>
      <c r="P1820" t="s">
        <v>3487</v>
      </c>
      <c r="Q1820" t="s">
        <v>3488</v>
      </c>
      <c r="S1820" t="s">
        <v>8507</v>
      </c>
      <c r="U1820" t="s">
        <v>45</v>
      </c>
      <c r="V1820" t="s">
        <v>46</v>
      </c>
      <c r="W1820" t="s">
        <v>495</v>
      </c>
      <c r="X1820" t="s">
        <v>79</v>
      </c>
      <c r="Y1820" t="s">
        <v>79</v>
      </c>
      <c r="Z1820" t="s">
        <v>94</v>
      </c>
      <c r="AA1820" t="s">
        <v>49</v>
      </c>
      <c r="AB1820" t="s">
        <v>50</v>
      </c>
      <c r="AC1820" s="2">
        <v>415572.85</v>
      </c>
      <c r="AD1820" t="s">
        <v>8508</v>
      </c>
      <c r="AE1820" t="s">
        <v>52</v>
      </c>
    </row>
    <row r="1821" spans="1:31" x14ac:dyDescent="0.25">
      <c r="A1821" t="s">
        <v>8509</v>
      </c>
      <c r="B1821" t="s">
        <v>8510</v>
      </c>
      <c r="C1821" t="s">
        <v>8510</v>
      </c>
      <c r="D1821" t="s">
        <v>297</v>
      </c>
      <c r="E1821" t="s">
        <v>167</v>
      </c>
      <c r="F1821" t="s">
        <v>8511</v>
      </c>
      <c r="G1821" t="s">
        <v>1941</v>
      </c>
      <c r="H1821" t="s">
        <v>157</v>
      </c>
      <c r="J1821" s="2">
        <v>3272550</v>
      </c>
      <c r="K1821" s="2">
        <v>15000</v>
      </c>
      <c r="L1821" s="2">
        <v>30</v>
      </c>
      <c r="M1821" s="2">
        <v>0</v>
      </c>
      <c r="N1821" t="s">
        <v>156</v>
      </c>
      <c r="O1821" t="s">
        <v>157</v>
      </c>
      <c r="P1821" t="s">
        <v>158</v>
      </c>
      <c r="Q1821" t="s">
        <v>159</v>
      </c>
      <c r="S1821" t="s">
        <v>8512</v>
      </c>
      <c r="U1821" t="s">
        <v>45</v>
      </c>
      <c r="V1821" t="s">
        <v>46</v>
      </c>
      <c r="W1821" t="s">
        <v>156</v>
      </c>
      <c r="X1821" t="s">
        <v>157</v>
      </c>
      <c r="Y1821" t="s">
        <v>161</v>
      </c>
      <c r="Z1821" t="s">
        <v>162</v>
      </c>
      <c r="AA1821" t="s">
        <v>49</v>
      </c>
      <c r="AB1821" t="s">
        <v>50</v>
      </c>
      <c r="AC1821" s="2">
        <v>3272550</v>
      </c>
      <c r="AD1821" t="s">
        <v>64</v>
      </c>
    </row>
    <row r="1822" spans="1:31" hidden="1" x14ac:dyDescent="0.25">
      <c r="I1822" t="s">
        <v>8513</v>
      </c>
      <c r="J1822" s="2">
        <v>109085</v>
      </c>
      <c r="K1822" s="2">
        <v>500</v>
      </c>
      <c r="L1822" s="2">
        <v>30</v>
      </c>
      <c r="M1822" s="2">
        <v>0</v>
      </c>
      <c r="S1822" t="s">
        <v>8514</v>
      </c>
      <c r="U1822" t="s">
        <v>45</v>
      </c>
      <c r="V1822" t="s">
        <v>46</v>
      </c>
      <c r="W1822" t="s">
        <v>664</v>
      </c>
      <c r="X1822" t="s">
        <v>665</v>
      </c>
      <c r="Y1822" t="s">
        <v>106</v>
      </c>
      <c r="Z1822" t="s">
        <v>107</v>
      </c>
      <c r="AA1822" t="s">
        <v>49</v>
      </c>
      <c r="AC1822" s="2"/>
    </row>
    <row r="1823" spans="1:31" x14ac:dyDescent="0.25">
      <c r="A1823" t="s">
        <v>8515</v>
      </c>
      <c r="B1823" t="s">
        <v>8516</v>
      </c>
      <c r="C1823" t="s">
        <v>8516</v>
      </c>
      <c r="D1823" t="s">
        <v>35</v>
      </c>
      <c r="E1823" t="s">
        <v>36</v>
      </c>
      <c r="F1823" t="s">
        <v>8517</v>
      </c>
      <c r="G1823" t="s">
        <v>35</v>
      </c>
      <c r="H1823" t="s">
        <v>1360</v>
      </c>
      <c r="I1823" t="s">
        <v>8518</v>
      </c>
      <c r="J1823" s="2">
        <v>150385</v>
      </c>
      <c r="K1823" s="2">
        <v>689.3</v>
      </c>
      <c r="L1823" s="2">
        <v>15</v>
      </c>
      <c r="M1823" s="2">
        <v>0</v>
      </c>
      <c r="N1823" t="s">
        <v>1362</v>
      </c>
      <c r="O1823" t="s">
        <v>1360</v>
      </c>
      <c r="P1823" t="s">
        <v>1421</v>
      </c>
      <c r="Q1823" t="s">
        <v>1422</v>
      </c>
      <c r="S1823" t="s">
        <v>8519</v>
      </c>
      <c r="U1823" t="s">
        <v>45</v>
      </c>
      <c r="V1823" t="s">
        <v>46</v>
      </c>
      <c r="W1823" t="s">
        <v>1362</v>
      </c>
      <c r="X1823" t="s">
        <v>1360</v>
      </c>
      <c r="Y1823" t="s">
        <v>1215</v>
      </c>
      <c r="Z1823" t="s">
        <v>1216</v>
      </c>
      <c r="AA1823" t="s">
        <v>49</v>
      </c>
      <c r="AB1823" t="s">
        <v>50</v>
      </c>
      <c r="AC1823" s="2">
        <v>122074.44</v>
      </c>
      <c r="AD1823" t="s">
        <v>8520</v>
      </c>
      <c r="AE1823" t="s">
        <v>115</v>
      </c>
    </row>
    <row r="1824" spans="1:31" x14ac:dyDescent="0.25">
      <c r="A1824" t="s">
        <v>8521</v>
      </c>
      <c r="B1824" t="s">
        <v>8522</v>
      </c>
      <c r="C1824" t="s">
        <v>8522</v>
      </c>
      <c r="D1824" t="s">
        <v>153</v>
      </c>
      <c r="E1824" t="s">
        <v>272</v>
      </c>
      <c r="F1824" t="s">
        <v>8523</v>
      </c>
      <c r="G1824" t="s">
        <v>299</v>
      </c>
      <c r="H1824" t="s">
        <v>8524</v>
      </c>
      <c r="I1824" t="s">
        <v>8525</v>
      </c>
      <c r="J1824" s="2">
        <v>33594</v>
      </c>
      <c r="K1824" s="2">
        <v>150</v>
      </c>
      <c r="L1824" s="2">
        <v>21</v>
      </c>
      <c r="M1824" s="2">
        <v>0</v>
      </c>
      <c r="N1824" t="s">
        <v>2571</v>
      </c>
      <c r="O1824" t="s">
        <v>2572</v>
      </c>
      <c r="P1824" t="s">
        <v>6987</v>
      </c>
      <c r="Q1824" t="s">
        <v>6988</v>
      </c>
      <c r="S1824" t="s">
        <v>8526</v>
      </c>
      <c r="U1824" t="s">
        <v>45</v>
      </c>
      <c r="V1824" t="s">
        <v>46</v>
      </c>
      <c r="W1824" t="s">
        <v>2571</v>
      </c>
      <c r="X1824" t="s">
        <v>2572</v>
      </c>
      <c r="Y1824" t="s">
        <v>2399</v>
      </c>
      <c r="Z1824" t="s">
        <v>2400</v>
      </c>
      <c r="AA1824" t="s">
        <v>49</v>
      </c>
      <c r="AB1824" t="s">
        <v>50</v>
      </c>
      <c r="AC1824" s="2">
        <v>15812.48</v>
      </c>
      <c r="AD1824" t="s">
        <v>8527</v>
      </c>
      <c r="AE1824" t="s">
        <v>115</v>
      </c>
    </row>
    <row r="1825" spans="1:31" x14ac:dyDescent="0.25">
      <c r="A1825" t="s">
        <v>8528</v>
      </c>
      <c r="B1825" t="s">
        <v>8529</v>
      </c>
      <c r="C1825" t="s">
        <v>8529</v>
      </c>
      <c r="D1825" t="s">
        <v>125</v>
      </c>
      <c r="E1825" t="s">
        <v>126</v>
      </c>
      <c r="F1825" t="s">
        <v>8530</v>
      </c>
      <c r="G1825" t="s">
        <v>125</v>
      </c>
      <c r="H1825" t="s">
        <v>7860</v>
      </c>
      <c r="I1825" t="s">
        <v>8531</v>
      </c>
      <c r="J1825" s="2">
        <v>1058125</v>
      </c>
      <c r="K1825" s="2">
        <v>4850</v>
      </c>
      <c r="L1825" s="2">
        <v>21</v>
      </c>
      <c r="M1825" s="2">
        <v>0</v>
      </c>
      <c r="N1825" t="s">
        <v>4852</v>
      </c>
      <c r="O1825" t="s">
        <v>4851</v>
      </c>
      <c r="P1825" t="s">
        <v>4853</v>
      </c>
      <c r="Q1825" t="s">
        <v>4854</v>
      </c>
      <c r="S1825" t="s">
        <v>8532</v>
      </c>
      <c r="U1825" t="s">
        <v>45</v>
      </c>
      <c r="V1825" t="s">
        <v>46</v>
      </c>
      <c r="W1825" t="s">
        <v>4852</v>
      </c>
      <c r="X1825" t="s">
        <v>4851</v>
      </c>
      <c r="Y1825" t="s">
        <v>4854</v>
      </c>
      <c r="Z1825" t="s">
        <v>72</v>
      </c>
      <c r="AA1825" t="s">
        <v>49</v>
      </c>
      <c r="AB1825" t="s">
        <v>50</v>
      </c>
      <c r="AC1825" s="2">
        <v>576395.77</v>
      </c>
      <c r="AD1825" t="s">
        <v>8533</v>
      </c>
      <c r="AE1825" t="s">
        <v>52</v>
      </c>
    </row>
    <row r="1826" spans="1:31" x14ac:dyDescent="0.25">
      <c r="A1826" t="s">
        <v>8534</v>
      </c>
      <c r="B1826" t="s">
        <v>8535</v>
      </c>
      <c r="C1826" t="s">
        <v>8535</v>
      </c>
      <c r="D1826" t="s">
        <v>125</v>
      </c>
      <c r="E1826" t="s">
        <v>126</v>
      </c>
      <c r="F1826" t="s">
        <v>8536</v>
      </c>
      <c r="G1826" t="s">
        <v>125</v>
      </c>
      <c r="H1826" t="s">
        <v>6519</v>
      </c>
      <c r="I1826" t="s">
        <v>8537</v>
      </c>
      <c r="J1826" s="2">
        <v>436340</v>
      </c>
      <c r="K1826" s="2">
        <v>2000</v>
      </c>
      <c r="L1826" s="2">
        <v>30</v>
      </c>
      <c r="M1826" s="2">
        <v>0</v>
      </c>
      <c r="N1826" t="s">
        <v>5201</v>
      </c>
      <c r="O1826" t="s">
        <v>5202</v>
      </c>
      <c r="P1826" t="s">
        <v>4853</v>
      </c>
      <c r="Q1826" t="s">
        <v>4854</v>
      </c>
      <c r="S1826" t="s">
        <v>8538</v>
      </c>
      <c r="U1826" t="s">
        <v>45</v>
      </c>
      <c r="V1826" t="s">
        <v>46</v>
      </c>
      <c r="W1826" t="s">
        <v>5201</v>
      </c>
      <c r="X1826" t="s">
        <v>5202</v>
      </c>
      <c r="Y1826" t="s">
        <v>4854</v>
      </c>
      <c r="Z1826" t="s">
        <v>72</v>
      </c>
      <c r="AA1826" t="s">
        <v>49</v>
      </c>
      <c r="AB1826" t="s">
        <v>50</v>
      </c>
      <c r="AC1826" s="2">
        <v>407518.77</v>
      </c>
      <c r="AD1826" t="s">
        <v>8539</v>
      </c>
      <c r="AE1826" t="s">
        <v>52</v>
      </c>
    </row>
    <row r="1827" spans="1:31" x14ac:dyDescent="0.25">
      <c r="A1827" t="s">
        <v>8540</v>
      </c>
      <c r="B1827" t="s">
        <v>8541</v>
      </c>
      <c r="C1827" t="s">
        <v>8541</v>
      </c>
      <c r="D1827" t="s">
        <v>35</v>
      </c>
      <c r="E1827" t="s">
        <v>36</v>
      </c>
      <c r="F1827" t="s">
        <v>8542</v>
      </c>
      <c r="G1827" t="s">
        <v>35</v>
      </c>
      <c r="H1827" t="s">
        <v>2396</v>
      </c>
      <c r="J1827" s="2">
        <v>928529</v>
      </c>
      <c r="K1827" s="2">
        <v>4255.99</v>
      </c>
      <c r="L1827" s="2">
        <v>15</v>
      </c>
      <c r="M1827" s="2">
        <v>0</v>
      </c>
      <c r="N1827" t="s">
        <v>6985</v>
      </c>
      <c r="O1827" t="s">
        <v>6986</v>
      </c>
      <c r="P1827" t="s">
        <v>6987</v>
      </c>
      <c r="Q1827" t="s">
        <v>6988</v>
      </c>
      <c r="S1827" t="s">
        <v>8543</v>
      </c>
      <c r="U1827" t="s">
        <v>45</v>
      </c>
      <c r="V1827" t="s">
        <v>46</v>
      </c>
      <c r="W1827" t="s">
        <v>6985</v>
      </c>
      <c r="X1827" t="s">
        <v>6986</v>
      </c>
      <c r="Y1827" t="s">
        <v>2399</v>
      </c>
      <c r="Z1827" t="s">
        <v>2400</v>
      </c>
      <c r="AA1827" t="s">
        <v>49</v>
      </c>
      <c r="AB1827" t="s">
        <v>50</v>
      </c>
      <c r="AC1827" s="2">
        <v>487834.09</v>
      </c>
      <c r="AD1827" t="s">
        <v>8544</v>
      </c>
      <c r="AE1827" t="s">
        <v>52</v>
      </c>
    </row>
    <row r="1828" spans="1:31" hidden="1" x14ac:dyDescent="0.25">
      <c r="I1828" t="s">
        <v>8545</v>
      </c>
      <c r="J1828" s="2">
        <v>218</v>
      </c>
      <c r="K1828" s="2">
        <v>1</v>
      </c>
      <c r="L1828" s="2">
        <v>1</v>
      </c>
      <c r="M1828" s="2">
        <v>0</v>
      </c>
      <c r="S1828" t="s">
        <v>8546</v>
      </c>
      <c r="U1828" t="s">
        <v>45</v>
      </c>
      <c r="V1828" t="s">
        <v>46</v>
      </c>
      <c r="W1828" t="s">
        <v>254</v>
      </c>
      <c r="X1828" t="s">
        <v>255</v>
      </c>
      <c r="Y1828" t="s">
        <v>258</v>
      </c>
      <c r="Z1828" t="s">
        <v>259</v>
      </c>
      <c r="AA1828" t="s">
        <v>49</v>
      </c>
      <c r="AC1828" s="2"/>
    </row>
    <row r="1829" spans="1:31" x14ac:dyDescent="0.25">
      <c r="A1829" t="s">
        <v>8547</v>
      </c>
      <c r="B1829" t="s">
        <v>8548</v>
      </c>
      <c r="C1829" t="s">
        <v>8548</v>
      </c>
      <c r="D1829" t="s">
        <v>569</v>
      </c>
      <c r="E1829" t="s">
        <v>570</v>
      </c>
      <c r="F1829" t="s">
        <v>8549</v>
      </c>
      <c r="G1829" t="s">
        <v>178</v>
      </c>
      <c r="H1829" t="s">
        <v>2427</v>
      </c>
      <c r="I1829" t="s">
        <v>8550</v>
      </c>
      <c r="J1829" s="2">
        <v>1309020</v>
      </c>
      <c r="K1829" s="2">
        <v>6000</v>
      </c>
      <c r="L1829" s="2">
        <v>30</v>
      </c>
      <c r="M1829" s="2">
        <v>0</v>
      </c>
      <c r="N1829" t="s">
        <v>2426</v>
      </c>
      <c r="O1829" t="s">
        <v>2427</v>
      </c>
      <c r="P1829" t="s">
        <v>103</v>
      </c>
      <c r="Q1829" t="s">
        <v>104</v>
      </c>
      <c r="S1829" t="s">
        <v>8551</v>
      </c>
      <c r="U1829" t="s">
        <v>45</v>
      </c>
      <c r="V1829" t="s">
        <v>46</v>
      </c>
      <c r="W1829" t="s">
        <v>2426</v>
      </c>
      <c r="X1829" t="s">
        <v>2427</v>
      </c>
      <c r="Y1829" t="s">
        <v>279</v>
      </c>
      <c r="Z1829" t="s">
        <v>280</v>
      </c>
      <c r="AA1829" t="s">
        <v>49</v>
      </c>
      <c r="AB1829" t="s">
        <v>50</v>
      </c>
      <c r="AC1829" s="2">
        <v>1132754.52</v>
      </c>
      <c r="AD1829" t="s">
        <v>8552</v>
      </c>
      <c r="AE1829" t="s">
        <v>52</v>
      </c>
    </row>
    <row r="1830" spans="1:31" x14ac:dyDescent="0.25">
      <c r="A1830" t="s">
        <v>8553</v>
      </c>
      <c r="B1830" t="s">
        <v>8554</v>
      </c>
      <c r="C1830" t="s">
        <v>8554</v>
      </c>
      <c r="D1830" t="s">
        <v>178</v>
      </c>
      <c r="E1830" t="s">
        <v>179</v>
      </c>
      <c r="F1830" t="s">
        <v>8555</v>
      </c>
      <c r="G1830" t="s">
        <v>166</v>
      </c>
      <c r="H1830" t="s">
        <v>79</v>
      </c>
      <c r="I1830" t="s">
        <v>8556</v>
      </c>
      <c r="J1830" s="2">
        <v>1090850</v>
      </c>
      <c r="K1830" s="2">
        <v>5000</v>
      </c>
      <c r="L1830" s="2">
        <v>21</v>
      </c>
      <c r="M1830" s="2">
        <v>0</v>
      </c>
      <c r="N1830" t="s">
        <v>495</v>
      </c>
      <c r="O1830" t="s">
        <v>79</v>
      </c>
      <c r="P1830" t="s">
        <v>3487</v>
      </c>
      <c r="Q1830" t="s">
        <v>3488</v>
      </c>
      <c r="S1830" t="s">
        <v>8557</v>
      </c>
      <c r="U1830" t="s">
        <v>45</v>
      </c>
      <c r="V1830" t="s">
        <v>46</v>
      </c>
      <c r="W1830" t="s">
        <v>495</v>
      </c>
      <c r="X1830" t="s">
        <v>79</v>
      </c>
      <c r="Y1830" t="s">
        <v>79</v>
      </c>
      <c r="Z1830" t="s">
        <v>94</v>
      </c>
      <c r="AA1830" t="s">
        <v>49</v>
      </c>
      <c r="AB1830" t="s">
        <v>50</v>
      </c>
      <c r="AC1830" s="2">
        <v>1090850</v>
      </c>
      <c r="AD1830" t="s">
        <v>64</v>
      </c>
    </row>
    <row r="1831" spans="1:31" x14ac:dyDescent="0.25">
      <c r="A1831" t="s">
        <v>8558</v>
      </c>
      <c r="B1831" t="s">
        <v>8559</v>
      </c>
      <c r="C1831" t="s">
        <v>8559</v>
      </c>
      <c r="D1831" t="s">
        <v>297</v>
      </c>
      <c r="E1831" t="s">
        <v>167</v>
      </c>
      <c r="F1831" t="s">
        <v>8560</v>
      </c>
      <c r="G1831" t="s">
        <v>297</v>
      </c>
      <c r="H1831" t="s">
        <v>4851</v>
      </c>
      <c r="I1831" t="s">
        <v>8561</v>
      </c>
      <c r="J1831" s="2">
        <v>220352</v>
      </c>
      <c r="K1831" s="2">
        <v>1010</v>
      </c>
      <c r="L1831" s="2">
        <v>21</v>
      </c>
      <c r="M1831" s="2">
        <v>0</v>
      </c>
      <c r="N1831" t="s">
        <v>4852</v>
      </c>
      <c r="O1831" t="s">
        <v>4851</v>
      </c>
      <c r="P1831" t="s">
        <v>4853</v>
      </c>
      <c r="Q1831" t="s">
        <v>4854</v>
      </c>
      <c r="S1831" t="s">
        <v>8562</v>
      </c>
      <c r="U1831" t="s">
        <v>45</v>
      </c>
      <c r="V1831" t="s">
        <v>46</v>
      </c>
      <c r="W1831" t="s">
        <v>4852</v>
      </c>
      <c r="X1831" t="s">
        <v>4851</v>
      </c>
      <c r="Y1831" t="s">
        <v>4854</v>
      </c>
      <c r="Z1831" t="s">
        <v>72</v>
      </c>
      <c r="AA1831" t="s">
        <v>49</v>
      </c>
      <c r="AB1831" t="s">
        <v>50</v>
      </c>
      <c r="AC1831" s="2">
        <v>141147.24</v>
      </c>
      <c r="AD1831" t="s">
        <v>8563</v>
      </c>
      <c r="AE1831" t="s">
        <v>52</v>
      </c>
    </row>
    <row r="1832" spans="1:31" hidden="1" x14ac:dyDescent="0.25">
      <c r="J1832" s="2">
        <v>65451</v>
      </c>
      <c r="K1832" s="2">
        <v>300</v>
      </c>
      <c r="L1832" s="2">
        <v>21</v>
      </c>
      <c r="M1832" s="2">
        <v>0</v>
      </c>
      <c r="S1832" t="s">
        <v>8564</v>
      </c>
      <c r="U1832" t="s">
        <v>45</v>
      </c>
      <c r="V1832" t="s">
        <v>46</v>
      </c>
      <c r="W1832" t="s">
        <v>495</v>
      </c>
      <c r="X1832" t="s">
        <v>79</v>
      </c>
      <c r="Y1832" t="s">
        <v>79</v>
      </c>
      <c r="Z1832" t="s">
        <v>94</v>
      </c>
      <c r="AA1832" t="s">
        <v>49</v>
      </c>
      <c r="AC1832" s="2"/>
    </row>
    <row r="1833" spans="1:31" x14ac:dyDescent="0.25">
      <c r="A1833" t="s">
        <v>8565</v>
      </c>
      <c r="B1833" t="s">
        <v>8566</v>
      </c>
      <c r="C1833" t="s">
        <v>8566</v>
      </c>
      <c r="D1833" t="s">
        <v>297</v>
      </c>
      <c r="E1833" t="s">
        <v>167</v>
      </c>
      <c r="F1833" t="s">
        <v>8567</v>
      </c>
      <c r="G1833" t="s">
        <v>1467</v>
      </c>
      <c r="H1833" t="s">
        <v>79</v>
      </c>
      <c r="I1833" t="s">
        <v>8568</v>
      </c>
      <c r="J1833" s="2">
        <v>109085</v>
      </c>
      <c r="K1833" s="2">
        <v>500</v>
      </c>
      <c r="L1833" s="2">
        <v>15</v>
      </c>
      <c r="M1833" s="2">
        <v>0</v>
      </c>
      <c r="N1833" t="s">
        <v>495</v>
      </c>
      <c r="O1833" t="s">
        <v>79</v>
      </c>
      <c r="P1833" t="s">
        <v>3487</v>
      </c>
      <c r="Q1833" t="s">
        <v>3488</v>
      </c>
      <c r="S1833" t="s">
        <v>8569</v>
      </c>
      <c r="U1833" t="s">
        <v>45</v>
      </c>
      <c r="V1833" t="s">
        <v>46</v>
      </c>
      <c r="W1833" t="s">
        <v>495</v>
      </c>
      <c r="X1833" t="s">
        <v>79</v>
      </c>
      <c r="Y1833" t="s">
        <v>79</v>
      </c>
      <c r="Z1833" t="s">
        <v>94</v>
      </c>
      <c r="AA1833" t="s">
        <v>49</v>
      </c>
      <c r="AB1833" t="s">
        <v>50</v>
      </c>
      <c r="AC1833" s="2">
        <v>23690</v>
      </c>
      <c r="AD1833" t="s">
        <v>8570</v>
      </c>
      <c r="AE1833" t="s">
        <v>115</v>
      </c>
    </row>
    <row r="1834" spans="1:31" hidden="1" x14ac:dyDescent="0.25">
      <c r="A1834" t="s">
        <v>8571</v>
      </c>
      <c r="B1834" t="s">
        <v>8572</v>
      </c>
      <c r="C1834" t="s">
        <v>8572</v>
      </c>
      <c r="F1834" t="s">
        <v>8573</v>
      </c>
      <c r="H1834" t="s">
        <v>79</v>
      </c>
      <c r="I1834" t="s">
        <v>8574</v>
      </c>
      <c r="J1834" s="2">
        <v>100</v>
      </c>
      <c r="K1834" s="2">
        <v>0</v>
      </c>
      <c r="L1834" s="2">
        <v>21</v>
      </c>
      <c r="M1834" s="2">
        <v>0</v>
      </c>
      <c r="N1834" t="s">
        <v>8575</v>
      </c>
      <c r="O1834" t="s">
        <v>8576</v>
      </c>
      <c r="P1834" t="s">
        <v>3487</v>
      </c>
      <c r="Q1834" t="s">
        <v>3488</v>
      </c>
      <c r="S1834" t="s">
        <v>8577</v>
      </c>
      <c r="U1834" t="s">
        <v>45</v>
      </c>
      <c r="V1834" t="s">
        <v>46</v>
      </c>
      <c r="W1834" t="s">
        <v>8575</v>
      </c>
      <c r="X1834" t="s">
        <v>8578</v>
      </c>
      <c r="Y1834" t="s">
        <v>79</v>
      </c>
      <c r="Z1834" t="s">
        <v>94</v>
      </c>
      <c r="AA1834" t="s">
        <v>49</v>
      </c>
      <c r="AB1834" t="s">
        <v>50</v>
      </c>
      <c r="AC1834" s="2">
        <v>100</v>
      </c>
      <c r="AD1834" t="s">
        <v>64</v>
      </c>
    </row>
    <row r="1835" spans="1:31" hidden="1" x14ac:dyDescent="0.25">
      <c r="I1835" t="s">
        <v>8579</v>
      </c>
      <c r="J1835" s="2">
        <v>43634</v>
      </c>
      <c r="K1835" s="2">
        <v>200</v>
      </c>
      <c r="L1835" s="2">
        <v>1</v>
      </c>
      <c r="M1835" s="2">
        <v>0</v>
      </c>
      <c r="S1835" t="s">
        <v>8580</v>
      </c>
      <c r="U1835" t="s">
        <v>45</v>
      </c>
      <c r="V1835" t="s">
        <v>46</v>
      </c>
      <c r="W1835" t="s">
        <v>2113</v>
      </c>
      <c r="X1835" t="s">
        <v>2114</v>
      </c>
      <c r="Y1835" t="s">
        <v>106</v>
      </c>
      <c r="Z1835" t="s">
        <v>107</v>
      </c>
      <c r="AA1835" t="s">
        <v>49</v>
      </c>
      <c r="AC1835" s="2"/>
    </row>
    <row r="1836" spans="1:31" hidden="1" x14ac:dyDescent="0.25">
      <c r="I1836" t="s">
        <v>8581</v>
      </c>
      <c r="J1836" s="2">
        <v>65451</v>
      </c>
      <c r="K1836" s="2">
        <v>300</v>
      </c>
      <c r="L1836" s="2">
        <v>1</v>
      </c>
      <c r="M1836" s="2">
        <v>0</v>
      </c>
      <c r="S1836" t="s">
        <v>8582</v>
      </c>
      <c r="U1836" t="s">
        <v>45</v>
      </c>
      <c r="V1836" t="s">
        <v>46</v>
      </c>
      <c r="W1836" t="s">
        <v>7837</v>
      </c>
      <c r="X1836" t="s">
        <v>7838</v>
      </c>
      <c r="Y1836" t="s">
        <v>79</v>
      </c>
      <c r="Z1836" t="s">
        <v>94</v>
      </c>
      <c r="AA1836" t="s">
        <v>49</v>
      </c>
      <c r="AC1836" s="2"/>
    </row>
    <row r="1837" spans="1:31" x14ac:dyDescent="0.25">
      <c r="A1837" t="s">
        <v>8583</v>
      </c>
      <c r="B1837" t="s">
        <v>8584</v>
      </c>
      <c r="C1837" t="s">
        <v>8584</v>
      </c>
      <c r="D1837" t="s">
        <v>1243</v>
      </c>
      <c r="E1837" t="s">
        <v>871</v>
      </c>
      <c r="F1837" t="s">
        <v>8585</v>
      </c>
      <c r="G1837" t="s">
        <v>5597</v>
      </c>
      <c r="H1837" t="s">
        <v>79</v>
      </c>
      <c r="I1837" t="s">
        <v>8586</v>
      </c>
      <c r="J1837" s="2">
        <v>218170</v>
      </c>
      <c r="K1837" s="2">
        <v>1000</v>
      </c>
      <c r="L1837" s="2">
        <v>25</v>
      </c>
      <c r="M1837" s="2">
        <v>0</v>
      </c>
      <c r="N1837" t="s">
        <v>495</v>
      </c>
      <c r="O1837" t="s">
        <v>79</v>
      </c>
      <c r="P1837" t="s">
        <v>3487</v>
      </c>
      <c r="Q1837" t="s">
        <v>3488</v>
      </c>
      <c r="S1837" t="s">
        <v>8587</v>
      </c>
      <c r="U1837" t="s">
        <v>45</v>
      </c>
      <c r="V1837" t="s">
        <v>46</v>
      </c>
      <c r="W1837" t="s">
        <v>495</v>
      </c>
      <c r="X1837" t="s">
        <v>79</v>
      </c>
      <c r="Y1837" t="s">
        <v>79</v>
      </c>
      <c r="Z1837" t="s">
        <v>94</v>
      </c>
      <c r="AA1837" t="s">
        <v>49</v>
      </c>
      <c r="AB1837" t="s">
        <v>50</v>
      </c>
      <c r="AC1837" s="2">
        <v>218170</v>
      </c>
      <c r="AD1837" t="s">
        <v>64</v>
      </c>
    </row>
    <row r="1838" spans="1:31" x14ac:dyDescent="0.25">
      <c r="A1838" t="s">
        <v>8588</v>
      </c>
      <c r="B1838" t="s">
        <v>8589</v>
      </c>
      <c r="C1838" t="s">
        <v>8589</v>
      </c>
      <c r="D1838" t="s">
        <v>166</v>
      </c>
      <c r="E1838" t="s">
        <v>167</v>
      </c>
      <c r="F1838" t="s">
        <v>8590</v>
      </c>
      <c r="G1838" t="s">
        <v>2687</v>
      </c>
      <c r="H1838" t="s">
        <v>361</v>
      </c>
      <c r="I1838" t="s">
        <v>8591</v>
      </c>
      <c r="J1838" s="2">
        <v>87268</v>
      </c>
      <c r="K1838" s="2">
        <v>400</v>
      </c>
      <c r="L1838" s="2">
        <v>15</v>
      </c>
      <c r="M1838" s="2">
        <v>0</v>
      </c>
      <c r="N1838" t="s">
        <v>360</v>
      </c>
      <c r="O1838" t="s">
        <v>361</v>
      </c>
      <c r="P1838" t="s">
        <v>61</v>
      </c>
      <c r="Q1838" t="s">
        <v>62</v>
      </c>
      <c r="S1838" t="s">
        <v>8592</v>
      </c>
      <c r="U1838" t="s">
        <v>45</v>
      </c>
      <c r="V1838" t="s">
        <v>46</v>
      </c>
      <c r="W1838" t="s">
        <v>360</v>
      </c>
      <c r="X1838" t="s">
        <v>361</v>
      </c>
      <c r="Y1838" t="s">
        <v>47</v>
      </c>
      <c r="Z1838" t="s">
        <v>48</v>
      </c>
      <c r="AA1838" t="s">
        <v>49</v>
      </c>
      <c r="AB1838" t="s">
        <v>50</v>
      </c>
      <c r="AC1838" s="2">
        <v>87268</v>
      </c>
      <c r="AD1838" t="s">
        <v>64</v>
      </c>
    </row>
    <row r="1839" spans="1:31" x14ac:dyDescent="0.25">
      <c r="A1839" t="s">
        <v>8593</v>
      </c>
      <c r="B1839" t="s">
        <v>8594</v>
      </c>
      <c r="C1839" t="s">
        <v>8594</v>
      </c>
      <c r="D1839" t="s">
        <v>35</v>
      </c>
      <c r="E1839" t="s">
        <v>36</v>
      </c>
      <c r="F1839" t="s">
        <v>8595</v>
      </c>
      <c r="G1839" t="s">
        <v>569</v>
      </c>
      <c r="H1839" t="s">
        <v>68</v>
      </c>
      <c r="I1839" t="s">
        <v>1018</v>
      </c>
      <c r="J1839" s="2">
        <v>218170</v>
      </c>
      <c r="K1839" s="2">
        <v>1000</v>
      </c>
      <c r="L1839" s="2">
        <v>30</v>
      </c>
      <c r="M1839" s="2">
        <v>0</v>
      </c>
      <c r="N1839" t="s">
        <v>67</v>
      </c>
      <c r="O1839" t="s">
        <v>68</v>
      </c>
      <c r="P1839" t="s">
        <v>69</v>
      </c>
      <c r="Q1839" t="s">
        <v>70</v>
      </c>
      <c r="S1839" t="s">
        <v>8596</v>
      </c>
      <c r="U1839" t="s">
        <v>45</v>
      </c>
      <c r="V1839" t="s">
        <v>46</v>
      </c>
      <c r="W1839" t="s">
        <v>67</v>
      </c>
      <c r="X1839" t="s">
        <v>68</v>
      </c>
      <c r="Y1839" t="s">
        <v>72</v>
      </c>
      <c r="Z1839" t="s">
        <v>68</v>
      </c>
      <c r="AA1839" t="s">
        <v>49</v>
      </c>
      <c r="AB1839" t="s">
        <v>50</v>
      </c>
      <c r="AC1839" s="2">
        <v>133745.88</v>
      </c>
      <c r="AD1839" t="s">
        <v>8597</v>
      </c>
      <c r="AE1839" t="s">
        <v>52</v>
      </c>
    </row>
    <row r="1840" spans="1:31" x14ac:dyDescent="0.25">
      <c r="A1840" t="s">
        <v>8598</v>
      </c>
      <c r="B1840" t="s">
        <v>8599</v>
      </c>
      <c r="C1840" t="s">
        <v>8599</v>
      </c>
      <c r="D1840" t="s">
        <v>125</v>
      </c>
      <c r="E1840" t="s">
        <v>126</v>
      </c>
      <c r="F1840" t="s">
        <v>8600</v>
      </c>
      <c r="G1840" t="s">
        <v>297</v>
      </c>
      <c r="H1840" t="s">
        <v>2160</v>
      </c>
      <c r="I1840" t="s">
        <v>8601</v>
      </c>
      <c r="J1840" s="2">
        <v>436340</v>
      </c>
      <c r="K1840" s="2">
        <v>2000</v>
      </c>
      <c r="L1840" s="2">
        <v>21</v>
      </c>
      <c r="M1840" s="2">
        <v>0</v>
      </c>
      <c r="N1840" t="s">
        <v>2159</v>
      </c>
      <c r="O1840" t="s">
        <v>2160</v>
      </c>
      <c r="P1840" t="s">
        <v>2320</v>
      </c>
      <c r="Q1840" t="s">
        <v>2321</v>
      </c>
      <c r="S1840" t="s">
        <v>8602</v>
      </c>
      <c r="U1840" t="s">
        <v>45</v>
      </c>
      <c r="V1840" t="s">
        <v>46</v>
      </c>
      <c r="W1840" t="s">
        <v>2159</v>
      </c>
      <c r="X1840" t="s">
        <v>2160</v>
      </c>
      <c r="Y1840" t="s">
        <v>2157</v>
      </c>
      <c r="Z1840" t="s">
        <v>48</v>
      </c>
      <c r="AA1840" t="s">
        <v>49</v>
      </c>
      <c r="AB1840" t="s">
        <v>50</v>
      </c>
      <c r="AC1840" s="2">
        <v>126502.43</v>
      </c>
      <c r="AD1840" t="s">
        <v>8603</v>
      </c>
      <c r="AE1840" t="s">
        <v>52</v>
      </c>
    </row>
    <row r="1841" spans="1:31" x14ac:dyDescent="0.25">
      <c r="A1841" t="s">
        <v>8604</v>
      </c>
      <c r="B1841" t="s">
        <v>8605</v>
      </c>
      <c r="C1841" t="s">
        <v>8605</v>
      </c>
      <c r="D1841" t="s">
        <v>555</v>
      </c>
      <c r="E1841" t="s">
        <v>1502</v>
      </c>
      <c r="F1841" t="s">
        <v>8606</v>
      </c>
      <c r="G1841" t="s">
        <v>1939</v>
      </c>
      <c r="H1841" t="s">
        <v>79</v>
      </c>
      <c r="I1841" t="s">
        <v>8607</v>
      </c>
      <c r="J1841" s="2">
        <v>436340</v>
      </c>
      <c r="K1841" s="2">
        <v>2000</v>
      </c>
      <c r="L1841" s="2">
        <v>21</v>
      </c>
      <c r="M1841" s="2">
        <v>0</v>
      </c>
      <c r="N1841" t="s">
        <v>495</v>
      </c>
      <c r="O1841" t="s">
        <v>79</v>
      </c>
      <c r="P1841" t="s">
        <v>3487</v>
      </c>
      <c r="Q1841" t="s">
        <v>3488</v>
      </c>
      <c r="S1841" t="s">
        <v>8608</v>
      </c>
      <c r="U1841" t="s">
        <v>45</v>
      </c>
      <c r="V1841" t="s">
        <v>46</v>
      </c>
      <c r="W1841" t="s">
        <v>495</v>
      </c>
      <c r="X1841" t="s">
        <v>79</v>
      </c>
      <c r="Y1841" t="s">
        <v>79</v>
      </c>
      <c r="Z1841" t="s">
        <v>94</v>
      </c>
      <c r="AA1841" t="s">
        <v>49</v>
      </c>
      <c r="AB1841" t="s">
        <v>50</v>
      </c>
      <c r="AC1841" s="2">
        <v>436340</v>
      </c>
      <c r="AD1841" t="s">
        <v>64</v>
      </c>
    </row>
    <row r="1842" spans="1:31" hidden="1" x14ac:dyDescent="0.25">
      <c r="A1842" t="s">
        <v>8609</v>
      </c>
      <c r="B1842" t="s">
        <v>8610</v>
      </c>
      <c r="C1842" t="s">
        <v>8610</v>
      </c>
      <c r="F1842" t="s">
        <v>8611</v>
      </c>
      <c r="H1842" t="s">
        <v>6030</v>
      </c>
      <c r="I1842" t="s">
        <v>8612</v>
      </c>
      <c r="J1842" s="2">
        <v>174536</v>
      </c>
      <c r="K1842" s="2">
        <v>800</v>
      </c>
      <c r="L1842" s="2">
        <v>15</v>
      </c>
      <c r="M1842" s="2">
        <v>0</v>
      </c>
      <c r="N1842" t="s">
        <v>6029</v>
      </c>
      <c r="O1842" t="s">
        <v>6030</v>
      </c>
      <c r="P1842" t="s">
        <v>82</v>
      </c>
      <c r="Q1842" t="s">
        <v>83</v>
      </c>
      <c r="S1842" t="s">
        <v>8613</v>
      </c>
      <c r="U1842" t="s">
        <v>45</v>
      </c>
      <c r="V1842" t="s">
        <v>46</v>
      </c>
      <c r="W1842" t="s">
        <v>6029</v>
      </c>
      <c r="X1842" t="s">
        <v>6030</v>
      </c>
      <c r="Y1842" t="s">
        <v>85</v>
      </c>
      <c r="Z1842" t="s">
        <v>86</v>
      </c>
      <c r="AA1842" t="s">
        <v>49</v>
      </c>
      <c r="AB1842" t="s">
        <v>50</v>
      </c>
      <c r="AC1842" s="2">
        <v>174536</v>
      </c>
      <c r="AD1842" t="s">
        <v>64</v>
      </c>
    </row>
    <row r="1843" spans="1:31" x14ac:dyDescent="0.25">
      <c r="A1843" t="s">
        <v>8614</v>
      </c>
      <c r="B1843" t="s">
        <v>8615</v>
      </c>
      <c r="C1843" t="s">
        <v>8615</v>
      </c>
      <c r="D1843" t="s">
        <v>35</v>
      </c>
      <c r="E1843" t="s">
        <v>36</v>
      </c>
      <c r="F1843" t="s">
        <v>8616</v>
      </c>
      <c r="G1843" t="s">
        <v>178</v>
      </c>
      <c r="H1843" t="s">
        <v>7706</v>
      </c>
      <c r="I1843" t="s">
        <v>8617</v>
      </c>
      <c r="J1843" s="2">
        <v>60778</v>
      </c>
      <c r="K1843" s="2">
        <v>250</v>
      </c>
      <c r="L1843" s="2">
        <v>15</v>
      </c>
      <c r="M1843" s="2">
        <v>0</v>
      </c>
      <c r="N1843" t="s">
        <v>7705</v>
      </c>
      <c r="O1843" t="s">
        <v>7706</v>
      </c>
      <c r="P1843" t="s">
        <v>256</v>
      </c>
      <c r="Q1843" t="s">
        <v>255</v>
      </c>
      <c r="S1843" t="s">
        <v>8618</v>
      </c>
      <c r="U1843" t="s">
        <v>45</v>
      </c>
      <c r="V1843" t="s">
        <v>46</v>
      </c>
      <c r="W1843" t="s">
        <v>7705</v>
      </c>
      <c r="X1843" t="s">
        <v>7706</v>
      </c>
      <c r="Y1843" t="s">
        <v>137</v>
      </c>
      <c r="Z1843" t="s">
        <v>717</v>
      </c>
      <c r="AA1843" t="s">
        <v>49</v>
      </c>
      <c r="AB1843" t="s">
        <v>50</v>
      </c>
      <c r="AC1843" s="2">
        <v>57428.74</v>
      </c>
      <c r="AD1843" t="s">
        <v>8619</v>
      </c>
      <c r="AE1843" t="s">
        <v>52</v>
      </c>
    </row>
    <row r="1844" spans="1:31" hidden="1" x14ac:dyDescent="0.25">
      <c r="I1844" t="s">
        <v>8620</v>
      </c>
      <c r="J1844" s="2">
        <v>43634</v>
      </c>
      <c r="K1844" s="2">
        <v>200</v>
      </c>
      <c r="L1844" s="2">
        <v>15</v>
      </c>
      <c r="M1844" s="2">
        <v>0</v>
      </c>
      <c r="S1844" t="s">
        <v>8621</v>
      </c>
      <c r="U1844" t="s">
        <v>45</v>
      </c>
      <c r="V1844" t="s">
        <v>46</v>
      </c>
      <c r="W1844" t="s">
        <v>5469</v>
      </c>
      <c r="X1844" t="s">
        <v>5467</v>
      </c>
      <c r="Y1844" t="s">
        <v>258</v>
      </c>
      <c r="Z1844" t="s">
        <v>259</v>
      </c>
      <c r="AA1844" t="s">
        <v>49</v>
      </c>
      <c r="AC1844" s="2"/>
    </row>
    <row r="1845" spans="1:31" x14ac:dyDescent="0.25">
      <c r="A1845" t="s">
        <v>8622</v>
      </c>
      <c r="B1845" t="s">
        <v>8623</v>
      </c>
      <c r="C1845" t="s">
        <v>8623</v>
      </c>
      <c r="D1845" t="s">
        <v>35</v>
      </c>
      <c r="E1845" t="s">
        <v>36</v>
      </c>
      <c r="F1845" t="s">
        <v>8624</v>
      </c>
      <c r="G1845" t="s">
        <v>35</v>
      </c>
      <c r="H1845" t="s">
        <v>2844</v>
      </c>
      <c r="I1845" t="s">
        <v>8625</v>
      </c>
      <c r="J1845" s="2">
        <v>148380</v>
      </c>
      <c r="K1845" s="2">
        <v>600</v>
      </c>
      <c r="L1845" s="2">
        <v>21</v>
      </c>
      <c r="M1845" s="2">
        <v>0</v>
      </c>
      <c r="N1845" t="s">
        <v>2846</v>
      </c>
      <c r="O1845" t="s">
        <v>2844</v>
      </c>
      <c r="P1845" t="s">
        <v>4315</v>
      </c>
      <c r="Q1845" t="s">
        <v>4316</v>
      </c>
      <c r="S1845" t="s">
        <v>8626</v>
      </c>
      <c r="U1845" t="s">
        <v>45</v>
      </c>
      <c r="V1845" t="s">
        <v>46</v>
      </c>
      <c r="W1845" t="s">
        <v>2846</v>
      </c>
      <c r="X1845" t="s">
        <v>2844</v>
      </c>
      <c r="Y1845" t="s">
        <v>137</v>
      </c>
      <c r="Z1845" t="s">
        <v>717</v>
      </c>
      <c r="AA1845" t="s">
        <v>49</v>
      </c>
      <c r="AB1845" t="s">
        <v>50</v>
      </c>
      <c r="AC1845" s="2">
        <v>14346.33</v>
      </c>
      <c r="AD1845" t="s">
        <v>8627</v>
      </c>
      <c r="AE1845" t="s">
        <v>52</v>
      </c>
    </row>
    <row r="1846" spans="1:31" x14ac:dyDescent="0.25">
      <c r="A1846" t="s">
        <v>8628</v>
      </c>
      <c r="B1846" t="s">
        <v>8629</v>
      </c>
      <c r="C1846" t="s">
        <v>8629</v>
      </c>
      <c r="D1846" t="s">
        <v>569</v>
      </c>
      <c r="E1846" t="s">
        <v>570</v>
      </c>
      <c r="F1846" t="s">
        <v>8630</v>
      </c>
      <c r="G1846" t="s">
        <v>870</v>
      </c>
      <c r="H1846" t="s">
        <v>5739</v>
      </c>
      <c r="I1846" t="s">
        <v>8631</v>
      </c>
      <c r="J1846" s="2">
        <v>109085</v>
      </c>
      <c r="K1846" s="2">
        <v>500</v>
      </c>
      <c r="L1846" s="2">
        <v>15</v>
      </c>
      <c r="M1846" s="2">
        <v>0</v>
      </c>
      <c r="N1846" t="s">
        <v>5741</v>
      </c>
      <c r="O1846" t="s">
        <v>5739</v>
      </c>
      <c r="P1846" t="s">
        <v>5966</v>
      </c>
      <c r="Q1846" t="s">
        <v>5739</v>
      </c>
      <c r="S1846" t="s">
        <v>8632</v>
      </c>
      <c r="U1846" t="s">
        <v>45</v>
      </c>
      <c r="V1846" t="s">
        <v>46</v>
      </c>
      <c r="W1846" t="s">
        <v>5741</v>
      </c>
      <c r="X1846" t="s">
        <v>5739</v>
      </c>
      <c r="Y1846" t="s">
        <v>5743</v>
      </c>
      <c r="Z1846" t="s">
        <v>5744</v>
      </c>
      <c r="AA1846" t="s">
        <v>49</v>
      </c>
      <c r="AB1846" t="s">
        <v>50</v>
      </c>
      <c r="AC1846" s="2">
        <v>109085</v>
      </c>
      <c r="AD1846" t="s">
        <v>64</v>
      </c>
    </row>
    <row r="1847" spans="1:31" hidden="1" x14ac:dyDescent="0.25">
      <c r="I1847" t="s">
        <v>8633</v>
      </c>
      <c r="J1847" s="2">
        <v>43634</v>
      </c>
      <c r="K1847" s="2">
        <v>200</v>
      </c>
      <c r="L1847" s="2">
        <v>15</v>
      </c>
      <c r="M1847" s="2">
        <v>0</v>
      </c>
      <c r="S1847" t="s">
        <v>8634</v>
      </c>
      <c r="U1847" t="s">
        <v>45</v>
      </c>
      <c r="V1847" t="s">
        <v>46</v>
      </c>
      <c r="W1847" t="s">
        <v>495</v>
      </c>
      <c r="X1847" t="s">
        <v>79</v>
      </c>
      <c r="Y1847" t="s">
        <v>79</v>
      </c>
      <c r="Z1847" t="s">
        <v>94</v>
      </c>
      <c r="AA1847" t="s">
        <v>49</v>
      </c>
      <c r="AC1847" s="2"/>
    </row>
    <row r="1848" spans="1:31" x14ac:dyDescent="0.25">
      <c r="A1848" t="s">
        <v>8635</v>
      </c>
      <c r="B1848" t="s">
        <v>8636</v>
      </c>
      <c r="C1848" t="s">
        <v>8636</v>
      </c>
      <c r="D1848" t="s">
        <v>153</v>
      </c>
      <c r="E1848" t="s">
        <v>272</v>
      </c>
      <c r="F1848" t="s">
        <v>8637</v>
      </c>
      <c r="G1848" t="s">
        <v>847</v>
      </c>
      <c r="H1848" t="s">
        <v>81</v>
      </c>
      <c r="I1848" t="s">
        <v>8638</v>
      </c>
      <c r="J1848" s="2">
        <v>47368</v>
      </c>
      <c r="K1848" s="2">
        <v>200</v>
      </c>
      <c r="L1848" s="2">
        <v>3</v>
      </c>
      <c r="M1848" s="2">
        <v>0</v>
      </c>
      <c r="N1848" t="s">
        <v>80</v>
      </c>
      <c r="O1848" t="s">
        <v>81</v>
      </c>
      <c r="P1848" t="s">
        <v>557</v>
      </c>
      <c r="Q1848" t="s">
        <v>558</v>
      </c>
      <c r="S1848" t="s">
        <v>8639</v>
      </c>
      <c r="U1848" t="s">
        <v>45</v>
      </c>
      <c r="V1848" t="s">
        <v>46</v>
      </c>
      <c r="W1848" t="s">
        <v>80</v>
      </c>
      <c r="X1848" t="s">
        <v>81</v>
      </c>
      <c r="Y1848" t="s">
        <v>85</v>
      </c>
      <c r="Z1848" t="s">
        <v>86</v>
      </c>
      <c r="AA1848" t="s">
        <v>49</v>
      </c>
      <c r="AB1848" t="s">
        <v>50</v>
      </c>
      <c r="AC1848" s="2">
        <v>47368</v>
      </c>
      <c r="AD1848" t="s">
        <v>64</v>
      </c>
    </row>
    <row r="1849" spans="1:31" x14ac:dyDescent="0.25">
      <c r="A1849" t="s">
        <v>8640</v>
      </c>
      <c r="B1849" t="s">
        <v>8641</v>
      </c>
      <c r="C1849" t="s">
        <v>8641</v>
      </c>
      <c r="D1849" t="s">
        <v>125</v>
      </c>
      <c r="E1849" t="s">
        <v>126</v>
      </c>
      <c r="F1849" t="s">
        <v>8642</v>
      </c>
      <c r="G1849" t="s">
        <v>125</v>
      </c>
      <c r="H1849" t="s">
        <v>7518</v>
      </c>
      <c r="I1849" t="s">
        <v>8643</v>
      </c>
      <c r="J1849" s="2">
        <v>327255</v>
      </c>
      <c r="K1849" s="2">
        <v>1500</v>
      </c>
      <c r="L1849" s="2">
        <v>21</v>
      </c>
      <c r="M1849" s="2">
        <v>0</v>
      </c>
      <c r="N1849" t="s">
        <v>7517</v>
      </c>
      <c r="O1849" t="s">
        <v>7518</v>
      </c>
      <c r="P1849" t="s">
        <v>1109</v>
      </c>
      <c r="Q1849" t="s">
        <v>1110</v>
      </c>
      <c r="S1849" t="s">
        <v>8644</v>
      </c>
      <c r="U1849" t="s">
        <v>45</v>
      </c>
      <c r="V1849" t="s">
        <v>46</v>
      </c>
      <c r="W1849" t="s">
        <v>7517</v>
      </c>
      <c r="X1849" t="s">
        <v>7518</v>
      </c>
      <c r="Y1849" t="s">
        <v>1215</v>
      </c>
      <c r="Z1849" t="s">
        <v>1216</v>
      </c>
      <c r="AA1849" t="s">
        <v>49</v>
      </c>
      <c r="AB1849" t="s">
        <v>50</v>
      </c>
      <c r="AC1849" s="2">
        <v>115983.43</v>
      </c>
      <c r="AD1849" t="s">
        <v>8645</v>
      </c>
      <c r="AE1849" t="s">
        <v>115</v>
      </c>
    </row>
    <row r="1850" spans="1:31" hidden="1" x14ac:dyDescent="0.25">
      <c r="I1850" t="s">
        <v>8646</v>
      </c>
      <c r="J1850" s="2">
        <v>327255</v>
      </c>
      <c r="K1850" s="2">
        <v>1500</v>
      </c>
      <c r="L1850" s="2">
        <v>15</v>
      </c>
      <c r="M1850" s="2">
        <v>0</v>
      </c>
      <c r="S1850" t="s">
        <v>8647</v>
      </c>
      <c r="U1850" t="s">
        <v>45</v>
      </c>
      <c r="V1850" t="s">
        <v>46</v>
      </c>
      <c r="W1850" t="s">
        <v>753</v>
      </c>
      <c r="X1850" t="s">
        <v>754</v>
      </c>
      <c r="Y1850" t="s">
        <v>47</v>
      </c>
      <c r="Z1850" t="s">
        <v>48</v>
      </c>
      <c r="AA1850" t="s">
        <v>49</v>
      </c>
      <c r="AC1850" s="2"/>
    </row>
    <row r="1851" spans="1:31" x14ac:dyDescent="0.25">
      <c r="A1851" t="s">
        <v>8648</v>
      </c>
      <c r="B1851" t="s">
        <v>8649</v>
      </c>
      <c r="C1851" t="s">
        <v>8649</v>
      </c>
      <c r="D1851" t="s">
        <v>569</v>
      </c>
      <c r="E1851" t="s">
        <v>570</v>
      </c>
      <c r="F1851" t="s">
        <v>8650</v>
      </c>
      <c r="G1851" t="s">
        <v>299</v>
      </c>
      <c r="H1851" t="s">
        <v>1360</v>
      </c>
      <c r="I1851" t="s">
        <v>8651</v>
      </c>
      <c r="J1851" s="2">
        <v>271554</v>
      </c>
      <c r="K1851" s="2">
        <v>1117</v>
      </c>
      <c r="L1851" s="2">
        <v>15</v>
      </c>
      <c r="M1851" s="2">
        <v>0</v>
      </c>
      <c r="N1851" t="s">
        <v>1362</v>
      </c>
      <c r="O1851" t="s">
        <v>1360</v>
      </c>
      <c r="P1851" t="s">
        <v>1421</v>
      </c>
      <c r="Q1851" t="s">
        <v>1422</v>
      </c>
      <c r="S1851" t="s">
        <v>8652</v>
      </c>
      <c r="U1851" t="s">
        <v>45</v>
      </c>
      <c r="V1851" t="s">
        <v>46</v>
      </c>
      <c r="W1851" t="s">
        <v>1362</v>
      </c>
      <c r="X1851" t="s">
        <v>1360</v>
      </c>
      <c r="Y1851" t="s">
        <v>1215</v>
      </c>
      <c r="Z1851" t="s">
        <v>1216</v>
      </c>
      <c r="AA1851" t="s">
        <v>49</v>
      </c>
      <c r="AB1851" t="s">
        <v>50</v>
      </c>
      <c r="AC1851" s="2">
        <v>66126.899999999994</v>
      </c>
      <c r="AD1851" t="s">
        <v>8653</v>
      </c>
      <c r="AE1851" t="s">
        <v>52</v>
      </c>
    </row>
    <row r="1852" spans="1:31" x14ac:dyDescent="0.25">
      <c r="A1852" t="s">
        <v>8654</v>
      </c>
      <c r="B1852" t="s">
        <v>8655</v>
      </c>
      <c r="C1852" t="s">
        <v>8655</v>
      </c>
      <c r="D1852" t="s">
        <v>178</v>
      </c>
      <c r="E1852" t="s">
        <v>179</v>
      </c>
      <c r="F1852" t="s">
        <v>8656</v>
      </c>
      <c r="G1852" t="s">
        <v>178</v>
      </c>
      <c r="H1852" t="s">
        <v>6728</v>
      </c>
      <c r="J1852" s="2">
        <v>174536</v>
      </c>
      <c r="K1852" s="2">
        <v>800</v>
      </c>
      <c r="L1852" s="2">
        <v>15</v>
      </c>
      <c r="M1852" s="2">
        <v>0</v>
      </c>
      <c r="N1852" t="s">
        <v>6730</v>
      </c>
      <c r="O1852" t="s">
        <v>6728</v>
      </c>
      <c r="P1852" t="s">
        <v>557</v>
      </c>
      <c r="Q1852" t="s">
        <v>558</v>
      </c>
      <c r="S1852" t="s">
        <v>8657</v>
      </c>
      <c r="U1852" t="s">
        <v>45</v>
      </c>
      <c r="V1852" t="s">
        <v>46</v>
      </c>
      <c r="W1852" t="s">
        <v>6730</v>
      </c>
      <c r="X1852" t="s">
        <v>6728</v>
      </c>
      <c r="Y1852" t="s">
        <v>85</v>
      </c>
      <c r="Z1852" t="s">
        <v>86</v>
      </c>
      <c r="AA1852" t="s">
        <v>49</v>
      </c>
      <c r="AB1852" t="s">
        <v>50</v>
      </c>
      <c r="AC1852" s="2">
        <v>85762.44</v>
      </c>
      <c r="AD1852" t="s">
        <v>8658</v>
      </c>
      <c r="AE1852" t="s">
        <v>115</v>
      </c>
    </row>
    <row r="1853" spans="1:31" x14ac:dyDescent="0.25">
      <c r="A1853" t="s">
        <v>8659</v>
      </c>
      <c r="B1853" t="s">
        <v>8660</v>
      </c>
      <c r="C1853" t="s">
        <v>8660</v>
      </c>
      <c r="D1853" t="s">
        <v>35</v>
      </c>
      <c r="E1853" t="s">
        <v>36</v>
      </c>
      <c r="F1853" t="s">
        <v>8661</v>
      </c>
      <c r="G1853" t="s">
        <v>35</v>
      </c>
      <c r="H1853" t="s">
        <v>7424</v>
      </c>
      <c r="I1853" t="s">
        <v>8662</v>
      </c>
      <c r="J1853" s="2">
        <v>508537</v>
      </c>
      <c r="K1853" s="2">
        <v>2070</v>
      </c>
      <c r="L1853" s="2">
        <v>25</v>
      </c>
      <c r="M1853" s="2">
        <v>0</v>
      </c>
      <c r="N1853" t="s">
        <v>7423</v>
      </c>
      <c r="O1853" t="s">
        <v>7424</v>
      </c>
      <c r="P1853" t="s">
        <v>3487</v>
      </c>
      <c r="Q1853" t="s">
        <v>3488</v>
      </c>
      <c r="S1853" t="s">
        <v>8663</v>
      </c>
      <c r="U1853" t="s">
        <v>45</v>
      </c>
      <c r="V1853" t="s">
        <v>46</v>
      </c>
      <c r="W1853" t="s">
        <v>7423</v>
      </c>
      <c r="X1853" t="s">
        <v>7424</v>
      </c>
      <c r="Y1853" t="s">
        <v>79</v>
      </c>
      <c r="Z1853" t="s">
        <v>94</v>
      </c>
      <c r="AA1853" t="s">
        <v>49</v>
      </c>
      <c r="AB1853" t="s">
        <v>50</v>
      </c>
      <c r="AC1853" s="2">
        <v>107492.74</v>
      </c>
      <c r="AD1853" t="s">
        <v>8664</v>
      </c>
      <c r="AE1853" t="s">
        <v>52</v>
      </c>
    </row>
    <row r="1854" spans="1:31" x14ac:dyDescent="0.25">
      <c r="A1854" t="s">
        <v>8665</v>
      </c>
      <c r="B1854" t="s">
        <v>8666</v>
      </c>
      <c r="C1854" t="s">
        <v>8666</v>
      </c>
      <c r="D1854" t="s">
        <v>125</v>
      </c>
      <c r="E1854" t="s">
        <v>126</v>
      </c>
      <c r="F1854" t="s">
        <v>8667</v>
      </c>
      <c r="G1854" t="s">
        <v>792</v>
      </c>
      <c r="H1854" t="s">
        <v>2399</v>
      </c>
      <c r="I1854" t="s">
        <v>8668</v>
      </c>
      <c r="J1854" s="2">
        <v>218170</v>
      </c>
      <c r="K1854" s="2">
        <v>1000</v>
      </c>
      <c r="L1854" s="2">
        <v>15</v>
      </c>
      <c r="M1854" s="2">
        <v>0</v>
      </c>
      <c r="N1854" t="s">
        <v>8320</v>
      </c>
      <c r="O1854" t="s">
        <v>8321</v>
      </c>
      <c r="P1854" t="s">
        <v>6987</v>
      </c>
      <c r="Q1854" t="s">
        <v>6988</v>
      </c>
      <c r="S1854" t="s">
        <v>8669</v>
      </c>
      <c r="U1854" t="s">
        <v>45</v>
      </c>
      <c r="V1854" t="s">
        <v>46</v>
      </c>
      <c r="W1854" t="s">
        <v>8320</v>
      </c>
      <c r="X1854" t="s">
        <v>8321</v>
      </c>
      <c r="Y1854" t="s">
        <v>2399</v>
      </c>
      <c r="Z1854" t="s">
        <v>2400</v>
      </c>
      <c r="AA1854" t="s">
        <v>49</v>
      </c>
      <c r="AB1854" t="s">
        <v>50</v>
      </c>
      <c r="AC1854" s="2">
        <v>218170</v>
      </c>
      <c r="AD1854" t="s">
        <v>64</v>
      </c>
    </row>
    <row r="1855" spans="1:31" x14ac:dyDescent="0.25">
      <c r="A1855" t="s">
        <v>8670</v>
      </c>
      <c r="B1855" t="s">
        <v>8671</v>
      </c>
      <c r="C1855" t="s">
        <v>8671</v>
      </c>
      <c r="D1855" t="s">
        <v>35</v>
      </c>
      <c r="E1855" t="s">
        <v>36</v>
      </c>
      <c r="F1855" t="s">
        <v>8672</v>
      </c>
      <c r="G1855" t="s">
        <v>35</v>
      </c>
      <c r="H1855" t="s">
        <v>8673</v>
      </c>
      <c r="I1855" t="s">
        <v>8674</v>
      </c>
      <c r="J1855" s="2">
        <v>1520895</v>
      </c>
      <c r="K1855" s="2">
        <v>6150</v>
      </c>
      <c r="L1855" s="2">
        <v>25</v>
      </c>
      <c r="M1855" s="2">
        <v>0</v>
      </c>
      <c r="N1855" t="s">
        <v>8675</v>
      </c>
      <c r="O1855" t="s">
        <v>8673</v>
      </c>
      <c r="P1855" t="s">
        <v>3487</v>
      </c>
      <c r="Q1855" t="s">
        <v>3488</v>
      </c>
      <c r="S1855" t="s">
        <v>8676</v>
      </c>
      <c r="U1855" t="s">
        <v>45</v>
      </c>
      <c r="V1855" t="s">
        <v>46</v>
      </c>
      <c r="W1855" t="s">
        <v>8675</v>
      </c>
      <c r="X1855" t="s">
        <v>8673</v>
      </c>
      <c r="Y1855" t="s">
        <v>79</v>
      </c>
      <c r="Z1855" t="s">
        <v>94</v>
      </c>
      <c r="AA1855" t="s">
        <v>49</v>
      </c>
      <c r="AB1855" t="s">
        <v>50</v>
      </c>
      <c r="AC1855" s="2">
        <v>-7360.18</v>
      </c>
      <c r="AD1855" t="s">
        <v>8677</v>
      </c>
      <c r="AE1855" t="s">
        <v>115</v>
      </c>
    </row>
    <row r="1856" spans="1:31" hidden="1" x14ac:dyDescent="0.25">
      <c r="I1856" t="s">
        <v>8678</v>
      </c>
      <c r="J1856" s="2">
        <v>100</v>
      </c>
      <c r="K1856" s="2">
        <v>0</v>
      </c>
      <c r="L1856" s="2">
        <v>30</v>
      </c>
      <c r="M1856" s="2">
        <v>0</v>
      </c>
      <c r="S1856" t="s">
        <v>8679</v>
      </c>
      <c r="U1856" t="s">
        <v>45</v>
      </c>
      <c r="V1856" t="s">
        <v>46</v>
      </c>
      <c r="W1856" t="s">
        <v>2571</v>
      </c>
      <c r="X1856" t="s">
        <v>2572</v>
      </c>
      <c r="Y1856" t="s">
        <v>2399</v>
      </c>
      <c r="Z1856" t="s">
        <v>2400</v>
      </c>
      <c r="AA1856" t="s">
        <v>49</v>
      </c>
      <c r="AC1856" s="2"/>
    </row>
    <row r="1857" spans="1:31" hidden="1" x14ac:dyDescent="0.25">
      <c r="I1857" t="s">
        <v>8678</v>
      </c>
      <c r="J1857" s="2">
        <v>100</v>
      </c>
      <c r="K1857" s="2">
        <v>0</v>
      </c>
      <c r="L1857" s="2">
        <v>30</v>
      </c>
      <c r="M1857" s="2">
        <v>0</v>
      </c>
      <c r="S1857" t="s">
        <v>8680</v>
      </c>
      <c r="U1857" t="s">
        <v>45</v>
      </c>
      <c r="V1857" t="s">
        <v>46</v>
      </c>
      <c r="W1857" t="s">
        <v>2571</v>
      </c>
      <c r="X1857" t="s">
        <v>2572</v>
      </c>
      <c r="Y1857" t="s">
        <v>2399</v>
      </c>
      <c r="Z1857" t="s">
        <v>2400</v>
      </c>
      <c r="AA1857" t="s">
        <v>49</v>
      </c>
      <c r="AC1857" s="2"/>
    </row>
    <row r="1858" spans="1:31" hidden="1" x14ac:dyDescent="0.25">
      <c r="I1858" t="s">
        <v>8678</v>
      </c>
      <c r="J1858" s="2">
        <v>100</v>
      </c>
      <c r="K1858" s="2">
        <v>0</v>
      </c>
      <c r="L1858" s="2">
        <v>30</v>
      </c>
      <c r="M1858" s="2">
        <v>0</v>
      </c>
      <c r="S1858" t="s">
        <v>8681</v>
      </c>
      <c r="U1858" t="s">
        <v>45</v>
      </c>
      <c r="V1858" t="s">
        <v>46</v>
      </c>
      <c r="W1858" t="s">
        <v>2571</v>
      </c>
      <c r="X1858" t="s">
        <v>2572</v>
      </c>
      <c r="Y1858" t="s">
        <v>2399</v>
      </c>
      <c r="Z1858" t="s">
        <v>2400</v>
      </c>
      <c r="AA1858" t="s">
        <v>49</v>
      </c>
      <c r="AC1858" s="2"/>
    </row>
    <row r="1859" spans="1:31" hidden="1" x14ac:dyDescent="0.25">
      <c r="I1859" t="s">
        <v>8682</v>
      </c>
      <c r="J1859" s="2">
        <v>100</v>
      </c>
      <c r="K1859" s="2">
        <v>0</v>
      </c>
      <c r="L1859" s="2">
        <v>30</v>
      </c>
      <c r="M1859" s="2">
        <v>0</v>
      </c>
      <c r="S1859" t="s">
        <v>8683</v>
      </c>
      <c r="U1859" t="s">
        <v>45</v>
      </c>
      <c r="V1859" t="s">
        <v>46</v>
      </c>
      <c r="W1859" t="s">
        <v>7747</v>
      </c>
      <c r="X1859" t="s">
        <v>2400</v>
      </c>
      <c r="Y1859" t="s">
        <v>2399</v>
      </c>
      <c r="Z1859" t="s">
        <v>2400</v>
      </c>
      <c r="AA1859" t="s">
        <v>49</v>
      </c>
      <c r="AC1859" s="2"/>
    </row>
    <row r="1860" spans="1:31" x14ac:dyDescent="0.25">
      <c r="A1860" t="s">
        <v>8684</v>
      </c>
      <c r="B1860" t="s">
        <v>8685</v>
      </c>
      <c r="C1860" t="s">
        <v>8685</v>
      </c>
      <c r="D1860" t="s">
        <v>297</v>
      </c>
      <c r="E1860" t="s">
        <v>167</v>
      </c>
      <c r="F1860" t="s">
        <v>8686</v>
      </c>
      <c r="G1860" t="s">
        <v>297</v>
      </c>
      <c r="H1860" t="s">
        <v>8687</v>
      </c>
      <c r="I1860" t="s">
        <v>8688</v>
      </c>
      <c r="J1860" s="2">
        <v>231050</v>
      </c>
      <c r="K1860" s="2">
        <v>1000</v>
      </c>
      <c r="L1860" s="2">
        <v>21</v>
      </c>
      <c r="M1860" s="2">
        <v>0</v>
      </c>
      <c r="N1860" t="s">
        <v>8689</v>
      </c>
      <c r="O1860" t="s">
        <v>8687</v>
      </c>
      <c r="P1860" t="s">
        <v>4853</v>
      </c>
      <c r="Q1860" t="s">
        <v>4854</v>
      </c>
      <c r="S1860" t="s">
        <v>8690</v>
      </c>
      <c r="U1860" t="s">
        <v>45</v>
      </c>
      <c r="V1860" t="s">
        <v>46</v>
      </c>
      <c r="W1860" t="s">
        <v>8689</v>
      </c>
      <c r="X1860" t="s">
        <v>8687</v>
      </c>
      <c r="Y1860" t="s">
        <v>4854</v>
      </c>
      <c r="Z1860" t="s">
        <v>72</v>
      </c>
      <c r="AA1860" t="s">
        <v>49</v>
      </c>
      <c r="AB1860" t="s">
        <v>50</v>
      </c>
      <c r="AC1860" s="2">
        <v>741.3</v>
      </c>
      <c r="AD1860" t="s">
        <v>8691</v>
      </c>
      <c r="AE1860" t="s">
        <v>52</v>
      </c>
    </row>
    <row r="1861" spans="1:31" x14ac:dyDescent="0.25">
      <c r="A1861" t="s">
        <v>8692</v>
      </c>
      <c r="B1861" t="s">
        <v>8693</v>
      </c>
      <c r="C1861" t="s">
        <v>8693</v>
      </c>
      <c r="D1861" t="s">
        <v>297</v>
      </c>
      <c r="E1861" t="s">
        <v>167</v>
      </c>
      <c r="F1861" t="s">
        <v>8694</v>
      </c>
      <c r="G1861" t="s">
        <v>297</v>
      </c>
      <c r="H1861" t="s">
        <v>8302</v>
      </c>
      <c r="I1861" t="s">
        <v>8695</v>
      </c>
      <c r="J1861" s="2">
        <v>207262</v>
      </c>
      <c r="K1861" s="2">
        <v>950</v>
      </c>
      <c r="L1861" s="2">
        <v>21</v>
      </c>
      <c r="M1861" s="2">
        <v>0</v>
      </c>
      <c r="N1861" t="s">
        <v>5201</v>
      </c>
      <c r="O1861" t="s">
        <v>5202</v>
      </c>
      <c r="P1861" t="s">
        <v>4853</v>
      </c>
      <c r="Q1861" t="s">
        <v>4854</v>
      </c>
      <c r="S1861" t="s">
        <v>8696</v>
      </c>
      <c r="U1861" t="s">
        <v>45</v>
      </c>
      <c r="V1861" t="s">
        <v>46</v>
      </c>
      <c r="W1861" t="s">
        <v>5201</v>
      </c>
      <c r="X1861" t="s">
        <v>5202</v>
      </c>
      <c r="Y1861" t="s">
        <v>4854</v>
      </c>
      <c r="Z1861" t="s">
        <v>72</v>
      </c>
      <c r="AA1861" t="s">
        <v>49</v>
      </c>
      <c r="AB1861" t="s">
        <v>50</v>
      </c>
      <c r="AC1861" s="2">
        <v>54313.94</v>
      </c>
      <c r="AD1861" t="s">
        <v>8697</v>
      </c>
      <c r="AE1861" t="s">
        <v>52</v>
      </c>
    </row>
    <row r="1862" spans="1:31" hidden="1" x14ac:dyDescent="0.25">
      <c r="I1862" t="s">
        <v>8698</v>
      </c>
      <c r="J1862" s="2">
        <v>1000</v>
      </c>
      <c r="K1862" s="2">
        <v>0</v>
      </c>
      <c r="L1862" s="2">
        <v>1</v>
      </c>
      <c r="M1862" s="2">
        <v>0</v>
      </c>
      <c r="U1862" t="s">
        <v>45</v>
      </c>
      <c r="V1862" t="s">
        <v>46</v>
      </c>
      <c r="W1862" t="s">
        <v>40</v>
      </c>
      <c r="X1862" t="s">
        <v>41</v>
      </c>
      <c r="Y1862" t="s">
        <v>47</v>
      </c>
      <c r="Z1862" t="s">
        <v>48</v>
      </c>
      <c r="AA1862" t="s">
        <v>49</v>
      </c>
      <c r="AC1862" s="2"/>
    </row>
    <row r="1863" spans="1:31" x14ac:dyDescent="0.25">
      <c r="A1863" t="s">
        <v>8699</v>
      </c>
      <c r="B1863" t="s">
        <v>8700</v>
      </c>
      <c r="C1863" t="s">
        <v>8700</v>
      </c>
      <c r="D1863" t="s">
        <v>178</v>
      </c>
      <c r="E1863" t="s">
        <v>179</v>
      </c>
      <c r="F1863" t="s">
        <v>8701</v>
      </c>
      <c r="G1863" t="s">
        <v>178</v>
      </c>
      <c r="H1863" t="s">
        <v>665</v>
      </c>
      <c r="I1863" t="s">
        <v>8702</v>
      </c>
      <c r="J1863" s="2">
        <v>307620</v>
      </c>
      <c r="K1863" s="2">
        <v>1410</v>
      </c>
      <c r="L1863" s="2">
        <v>30</v>
      </c>
      <c r="M1863" s="2">
        <v>0</v>
      </c>
      <c r="N1863" t="s">
        <v>664</v>
      </c>
      <c r="O1863" t="s">
        <v>665</v>
      </c>
      <c r="P1863" t="s">
        <v>103</v>
      </c>
      <c r="Q1863" t="s">
        <v>104</v>
      </c>
      <c r="S1863" t="s">
        <v>8703</v>
      </c>
      <c r="U1863" t="s">
        <v>45</v>
      </c>
      <c r="V1863" t="s">
        <v>46</v>
      </c>
      <c r="W1863" t="s">
        <v>664</v>
      </c>
      <c r="X1863" t="s">
        <v>665</v>
      </c>
      <c r="Y1863" t="s">
        <v>106</v>
      </c>
      <c r="Z1863" t="s">
        <v>107</v>
      </c>
      <c r="AA1863" t="s">
        <v>49</v>
      </c>
      <c r="AB1863" t="s">
        <v>50</v>
      </c>
      <c r="AC1863" s="2">
        <v>209198.16</v>
      </c>
      <c r="AD1863" t="s">
        <v>8704</v>
      </c>
      <c r="AE1863" t="s">
        <v>52</v>
      </c>
    </row>
    <row r="1864" spans="1:31" x14ac:dyDescent="0.25">
      <c r="A1864" t="s">
        <v>8705</v>
      </c>
      <c r="B1864" t="s">
        <v>8706</v>
      </c>
      <c r="C1864" t="s">
        <v>8706</v>
      </c>
      <c r="D1864" t="s">
        <v>125</v>
      </c>
      <c r="E1864" t="s">
        <v>126</v>
      </c>
      <c r="F1864" t="s">
        <v>8707</v>
      </c>
      <c r="G1864" t="s">
        <v>125</v>
      </c>
      <c r="H1864" t="s">
        <v>7722</v>
      </c>
      <c r="J1864" s="2">
        <v>654510</v>
      </c>
      <c r="K1864" s="2">
        <v>3000</v>
      </c>
      <c r="L1864" s="2">
        <v>21</v>
      </c>
      <c r="M1864" s="2">
        <v>0</v>
      </c>
      <c r="N1864" t="s">
        <v>7723</v>
      </c>
      <c r="O1864" t="s">
        <v>7722</v>
      </c>
      <c r="P1864" t="s">
        <v>2320</v>
      </c>
      <c r="Q1864" t="s">
        <v>2321</v>
      </c>
      <c r="S1864" t="s">
        <v>8708</v>
      </c>
      <c r="U1864" t="s">
        <v>45</v>
      </c>
      <c r="V1864" t="s">
        <v>46</v>
      </c>
      <c r="W1864" t="s">
        <v>7723</v>
      </c>
      <c r="X1864" t="s">
        <v>7722</v>
      </c>
      <c r="Y1864" t="s">
        <v>258</v>
      </c>
      <c r="Z1864" t="s">
        <v>259</v>
      </c>
      <c r="AA1864" t="s">
        <v>49</v>
      </c>
      <c r="AB1864" t="s">
        <v>50</v>
      </c>
      <c r="AC1864" s="2">
        <v>412471.49</v>
      </c>
      <c r="AD1864" t="s">
        <v>8709</v>
      </c>
      <c r="AE1864" t="s">
        <v>115</v>
      </c>
    </row>
    <row r="1865" spans="1:31" x14ac:dyDescent="0.25">
      <c r="A1865" t="s">
        <v>8710</v>
      </c>
      <c r="B1865" t="s">
        <v>8711</v>
      </c>
      <c r="C1865" t="s">
        <v>8711</v>
      </c>
      <c r="D1865" t="s">
        <v>35</v>
      </c>
      <c r="E1865" t="s">
        <v>36</v>
      </c>
      <c r="F1865" t="s">
        <v>8712</v>
      </c>
      <c r="G1865" t="s">
        <v>297</v>
      </c>
      <c r="H1865" t="s">
        <v>2278</v>
      </c>
      <c r="J1865" s="2">
        <v>654510</v>
      </c>
      <c r="K1865" s="2">
        <v>3000</v>
      </c>
      <c r="L1865" s="2">
        <v>21</v>
      </c>
      <c r="M1865" s="2">
        <v>0</v>
      </c>
      <c r="N1865" t="s">
        <v>2277</v>
      </c>
      <c r="O1865" t="s">
        <v>2278</v>
      </c>
      <c r="P1865" t="s">
        <v>2320</v>
      </c>
      <c r="Q1865" t="s">
        <v>2321</v>
      </c>
      <c r="S1865" t="s">
        <v>8713</v>
      </c>
      <c r="U1865" t="s">
        <v>45</v>
      </c>
      <c r="V1865" t="s">
        <v>46</v>
      </c>
      <c r="W1865" t="s">
        <v>2277</v>
      </c>
      <c r="X1865" t="s">
        <v>2278</v>
      </c>
      <c r="Y1865" t="s">
        <v>137</v>
      </c>
      <c r="Z1865" t="s">
        <v>717</v>
      </c>
      <c r="AA1865" t="s">
        <v>49</v>
      </c>
      <c r="AB1865" t="s">
        <v>50</v>
      </c>
      <c r="AC1865" s="2">
        <v>641065.69999999995</v>
      </c>
      <c r="AD1865" t="s">
        <v>8714</v>
      </c>
      <c r="AE1865" t="s">
        <v>115</v>
      </c>
    </row>
    <row r="1866" spans="1:31" x14ac:dyDescent="0.25">
      <c r="A1866" t="s">
        <v>8715</v>
      </c>
      <c r="B1866" t="s">
        <v>8716</v>
      </c>
      <c r="C1866" t="s">
        <v>8716</v>
      </c>
      <c r="D1866" t="s">
        <v>35</v>
      </c>
      <c r="E1866" t="s">
        <v>36</v>
      </c>
      <c r="F1866" t="s">
        <v>8717</v>
      </c>
      <c r="G1866" t="s">
        <v>153</v>
      </c>
      <c r="H1866" t="s">
        <v>7949</v>
      </c>
      <c r="I1866" t="s">
        <v>8718</v>
      </c>
      <c r="J1866" s="2">
        <v>654510</v>
      </c>
      <c r="K1866" s="2">
        <v>3000</v>
      </c>
      <c r="L1866" s="2">
        <v>21</v>
      </c>
      <c r="M1866" s="2">
        <v>0</v>
      </c>
      <c r="N1866" t="s">
        <v>7951</v>
      </c>
      <c r="O1866" t="s">
        <v>7949</v>
      </c>
      <c r="P1866" t="s">
        <v>2320</v>
      </c>
      <c r="Q1866" t="s">
        <v>2321</v>
      </c>
      <c r="S1866" t="s">
        <v>8719</v>
      </c>
      <c r="U1866" t="s">
        <v>45</v>
      </c>
      <c r="V1866" t="s">
        <v>46</v>
      </c>
      <c r="W1866" t="s">
        <v>7951</v>
      </c>
      <c r="X1866" t="s">
        <v>7949</v>
      </c>
      <c r="Y1866" t="s">
        <v>258</v>
      </c>
      <c r="Z1866" t="s">
        <v>259</v>
      </c>
      <c r="AA1866" t="s">
        <v>49</v>
      </c>
      <c r="AB1866" t="s">
        <v>50</v>
      </c>
      <c r="AC1866" s="2">
        <v>545497.43000000005</v>
      </c>
      <c r="AD1866" t="s">
        <v>8720</v>
      </c>
      <c r="AE1866" t="s">
        <v>115</v>
      </c>
    </row>
    <row r="1867" spans="1:31" x14ac:dyDescent="0.25">
      <c r="A1867" t="s">
        <v>8721</v>
      </c>
      <c r="B1867" t="s">
        <v>8722</v>
      </c>
      <c r="C1867" t="s">
        <v>8722</v>
      </c>
      <c r="D1867" t="s">
        <v>35</v>
      </c>
      <c r="E1867" t="s">
        <v>36</v>
      </c>
      <c r="F1867" t="s">
        <v>8723</v>
      </c>
      <c r="G1867" t="s">
        <v>35</v>
      </c>
      <c r="H1867" t="s">
        <v>7949</v>
      </c>
      <c r="I1867" t="s">
        <v>8724</v>
      </c>
      <c r="J1867" s="2">
        <v>654510</v>
      </c>
      <c r="K1867" s="2">
        <v>3000</v>
      </c>
      <c r="L1867" s="2">
        <v>21</v>
      </c>
      <c r="M1867" s="2">
        <v>0</v>
      </c>
      <c r="N1867" t="s">
        <v>7951</v>
      </c>
      <c r="O1867" t="s">
        <v>7949</v>
      </c>
      <c r="P1867" t="s">
        <v>2320</v>
      </c>
      <c r="Q1867" t="s">
        <v>2321</v>
      </c>
      <c r="S1867" t="s">
        <v>8725</v>
      </c>
      <c r="U1867" t="s">
        <v>45</v>
      </c>
      <c r="V1867" t="s">
        <v>46</v>
      </c>
      <c r="W1867" t="s">
        <v>7951</v>
      </c>
      <c r="X1867" t="s">
        <v>7949</v>
      </c>
      <c r="Y1867" t="s">
        <v>258</v>
      </c>
      <c r="Z1867" t="s">
        <v>259</v>
      </c>
      <c r="AA1867" t="s">
        <v>49</v>
      </c>
      <c r="AB1867" t="s">
        <v>50</v>
      </c>
      <c r="AC1867" s="2">
        <v>581187.07999999996</v>
      </c>
      <c r="AD1867" t="s">
        <v>8726</v>
      </c>
      <c r="AE1867" t="s">
        <v>52</v>
      </c>
    </row>
    <row r="1868" spans="1:31" x14ac:dyDescent="0.25">
      <c r="A1868" t="s">
        <v>8727</v>
      </c>
      <c r="B1868" t="s">
        <v>8728</v>
      </c>
      <c r="C1868" t="s">
        <v>8728</v>
      </c>
      <c r="D1868" t="s">
        <v>819</v>
      </c>
      <c r="E1868" t="s">
        <v>224</v>
      </c>
      <c r="F1868" t="s">
        <v>8729</v>
      </c>
      <c r="G1868" t="s">
        <v>4494</v>
      </c>
      <c r="H1868" t="s">
        <v>6986</v>
      </c>
      <c r="I1868" t="s">
        <v>8730</v>
      </c>
      <c r="J1868" s="2">
        <v>305438</v>
      </c>
      <c r="K1868" s="2">
        <v>1400</v>
      </c>
      <c r="L1868" s="2">
        <v>21</v>
      </c>
      <c r="M1868" s="2">
        <v>0</v>
      </c>
      <c r="N1868" t="s">
        <v>6985</v>
      </c>
      <c r="O1868" t="s">
        <v>6986</v>
      </c>
      <c r="P1868" t="s">
        <v>6987</v>
      </c>
      <c r="Q1868" t="s">
        <v>6988</v>
      </c>
      <c r="S1868" t="s">
        <v>8731</v>
      </c>
      <c r="U1868" t="s">
        <v>45</v>
      </c>
      <c r="V1868" t="s">
        <v>46</v>
      </c>
      <c r="W1868" t="s">
        <v>6985</v>
      </c>
      <c r="X1868" t="s">
        <v>6986</v>
      </c>
      <c r="Y1868" t="s">
        <v>2399</v>
      </c>
      <c r="Z1868" t="s">
        <v>2400</v>
      </c>
      <c r="AA1868" t="s">
        <v>49</v>
      </c>
      <c r="AB1868" t="s">
        <v>50</v>
      </c>
      <c r="AC1868" s="2">
        <v>174845.06</v>
      </c>
      <c r="AD1868" t="s">
        <v>8732</v>
      </c>
    </row>
    <row r="1869" spans="1:31" x14ac:dyDescent="0.25">
      <c r="A1869" t="s">
        <v>8733</v>
      </c>
      <c r="B1869" t="s">
        <v>8734</v>
      </c>
      <c r="C1869" t="s">
        <v>8734</v>
      </c>
      <c r="D1869" t="s">
        <v>847</v>
      </c>
      <c r="E1869" t="s">
        <v>848</v>
      </c>
      <c r="F1869" t="s">
        <v>8735</v>
      </c>
      <c r="H1869" t="s">
        <v>41</v>
      </c>
      <c r="J1869" s="2">
        <v>32726</v>
      </c>
      <c r="K1869" s="2">
        <v>150</v>
      </c>
      <c r="L1869" s="2">
        <v>15</v>
      </c>
      <c r="M1869" s="2">
        <v>0</v>
      </c>
      <c r="N1869" t="s">
        <v>40</v>
      </c>
      <c r="O1869" t="s">
        <v>41</v>
      </c>
      <c r="P1869" t="s">
        <v>42</v>
      </c>
      <c r="Q1869" t="s">
        <v>43</v>
      </c>
      <c r="S1869" t="s">
        <v>8736</v>
      </c>
      <c r="U1869" t="s">
        <v>45</v>
      </c>
      <c r="V1869" t="s">
        <v>46</v>
      </c>
      <c r="W1869" t="s">
        <v>40</v>
      </c>
      <c r="X1869" t="s">
        <v>41</v>
      </c>
      <c r="Y1869" t="s">
        <v>47</v>
      </c>
      <c r="Z1869" t="s">
        <v>48</v>
      </c>
      <c r="AA1869" t="s">
        <v>141</v>
      </c>
      <c r="AB1869" t="s">
        <v>50</v>
      </c>
      <c r="AC1869" s="2">
        <v>32726</v>
      </c>
      <c r="AD1869" t="s">
        <v>64</v>
      </c>
    </row>
    <row r="1870" spans="1:31" x14ac:dyDescent="0.25">
      <c r="A1870" t="s">
        <v>8737</v>
      </c>
      <c r="B1870" t="s">
        <v>8738</v>
      </c>
      <c r="C1870" t="s">
        <v>8738</v>
      </c>
      <c r="D1870" t="s">
        <v>35</v>
      </c>
      <c r="E1870" t="s">
        <v>36</v>
      </c>
      <c r="F1870" t="s">
        <v>8739</v>
      </c>
      <c r="G1870" t="s">
        <v>35</v>
      </c>
      <c r="H1870" t="s">
        <v>6030</v>
      </c>
      <c r="I1870" t="s">
        <v>6647</v>
      </c>
      <c r="J1870" s="2">
        <v>472920</v>
      </c>
      <c r="K1870" s="2">
        <v>2000</v>
      </c>
      <c r="L1870" s="2">
        <v>15</v>
      </c>
      <c r="M1870" s="2">
        <v>0</v>
      </c>
      <c r="N1870" t="s">
        <v>6029</v>
      </c>
      <c r="O1870" t="s">
        <v>6030</v>
      </c>
      <c r="P1870" t="s">
        <v>1363</v>
      </c>
      <c r="Q1870" t="s">
        <v>1364</v>
      </c>
      <c r="S1870" t="s">
        <v>8740</v>
      </c>
      <c r="U1870" t="s">
        <v>45</v>
      </c>
      <c r="V1870" t="s">
        <v>46</v>
      </c>
      <c r="W1870" t="s">
        <v>6029</v>
      </c>
      <c r="X1870" t="s">
        <v>6030</v>
      </c>
      <c r="Y1870" t="s">
        <v>85</v>
      </c>
      <c r="Z1870" t="s">
        <v>86</v>
      </c>
      <c r="AA1870" t="s">
        <v>49</v>
      </c>
      <c r="AB1870" t="s">
        <v>50</v>
      </c>
      <c r="AC1870" s="2">
        <v>11720.18</v>
      </c>
      <c r="AD1870" t="s">
        <v>8741</v>
      </c>
      <c r="AE1870" t="s">
        <v>52</v>
      </c>
    </row>
    <row r="1871" spans="1:31" hidden="1" x14ac:dyDescent="0.25">
      <c r="A1871" t="s">
        <v>8742</v>
      </c>
      <c r="B1871" t="s">
        <v>8743</v>
      </c>
      <c r="C1871" t="s">
        <v>8743</v>
      </c>
      <c r="F1871" t="s">
        <v>8744</v>
      </c>
      <c r="H1871" t="s">
        <v>303</v>
      </c>
      <c r="J1871" s="2">
        <v>1000</v>
      </c>
      <c r="K1871" s="2">
        <v>0</v>
      </c>
      <c r="L1871" s="2">
        <v>1</v>
      </c>
      <c r="M1871" s="2">
        <v>0</v>
      </c>
      <c r="N1871" t="s">
        <v>302</v>
      </c>
      <c r="O1871" t="s">
        <v>303</v>
      </c>
      <c r="P1871" t="s">
        <v>304</v>
      </c>
      <c r="Q1871" t="s">
        <v>72</v>
      </c>
      <c r="S1871" t="s">
        <v>8745</v>
      </c>
      <c r="U1871" t="s">
        <v>45</v>
      </c>
      <c r="V1871" t="s">
        <v>46</v>
      </c>
      <c r="W1871" t="s">
        <v>302</v>
      </c>
      <c r="X1871" t="s">
        <v>303</v>
      </c>
      <c r="Y1871" t="s">
        <v>72</v>
      </c>
      <c r="Z1871" t="s">
        <v>68</v>
      </c>
      <c r="AA1871" t="s">
        <v>49</v>
      </c>
      <c r="AB1871" t="s">
        <v>50</v>
      </c>
      <c r="AC1871" s="2">
        <v>1000</v>
      </c>
      <c r="AD1871" t="s">
        <v>64</v>
      </c>
    </row>
    <row r="1872" spans="1:31" x14ac:dyDescent="0.25">
      <c r="A1872" t="s">
        <v>8746</v>
      </c>
      <c r="B1872" t="s">
        <v>8747</v>
      </c>
      <c r="C1872" t="s">
        <v>7001</v>
      </c>
      <c r="D1872" t="s">
        <v>125</v>
      </c>
      <c r="E1872" t="s">
        <v>126</v>
      </c>
      <c r="F1872" t="s">
        <v>4539</v>
      </c>
      <c r="G1872" t="s">
        <v>125</v>
      </c>
      <c r="H1872" t="s">
        <v>41</v>
      </c>
      <c r="J1872" s="2">
        <v>545425</v>
      </c>
      <c r="K1872" s="2">
        <v>2500</v>
      </c>
      <c r="L1872" s="2">
        <v>15</v>
      </c>
      <c r="M1872" s="2">
        <v>0</v>
      </c>
      <c r="N1872" t="s">
        <v>40</v>
      </c>
      <c r="O1872" t="s">
        <v>41</v>
      </c>
      <c r="P1872" t="s">
        <v>61</v>
      </c>
      <c r="Q1872" t="s">
        <v>62</v>
      </c>
      <c r="S1872" t="s">
        <v>4541</v>
      </c>
      <c r="U1872" t="s">
        <v>45</v>
      </c>
      <c r="V1872" t="s">
        <v>46</v>
      </c>
      <c r="W1872" t="s">
        <v>40</v>
      </c>
      <c r="X1872" t="s">
        <v>41</v>
      </c>
      <c r="Y1872" t="s">
        <v>47</v>
      </c>
      <c r="Z1872" t="s">
        <v>48</v>
      </c>
      <c r="AA1872" t="s">
        <v>49</v>
      </c>
      <c r="AB1872" t="s">
        <v>50</v>
      </c>
      <c r="AC1872" s="2">
        <v>483006.22</v>
      </c>
      <c r="AD1872" t="s">
        <v>8748</v>
      </c>
      <c r="AE1872" t="s">
        <v>52</v>
      </c>
    </row>
    <row r="1873" spans="1:31" x14ac:dyDescent="0.25">
      <c r="A1873" t="s">
        <v>8749</v>
      </c>
      <c r="B1873" t="s">
        <v>8750</v>
      </c>
      <c r="C1873" t="s">
        <v>7001</v>
      </c>
      <c r="D1873" t="s">
        <v>125</v>
      </c>
      <c r="E1873" t="s">
        <v>126</v>
      </c>
      <c r="F1873" t="s">
        <v>4539</v>
      </c>
      <c r="G1873" t="s">
        <v>35</v>
      </c>
      <c r="H1873" t="s">
        <v>41</v>
      </c>
      <c r="J1873" s="2">
        <v>545425</v>
      </c>
      <c r="K1873" s="2">
        <v>2500</v>
      </c>
      <c r="L1873" s="2">
        <v>15</v>
      </c>
      <c r="M1873" s="2">
        <v>0</v>
      </c>
      <c r="N1873" t="s">
        <v>40</v>
      </c>
      <c r="O1873" t="s">
        <v>41</v>
      </c>
      <c r="P1873" t="s">
        <v>61</v>
      </c>
      <c r="Q1873" t="s">
        <v>62</v>
      </c>
      <c r="S1873" t="s">
        <v>4541</v>
      </c>
      <c r="U1873" t="s">
        <v>45</v>
      </c>
      <c r="V1873" t="s">
        <v>46</v>
      </c>
      <c r="W1873" t="s">
        <v>40</v>
      </c>
      <c r="X1873" t="s">
        <v>41</v>
      </c>
      <c r="Y1873" t="s">
        <v>47</v>
      </c>
      <c r="Z1873" t="s">
        <v>48</v>
      </c>
      <c r="AA1873" t="s">
        <v>49</v>
      </c>
      <c r="AB1873" t="s">
        <v>50</v>
      </c>
      <c r="AC1873" s="2">
        <v>419587.66</v>
      </c>
      <c r="AD1873" t="s">
        <v>8751</v>
      </c>
      <c r="AE1873" t="s">
        <v>52</v>
      </c>
    </row>
    <row r="1874" spans="1:31" x14ac:dyDescent="0.25">
      <c r="A1874" t="s">
        <v>8752</v>
      </c>
      <c r="B1874" t="s">
        <v>8753</v>
      </c>
      <c r="C1874" t="s">
        <v>4538</v>
      </c>
      <c r="D1874" t="s">
        <v>35</v>
      </c>
      <c r="E1874" t="s">
        <v>36</v>
      </c>
      <c r="F1874" t="s">
        <v>4539</v>
      </c>
      <c r="G1874" t="s">
        <v>35</v>
      </c>
      <c r="H1874" t="s">
        <v>41</v>
      </c>
      <c r="J1874" s="2">
        <v>545425</v>
      </c>
      <c r="K1874" s="2">
        <v>2500</v>
      </c>
      <c r="L1874" s="2">
        <v>15</v>
      </c>
      <c r="M1874" s="2">
        <v>0</v>
      </c>
      <c r="N1874" t="s">
        <v>40</v>
      </c>
      <c r="O1874" t="s">
        <v>41</v>
      </c>
      <c r="P1874" t="s">
        <v>61</v>
      </c>
      <c r="Q1874" t="s">
        <v>62</v>
      </c>
      <c r="S1874" t="s">
        <v>4541</v>
      </c>
      <c r="U1874" t="s">
        <v>45</v>
      </c>
      <c r="V1874" t="s">
        <v>46</v>
      </c>
      <c r="W1874" t="s">
        <v>40</v>
      </c>
      <c r="X1874" t="s">
        <v>41</v>
      </c>
      <c r="Y1874" t="s">
        <v>47</v>
      </c>
      <c r="Z1874" t="s">
        <v>48</v>
      </c>
      <c r="AA1874" t="s">
        <v>49</v>
      </c>
      <c r="AB1874" t="s">
        <v>50</v>
      </c>
      <c r="AC1874" s="2">
        <v>412276.34</v>
      </c>
      <c r="AD1874" t="s">
        <v>8754</v>
      </c>
      <c r="AE1874" t="s">
        <v>52</v>
      </c>
    </row>
    <row r="1875" spans="1:31" x14ac:dyDescent="0.25">
      <c r="A1875" t="s">
        <v>8755</v>
      </c>
      <c r="B1875" t="s">
        <v>8756</v>
      </c>
      <c r="C1875" t="s">
        <v>8756</v>
      </c>
      <c r="D1875" t="s">
        <v>125</v>
      </c>
      <c r="E1875" t="s">
        <v>126</v>
      </c>
      <c r="F1875" t="s">
        <v>8757</v>
      </c>
      <c r="G1875" t="s">
        <v>553</v>
      </c>
      <c r="H1875" t="s">
        <v>6030</v>
      </c>
      <c r="I1875" t="s">
        <v>6647</v>
      </c>
      <c r="J1875" s="2">
        <v>247410</v>
      </c>
      <c r="K1875" s="2">
        <v>1000</v>
      </c>
      <c r="L1875" s="2">
        <v>15</v>
      </c>
      <c r="M1875" s="2">
        <v>0</v>
      </c>
      <c r="N1875" t="s">
        <v>6029</v>
      </c>
      <c r="O1875" t="s">
        <v>6030</v>
      </c>
      <c r="P1875" t="s">
        <v>1363</v>
      </c>
      <c r="Q1875" t="s">
        <v>1364</v>
      </c>
      <c r="S1875" t="s">
        <v>8758</v>
      </c>
      <c r="U1875" t="s">
        <v>45</v>
      </c>
      <c r="V1875" t="s">
        <v>46</v>
      </c>
      <c r="W1875" t="s">
        <v>6029</v>
      </c>
      <c r="X1875" t="s">
        <v>6030</v>
      </c>
      <c r="Y1875" t="s">
        <v>85</v>
      </c>
      <c r="Z1875" t="s">
        <v>86</v>
      </c>
      <c r="AA1875" t="s">
        <v>49</v>
      </c>
      <c r="AB1875" t="s">
        <v>50</v>
      </c>
      <c r="AC1875" s="2">
        <v>93637.759999999995</v>
      </c>
      <c r="AD1875" t="s">
        <v>8759</v>
      </c>
      <c r="AE1875" t="s">
        <v>52</v>
      </c>
    </row>
    <row r="1876" spans="1:31" x14ac:dyDescent="0.25">
      <c r="A1876" t="s">
        <v>8760</v>
      </c>
      <c r="B1876" t="s">
        <v>8761</v>
      </c>
      <c r="C1876" t="s">
        <v>8761</v>
      </c>
      <c r="D1876" t="s">
        <v>344</v>
      </c>
      <c r="E1876" t="s">
        <v>167</v>
      </c>
      <c r="F1876" t="s">
        <v>8762</v>
      </c>
      <c r="G1876" t="s">
        <v>478</v>
      </c>
      <c r="H1876" t="s">
        <v>79</v>
      </c>
      <c r="I1876" t="s">
        <v>8763</v>
      </c>
      <c r="J1876" s="2">
        <v>2243800</v>
      </c>
      <c r="K1876" s="2">
        <v>10000</v>
      </c>
      <c r="L1876" s="2">
        <v>25</v>
      </c>
      <c r="M1876" s="2">
        <v>0</v>
      </c>
      <c r="N1876" t="s">
        <v>495</v>
      </c>
      <c r="O1876" t="s">
        <v>79</v>
      </c>
      <c r="P1876" t="s">
        <v>3487</v>
      </c>
      <c r="Q1876" t="s">
        <v>3488</v>
      </c>
      <c r="S1876" t="s">
        <v>8764</v>
      </c>
      <c r="U1876" t="s">
        <v>45</v>
      </c>
      <c r="V1876" t="s">
        <v>46</v>
      </c>
      <c r="W1876" t="s">
        <v>495</v>
      </c>
      <c r="X1876" t="s">
        <v>79</v>
      </c>
      <c r="Y1876" t="s">
        <v>79</v>
      </c>
      <c r="Z1876" t="s">
        <v>94</v>
      </c>
      <c r="AA1876" t="s">
        <v>49</v>
      </c>
      <c r="AB1876" t="s">
        <v>50</v>
      </c>
      <c r="AC1876" s="2">
        <v>1859055.89</v>
      </c>
      <c r="AD1876" t="s">
        <v>8765</v>
      </c>
      <c r="AE1876" t="s">
        <v>52</v>
      </c>
    </row>
    <row r="1877" spans="1:31" x14ac:dyDescent="0.25">
      <c r="A1877" t="s">
        <v>8766</v>
      </c>
      <c r="B1877" t="s">
        <v>8767</v>
      </c>
      <c r="C1877" t="s">
        <v>8767</v>
      </c>
      <c r="D1877" t="s">
        <v>35</v>
      </c>
      <c r="E1877" t="s">
        <v>36</v>
      </c>
      <c r="F1877" t="s">
        <v>8768</v>
      </c>
      <c r="G1877" t="s">
        <v>847</v>
      </c>
      <c r="H1877" t="s">
        <v>7670</v>
      </c>
      <c r="I1877" t="s">
        <v>8769</v>
      </c>
      <c r="J1877" s="2">
        <v>510531</v>
      </c>
      <c r="K1877" s="2">
        <v>2100</v>
      </c>
      <c r="L1877" s="2">
        <v>21</v>
      </c>
      <c r="M1877" s="2">
        <v>0</v>
      </c>
      <c r="N1877" t="s">
        <v>7669</v>
      </c>
      <c r="O1877" t="s">
        <v>7670</v>
      </c>
      <c r="P1877" t="s">
        <v>2320</v>
      </c>
      <c r="Q1877" t="s">
        <v>2321</v>
      </c>
      <c r="S1877" t="s">
        <v>8770</v>
      </c>
      <c r="U1877" t="s">
        <v>45</v>
      </c>
      <c r="V1877" t="s">
        <v>46</v>
      </c>
      <c r="W1877" t="s">
        <v>7669</v>
      </c>
      <c r="X1877" t="s">
        <v>7670</v>
      </c>
      <c r="Y1877" t="s">
        <v>5743</v>
      </c>
      <c r="Z1877" t="s">
        <v>5744</v>
      </c>
      <c r="AA1877" t="s">
        <v>49</v>
      </c>
      <c r="AB1877" t="s">
        <v>50</v>
      </c>
      <c r="AC1877" s="2">
        <v>261816.79</v>
      </c>
      <c r="AD1877" t="s">
        <v>8771</v>
      </c>
    </row>
    <row r="1878" spans="1:31" x14ac:dyDescent="0.25">
      <c r="A1878" t="s">
        <v>8772</v>
      </c>
      <c r="B1878" t="s">
        <v>8773</v>
      </c>
      <c r="C1878" t="s">
        <v>8773</v>
      </c>
      <c r="D1878" t="s">
        <v>35</v>
      </c>
      <c r="E1878" t="s">
        <v>36</v>
      </c>
      <c r="F1878" t="s">
        <v>8774</v>
      </c>
      <c r="G1878" t="s">
        <v>35</v>
      </c>
      <c r="H1878" t="s">
        <v>8775</v>
      </c>
      <c r="I1878" t="s">
        <v>8776</v>
      </c>
      <c r="J1878" s="2">
        <v>992674</v>
      </c>
      <c r="K1878" s="2">
        <v>4550</v>
      </c>
      <c r="L1878" s="2">
        <v>10</v>
      </c>
      <c r="M1878" s="2">
        <v>0</v>
      </c>
      <c r="N1878" t="s">
        <v>8777</v>
      </c>
      <c r="O1878" t="s">
        <v>8778</v>
      </c>
      <c r="P1878" t="s">
        <v>1421</v>
      </c>
      <c r="Q1878" t="s">
        <v>1422</v>
      </c>
      <c r="S1878" t="s">
        <v>8779</v>
      </c>
      <c r="U1878" t="s">
        <v>45</v>
      </c>
      <c r="V1878" t="s">
        <v>46</v>
      </c>
      <c r="W1878" t="s">
        <v>8777</v>
      </c>
      <c r="X1878" t="s">
        <v>8778</v>
      </c>
      <c r="Y1878" t="s">
        <v>1215</v>
      </c>
      <c r="Z1878" t="s">
        <v>1216</v>
      </c>
      <c r="AA1878" t="s">
        <v>49</v>
      </c>
      <c r="AB1878" t="s">
        <v>50</v>
      </c>
      <c r="AC1878" s="2">
        <v>316666.63</v>
      </c>
      <c r="AD1878" t="s">
        <v>8780</v>
      </c>
      <c r="AE1878" t="s">
        <v>115</v>
      </c>
    </row>
    <row r="1879" spans="1:31" x14ac:dyDescent="0.25">
      <c r="A1879" t="s">
        <v>8781</v>
      </c>
      <c r="B1879" t="s">
        <v>8782</v>
      </c>
      <c r="C1879" t="s">
        <v>8782</v>
      </c>
      <c r="D1879" t="s">
        <v>344</v>
      </c>
      <c r="E1879" t="s">
        <v>167</v>
      </c>
      <c r="F1879" t="s">
        <v>8783</v>
      </c>
      <c r="G1879" t="s">
        <v>649</v>
      </c>
      <c r="H1879" t="s">
        <v>1360</v>
      </c>
      <c r="I1879" t="s">
        <v>8784</v>
      </c>
      <c r="J1879" s="2">
        <v>322252</v>
      </c>
      <c r="K1879" s="2">
        <v>1477.07</v>
      </c>
      <c r="L1879" s="2">
        <v>15</v>
      </c>
      <c r="M1879" s="2">
        <v>0</v>
      </c>
      <c r="N1879" t="s">
        <v>1362</v>
      </c>
      <c r="O1879" t="s">
        <v>1360</v>
      </c>
      <c r="P1879" t="s">
        <v>1421</v>
      </c>
      <c r="Q1879" t="s">
        <v>1422</v>
      </c>
      <c r="S1879" t="s">
        <v>8785</v>
      </c>
      <c r="U1879" t="s">
        <v>45</v>
      </c>
      <c r="V1879" t="s">
        <v>46</v>
      </c>
      <c r="W1879" t="s">
        <v>1362</v>
      </c>
      <c r="X1879" t="s">
        <v>1360</v>
      </c>
      <c r="Y1879" t="s">
        <v>1215</v>
      </c>
      <c r="Z1879" t="s">
        <v>1216</v>
      </c>
      <c r="AA1879" t="s">
        <v>49</v>
      </c>
      <c r="AB1879" t="s">
        <v>50</v>
      </c>
      <c r="AC1879" s="2">
        <v>310333.94</v>
      </c>
      <c r="AD1879" t="s">
        <v>8786</v>
      </c>
      <c r="AE1879" t="s">
        <v>115</v>
      </c>
    </row>
    <row r="1880" spans="1:31" x14ac:dyDescent="0.25">
      <c r="A1880" t="s">
        <v>8787</v>
      </c>
      <c r="B1880" t="s">
        <v>8788</v>
      </c>
      <c r="C1880" t="s">
        <v>8788</v>
      </c>
      <c r="D1880" t="s">
        <v>847</v>
      </c>
      <c r="E1880" t="s">
        <v>848</v>
      </c>
      <c r="F1880" t="s">
        <v>8789</v>
      </c>
      <c r="G1880" t="s">
        <v>847</v>
      </c>
      <c r="H1880" t="s">
        <v>8790</v>
      </c>
      <c r="I1880" t="s">
        <v>8791</v>
      </c>
      <c r="J1880" s="2">
        <v>1156301</v>
      </c>
      <c r="K1880" s="2">
        <v>5300</v>
      </c>
      <c r="L1880" s="2">
        <v>21</v>
      </c>
      <c r="M1880" s="2">
        <v>0</v>
      </c>
      <c r="N1880" t="s">
        <v>8792</v>
      </c>
      <c r="O1880" t="s">
        <v>8790</v>
      </c>
      <c r="P1880" t="s">
        <v>4315</v>
      </c>
      <c r="Q1880" t="s">
        <v>4316</v>
      </c>
      <c r="S1880" t="s">
        <v>8793</v>
      </c>
      <c r="U1880" t="s">
        <v>45</v>
      </c>
      <c r="V1880" t="s">
        <v>46</v>
      </c>
      <c r="W1880" t="s">
        <v>8792</v>
      </c>
      <c r="X1880" t="s">
        <v>8790</v>
      </c>
      <c r="Y1880" t="s">
        <v>7938</v>
      </c>
      <c r="Z1880" t="s">
        <v>7939</v>
      </c>
      <c r="AA1880" t="s">
        <v>49</v>
      </c>
      <c r="AB1880" t="s">
        <v>50</v>
      </c>
      <c r="AC1880" s="2">
        <v>877947.32</v>
      </c>
      <c r="AD1880" t="s">
        <v>8794</v>
      </c>
      <c r="AE1880" t="s">
        <v>52</v>
      </c>
    </row>
    <row r="1881" spans="1:31" x14ac:dyDescent="0.25">
      <c r="A1881" t="s">
        <v>8795</v>
      </c>
      <c r="B1881" t="s">
        <v>8796</v>
      </c>
      <c r="C1881" t="s">
        <v>8796</v>
      </c>
      <c r="D1881" t="s">
        <v>125</v>
      </c>
      <c r="E1881" t="s">
        <v>126</v>
      </c>
      <c r="F1881" t="s">
        <v>8797</v>
      </c>
      <c r="G1881" t="s">
        <v>125</v>
      </c>
      <c r="H1881" t="s">
        <v>2160</v>
      </c>
      <c r="I1881" t="s">
        <v>8798</v>
      </c>
      <c r="J1881" s="2">
        <v>3709500</v>
      </c>
      <c r="K1881" s="2">
        <v>15000</v>
      </c>
      <c r="L1881" s="2">
        <v>30</v>
      </c>
      <c r="M1881" s="2">
        <v>0</v>
      </c>
      <c r="N1881" t="s">
        <v>2159</v>
      </c>
      <c r="O1881" t="s">
        <v>2160</v>
      </c>
      <c r="P1881" t="s">
        <v>2320</v>
      </c>
      <c r="Q1881" t="s">
        <v>2321</v>
      </c>
      <c r="S1881" t="s">
        <v>8799</v>
      </c>
      <c r="U1881" t="s">
        <v>45</v>
      </c>
      <c r="V1881" t="s">
        <v>46</v>
      </c>
      <c r="W1881" t="s">
        <v>2159</v>
      </c>
      <c r="X1881" t="s">
        <v>2160</v>
      </c>
      <c r="Y1881" t="s">
        <v>2157</v>
      </c>
      <c r="Z1881" t="s">
        <v>48</v>
      </c>
      <c r="AA1881" t="s">
        <v>49</v>
      </c>
      <c r="AB1881" t="s">
        <v>50</v>
      </c>
      <c r="AC1881" s="2">
        <v>777242.43</v>
      </c>
      <c r="AD1881" t="s">
        <v>8800</v>
      </c>
      <c r="AE1881" t="s">
        <v>52</v>
      </c>
    </row>
    <row r="1882" spans="1:31" x14ac:dyDescent="0.25">
      <c r="A1882" t="s">
        <v>8801</v>
      </c>
      <c r="B1882" t="s">
        <v>8802</v>
      </c>
      <c r="C1882" t="s">
        <v>8802</v>
      </c>
      <c r="D1882" t="s">
        <v>125</v>
      </c>
      <c r="E1882" t="s">
        <v>126</v>
      </c>
      <c r="F1882" t="s">
        <v>8803</v>
      </c>
      <c r="G1882" t="s">
        <v>847</v>
      </c>
      <c r="H1882" t="s">
        <v>4798</v>
      </c>
      <c r="J1882" s="2">
        <v>687222</v>
      </c>
      <c r="K1882" s="2">
        <v>2809</v>
      </c>
      <c r="L1882" s="2">
        <v>15</v>
      </c>
      <c r="M1882" s="2">
        <v>0</v>
      </c>
      <c r="N1882" t="s">
        <v>4797</v>
      </c>
      <c r="O1882" t="s">
        <v>4798</v>
      </c>
      <c r="P1882" t="s">
        <v>1421</v>
      </c>
      <c r="Q1882" t="s">
        <v>1422</v>
      </c>
      <c r="S1882" t="s">
        <v>8804</v>
      </c>
      <c r="U1882" t="s">
        <v>45</v>
      </c>
      <c r="V1882" t="s">
        <v>46</v>
      </c>
      <c r="W1882" t="s">
        <v>4797</v>
      </c>
      <c r="X1882" t="s">
        <v>4798</v>
      </c>
      <c r="Y1882" t="s">
        <v>1215</v>
      </c>
      <c r="Z1882" t="s">
        <v>1216</v>
      </c>
      <c r="AA1882" t="s">
        <v>49</v>
      </c>
      <c r="AB1882" t="s">
        <v>50</v>
      </c>
      <c r="AC1882" s="2">
        <v>87773.32</v>
      </c>
      <c r="AD1882" t="s">
        <v>8805</v>
      </c>
      <c r="AE1882" t="s">
        <v>52</v>
      </c>
    </row>
    <row r="1883" spans="1:31" x14ac:dyDescent="0.25">
      <c r="A1883" t="s">
        <v>8806</v>
      </c>
      <c r="B1883" t="s">
        <v>8807</v>
      </c>
      <c r="C1883" t="s">
        <v>8807</v>
      </c>
      <c r="D1883" t="s">
        <v>323</v>
      </c>
      <c r="E1883" t="s">
        <v>77</v>
      </c>
      <c r="F1883" t="s">
        <v>8808</v>
      </c>
      <c r="H1883" t="s">
        <v>5739</v>
      </c>
      <c r="I1883" t="s">
        <v>8809</v>
      </c>
      <c r="J1883" s="2">
        <v>109085</v>
      </c>
      <c r="K1883" s="2">
        <v>500</v>
      </c>
      <c r="L1883" s="2">
        <v>15</v>
      </c>
      <c r="M1883" s="2">
        <v>0</v>
      </c>
      <c r="N1883" t="s">
        <v>5741</v>
      </c>
      <c r="O1883" t="s">
        <v>5739</v>
      </c>
      <c r="P1883" t="s">
        <v>2320</v>
      </c>
      <c r="Q1883" t="s">
        <v>2321</v>
      </c>
      <c r="S1883" t="s">
        <v>8810</v>
      </c>
      <c r="U1883" t="s">
        <v>45</v>
      </c>
      <c r="V1883" t="s">
        <v>46</v>
      </c>
      <c r="W1883" t="s">
        <v>5741</v>
      </c>
      <c r="X1883" t="s">
        <v>5739</v>
      </c>
      <c r="Y1883" t="s">
        <v>5743</v>
      </c>
      <c r="Z1883" t="s">
        <v>5744</v>
      </c>
      <c r="AA1883" t="s">
        <v>49</v>
      </c>
      <c r="AB1883" t="s">
        <v>50</v>
      </c>
      <c r="AC1883" s="2">
        <v>109085</v>
      </c>
      <c r="AD1883" t="s">
        <v>64</v>
      </c>
    </row>
    <row r="1884" spans="1:31" x14ac:dyDescent="0.25">
      <c r="A1884" t="s">
        <v>8811</v>
      </c>
      <c r="B1884" t="s">
        <v>8812</v>
      </c>
      <c r="C1884" t="s">
        <v>8812</v>
      </c>
      <c r="D1884" t="s">
        <v>2687</v>
      </c>
      <c r="E1884" t="s">
        <v>190</v>
      </c>
      <c r="F1884" t="s">
        <v>8813</v>
      </c>
      <c r="H1884" t="s">
        <v>614</v>
      </c>
      <c r="I1884" t="s">
        <v>8814</v>
      </c>
      <c r="J1884" s="2">
        <v>1000</v>
      </c>
      <c r="K1884" s="2">
        <v>0</v>
      </c>
      <c r="L1884" s="2">
        <v>1</v>
      </c>
      <c r="M1884" s="2">
        <v>0</v>
      </c>
      <c r="N1884" t="s">
        <v>613</v>
      </c>
      <c r="O1884" t="s">
        <v>614</v>
      </c>
      <c r="P1884" t="s">
        <v>4315</v>
      </c>
      <c r="Q1884" t="s">
        <v>4316</v>
      </c>
      <c r="S1884" t="s">
        <v>8815</v>
      </c>
      <c r="U1884" t="s">
        <v>45</v>
      </c>
      <c r="V1884" t="s">
        <v>46</v>
      </c>
      <c r="W1884" t="s">
        <v>613</v>
      </c>
      <c r="X1884" t="s">
        <v>614</v>
      </c>
      <c r="Y1884" t="s">
        <v>92</v>
      </c>
      <c r="Z1884" t="s">
        <v>94</v>
      </c>
      <c r="AA1884" t="s">
        <v>49</v>
      </c>
      <c r="AB1884" t="s">
        <v>50</v>
      </c>
      <c r="AC1884" s="2">
        <v>-1269.3399999999999</v>
      </c>
      <c r="AD1884" t="s">
        <v>8816</v>
      </c>
      <c r="AE1884" t="s">
        <v>115</v>
      </c>
    </row>
    <row r="1885" spans="1:31" x14ac:dyDescent="0.25">
      <c r="A1885" t="s">
        <v>8817</v>
      </c>
      <c r="B1885" t="s">
        <v>8818</v>
      </c>
      <c r="C1885" t="s">
        <v>8819</v>
      </c>
      <c r="D1885" t="s">
        <v>35</v>
      </c>
      <c r="E1885" t="s">
        <v>36</v>
      </c>
      <c r="F1885" t="s">
        <v>8820</v>
      </c>
      <c r="G1885" t="s">
        <v>35</v>
      </c>
      <c r="H1885" t="s">
        <v>2318</v>
      </c>
      <c r="I1885" t="s">
        <v>8821</v>
      </c>
      <c r="J1885" s="2">
        <v>3927199</v>
      </c>
      <c r="K1885" s="2">
        <v>16154</v>
      </c>
      <c r="L1885" s="2">
        <v>30</v>
      </c>
      <c r="M1885" s="2">
        <v>0</v>
      </c>
      <c r="N1885" t="s">
        <v>2159</v>
      </c>
      <c r="O1885" t="s">
        <v>2160</v>
      </c>
      <c r="P1885" t="s">
        <v>2320</v>
      </c>
      <c r="Q1885" t="s">
        <v>2321</v>
      </c>
      <c r="S1885" t="s">
        <v>8822</v>
      </c>
      <c r="U1885" t="s">
        <v>45</v>
      </c>
      <c r="V1885" t="s">
        <v>46</v>
      </c>
      <c r="W1885" t="s">
        <v>2159</v>
      </c>
      <c r="X1885" t="s">
        <v>2160</v>
      </c>
      <c r="Y1885" t="s">
        <v>2157</v>
      </c>
      <c r="Z1885" t="s">
        <v>48</v>
      </c>
      <c r="AA1885" t="s">
        <v>49</v>
      </c>
      <c r="AB1885" t="s">
        <v>50</v>
      </c>
      <c r="AC1885" s="2">
        <v>1583556.09</v>
      </c>
      <c r="AD1885" t="s">
        <v>8823</v>
      </c>
      <c r="AE1885" t="s">
        <v>52</v>
      </c>
    </row>
    <row r="1886" spans="1:31" x14ac:dyDescent="0.25">
      <c r="A1886" t="s">
        <v>8824</v>
      </c>
      <c r="B1886" t="s">
        <v>8825</v>
      </c>
      <c r="C1886" t="s">
        <v>8825</v>
      </c>
      <c r="D1886" t="s">
        <v>35</v>
      </c>
      <c r="E1886" t="s">
        <v>36</v>
      </c>
      <c r="F1886" t="s">
        <v>8826</v>
      </c>
      <c r="G1886" t="s">
        <v>344</v>
      </c>
      <c r="H1886" t="s">
        <v>1444</v>
      </c>
      <c r="I1886" t="s">
        <v>8827</v>
      </c>
      <c r="J1886" s="2">
        <v>255266</v>
      </c>
      <c r="K1886" s="2">
        <v>1050</v>
      </c>
      <c r="L1886" s="2">
        <v>21</v>
      </c>
      <c r="M1886" s="2">
        <v>0</v>
      </c>
      <c r="N1886" t="s">
        <v>1064</v>
      </c>
      <c r="O1886" t="s">
        <v>1062</v>
      </c>
      <c r="P1886" t="s">
        <v>304</v>
      </c>
      <c r="Q1886" t="s">
        <v>72</v>
      </c>
      <c r="S1886" t="s">
        <v>8828</v>
      </c>
      <c r="U1886" t="s">
        <v>45</v>
      </c>
      <c r="V1886" t="s">
        <v>46</v>
      </c>
      <c r="W1886" t="s">
        <v>1064</v>
      </c>
      <c r="X1886" t="s">
        <v>1062</v>
      </c>
      <c r="Y1886" t="s">
        <v>72</v>
      </c>
      <c r="Z1886" t="s">
        <v>68</v>
      </c>
      <c r="AA1886" t="s">
        <v>49</v>
      </c>
      <c r="AB1886" t="s">
        <v>50</v>
      </c>
      <c r="AC1886" s="2">
        <v>255261.99</v>
      </c>
      <c r="AD1886" t="s">
        <v>8829</v>
      </c>
    </row>
    <row r="1887" spans="1:31" x14ac:dyDescent="0.25">
      <c r="A1887" t="s">
        <v>8830</v>
      </c>
      <c r="B1887" t="s">
        <v>8831</v>
      </c>
      <c r="C1887" t="s">
        <v>8831</v>
      </c>
      <c r="D1887" t="s">
        <v>478</v>
      </c>
      <c r="E1887" t="s">
        <v>190</v>
      </c>
      <c r="F1887" t="s">
        <v>8832</v>
      </c>
      <c r="G1887" t="s">
        <v>2687</v>
      </c>
      <c r="H1887" t="s">
        <v>303</v>
      </c>
      <c r="I1887" t="s">
        <v>8833</v>
      </c>
      <c r="J1887" s="2">
        <v>436340</v>
      </c>
      <c r="K1887" s="2">
        <v>2000</v>
      </c>
      <c r="L1887" s="2">
        <v>15</v>
      </c>
      <c r="M1887" s="2">
        <v>0</v>
      </c>
      <c r="N1887" t="s">
        <v>302</v>
      </c>
      <c r="O1887" t="s">
        <v>303</v>
      </c>
      <c r="P1887" t="s">
        <v>304</v>
      </c>
      <c r="Q1887" t="s">
        <v>72</v>
      </c>
      <c r="S1887" t="s">
        <v>8834</v>
      </c>
      <c r="U1887" t="s">
        <v>45</v>
      </c>
      <c r="V1887" t="s">
        <v>46</v>
      </c>
      <c r="W1887" t="s">
        <v>302</v>
      </c>
      <c r="X1887" t="s">
        <v>303</v>
      </c>
      <c r="Y1887" t="s">
        <v>72</v>
      </c>
      <c r="Z1887" t="s">
        <v>68</v>
      </c>
      <c r="AA1887" t="s">
        <v>49</v>
      </c>
      <c r="AB1887" t="s">
        <v>50</v>
      </c>
      <c r="AC1887" s="2">
        <v>416578.05</v>
      </c>
      <c r="AD1887" t="s">
        <v>8835</v>
      </c>
    </row>
    <row r="1888" spans="1:31" x14ac:dyDescent="0.25">
      <c r="A1888" t="s">
        <v>8836</v>
      </c>
      <c r="B1888" t="s">
        <v>8837</v>
      </c>
      <c r="C1888" t="s">
        <v>8837</v>
      </c>
      <c r="D1888" t="s">
        <v>485</v>
      </c>
      <c r="E1888" t="s">
        <v>224</v>
      </c>
      <c r="F1888" t="s">
        <v>8838</v>
      </c>
      <c r="G1888" t="s">
        <v>2286</v>
      </c>
      <c r="H1888" t="s">
        <v>6996</v>
      </c>
      <c r="I1888" t="s">
        <v>8839</v>
      </c>
      <c r="J1888" s="2">
        <v>22438</v>
      </c>
      <c r="K1888" s="2">
        <v>100</v>
      </c>
      <c r="L1888" s="2">
        <v>30</v>
      </c>
      <c r="M1888" s="2">
        <v>0</v>
      </c>
      <c r="N1888" t="s">
        <v>6995</v>
      </c>
      <c r="O1888" t="s">
        <v>6996</v>
      </c>
      <c r="P1888" t="s">
        <v>6987</v>
      </c>
      <c r="Q1888" t="s">
        <v>6988</v>
      </c>
      <c r="S1888" t="s">
        <v>8840</v>
      </c>
      <c r="U1888" t="s">
        <v>45</v>
      </c>
      <c r="V1888" t="s">
        <v>46</v>
      </c>
      <c r="W1888" t="s">
        <v>6995</v>
      </c>
      <c r="X1888" t="s">
        <v>6996</v>
      </c>
      <c r="Y1888" t="s">
        <v>2399</v>
      </c>
      <c r="Z1888" t="s">
        <v>2400</v>
      </c>
      <c r="AA1888" t="s">
        <v>49</v>
      </c>
      <c r="AB1888" t="s">
        <v>50</v>
      </c>
      <c r="AC1888" s="2">
        <v>22438</v>
      </c>
      <c r="AD1888" t="s">
        <v>64</v>
      </c>
    </row>
    <row r="1889" spans="1:31" x14ac:dyDescent="0.25">
      <c r="A1889" t="s">
        <v>8841</v>
      </c>
      <c r="B1889" t="s">
        <v>8842</v>
      </c>
      <c r="C1889" t="s">
        <v>8842</v>
      </c>
      <c r="D1889" t="s">
        <v>297</v>
      </c>
      <c r="E1889" t="s">
        <v>167</v>
      </c>
      <c r="F1889" t="s">
        <v>8843</v>
      </c>
      <c r="G1889" t="s">
        <v>297</v>
      </c>
      <c r="H1889" t="s">
        <v>8844</v>
      </c>
      <c r="I1889" t="s">
        <v>8845</v>
      </c>
      <c r="J1889" s="2">
        <v>1745360</v>
      </c>
      <c r="K1889" s="2">
        <v>8000</v>
      </c>
      <c r="L1889" s="2">
        <v>30</v>
      </c>
      <c r="M1889" s="2">
        <v>0</v>
      </c>
      <c r="N1889" t="s">
        <v>8846</v>
      </c>
      <c r="O1889" t="s">
        <v>8844</v>
      </c>
      <c r="P1889" t="s">
        <v>4853</v>
      </c>
      <c r="Q1889" t="s">
        <v>4854</v>
      </c>
      <c r="S1889" t="s">
        <v>8847</v>
      </c>
      <c r="U1889" t="s">
        <v>45</v>
      </c>
      <c r="V1889" t="s">
        <v>46</v>
      </c>
      <c r="W1889" t="s">
        <v>8846</v>
      </c>
      <c r="X1889" t="s">
        <v>8844</v>
      </c>
      <c r="Y1889" t="s">
        <v>4854</v>
      </c>
      <c r="Z1889" t="s">
        <v>72</v>
      </c>
      <c r="AA1889" t="s">
        <v>49</v>
      </c>
      <c r="AB1889" t="s">
        <v>50</v>
      </c>
      <c r="AC1889" s="2">
        <v>942033.81</v>
      </c>
      <c r="AD1889" t="s">
        <v>8848</v>
      </c>
      <c r="AE1889" t="s">
        <v>52</v>
      </c>
    </row>
    <row r="1890" spans="1:31" x14ac:dyDescent="0.25">
      <c r="A1890" t="s">
        <v>8849</v>
      </c>
      <c r="B1890" t="s">
        <v>8850</v>
      </c>
      <c r="C1890" t="s">
        <v>8850</v>
      </c>
      <c r="D1890" t="s">
        <v>125</v>
      </c>
      <c r="E1890" t="s">
        <v>126</v>
      </c>
      <c r="F1890" t="s">
        <v>8851</v>
      </c>
      <c r="G1890" t="s">
        <v>847</v>
      </c>
      <c r="H1890" t="s">
        <v>139</v>
      </c>
      <c r="I1890" t="s">
        <v>8852</v>
      </c>
      <c r="J1890" s="2">
        <v>654510</v>
      </c>
      <c r="K1890" s="2">
        <v>3000</v>
      </c>
      <c r="L1890" s="2">
        <v>21</v>
      </c>
      <c r="M1890" s="2">
        <v>0</v>
      </c>
      <c r="N1890" t="s">
        <v>8853</v>
      </c>
      <c r="O1890" t="s">
        <v>139</v>
      </c>
      <c r="P1890" t="s">
        <v>2320</v>
      </c>
      <c r="Q1890" t="s">
        <v>2321</v>
      </c>
      <c r="S1890" t="s">
        <v>8854</v>
      </c>
      <c r="U1890" t="s">
        <v>45</v>
      </c>
      <c r="V1890" t="s">
        <v>46</v>
      </c>
      <c r="W1890" t="s">
        <v>8853</v>
      </c>
      <c r="X1890" t="s">
        <v>139</v>
      </c>
      <c r="Y1890" t="s">
        <v>139</v>
      </c>
      <c r="Z1890" t="s">
        <v>140</v>
      </c>
      <c r="AA1890" t="s">
        <v>49</v>
      </c>
      <c r="AB1890" t="s">
        <v>50</v>
      </c>
      <c r="AC1890" s="2">
        <v>302264.03999999998</v>
      </c>
      <c r="AD1890" t="s">
        <v>8855</v>
      </c>
      <c r="AE1890" t="s">
        <v>115</v>
      </c>
    </row>
    <row r="1891" spans="1:31" hidden="1" x14ac:dyDescent="0.25">
      <c r="I1891" t="s">
        <v>8856</v>
      </c>
      <c r="J1891" s="2">
        <v>43634</v>
      </c>
      <c r="K1891" s="2">
        <v>200</v>
      </c>
      <c r="L1891" s="2">
        <v>15</v>
      </c>
      <c r="M1891" s="2">
        <v>0</v>
      </c>
      <c r="S1891" t="s">
        <v>8857</v>
      </c>
      <c r="U1891" t="s">
        <v>45</v>
      </c>
      <c r="V1891" t="s">
        <v>46</v>
      </c>
      <c r="W1891" t="s">
        <v>495</v>
      </c>
      <c r="X1891" t="s">
        <v>79</v>
      </c>
      <c r="Y1891" t="s">
        <v>79</v>
      </c>
      <c r="Z1891" t="s">
        <v>94</v>
      </c>
      <c r="AA1891" t="s">
        <v>49</v>
      </c>
      <c r="AC1891" s="2"/>
    </row>
    <row r="1892" spans="1:31" hidden="1" x14ac:dyDescent="0.25">
      <c r="I1892" t="s">
        <v>8858</v>
      </c>
      <c r="J1892" s="2">
        <v>65451</v>
      </c>
      <c r="K1892" s="2">
        <v>300</v>
      </c>
      <c r="L1892" s="2">
        <v>15</v>
      </c>
      <c r="M1892" s="2">
        <v>0</v>
      </c>
      <c r="S1892" t="s">
        <v>8859</v>
      </c>
      <c r="U1892" t="s">
        <v>45</v>
      </c>
      <c r="V1892" t="s">
        <v>46</v>
      </c>
      <c r="W1892" t="s">
        <v>495</v>
      </c>
      <c r="X1892" t="s">
        <v>79</v>
      </c>
      <c r="Y1892" t="s">
        <v>79</v>
      </c>
      <c r="Z1892" t="s">
        <v>94</v>
      </c>
      <c r="AA1892" t="s">
        <v>49</v>
      </c>
      <c r="AC1892" s="2"/>
    </row>
    <row r="1893" spans="1:31" x14ac:dyDescent="0.25">
      <c r="A1893" t="s">
        <v>8860</v>
      </c>
      <c r="B1893" t="s">
        <v>8861</v>
      </c>
      <c r="C1893" t="s">
        <v>8861</v>
      </c>
      <c r="D1893" t="s">
        <v>35</v>
      </c>
      <c r="E1893" t="s">
        <v>36</v>
      </c>
      <c r="F1893" t="s">
        <v>8862</v>
      </c>
      <c r="H1893" t="s">
        <v>41</v>
      </c>
      <c r="J1893" s="2">
        <v>21817</v>
      </c>
      <c r="K1893" s="2">
        <v>100</v>
      </c>
      <c r="L1893" s="2">
        <v>15</v>
      </c>
      <c r="M1893" s="2">
        <v>0</v>
      </c>
      <c r="N1893" t="s">
        <v>40</v>
      </c>
      <c r="O1893" t="s">
        <v>41</v>
      </c>
      <c r="P1893" t="s">
        <v>42</v>
      </c>
      <c r="Q1893" t="s">
        <v>43</v>
      </c>
      <c r="S1893" t="s">
        <v>41</v>
      </c>
      <c r="U1893" t="s">
        <v>45</v>
      </c>
      <c r="V1893" t="s">
        <v>46</v>
      </c>
      <c r="W1893" t="s">
        <v>40</v>
      </c>
      <c r="X1893" t="s">
        <v>41</v>
      </c>
      <c r="Y1893" t="s">
        <v>47</v>
      </c>
      <c r="Z1893" t="s">
        <v>48</v>
      </c>
      <c r="AA1893" t="s">
        <v>141</v>
      </c>
      <c r="AB1893" t="s">
        <v>50</v>
      </c>
      <c r="AC1893" s="2">
        <v>10599.43</v>
      </c>
      <c r="AD1893" t="s">
        <v>8863</v>
      </c>
    </row>
    <row r="1894" spans="1:31" x14ac:dyDescent="0.25">
      <c r="A1894" t="s">
        <v>8864</v>
      </c>
      <c r="B1894" t="s">
        <v>8865</v>
      </c>
      <c r="C1894" t="s">
        <v>8865</v>
      </c>
      <c r="D1894" t="s">
        <v>2687</v>
      </c>
      <c r="E1894" t="s">
        <v>190</v>
      </c>
      <c r="F1894" t="s">
        <v>8866</v>
      </c>
      <c r="G1894" t="s">
        <v>1467</v>
      </c>
      <c r="H1894" t="s">
        <v>6996</v>
      </c>
      <c r="I1894" t="s">
        <v>8472</v>
      </c>
      <c r="J1894" s="2">
        <v>556334</v>
      </c>
      <c r="K1894" s="2">
        <v>2550</v>
      </c>
      <c r="L1894" s="2">
        <v>21</v>
      </c>
      <c r="M1894" s="2">
        <v>0</v>
      </c>
      <c r="N1894" t="s">
        <v>6995</v>
      </c>
      <c r="O1894" t="s">
        <v>6996</v>
      </c>
      <c r="P1894" t="s">
        <v>6987</v>
      </c>
      <c r="Q1894" t="s">
        <v>6988</v>
      </c>
      <c r="S1894" t="s">
        <v>8867</v>
      </c>
      <c r="U1894" t="s">
        <v>45</v>
      </c>
      <c r="V1894" t="s">
        <v>46</v>
      </c>
      <c r="W1894" t="s">
        <v>6995</v>
      </c>
      <c r="X1894" t="s">
        <v>6996</v>
      </c>
      <c r="Y1894" t="s">
        <v>2399</v>
      </c>
      <c r="Z1894" t="s">
        <v>2400</v>
      </c>
      <c r="AA1894" t="s">
        <v>49</v>
      </c>
      <c r="AB1894" t="s">
        <v>50</v>
      </c>
      <c r="AC1894" s="2">
        <v>556334</v>
      </c>
      <c r="AD1894" t="s">
        <v>64</v>
      </c>
    </row>
    <row r="1895" spans="1:31" x14ac:dyDescent="0.25">
      <c r="A1895" t="s">
        <v>8868</v>
      </c>
      <c r="B1895" t="s">
        <v>8869</v>
      </c>
      <c r="C1895" t="s">
        <v>8869</v>
      </c>
      <c r="D1895" t="s">
        <v>178</v>
      </c>
      <c r="E1895" t="s">
        <v>179</v>
      </c>
      <c r="F1895" t="s">
        <v>8870</v>
      </c>
      <c r="G1895" t="s">
        <v>178</v>
      </c>
      <c r="H1895" t="s">
        <v>1360</v>
      </c>
      <c r="I1895" t="s">
        <v>8871</v>
      </c>
      <c r="J1895" s="2">
        <v>145866</v>
      </c>
      <c r="K1895" s="2">
        <v>600</v>
      </c>
      <c r="L1895" s="2">
        <v>15</v>
      </c>
      <c r="M1895" s="2">
        <v>0</v>
      </c>
      <c r="N1895" t="s">
        <v>1362</v>
      </c>
      <c r="O1895" t="s">
        <v>1360</v>
      </c>
      <c r="P1895" t="s">
        <v>1421</v>
      </c>
      <c r="Q1895" t="s">
        <v>1422</v>
      </c>
      <c r="S1895" t="s">
        <v>8872</v>
      </c>
      <c r="U1895" t="s">
        <v>45</v>
      </c>
      <c r="V1895" t="s">
        <v>46</v>
      </c>
      <c r="W1895" t="s">
        <v>1362</v>
      </c>
      <c r="X1895" t="s">
        <v>1360</v>
      </c>
      <c r="Y1895" t="s">
        <v>1215</v>
      </c>
      <c r="Z1895" t="s">
        <v>1216</v>
      </c>
      <c r="AA1895" t="s">
        <v>49</v>
      </c>
      <c r="AB1895" t="s">
        <v>50</v>
      </c>
      <c r="AC1895" s="2">
        <v>11270.01</v>
      </c>
      <c r="AD1895" t="s">
        <v>8873</v>
      </c>
      <c r="AE1895" t="s">
        <v>52</v>
      </c>
    </row>
    <row r="1896" spans="1:31" x14ac:dyDescent="0.25">
      <c r="A1896" t="s">
        <v>8874</v>
      </c>
      <c r="B1896" t="s">
        <v>8875</v>
      </c>
      <c r="C1896" t="s">
        <v>8875</v>
      </c>
      <c r="D1896" t="s">
        <v>125</v>
      </c>
      <c r="E1896" t="s">
        <v>126</v>
      </c>
      <c r="F1896" t="s">
        <v>8876</v>
      </c>
      <c r="G1896" t="s">
        <v>125</v>
      </c>
      <c r="H1896" t="s">
        <v>4798</v>
      </c>
      <c r="I1896" t="s">
        <v>8877</v>
      </c>
      <c r="J1896" s="2">
        <v>358830</v>
      </c>
      <c r="K1896" s="2">
        <v>1476</v>
      </c>
      <c r="L1896" s="2">
        <v>15</v>
      </c>
      <c r="M1896" s="2">
        <v>0</v>
      </c>
      <c r="N1896" t="s">
        <v>4797</v>
      </c>
      <c r="O1896" t="s">
        <v>4798</v>
      </c>
      <c r="P1896" t="s">
        <v>1421</v>
      </c>
      <c r="Q1896" t="s">
        <v>1422</v>
      </c>
      <c r="S1896" t="s">
        <v>8878</v>
      </c>
      <c r="U1896" t="s">
        <v>45</v>
      </c>
      <c r="V1896" t="s">
        <v>46</v>
      </c>
      <c r="W1896" t="s">
        <v>4797</v>
      </c>
      <c r="X1896" t="s">
        <v>4798</v>
      </c>
      <c r="Y1896" t="s">
        <v>1215</v>
      </c>
      <c r="Z1896" t="s">
        <v>1216</v>
      </c>
      <c r="AA1896" t="s">
        <v>49</v>
      </c>
      <c r="AB1896" t="s">
        <v>50</v>
      </c>
      <c r="AC1896" s="2">
        <v>96067.68</v>
      </c>
      <c r="AD1896" t="s">
        <v>8879</v>
      </c>
      <c r="AE1896" t="s">
        <v>52</v>
      </c>
    </row>
    <row r="1897" spans="1:31" x14ac:dyDescent="0.25">
      <c r="A1897" t="s">
        <v>8880</v>
      </c>
      <c r="B1897" t="s">
        <v>8881</v>
      </c>
      <c r="C1897" t="s">
        <v>8881</v>
      </c>
      <c r="D1897" t="s">
        <v>125</v>
      </c>
      <c r="E1897" t="s">
        <v>126</v>
      </c>
      <c r="F1897" t="s">
        <v>8882</v>
      </c>
      <c r="G1897" t="s">
        <v>125</v>
      </c>
      <c r="H1897" t="s">
        <v>1360</v>
      </c>
      <c r="I1897" t="s">
        <v>8883</v>
      </c>
      <c r="J1897" s="2">
        <v>434285</v>
      </c>
      <c r="K1897" s="2">
        <v>1783</v>
      </c>
      <c r="L1897" s="2">
        <v>15</v>
      </c>
      <c r="M1897" s="2">
        <v>0</v>
      </c>
      <c r="N1897" t="s">
        <v>1362</v>
      </c>
      <c r="O1897" t="s">
        <v>1360</v>
      </c>
      <c r="P1897" t="s">
        <v>1421</v>
      </c>
      <c r="Q1897" t="s">
        <v>1422</v>
      </c>
      <c r="S1897" t="s">
        <v>8884</v>
      </c>
      <c r="U1897" t="s">
        <v>45</v>
      </c>
      <c r="V1897" t="s">
        <v>46</v>
      </c>
      <c r="W1897" t="s">
        <v>1362</v>
      </c>
      <c r="X1897" t="s">
        <v>1360</v>
      </c>
      <c r="Y1897" t="s">
        <v>1215</v>
      </c>
      <c r="Z1897" t="s">
        <v>1216</v>
      </c>
      <c r="AA1897" t="s">
        <v>49</v>
      </c>
      <c r="AB1897" t="s">
        <v>50</v>
      </c>
      <c r="AC1897" s="2">
        <v>129132.97</v>
      </c>
      <c r="AD1897" t="s">
        <v>8885</v>
      </c>
      <c r="AE1897" t="s">
        <v>115</v>
      </c>
    </row>
    <row r="1898" spans="1:31" x14ac:dyDescent="0.25">
      <c r="A1898" t="s">
        <v>8886</v>
      </c>
      <c r="B1898" t="s">
        <v>8887</v>
      </c>
      <c r="C1898" t="s">
        <v>8887</v>
      </c>
      <c r="D1898" t="s">
        <v>299</v>
      </c>
      <c r="E1898" t="s">
        <v>167</v>
      </c>
      <c r="F1898" t="s">
        <v>8888</v>
      </c>
      <c r="G1898" t="s">
        <v>792</v>
      </c>
      <c r="H1898" t="s">
        <v>79</v>
      </c>
      <c r="I1898" t="s">
        <v>8889</v>
      </c>
      <c r="J1898" s="2">
        <v>218170</v>
      </c>
      <c r="K1898" s="2">
        <v>1000</v>
      </c>
      <c r="L1898" s="2">
        <v>25</v>
      </c>
      <c r="M1898" s="2">
        <v>0</v>
      </c>
      <c r="N1898" t="s">
        <v>495</v>
      </c>
      <c r="O1898" t="s">
        <v>79</v>
      </c>
      <c r="P1898" t="s">
        <v>3487</v>
      </c>
      <c r="Q1898" t="s">
        <v>3488</v>
      </c>
      <c r="S1898" t="s">
        <v>8890</v>
      </c>
      <c r="U1898" t="s">
        <v>45</v>
      </c>
      <c r="V1898" t="s">
        <v>46</v>
      </c>
      <c r="W1898" t="s">
        <v>495</v>
      </c>
      <c r="X1898" t="s">
        <v>79</v>
      </c>
      <c r="Y1898" t="s">
        <v>79</v>
      </c>
      <c r="Z1898" t="s">
        <v>94</v>
      </c>
      <c r="AA1898" t="s">
        <v>49</v>
      </c>
      <c r="AB1898" t="s">
        <v>50</v>
      </c>
      <c r="AC1898" s="2">
        <v>188537.5</v>
      </c>
      <c r="AD1898" t="s">
        <v>8891</v>
      </c>
      <c r="AE1898" t="s">
        <v>115</v>
      </c>
    </row>
    <row r="1899" spans="1:31" x14ac:dyDescent="0.25">
      <c r="A1899" t="s">
        <v>8892</v>
      </c>
      <c r="B1899" t="s">
        <v>8893</v>
      </c>
      <c r="C1899" t="s">
        <v>8893</v>
      </c>
      <c r="D1899" t="s">
        <v>4391</v>
      </c>
      <c r="E1899" t="s">
        <v>134</v>
      </c>
      <c r="F1899" t="s">
        <v>8894</v>
      </c>
      <c r="H1899" t="s">
        <v>79</v>
      </c>
      <c r="I1899" t="s">
        <v>8895</v>
      </c>
      <c r="J1899" s="2">
        <v>109085</v>
      </c>
      <c r="K1899" s="2">
        <v>500</v>
      </c>
      <c r="L1899" s="2">
        <v>18</v>
      </c>
      <c r="M1899" s="2">
        <v>0</v>
      </c>
      <c r="N1899" t="s">
        <v>8575</v>
      </c>
      <c r="O1899" t="s">
        <v>8576</v>
      </c>
      <c r="P1899" t="s">
        <v>3487</v>
      </c>
      <c r="Q1899" t="s">
        <v>3488</v>
      </c>
      <c r="S1899" t="s">
        <v>8896</v>
      </c>
      <c r="U1899" t="s">
        <v>45</v>
      </c>
      <c r="V1899" t="s">
        <v>46</v>
      </c>
      <c r="W1899" t="s">
        <v>8575</v>
      </c>
      <c r="X1899" t="s">
        <v>8578</v>
      </c>
      <c r="Y1899" t="s">
        <v>79</v>
      </c>
      <c r="Z1899" t="s">
        <v>94</v>
      </c>
      <c r="AA1899" t="s">
        <v>49</v>
      </c>
      <c r="AB1899" t="s">
        <v>50</v>
      </c>
      <c r="AC1899" s="2">
        <v>109085</v>
      </c>
      <c r="AD1899" t="s">
        <v>64</v>
      </c>
    </row>
    <row r="1900" spans="1:31" x14ac:dyDescent="0.25">
      <c r="A1900" t="s">
        <v>8897</v>
      </c>
      <c r="B1900" t="s">
        <v>8898</v>
      </c>
      <c r="C1900" t="s">
        <v>8898</v>
      </c>
      <c r="D1900" t="s">
        <v>125</v>
      </c>
      <c r="E1900" t="s">
        <v>126</v>
      </c>
      <c r="F1900" t="s">
        <v>8899</v>
      </c>
      <c r="G1900" t="s">
        <v>847</v>
      </c>
      <c r="H1900" t="s">
        <v>3233</v>
      </c>
      <c r="I1900" t="s">
        <v>8877</v>
      </c>
      <c r="J1900" s="2">
        <v>91826</v>
      </c>
      <c r="K1900" s="2">
        <v>377</v>
      </c>
      <c r="L1900" s="2">
        <v>15</v>
      </c>
      <c r="M1900" s="2">
        <v>0</v>
      </c>
      <c r="N1900" t="s">
        <v>3232</v>
      </c>
      <c r="O1900" t="s">
        <v>3233</v>
      </c>
      <c r="P1900" t="s">
        <v>1421</v>
      </c>
      <c r="Q1900" t="s">
        <v>1422</v>
      </c>
      <c r="S1900" t="s">
        <v>8900</v>
      </c>
      <c r="U1900" t="s">
        <v>45</v>
      </c>
      <c r="V1900" t="s">
        <v>46</v>
      </c>
      <c r="W1900" t="s">
        <v>3232</v>
      </c>
      <c r="X1900" t="s">
        <v>3233</v>
      </c>
      <c r="Y1900" t="s">
        <v>1215</v>
      </c>
      <c r="Z1900" t="s">
        <v>1216</v>
      </c>
      <c r="AA1900" t="s">
        <v>49</v>
      </c>
      <c r="AB1900" t="s">
        <v>50</v>
      </c>
      <c r="AC1900" s="2">
        <v>15848.41</v>
      </c>
      <c r="AD1900" t="s">
        <v>8901</v>
      </c>
      <c r="AE1900" t="s">
        <v>115</v>
      </c>
    </row>
    <row r="1901" spans="1:31" x14ac:dyDescent="0.25">
      <c r="A1901" t="s">
        <v>8902</v>
      </c>
      <c r="B1901" t="s">
        <v>8903</v>
      </c>
      <c r="C1901" t="s">
        <v>8903</v>
      </c>
      <c r="D1901" t="s">
        <v>125</v>
      </c>
      <c r="E1901" t="s">
        <v>126</v>
      </c>
      <c r="F1901" t="s">
        <v>8904</v>
      </c>
      <c r="G1901" t="s">
        <v>35</v>
      </c>
      <c r="H1901" t="s">
        <v>1360</v>
      </c>
      <c r="I1901" t="s">
        <v>7576</v>
      </c>
      <c r="J1901" s="2">
        <v>260128</v>
      </c>
      <c r="K1901" s="2">
        <v>1070</v>
      </c>
      <c r="L1901" s="2">
        <v>15</v>
      </c>
      <c r="M1901" s="2">
        <v>0</v>
      </c>
      <c r="N1901" t="s">
        <v>1362</v>
      </c>
      <c r="O1901" t="s">
        <v>1360</v>
      </c>
      <c r="P1901" t="s">
        <v>1421</v>
      </c>
      <c r="Q1901" t="s">
        <v>1422</v>
      </c>
      <c r="S1901" t="s">
        <v>8905</v>
      </c>
      <c r="U1901" t="s">
        <v>45</v>
      </c>
      <c r="V1901" t="s">
        <v>46</v>
      </c>
      <c r="W1901" t="s">
        <v>1362</v>
      </c>
      <c r="X1901" t="s">
        <v>1360</v>
      </c>
      <c r="Y1901" t="s">
        <v>1215</v>
      </c>
      <c r="Z1901" t="s">
        <v>1216</v>
      </c>
      <c r="AA1901" t="s">
        <v>49</v>
      </c>
      <c r="AB1901" t="s">
        <v>50</v>
      </c>
      <c r="AC1901" s="2">
        <v>139969.64000000001</v>
      </c>
      <c r="AD1901" t="s">
        <v>8906</v>
      </c>
      <c r="AE1901" t="s">
        <v>52</v>
      </c>
    </row>
    <row r="1902" spans="1:31" hidden="1" x14ac:dyDescent="0.25">
      <c r="I1902" t="s">
        <v>8907</v>
      </c>
      <c r="J1902" s="2">
        <v>1000</v>
      </c>
      <c r="K1902" s="2">
        <v>0</v>
      </c>
      <c r="L1902" s="2">
        <v>1</v>
      </c>
      <c r="M1902" s="2">
        <v>0</v>
      </c>
      <c r="U1902" t="s">
        <v>45</v>
      </c>
      <c r="V1902" t="s">
        <v>46</v>
      </c>
      <c r="W1902" t="s">
        <v>40</v>
      </c>
      <c r="X1902" t="s">
        <v>41</v>
      </c>
      <c r="Y1902" t="s">
        <v>47</v>
      </c>
      <c r="Z1902" t="s">
        <v>48</v>
      </c>
      <c r="AA1902" t="s">
        <v>49</v>
      </c>
      <c r="AC1902" s="2"/>
    </row>
    <row r="1903" spans="1:31" x14ac:dyDescent="0.25">
      <c r="A1903" t="s">
        <v>8908</v>
      </c>
      <c r="B1903" t="s">
        <v>8909</v>
      </c>
      <c r="C1903" t="s">
        <v>8909</v>
      </c>
      <c r="D1903" t="s">
        <v>35</v>
      </c>
      <c r="E1903" t="s">
        <v>36</v>
      </c>
      <c r="F1903" t="s">
        <v>8910</v>
      </c>
      <c r="G1903" t="s">
        <v>35</v>
      </c>
      <c r="H1903" t="s">
        <v>3233</v>
      </c>
      <c r="I1903" t="s">
        <v>8877</v>
      </c>
      <c r="J1903" s="2">
        <v>364137</v>
      </c>
      <c r="K1903" s="2">
        <v>1495</v>
      </c>
      <c r="L1903" s="2">
        <v>15</v>
      </c>
      <c r="M1903" s="2">
        <v>0</v>
      </c>
      <c r="N1903" t="s">
        <v>3232</v>
      </c>
      <c r="O1903" t="s">
        <v>3233</v>
      </c>
      <c r="P1903" t="s">
        <v>1421</v>
      </c>
      <c r="Q1903" t="s">
        <v>1422</v>
      </c>
      <c r="S1903" t="s">
        <v>8911</v>
      </c>
      <c r="U1903" t="s">
        <v>45</v>
      </c>
      <c r="V1903" t="s">
        <v>46</v>
      </c>
      <c r="W1903" t="s">
        <v>3232</v>
      </c>
      <c r="X1903" t="s">
        <v>3233</v>
      </c>
      <c r="Y1903" t="s">
        <v>1215</v>
      </c>
      <c r="Z1903" t="s">
        <v>1216</v>
      </c>
      <c r="AA1903" t="s">
        <v>49</v>
      </c>
      <c r="AB1903" t="s">
        <v>50</v>
      </c>
      <c r="AC1903" s="2">
        <v>19900.599999999999</v>
      </c>
      <c r="AD1903" t="s">
        <v>8912</v>
      </c>
      <c r="AE1903" t="s">
        <v>115</v>
      </c>
    </row>
    <row r="1904" spans="1:31" x14ac:dyDescent="0.25">
      <c r="A1904" t="s">
        <v>8913</v>
      </c>
      <c r="B1904" t="s">
        <v>8914</v>
      </c>
      <c r="C1904" t="s">
        <v>8914</v>
      </c>
      <c r="D1904" t="s">
        <v>125</v>
      </c>
      <c r="E1904" t="s">
        <v>126</v>
      </c>
      <c r="F1904" t="s">
        <v>8915</v>
      </c>
      <c r="G1904" t="s">
        <v>125</v>
      </c>
      <c r="H1904" t="s">
        <v>1360</v>
      </c>
      <c r="I1904" t="s">
        <v>8877</v>
      </c>
      <c r="J1904" s="2">
        <v>319690</v>
      </c>
      <c r="K1904" s="2">
        <v>1315</v>
      </c>
      <c r="L1904" s="2">
        <v>15</v>
      </c>
      <c r="M1904" s="2">
        <v>0</v>
      </c>
      <c r="N1904" t="s">
        <v>1362</v>
      </c>
      <c r="O1904" t="s">
        <v>1360</v>
      </c>
      <c r="P1904" t="s">
        <v>1421</v>
      </c>
      <c r="Q1904" t="s">
        <v>1422</v>
      </c>
      <c r="S1904" t="s">
        <v>8916</v>
      </c>
      <c r="U1904" t="s">
        <v>45</v>
      </c>
      <c r="V1904" t="s">
        <v>46</v>
      </c>
      <c r="W1904" t="s">
        <v>1362</v>
      </c>
      <c r="X1904" t="s">
        <v>1360</v>
      </c>
      <c r="Y1904" t="s">
        <v>1215</v>
      </c>
      <c r="Z1904" t="s">
        <v>1216</v>
      </c>
      <c r="AA1904" t="s">
        <v>49</v>
      </c>
      <c r="AB1904" t="s">
        <v>50</v>
      </c>
      <c r="AC1904" s="2">
        <v>86144.8</v>
      </c>
      <c r="AD1904" t="s">
        <v>8917</v>
      </c>
      <c r="AE1904" t="s">
        <v>115</v>
      </c>
    </row>
    <row r="1905" spans="1:31" x14ac:dyDescent="0.25">
      <c r="A1905" t="s">
        <v>8918</v>
      </c>
      <c r="B1905" t="s">
        <v>8919</v>
      </c>
      <c r="C1905" t="s">
        <v>8919</v>
      </c>
      <c r="D1905" t="s">
        <v>125</v>
      </c>
      <c r="E1905" t="s">
        <v>126</v>
      </c>
      <c r="F1905" t="s">
        <v>8920</v>
      </c>
      <c r="G1905" t="s">
        <v>125</v>
      </c>
      <c r="H1905" t="s">
        <v>7147</v>
      </c>
      <c r="I1905" t="s">
        <v>8921</v>
      </c>
      <c r="J1905" s="2">
        <v>763595</v>
      </c>
      <c r="K1905" s="2">
        <v>3500</v>
      </c>
      <c r="L1905" s="2">
        <v>25</v>
      </c>
      <c r="M1905" s="2">
        <v>0</v>
      </c>
      <c r="N1905" t="s">
        <v>6940</v>
      </c>
      <c r="O1905" t="s">
        <v>6939</v>
      </c>
      <c r="P1905" t="s">
        <v>3487</v>
      </c>
      <c r="Q1905" t="s">
        <v>3488</v>
      </c>
      <c r="S1905" t="s">
        <v>8922</v>
      </c>
      <c r="U1905" t="s">
        <v>45</v>
      </c>
      <c r="V1905" t="s">
        <v>46</v>
      </c>
      <c r="W1905" t="s">
        <v>6940</v>
      </c>
      <c r="X1905" t="s">
        <v>6939</v>
      </c>
      <c r="Y1905" t="s">
        <v>79</v>
      </c>
      <c r="Z1905" t="s">
        <v>94</v>
      </c>
      <c r="AA1905" t="s">
        <v>49</v>
      </c>
      <c r="AB1905" t="s">
        <v>50</v>
      </c>
      <c r="AC1905" s="2">
        <v>447207.39</v>
      </c>
      <c r="AD1905" t="s">
        <v>8923</v>
      </c>
      <c r="AE1905" t="s">
        <v>52</v>
      </c>
    </row>
    <row r="1906" spans="1:31" x14ac:dyDescent="0.25">
      <c r="A1906" t="s">
        <v>8924</v>
      </c>
      <c r="B1906" t="s">
        <v>8925</v>
      </c>
      <c r="C1906" t="s">
        <v>8925</v>
      </c>
      <c r="D1906" t="s">
        <v>35</v>
      </c>
      <c r="E1906" t="s">
        <v>36</v>
      </c>
      <c r="F1906" t="s">
        <v>8926</v>
      </c>
      <c r="G1906" t="s">
        <v>35</v>
      </c>
      <c r="H1906" t="s">
        <v>3233</v>
      </c>
      <c r="I1906" t="s">
        <v>8877</v>
      </c>
      <c r="J1906" s="2">
        <v>384512</v>
      </c>
      <c r="K1906" s="2">
        <v>1600</v>
      </c>
      <c r="L1906" s="2">
        <v>15</v>
      </c>
      <c r="M1906" s="2">
        <v>0</v>
      </c>
      <c r="N1906" t="s">
        <v>3232</v>
      </c>
      <c r="O1906" t="s">
        <v>3233</v>
      </c>
      <c r="P1906" t="s">
        <v>1421</v>
      </c>
      <c r="Q1906" t="s">
        <v>1422</v>
      </c>
      <c r="S1906" t="s">
        <v>8927</v>
      </c>
      <c r="U1906" t="s">
        <v>45</v>
      </c>
      <c r="V1906" t="s">
        <v>46</v>
      </c>
      <c r="W1906" t="s">
        <v>3232</v>
      </c>
      <c r="X1906" t="s">
        <v>3233</v>
      </c>
      <c r="Y1906" t="s">
        <v>1215</v>
      </c>
      <c r="Z1906" t="s">
        <v>1216</v>
      </c>
      <c r="AA1906" t="s">
        <v>49</v>
      </c>
      <c r="AB1906" t="s">
        <v>50</v>
      </c>
      <c r="AC1906" s="2">
        <v>84270.96</v>
      </c>
      <c r="AD1906" t="s">
        <v>8928</v>
      </c>
      <c r="AE1906" t="s">
        <v>115</v>
      </c>
    </row>
    <row r="1907" spans="1:31" x14ac:dyDescent="0.25">
      <c r="A1907" t="s">
        <v>8929</v>
      </c>
      <c r="B1907" t="s">
        <v>8930</v>
      </c>
      <c r="C1907" t="s">
        <v>8930</v>
      </c>
      <c r="D1907" t="s">
        <v>35</v>
      </c>
      <c r="E1907" t="s">
        <v>36</v>
      </c>
      <c r="F1907" t="s">
        <v>8931</v>
      </c>
      <c r="G1907" t="s">
        <v>35</v>
      </c>
      <c r="H1907" t="s">
        <v>1360</v>
      </c>
      <c r="I1907" t="s">
        <v>7810</v>
      </c>
      <c r="J1907" s="2">
        <v>350340</v>
      </c>
      <c r="K1907" s="2">
        <v>1500</v>
      </c>
      <c r="L1907" s="2">
        <v>15</v>
      </c>
      <c r="M1907" s="2">
        <v>0</v>
      </c>
      <c r="N1907" t="s">
        <v>1362</v>
      </c>
      <c r="O1907" t="s">
        <v>1360</v>
      </c>
      <c r="P1907" t="s">
        <v>1421</v>
      </c>
      <c r="Q1907" t="s">
        <v>1422</v>
      </c>
      <c r="S1907" t="s">
        <v>8932</v>
      </c>
      <c r="U1907" t="s">
        <v>45</v>
      </c>
      <c r="V1907" t="s">
        <v>46</v>
      </c>
      <c r="W1907" t="s">
        <v>1362</v>
      </c>
      <c r="X1907" t="s">
        <v>1360</v>
      </c>
      <c r="Y1907" t="s">
        <v>1215</v>
      </c>
      <c r="Z1907" t="s">
        <v>1216</v>
      </c>
      <c r="AA1907" t="s">
        <v>49</v>
      </c>
      <c r="AB1907" t="s">
        <v>50</v>
      </c>
      <c r="AC1907" s="2">
        <v>75498.14</v>
      </c>
      <c r="AD1907" t="s">
        <v>8933</v>
      </c>
      <c r="AE1907" t="s">
        <v>115</v>
      </c>
    </row>
    <row r="1908" spans="1:31" x14ac:dyDescent="0.25">
      <c r="A1908" t="s">
        <v>8934</v>
      </c>
      <c r="B1908" t="s">
        <v>8935</v>
      </c>
      <c r="C1908" t="s">
        <v>8935</v>
      </c>
      <c r="D1908" t="s">
        <v>3472</v>
      </c>
      <c r="E1908" t="s">
        <v>871</v>
      </c>
      <c r="F1908" t="s">
        <v>8936</v>
      </c>
      <c r="G1908" t="s">
        <v>1410</v>
      </c>
      <c r="H1908" t="s">
        <v>2275</v>
      </c>
      <c r="I1908" t="s">
        <v>8937</v>
      </c>
      <c r="J1908" s="2">
        <v>65451</v>
      </c>
      <c r="K1908" s="2">
        <v>300</v>
      </c>
      <c r="L1908" s="2">
        <v>21</v>
      </c>
      <c r="M1908" s="2">
        <v>0</v>
      </c>
      <c r="N1908" t="s">
        <v>2277</v>
      </c>
      <c r="O1908" t="s">
        <v>2278</v>
      </c>
      <c r="P1908" t="s">
        <v>8938</v>
      </c>
      <c r="Q1908" t="s">
        <v>8939</v>
      </c>
      <c r="S1908" t="s">
        <v>8940</v>
      </c>
      <c r="U1908" t="s">
        <v>45</v>
      </c>
      <c r="V1908" t="s">
        <v>46</v>
      </c>
      <c r="W1908" t="s">
        <v>2277</v>
      </c>
      <c r="X1908" t="s">
        <v>2278</v>
      </c>
      <c r="Y1908" t="s">
        <v>137</v>
      </c>
      <c r="Z1908" t="s">
        <v>717</v>
      </c>
      <c r="AA1908" t="s">
        <v>49</v>
      </c>
      <c r="AB1908" t="s">
        <v>50</v>
      </c>
      <c r="AC1908" s="2">
        <v>58387.58</v>
      </c>
      <c r="AD1908" t="s">
        <v>8941</v>
      </c>
    </row>
    <row r="1909" spans="1:31" x14ac:dyDescent="0.25">
      <c r="A1909" t="s">
        <v>8942</v>
      </c>
      <c r="B1909" t="s">
        <v>8943</v>
      </c>
      <c r="C1909" t="s">
        <v>8943</v>
      </c>
      <c r="D1909" t="s">
        <v>153</v>
      </c>
      <c r="E1909" t="s">
        <v>272</v>
      </c>
      <c r="F1909" t="s">
        <v>8944</v>
      </c>
      <c r="G1909" t="s">
        <v>153</v>
      </c>
      <c r="H1909" t="s">
        <v>2572</v>
      </c>
      <c r="I1909" t="s">
        <v>8945</v>
      </c>
      <c r="J1909" s="2">
        <v>560544</v>
      </c>
      <c r="K1909" s="2">
        <v>2400</v>
      </c>
      <c r="L1909" s="2">
        <v>15</v>
      </c>
      <c r="M1909" s="2">
        <v>0</v>
      </c>
      <c r="N1909" t="s">
        <v>2571</v>
      </c>
      <c r="O1909" t="s">
        <v>2572</v>
      </c>
      <c r="P1909" t="s">
        <v>6987</v>
      </c>
      <c r="Q1909" t="s">
        <v>6988</v>
      </c>
      <c r="S1909" t="s">
        <v>8946</v>
      </c>
      <c r="U1909" t="s">
        <v>45</v>
      </c>
      <c r="V1909" t="s">
        <v>46</v>
      </c>
      <c r="W1909" t="s">
        <v>2571</v>
      </c>
      <c r="X1909" t="s">
        <v>2572</v>
      </c>
      <c r="Y1909" t="s">
        <v>2399</v>
      </c>
      <c r="Z1909" t="s">
        <v>2400</v>
      </c>
      <c r="AA1909" t="s">
        <v>49</v>
      </c>
      <c r="AB1909" t="s">
        <v>50</v>
      </c>
      <c r="AC1909" s="2">
        <v>123110</v>
      </c>
      <c r="AD1909" t="s">
        <v>8947</v>
      </c>
      <c r="AE1909" t="s">
        <v>52</v>
      </c>
    </row>
    <row r="1910" spans="1:31" x14ac:dyDescent="0.25">
      <c r="A1910" t="s">
        <v>8948</v>
      </c>
      <c r="B1910" t="s">
        <v>8949</v>
      </c>
      <c r="C1910" t="s">
        <v>8949</v>
      </c>
      <c r="D1910" t="s">
        <v>125</v>
      </c>
      <c r="E1910" t="s">
        <v>126</v>
      </c>
      <c r="F1910" t="s">
        <v>8950</v>
      </c>
      <c r="G1910" t="s">
        <v>125</v>
      </c>
      <c r="H1910" t="s">
        <v>79</v>
      </c>
      <c r="I1910" t="s">
        <v>8951</v>
      </c>
      <c r="J1910" s="2">
        <v>303888</v>
      </c>
      <c r="K1910" s="2">
        <v>1250</v>
      </c>
      <c r="L1910" s="2">
        <v>21</v>
      </c>
      <c r="M1910" s="2">
        <v>0</v>
      </c>
      <c r="N1910" t="s">
        <v>495</v>
      </c>
      <c r="O1910" t="s">
        <v>79</v>
      </c>
      <c r="P1910" t="s">
        <v>3487</v>
      </c>
      <c r="Q1910" t="s">
        <v>3488</v>
      </c>
      <c r="S1910" t="s">
        <v>8952</v>
      </c>
      <c r="U1910" t="s">
        <v>45</v>
      </c>
      <c r="V1910" t="s">
        <v>46</v>
      </c>
      <c r="W1910" t="s">
        <v>495</v>
      </c>
      <c r="X1910" t="s">
        <v>79</v>
      </c>
      <c r="Y1910" t="s">
        <v>79</v>
      </c>
      <c r="Z1910" t="s">
        <v>94</v>
      </c>
      <c r="AA1910" t="s">
        <v>49</v>
      </c>
      <c r="AB1910" t="s">
        <v>50</v>
      </c>
      <c r="AC1910" s="2">
        <v>128101.33</v>
      </c>
      <c r="AD1910" t="s">
        <v>8953</v>
      </c>
      <c r="AE1910" t="s">
        <v>52</v>
      </c>
    </row>
    <row r="1911" spans="1:31" x14ac:dyDescent="0.25">
      <c r="A1911" t="s">
        <v>8954</v>
      </c>
      <c r="B1911" t="s">
        <v>8955</v>
      </c>
      <c r="C1911" t="s">
        <v>8955</v>
      </c>
      <c r="D1911" t="s">
        <v>297</v>
      </c>
      <c r="E1911" t="s">
        <v>167</v>
      </c>
      <c r="F1911" t="s">
        <v>8956</v>
      </c>
      <c r="G1911" t="s">
        <v>297</v>
      </c>
      <c r="H1911" t="s">
        <v>8101</v>
      </c>
      <c r="I1911" t="s">
        <v>8957</v>
      </c>
      <c r="J1911" s="2">
        <v>2638440</v>
      </c>
      <c r="K1911" s="2">
        <v>12000</v>
      </c>
      <c r="L1911" s="2">
        <v>30</v>
      </c>
      <c r="M1911" s="2">
        <v>0</v>
      </c>
      <c r="N1911" t="s">
        <v>8100</v>
      </c>
      <c r="O1911" t="s">
        <v>8101</v>
      </c>
      <c r="P1911" t="s">
        <v>4853</v>
      </c>
      <c r="Q1911" t="s">
        <v>4854</v>
      </c>
      <c r="S1911" t="s">
        <v>8958</v>
      </c>
      <c r="U1911" t="s">
        <v>45</v>
      </c>
      <c r="V1911" t="s">
        <v>46</v>
      </c>
      <c r="W1911" t="s">
        <v>8100</v>
      </c>
      <c r="X1911" t="s">
        <v>8101</v>
      </c>
      <c r="Y1911" t="s">
        <v>4854</v>
      </c>
      <c r="Z1911" t="s">
        <v>72</v>
      </c>
      <c r="AA1911" t="s">
        <v>49</v>
      </c>
      <c r="AB1911" t="s">
        <v>50</v>
      </c>
      <c r="AC1911" s="2">
        <v>1546260.79</v>
      </c>
      <c r="AD1911" t="s">
        <v>8959</v>
      </c>
      <c r="AE1911" t="s">
        <v>52</v>
      </c>
    </row>
    <row r="1912" spans="1:31" x14ac:dyDescent="0.25">
      <c r="A1912" t="s">
        <v>8960</v>
      </c>
      <c r="B1912" t="s">
        <v>8961</v>
      </c>
      <c r="C1912" t="s">
        <v>8961</v>
      </c>
      <c r="D1912" t="s">
        <v>847</v>
      </c>
      <c r="E1912" t="s">
        <v>848</v>
      </c>
      <c r="F1912" t="s">
        <v>8962</v>
      </c>
      <c r="G1912" t="s">
        <v>847</v>
      </c>
      <c r="H1912" t="s">
        <v>2396</v>
      </c>
      <c r="I1912" t="s">
        <v>8963</v>
      </c>
      <c r="J1912" s="2">
        <v>1745360</v>
      </c>
      <c r="K1912" s="2">
        <v>8000</v>
      </c>
      <c r="L1912" s="2">
        <v>21</v>
      </c>
      <c r="M1912" s="2">
        <v>0</v>
      </c>
      <c r="N1912" t="s">
        <v>6985</v>
      </c>
      <c r="O1912" t="s">
        <v>6986</v>
      </c>
      <c r="P1912" t="s">
        <v>6987</v>
      </c>
      <c r="Q1912" t="s">
        <v>6988</v>
      </c>
      <c r="S1912" t="s">
        <v>8964</v>
      </c>
      <c r="U1912" t="s">
        <v>45</v>
      </c>
      <c r="V1912" t="s">
        <v>46</v>
      </c>
      <c r="W1912" t="s">
        <v>6985</v>
      </c>
      <c r="X1912" t="s">
        <v>6986</v>
      </c>
      <c r="Y1912" t="s">
        <v>2399</v>
      </c>
      <c r="Z1912" t="s">
        <v>2400</v>
      </c>
      <c r="AA1912" t="s">
        <v>49</v>
      </c>
      <c r="AB1912" t="s">
        <v>50</v>
      </c>
      <c r="AC1912" s="2">
        <v>1333810.55</v>
      </c>
      <c r="AD1912" t="s">
        <v>8965</v>
      </c>
      <c r="AE1912" t="s">
        <v>52</v>
      </c>
    </row>
    <row r="1913" spans="1:31" x14ac:dyDescent="0.25">
      <c r="A1913" t="s">
        <v>8966</v>
      </c>
      <c r="B1913" t="s">
        <v>8967</v>
      </c>
      <c r="C1913" t="s">
        <v>8967</v>
      </c>
      <c r="D1913" t="s">
        <v>3192</v>
      </c>
      <c r="E1913" t="s">
        <v>224</v>
      </c>
      <c r="F1913" t="s">
        <v>8968</v>
      </c>
      <c r="G1913" t="s">
        <v>2485</v>
      </c>
      <c r="H1913" t="s">
        <v>6986</v>
      </c>
      <c r="J1913" s="2">
        <v>24830</v>
      </c>
      <c r="K1913" s="2">
        <v>113.81</v>
      </c>
      <c r="L1913" s="2">
        <v>15</v>
      </c>
      <c r="M1913" s="2">
        <v>0</v>
      </c>
      <c r="N1913" t="s">
        <v>6985</v>
      </c>
      <c r="O1913" t="s">
        <v>6986</v>
      </c>
      <c r="P1913" t="s">
        <v>6987</v>
      </c>
      <c r="Q1913" t="s">
        <v>6988</v>
      </c>
      <c r="S1913" t="s">
        <v>8969</v>
      </c>
      <c r="U1913" t="s">
        <v>45</v>
      </c>
      <c r="V1913" t="s">
        <v>46</v>
      </c>
      <c r="W1913" t="s">
        <v>6985</v>
      </c>
      <c r="X1913" t="s">
        <v>6986</v>
      </c>
      <c r="Y1913" t="s">
        <v>2399</v>
      </c>
      <c r="Z1913" t="s">
        <v>2400</v>
      </c>
      <c r="AA1913" t="s">
        <v>49</v>
      </c>
      <c r="AB1913" t="s">
        <v>50</v>
      </c>
      <c r="AC1913" s="2">
        <v>6591.11</v>
      </c>
      <c r="AD1913" t="s">
        <v>8970</v>
      </c>
    </row>
    <row r="1914" spans="1:31" hidden="1" x14ac:dyDescent="0.25">
      <c r="J1914" s="2">
        <v>1000</v>
      </c>
      <c r="K1914" s="2">
        <v>0</v>
      </c>
      <c r="L1914" s="2">
        <v>1</v>
      </c>
      <c r="M1914" s="2">
        <v>0</v>
      </c>
      <c r="U1914" t="s">
        <v>45</v>
      </c>
      <c r="V1914" t="s">
        <v>46</v>
      </c>
      <c r="W1914" t="s">
        <v>40</v>
      </c>
      <c r="X1914" t="s">
        <v>41</v>
      </c>
      <c r="Y1914" t="s">
        <v>47</v>
      </c>
      <c r="Z1914" t="s">
        <v>48</v>
      </c>
      <c r="AA1914" t="s">
        <v>49</v>
      </c>
      <c r="AC1914" s="2"/>
    </row>
    <row r="1915" spans="1:31" hidden="1" x14ac:dyDescent="0.25">
      <c r="I1915" t="s">
        <v>8971</v>
      </c>
      <c r="J1915" s="2">
        <v>100</v>
      </c>
      <c r="K1915" s="2">
        <v>0</v>
      </c>
      <c r="L1915" s="2">
        <v>15</v>
      </c>
      <c r="M1915" s="2">
        <v>0</v>
      </c>
      <c r="S1915" t="s">
        <v>8972</v>
      </c>
      <c r="U1915" t="s">
        <v>45</v>
      </c>
      <c r="V1915" t="s">
        <v>46</v>
      </c>
      <c r="W1915" t="s">
        <v>80</v>
      </c>
      <c r="X1915" t="s">
        <v>81</v>
      </c>
      <c r="Y1915" t="s">
        <v>85</v>
      </c>
      <c r="Z1915" t="s">
        <v>86</v>
      </c>
      <c r="AA1915" t="s">
        <v>49</v>
      </c>
      <c r="AC1915" s="2"/>
    </row>
    <row r="1916" spans="1:31" hidden="1" x14ac:dyDescent="0.25">
      <c r="A1916" t="s">
        <v>8973</v>
      </c>
      <c r="B1916" t="s">
        <v>8974</v>
      </c>
      <c r="C1916" t="s">
        <v>8974</v>
      </c>
      <c r="F1916" t="s">
        <v>8975</v>
      </c>
      <c r="H1916" t="s">
        <v>2278</v>
      </c>
      <c r="I1916" t="s">
        <v>8976</v>
      </c>
      <c r="J1916" s="2">
        <v>65451</v>
      </c>
      <c r="K1916" s="2">
        <v>300</v>
      </c>
      <c r="L1916" s="2">
        <v>21</v>
      </c>
      <c r="M1916" s="2">
        <v>0</v>
      </c>
      <c r="N1916" t="s">
        <v>2277</v>
      </c>
      <c r="O1916" t="s">
        <v>2278</v>
      </c>
      <c r="P1916" t="s">
        <v>256</v>
      </c>
      <c r="Q1916" t="s">
        <v>255</v>
      </c>
      <c r="S1916" t="s">
        <v>8977</v>
      </c>
      <c r="U1916" t="s">
        <v>45</v>
      </c>
      <c r="V1916" t="s">
        <v>46</v>
      </c>
      <c r="W1916" t="s">
        <v>2277</v>
      </c>
      <c r="X1916" t="s">
        <v>2278</v>
      </c>
      <c r="Y1916" t="s">
        <v>137</v>
      </c>
      <c r="Z1916" t="s">
        <v>717</v>
      </c>
      <c r="AA1916" t="s">
        <v>49</v>
      </c>
      <c r="AB1916" t="s">
        <v>50</v>
      </c>
      <c r="AC1916" s="2">
        <v>65451</v>
      </c>
      <c r="AD1916" t="s">
        <v>64</v>
      </c>
    </row>
    <row r="1917" spans="1:31" x14ac:dyDescent="0.25">
      <c r="A1917" t="s">
        <v>8978</v>
      </c>
      <c r="B1917" t="s">
        <v>8979</v>
      </c>
      <c r="C1917" t="s">
        <v>8979</v>
      </c>
      <c r="D1917" t="s">
        <v>299</v>
      </c>
      <c r="E1917" t="s">
        <v>167</v>
      </c>
      <c r="F1917" t="s">
        <v>8980</v>
      </c>
      <c r="G1917" t="s">
        <v>478</v>
      </c>
      <c r="H1917" t="s">
        <v>1360</v>
      </c>
      <c r="I1917" t="s">
        <v>8981</v>
      </c>
      <c r="J1917" s="2">
        <v>109085</v>
      </c>
      <c r="K1917" s="2">
        <v>500</v>
      </c>
      <c r="L1917" s="2">
        <v>15</v>
      </c>
      <c r="M1917" s="2">
        <v>0</v>
      </c>
      <c r="N1917" t="s">
        <v>1362</v>
      </c>
      <c r="O1917" t="s">
        <v>1360</v>
      </c>
      <c r="P1917" t="s">
        <v>1212</v>
      </c>
      <c r="Q1917" t="s">
        <v>1213</v>
      </c>
      <c r="S1917" t="s">
        <v>8982</v>
      </c>
      <c r="U1917" t="s">
        <v>45</v>
      </c>
      <c r="V1917" t="s">
        <v>46</v>
      </c>
      <c r="W1917" t="s">
        <v>1362</v>
      </c>
      <c r="X1917" t="s">
        <v>1360</v>
      </c>
      <c r="Y1917" t="s">
        <v>1215</v>
      </c>
      <c r="Z1917" t="s">
        <v>1216</v>
      </c>
      <c r="AA1917" t="s">
        <v>49</v>
      </c>
      <c r="AB1917" t="s">
        <v>50</v>
      </c>
      <c r="AC1917" s="2">
        <v>106119.82</v>
      </c>
      <c r="AD1917" t="s">
        <v>8983</v>
      </c>
    </row>
    <row r="1918" spans="1:31" hidden="1" x14ac:dyDescent="0.25">
      <c r="I1918" t="s">
        <v>8985</v>
      </c>
      <c r="J1918" s="2">
        <v>100</v>
      </c>
      <c r="K1918" s="2">
        <v>0</v>
      </c>
      <c r="L1918" s="2">
        <v>15</v>
      </c>
      <c r="M1918" s="2">
        <v>0</v>
      </c>
      <c r="S1918" t="s">
        <v>8987</v>
      </c>
      <c r="U1918" t="s">
        <v>45</v>
      </c>
      <c r="V1918" t="s">
        <v>46</v>
      </c>
      <c r="W1918" t="s">
        <v>8986</v>
      </c>
      <c r="X1918" t="s">
        <v>8984</v>
      </c>
      <c r="Y1918" t="s">
        <v>7493</v>
      </c>
      <c r="Z1918" t="s">
        <v>7494</v>
      </c>
      <c r="AA1918" t="s">
        <v>49</v>
      </c>
      <c r="AC1918" s="2"/>
    </row>
    <row r="1919" spans="1:31" x14ac:dyDescent="0.25">
      <c r="A1919" t="s">
        <v>8988</v>
      </c>
      <c r="B1919" t="s">
        <v>8989</v>
      </c>
      <c r="C1919" t="s">
        <v>8989</v>
      </c>
      <c r="D1919" t="s">
        <v>299</v>
      </c>
      <c r="E1919" t="s">
        <v>167</v>
      </c>
      <c r="F1919" t="s">
        <v>8990</v>
      </c>
      <c r="G1919" t="s">
        <v>299</v>
      </c>
      <c r="H1919" t="s">
        <v>1222</v>
      </c>
      <c r="J1919" s="2">
        <v>436340</v>
      </c>
      <c r="K1919" s="2">
        <v>2000</v>
      </c>
      <c r="L1919" s="2">
        <v>30</v>
      </c>
      <c r="M1919" s="2">
        <v>0</v>
      </c>
      <c r="N1919" t="s">
        <v>1221</v>
      </c>
      <c r="O1919" t="s">
        <v>1222</v>
      </c>
      <c r="P1919" t="s">
        <v>205</v>
      </c>
      <c r="Q1919" t="s">
        <v>206</v>
      </c>
      <c r="S1919" t="s">
        <v>8991</v>
      </c>
      <c r="U1919" t="s">
        <v>45</v>
      </c>
      <c r="V1919" t="s">
        <v>46</v>
      </c>
      <c r="W1919" t="s">
        <v>1221</v>
      </c>
      <c r="X1919" t="s">
        <v>1222</v>
      </c>
      <c r="Y1919" t="s">
        <v>161</v>
      </c>
      <c r="Z1919" t="s">
        <v>162</v>
      </c>
      <c r="AA1919" t="s">
        <v>49</v>
      </c>
      <c r="AB1919" t="s">
        <v>50</v>
      </c>
      <c r="AC1919" s="2">
        <v>411283.87</v>
      </c>
      <c r="AD1919" t="s">
        <v>8992</v>
      </c>
      <c r="AE1919" t="s">
        <v>52</v>
      </c>
    </row>
    <row r="1920" spans="1:31" x14ac:dyDescent="0.25">
      <c r="A1920" t="s">
        <v>8993</v>
      </c>
      <c r="B1920" t="s">
        <v>8994</v>
      </c>
      <c r="C1920" t="s">
        <v>8994</v>
      </c>
      <c r="D1920" t="s">
        <v>8995</v>
      </c>
      <c r="E1920" t="s">
        <v>77</v>
      </c>
      <c r="F1920" t="s">
        <v>8996</v>
      </c>
      <c r="H1920" t="s">
        <v>41</v>
      </c>
      <c r="I1920" t="s">
        <v>8997</v>
      </c>
      <c r="J1920" s="2">
        <v>10909</v>
      </c>
      <c r="K1920" s="2">
        <v>50</v>
      </c>
      <c r="L1920" s="2">
        <v>15</v>
      </c>
      <c r="M1920" s="2">
        <v>0</v>
      </c>
      <c r="N1920" t="s">
        <v>40</v>
      </c>
      <c r="O1920" t="s">
        <v>41</v>
      </c>
      <c r="P1920" t="s">
        <v>42</v>
      </c>
      <c r="Q1920" t="s">
        <v>43</v>
      </c>
      <c r="U1920" t="s">
        <v>45</v>
      </c>
      <c r="V1920" t="s">
        <v>46</v>
      </c>
      <c r="W1920" t="s">
        <v>40</v>
      </c>
      <c r="X1920" t="s">
        <v>41</v>
      </c>
      <c r="Y1920" t="s">
        <v>47</v>
      </c>
      <c r="Z1920" t="s">
        <v>48</v>
      </c>
      <c r="AA1920" t="s">
        <v>141</v>
      </c>
      <c r="AB1920" t="s">
        <v>50</v>
      </c>
      <c r="AC1920" s="2">
        <v>8289.7199999999993</v>
      </c>
      <c r="AD1920" t="s">
        <v>8998</v>
      </c>
    </row>
    <row r="1921" spans="1:31" hidden="1" x14ac:dyDescent="0.25">
      <c r="I1921" t="s">
        <v>8279</v>
      </c>
      <c r="J1921" s="2">
        <v>43634</v>
      </c>
      <c r="K1921" s="2">
        <v>200</v>
      </c>
      <c r="L1921" s="2">
        <v>30</v>
      </c>
      <c r="M1921" s="2">
        <v>0</v>
      </c>
      <c r="S1921" t="s">
        <v>8999</v>
      </c>
      <c r="U1921" t="s">
        <v>45</v>
      </c>
      <c r="V1921" t="s">
        <v>46</v>
      </c>
      <c r="W1921" t="s">
        <v>2113</v>
      </c>
      <c r="X1921" t="s">
        <v>2114</v>
      </c>
      <c r="Y1921" t="s">
        <v>106</v>
      </c>
      <c r="Z1921" t="s">
        <v>107</v>
      </c>
      <c r="AA1921" t="s">
        <v>49</v>
      </c>
      <c r="AC1921" s="2"/>
    </row>
    <row r="1922" spans="1:31" x14ac:dyDescent="0.25">
      <c r="A1922" t="s">
        <v>9000</v>
      </c>
      <c r="B1922" t="s">
        <v>9001</v>
      </c>
      <c r="C1922" t="s">
        <v>9001</v>
      </c>
      <c r="D1922" t="s">
        <v>125</v>
      </c>
      <c r="E1922" t="s">
        <v>126</v>
      </c>
      <c r="F1922" t="s">
        <v>9002</v>
      </c>
      <c r="G1922" t="s">
        <v>125</v>
      </c>
      <c r="H1922" t="s">
        <v>6058</v>
      </c>
      <c r="I1922" t="s">
        <v>9003</v>
      </c>
      <c r="J1922" s="2">
        <v>109085</v>
      </c>
      <c r="K1922" s="2">
        <v>500</v>
      </c>
      <c r="L1922" s="2">
        <v>21</v>
      </c>
      <c r="M1922" s="2">
        <v>0</v>
      </c>
      <c r="N1922" t="s">
        <v>6057</v>
      </c>
      <c r="O1922" t="s">
        <v>6058</v>
      </c>
      <c r="P1922" t="s">
        <v>5966</v>
      </c>
      <c r="Q1922" t="s">
        <v>5739</v>
      </c>
      <c r="S1922" t="s">
        <v>9004</v>
      </c>
      <c r="U1922" t="s">
        <v>45</v>
      </c>
      <c r="V1922" t="s">
        <v>46</v>
      </c>
      <c r="W1922" t="s">
        <v>6057</v>
      </c>
      <c r="X1922" t="s">
        <v>6058</v>
      </c>
      <c r="Y1922" t="s">
        <v>5743</v>
      </c>
      <c r="Z1922" t="s">
        <v>5744</v>
      </c>
      <c r="AA1922" t="s">
        <v>49</v>
      </c>
      <c r="AB1922" t="s">
        <v>50</v>
      </c>
      <c r="AC1922" s="2">
        <v>80405</v>
      </c>
      <c r="AD1922" t="s">
        <v>9005</v>
      </c>
      <c r="AE1922" t="s">
        <v>52</v>
      </c>
    </row>
    <row r="1923" spans="1:31" x14ac:dyDescent="0.25">
      <c r="A1923" t="s">
        <v>9006</v>
      </c>
      <c r="B1923" t="s">
        <v>9007</v>
      </c>
      <c r="C1923" t="s">
        <v>9007</v>
      </c>
      <c r="D1923" t="s">
        <v>35</v>
      </c>
      <c r="E1923" t="s">
        <v>36</v>
      </c>
      <c r="F1923" t="s">
        <v>9008</v>
      </c>
      <c r="G1923" t="s">
        <v>35</v>
      </c>
      <c r="H1923" t="s">
        <v>881</v>
      </c>
      <c r="I1923" t="s">
        <v>9009</v>
      </c>
      <c r="J1923" s="2">
        <v>545425</v>
      </c>
      <c r="K1923" s="2">
        <v>2500</v>
      </c>
      <c r="L1923" s="2">
        <v>15</v>
      </c>
      <c r="M1923" s="2">
        <v>0</v>
      </c>
      <c r="N1923" t="s">
        <v>883</v>
      </c>
      <c r="O1923" t="s">
        <v>881</v>
      </c>
      <c r="P1923" t="s">
        <v>158</v>
      </c>
      <c r="Q1923" t="s">
        <v>159</v>
      </c>
      <c r="S1923" t="s">
        <v>9010</v>
      </c>
      <c r="U1923" t="s">
        <v>45</v>
      </c>
      <c r="V1923" t="s">
        <v>46</v>
      </c>
      <c r="W1923" t="s">
        <v>883</v>
      </c>
      <c r="X1923" t="s">
        <v>881</v>
      </c>
      <c r="Y1923" t="s">
        <v>161</v>
      </c>
      <c r="Z1923" t="s">
        <v>162</v>
      </c>
      <c r="AA1923" t="s">
        <v>49</v>
      </c>
      <c r="AB1923" t="s">
        <v>50</v>
      </c>
      <c r="AC1923" s="2">
        <v>436378.43</v>
      </c>
      <c r="AD1923" t="s">
        <v>9011</v>
      </c>
      <c r="AE1923" t="s">
        <v>52</v>
      </c>
    </row>
    <row r="1924" spans="1:31" x14ac:dyDescent="0.25">
      <c r="A1924" t="s">
        <v>9012</v>
      </c>
      <c r="B1924" t="s">
        <v>9013</v>
      </c>
      <c r="C1924" t="s">
        <v>9013</v>
      </c>
      <c r="D1924" t="s">
        <v>35</v>
      </c>
      <c r="E1924" t="s">
        <v>36</v>
      </c>
      <c r="F1924" t="s">
        <v>9014</v>
      </c>
      <c r="G1924" t="s">
        <v>299</v>
      </c>
      <c r="H1924" t="s">
        <v>303</v>
      </c>
      <c r="J1924" s="2">
        <v>545425</v>
      </c>
      <c r="K1924" s="2">
        <v>2500</v>
      </c>
      <c r="L1924" s="2">
        <v>21</v>
      </c>
      <c r="M1924" s="2">
        <v>0</v>
      </c>
      <c r="N1924" t="s">
        <v>302</v>
      </c>
      <c r="O1924" t="s">
        <v>303</v>
      </c>
      <c r="P1924" t="s">
        <v>304</v>
      </c>
      <c r="Q1924" t="s">
        <v>72</v>
      </c>
      <c r="S1924" t="s">
        <v>9015</v>
      </c>
      <c r="U1924" t="s">
        <v>45</v>
      </c>
      <c r="V1924" t="s">
        <v>46</v>
      </c>
      <c r="W1924" t="s">
        <v>302</v>
      </c>
      <c r="X1924" t="s">
        <v>303</v>
      </c>
      <c r="Y1924" t="s">
        <v>72</v>
      </c>
      <c r="Z1924" t="s">
        <v>68</v>
      </c>
      <c r="AA1924" t="s">
        <v>49</v>
      </c>
      <c r="AB1924" t="s">
        <v>50</v>
      </c>
      <c r="AC1924" s="2">
        <v>307125.77</v>
      </c>
      <c r="AD1924" t="s">
        <v>9016</v>
      </c>
    </row>
    <row r="1925" spans="1:31" x14ac:dyDescent="0.25">
      <c r="A1925" t="s">
        <v>9017</v>
      </c>
      <c r="B1925" t="s">
        <v>9018</v>
      </c>
      <c r="C1925" t="s">
        <v>9019</v>
      </c>
      <c r="D1925" t="s">
        <v>125</v>
      </c>
      <c r="E1925" t="s">
        <v>126</v>
      </c>
      <c r="F1925" t="s">
        <v>9020</v>
      </c>
      <c r="G1925" t="s">
        <v>847</v>
      </c>
      <c r="H1925" t="s">
        <v>81</v>
      </c>
      <c r="I1925" t="s">
        <v>9021</v>
      </c>
      <c r="J1925" s="2">
        <v>267421</v>
      </c>
      <c r="K1925" s="2">
        <v>1100</v>
      </c>
      <c r="L1925" s="2">
        <v>15</v>
      </c>
      <c r="M1925" s="2">
        <v>0</v>
      </c>
      <c r="N1925" t="s">
        <v>80</v>
      </c>
      <c r="O1925" t="s">
        <v>81</v>
      </c>
      <c r="P1925" t="s">
        <v>82</v>
      </c>
      <c r="Q1925" t="s">
        <v>83</v>
      </c>
      <c r="S1925" t="s">
        <v>9022</v>
      </c>
      <c r="U1925" t="s">
        <v>45</v>
      </c>
      <c r="V1925" t="s">
        <v>46</v>
      </c>
      <c r="W1925" t="s">
        <v>5938</v>
      </c>
      <c r="X1925" t="s">
        <v>5939</v>
      </c>
      <c r="Y1925" t="s">
        <v>85</v>
      </c>
      <c r="Z1925" t="s">
        <v>86</v>
      </c>
      <c r="AA1925" t="s">
        <v>49</v>
      </c>
      <c r="AB1925" t="s">
        <v>50</v>
      </c>
      <c r="AC1925" s="2">
        <v>36999.019999999997</v>
      </c>
      <c r="AD1925" t="s">
        <v>9023</v>
      </c>
      <c r="AE1925" t="s">
        <v>115</v>
      </c>
    </row>
    <row r="1926" spans="1:31" x14ac:dyDescent="0.25">
      <c r="A1926" t="s">
        <v>9024</v>
      </c>
      <c r="B1926" t="s">
        <v>9025</v>
      </c>
      <c r="C1926" t="s">
        <v>9025</v>
      </c>
      <c r="D1926" t="s">
        <v>2288</v>
      </c>
      <c r="E1926" t="s">
        <v>134</v>
      </c>
      <c r="F1926" t="s">
        <v>9026</v>
      </c>
      <c r="G1926" t="s">
        <v>333</v>
      </c>
      <c r="H1926" t="s">
        <v>1039</v>
      </c>
      <c r="I1926" t="s">
        <v>9027</v>
      </c>
      <c r="J1926" s="2">
        <v>436340</v>
      </c>
      <c r="K1926" s="2">
        <v>2000</v>
      </c>
      <c r="L1926" s="2">
        <v>15</v>
      </c>
      <c r="M1926" s="2">
        <v>0</v>
      </c>
      <c r="N1926" t="s">
        <v>1038</v>
      </c>
      <c r="O1926" t="s">
        <v>1039</v>
      </c>
      <c r="P1926" t="s">
        <v>304</v>
      </c>
      <c r="Q1926" t="s">
        <v>72</v>
      </c>
      <c r="S1926" t="s">
        <v>9028</v>
      </c>
      <c r="U1926" t="s">
        <v>45</v>
      </c>
      <c r="V1926" t="s">
        <v>46</v>
      </c>
      <c r="W1926" t="s">
        <v>1038</v>
      </c>
      <c r="X1926" t="s">
        <v>1039</v>
      </c>
      <c r="Y1926" t="s">
        <v>72</v>
      </c>
      <c r="Z1926" t="s">
        <v>68</v>
      </c>
      <c r="AA1926" t="s">
        <v>49</v>
      </c>
      <c r="AB1926" t="s">
        <v>50</v>
      </c>
      <c r="AC1926" s="2">
        <v>436339.99</v>
      </c>
      <c r="AD1926" t="s">
        <v>9029</v>
      </c>
    </row>
    <row r="1927" spans="1:31" x14ac:dyDescent="0.25">
      <c r="A1927" t="s">
        <v>9030</v>
      </c>
      <c r="B1927" t="s">
        <v>9031</v>
      </c>
      <c r="C1927" t="s">
        <v>9031</v>
      </c>
      <c r="D1927" t="s">
        <v>178</v>
      </c>
      <c r="E1927" t="s">
        <v>179</v>
      </c>
      <c r="F1927" t="s">
        <v>9032</v>
      </c>
      <c r="G1927" t="s">
        <v>297</v>
      </c>
      <c r="H1927" t="s">
        <v>79</v>
      </c>
      <c r="I1927" t="s">
        <v>9033</v>
      </c>
      <c r="J1927" s="2">
        <v>1102571</v>
      </c>
      <c r="K1927" s="2">
        <v>4564</v>
      </c>
      <c r="L1927" s="2">
        <v>21</v>
      </c>
      <c r="M1927" s="2">
        <v>0</v>
      </c>
      <c r="N1927" t="s">
        <v>495</v>
      </c>
      <c r="O1927" t="s">
        <v>79</v>
      </c>
      <c r="P1927" t="s">
        <v>3487</v>
      </c>
      <c r="Q1927" t="s">
        <v>3488</v>
      </c>
      <c r="S1927" t="s">
        <v>9034</v>
      </c>
      <c r="U1927" t="s">
        <v>45</v>
      </c>
      <c r="V1927" t="s">
        <v>46</v>
      </c>
      <c r="W1927" t="s">
        <v>495</v>
      </c>
      <c r="X1927" t="s">
        <v>79</v>
      </c>
      <c r="Y1927" t="s">
        <v>79</v>
      </c>
      <c r="Z1927" t="s">
        <v>94</v>
      </c>
      <c r="AA1927" t="s">
        <v>49</v>
      </c>
      <c r="AB1927" t="s">
        <v>50</v>
      </c>
      <c r="AC1927" s="2">
        <v>232306.79</v>
      </c>
      <c r="AD1927" t="s">
        <v>9035</v>
      </c>
      <c r="AE1927" t="s">
        <v>52</v>
      </c>
    </row>
    <row r="1928" spans="1:31" x14ac:dyDescent="0.25">
      <c r="A1928" t="s">
        <v>9036</v>
      </c>
      <c r="B1928" t="s">
        <v>9037</v>
      </c>
      <c r="C1928" t="s">
        <v>9037</v>
      </c>
      <c r="D1928" t="s">
        <v>4647</v>
      </c>
      <c r="E1928" t="s">
        <v>224</v>
      </c>
      <c r="F1928" t="s">
        <v>9038</v>
      </c>
      <c r="H1928" t="s">
        <v>881</v>
      </c>
      <c r="I1928" t="s">
        <v>9039</v>
      </c>
      <c r="J1928" s="2">
        <v>109085</v>
      </c>
      <c r="K1928" s="2">
        <v>500</v>
      </c>
      <c r="L1928" s="2">
        <v>7</v>
      </c>
      <c r="M1928" s="2">
        <v>0</v>
      </c>
      <c r="N1928" t="s">
        <v>883</v>
      </c>
      <c r="O1928" t="s">
        <v>881</v>
      </c>
      <c r="P1928" t="s">
        <v>158</v>
      </c>
      <c r="Q1928" t="s">
        <v>159</v>
      </c>
      <c r="S1928" t="s">
        <v>9040</v>
      </c>
      <c r="U1928" t="s">
        <v>45</v>
      </c>
      <c r="V1928" t="s">
        <v>46</v>
      </c>
      <c r="W1928" t="s">
        <v>883</v>
      </c>
      <c r="X1928" t="s">
        <v>881</v>
      </c>
      <c r="Y1928" t="s">
        <v>161</v>
      </c>
      <c r="Z1928" t="s">
        <v>162</v>
      </c>
      <c r="AA1928" t="s">
        <v>49</v>
      </c>
      <c r="AB1928" t="s">
        <v>50</v>
      </c>
      <c r="AC1928" s="2">
        <v>102821.33</v>
      </c>
      <c r="AD1928" t="s">
        <v>9041</v>
      </c>
    </row>
    <row r="1929" spans="1:31" x14ac:dyDescent="0.25">
      <c r="A1929" t="s">
        <v>9042</v>
      </c>
      <c r="B1929" t="s">
        <v>9043</v>
      </c>
      <c r="C1929" t="s">
        <v>9043</v>
      </c>
      <c r="D1929" t="s">
        <v>125</v>
      </c>
      <c r="E1929" t="s">
        <v>126</v>
      </c>
      <c r="F1929" t="s">
        <v>9044</v>
      </c>
      <c r="G1929" t="s">
        <v>125</v>
      </c>
      <c r="H1929" t="s">
        <v>2463</v>
      </c>
      <c r="I1929" t="s">
        <v>9045</v>
      </c>
      <c r="J1929" s="2">
        <v>436340</v>
      </c>
      <c r="K1929" s="2">
        <v>2000</v>
      </c>
      <c r="L1929" s="2">
        <v>21</v>
      </c>
      <c r="M1929" s="2">
        <v>0</v>
      </c>
      <c r="N1929" t="s">
        <v>2462</v>
      </c>
      <c r="O1929" t="s">
        <v>2463</v>
      </c>
      <c r="P1929" t="s">
        <v>2320</v>
      </c>
      <c r="Q1929" t="s">
        <v>2321</v>
      </c>
      <c r="S1929" t="s">
        <v>9046</v>
      </c>
      <c r="U1929" t="s">
        <v>45</v>
      </c>
      <c r="V1929" t="s">
        <v>46</v>
      </c>
      <c r="W1929" t="s">
        <v>2462</v>
      </c>
      <c r="X1929" t="s">
        <v>2463</v>
      </c>
      <c r="Y1929" t="s">
        <v>2157</v>
      </c>
      <c r="Z1929" t="s">
        <v>48</v>
      </c>
      <c r="AA1929" t="s">
        <v>49</v>
      </c>
      <c r="AB1929" t="s">
        <v>50</v>
      </c>
      <c r="AC1929" s="2">
        <v>-14572.33</v>
      </c>
      <c r="AD1929" t="s">
        <v>9047</v>
      </c>
      <c r="AE1929" t="s">
        <v>52</v>
      </c>
    </row>
    <row r="1930" spans="1:31" x14ac:dyDescent="0.25">
      <c r="A1930" t="s">
        <v>9048</v>
      </c>
      <c r="B1930" t="s">
        <v>9049</v>
      </c>
      <c r="C1930" t="s">
        <v>9049</v>
      </c>
      <c r="D1930" t="s">
        <v>1289</v>
      </c>
      <c r="E1930" t="s">
        <v>224</v>
      </c>
      <c r="F1930" t="s">
        <v>9050</v>
      </c>
      <c r="G1930" t="s">
        <v>1289</v>
      </c>
      <c r="H1930" t="s">
        <v>8209</v>
      </c>
      <c r="I1930" t="s">
        <v>9051</v>
      </c>
      <c r="J1930" s="2">
        <v>218170</v>
      </c>
      <c r="K1930" s="2">
        <v>1000</v>
      </c>
      <c r="L1930" s="2">
        <v>25</v>
      </c>
      <c r="M1930" s="2">
        <v>0</v>
      </c>
      <c r="N1930" t="s">
        <v>8208</v>
      </c>
      <c r="O1930" t="s">
        <v>8209</v>
      </c>
      <c r="P1930" t="s">
        <v>3487</v>
      </c>
      <c r="Q1930" t="s">
        <v>3488</v>
      </c>
      <c r="S1930" t="s">
        <v>9052</v>
      </c>
      <c r="U1930" t="s">
        <v>45</v>
      </c>
      <c r="V1930" t="s">
        <v>46</v>
      </c>
      <c r="W1930" t="s">
        <v>8208</v>
      </c>
      <c r="X1930" t="s">
        <v>8209</v>
      </c>
      <c r="Y1930" t="s">
        <v>79</v>
      </c>
      <c r="Z1930" t="s">
        <v>94</v>
      </c>
      <c r="AA1930" t="s">
        <v>49</v>
      </c>
      <c r="AB1930" t="s">
        <v>50</v>
      </c>
      <c r="AC1930" s="2">
        <v>218170</v>
      </c>
      <c r="AD1930" t="s">
        <v>64</v>
      </c>
    </row>
    <row r="1931" spans="1:31" x14ac:dyDescent="0.25">
      <c r="A1931" t="s">
        <v>9053</v>
      </c>
      <c r="B1931" t="s">
        <v>9054</v>
      </c>
      <c r="C1931" t="s">
        <v>9054</v>
      </c>
      <c r="D1931" t="s">
        <v>178</v>
      </c>
      <c r="E1931" t="s">
        <v>179</v>
      </c>
      <c r="F1931" t="s">
        <v>9055</v>
      </c>
      <c r="G1931" t="s">
        <v>178</v>
      </c>
      <c r="H1931" t="s">
        <v>1430</v>
      </c>
      <c r="I1931" t="s">
        <v>9056</v>
      </c>
      <c r="J1931" s="2">
        <v>522687</v>
      </c>
      <c r="K1931" s="2">
        <v>2150</v>
      </c>
      <c r="L1931" s="2">
        <v>15</v>
      </c>
      <c r="M1931" s="2">
        <v>0</v>
      </c>
      <c r="N1931" t="s">
        <v>1427</v>
      </c>
      <c r="O1931" t="s">
        <v>1428</v>
      </c>
      <c r="P1931" t="s">
        <v>82</v>
      </c>
      <c r="Q1931" t="s">
        <v>83</v>
      </c>
      <c r="S1931" t="s">
        <v>9057</v>
      </c>
      <c r="U1931" t="s">
        <v>45</v>
      </c>
      <c r="V1931" t="s">
        <v>46</v>
      </c>
      <c r="W1931" t="s">
        <v>1427</v>
      </c>
      <c r="X1931" t="s">
        <v>1430</v>
      </c>
      <c r="Y1931" t="s">
        <v>85</v>
      </c>
      <c r="Z1931" t="s">
        <v>86</v>
      </c>
      <c r="AA1931" t="s">
        <v>49</v>
      </c>
      <c r="AB1931" t="s">
        <v>50</v>
      </c>
      <c r="AC1931" s="2">
        <v>-17271.439999999999</v>
      </c>
      <c r="AD1931" t="s">
        <v>9058</v>
      </c>
      <c r="AE1931" t="s">
        <v>52</v>
      </c>
    </row>
    <row r="1932" spans="1:31" x14ac:dyDescent="0.25">
      <c r="A1932" t="s">
        <v>9059</v>
      </c>
      <c r="B1932" t="s">
        <v>9060</v>
      </c>
      <c r="C1932" t="s">
        <v>9060</v>
      </c>
      <c r="D1932" t="s">
        <v>873</v>
      </c>
      <c r="E1932" t="s">
        <v>224</v>
      </c>
      <c r="F1932" t="s">
        <v>9061</v>
      </c>
      <c r="G1932" t="s">
        <v>333</v>
      </c>
      <c r="H1932" t="s">
        <v>79</v>
      </c>
      <c r="I1932" t="s">
        <v>9062</v>
      </c>
      <c r="J1932" s="2">
        <v>67633</v>
      </c>
      <c r="K1932" s="2">
        <v>310</v>
      </c>
      <c r="L1932" s="2">
        <v>1</v>
      </c>
      <c r="M1932" s="2">
        <v>0</v>
      </c>
      <c r="N1932" t="s">
        <v>495</v>
      </c>
      <c r="O1932" t="s">
        <v>79</v>
      </c>
      <c r="P1932" t="s">
        <v>3487</v>
      </c>
      <c r="Q1932" t="s">
        <v>3488</v>
      </c>
      <c r="S1932" t="s">
        <v>9063</v>
      </c>
      <c r="U1932" t="s">
        <v>45</v>
      </c>
      <c r="V1932" t="s">
        <v>46</v>
      </c>
      <c r="W1932" t="s">
        <v>495</v>
      </c>
      <c r="X1932" t="s">
        <v>79</v>
      </c>
      <c r="Y1932" t="s">
        <v>79</v>
      </c>
      <c r="Z1932" t="s">
        <v>94</v>
      </c>
      <c r="AA1932" t="s">
        <v>49</v>
      </c>
      <c r="AB1932" t="s">
        <v>50</v>
      </c>
      <c r="AC1932" s="2">
        <v>67633</v>
      </c>
      <c r="AD1932" t="s">
        <v>64</v>
      </c>
    </row>
    <row r="1933" spans="1:31" hidden="1" x14ac:dyDescent="0.25">
      <c r="I1933" t="s">
        <v>9064</v>
      </c>
      <c r="J1933" s="2">
        <v>109085</v>
      </c>
      <c r="K1933" s="2">
        <v>500</v>
      </c>
      <c r="L1933" s="2">
        <v>15</v>
      </c>
      <c r="M1933" s="2">
        <v>0</v>
      </c>
      <c r="S1933" t="s">
        <v>9065</v>
      </c>
      <c r="U1933" t="s">
        <v>45</v>
      </c>
      <c r="V1933" t="s">
        <v>46</v>
      </c>
      <c r="W1933" t="s">
        <v>6029</v>
      </c>
      <c r="X1933" t="s">
        <v>6030</v>
      </c>
      <c r="Y1933" t="s">
        <v>85</v>
      </c>
      <c r="Z1933" t="s">
        <v>86</v>
      </c>
      <c r="AA1933" t="s">
        <v>49</v>
      </c>
      <c r="AC1933" s="2"/>
    </row>
    <row r="1934" spans="1:31" x14ac:dyDescent="0.25">
      <c r="A1934" t="s">
        <v>9066</v>
      </c>
      <c r="B1934" t="s">
        <v>9067</v>
      </c>
      <c r="C1934" t="s">
        <v>9067</v>
      </c>
      <c r="D1934" t="s">
        <v>125</v>
      </c>
      <c r="E1934" t="s">
        <v>126</v>
      </c>
      <c r="F1934" t="s">
        <v>9068</v>
      </c>
      <c r="G1934" t="s">
        <v>125</v>
      </c>
      <c r="H1934" t="s">
        <v>1360</v>
      </c>
      <c r="I1934" t="s">
        <v>9069</v>
      </c>
      <c r="J1934" s="2">
        <v>656397</v>
      </c>
      <c r="K1934" s="2">
        <v>2700</v>
      </c>
      <c r="L1934" s="2">
        <v>15</v>
      </c>
      <c r="M1934" s="2">
        <v>0</v>
      </c>
      <c r="N1934" t="s">
        <v>1362</v>
      </c>
      <c r="O1934" t="s">
        <v>1360</v>
      </c>
      <c r="P1934" t="s">
        <v>1421</v>
      </c>
      <c r="Q1934" t="s">
        <v>1422</v>
      </c>
      <c r="S1934" t="s">
        <v>9070</v>
      </c>
      <c r="U1934" t="s">
        <v>45</v>
      </c>
      <c r="V1934" t="s">
        <v>46</v>
      </c>
      <c r="W1934" t="s">
        <v>1362</v>
      </c>
      <c r="X1934" t="s">
        <v>1360</v>
      </c>
      <c r="Y1934" t="s">
        <v>1215</v>
      </c>
      <c r="Z1934" t="s">
        <v>1216</v>
      </c>
      <c r="AA1934" t="s">
        <v>49</v>
      </c>
      <c r="AB1934" t="s">
        <v>50</v>
      </c>
      <c r="AC1934" s="2">
        <v>171948.21</v>
      </c>
      <c r="AD1934" t="s">
        <v>9071</v>
      </c>
      <c r="AE1934" t="s">
        <v>115</v>
      </c>
    </row>
    <row r="1935" spans="1:31" x14ac:dyDescent="0.25">
      <c r="A1935" t="s">
        <v>9072</v>
      </c>
      <c r="B1935" t="s">
        <v>9073</v>
      </c>
      <c r="C1935" t="s">
        <v>9073</v>
      </c>
      <c r="D1935" t="s">
        <v>569</v>
      </c>
      <c r="E1935" t="s">
        <v>570</v>
      </c>
      <c r="F1935" t="s">
        <v>9074</v>
      </c>
      <c r="G1935" t="s">
        <v>297</v>
      </c>
      <c r="H1935" t="s">
        <v>327</v>
      </c>
      <c r="I1935" t="s">
        <v>9075</v>
      </c>
      <c r="J1935" s="2">
        <v>245670</v>
      </c>
      <c r="K1935" s="2">
        <v>1000</v>
      </c>
      <c r="L1935" s="2">
        <v>15</v>
      </c>
      <c r="M1935" s="2">
        <v>0</v>
      </c>
      <c r="N1935" t="s">
        <v>326</v>
      </c>
      <c r="O1935" t="s">
        <v>327</v>
      </c>
      <c r="P1935" t="s">
        <v>120</v>
      </c>
      <c r="Q1935" t="s">
        <v>121</v>
      </c>
      <c r="S1935" t="s">
        <v>9076</v>
      </c>
      <c r="U1935" t="s">
        <v>45</v>
      </c>
      <c r="V1935" t="s">
        <v>46</v>
      </c>
      <c r="W1935" t="s">
        <v>326</v>
      </c>
      <c r="X1935" t="s">
        <v>327</v>
      </c>
      <c r="Y1935" t="s">
        <v>121</v>
      </c>
      <c r="Z1935" t="s">
        <v>94</v>
      </c>
      <c r="AA1935" t="s">
        <v>49</v>
      </c>
      <c r="AB1935" t="s">
        <v>50</v>
      </c>
      <c r="AC1935" s="2">
        <v>190180.05</v>
      </c>
      <c r="AD1935" t="s">
        <v>9077</v>
      </c>
      <c r="AE1935" t="s">
        <v>52</v>
      </c>
    </row>
    <row r="1936" spans="1:31" x14ac:dyDescent="0.25">
      <c r="A1936" t="s">
        <v>9078</v>
      </c>
      <c r="B1936" t="s">
        <v>9079</v>
      </c>
      <c r="C1936" t="s">
        <v>9079</v>
      </c>
      <c r="D1936" t="s">
        <v>569</v>
      </c>
      <c r="E1936" t="s">
        <v>570</v>
      </c>
      <c r="F1936" t="s">
        <v>9080</v>
      </c>
      <c r="G1936" t="s">
        <v>297</v>
      </c>
      <c r="H1936" t="s">
        <v>327</v>
      </c>
      <c r="I1936" t="s">
        <v>9081</v>
      </c>
      <c r="J1936" s="2">
        <v>218170</v>
      </c>
      <c r="K1936" s="2">
        <v>1000</v>
      </c>
      <c r="L1936" s="2">
        <v>15</v>
      </c>
      <c r="M1936" s="2">
        <v>0</v>
      </c>
      <c r="N1936" t="s">
        <v>326</v>
      </c>
      <c r="O1936" t="s">
        <v>327</v>
      </c>
      <c r="P1936" t="s">
        <v>120</v>
      </c>
      <c r="Q1936" t="s">
        <v>121</v>
      </c>
      <c r="S1936" t="s">
        <v>9082</v>
      </c>
      <c r="U1936" t="s">
        <v>45</v>
      </c>
      <c r="V1936" t="s">
        <v>46</v>
      </c>
      <c r="W1936" t="s">
        <v>326</v>
      </c>
      <c r="X1936" t="s">
        <v>327</v>
      </c>
      <c r="Y1936" t="s">
        <v>121</v>
      </c>
      <c r="Z1936" t="s">
        <v>94</v>
      </c>
      <c r="AA1936" t="s">
        <v>49</v>
      </c>
      <c r="AB1936" t="s">
        <v>50</v>
      </c>
      <c r="AC1936" s="2">
        <v>165899.07999999999</v>
      </c>
      <c r="AD1936" t="s">
        <v>9083</v>
      </c>
      <c r="AE1936" t="s">
        <v>52</v>
      </c>
    </row>
    <row r="1937" spans="1:31" x14ac:dyDescent="0.25">
      <c r="A1937" t="s">
        <v>9084</v>
      </c>
      <c r="B1937" t="s">
        <v>9085</v>
      </c>
      <c r="C1937" t="s">
        <v>9085</v>
      </c>
      <c r="D1937" t="s">
        <v>297</v>
      </c>
      <c r="E1937" t="s">
        <v>167</v>
      </c>
      <c r="F1937" t="s">
        <v>9086</v>
      </c>
      <c r="G1937" t="s">
        <v>1410</v>
      </c>
      <c r="H1937" t="s">
        <v>157</v>
      </c>
      <c r="I1937" t="s">
        <v>9087</v>
      </c>
      <c r="J1937" s="2">
        <v>3272550</v>
      </c>
      <c r="K1937" s="2">
        <v>15000</v>
      </c>
      <c r="L1937" s="2">
        <v>30</v>
      </c>
      <c r="M1937" s="2">
        <v>0</v>
      </c>
      <c r="N1937" t="s">
        <v>156</v>
      </c>
      <c r="O1937" t="s">
        <v>157</v>
      </c>
      <c r="P1937" t="s">
        <v>158</v>
      </c>
      <c r="Q1937" t="s">
        <v>159</v>
      </c>
      <c r="S1937" t="s">
        <v>9088</v>
      </c>
      <c r="U1937" t="s">
        <v>45</v>
      </c>
      <c r="V1937" t="s">
        <v>46</v>
      </c>
      <c r="W1937" t="s">
        <v>156</v>
      </c>
      <c r="X1937" t="s">
        <v>157</v>
      </c>
      <c r="Y1937" t="s">
        <v>161</v>
      </c>
      <c r="Z1937" t="s">
        <v>162</v>
      </c>
      <c r="AA1937" t="s">
        <v>49</v>
      </c>
      <c r="AB1937" t="s">
        <v>50</v>
      </c>
      <c r="AC1937" s="2">
        <v>3100068</v>
      </c>
      <c r="AD1937" t="s">
        <v>9089</v>
      </c>
      <c r="AE1937" t="s">
        <v>115</v>
      </c>
    </row>
    <row r="1938" spans="1:31" hidden="1" x14ac:dyDescent="0.25">
      <c r="I1938" t="s">
        <v>9090</v>
      </c>
      <c r="J1938" s="2">
        <v>109085</v>
      </c>
      <c r="K1938" s="2">
        <v>500</v>
      </c>
      <c r="L1938" s="2">
        <v>15</v>
      </c>
      <c r="M1938" s="2">
        <v>0</v>
      </c>
      <c r="S1938" t="s">
        <v>9091</v>
      </c>
      <c r="U1938" t="s">
        <v>45</v>
      </c>
      <c r="V1938" t="s">
        <v>46</v>
      </c>
      <c r="W1938" t="s">
        <v>2384</v>
      </c>
      <c r="X1938" t="s">
        <v>2385</v>
      </c>
      <c r="Y1938" t="s">
        <v>106</v>
      </c>
      <c r="Z1938" t="s">
        <v>107</v>
      </c>
      <c r="AA1938" t="s">
        <v>49</v>
      </c>
      <c r="AC1938" s="2"/>
    </row>
    <row r="1939" spans="1:31" hidden="1" x14ac:dyDescent="0.25">
      <c r="A1939" t="s">
        <v>9092</v>
      </c>
      <c r="B1939" t="s">
        <v>9093</v>
      </c>
      <c r="C1939" t="s">
        <v>9093</v>
      </c>
      <c r="F1939" t="s">
        <v>9094</v>
      </c>
      <c r="H1939" t="s">
        <v>1360</v>
      </c>
      <c r="I1939" t="s">
        <v>9095</v>
      </c>
      <c r="J1939" s="2">
        <v>21817</v>
      </c>
      <c r="K1939" s="2">
        <v>100</v>
      </c>
      <c r="L1939" s="2">
        <v>1</v>
      </c>
      <c r="M1939" s="2">
        <v>0</v>
      </c>
      <c r="N1939" t="s">
        <v>1362</v>
      </c>
      <c r="O1939" t="s">
        <v>1360</v>
      </c>
      <c r="P1939" t="s">
        <v>1212</v>
      </c>
      <c r="Q1939" t="s">
        <v>1213</v>
      </c>
      <c r="S1939" t="s">
        <v>9096</v>
      </c>
      <c r="U1939" t="s">
        <v>45</v>
      </c>
      <c r="V1939" t="s">
        <v>46</v>
      </c>
      <c r="W1939" t="s">
        <v>1362</v>
      </c>
      <c r="X1939" t="s">
        <v>1360</v>
      </c>
      <c r="Y1939" t="s">
        <v>1215</v>
      </c>
      <c r="Z1939" t="s">
        <v>1216</v>
      </c>
      <c r="AA1939" t="s">
        <v>49</v>
      </c>
      <c r="AB1939" t="s">
        <v>50</v>
      </c>
      <c r="AC1939" s="2">
        <v>21817</v>
      </c>
      <c r="AD1939" t="s">
        <v>64</v>
      </c>
    </row>
    <row r="1940" spans="1:31" x14ac:dyDescent="0.25">
      <c r="A1940" t="s">
        <v>9097</v>
      </c>
      <c r="B1940" t="s">
        <v>9098</v>
      </c>
      <c r="C1940" t="s">
        <v>9098</v>
      </c>
      <c r="D1940" t="s">
        <v>569</v>
      </c>
      <c r="E1940" t="s">
        <v>570</v>
      </c>
      <c r="F1940" t="s">
        <v>9099</v>
      </c>
      <c r="G1940" t="s">
        <v>178</v>
      </c>
      <c r="H1940" t="s">
        <v>1430</v>
      </c>
      <c r="I1940" t="s">
        <v>9100</v>
      </c>
      <c r="J1940" s="2">
        <v>361808</v>
      </c>
      <c r="K1940" s="2">
        <v>1600</v>
      </c>
      <c r="L1940" s="2">
        <v>15</v>
      </c>
      <c r="M1940" s="2">
        <v>0</v>
      </c>
      <c r="N1940" t="s">
        <v>1427</v>
      </c>
      <c r="O1940" t="s">
        <v>1428</v>
      </c>
      <c r="P1940" t="s">
        <v>82</v>
      </c>
      <c r="Q1940" t="s">
        <v>83</v>
      </c>
      <c r="S1940" t="s">
        <v>9101</v>
      </c>
      <c r="U1940" t="s">
        <v>45</v>
      </c>
      <c r="V1940" t="s">
        <v>46</v>
      </c>
      <c r="W1940" t="s">
        <v>1427</v>
      </c>
      <c r="X1940" t="s">
        <v>1430</v>
      </c>
      <c r="Y1940" t="s">
        <v>85</v>
      </c>
      <c r="Z1940" t="s">
        <v>86</v>
      </c>
      <c r="AA1940" t="s">
        <v>49</v>
      </c>
      <c r="AB1940" t="s">
        <v>50</v>
      </c>
      <c r="AC1940" s="2">
        <v>21919.21</v>
      </c>
      <c r="AD1940" t="s">
        <v>9102</v>
      </c>
      <c r="AE1940" t="s">
        <v>52</v>
      </c>
    </row>
    <row r="1941" spans="1:31" x14ac:dyDescent="0.25">
      <c r="A1941" t="s">
        <v>9103</v>
      </c>
      <c r="B1941" t="s">
        <v>9104</v>
      </c>
      <c r="C1941" t="s">
        <v>9104</v>
      </c>
      <c r="D1941" t="s">
        <v>153</v>
      </c>
      <c r="E1941" t="s">
        <v>272</v>
      </c>
      <c r="F1941" t="s">
        <v>9105</v>
      </c>
      <c r="G1941" t="s">
        <v>153</v>
      </c>
      <c r="H1941" t="s">
        <v>9106</v>
      </c>
      <c r="I1941" t="s">
        <v>9107</v>
      </c>
      <c r="J1941" s="2">
        <v>235599</v>
      </c>
      <c r="K1941" s="2">
        <v>1050</v>
      </c>
      <c r="L1941" s="2">
        <v>25</v>
      </c>
      <c r="M1941" s="2">
        <v>0</v>
      </c>
      <c r="N1941" t="s">
        <v>5201</v>
      </c>
      <c r="O1941" t="s">
        <v>5202</v>
      </c>
      <c r="P1941" t="s">
        <v>4853</v>
      </c>
      <c r="Q1941" t="s">
        <v>4854</v>
      </c>
      <c r="S1941" t="s">
        <v>9108</v>
      </c>
      <c r="U1941" t="s">
        <v>45</v>
      </c>
      <c r="V1941" t="s">
        <v>46</v>
      </c>
      <c r="W1941" t="s">
        <v>5201</v>
      </c>
      <c r="X1941" t="s">
        <v>5202</v>
      </c>
      <c r="Y1941" t="s">
        <v>4854</v>
      </c>
      <c r="Z1941" t="s">
        <v>72</v>
      </c>
      <c r="AA1941" t="s">
        <v>49</v>
      </c>
      <c r="AB1941" t="s">
        <v>50</v>
      </c>
      <c r="AC1941" s="2">
        <v>177653.56</v>
      </c>
      <c r="AD1941" t="s">
        <v>9109</v>
      </c>
      <c r="AE1941" t="s">
        <v>52</v>
      </c>
    </row>
    <row r="1942" spans="1:31" hidden="1" x14ac:dyDescent="0.25">
      <c r="I1942" t="s">
        <v>9111</v>
      </c>
      <c r="J1942" s="2">
        <v>174536</v>
      </c>
      <c r="K1942" s="2">
        <v>800</v>
      </c>
      <c r="L1942" s="2">
        <v>21</v>
      </c>
      <c r="M1942" s="2">
        <v>0</v>
      </c>
      <c r="S1942" t="s">
        <v>9113</v>
      </c>
      <c r="U1942" t="s">
        <v>45</v>
      </c>
      <c r="V1942" t="s">
        <v>46</v>
      </c>
      <c r="W1942" t="s">
        <v>9112</v>
      </c>
      <c r="X1942" t="s">
        <v>9110</v>
      </c>
      <c r="Y1942" t="s">
        <v>2157</v>
      </c>
      <c r="Z1942" t="s">
        <v>48</v>
      </c>
      <c r="AA1942" t="s">
        <v>49</v>
      </c>
      <c r="AC1942" s="2"/>
    </row>
    <row r="1943" spans="1:31" hidden="1" x14ac:dyDescent="0.25">
      <c r="A1943" t="s">
        <v>9114</v>
      </c>
      <c r="B1943" t="s">
        <v>9115</v>
      </c>
      <c r="C1943" t="s">
        <v>9115</v>
      </c>
      <c r="F1943" t="s">
        <v>3471</v>
      </c>
      <c r="J1943" s="2">
        <v>1000</v>
      </c>
      <c r="K1943" s="2">
        <v>0</v>
      </c>
      <c r="L1943" s="2">
        <v>1</v>
      </c>
      <c r="M1943" s="2">
        <v>0</v>
      </c>
      <c r="N1943" t="s">
        <v>302</v>
      </c>
      <c r="O1943" t="s">
        <v>303</v>
      </c>
      <c r="P1943" t="s">
        <v>304</v>
      </c>
      <c r="Q1943" t="s">
        <v>72</v>
      </c>
      <c r="U1943" t="s">
        <v>45</v>
      </c>
      <c r="V1943" t="s">
        <v>46</v>
      </c>
      <c r="W1943" t="s">
        <v>302</v>
      </c>
      <c r="X1943" t="s">
        <v>303</v>
      </c>
      <c r="Y1943" t="s">
        <v>72</v>
      </c>
      <c r="Z1943" t="s">
        <v>68</v>
      </c>
      <c r="AA1943" t="s">
        <v>49</v>
      </c>
      <c r="AB1943" t="s">
        <v>50</v>
      </c>
      <c r="AC1943" s="2">
        <v>1000</v>
      </c>
      <c r="AD1943" t="s">
        <v>64</v>
      </c>
    </row>
    <row r="1944" spans="1:31" x14ac:dyDescent="0.25">
      <c r="A1944" t="s">
        <v>9116</v>
      </c>
      <c r="B1944" t="s">
        <v>9117</v>
      </c>
      <c r="C1944" t="s">
        <v>3470</v>
      </c>
      <c r="D1944" t="s">
        <v>125</v>
      </c>
      <c r="E1944" t="s">
        <v>126</v>
      </c>
      <c r="F1944" t="s">
        <v>3471</v>
      </c>
      <c r="G1944" t="s">
        <v>125</v>
      </c>
      <c r="H1944" t="s">
        <v>4371</v>
      </c>
      <c r="I1944" t="s">
        <v>9118</v>
      </c>
      <c r="J1944" s="2">
        <v>327255</v>
      </c>
      <c r="K1944" s="2">
        <v>1500</v>
      </c>
      <c r="L1944" s="2">
        <v>21</v>
      </c>
      <c r="M1944" s="2">
        <v>0</v>
      </c>
      <c r="N1944" t="s">
        <v>4373</v>
      </c>
      <c r="O1944" t="s">
        <v>4371</v>
      </c>
      <c r="P1944" t="s">
        <v>2320</v>
      </c>
      <c r="Q1944" t="s">
        <v>2321</v>
      </c>
      <c r="S1944" t="s">
        <v>9119</v>
      </c>
      <c r="U1944" t="s">
        <v>45</v>
      </c>
      <c r="V1944" t="s">
        <v>46</v>
      </c>
      <c r="W1944" t="s">
        <v>4373</v>
      </c>
      <c r="X1944" t="s">
        <v>4371</v>
      </c>
      <c r="Y1944" t="s">
        <v>258</v>
      </c>
      <c r="Z1944" t="s">
        <v>259</v>
      </c>
      <c r="AA1944" t="s">
        <v>49</v>
      </c>
      <c r="AB1944" t="s">
        <v>50</v>
      </c>
      <c r="AC1944" s="2">
        <v>91201.05</v>
      </c>
      <c r="AD1944" t="s">
        <v>9120</v>
      </c>
      <c r="AE1944" t="s">
        <v>52</v>
      </c>
    </row>
    <row r="1945" spans="1:31" x14ac:dyDescent="0.25">
      <c r="A1945" t="s">
        <v>9121</v>
      </c>
      <c r="B1945" t="s">
        <v>9122</v>
      </c>
      <c r="C1945" t="s">
        <v>9122</v>
      </c>
      <c r="D1945" t="s">
        <v>98</v>
      </c>
      <c r="E1945" t="s">
        <v>77</v>
      </c>
      <c r="F1945" t="s">
        <v>9123</v>
      </c>
      <c r="H1945" t="s">
        <v>255</v>
      </c>
      <c r="I1945" t="s">
        <v>9124</v>
      </c>
      <c r="J1945" s="2">
        <v>218</v>
      </c>
      <c r="K1945" s="2">
        <v>1</v>
      </c>
      <c r="L1945" s="2">
        <v>1</v>
      </c>
      <c r="M1945" s="2">
        <v>0</v>
      </c>
      <c r="N1945" t="s">
        <v>254</v>
      </c>
      <c r="O1945" t="s">
        <v>255</v>
      </c>
      <c r="P1945" t="s">
        <v>256</v>
      </c>
      <c r="Q1945" t="s">
        <v>255</v>
      </c>
      <c r="S1945" t="s">
        <v>9125</v>
      </c>
      <c r="U1945" t="s">
        <v>45</v>
      </c>
      <c r="V1945" t="s">
        <v>46</v>
      </c>
      <c r="W1945" t="s">
        <v>254</v>
      </c>
      <c r="X1945" t="s">
        <v>255</v>
      </c>
      <c r="Y1945" t="s">
        <v>258</v>
      </c>
      <c r="Z1945" t="s">
        <v>259</v>
      </c>
      <c r="AA1945" t="s">
        <v>49</v>
      </c>
      <c r="AB1945" t="s">
        <v>50</v>
      </c>
      <c r="AC1945" s="2">
        <v>218</v>
      </c>
      <c r="AD1945" t="s">
        <v>64</v>
      </c>
    </row>
    <row r="1946" spans="1:31" hidden="1" x14ac:dyDescent="0.25">
      <c r="A1946" t="s">
        <v>9126</v>
      </c>
      <c r="B1946" t="s">
        <v>9127</v>
      </c>
      <c r="C1946" t="s">
        <v>9127</v>
      </c>
      <c r="F1946" t="s">
        <v>9128</v>
      </c>
      <c r="H1946" t="s">
        <v>9129</v>
      </c>
      <c r="J1946" s="2">
        <v>218</v>
      </c>
      <c r="K1946" s="2">
        <v>1</v>
      </c>
      <c r="L1946" s="2">
        <v>1</v>
      </c>
      <c r="M1946" s="2">
        <v>0</v>
      </c>
      <c r="N1946" t="s">
        <v>9130</v>
      </c>
      <c r="O1946" t="s">
        <v>9129</v>
      </c>
      <c r="P1946" t="s">
        <v>256</v>
      </c>
      <c r="Q1946" t="s">
        <v>255</v>
      </c>
      <c r="S1946" t="s">
        <v>9131</v>
      </c>
      <c r="U1946" t="s">
        <v>45</v>
      </c>
      <c r="V1946" t="s">
        <v>46</v>
      </c>
      <c r="W1946" t="s">
        <v>9130</v>
      </c>
      <c r="X1946" t="s">
        <v>9129</v>
      </c>
      <c r="Y1946" t="s">
        <v>137</v>
      </c>
      <c r="Z1946" t="s">
        <v>717</v>
      </c>
      <c r="AA1946" t="s">
        <v>49</v>
      </c>
      <c r="AB1946" t="s">
        <v>50</v>
      </c>
      <c r="AC1946" s="2">
        <v>218</v>
      </c>
      <c r="AD1946" t="s">
        <v>64</v>
      </c>
    </row>
    <row r="1947" spans="1:31" x14ac:dyDescent="0.25">
      <c r="A1947" t="s">
        <v>9132</v>
      </c>
      <c r="B1947" t="s">
        <v>9133</v>
      </c>
      <c r="C1947" t="s">
        <v>9133</v>
      </c>
      <c r="D1947" t="s">
        <v>847</v>
      </c>
      <c r="E1947" t="s">
        <v>848</v>
      </c>
      <c r="F1947" t="s">
        <v>9134</v>
      </c>
      <c r="G1947" t="s">
        <v>847</v>
      </c>
      <c r="H1947" t="s">
        <v>7493</v>
      </c>
      <c r="I1947" t="s">
        <v>9135</v>
      </c>
      <c r="J1947" s="2">
        <v>436340</v>
      </c>
      <c r="K1947" s="2">
        <v>2000</v>
      </c>
      <c r="L1947" s="2">
        <v>15</v>
      </c>
      <c r="M1947" s="2">
        <v>0</v>
      </c>
      <c r="N1947" t="s">
        <v>9136</v>
      </c>
      <c r="O1947" t="s">
        <v>9137</v>
      </c>
      <c r="P1947" t="s">
        <v>4315</v>
      </c>
      <c r="Q1947" t="s">
        <v>4316</v>
      </c>
      <c r="S1947" t="s">
        <v>9138</v>
      </c>
      <c r="U1947" t="s">
        <v>45</v>
      </c>
      <c r="V1947" t="s">
        <v>46</v>
      </c>
      <c r="W1947" t="s">
        <v>9136</v>
      </c>
      <c r="X1947" t="s">
        <v>9137</v>
      </c>
      <c r="Y1947" t="s">
        <v>7493</v>
      </c>
      <c r="Z1947" t="s">
        <v>7494</v>
      </c>
      <c r="AA1947" t="s">
        <v>49</v>
      </c>
      <c r="AB1947" t="s">
        <v>50</v>
      </c>
      <c r="AC1947" s="2">
        <v>289132.38</v>
      </c>
      <c r="AD1947" t="s">
        <v>9139</v>
      </c>
      <c r="AE1947" t="s">
        <v>52</v>
      </c>
    </row>
    <row r="1948" spans="1:31" x14ac:dyDescent="0.25">
      <c r="A1948" t="s">
        <v>9140</v>
      </c>
      <c r="B1948" t="s">
        <v>9141</v>
      </c>
      <c r="C1948" t="s">
        <v>9141</v>
      </c>
      <c r="D1948" t="s">
        <v>847</v>
      </c>
      <c r="E1948" t="s">
        <v>848</v>
      </c>
      <c r="F1948" t="s">
        <v>9142</v>
      </c>
      <c r="H1948" t="s">
        <v>41</v>
      </c>
      <c r="J1948" s="2">
        <v>16773</v>
      </c>
      <c r="K1948" s="2">
        <v>76.88</v>
      </c>
      <c r="L1948" s="2">
        <v>15</v>
      </c>
      <c r="M1948" s="2">
        <v>0</v>
      </c>
      <c r="N1948" t="s">
        <v>40</v>
      </c>
      <c r="O1948" t="s">
        <v>41</v>
      </c>
      <c r="P1948" t="s">
        <v>42</v>
      </c>
      <c r="Q1948" t="s">
        <v>43</v>
      </c>
      <c r="U1948" t="s">
        <v>45</v>
      </c>
      <c r="V1948" t="s">
        <v>46</v>
      </c>
      <c r="W1948" t="s">
        <v>40</v>
      </c>
      <c r="X1948" t="s">
        <v>41</v>
      </c>
      <c r="Y1948" t="s">
        <v>47</v>
      </c>
      <c r="Z1948" t="s">
        <v>48</v>
      </c>
      <c r="AA1948" t="s">
        <v>141</v>
      </c>
      <c r="AB1948" t="s">
        <v>50</v>
      </c>
      <c r="AC1948" s="2">
        <v>-2757.61</v>
      </c>
      <c r="AD1948" t="s">
        <v>9143</v>
      </c>
    </row>
    <row r="1949" spans="1:31" x14ac:dyDescent="0.25">
      <c r="A1949" t="s">
        <v>9144</v>
      </c>
      <c r="B1949" t="s">
        <v>9145</v>
      </c>
      <c r="C1949" t="s">
        <v>9145</v>
      </c>
      <c r="D1949" t="s">
        <v>125</v>
      </c>
      <c r="E1949" t="s">
        <v>126</v>
      </c>
      <c r="F1949" t="s">
        <v>9146</v>
      </c>
      <c r="G1949" t="s">
        <v>125</v>
      </c>
      <c r="H1949" t="s">
        <v>7938</v>
      </c>
      <c r="I1949" t="s">
        <v>9147</v>
      </c>
      <c r="J1949" s="2">
        <v>569419</v>
      </c>
      <c r="K1949" s="2">
        <v>2609.98</v>
      </c>
      <c r="L1949" s="2">
        <v>21</v>
      </c>
      <c r="M1949" s="2">
        <v>0</v>
      </c>
      <c r="N1949" t="s">
        <v>9148</v>
      </c>
      <c r="O1949" t="s">
        <v>9149</v>
      </c>
      <c r="P1949" t="s">
        <v>4315</v>
      </c>
      <c r="Q1949" t="s">
        <v>4316</v>
      </c>
      <c r="S1949" t="s">
        <v>9150</v>
      </c>
      <c r="U1949" t="s">
        <v>45</v>
      </c>
      <c r="V1949" t="s">
        <v>46</v>
      </c>
      <c r="W1949" t="s">
        <v>9148</v>
      </c>
      <c r="X1949" t="s">
        <v>9149</v>
      </c>
      <c r="Y1949" t="s">
        <v>7938</v>
      </c>
      <c r="Z1949" t="s">
        <v>7939</v>
      </c>
      <c r="AA1949" t="s">
        <v>49</v>
      </c>
      <c r="AB1949" t="s">
        <v>50</v>
      </c>
      <c r="AC1949" s="2">
        <v>244679.77</v>
      </c>
      <c r="AD1949" t="s">
        <v>9151</v>
      </c>
      <c r="AE1949" t="s">
        <v>52</v>
      </c>
    </row>
    <row r="1950" spans="1:31" x14ac:dyDescent="0.25">
      <c r="A1950" t="s">
        <v>9152</v>
      </c>
      <c r="B1950" t="s">
        <v>9153</v>
      </c>
      <c r="C1950" t="s">
        <v>9153</v>
      </c>
      <c r="D1950" t="s">
        <v>619</v>
      </c>
      <c r="E1950" t="s">
        <v>77</v>
      </c>
      <c r="F1950" t="s">
        <v>9154</v>
      </c>
      <c r="H1950" t="s">
        <v>8673</v>
      </c>
      <c r="I1950" t="s">
        <v>9155</v>
      </c>
      <c r="J1950" s="2">
        <v>109085</v>
      </c>
      <c r="K1950" s="2">
        <v>500</v>
      </c>
      <c r="L1950" s="2">
        <v>21</v>
      </c>
      <c r="M1950" s="2">
        <v>0</v>
      </c>
      <c r="N1950" t="s">
        <v>8675</v>
      </c>
      <c r="O1950" t="s">
        <v>8673</v>
      </c>
      <c r="P1950" t="s">
        <v>3487</v>
      </c>
      <c r="Q1950" t="s">
        <v>3488</v>
      </c>
      <c r="S1950" t="s">
        <v>9156</v>
      </c>
      <c r="U1950" t="s">
        <v>45</v>
      </c>
      <c r="V1950" t="s">
        <v>46</v>
      </c>
      <c r="W1950" t="s">
        <v>8675</v>
      </c>
      <c r="X1950" t="s">
        <v>8673</v>
      </c>
      <c r="Y1950" t="s">
        <v>79</v>
      </c>
      <c r="Z1950" t="s">
        <v>94</v>
      </c>
      <c r="AA1950" t="s">
        <v>49</v>
      </c>
      <c r="AB1950" t="s">
        <v>50</v>
      </c>
      <c r="AC1950" s="2">
        <v>109085</v>
      </c>
      <c r="AD1950" t="s">
        <v>64</v>
      </c>
    </row>
    <row r="1951" spans="1:31" x14ac:dyDescent="0.25">
      <c r="A1951" t="s">
        <v>9157</v>
      </c>
      <c r="B1951" t="s">
        <v>9158</v>
      </c>
      <c r="C1951" t="s">
        <v>9158</v>
      </c>
      <c r="D1951" t="s">
        <v>125</v>
      </c>
      <c r="E1951" t="s">
        <v>126</v>
      </c>
      <c r="F1951" t="s">
        <v>9159</v>
      </c>
      <c r="G1951" t="s">
        <v>125</v>
      </c>
      <c r="H1951" t="s">
        <v>8416</v>
      </c>
      <c r="I1951" t="s">
        <v>9160</v>
      </c>
      <c r="J1951" s="2">
        <v>239987</v>
      </c>
      <c r="K1951" s="2">
        <v>1100</v>
      </c>
      <c r="L1951" s="2">
        <v>21</v>
      </c>
      <c r="M1951" s="2">
        <v>0</v>
      </c>
      <c r="N1951" t="s">
        <v>7837</v>
      </c>
      <c r="O1951" t="s">
        <v>7838</v>
      </c>
      <c r="P1951" t="s">
        <v>3487</v>
      </c>
      <c r="Q1951" t="s">
        <v>3488</v>
      </c>
      <c r="S1951" t="s">
        <v>9161</v>
      </c>
      <c r="U1951" t="s">
        <v>45</v>
      </c>
      <c r="V1951" t="s">
        <v>46</v>
      </c>
      <c r="W1951" t="s">
        <v>7837</v>
      </c>
      <c r="X1951" t="s">
        <v>7838</v>
      </c>
      <c r="Y1951" t="s">
        <v>79</v>
      </c>
      <c r="Z1951" t="s">
        <v>94</v>
      </c>
      <c r="AA1951" t="s">
        <v>49</v>
      </c>
      <c r="AB1951" t="s">
        <v>50</v>
      </c>
      <c r="AC1951" s="2">
        <v>32923.449999999997</v>
      </c>
      <c r="AD1951" t="s">
        <v>9162</v>
      </c>
      <c r="AE1951" t="s">
        <v>52</v>
      </c>
    </row>
    <row r="1952" spans="1:31" x14ac:dyDescent="0.25">
      <c r="A1952" t="s">
        <v>9163</v>
      </c>
      <c r="B1952" t="s">
        <v>9164</v>
      </c>
      <c r="C1952" t="s">
        <v>9164</v>
      </c>
      <c r="D1952" t="s">
        <v>569</v>
      </c>
      <c r="E1952" t="s">
        <v>570</v>
      </c>
      <c r="F1952" t="s">
        <v>9165</v>
      </c>
      <c r="G1952" t="s">
        <v>178</v>
      </c>
      <c r="H1952" t="s">
        <v>861</v>
      </c>
      <c r="I1952" t="s">
        <v>9166</v>
      </c>
      <c r="J1952" s="2">
        <v>227560</v>
      </c>
      <c r="K1952" s="2">
        <v>1000</v>
      </c>
      <c r="L1952" s="2">
        <v>30</v>
      </c>
      <c r="M1952" s="2">
        <v>0</v>
      </c>
      <c r="N1952" t="s">
        <v>860</v>
      </c>
      <c r="O1952" t="s">
        <v>861</v>
      </c>
      <c r="P1952" t="s">
        <v>103</v>
      </c>
      <c r="Q1952" t="s">
        <v>104</v>
      </c>
      <c r="S1952" t="s">
        <v>9167</v>
      </c>
      <c r="U1952" t="s">
        <v>45</v>
      </c>
      <c r="V1952" t="s">
        <v>46</v>
      </c>
      <c r="W1952" t="s">
        <v>860</v>
      </c>
      <c r="X1952" t="s">
        <v>861</v>
      </c>
      <c r="Y1952" t="s">
        <v>106</v>
      </c>
      <c r="Z1952" t="s">
        <v>107</v>
      </c>
      <c r="AA1952" t="s">
        <v>49</v>
      </c>
      <c r="AB1952" t="s">
        <v>50</v>
      </c>
      <c r="AC1952" s="2">
        <v>131347.96</v>
      </c>
      <c r="AD1952" t="s">
        <v>9168</v>
      </c>
      <c r="AE1952" t="s">
        <v>52</v>
      </c>
    </row>
    <row r="1953" spans="1:31" hidden="1" x14ac:dyDescent="0.25">
      <c r="I1953" t="s">
        <v>9171</v>
      </c>
      <c r="J1953" s="2">
        <v>109085</v>
      </c>
      <c r="K1953" s="2">
        <v>467.05</v>
      </c>
      <c r="L1953" s="2">
        <v>15</v>
      </c>
      <c r="M1953" s="2">
        <v>0</v>
      </c>
      <c r="S1953" t="s">
        <v>9172</v>
      </c>
      <c r="U1953" t="s">
        <v>45</v>
      </c>
      <c r="V1953" t="s">
        <v>46</v>
      </c>
      <c r="W1953" t="s">
        <v>7585</v>
      </c>
      <c r="X1953" t="s">
        <v>7588</v>
      </c>
      <c r="Y1953" t="s">
        <v>5743</v>
      </c>
      <c r="Z1953" t="s">
        <v>5744</v>
      </c>
      <c r="AA1953" t="s">
        <v>49</v>
      </c>
      <c r="AC1953" s="2"/>
    </row>
    <row r="1954" spans="1:31" x14ac:dyDescent="0.25">
      <c r="A1954" t="s">
        <v>9173</v>
      </c>
      <c r="B1954" t="s">
        <v>9174</v>
      </c>
      <c r="C1954" t="s">
        <v>9174</v>
      </c>
      <c r="D1954" t="s">
        <v>125</v>
      </c>
      <c r="E1954" t="s">
        <v>126</v>
      </c>
      <c r="F1954" t="s">
        <v>9175</v>
      </c>
      <c r="G1954" t="s">
        <v>569</v>
      </c>
      <c r="H1954" t="s">
        <v>327</v>
      </c>
      <c r="I1954" t="s">
        <v>9176</v>
      </c>
      <c r="J1954" s="2">
        <v>171263</v>
      </c>
      <c r="K1954" s="2">
        <v>785</v>
      </c>
      <c r="L1954" s="2">
        <v>15</v>
      </c>
      <c r="M1954" s="2">
        <v>0</v>
      </c>
      <c r="N1954" t="s">
        <v>326</v>
      </c>
      <c r="O1954" t="s">
        <v>327</v>
      </c>
      <c r="P1954" t="s">
        <v>120</v>
      </c>
      <c r="Q1954" t="s">
        <v>121</v>
      </c>
      <c r="S1954" t="s">
        <v>9177</v>
      </c>
      <c r="U1954" t="s">
        <v>45</v>
      </c>
      <c r="V1954" t="s">
        <v>46</v>
      </c>
      <c r="W1954" t="s">
        <v>326</v>
      </c>
      <c r="X1954" t="s">
        <v>327</v>
      </c>
      <c r="Y1954" t="s">
        <v>121</v>
      </c>
      <c r="Z1954" t="s">
        <v>94</v>
      </c>
      <c r="AA1954" t="s">
        <v>49</v>
      </c>
      <c r="AB1954" t="s">
        <v>50</v>
      </c>
      <c r="AC1954" s="2">
        <v>171262.99</v>
      </c>
      <c r="AD1954" t="s">
        <v>9029</v>
      </c>
    </row>
    <row r="1955" spans="1:31" x14ac:dyDescent="0.25">
      <c r="A1955" t="s">
        <v>9178</v>
      </c>
      <c r="B1955" t="s">
        <v>9179</v>
      </c>
      <c r="C1955" t="s">
        <v>9179</v>
      </c>
      <c r="D1955" t="s">
        <v>35</v>
      </c>
      <c r="E1955" t="s">
        <v>36</v>
      </c>
      <c r="F1955" t="s">
        <v>9180</v>
      </c>
      <c r="G1955" t="s">
        <v>35</v>
      </c>
      <c r="H1955" t="s">
        <v>2572</v>
      </c>
      <c r="J1955" s="2">
        <v>2181700</v>
      </c>
      <c r="K1955" s="2">
        <v>10000</v>
      </c>
      <c r="L1955" s="2">
        <v>30</v>
      </c>
      <c r="M1955" s="2">
        <v>0</v>
      </c>
      <c r="N1955" t="s">
        <v>2571</v>
      </c>
      <c r="O1955" t="s">
        <v>2572</v>
      </c>
      <c r="P1955" t="s">
        <v>2320</v>
      </c>
      <c r="Q1955" t="s">
        <v>2321</v>
      </c>
      <c r="S1955" t="s">
        <v>9181</v>
      </c>
      <c r="U1955" t="s">
        <v>45</v>
      </c>
      <c r="V1955" t="s">
        <v>46</v>
      </c>
      <c r="W1955" t="s">
        <v>2571</v>
      </c>
      <c r="X1955" t="s">
        <v>2572</v>
      </c>
      <c r="Y1955" t="s">
        <v>2399</v>
      </c>
      <c r="Z1955" t="s">
        <v>2400</v>
      </c>
      <c r="AA1955" t="s">
        <v>49</v>
      </c>
      <c r="AB1955" t="s">
        <v>50</v>
      </c>
      <c r="AC1955" s="2">
        <v>642546.44999999995</v>
      </c>
      <c r="AD1955" t="s">
        <v>9182</v>
      </c>
      <c r="AE1955" t="s">
        <v>115</v>
      </c>
    </row>
    <row r="1956" spans="1:31" x14ac:dyDescent="0.25">
      <c r="A1956" t="s">
        <v>9183</v>
      </c>
      <c r="B1956" t="s">
        <v>9184</v>
      </c>
      <c r="C1956" t="s">
        <v>9184</v>
      </c>
      <c r="D1956" t="s">
        <v>125</v>
      </c>
      <c r="E1956" t="s">
        <v>126</v>
      </c>
      <c r="F1956" t="s">
        <v>9185</v>
      </c>
      <c r="G1956" t="s">
        <v>125</v>
      </c>
      <c r="H1956" t="s">
        <v>9186</v>
      </c>
      <c r="I1956" t="s">
        <v>7368</v>
      </c>
      <c r="J1956" s="2">
        <v>2523582</v>
      </c>
      <c r="K1956" s="2">
        <v>10200</v>
      </c>
      <c r="L1956" s="2">
        <v>30</v>
      </c>
      <c r="M1956" s="2">
        <v>0</v>
      </c>
      <c r="N1956" t="s">
        <v>9187</v>
      </c>
      <c r="O1956" t="s">
        <v>9188</v>
      </c>
      <c r="P1956" t="s">
        <v>2320</v>
      </c>
      <c r="Q1956" t="s">
        <v>2321</v>
      </c>
      <c r="S1956" t="s">
        <v>9189</v>
      </c>
      <c r="U1956" t="s">
        <v>45</v>
      </c>
      <c r="V1956" t="s">
        <v>46</v>
      </c>
      <c r="W1956" t="s">
        <v>9187</v>
      </c>
      <c r="X1956" t="s">
        <v>9186</v>
      </c>
      <c r="Y1956" t="s">
        <v>5743</v>
      </c>
      <c r="Z1956" t="s">
        <v>5744</v>
      </c>
      <c r="AA1956" t="s">
        <v>49</v>
      </c>
      <c r="AB1956" t="s">
        <v>50</v>
      </c>
      <c r="AC1956" s="2">
        <v>298571.33</v>
      </c>
      <c r="AD1956" t="s">
        <v>9190</v>
      </c>
      <c r="AE1956" t="s">
        <v>115</v>
      </c>
    </row>
    <row r="1957" spans="1:31" x14ac:dyDescent="0.25">
      <c r="A1957" t="s">
        <v>9191</v>
      </c>
      <c r="B1957" t="s">
        <v>9192</v>
      </c>
      <c r="C1957" t="s">
        <v>9192</v>
      </c>
      <c r="D1957" t="s">
        <v>125</v>
      </c>
      <c r="E1957" t="s">
        <v>126</v>
      </c>
      <c r="F1957" t="s">
        <v>9193</v>
      </c>
      <c r="G1957" t="s">
        <v>125</v>
      </c>
      <c r="H1957" t="s">
        <v>5739</v>
      </c>
      <c r="J1957" s="2">
        <v>1090850</v>
      </c>
      <c r="K1957" s="2">
        <v>5000</v>
      </c>
      <c r="L1957" s="2">
        <v>30</v>
      </c>
      <c r="M1957" s="2">
        <v>0</v>
      </c>
      <c r="N1957" t="s">
        <v>5741</v>
      </c>
      <c r="O1957" t="s">
        <v>5739</v>
      </c>
      <c r="P1957" t="s">
        <v>2320</v>
      </c>
      <c r="Q1957" t="s">
        <v>2321</v>
      </c>
      <c r="S1957" t="s">
        <v>9194</v>
      </c>
      <c r="U1957" t="s">
        <v>45</v>
      </c>
      <c r="V1957" t="s">
        <v>46</v>
      </c>
      <c r="W1957" t="s">
        <v>5741</v>
      </c>
      <c r="X1957" t="s">
        <v>5739</v>
      </c>
      <c r="Y1957" t="s">
        <v>5743</v>
      </c>
      <c r="Z1957" t="s">
        <v>5744</v>
      </c>
      <c r="AA1957" t="s">
        <v>49</v>
      </c>
      <c r="AB1957" t="s">
        <v>50</v>
      </c>
      <c r="AC1957" s="2">
        <v>243859.97</v>
      </c>
      <c r="AD1957" t="s">
        <v>9195</v>
      </c>
      <c r="AE1957" t="s">
        <v>115</v>
      </c>
    </row>
    <row r="1958" spans="1:31" x14ac:dyDescent="0.25">
      <c r="A1958" t="s">
        <v>9196</v>
      </c>
      <c r="B1958" t="s">
        <v>9197</v>
      </c>
      <c r="C1958" t="s">
        <v>9197</v>
      </c>
      <c r="D1958" t="s">
        <v>125</v>
      </c>
      <c r="E1958" t="s">
        <v>126</v>
      </c>
      <c r="F1958" t="s">
        <v>9198</v>
      </c>
      <c r="G1958" t="s">
        <v>125</v>
      </c>
      <c r="H1958" t="s">
        <v>7424</v>
      </c>
      <c r="I1958" t="s">
        <v>9199</v>
      </c>
      <c r="J1958" s="2">
        <v>1527190</v>
      </c>
      <c r="K1958" s="2">
        <v>7000</v>
      </c>
      <c r="L1958" s="2">
        <v>25</v>
      </c>
      <c r="M1958" s="2">
        <v>0</v>
      </c>
      <c r="N1958" t="s">
        <v>7423</v>
      </c>
      <c r="O1958" t="s">
        <v>7424</v>
      </c>
      <c r="P1958" t="s">
        <v>3487</v>
      </c>
      <c r="Q1958" t="s">
        <v>3488</v>
      </c>
      <c r="S1958" t="s">
        <v>9200</v>
      </c>
      <c r="U1958" t="s">
        <v>45</v>
      </c>
      <c r="V1958" t="s">
        <v>46</v>
      </c>
      <c r="W1958" t="s">
        <v>7423</v>
      </c>
      <c r="X1958" t="s">
        <v>7424</v>
      </c>
      <c r="Y1958" t="s">
        <v>79</v>
      </c>
      <c r="Z1958" t="s">
        <v>94</v>
      </c>
      <c r="AA1958" t="s">
        <v>49</v>
      </c>
      <c r="AB1958" t="s">
        <v>50</v>
      </c>
      <c r="AC1958" s="2">
        <v>617007.53</v>
      </c>
      <c r="AD1958" t="s">
        <v>9201</v>
      </c>
      <c r="AE1958" t="s">
        <v>52</v>
      </c>
    </row>
    <row r="1959" spans="1:31" x14ac:dyDescent="0.25">
      <c r="A1959" t="s">
        <v>9202</v>
      </c>
      <c r="B1959" t="s">
        <v>9203</v>
      </c>
      <c r="C1959" t="s">
        <v>9203</v>
      </c>
      <c r="D1959" t="s">
        <v>125</v>
      </c>
      <c r="E1959" t="s">
        <v>126</v>
      </c>
      <c r="F1959" t="s">
        <v>9204</v>
      </c>
      <c r="G1959" t="s">
        <v>344</v>
      </c>
      <c r="H1959" t="s">
        <v>315</v>
      </c>
      <c r="J1959" s="2">
        <v>1280460</v>
      </c>
      <c r="K1959" s="2">
        <v>5267</v>
      </c>
      <c r="L1959" s="2">
        <v>21</v>
      </c>
      <c r="M1959" s="2">
        <v>0</v>
      </c>
      <c r="N1959" t="s">
        <v>314</v>
      </c>
      <c r="O1959" t="s">
        <v>315</v>
      </c>
      <c r="P1959" t="s">
        <v>316</v>
      </c>
      <c r="Q1959" t="s">
        <v>317</v>
      </c>
      <c r="S1959" t="s">
        <v>9205</v>
      </c>
      <c r="U1959" t="s">
        <v>45</v>
      </c>
      <c r="V1959" t="s">
        <v>46</v>
      </c>
      <c r="W1959" t="s">
        <v>314</v>
      </c>
      <c r="X1959" t="s">
        <v>315</v>
      </c>
      <c r="Y1959" t="s">
        <v>317</v>
      </c>
      <c r="Z1959" t="s">
        <v>349</v>
      </c>
      <c r="AA1959" t="s">
        <v>49</v>
      </c>
      <c r="AB1959" t="s">
        <v>50</v>
      </c>
      <c r="AC1959" s="2">
        <v>559908.68000000005</v>
      </c>
      <c r="AD1959" t="s">
        <v>9206</v>
      </c>
      <c r="AE1959" t="s">
        <v>115</v>
      </c>
    </row>
    <row r="1960" spans="1:31" x14ac:dyDescent="0.25">
      <c r="A1960" t="s">
        <v>9207</v>
      </c>
      <c r="B1960" t="s">
        <v>9208</v>
      </c>
      <c r="C1960" t="s">
        <v>9208</v>
      </c>
      <c r="D1960" t="s">
        <v>847</v>
      </c>
      <c r="E1960" t="s">
        <v>848</v>
      </c>
      <c r="F1960" t="s">
        <v>9209</v>
      </c>
      <c r="G1960" t="s">
        <v>847</v>
      </c>
      <c r="H1960" t="s">
        <v>9210</v>
      </c>
      <c r="I1960" t="s">
        <v>8377</v>
      </c>
      <c r="J1960" s="2">
        <v>2181700</v>
      </c>
      <c r="K1960" s="2">
        <v>10000</v>
      </c>
      <c r="L1960" s="2">
        <v>30</v>
      </c>
      <c r="M1960" s="2">
        <v>0</v>
      </c>
      <c r="N1960" t="s">
        <v>5741</v>
      </c>
      <c r="O1960" t="s">
        <v>5739</v>
      </c>
      <c r="P1960" t="s">
        <v>2320</v>
      </c>
      <c r="Q1960" t="s">
        <v>2321</v>
      </c>
      <c r="S1960" t="s">
        <v>9211</v>
      </c>
      <c r="U1960" t="s">
        <v>45</v>
      </c>
      <c r="V1960" t="s">
        <v>46</v>
      </c>
      <c r="W1960" t="s">
        <v>5741</v>
      </c>
      <c r="X1960" t="s">
        <v>5739</v>
      </c>
      <c r="Y1960" t="s">
        <v>5743</v>
      </c>
      <c r="Z1960" t="s">
        <v>5744</v>
      </c>
      <c r="AA1960" t="s">
        <v>49</v>
      </c>
      <c r="AB1960" t="s">
        <v>50</v>
      </c>
      <c r="AC1960" s="2">
        <v>228929.59</v>
      </c>
      <c r="AD1960" t="s">
        <v>9212</v>
      </c>
      <c r="AE1960" t="s">
        <v>115</v>
      </c>
    </row>
    <row r="1961" spans="1:31" x14ac:dyDescent="0.25">
      <c r="A1961" t="s">
        <v>9213</v>
      </c>
      <c r="B1961" t="s">
        <v>9214</v>
      </c>
      <c r="C1961" t="s">
        <v>9214</v>
      </c>
      <c r="D1961" t="s">
        <v>847</v>
      </c>
      <c r="E1961" t="s">
        <v>848</v>
      </c>
      <c r="F1961" t="s">
        <v>9215</v>
      </c>
      <c r="G1961" t="s">
        <v>847</v>
      </c>
      <c r="H1961" t="s">
        <v>9216</v>
      </c>
      <c r="I1961" t="s">
        <v>8377</v>
      </c>
      <c r="J1961" s="2">
        <v>4110935</v>
      </c>
      <c r="K1961" s="2">
        <v>17291</v>
      </c>
      <c r="L1961" s="2">
        <v>30</v>
      </c>
      <c r="M1961" s="2">
        <v>0</v>
      </c>
      <c r="N1961" t="s">
        <v>5741</v>
      </c>
      <c r="O1961" t="s">
        <v>5739</v>
      </c>
      <c r="P1961" t="s">
        <v>2320</v>
      </c>
      <c r="Q1961" t="s">
        <v>2321</v>
      </c>
      <c r="S1961" t="s">
        <v>9217</v>
      </c>
      <c r="U1961" t="s">
        <v>45</v>
      </c>
      <c r="V1961" t="s">
        <v>46</v>
      </c>
      <c r="W1961" t="s">
        <v>5741</v>
      </c>
      <c r="X1961" t="s">
        <v>5739</v>
      </c>
      <c r="Y1961" t="s">
        <v>5743</v>
      </c>
      <c r="Z1961" t="s">
        <v>5744</v>
      </c>
      <c r="AA1961" t="s">
        <v>49</v>
      </c>
      <c r="AB1961" t="s">
        <v>50</v>
      </c>
      <c r="AC1961" s="2">
        <v>356495.63</v>
      </c>
      <c r="AD1961" t="s">
        <v>9218</v>
      </c>
      <c r="AE1961" t="s">
        <v>115</v>
      </c>
    </row>
    <row r="1962" spans="1:31" x14ac:dyDescent="0.25">
      <c r="A1962" t="s">
        <v>9219</v>
      </c>
      <c r="B1962" t="s">
        <v>9220</v>
      </c>
      <c r="C1962" t="s">
        <v>9220</v>
      </c>
      <c r="D1962" t="s">
        <v>297</v>
      </c>
      <c r="E1962" t="s">
        <v>167</v>
      </c>
      <c r="F1962" t="s">
        <v>9221</v>
      </c>
      <c r="G1962" t="s">
        <v>297</v>
      </c>
      <c r="H1962" t="s">
        <v>1222</v>
      </c>
      <c r="I1962" t="s">
        <v>2486</v>
      </c>
      <c r="J1962" s="2">
        <v>327255</v>
      </c>
      <c r="K1962" s="2">
        <v>1343.58</v>
      </c>
      <c r="L1962" s="2">
        <v>21</v>
      </c>
      <c r="M1962" s="2">
        <v>0</v>
      </c>
      <c r="N1962" t="s">
        <v>1221</v>
      </c>
      <c r="O1962" t="s">
        <v>1222</v>
      </c>
      <c r="P1962" t="s">
        <v>2320</v>
      </c>
      <c r="Q1962" t="s">
        <v>2321</v>
      </c>
      <c r="S1962" t="s">
        <v>9222</v>
      </c>
      <c r="U1962" t="s">
        <v>45</v>
      </c>
      <c r="V1962" t="s">
        <v>46</v>
      </c>
      <c r="W1962" t="s">
        <v>1221</v>
      </c>
      <c r="X1962" t="s">
        <v>1222</v>
      </c>
      <c r="Y1962" t="s">
        <v>161</v>
      </c>
      <c r="Z1962" t="s">
        <v>162</v>
      </c>
      <c r="AA1962" t="s">
        <v>49</v>
      </c>
      <c r="AB1962" t="s">
        <v>50</v>
      </c>
      <c r="AC1962" s="2">
        <v>-21249.65</v>
      </c>
      <c r="AD1962" t="s">
        <v>9223</v>
      </c>
      <c r="AE1962" t="s">
        <v>115</v>
      </c>
    </row>
    <row r="1963" spans="1:31" x14ac:dyDescent="0.25">
      <c r="A1963" t="s">
        <v>9224</v>
      </c>
      <c r="B1963" t="s">
        <v>9225</v>
      </c>
      <c r="C1963" t="s">
        <v>9225</v>
      </c>
      <c r="D1963" t="s">
        <v>847</v>
      </c>
      <c r="E1963" t="s">
        <v>848</v>
      </c>
      <c r="F1963" t="s">
        <v>9226</v>
      </c>
      <c r="G1963" t="s">
        <v>3472</v>
      </c>
      <c r="H1963" t="s">
        <v>1430</v>
      </c>
      <c r="I1963" t="s">
        <v>9227</v>
      </c>
      <c r="J1963" s="2">
        <v>174536</v>
      </c>
      <c r="K1963" s="2">
        <v>800</v>
      </c>
      <c r="L1963" s="2">
        <v>15</v>
      </c>
      <c r="M1963" s="2">
        <v>0</v>
      </c>
      <c r="N1963" t="s">
        <v>1427</v>
      </c>
      <c r="O1963" t="s">
        <v>1428</v>
      </c>
      <c r="P1963" t="s">
        <v>82</v>
      </c>
      <c r="Q1963" t="s">
        <v>83</v>
      </c>
      <c r="S1963" t="s">
        <v>9228</v>
      </c>
      <c r="U1963" t="s">
        <v>45</v>
      </c>
      <c r="V1963" t="s">
        <v>46</v>
      </c>
      <c r="W1963" t="s">
        <v>1427</v>
      </c>
      <c r="X1963" t="s">
        <v>1430</v>
      </c>
      <c r="Y1963" t="s">
        <v>85</v>
      </c>
      <c r="Z1963" t="s">
        <v>86</v>
      </c>
      <c r="AA1963" t="s">
        <v>49</v>
      </c>
      <c r="AB1963" t="s">
        <v>50</v>
      </c>
      <c r="AC1963" s="2">
        <v>174536</v>
      </c>
      <c r="AD1963" t="s">
        <v>64</v>
      </c>
    </row>
    <row r="1964" spans="1:31" x14ac:dyDescent="0.25">
      <c r="A1964" t="s">
        <v>9229</v>
      </c>
      <c r="B1964" t="s">
        <v>9230</v>
      </c>
      <c r="C1964" t="s">
        <v>9230</v>
      </c>
      <c r="D1964" t="s">
        <v>153</v>
      </c>
      <c r="E1964" t="s">
        <v>272</v>
      </c>
      <c r="F1964" t="s">
        <v>9231</v>
      </c>
      <c r="G1964" t="s">
        <v>153</v>
      </c>
      <c r="H1964" t="s">
        <v>327</v>
      </c>
      <c r="I1964" t="s">
        <v>9232</v>
      </c>
      <c r="J1964" s="2">
        <v>76360</v>
      </c>
      <c r="K1964" s="2">
        <v>350</v>
      </c>
      <c r="L1964" s="2">
        <v>15</v>
      </c>
      <c r="M1964" s="2">
        <v>0</v>
      </c>
      <c r="N1964" t="s">
        <v>326</v>
      </c>
      <c r="O1964" t="s">
        <v>327</v>
      </c>
      <c r="P1964" t="s">
        <v>120</v>
      </c>
      <c r="Q1964" t="s">
        <v>121</v>
      </c>
      <c r="S1964" t="s">
        <v>9233</v>
      </c>
      <c r="U1964" t="s">
        <v>45</v>
      </c>
      <c r="V1964" t="s">
        <v>46</v>
      </c>
      <c r="W1964" t="s">
        <v>326</v>
      </c>
      <c r="X1964" t="s">
        <v>327</v>
      </c>
      <c r="Y1964" t="s">
        <v>121</v>
      </c>
      <c r="Z1964" t="s">
        <v>94</v>
      </c>
      <c r="AA1964" t="s">
        <v>49</v>
      </c>
      <c r="AB1964" t="s">
        <v>50</v>
      </c>
      <c r="AC1964" s="2">
        <v>57979.77</v>
      </c>
      <c r="AD1964" t="s">
        <v>9234</v>
      </c>
      <c r="AE1964" t="s">
        <v>52</v>
      </c>
    </row>
    <row r="1965" spans="1:31" x14ac:dyDescent="0.25">
      <c r="A1965" t="s">
        <v>9235</v>
      </c>
      <c r="B1965" t="s">
        <v>9236</v>
      </c>
      <c r="C1965" t="s">
        <v>9236</v>
      </c>
      <c r="D1965" t="s">
        <v>5597</v>
      </c>
      <c r="E1965" t="s">
        <v>224</v>
      </c>
      <c r="F1965" t="s">
        <v>9237</v>
      </c>
      <c r="G1965" t="s">
        <v>5795</v>
      </c>
      <c r="H1965" t="s">
        <v>4798</v>
      </c>
      <c r="I1965" t="s">
        <v>9238</v>
      </c>
      <c r="J1965" s="2">
        <v>74178</v>
      </c>
      <c r="K1965" s="2">
        <v>340</v>
      </c>
      <c r="L1965" s="2">
        <v>15</v>
      </c>
      <c r="M1965" s="2">
        <v>0</v>
      </c>
      <c r="N1965" t="s">
        <v>4797</v>
      </c>
      <c r="O1965" t="s">
        <v>4798</v>
      </c>
      <c r="P1965" t="s">
        <v>1421</v>
      </c>
      <c r="Q1965" t="s">
        <v>1422</v>
      </c>
      <c r="S1965" t="s">
        <v>9239</v>
      </c>
      <c r="U1965" t="s">
        <v>45</v>
      </c>
      <c r="V1965" t="s">
        <v>46</v>
      </c>
      <c r="W1965" t="s">
        <v>4797</v>
      </c>
      <c r="X1965" t="s">
        <v>4798</v>
      </c>
      <c r="Y1965" t="s">
        <v>1215</v>
      </c>
      <c r="Z1965" t="s">
        <v>1216</v>
      </c>
      <c r="AA1965" t="s">
        <v>49</v>
      </c>
      <c r="AB1965" t="s">
        <v>50</v>
      </c>
      <c r="AC1965" s="2">
        <v>74178</v>
      </c>
      <c r="AD1965" t="s">
        <v>64</v>
      </c>
    </row>
    <row r="1966" spans="1:31" x14ac:dyDescent="0.25">
      <c r="A1966" t="s">
        <v>9240</v>
      </c>
      <c r="B1966" t="s">
        <v>9241</v>
      </c>
      <c r="C1966" t="s">
        <v>9242</v>
      </c>
      <c r="D1966" t="s">
        <v>888</v>
      </c>
      <c r="E1966" t="s">
        <v>167</v>
      </c>
      <c r="F1966" t="s">
        <v>9243</v>
      </c>
      <c r="G1966" t="s">
        <v>192</v>
      </c>
      <c r="H1966" t="s">
        <v>1062</v>
      </c>
      <c r="J1966" s="2">
        <v>1090850</v>
      </c>
      <c r="K1966" s="2">
        <v>5000</v>
      </c>
      <c r="L1966" s="2">
        <v>21</v>
      </c>
      <c r="M1966" s="2">
        <v>0</v>
      </c>
      <c r="N1966" t="s">
        <v>1064</v>
      </c>
      <c r="O1966" t="s">
        <v>1062</v>
      </c>
      <c r="P1966" t="s">
        <v>304</v>
      </c>
      <c r="Q1966" t="s">
        <v>72</v>
      </c>
      <c r="S1966" t="s">
        <v>9244</v>
      </c>
      <c r="U1966" t="s">
        <v>45</v>
      </c>
      <c r="V1966" t="s">
        <v>46</v>
      </c>
      <c r="W1966" t="s">
        <v>1064</v>
      </c>
      <c r="X1966" t="s">
        <v>1062</v>
      </c>
      <c r="Y1966" t="s">
        <v>72</v>
      </c>
      <c r="Z1966" t="s">
        <v>68</v>
      </c>
      <c r="AA1966" t="s">
        <v>49</v>
      </c>
      <c r="AB1966" t="s">
        <v>50</v>
      </c>
      <c r="AC1966" s="2">
        <v>1090850</v>
      </c>
      <c r="AD1966" t="s">
        <v>64</v>
      </c>
    </row>
    <row r="1967" spans="1:31" x14ac:dyDescent="0.25">
      <c r="A1967" t="s">
        <v>9245</v>
      </c>
      <c r="B1967" t="s">
        <v>9246</v>
      </c>
      <c r="C1967" t="s">
        <v>9246</v>
      </c>
      <c r="D1967" t="s">
        <v>35</v>
      </c>
      <c r="E1967" t="s">
        <v>36</v>
      </c>
      <c r="F1967" t="s">
        <v>9247</v>
      </c>
      <c r="G1967" t="s">
        <v>153</v>
      </c>
      <c r="H1967" t="s">
        <v>1062</v>
      </c>
      <c r="I1967" t="s">
        <v>9248</v>
      </c>
      <c r="J1967" s="2">
        <v>109085</v>
      </c>
      <c r="K1967" s="2">
        <v>500</v>
      </c>
      <c r="L1967" s="2">
        <v>15</v>
      </c>
      <c r="M1967" s="2">
        <v>0</v>
      </c>
      <c r="N1967" t="s">
        <v>1064</v>
      </c>
      <c r="O1967" t="s">
        <v>1062</v>
      </c>
      <c r="P1967" t="s">
        <v>304</v>
      </c>
      <c r="Q1967" t="s">
        <v>72</v>
      </c>
      <c r="S1967" t="s">
        <v>9249</v>
      </c>
      <c r="U1967" t="s">
        <v>45</v>
      </c>
      <c r="V1967" t="s">
        <v>46</v>
      </c>
      <c r="W1967" t="s">
        <v>1064</v>
      </c>
      <c r="X1967" t="s">
        <v>1062</v>
      </c>
      <c r="Y1967" t="s">
        <v>72</v>
      </c>
      <c r="Z1967" t="s">
        <v>68</v>
      </c>
      <c r="AA1967" t="s">
        <v>49</v>
      </c>
      <c r="AB1967" t="s">
        <v>50</v>
      </c>
      <c r="AC1967" s="2">
        <v>77973.960000000006</v>
      </c>
      <c r="AD1967" t="s">
        <v>9250</v>
      </c>
      <c r="AE1967" t="s">
        <v>52</v>
      </c>
    </row>
    <row r="1968" spans="1:31" x14ac:dyDescent="0.25">
      <c r="A1968" t="s">
        <v>9251</v>
      </c>
      <c r="B1968" t="s">
        <v>9252</v>
      </c>
      <c r="C1968" t="s">
        <v>9252</v>
      </c>
      <c r="D1968" t="s">
        <v>35</v>
      </c>
      <c r="E1968" t="s">
        <v>36</v>
      </c>
      <c r="F1968" t="s">
        <v>9253</v>
      </c>
      <c r="G1968" t="s">
        <v>35</v>
      </c>
      <c r="H1968" t="s">
        <v>614</v>
      </c>
      <c r="J1968" s="2">
        <v>1083727</v>
      </c>
      <c r="K1968" s="2">
        <v>4967.3500000000004</v>
      </c>
      <c r="L1968" s="2">
        <v>7</v>
      </c>
      <c r="M1968" s="2">
        <v>0</v>
      </c>
      <c r="N1968" t="s">
        <v>613</v>
      </c>
      <c r="O1968" t="s">
        <v>614</v>
      </c>
      <c r="P1968" t="s">
        <v>91</v>
      </c>
      <c r="Q1968" t="s">
        <v>92</v>
      </c>
      <c r="S1968" t="s">
        <v>9254</v>
      </c>
      <c r="U1968" t="s">
        <v>45</v>
      </c>
      <c r="V1968" t="s">
        <v>46</v>
      </c>
      <c r="W1968" t="s">
        <v>613</v>
      </c>
      <c r="X1968" t="s">
        <v>614</v>
      </c>
      <c r="Y1968" t="s">
        <v>92</v>
      </c>
      <c r="Z1968" t="s">
        <v>94</v>
      </c>
      <c r="AA1968" t="s">
        <v>49</v>
      </c>
      <c r="AB1968" t="s">
        <v>50</v>
      </c>
      <c r="AC1968" s="2">
        <v>568227.31999999995</v>
      </c>
      <c r="AD1968" t="s">
        <v>9255</v>
      </c>
      <c r="AE1968" t="s">
        <v>52</v>
      </c>
    </row>
    <row r="1969" spans="1:31" x14ac:dyDescent="0.25">
      <c r="A1969" t="s">
        <v>9256</v>
      </c>
      <c r="B1969" t="s">
        <v>9257</v>
      </c>
      <c r="C1969" t="s">
        <v>9257</v>
      </c>
      <c r="D1969" t="s">
        <v>297</v>
      </c>
      <c r="E1969" t="s">
        <v>167</v>
      </c>
      <c r="F1969" t="s">
        <v>9258</v>
      </c>
      <c r="G1969" t="s">
        <v>2120</v>
      </c>
      <c r="H1969" t="s">
        <v>9259</v>
      </c>
      <c r="J1969" s="2">
        <v>665419</v>
      </c>
      <c r="K1969" s="2">
        <v>3050</v>
      </c>
      <c r="L1969" s="2">
        <v>21</v>
      </c>
      <c r="M1969" s="2">
        <v>0</v>
      </c>
      <c r="N1969" t="s">
        <v>592</v>
      </c>
      <c r="O1969" t="s">
        <v>593</v>
      </c>
      <c r="P1969" t="s">
        <v>91</v>
      </c>
      <c r="Q1969" t="s">
        <v>92</v>
      </c>
      <c r="S1969" t="s">
        <v>9260</v>
      </c>
      <c r="U1969" t="s">
        <v>45</v>
      </c>
      <c r="V1969" t="s">
        <v>46</v>
      </c>
      <c r="W1969" t="s">
        <v>592</v>
      </c>
      <c r="X1969" t="s">
        <v>593</v>
      </c>
      <c r="Y1969" t="s">
        <v>92</v>
      </c>
      <c r="Z1969" t="s">
        <v>94</v>
      </c>
      <c r="AA1969" t="s">
        <v>49</v>
      </c>
      <c r="AB1969" t="s">
        <v>50</v>
      </c>
      <c r="AC1969" s="2">
        <v>665419</v>
      </c>
      <c r="AD1969" t="s">
        <v>64</v>
      </c>
    </row>
    <row r="1970" spans="1:31" x14ac:dyDescent="0.25">
      <c r="A1970" t="s">
        <v>9261</v>
      </c>
      <c r="B1970" t="s">
        <v>9262</v>
      </c>
      <c r="C1970" t="s">
        <v>9262</v>
      </c>
      <c r="D1970" t="s">
        <v>178</v>
      </c>
      <c r="E1970" t="s">
        <v>179</v>
      </c>
      <c r="F1970" t="s">
        <v>9263</v>
      </c>
      <c r="G1970" t="s">
        <v>344</v>
      </c>
      <c r="H1970" t="s">
        <v>9264</v>
      </c>
      <c r="I1970" t="s">
        <v>9265</v>
      </c>
      <c r="J1970" s="2">
        <v>218170</v>
      </c>
      <c r="K1970" s="2">
        <v>1000</v>
      </c>
      <c r="L1970" s="2">
        <v>21</v>
      </c>
      <c r="M1970" s="2">
        <v>0</v>
      </c>
      <c r="N1970" t="s">
        <v>9266</v>
      </c>
      <c r="O1970" t="s">
        <v>9264</v>
      </c>
      <c r="P1970" t="s">
        <v>3487</v>
      </c>
      <c r="Q1970" t="s">
        <v>3488</v>
      </c>
      <c r="S1970" t="s">
        <v>9267</v>
      </c>
      <c r="U1970" t="s">
        <v>45</v>
      </c>
      <c r="V1970" t="s">
        <v>46</v>
      </c>
      <c r="W1970" t="s">
        <v>9266</v>
      </c>
      <c r="X1970" t="s">
        <v>9264</v>
      </c>
      <c r="Y1970" t="s">
        <v>79</v>
      </c>
      <c r="Z1970" t="s">
        <v>94</v>
      </c>
      <c r="AA1970" t="s">
        <v>49</v>
      </c>
      <c r="AB1970" t="s">
        <v>50</v>
      </c>
      <c r="AC1970" s="2">
        <v>58696.79</v>
      </c>
      <c r="AD1970" t="s">
        <v>9268</v>
      </c>
      <c r="AE1970" t="s">
        <v>52</v>
      </c>
    </row>
    <row r="1971" spans="1:31" x14ac:dyDescent="0.25">
      <c r="A1971" t="s">
        <v>9269</v>
      </c>
      <c r="B1971" t="s">
        <v>9270</v>
      </c>
      <c r="C1971" t="s">
        <v>9270</v>
      </c>
      <c r="D1971" t="s">
        <v>35</v>
      </c>
      <c r="E1971" t="s">
        <v>36</v>
      </c>
      <c r="F1971" t="s">
        <v>9271</v>
      </c>
      <c r="G1971" t="s">
        <v>1094</v>
      </c>
      <c r="H1971" t="s">
        <v>1062</v>
      </c>
      <c r="J1971" s="2">
        <v>109085</v>
      </c>
      <c r="K1971" s="2">
        <v>500</v>
      </c>
      <c r="L1971" s="2">
        <v>21</v>
      </c>
      <c r="M1971" s="2">
        <v>0</v>
      </c>
      <c r="N1971" t="s">
        <v>1064</v>
      </c>
      <c r="O1971" t="s">
        <v>1062</v>
      </c>
      <c r="P1971" t="s">
        <v>304</v>
      </c>
      <c r="Q1971" t="s">
        <v>72</v>
      </c>
      <c r="S1971" t="s">
        <v>9272</v>
      </c>
      <c r="U1971" t="s">
        <v>45</v>
      </c>
      <c r="V1971" t="s">
        <v>46</v>
      </c>
      <c r="W1971" t="s">
        <v>1064</v>
      </c>
      <c r="X1971" t="s">
        <v>1062</v>
      </c>
      <c r="Y1971" t="s">
        <v>72</v>
      </c>
      <c r="Z1971" t="s">
        <v>68</v>
      </c>
      <c r="AA1971" t="s">
        <v>49</v>
      </c>
      <c r="AB1971" t="s">
        <v>50</v>
      </c>
      <c r="AC1971" s="2">
        <v>92895.65</v>
      </c>
      <c r="AD1971" t="s">
        <v>9273</v>
      </c>
      <c r="AE1971" t="s">
        <v>115</v>
      </c>
    </row>
    <row r="1972" spans="1:31" x14ac:dyDescent="0.25">
      <c r="A1972" t="s">
        <v>9274</v>
      </c>
      <c r="B1972" t="s">
        <v>9275</v>
      </c>
      <c r="C1972" t="s">
        <v>9275</v>
      </c>
      <c r="D1972" t="s">
        <v>125</v>
      </c>
      <c r="E1972" t="s">
        <v>126</v>
      </c>
      <c r="F1972" t="s">
        <v>9276</v>
      </c>
      <c r="G1972" t="s">
        <v>125</v>
      </c>
      <c r="H1972" t="s">
        <v>9277</v>
      </c>
      <c r="I1972" t="s">
        <v>9278</v>
      </c>
      <c r="J1972" s="2">
        <v>272713</v>
      </c>
      <c r="K1972" s="2">
        <v>1250</v>
      </c>
      <c r="L1972" s="2">
        <v>15</v>
      </c>
      <c r="M1972" s="2">
        <v>0</v>
      </c>
      <c r="N1972" t="s">
        <v>9279</v>
      </c>
      <c r="O1972" t="s">
        <v>9277</v>
      </c>
      <c r="P1972" t="s">
        <v>4315</v>
      </c>
      <c r="Q1972" t="s">
        <v>4316</v>
      </c>
      <c r="S1972" t="s">
        <v>9280</v>
      </c>
      <c r="U1972" t="s">
        <v>45</v>
      </c>
      <c r="V1972" t="s">
        <v>46</v>
      </c>
      <c r="W1972" t="s">
        <v>9279</v>
      </c>
      <c r="X1972" t="s">
        <v>9277</v>
      </c>
      <c r="Y1972" t="s">
        <v>7493</v>
      </c>
      <c r="Z1972" t="s">
        <v>7494</v>
      </c>
      <c r="AA1972" t="s">
        <v>49</v>
      </c>
      <c r="AB1972" t="s">
        <v>50</v>
      </c>
      <c r="AC1972" s="2">
        <v>135186.66</v>
      </c>
      <c r="AD1972" t="s">
        <v>9281</v>
      </c>
      <c r="AE1972" t="s">
        <v>52</v>
      </c>
    </row>
    <row r="1973" spans="1:31" hidden="1" x14ac:dyDescent="0.25">
      <c r="I1973" t="s">
        <v>9282</v>
      </c>
      <c r="J1973" s="2">
        <v>43634</v>
      </c>
      <c r="K1973" s="2">
        <v>200</v>
      </c>
      <c r="L1973" s="2">
        <v>18</v>
      </c>
      <c r="M1973" s="2">
        <v>0</v>
      </c>
      <c r="S1973" t="s">
        <v>9283</v>
      </c>
      <c r="U1973" t="s">
        <v>45</v>
      </c>
      <c r="V1973" t="s">
        <v>46</v>
      </c>
      <c r="W1973" t="s">
        <v>495</v>
      </c>
      <c r="X1973" t="s">
        <v>79</v>
      </c>
      <c r="Y1973" t="s">
        <v>79</v>
      </c>
      <c r="Z1973" t="s">
        <v>94</v>
      </c>
      <c r="AA1973" t="s">
        <v>49</v>
      </c>
      <c r="AC1973" s="2"/>
    </row>
    <row r="1974" spans="1:31" x14ac:dyDescent="0.25">
      <c r="A1974" t="s">
        <v>9284</v>
      </c>
      <c r="B1974" t="s">
        <v>9285</v>
      </c>
      <c r="C1974" t="s">
        <v>9285</v>
      </c>
      <c r="D1974" t="s">
        <v>847</v>
      </c>
      <c r="E1974" t="s">
        <v>848</v>
      </c>
      <c r="F1974" t="s">
        <v>9286</v>
      </c>
      <c r="G1974" t="s">
        <v>847</v>
      </c>
      <c r="H1974" t="s">
        <v>8401</v>
      </c>
      <c r="J1974" s="2">
        <v>2435700</v>
      </c>
      <c r="K1974" s="2">
        <v>10000</v>
      </c>
      <c r="L1974" s="2">
        <v>30</v>
      </c>
      <c r="M1974" s="2">
        <v>0</v>
      </c>
      <c r="N1974" t="s">
        <v>8403</v>
      </c>
      <c r="O1974" t="s">
        <v>8401</v>
      </c>
      <c r="P1974" t="s">
        <v>2320</v>
      </c>
      <c r="Q1974" t="s">
        <v>2321</v>
      </c>
      <c r="S1974" t="s">
        <v>9287</v>
      </c>
      <c r="U1974" t="s">
        <v>45</v>
      </c>
      <c r="V1974" t="s">
        <v>46</v>
      </c>
      <c r="W1974" t="s">
        <v>8403</v>
      </c>
      <c r="X1974" t="s">
        <v>8401</v>
      </c>
      <c r="Y1974" t="s">
        <v>2399</v>
      </c>
      <c r="Z1974" t="s">
        <v>2400</v>
      </c>
      <c r="AA1974" t="s">
        <v>49</v>
      </c>
      <c r="AB1974" t="s">
        <v>50</v>
      </c>
      <c r="AC1974" s="2">
        <v>1176447.31</v>
      </c>
      <c r="AD1974" t="s">
        <v>9288</v>
      </c>
      <c r="AE1974" t="s">
        <v>115</v>
      </c>
    </row>
    <row r="1975" spans="1:31" hidden="1" x14ac:dyDescent="0.25">
      <c r="A1975" t="s">
        <v>9289</v>
      </c>
      <c r="B1975" t="s">
        <v>9290</v>
      </c>
      <c r="C1975" t="s">
        <v>9290</v>
      </c>
      <c r="F1975" t="s">
        <v>9291</v>
      </c>
      <c r="H1975" t="s">
        <v>964</v>
      </c>
      <c r="J1975" s="2">
        <v>1000</v>
      </c>
      <c r="K1975" s="2">
        <v>0</v>
      </c>
      <c r="L1975" s="2">
        <v>1</v>
      </c>
      <c r="M1975" s="2">
        <v>0</v>
      </c>
      <c r="N1975" t="s">
        <v>966</v>
      </c>
      <c r="O1975" t="s">
        <v>964</v>
      </c>
      <c r="P1975" t="s">
        <v>304</v>
      </c>
      <c r="Q1975" t="s">
        <v>72</v>
      </c>
      <c r="S1975" t="s">
        <v>9292</v>
      </c>
      <c r="U1975" t="s">
        <v>45</v>
      </c>
      <c r="V1975" t="s">
        <v>46</v>
      </c>
      <c r="W1975" t="s">
        <v>966</v>
      </c>
      <c r="X1975" t="s">
        <v>964</v>
      </c>
      <c r="Y1975" t="s">
        <v>72</v>
      </c>
      <c r="Z1975" t="s">
        <v>68</v>
      </c>
      <c r="AA1975" t="s">
        <v>49</v>
      </c>
      <c r="AB1975" t="s">
        <v>50</v>
      </c>
      <c r="AC1975" s="2">
        <v>1000</v>
      </c>
      <c r="AD1975" t="s">
        <v>64</v>
      </c>
    </row>
    <row r="1976" spans="1:31" x14ac:dyDescent="0.25">
      <c r="A1976" t="s">
        <v>9293</v>
      </c>
      <c r="B1976" t="s">
        <v>9294</v>
      </c>
      <c r="C1976" t="s">
        <v>9294</v>
      </c>
      <c r="D1976" t="s">
        <v>817</v>
      </c>
      <c r="E1976" t="s">
        <v>224</v>
      </c>
      <c r="F1976" t="s">
        <v>9295</v>
      </c>
      <c r="G1976" t="s">
        <v>331</v>
      </c>
      <c r="H1976" t="s">
        <v>1360</v>
      </c>
      <c r="I1976" t="s">
        <v>9296</v>
      </c>
      <c r="J1976" s="2">
        <v>174536</v>
      </c>
      <c r="K1976" s="2">
        <v>800</v>
      </c>
      <c r="L1976" s="2">
        <v>15</v>
      </c>
      <c r="M1976" s="2">
        <v>0</v>
      </c>
      <c r="N1976" t="s">
        <v>1362</v>
      </c>
      <c r="O1976" t="s">
        <v>1360</v>
      </c>
      <c r="P1976" t="s">
        <v>1212</v>
      </c>
      <c r="Q1976" t="s">
        <v>1213</v>
      </c>
      <c r="S1976" t="s">
        <v>9297</v>
      </c>
      <c r="U1976" t="s">
        <v>45</v>
      </c>
      <c r="V1976" t="s">
        <v>46</v>
      </c>
      <c r="W1976" t="s">
        <v>1362</v>
      </c>
      <c r="X1976" t="s">
        <v>1360</v>
      </c>
      <c r="Y1976" t="s">
        <v>1215</v>
      </c>
      <c r="Z1976" t="s">
        <v>1216</v>
      </c>
      <c r="AA1976" t="s">
        <v>49</v>
      </c>
      <c r="AB1976" t="s">
        <v>50</v>
      </c>
      <c r="AC1976" s="2">
        <v>90762.62</v>
      </c>
      <c r="AD1976" t="s">
        <v>9298</v>
      </c>
    </row>
    <row r="1977" spans="1:31" x14ac:dyDescent="0.25">
      <c r="A1977" t="s">
        <v>9299</v>
      </c>
      <c r="B1977" t="s">
        <v>9300</v>
      </c>
      <c r="C1977" t="s">
        <v>9300</v>
      </c>
      <c r="D1977" t="s">
        <v>299</v>
      </c>
      <c r="E1977" t="s">
        <v>167</v>
      </c>
      <c r="F1977" t="s">
        <v>9301</v>
      </c>
      <c r="G1977" t="s">
        <v>819</v>
      </c>
      <c r="H1977" t="s">
        <v>6986</v>
      </c>
      <c r="I1977" t="s">
        <v>9302</v>
      </c>
      <c r="J1977" s="2">
        <v>218170</v>
      </c>
      <c r="K1977" s="2">
        <v>1000</v>
      </c>
      <c r="L1977" s="2">
        <v>21</v>
      </c>
      <c r="M1977" s="2">
        <v>0</v>
      </c>
      <c r="N1977" t="s">
        <v>6985</v>
      </c>
      <c r="O1977" t="s">
        <v>6986</v>
      </c>
      <c r="P1977" t="s">
        <v>6987</v>
      </c>
      <c r="Q1977" t="s">
        <v>6988</v>
      </c>
      <c r="S1977" t="s">
        <v>9303</v>
      </c>
      <c r="U1977" t="s">
        <v>45</v>
      </c>
      <c r="V1977" t="s">
        <v>46</v>
      </c>
      <c r="W1977" t="s">
        <v>6985</v>
      </c>
      <c r="X1977" t="s">
        <v>6986</v>
      </c>
      <c r="Y1977" t="s">
        <v>2399</v>
      </c>
      <c r="Z1977" t="s">
        <v>2400</v>
      </c>
      <c r="AA1977" t="s">
        <v>49</v>
      </c>
      <c r="AB1977" t="s">
        <v>50</v>
      </c>
      <c r="AC1977" s="2">
        <v>211396.65</v>
      </c>
      <c r="AD1977" t="s">
        <v>9304</v>
      </c>
      <c r="AE1977" t="s">
        <v>115</v>
      </c>
    </row>
    <row r="1978" spans="1:31" x14ac:dyDescent="0.25">
      <c r="A1978" t="s">
        <v>9305</v>
      </c>
      <c r="B1978" t="s">
        <v>9306</v>
      </c>
      <c r="C1978" t="s">
        <v>9306</v>
      </c>
      <c r="D1978" t="s">
        <v>297</v>
      </c>
      <c r="E1978" t="s">
        <v>167</v>
      </c>
      <c r="F1978" t="s">
        <v>9307</v>
      </c>
      <c r="G1978" t="s">
        <v>297</v>
      </c>
      <c r="H1978" t="s">
        <v>41</v>
      </c>
      <c r="I1978" t="s">
        <v>9308</v>
      </c>
      <c r="J1978" s="2">
        <v>545425</v>
      </c>
      <c r="K1978" s="2">
        <v>2500</v>
      </c>
      <c r="L1978" s="2">
        <v>15</v>
      </c>
      <c r="M1978" s="2">
        <v>0</v>
      </c>
      <c r="N1978" t="s">
        <v>40</v>
      </c>
      <c r="O1978" t="s">
        <v>41</v>
      </c>
      <c r="P1978" t="s">
        <v>2320</v>
      </c>
      <c r="Q1978" t="s">
        <v>2321</v>
      </c>
      <c r="S1978" t="s">
        <v>9309</v>
      </c>
      <c r="U1978" t="s">
        <v>45</v>
      </c>
      <c r="V1978" t="s">
        <v>46</v>
      </c>
      <c r="W1978" t="s">
        <v>40</v>
      </c>
      <c r="X1978" t="s">
        <v>41</v>
      </c>
      <c r="Y1978" t="s">
        <v>47</v>
      </c>
      <c r="Z1978" t="s">
        <v>48</v>
      </c>
      <c r="AA1978" t="s">
        <v>49</v>
      </c>
      <c r="AB1978" t="s">
        <v>50</v>
      </c>
      <c r="AC1978" s="2">
        <v>160187.9</v>
      </c>
      <c r="AD1978" t="s">
        <v>9310</v>
      </c>
      <c r="AE1978" t="s">
        <v>115</v>
      </c>
    </row>
    <row r="1979" spans="1:31" x14ac:dyDescent="0.25">
      <c r="A1979" t="s">
        <v>9311</v>
      </c>
      <c r="B1979" t="s">
        <v>9312</v>
      </c>
      <c r="C1979" t="s">
        <v>9312</v>
      </c>
      <c r="D1979" t="s">
        <v>3472</v>
      </c>
      <c r="E1979" t="s">
        <v>871</v>
      </c>
      <c r="F1979" t="s">
        <v>9313</v>
      </c>
      <c r="G1979" t="s">
        <v>3472</v>
      </c>
      <c r="H1979" t="s">
        <v>8101</v>
      </c>
      <c r="I1979" t="s">
        <v>9314</v>
      </c>
      <c r="J1979" s="2">
        <v>120790</v>
      </c>
      <c r="K1979" s="2">
        <v>500</v>
      </c>
      <c r="L1979" s="2">
        <v>30</v>
      </c>
      <c r="M1979" s="2">
        <v>0</v>
      </c>
      <c r="N1979" t="s">
        <v>8100</v>
      </c>
      <c r="O1979" t="s">
        <v>8101</v>
      </c>
      <c r="P1979" t="s">
        <v>4853</v>
      </c>
      <c r="Q1979" t="s">
        <v>4854</v>
      </c>
      <c r="S1979" t="s">
        <v>9315</v>
      </c>
      <c r="U1979" t="s">
        <v>45</v>
      </c>
      <c r="V1979" t="s">
        <v>46</v>
      </c>
      <c r="W1979" t="s">
        <v>8100</v>
      </c>
      <c r="X1979" t="s">
        <v>8101</v>
      </c>
      <c r="Y1979" t="s">
        <v>4854</v>
      </c>
      <c r="Z1979" t="s">
        <v>72</v>
      </c>
      <c r="AA1979" t="s">
        <v>49</v>
      </c>
      <c r="AB1979" t="s">
        <v>50</v>
      </c>
      <c r="AC1979" s="2">
        <v>911.91</v>
      </c>
      <c r="AD1979" t="s">
        <v>9316</v>
      </c>
      <c r="AE1979" t="s">
        <v>52</v>
      </c>
    </row>
    <row r="1980" spans="1:31" x14ac:dyDescent="0.25">
      <c r="A1980" t="s">
        <v>9317</v>
      </c>
      <c r="B1980" t="s">
        <v>9318</v>
      </c>
      <c r="C1980" t="s">
        <v>9318</v>
      </c>
      <c r="D1980" t="s">
        <v>2118</v>
      </c>
      <c r="E1980" t="s">
        <v>871</v>
      </c>
      <c r="F1980" t="s">
        <v>9319</v>
      </c>
      <c r="G1980" t="s">
        <v>2118</v>
      </c>
      <c r="H1980" t="s">
        <v>3122</v>
      </c>
      <c r="I1980" t="s">
        <v>9320</v>
      </c>
      <c r="J1980" s="2">
        <v>76360</v>
      </c>
      <c r="K1980" s="2">
        <v>350</v>
      </c>
      <c r="L1980" s="2">
        <v>15</v>
      </c>
      <c r="M1980" s="2">
        <v>0</v>
      </c>
      <c r="N1980" t="s">
        <v>3121</v>
      </c>
      <c r="O1980" t="s">
        <v>3122</v>
      </c>
      <c r="P1980" t="s">
        <v>1212</v>
      </c>
      <c r="Q1980" t="s">
        <v>1213</v>
      </c>
      <c r="S1980" t="s">
        <v>9321</v>
      </c>
      <c r="U1980" t="s">
        <v>45</v>
      </c>
      <c r="V1980" t="s">
        <v>46</v>
      </c>
      <c r="W1980" t="s">
        <v>3121</v>
      </c>
      <c r="X1980" t="s">
        <v>3124</v>
      </c>
      <c r="Y1980" t="s">
        <v>1215</v>
      </c>
      <c r="Z1980" t="s">
        <v>1216</v>
      </c>
      <c r="AA1980" t="s">
        <v>49</v>
      </c>
      <c r="AB1980" t="s">
        <v>50</v>
      </c>
      <c r="AC1980" s="2">
        <v>5576.86</v>
      </c>
      <c r="AD1980" t="s">
        <v>9322</v>
      </c>
      <c r="AE1980" t="s">
        <v>115</v>
      </c>
    </row>
    <row r="1981" spans="1:31" x14ac:dyDescent="0.25">
      <c r="A1981" t="s">
        <v>9323</v>
      </c>
      <c r="B1981" t="s">
        <v>9324</v>
      </c>
      <c r="C1981" t="s">
        <v>9324</v>
      </c>
      <c r="D1981" t="s">
        <v>125</v>
      </c>
      <c r="E1981" t="s">
        <v>126</v>
      </c>
      <c r="F1981" t="s">
        <v>9325</v>
      </c>
      <c r="G1981" t="s">
        <v>299</v>
      </c>
      <c r="H1981" t="s">
        <v>2572</v>
      </c>
      <c r="I1981" t="s">
        <v>9326</v>
      </c>
      <c r="J1981" s="2">
        <v>65451</v>
      </c>
      <c r="K1981" s="2">
        <v>300</v>
      </c>
      <c r="L1981" s="2">
        <v>21</v>
      </c>
      <c r="M1981" s="2">
        <v>0</v>
      </c>
      <c r="N1981" t="s">
        <v>2571</v>
      </c>
      <c r="O1981" t="s">
        <v>2572</v>
      </c>
      <c r="P1981" t="s">
        <v>6987</v>
      </c>
      <c r="Q1981" t="s">
        <v>6988</v>
      </c>
      <c r="S1981" t="s">
        <v>9327</v>
      </c>
      <c r="U1981" t="s">
        <v>45</v>
      </c>
      <c r="V1981" t="s">
        <v>46</v>
      </c>
      <c r="W1981" t="s">
        <v>2571</v>
      </c>
      <c r="X1981" t="s">
        <v>2572</v>
      </c>
      <c r="Y1981" t="s">
        <v>2399</v>
      </c>
      <c r="Z1981" t="s">
        <v>2400</v>
      </c>
      <c r="AA1981" t="s">
        <v>49</v>
      </c>
      <c r="AB1981" t="s">
        <v>50</v>
      </c>
      <c r="AC1981" s="2">
        <v>50910.9</v>
      </c>
      <c r="AD1981" t="s">
        <v>9328</v>
      </c>
      <c r="AE1981" t="s">
        <v>52</v>
      </c>
    </row>
    <row r="1982" spans="1:31" x14ac:dyDescent="0.25">
      <c r="A1982" t="s">
        <v>9329</v>
      </c>
      <c r="B1982" t="s">
        <v>9330</v>
      </c>
      <c r="C1982" t="s">
        <v>9330</v>
      </c>
      <c r="D1982" t="s">
        <v>35</v>
      </c>
      <c r="E1982" t="s">
        <v>36</v>
      </c>
      <c r="F1982" t="s">
        <v>9331</v>
      </c>
      <c r="G1982" t="s">
        <v>35</v>
      </c>
      <c r="H1982" t="s">
        <v>5739</v>
      </c>
      <c r="J1982" s="2">
        <v>2181700</v>
      </c>
      <c r="K1982" s="2">
        <v>10000</v>
      </c>
      <c r="L1982" s="2">
        <v>30</v>
      </c>
      <c r="M1982" s="2">
        <v>0</v>
      </c>
      <c r="N1982" t="s">
        <v>5741</v>
      </c>
      <c r="O1982" t="s">
        <v>5739</v>
      </c>
      <c r="P1982" t="s">
        <v>2320</v>
      </c>
      <c r="Q1982" t="s">
        <v>2321</v>
      </c>
      <c r="S1982" t="s">
        <v>9332</v>
      </c>
      <c r="U1982" t="s">
        <v>45</v>
      </c>
      <c r="V1982" t="s">
        <v>46</v>
      </c>
      <c r="W1982" t="s">
        <v>5741</v>
      </c>
      <c r="X1982" t="s">
        <v>5739</v>
      </c>
      <c r="Y1982" t="s">
        <v>5743</v>
      </c>
      <c r="Z1982" t="s">
        <v>5744</v>
      </c>
      <c r="AA1982" t="s">
        <v>49</v>
      </c>
      <c r="AB1982" t="s">
        <v>50</v>
      </c>
      <c r="AC1982" s="2">
        <v>232452.05</v>
      </c>
      <c r="AD1982" t="s">
        <v>9333</v>
      </c>
      <c r="AE1982" t="s">
        <v>115</v>
      </c>
    </row>
    <row r="1983" spans="1:31" x14ac:dyDescent="0.25">
      <c r="A1983" t="s">
        <v>9334</v>
      </c>
      <c r="B1983" t="s">
        <v>9335</v>
      </c>
      <c r="C1983" t="s">
        <v>9335</v>
      </c>
      <c r="D1983" t="s">
        <v>35</v>
      </c>
      <c r="E1983" t="s">
        <v>36</v>
      </c>
      <c r="F1983" t="s">
        <v>9336</v>
      </c>
      <c r="G1983" t="s">
        <v>847</v>
      </c>
      <c r="H1983" t="s">
        <v>1430</v>
      </c>
      <c r="I1983" t="s">
        <v>9337</v>
      </c>
      <c r="J1983" s="2">
        <v>109085</v>
      </c>
      <c r="K1983" s="2">
        <v>500</v>
      </c>
      <c r="L1983" s="2">
        <v>15</v>
      </c>
      <c r="M1983" s="2">
        <v>0</v>
      </c>
      <c r="N1983" t="s">
        <v>1427</v>
      </c>
      <c r="O1983" t="s">
        <v>1428</v>
      </c>
      <c r="P1983" t="s">
        <v>82</v>
      </c>
      <c r="Q1983" t="s">
        <v>83</v>
      </c>
      <c r="S1983" t="s">
        <v>9338</v>
      </c>
      <c r="U1983" t="s">
        <v>45</v>
      </c>
      <c r="V1983" t="s">
        <v>46</v>
      </c>
      <c r="W1983" t="s">
        <v>1427</v>
      </c>
      <c r="X1983" t="s">
        <v>1430</v>
      </c>
      <c r="Y1983" t="s">
        <v>85</v>
      </c>
      <c r="Z1983" t="s">
        <v>86</v>
      </c>
      <c r="AA1983" t="s">
        <v>49</v>
      </c>
      <c r="AB1983" t="s">
        <v>50</v>
      </c>
      <c r="AC1983" s="2">
        <v>29516.33</v>
      </c>
      <c r="AD1983" t="s">
        <v>9339</v>
      </c>
      <c r="AE1983" t="s">
        <v>52</v>
      </c>
    </row>
    <row r="1984" spans="1:31" x14ac:dyDescent="0.25">
      <c r="A1984" t="s">
        <v>9340</v>
      </c>
      <c r="B1984" t="s">
        <v>9341</v>
      </c>
      <c r="C1984" t="s">
        <v>9341</v>
      </c>
      <c r="D1984" t="s">
        <v>847</v>
      </c>
      <c r="E1984" t="s">
        <v>848</v>
      </c>
      <c r="F1984" t="s">
        <v>9342</v>
      </c>
      <c r="G1984" t="s">
        <v>297</v>
      </c>
      <c r="H1984" t="s">
        <v>9343</v>
      </c>
      <c r="J1984" s="2">
        <v>1226991</v>
      </c>
      <c r="K1984" s="2">
        <v>5189</v>
      </c>
      <c r="L1984" s="2">
        <v>30</v>
      </c>
      <c r="M1984" s="2">
        <v>0</v>
      </c>
      <c r="N1984" t="s">
        <v>9344</v>
      </c>
      <c r="O1984" t="s">
        <v>9343</v>
      </c>
      <c r="P1984" t="s">
        <v>2320</v>
      </c>
      <c r="Q1984" t="s">
        <v>2321</v>
      </c>
      <c r="S1984" t="s">
        <v>9345</v>
      </c>
      <c r="U1984" t="s">
        <v>45</v>
      </c>
      <c r="V1984" t="s">
        <v>46</v>
      </c>
      <c r="W1984" t="s">
        <v>9344</v>
      </c>
      <c r="X1984" t="s">
        <v>9343</v>
      </c>
      <c r="Y1984" t="s">
        <v>5743</v>
      </c>
      <c r="Z1984" t="s">
        <v>5744</v>
      </c>
      <c r="AA1984" t="s">
        <v>49</v>
      </c>
      <c r="AB1984" t="s">
        <v>50</v>
      </c>
      <c r="AC1984" s="2">
        <v>94813.97</v>
      </c>
      <c r="AD1984" t="s">
        <v>9346</v>
      </c>
      <c r="AE1984" t="s">
        <v>115</v>
      </c>
    </row>
    <row r="1985" spans="1:31" x14ac:dyDescent="0.25">
      <c r="A1985" t="s">
        <v>9347</v>
      </c>
      <c r="B1985" t="s">
        <v>9348</v>
      </c>
      <c r="C1985" t="s">
        <v>9348</v>
      </c>
      <c r="D1985" t="s">
        <v>847</v>
      </c>
      <c r="E1985" t="s">
        <v>848</v>
      </c>
      <c r="F1985" t="s">
        <v>9349</v>
      </c>
      <c r="G1985" t="s">
        <v>847</v>
      </c>
      <c r="H1985" t="s">
        <v>2400</v>
      </c>
      <c r="I1985" t="s">
        <v>9350</v>
      </c>
      <c r="J1985" s="2">
        <v>132111</v>
      </c>
      <c r="K1985" s="2">
        <v>540</v>
      </c>
      <c r="L1985" s="2">
        <v>15</v>
      </c>
      <c r="M1985" s="2">
        <v>0</v>
      </c>
      <c r="N1985" t="s">
        <v>7747</v>
      </c>
      <c r="O1985" t="s">
        <v>2400</v>
      </c>
      <c r="P1985" t="s">
        <v>6987</v>
      </c>
      <c r="Q1985" t="s">
        <v>6988</v>
      </c>
      <c r="S1985" t="s">
        <v>9351</v>
      </c>
      <c r="U1985" t="s">
        <v>45</v>
      </c>
      <c r="V1985" t="s">
        <v>46</v>
      </c>
      <c r="W1985" t="s">
        <v>7747</v>
      </c>
      <c r="X1985" t="s">
        <v>2400</v>
      </c>
      <c r="Y1985" t="s">
        <v>2399</v>
      </c>
      <c r="Z1985" t="s">
        <v>2400</v>
      </c>
      <c r="AA1985" t="s">
        <v>49</v>
      </c>
      <c r="AB1985" t="s">
        <v>50</v>
      </c>
      <c r="AC1985" s="2">
        <v>1806.64</v>
      </c>
      <c r="AD1985" t="s">
        <v>9352</v>
      </c>
      <c r="AE1985" t="s">
        <v>52</v>
      </c>
    </row>
    <row r="1986" spans="1:31" x14ac:dyDescent="0.25">
      <c r="A1986" t="s">
        <v>9353</v>
      </c>
      <c r="B1986" t="s">
        <v>9354</v>
      </c>
      <c r="C1986" t="s">
        <v>9354</v>
      </c>
      <c r="D1986" t="s">
        <v>125</v>
      </c>
      <c r="E1986" t="s">
        <v>126</v>
      </c>
      <c r="F1986" t="s">
        <v>9355</v>
      </c>
      <c r="G1986" t="s">
        <v>125</v>
      </c>
      <c r="H1986" t="s">
        <v>5739</v>
      </c>
      <c r="J1986" s="2">
        <v>763595</v>
      </c>
      <c r="K1986" s="2">
        <v>3500</v>
      </c>
      <c r="L1986" s="2">
        <v>21</v>
      </c>
      <c r="M1986" s="2">
        <v>0</v>
      </c>
      <c r="N1986" t="s">
        <v>5741</v>
      </c>
      <c r="O1986" t="s">
        <v>5739</v>
      </c>
      <c r="P1986" t="s">
        <v>5966</v>
      </c>
      <c r="Q1986" t="s">
        <v>5739</v>
      </c>
      <c r="S1986" t="s">
        <v>9356</v>
      </c>
      <c r="U1986" t="s">
        <v>45</v>
      </c>
      <c r="V1986" t="s">
        <v>46</v>
      </c>
      <c r="W1986" t="s">
        <v>5741</v>
      </c>
      <c r="X1986" t="s">
        <v>5739</v>
      </c>
      <c r="Y1986" t="s">
        <v>5743</v>
      </c>
      <c r="Z1986" t="s">
        <v>5744</v>
      </c>
      <c r="AA1986" t="s">
        <v>49</v>
      </c>
      <c r="AB1986" t="s">
        <v>50</v>
      </c>
      <c r="AC1986" s="2">
        <v>497754.9</v>
      </c>
      <c r="AD1986" t="s">
        <v>9357</v>
      </c>
      <c r="AE1986" t="s">
        <v>52</v>
      </c>
    </row>
    <row r="1987" spans="1:31" x14ac:dyDescent="0.25">
      <c r="A1987" t="s">
        <v>9358</v>
      </c>
      <c r="B1987" t="s">
        <v>9359</v>
      </c>
      <c r="C1987" t="s">
        <v>9359</v>
      </c>
      <c r="D1987" t="s">
        <v>847</v>
      </c>
      <c r="E1987" t="s">
        <v>848</v>
      </c>
      <c r="F1987" t="s">
        <v>9360</v>
      </c>
      <c r="G1987" t="s">
        <v>847</v>
      </c>
      <c r="H1987" t="s">
        <v>6240</v>
      </c>
      <c r="I1987" t="s">
        <v>9361</v>
      </c>
      <c r="J1987" s="2">
        <v>693150</v>
      </c>
      <c r="K1987" s="2">
        <v>3000</v>
      </c>
      <c r="L1987" s="2">
        <v>15</v>
      </c>
      <c r="M1987" s="2">
        <v>0</v>
      </c>
      <c r="N1987" t="s">
        <v>6239</v>
      </c>
      <c r="O1987" t="s">
        <v>6240</v>
      </c>
      <c r="P1987" t="s">
        <v>82</v>
      </c>
      <c r="Q1987" t="s">
        <v>83</v>
      </c>
      <c r="S1987" t="s">
        <v>9362</v>
      </c>
      <c r="U1987" t="s">
        <v>45</v>
      </c>
      <c r="V1987" t="s">
        <v>46</v>
      </c>
      <c r="W1987" t="s">
        <v>6239</v>
      </c>
      <c r="X1987" t="s">
        <v>6240</v>
      </c>
      <c r="Y1987" t="s">
        <v>85</v>
      </c>
      <c r="Z1987" t="s">
        <v>86</v>
      </c>
      <c r="AA1987" t="s">
        <v>49</v>
      </c>
      <c r="AB1987" t="s">
        <v>50</v>
      </c>
      <c r="AC1987" s="2">
        <v>671307.59</v>
      </c>
      <c r="AD1987" t="s">
        <v>9363</v>
      </c>
      <c r="AE1987" t="s">
        <v>52</v>
      </c>
    </row>
    <row r="1988" spans="1:31" x14ac:dyDescent="0.25">
      <c r="A1988" t="s">
        <v>9364</v>
      </c>
      <c r="B1988" t="s">
        <v>9365</v>
      </c>
      <c r="C1988" t="s">
        <v>9365</v>
      </c>
      <c r="D1988" t="s">
        <v>847</v>
      </c>
      <c r="E1988" t="s">
        <v>848</v>
      </c>
      <c r="F1988" t="s">
        <v>9366</v>
      </c>
      <c r="G1988" t="s">
        <v>847</v>
      </c>
      <c r="H1988" t="s">
        <v>6240</v>
      </c>
      <c r="I1988" t="s">
        <v>9361</v>
      </c>
      <c r="J1988" s="2">
        <v>696864</v>
      </c>
      <c r="K1988" s="2">
        <v>3050</v>
      </c>
      <c r="L1988" s="2">
        <v>15</v>
      </c>
      <c r="M1988" s="2">
        <v>0</v>
      </c>
      <c r="N1988" t="s">
        <v>6239</v>
      </c>
      <c r="O1988" t="s">
        <v>6240</v>
      </c>
      <c r="P1988" t="s">
        <v>82</v>
      </c>
      <c r="Q1988" t="s">
        <v>83</v>
      </c>
      <c r="S1988" t="s">
        <v>9367</v>
      </c>
      <c r="U1988" t="s">
        <v>45</v>
      </c>
      <c r="V1988" t="s">
        <v>46</v>
      </c>
      <c r="W1988" t="s">
        <v>6239</v>
      </c>
      <c r="X1988" t="s">
        <v>6240</v>
      </c>
      <c r="Y1988" t="s">
        <v>85</v>
      </c>
      <c r="Z1988" t="s">
        <v>86</v>
      </c>
      <c r="AA1988" t="s">
        <v>49</v>
      </c>
      <c r="AB1988" t="s">
        <v>50</v>
      </c>
      <c r="AC1988" s="2">
        <v>492118.15</v>
      </c>
      <c r="AD1988" t="s">
        <v>9368</v>
      </c>
      <c r="AE1988" t="s">
        <v>52</v>
      </c>
    </row>
    <row r="1989" spans="1:31" x14ac:dyDescent="0.25">
      <c r="A1989" t="s">
        <v>9369</v>
      </c>
      <c r="B1989" t="s">
        <v>9370</v>
      </c>
      <c r="C1989" t="s">
        <v>9370</v>
      </c>
      <c r="D1989" t="s">
        <v>847</v>
      </c>
      <c r="E1989" t="s">
        <v>848</v>
      </c>
      <c r="F1989" t="s">
        <v>9371</v>
      </c>
      <c r="G1989" t="s">
        <v>847</v>
      </c>
      <c r="H1989" t="s">
        <v>6240</v>
      </c>
      <c r="I1989" t="s">
        <v>9372</v>
      </c>
      <c r="J1989" s="2">
        <v>436340</v>
      </c>
      <c r="K1989" s="2">
        <v>2000</v>
      </c>
      <c r="L1989" s="2">
        <v>15</v>
      </c>
      <c r="M1989" s="2">
        <v>0</v>
      </c>
      <c r="N1989" t="s">
        <v>6239</v>
      </c>
      <c r="O1989" t="s">
        <v>6240</v>
      </c>
      <c r="P1989" t="s">
        <v>82</v>
      </c>
      <c r="Q1989" t="s">
        <v>83</v>
      </c>
      <c r="S1989" t="s">
        <v>9373</v>
      </c>
      <c r="U1989" t="s">
        <v>45</v>
      </c>
      <c r="V1989" t="s">
        <v>46</v>
      </c>
      <c r="W1989" t="s">
        <v>6239</v>
      </c>
      <c r="X1989" t="s">
        <v>6240</v>
      </c>
      <c r="Y1989" t="s">
        <v>85</v>
      </c>
      <c r="Z1989" t="s">
        <v>86</v>
      </c>
      <c r="AA1989" t="s">
        <v>49</v>
      </c>
      <c r="AB1989" t="s">
        <v>50</v>
      </c>
      <c r="AC1989" s="2">
        <v>428851.98</v>
      </c>
      <c r="AD1989" t="s">
        <v>9374</v>
      </c>
      <c r="AE1989" t="s">
        <v>52</v>
      </c>
    </row>
    <row r="1990" spans="1:31" x14ac:dyDescent="0.25">
      <c r="A1990" t="s">
        <v>9375</v>
      </c>
      <c r="B1990" t="s">
        <v>9376</v>
      </c>
      <c r="C1990" t="s">
        <v>9376</v>
      </c>
      <c r="D1990" t="s">
        <v>847</v>
      </c>
      <c r="E1990" t="s">
        <v>848</v>
      </c>
      <c r="F1990" t="s">
        <v>9377</v>
      </c>
      <c r="G1990" t="s">
        <v>847</v>
      </c>
      <c r="H1990" t="s">
        <v>6240</v>
      </c>
      <c r="I1990" t="s">
        <v>9378</v>
      </c>
      <c r="J1990" s="2">
        <v>808675</v>
      </c>
      <c r="K1990" s="2">
        <v>3500</v>
      </c>
      <c r="L1990" s="2">
        <v>15</v>
      </c>
      <c r="M1990" s="2">
        <v>0</v>
      </c>
      <c r="N1990" t="s">
        <v>6239</v>
      </c>
      <c r="O1990" t="s">
        <v>6240</v>
      </c>
      <c r="P1990" t="s">
        <v>82</v>
      </c>
      <c r="Q1990" t="s">
        <v>83</v>
      </c>
      <c r="S1990" t="s">
        <v>9379</v>
      </c>
      <c r="U1990" t="s">
        <v>45</v>
      </c>
      <c r="V1990" t="s">
        <v>46</v>
      </c>
      <c r="W1990" t="s">
        <v>6239</v>
      </c>
      <c r="X1990" t="s">
        <v>6240</v>
      </c>
      <c r="Y1990" t="s">
        <v>85</v>
      </c>
      <c r="Z1990" t="s">
        <v>86</v>
      </c>
      <c r="AA1990" t="s">
        <v>49</v>
      </c>
      <c r="AB1990" t="s">
        <v>50</v>
      </c>
      <c r="AC1990" s="2">
        <v>744405.79</v>
      </c>
      <c r="AD1990" t="s">
        <v>9380</v>
      </c>
      <c r="AE1990" t="s">
        <v>52</v>
      </c>
    </row>
    <row r="1991" spans="1:31" x14ac:dyDescent="0.25">
      <c r="A1991" t="s">
        <v>9381</v>
      </c>
      <c r="B1991" t="s">
        <v>9382</v>
      </c>
      <c r="C1991" t="s">
        <v>9382</v>
      </c>
      <c r="D1991" t="s">
        <v>847</v>
      </c>
      <c r="E1991" t="s">
        <v>848</v>
      </c>
      <c r="F1991" t="s">
        <v>9383</v>
      </c>
      <c r="G1991" t="s">
        <v>847</v>
      </c>
      <c r="H1991" t="s">
        <v>9384</v>
      </c>
      <c r="I1991" t="s">
        <v>9372</v>
      </c>
      <c r="J1991" s="2">
        <v>799680</v>
      </c>
      <c r="K1991" s="2">
        <v>3500</v>
      </c>
      <c r="L1991" s="2">
        <v>15</v>
      </c>
      <c r="M1991" s="2">
        <v>0</v>
      </c>
      <c r="N1991" t="s">
        <v>9385</v>
      </c>
      <c r="O1991" t="s">
        <v>9384</v>
      </c>
      <c r="P1991" t="s">
        <v>82</v>
      </c>
      <c r="Q1991" t="s">
        <v>83</v>
      </c>
      <c r="S1991" t="s">
        <v>9386</v>
      </c>
      <c r="U1991" t="s">
        <v>45</v>
      </c>
      <c r="V1991" t="s">
        <v>46</v>
      </c>
      <c r="W1991" t="s">
        <v>9385</v>
      </c>
      <c r="X1991" t="s">
        <v>9384</v>
      </c>
      <c r="Y1991" t="s">
        <v>2157</v>
      </c>
      <c r="Z1991" t="s">
        <v>48</v>
      </c>
      <c r="AA1991" t="s">
        <v>49</v>
      </c>
      <c r="AB1991" t="s">
        <v>50</v>
      </c>
      <c r="AC1991" s="2">
        <v>773780.64</v>
      </c>
      <c r="AD1991" t="s">
        <v>9387</v>
      </c>
      <c r="AE1991" t="s">
        <v>52</v>
      </c>
    </row>
    <row r="1992" spans="1:31" x14ac:dyDescent="0.25">
      <c r="A1992" t="s">
        <v>9388</v>
      </c>
      <c r="B1992" t="s">
        <v>9389</v>
      </c>
      <c r="C1992" t="s">
        <v>9389</v>
      </c>
      <c r="D1992" t="s">
        <v>1633</v>
      </c>
      <c r="E1992" t="s">
        <v>1502</v>
      </c>
      <c r="F1992" t="s">
        <v>9390</v>
      </c>
      <c r="G1992" t="s">
        <v>192</v>
      </c>
      <c r="H1992" t="s">
        <v>6986</v>
      </c>
      <c r="I1992" t="s">
        <v>9391</v>
      </c>
      <c r="J1992" s="2">
        <v>332610</v>
      </c>
      <c r="K1992" s="2">
        <v>1500</v>
      </c>
      <c r="L1992" s="2">
        <v>21</v>
      </c>
      <c r="M1992" s="2">
        <v>0</v>
      </c>
      <c r="N1992" t="s">
        <v>6985</v>
      </c>
      <c r="O1992" t="s">
        <v>6986</v>
      </c>
      <c r="P1992" t="s">
        <v>6987</v>
      </c>
      <c r="Q1992" t="s">
        <v>6988</v>
      </c>
      <c r="S1992" t="s">
        <v>9392</v>
      </c>
      <c r="U1992" t="s">
        <v>45</v>
      </c>
      <c r="V1992" t="s">
        <v>46</v>
      </c>
      <c r="W1992" t="s">
        <v>6985</v>
      </c>
      <c r="X1992" t="s">
        <v>6986</v>
      </c>
      <c r="Y1992" t="s">
        <v>2399</v>
      </c>
      <c r="Z1992" t="s">
        <v>2400</v>
      </c>
      <c r="AA1992" t="s">
        <v>49</v>
      </c>
      <c r="AB1992" t="s">
        <v>50</v>
      </c>
      <c r="AC1992" s="2">
        <v>130964.97</v>
      </c>
      <c r="AD1992" t="s">
        <v>9393</v>
      </c>
      <c r="AE1992" t="s">
        <v>115</v>
      </c>
    </row>
    <row r="1993" spans="1:31" x14ac:dyDescent="0.25">
      <c r="A1993" t="s">
        <v>9394</v>
      </c>
      <c r="B1993" t="s">
        <v>9395</v>
      </c>
      <c r="C1993" t="s">
        <v>9395</v>
      </c>
      <c r="D1993" t="s">
        <v>4391</v>
      </c>
      <c r="E1993" t="s">
        <v>134</v>
      </c>
      <c r="F1993" t="s">
        <v>9396</v>
      </c>
      <c r="G1993" t="s">
        <v>7666</v>
      </c>
      <c r="H1993" t="s">
        <v>6986</v>
      </c>
      <c r="J1993" s="2">
        <v>43634</v>
      </c>
      <c r="K1993" s="2">
        <v>200</v>
      </c>
      <c r="L1993" s="2">
        <v>21</v>
      </c>
      <c r="M1993" s="2">
        <v>0</v>
      </c>
      <c r="N1993" t="s">
        <v>6985</v>
      </c>
      <c r="O1993" t="s">
        <v>6986</v>
      </c>
      <c r="P1993" t="s">
        <v>6987</v>
      </c>
      <c r="Q1993" t="s">
        <v>6988</v>
      </c>
      <c r="S1993" t="s">
        <v>9397</v>
      </c>
      <c r="U1993" t="s">
        <v>45</v>
      </c>
      <c r="V1993" t="s">
        <v>46</v>
      </c>
      <c r="W1993" t="s">
        <v>6985</v>
      </c>
      <c r="X1993" t="s">
        <v>6986</v>
      </c>
      <c r="Y1993" t="s">
        <v>2399</v>
      </c>
      <c r="Z1993" t="s">
        <v>2400</v>
      </c>
      <c r="AA1993" t="s">
        <v>49</v>
      </c>
      <c r="AB1993" t="s">
        <v>50</v>
      </c>
      <c r="AC1993" s="2">
        <v>43634</v>
      </c>
      <c r="AD1993" t="s">
        <v>64</v>
      </c>
    </row>
    <row r="1994" spans="1:31" hidden="1" x14ac:dyDescent="0.25">
      <c r="I1994" t="s">
        <v>9398</v>
      </c>
      <c r="J1994" s="2">
        <v>21817</v>
      </c>
      <c r="K1994" s="2">
        <v>100</v>
      </c>
      <c r="L1994" s="2">
        <v>1</v>
      </c>
      <c r="M1994" s="2">
        <v>0</v>
      </c>
      <c r="S1994" t="s">
        <v>9399</v>
      </c>
      <c r="U1994" t="s">
        <v>45</v>
      </c>
      <c r="V1994" t="s">
        <v>46</v>
      </c>
      <c r="W1994" t="s">
        <v>495</v>
      </c>
      <c r="X1994" t="s">
        <v>79</v>
      </c>
      <c r="Y1994" t="s">
        <v>79</v>
      </c>
      <c r="Z1994" t="s">
        <v>94</v>
      </c>
      <c r="AA1994" t="s">
        <v>49</v>
      </c>
      <c r="AC1994" s="2"/>
    </row>
    <row r="1995" spans="1:31" hidden="1" x14ac:dyDescent="0.25">
      <c r="I1995" t="s">
        <v>9400</v>
      </c>
      <c r="J1995" s="2">
        <v>21817</v>
      </c>
      <c r="K1995" s="2">
        <v>100</v>
      </c>
      <c r="L1995" s="2">
        <v>1</v>
      </c>
      <c r="M1995" s="2">
        <v>0</v>
      </c>
      <c r="S1995" t="s">
        <v>9401</v>
      </c>
      <c r="U1995" t="s">
        <v>45</v>
      </c>
      <c r="V1995" t="s">
        <v>46</v>
      </c>
      <c r="W1995" t="s">
        <v>7517</v>
      </c>
      <c r="X1995" t="s">
        <v>7518</v>
      </c>
      <c r="Y1995" t="s">
        <v>1215</v>
      </c>
      <c r="Z1995" t="s">
        <v>1216</v>
      </c>
      <c r="AA1995" t="s">
        <v>49</v>
      </c>
      <c r="AC1995" s="2"/>
    </row>
    <row r="1996" spans="1:31" x14ac:dyDescent="0.25">
      <c r="A1996" t="s">
        <v>9402</v>
      </c>
      <c r="B1996" t="s">
        <v>9403</v>
      </c>
      <c r="C1996" t="s">
        <v>9403</v>
      </c>
      <c r="D1996" t="s">
        <v>847</v>
      </c>
      <c r="E1996" t="s">
        <v>848</v>
      </c>
      <c r="F1996" t="s">
        <v>9404</v>
      </c>
      <c r="G1996" t="s">
        <v>847</v>
      </c>
      <c r="H1996" t="s">
        <v>6367</v>
      </c>
      <c r="I1996" t="s">
        <v>9405</v>
      </c>
      <c r="J1996" s="2">
        <v>436340</v>
      </c>
      <c r="K1996" s="2">
        <v>2000</v>
      </c>
      <c r="L1996" s="2">
        <v>15</v>
      </c>
      <c r="M1996" s="2">
        <v>0</v>
      </c>
      <c r="N1996" t="s">
        <v>6366</v>
      </c>
      <c r="O1996" t="s">
        <v>6367</v>
      </c>
      <c r="P1996" t="s">
        <v>82</v>
      </c>
      <c r="Q1996" t="s">
        <v>83</v>
      </c>
      <c r="S1996" t="s">
        <v>9406</v>
      </c>
      <c r="U1996" t="s">
        <v>45</v>
      </c>
      <c r="V1996" t="s">
        <v>46</v>
      </c>
      <c r="W1996" t="s">
        <v>6366</v>
      </c>
      <c r="X1996" t="s">
        <v>6367</v>
      </c>
      <c r="Y1996" t="s">
        <v>85</v>
      </c>
      <c r="Z1996" t="s">
        <v>86</v>
      </c>
      <c r="AA1996" t="s">
        <v>49</v>
      </c>
      <c r="AB1996" t="s">
        <v>50</v>
      </c>
      <c r="AC1996" s="2">
        <v>429080.88</v>
      </c>
      <c r="AD1996" t="s">
        <v>9407</v>
      </c>
      <c r="AE1996" t="s">
        <v>52</v>
      </c>
    </row>
    <row r="1997" spans="1:31" x14ac:dyDescent="0.25">
      <c r="A1997" t="s">
        <v>9408</v>
      </c>
      <c r="B1997" t="s">
        <v>9409</v>
      </c>
      <c r="C1997" t="s">
        <v>9409</v>
      </c>
      <c r="D1997" t="s">
        <v>35</v>
      </c>
      <c r="E1997" t="s">
        <v>36</v>
      </c>
      <c r="F1997" t="s">
        <v>9410</v>
      </c>
      <c r="G1997" t="s">
        <v>847</v>
      </c>
      <c r="H1997" t="s">
        <v>6240</v>
      </c>
      <c r="I1997" t="s">
        <v>9405</v>
      </c>
      <c r="J1997" s="2">
        <v>696864</v>
      </c>
      <c r="K1997" s="2">
        <v>3050</v>
      </c>
      <c r="L1997" s="2">
        <v>15</v>
      </c>
      <c r="M1997" s="2">
        <v>0</v>
      </c>
      <c r="N1997" t="s">
        <v>6239</v>
      </c>
      <c r="O1997" t="s">
        <v>6240</v>
      </c>
      <c r="P1997" t="s">
        <v>82</v>
      </c>
      <c r="Q1997" t="s">
        <v>83</v>
      </c>
      <c r="S1997" t="s">
        <v>9411</v>
      </c>
      <c r="U1997" t="s">
        <v>45</v>
      </c>
      <c r="V1997" t="s">
        <v>46</v>
      </c>
      <c r="W1997" t="s">
        <v>6239</v>
      </c>
      <c r="X1997" t="s">
        <v>6240</v>
      </c>
      <c r="Y1997" t="s">
        <v>85</v>
      </c>
      <c r="Z1997" t="s">
        <v>86</v>
      </c>
      <c r="AA1997" t="s">
        <v>49</v>
      </c>
      <c r="AB1997" t="s">
        <v>50</v>
      </c>
      <c r="AC1997" s="2">
        <v>549163.68999999994</v>
      </c>
      <c r="AD1997" t="s">
        <v>9412</v>
      </c>
      <c r="AE1997" t="s">
        <v>52</v>
      </c>
    </row>
    <row r="1998" spans="1:31" x14ac:dyDescent="0.25">
      <c r="A1998" t="s">
        <v>9413</v>
      </c>
      <c r="B1998" t="s">
        <v>9414</v>
      </c>
      <c r="C1998" t="s">
        <v>9414</v>
      </c>
      <c r="D1998" t="s">
        <v>166</v>
      </c>
      <c r="E1998" t="s">
        <v>167</v>
      </c>
      <c r="F1998" t="s">
        <v>9415</v>
      </c>
      <c r="G1998" t="s">
        <v>166</v>
      </c>
      <c r="H1998" t="s">
        <v>9416</v>
      </c>
      <c r="I1998" t="s">
        <v>9417</v>
      </c>
      <c r="J1998" s="2">
        <v>65451</v>
      </c>
      <c r="K1998" s="2">
        <v>300</v>
      </c>
      <c r="L1998" s="2">
        <v>21</v>
      </c>
      <c r="M1998" s="2">
        <v>0</v>
      </c>
      <c r="N1998" t="s">
        <v>9418</v>
      </c>
      <c r="O1998" t="s">
        <v>9416</v>
      </c>
      <c r="P1998" t="s">
        <v>3487</v>
      </c>
      <c r="Q1998" t="s">
        <v>3488</v>
      </c>
      <c r="S1998" t="s">
        <v>9419</v>
      </c>
      <c r="U1998" t="s">
        <v>45</v>
      </c>
      <c r="V1998" t="s">
        <v>46</v>
      </c>
      <c r="W1998" t="s">
        <v>9418</v>
      </c>
      <c r="X1998" t="s">
        <v>9416</v>
      </c>
      <c r="Y1998" t="s">
        <v>79</v>
      </c>
      <c r="Z1998" t="s">
        <v>94</v>
      </c>
      <c r="AA1998" t="s">
        <v>49</v>
      </c>
      <c r="AB1998" t="s">
        <v>50</v>
      </c>
      <c r="AC1998" s="2">
        <v>28539.11</v>
      </c>
      <c r="AD1998" t="s">
        <v>9420</v>
      </c>
      <c r="AE1998" t="s">
        <v>52</v>
      </c>
    </row>
    <row r="1999" spans="1:31" hidden="1" x14ac:dyDescent="0.25">
      <c r="I1999" t="s">
        <v>9421</v>
      </c>
      <c r="J1999" s="2">
        <v>1008</v>
      </c>
      <c r="K1999" s="2">
        <v>4.62</v>
      </c>
      <c r="L1999" s="2">
        <v>1</v>
      </c>
      <c r="M1999" s="2">
        <v>0</v>
      </c>
      <c r="S1999" t="s">
        <v>9422</v>
      </c>
      <c r="U1999" t="s">
        <v>45</v>
      </c>
      <c r="V1999" t="s">
        <v>46</v>
      </c>
      <c r="W1999" t="s">
        <v>6081</v>
      </c>
      <c r="X1999" t="s">
        <v>6082</v>
      </c>
      <c r="Y1999" t="s">
        <v>5743</v>
      </c>
      <c r="Z1999" t="s">
        <v>5744</v>
      </c>
      <c r="AA1999" t="s">
        <v>49</v>
      </c>
      <c r="AC1999" s="2"/>
    </row>
    <row r="2000" spans="1:31" x14ac:dyDescent="0.25">
      <c r="A2000" t="s">
        <v>9423</v>
      </c>
      <c r="B2000" t="s">
        <v>9424</v>
      </c>
      <c r="C2000" t="s">
        <v>9424</v>
      </c>
      <c r="D2000" t="s">
        <v>297</v>
      </c>
      <c r="E2000" t="s">
        <v>167</v>
      </c>
      <c r="F2000" t="s">
        <v>9425</v>
      </c>
      <c r="G2000" t="s">
        <v>297</v>
      </c>
      <c r="H2000" t="s">
        <v>79</v>
      </c>
      <c r="I2000" t="s">
        <v>9426</v>
      </c>
      <c r="J2000" s="2">
        <v>218170</v>
      </c>
      <c r="K2000" s="2">
        <v>1000</v>
      </c>
      <c r="L2000" s="2">
        <v>21</v>
      </c>
      <c r="M2000" s="2">
        <v>0</v>
      </c>
      <c r="N2000" t="s">
        <v>495</v>
      </c>
      <c r="O2000" t="s">
        <v>79</v>
      </c>
      <c r="P2000" t="s">
        <v>3487</v>
      </c>
      <c r="Q2000" t="s">
        <v>3488</v>
      </c>
      <c r="S2000" t="s">
        <v>9427</v>
      </c>
      <c r="U2000" t="s">
        <v>45</v>
      </c>
      <c r="V2000" t="s">
        <v>46</v>
      </c>
      <c r="W2000" t="s">
        <v>495</v>
      </c>
      <c r="X2000" t="s">
        <v>79</v>
      </c>
      <c r="Y2000" t="s">
        <v>79</v>
      </c>
      <c r="Z2000" t="s">
        <v>94</v>
      </c>
      <c r="AA2000" t="s">
        <v>49</v>
      </c>
      <c r="AB2000" t="s">
        <v>50</v>
      </c>
      <c r="AC2000" s="2">
        <v>161240.56</v>
      </c>
      <c r="AD2000" t="s">
        <v>9428</v>
      </c>
      <c r="AE2000" t="s">
        <v>52</v>
      </c>
    </row>
    <row r="2001" spans="1:31" x14ac:dyDescent="0.25">
      <c r="A2001" t="s">
        <v>9429</v>
      </c>
      <c r="B2001" t="s">
        <v>9430</v>
      </c>
      <c r="C2001" t="s">
        <v>9430</v>
      </c>
      <c r="D2001" t="s">
        <v>569</v>
      </c>
      <c r="E2001" t="s">
        <v>570</v>
      </c>
      <c r="F2001" t="s">
        <v>9431</v>
      </c>
      <c r="G2001" t="s">
        <v>297</v>
      </c>
      <c r="H2001" t="s">
        <v>1062</v>
      </c>
      <c r="I2001" t="s">
        <v>9432</v>
      </c>
      <c r="J2001" s="2">
        <v>327255</v>
      </c>
      <c r="K2001" s="2">
        <v>1500</v>
      </c>
      <c r="L2001" s="2">
        <v>15</v>
      </c>
      <c r="M2001" s="2">
        <v>0</v>
      </c>
      <c r="N2001" t="s">
        <v>1064</v>
      </c>
      <c r="O2001" t="s">
        <v>1062</v>
      </c>
      <c r="P2001" t="s">
        <v>304</v>
      </c>
      <c r="Q2001" t="s">
        <v>72</v>
      </c>
      <c r="S2001" t="s">
        <v>9433</v>
      </c>
      <c r="U2001" t="s">
        <v>45</v>
      </c>
      <c r="V2001" t="s">
        <v>46</v>
      </c>
      <c r="W2001" t="s">
        <v>1064</v>
      </c>
      <c r="X2001" t="s">
        <v>1062</v>
      </c>
      <c r="Y2001" t="s">
        <v>72</v>
      </c>
      <c r="Z2001" t="s">
        <v>68</v>
      </c>
      <c r="AA2001" t="s">
        <v>49</v>
      </c>
      <c r="AB2001" t="s">
        <v>50</v>
      </c>
      <c r="AC2001" s="2">
        <v>199345.63</v>
      </c>
      <c r="AD2001" t="s">
        <v>9434</v>
      </c>
      <c r="AE2001" t="s">
        <v>115</v>
      </c>
    </row>
    <row r="2002" spans="1:31" x14ac:dyDescent="0.25">
      <c r="A2002" t="s">
        <v>9435</v>
      </c>
      <c r="B2002" t="s">
        <v>9436</v>
      </c>
      <c r="C2002" t="s">
        <v>9436</v>
      </c>
      <c r="D2002" t="s">
        <v>1754</v>
      </c>
      <c r="E2002" t="s">
        <v>77</v>
      </c>
      <c r="F2002" t="s">
        <v>9437</v>
      </c>
      <c r="G2002" t="s">
        <v>4891</v>
      </c>
      <c r="H2002" t="s">
        <v>446</v>
      </c>
      <c r="I2002" t="s">
        <v>9432</v>
      </c>
      <c r="J2002" s="2">
        <v>32726</v>
      </c>
      <c r="K2002" s="2">
        <v>150</v>
      </c>
      <c r="L2002" s="2">
        <v>1</v>
      </c>
      <c r="M2002" s="2">
        <v>0</v>
      </c>
      <c r="N2002" t="s">
        <v>445</v>
      </c>
      <c r="O2002" t="s">
        <v>446</v>
      </c>
      <c r="P2002" t="s">
        <v>69</v>
      </c>
      <c r="Q2002" t="s">
        <v>70</v>
      </c>
      <c r="S2002" t="s">
        <v>9438</v>
      </c>
      <c r="U2002" t="s">
        <v>45</v>
      </c>
      <c r="V2002" t="s">
        <v>46</v>
      </c>
      <c r="W2002" t="s">
        <v>445</v>
      </c>
      <c r="X2002" t="s">
        <v>446</v>
      </c>
      <c r="Y2002" t="s">
        <v>72</v>
      </c>
      <c r="Z2002" t="s">
        <v>68</v>
      </c>
      <c r="AA2002" t="s">
        <v>49</v>
      </c>
      <c r="AB2002" t="s">
        <v>50</v>
      </c>
      <c r="AC2002" s="2">
        <v>32726</v>
      </c>
      <c r="AD2002" t="s">
        <v>64</v>
      </c>
    </row>
    <row r="2003" spans="1:31" x14ac:dyDescent="0.25">
      <c r="A2003" t="s">
        <v>9439</v>
      </c>
      <c r="B2003" t="s">
        <v>9440</v>
      </c>
      <c r="C2003" t="s">
        <v>9440</v>
      </c>
      <c r="D2003" t="s">
        <v>553</v>
      </c>
      <c r="E2003" t="s">
        <v>167</v>
      </c>
      <c r="F2003" t="s">
        <v>9441</v>
      </c>
      <c r="G2003" t="s">
        <v>553</v>
      </c>
      <c r="H2003" t="s">
        <v>877</v>
      </c>
      <c r="J2003" s="2">
        <v>87268</v>
      </c>
      <c r="K2003" s="2">
        <v>400</v>
      </c>
      <c r="L2003" s="2">
        <v>21</v>
      </c>
      <c r="M2003" s="2">
        <v>0</v>
      </c>
      <c r="N2003" t="s">
        <v>879</v>
      </c>
      <c r="O2003" t="s">
        <v>877</v>
      </c>
      <c r="P2003" t="s">
        <v>69</v>
      </c>
      <c r="Q2003" t="s">
        <v>70</v>
      </c>
      <c r="S2003" t="s">
        <v>9442</v>
      </c>
      <c r="U2003" t="s">
        <v>45</v>
      </c>
      <c r="V2003" t="s">
        <v>46</v>
      </c>
      <c r="W2003" t="s">
        <v>879</v>
      </c>
      <c r="X2003" t="s">
        <v>877</v>
      </c>
      <c r="Y2003" t="s">
        <v>72</v>
      </c>
      <c r="Z2003" t="s">
        <v>68</v>
      </c>
      <c r="AA2003" t="s">
        <v>49</v>
      </c>
      <c r="AB2003" t="s">
        <v>50</v>
      </c>
      <c r="AC2003" s="2">
        <v>16394.939999999999</v>
      </c>
      <c r="AD2003" t="s">
        <v>9443</v>
      </c>
      <c r="AE2003" t="s">
        <v>115</v>
      </c>
    </row>
    <row r="2004" spans="1:31" hidden="1" x14ac:dyDescent="0.25">
      <c r="A2004" t="s">
        <v>9444</v>
      </c>
      <c r="B2004" t="s">
        <v>9445</v>
      </c>
      <c r="C2004" t="s">
        <v>9445</v>
      </c>
      <c r="F2004" t="s">
        <v>9446</v>
      </c>
      <c r="H2004" t="s">
        <v>8352</v>
      </c>
      <c r="I2004" t="s">
        <v>9447</v>
      </c>
      <c r="J2004" s="2">
        <v>327255</v>
      </c>
      <c r="K2004" s="2">
        <v>1500</v>
      </c>
      <c r="L2004" s="2">
        <v>21</v>
      </c>
      <c r="M2004" s="2">
        <v>0</v>
      </c>
      <c r="N2004" t="s">
        <v>8354</v>
      </c>
      <c r="O2004" t="s">
        <v>8352</v>
      </c>
      <c r="P2004" t="s">
        <v>3487</v>
      </c>
      <c r="Q2004" t="s">
        <v>3488</v>
      </c>
      <c r="S2004" t="s">
        <v>9448</v>
      </c>
      <c r="U2004" t="s">
        <v>45</v>
      </c>
      <c r="V2004" t="s">
        <v>46</v>
      </c>
      <c r="W2004" t="s">
        <v>8354</v>
      </c>
      <c r="X2004" t="s">
        <v>8352</v>
      </c>
      <c r="Y2004" t="s">
        <v>2399</v>
      </c>
      <c r="Z2004" t="s">
        <v>2400</v>
      </c>
      <c r="AA2004" t="s">
        <v>49</v>
      </c>
      <c r="AB2004" t="s">
        <v>50</v>
      </c>
      <c r="AC2004" s="2">
        <v>327255</v>
      </c>
      <c r="AD2004" t="s">
        <v>64</v>
      </c>
    </row>
    <row r="2005" spans="1:31" x14ac:dyDescent="0.25">
      <c r="A2005" t="s">
        <v>9449</v>
      </c>
      <c r="B2005" t="s">
        <v>9450</v>
      </c>
      <c r="C2005" t="s">
        <v>9450</v>
      </c>
      <c r="D2005" t="s">
        <v>2118</v>
      </c>
      <c r="E2005" t="s">
        <v>871</v>
      </c>
      <c r="F2005" t="s">
        <v>9451</v>
      </c>
      <c r="G2005" t="s">
        <v>2118</v>
      </c>
      <c r="H2005" t="s">
        <v>9452</v>
      </c>
      <c r="I2005" t="s">
        <v>9447</v>
      </c>
      <c r="J2005" s="2">
        <v>218170</v>
      </c>
      <c r="K2005" s="2">
        <v>1000</v>
      </c>
      <c r="L2005" s="2">
        <v>15</v>
      </c>
      <c r="M2005" s="2">
        <v>0</v>
      </c>
      <c r="N2005" t="s">
        <v>8354</v>
      </c>
      <c r="O2005" t="s">
        <v>8352</v>
      </c>
      <c r="P2005" t="s">
        <v>6143</v>
      </c>
      <c r="Q2005" t="s">
        <v>6144</v>
      </c>
      <c r="S2005" t="s">
        <v>9453</v>
      </c>
      <c r="U2005" t="s">
        <v>45</v>
      </c>
      <c r="V2005" t="s">
        <v>46</v>
      </c>
      <c r="W2005" t="s">
        <v>8354</v>
      </c>
      <c r="X2005" t="s">
        <v>8352</v>
      </c>
      <c r="Y2005" t="s">
        <v>2399</v>
      </c>
      <c r="Z2005" t="s">
        <v>2400</v>
      </c>
      <c r="AA2005" t="s">
        <v>49</v>
      </c>
      <c r="AB2005" t="s">
        <v>50</v>
      </c>
      <c r="AC2005" s="2">
        <v>132717.37</v>
      </c>
      <c r="AD2005" t="s">
        <v>9454</v>
      </c>
      <c r="AE2005" t="s">
        <v>115</v>
      </c>
    </row>
    <row r="2006" spans="1:31" x14ac:dyDescent="0.25">
      <c r="A2006" t="s">
        <v>9455</v>
      </c>
      <c r="B2006" t="s">
        <v>9456</v>
      </c>
      <c r="C2006" t="s">
        <v>9456</v>
      </c>
      <c r="D2006" t="s">
        <v>870</v>
      </c>
      <c r="E2006" t="s">
        <v>871</v>
      </c>
      <c r="F2006" t="s">
        <v>9457</v>
      </c>
      <c r="G2006" t="s">
        <v>873</v>
      </c>
      <c r="H2006" t="s">
        <v>1062</v>
      </c>
      <c r="J2006" s="2">
        <v>23775</v>
      </c>
      <c r="K2006" s="2">
        <v>100</v>
      </c>
      <c r="L2006" s="2">
        <v>15</v>
      </c>
      <c r="M2006" s="2">
        <v>0</v>
      </c>
      <c r="N2006" t="s">
        <v>1064</v>
      </c>
      <c r="O2006" t="s">
        <v>1062</v>
      </c>
      <c r="P2006" t="s">
        <v>304</v>
      </c>
      <c r="Q2006" t="s">
        <v>72</v>
      </c>
      <c r="S2006" t="s">
        <v>9458</v>
      </c>
      <c r="U2006" t="s">
        <v>45</v>
      </c>
      <c r="V2006" t="s">
        <v>46</v>
      </c>
      <c r="W2006" t="s">
        <v>1064</v>
      </c>
      <c r="X2006" t="s">
        <v>1062</v>
      </c>
      <c r="Y2006" t="s">
        <v>72</v>
      </c>
      <c r="Z2006" t="s">
        <v>68</v>
      </c>
      <c r="AA2006" t="s">
        <v>49</v>
      </c>
      <c r="AB2006" t="s">
        <v>50</v>
      </c>
      <c r="AC2006" s="2">
        <v>-146702.99</v>
      </c>
      <c r="AD2006" t="s">
        <v>9459</v>
      </c>
      <c r="AE2006" t="s">
        <v>115</v>
      </c>
    </row>
    <row r="2007" spans="1:31" x14ac:dyDescent="0.25">
      <c r="A2007" t="s">
        <v>9460</v>
      </c>
      <c r="B2007" t="s">
        <v>9461</v>
      </c>
      <c r="C2007" t="s">
        <v>9461</v>
      </c>
      <c r="D2007" t="s">
        <v>569</v>
      </c>
      <c r="E2007" t="s">
        <v>570</v>
      </c>
      <c r="F2007" t="s">
        <v>9462</v>
      </c>
      <c r="G2007" t="s">
        <v>297</v>
      </c>
      <c r="H2007" t="s">
        <v>7342</v>
      </c>
      <c r="I2007" t="s">
        <v>9463</v>
      </c>
      <c r="J2007" s="2">
        <v>389712</v>
      </c>
      <c r="K2007" s="2">
        <v>1600</v>
      </c>
      <c r="L2007" s="2">
        <v>21</v>
      </c>
      <c r="M2007" s="2">
        <v>0</v>
      </c>
      <c r="N2007" t="s">
        <v>7341</v>
      </c>
      <c r="O2007" t="s">
        <v>7342</v>
      </c>
      <c r="P2007" t="s">
        <v>6987</v>
      </c>
      <c r="Q2007" t="s">
        <v>6988</v>
      </c>
      <c r="S2007" t="s">
        <v>9464</v>
      </c>
      <c r="U2007" t="s">
        <v>45</v>
      </c>
      <c r="V2007" t="s">
        <v>46</v>
      </c>
      <c r="W2007" t="s">
        <v>7341</v>
      </c>
      <c r="X2007" t="s">
        <v>7342</v>
      </c>
      <c r="Y2007" t="s">
        <v>2399</v>
      </c>
      <c r="Z2007" t="s">
        <v>2400</v>
      </c>
      <c r="AA2007" t="s">
        <v>49</v>
      </c>
      <c r="AB2007" t="s">
        <v>50</v>
      </c>
      <c r="AC2007" s="2">
        <v>158911.34</v>
      </c>
      <c r="AD2007" t="s">
        <v>9465</v>
      </c>
      <c r="AE2007" t="s">
        <v>52</v>
      </c>
    </row>
    <row r="2008" spans="1:31" x14ac:dyDescent="0.25">
      <c r="A2008" t="s">
        <v>9466</v>
      </c>
      <c r="B2008" t="s">
        <v>9467</v>
      </c>
      <c r="C2008" t="s">
        <v>9467</v>
      </c>
      <c r="D2008" t="s">
        <v>1939</v>
      </c>
      <c r="E2008" t="s">
        <v>224</v>
      </c>
      <c r="F2008" t="s">
        <v>9468</v>
      </c>
      <c r="H2008" t="s">
        <v>79</v>
      </c>
      <c r="I2008" t="s">
        <v>9469</v>
      </c>
      <c r="J2008" s="2">
        <v>218170</v>
      </c>
      <c r="K2008" s="2">
        <v>1000</v>
      </c>
      <c r="L2008" s="2">
        <v>21</v>
      </c>
      <c r="M2008" s="2">
        <v>0</v>
      </c>
      <c r="N2008" t="s">
        <v>495</v>
      </c>
      <c r="O2008" t="s">
        <v>79</v>
      </c>
      <c r="P2008" t="s">
        <v>3487</v>
      </c>
      <c r="Q2008" t="s">
        <v>3488</v>
      </c>
      <c r="S2008" t="s">
        <v>9470</v>
      </c>
      <c r="U2008" t="s">
        <v>45</v>
      </c>
      <c r="V2008" t="s">
        <v>46</v>
      </c>
      <c r="W2008" t="s">
        <v>495</v>
      </c>
      <c r="X2008" t="s">
        <v>79</v>
      </c>
      <c r="Y2008" t="s">
        <v>79</v>
      </c>
      <c r="Z2008" t="s">
        <v>94</v>
      </c>
      <c r="AA2008" t="s">
        <v>49</v>
      </c>
      <c r="AB2008" t="s">
        <v>50</v>
      </c>
      <c r="AC2008" s="2">
        <v>218170</v>
      </c>
      <c r="AD2008" t="s">
        <v>64</v>
      </c>
    </row>
    <row r="2009" spans="1:31" x14ac:dyDescent="0.25">
      <c r="A2009" t="s">
        <v>9471</v>
      </c>
      <c r="B2009" t="s">
        <v>9472</v>
      </c>
      <c r="C2009" t="s">
        <v>9472</v>
      </c>
      <c r="D2009" t="s">
        <v>125</v>
      </c>
      <c r="E2009" t="s">
        <v>126</v>
      </c>
      <c r="F2009" t="s">
        <v>9473</v>
      </c>
      <c r="G2009" t="s">
        <v>125</v>
      </c>
      <c r="H2009" t="s">
        <v>6986</v>
      </c>
      <c r="J2009" s="2">
        <v>717170</v>
      </c>
      <c r="K2009" s="2">
        <v>2900</v>
      </c>
      <c r="L2009" s="2">
        <v>21</v>
      </c>
      <c r="M2009" s="2">
        <v>0</v>
      </c>
      <c r="N2009" t="s">
        <v>6985</v>
      </c>
      <c r="O2009" t="s">
        <v>6986</v>
      </c>
      <c r="P2009" t="s">
        <v>6987</v>
      </c>
      <c r="Q2009" t="s">
        <v>6988</v>
      </c>
      <c r="S2009" t="s">
        <v>9474</v>
      </c>
      <c r="U2009" t="s">
        <v>45</v>
      </c>
      <c r="V2009" t="s">
        <v>46</v>
      </c>
      <c r="W2009" t="s">
        <v>6985</v>
      </c>
      <c r="X2009" t="s">
        <v>6986</v>
      </c>
      <c r="Y2009" t="s">
        <v>2399</v>
      </c>
      <c r="Z2009" t="s">
        <v>2400</v>
      </c>
      <c r="AA2009" t="s">
        <v>49</v>
      </c>
      <c r="AB2009" t="s">
        <v>50</v>
      </c>
      <c r="AC2009" s="2">
        <v>78099.92</v>
      </c>
      <c r="AD2009" t="s">
        <v>9475</v>
      </c>
      <c r="AE2009" t="s">
        <v>52</v>
      </c>
    </row>
    <row r="2010" spans="1:31" x14ac:dyDescent="0.25">
      <c r="A2010" t="s">
        <v>9476</v>
      </c>
      <c r="B2010" t="s">
        <v>9477</v>
      </c>
      <c r="C2010" t="s">
        <v>9477</v>
      </c>
      <c r="D2010" t="s">
        <v>569</v>
      </c>
      <c r="E2010" t="s">
        <v>570</v>
      </c>
      <c r="F2010" t="s">
        <v>9478</v>
      </c>
      <c r="H2010" t="s">
        <v>41</v>
      </c>
      <c r="J2010" s="2">
        <v>10909</v>
      </c>
      <c r="K2010" s="2">
        <v>50</v>
      </c>
      <c r="L2010" s="2">
        <v>15</v>
      </c>
      <c r="M2010" s="2">
        <v>0</v>
      </c>
      <c r="N2010" t="s">
        <v>40</v>
      </c>
      <c r="O2010" t="s">
        <v>41</v>
      </c>
      <c r="P2010" t="s">
        <v>42</v>
      </c>
      <c r="Q2010" t="s">
        <v>43</v>
      </c>
      <c r="S2010" t="s">
        <v>9479</v>
      </c>
      <c r="U2010" t="s">
        <v>45</v>
      </c>
      <c r="V2010" t="s">
        <v>46</v>
      </c>
      <c r="W2010" t="s">
        <v>40</v>
      </c>
      <c r="X2010" t="s">
        <v>41</v>
      </c>
      <c r="Y2010" t="s">
        <v>47</v>
      </c>
      <c r="Z2010" t="s">
        <v>48</v>
      </c>
      <c r="AA2010" t="s">
        <v>141</v>
      </c>
      <c r="AB2010" t="s">
        <v>50</v>
      </c>
      <c r="AC2010" s="2">
        <v>10909</v>
      </c>
      <c r="AD2010" t="s">
        <v>64</v>
      </c>
    </row>
    <row r="2011" spans="1:31" x14ac:dyDescent="0.25">
      <c r="A2011" t="s">
        <v>9480</v>
      </c>
      <c r="B2011" t="s">
        <v>9481</v>
      </c>
      <c r="C2011" t="s">
        <v>9481</v>
      </c>
      <c r="D2011" t="s">
        <v>847</v>
      </c>
      <c r="E2011" t="s">
        <v>848</v>
      </c>
      <c r="F2011" t="s">
        <v>9482</v>
      </c>
      <c r="G2011" t="s">
        <v>847</v>
      </c>
      <c r="H2011" t="s">
        <v>7584</v>
      </c>
      <c r="I2011" t="s">
        <v>9483</v>
      </c>
      <c r="J2011" s="2">
        <v>109085</v>
      </c>
      <c r="K2011" s="2">
        <v>500</v>
      </c>
      <c r="L2011" s="2">
        <v>15</v>
      </c>
      <c r="M2011" s="2">
        <v>0</v>
      </c>
      <c r="N2011" t="s">
        <v>7585</v>
      </c>
      <c r="O2011" t="s">
        <v>7586</v>
      </c>
      <c r="P2011" t="s">
        <v>6143</v>
      </c>
      <c r="Q2011" t="s">
        <v>6144</v>
      </c>
      <c r="S2011" t="s">
        <v>9484</v>
      </c>
      <c r="U2011" t="s">
        <v>45</v>
      </c>
      <c r="V2011" t="s">
        <v>46</v>
      </c>
      <c r="W2011" t="s">
        <v>7585</v>
      </c>
      <c r="X2011" t="s">
        <v>7588</v>
      </c>
      <c r="Y2011" t="s">
        <v>5743</v>
      </c>
      <c r="Z2011" t="s">
        <v>5744</v>
      </c>
      <c r="AA2011" t="s">
        <v>49</v>
      </c>
      <c r="AB2011" t="s">
        <v>50</v>
      </c>
      <c r="AC2011" s="2">
        <v>52730.9</v>
      </c>
      <c r="AD2011" t="s">
        <v>9485</v>
      </c>
      <c r="AE2011" t="s">
        <v>52</v>
      </c>
    </row>
    <row r="2012" spans="1:31" hidden="1" x14ac:dyDescent="0.25">
      <c r="A2012" t="s">
        <v>9486</v>
      </c>
      <c r="B2012" t="s">
        <v>9487</v>
      </c>
      <c r="C2012" t="s">
        <v>9487</v>
      </c>
      <c r="F2012" t="s">
        <v>8820</v>
      </c>
      <c r="J2012" s="2">
        <v>1000</v>
      </c>
      <c r="K2012" s="2">
        <v>0</v>
      </c>
      <c r="L2012" s="2">
        <v>21</v>
      </c>
      <c r="M2012" s="2">
        <v>0</v>
      </c>
      <c r="N2012" t="s">
        <v>2159</v>
      </c>
      <c r="O2012" t="s">
        <v>2160</v>
      </c>
      <c r="P2012" t="s">
        <v>2320</v>
      </c>
      <c r="Q2012" t="s">
        <v>2321</v>
      </c>
      <c r="U2012" t="s">
        <v>45</v>
      </c>
      <c r="V2012" t="s">
        <v>46</v>
      </c>
      <c r="W2012" t="s">
        <v>2159</v>
      </c>
      <c r="X2012" t="s">
        <v>2160</v>
      </c>
      <c r="Y2012" t="s">
        <v>2157</v>
      </c>
      <c r="Z2012" t="s">
        <v>48</v>
      </c>
      <c r="AA2012" t="s">
        <v>49</v>
      </c>
      <c r="AB2012" t="s">
        <v>50</v>
      </c>
      <c r="AC2012" s="2">
        <v>1000</v>
      </c>
      <c r="AD2012" t="s">
        <v>64</v>
      </c>
    </row>
    <row r="2013" spans="1:31" x14ac:dyDescent="0.25">
      <c r="A2013" t="s">
        <v>9488</v>
      </c>
      <c r="B2013" t="s">
        <v>9489</v>
      </c>
      <c r="C2013" t="s">
        <v>9489</v>
      </c>
      <c r="D2013" t="s">
        <v>125</v>
      </c>
      <c r="E2013" t="s">
        <v>126</v>
      </c>
      <c r="F2013" t="s">
        <v>8820</v>
      </c>
      <c r="G2013" t="s">
        <v>125</v>
      </c>
      <c r="H2013" t="s">
        <v>2160</v>
      </c>
      <c r="I2013" t="s">
        <v>9490</v>
      </c>
      <c r="J2013" s="2">
        <v>7347778</v>
      </c>
      <c r="K2013" s="2">
        <v>29712</v>
      </c>
      <c r="L2013" s="2">
        <v>30</v>
      </c>
      <c r="M2013" s="2">
        <v>0</v>
      </c>
      <c r="N2013" t="s">
        <v>2159</v>
      </c>
      <c r="O2013" t="s">
        <v>2160</v>
      </c>
      <c r="P2013" t="s">
        <v>2320</v>
      </c>
      <c r="Q2013" t="s">
        <v>2321</v>
      </c>
      <c r="S2013" t="s">
        <v>8822</v>
      </c>
      <c r="U2013" t="s">
        <v>45</v>
      </c>
      <c r="V2013" t="s">
        <v>46</v>
      </c>
      <c r="W2013" t="s">
        <v>2159</v>
      </c>
      <c r="X2013" t="s">
        <v>2160</v>
      </c>
      <c r="Y2013" t="s">
        <v>2157</v>
      </c>
      <c r="Z2013" t="s">
        <v>48</v>
      </c>
      <c r="AA2013" t="s">
        <v>49</v>
      </c>
      <c r="AB2013" t="s">
        <v>50</v>
      </c>
      <c r="AC2013" s="2">
        <v>792017.86</v>
      </c>
      <c r="AD2013" t="s">
        <v>9491</v>
      </c>
      <c r="AE2013" t="s">
        <v>52</v>
      </c>
    </row>
    <row r="2014" spans="1:31" hidden="1" x14ac:dyDescent="0.25">
      <c r="I2014" t="s">
        <v>9492</v>
      </c>
      <c r="J2014" s="2">
        <v>21817</v>
      </c>
      <c r="K2014" s="2">
        <v>100</v>
      </c>
      <c r="L2014" s="2">
        <v>1</v>
      </c>
      <c r="M2014" s="2">
        <v>0</v>
      </c>
      <c r="S2014" t="s">
        <v>9493</v>
      </c>
      <c r="U2014" t="s">
        <v>45</v>
      </c>
      <c r="V2014" t="s">
        <v>46</v>
      </c>
      <c r="W2014" t="s">
        <v>445</v>
      </c>
      <c r="X2014" t="s">
        <v>446</v>
      </c>
      <c r="Y2014" t="s">
        <v>72</v>
      </c>
      <c r="Z2014" t="s">
        <v>68</v>
      </c>
      <c r="AA2014" t="s">
        <v>49</v>
      </c>
      <c r="AC2014" s="2"/>
    </row>
    <row r="2015" spans="1:31" x14ac:dyDescent="0.25">
      <c r="A2015" t="s">
        <v>9494</v>
      </c>
      <c r="B2015" t="s">
        <v>9495</v>
      </c>
      <c r="C2015" t="s">
        <v>9495</v>
      </c>
      <c r="D2015" t="s">
        <v>153</v>
      </c>
      <c r="E2015" t="s">
        <v>272</v>
      </c>
      <c r="F2015" t="s">
        <v>9496</v>
      </c>
      <c r="G2015" t="s">
        <v>153</v>
      </c>
      <c r="H2015" t="s">
        <v>1430</v>
      </c>
      <c r="I2015" t="s">
        <v>9497</v>
      </c>
      <c r="J2015" s="2">
        <v>231050</v>
      </c>
      <c r="K2015" s="2">
        <v>1000</v>
      </c>
      <c r="L2015" s="2">
        <v>15</v>
      </c>
      <c r="M2015" s="2">
        <v>0</v>
      </c>
      <c r="N2015" t="s">
        <v>1427</v>
      </c>
      <c r="O2015" t="s">
        <v>1428</v>
      </c>
      <c r="P2015" t="s">
        <v>82</v>
      </c>
      <c r="Q2015" t="s">
        <v>83</v>
      </c>
      <c r="S2015" t="s">
        <v>9498</v>
      </c>
      <c r="U2015" t="s">
        <v>45</v>
      </c>
      <c r="V2015" t="s">
        <v>46</v>
      </c>
      <c r="W2015" t="s">
        <v>1427</v>
      </c>
      <c r="X2015" t="s">
        <v>1430</v>
      </c>
      <c r="Y2015" t="s">
        <v>85</v>
      </c>
      <c r="Z2015" t="s">
        <v>86</v>
      </c>
      <c r="AA2015" t="s">
        <v>49</v>
      </c>
      <c r="AB2015" t="s">
        <v>50</v>
      </c>
      <c r="AC2015" s="2">
        <v>66035.91</v>
      </c>
      <c r="AD2015" t="s">
        <v>9499</v>
      </c>
      <c r="AE2015" t="s">
        <v>115</v>
      </c>
    </row>
    <row r="2016" spans="1:31" hidden="1" x14ac:dyDescent="0.25">
      <c r="I2016" t="s">
        <v>9500</v>
      </c>
      <c r="J2016" s="2">
        <v>1000</v>
      </c>
      <c r="K2016" s="2">
        <v>0</v>
      </c>
      <c r="L2016" s="2">
        <v>21</v>
      </c>
      <c r="M2016" s="2">
        <v>0</v>
      </c>
      <c r="S2016" t="s">
        <v>9501</v>
      </c>
      <c r="U2016" t="s">
        <v>45</v>
      </c>
      <c r="V2016" t="s">
        <v>46</v>
      </c>
      <c r="W2016" t="s">
        <v>8403</v>
      </c>
      <c r="X2016" t="s">
        <v>8401</v>
      </c>
      <c r="Y2016" t="s">
        <v>2399</v>
      </c>
      <c r="Z2016" t="s">
        <v>2400</v>
      </c>
      <c r="AA2016" t="s">
        <v>49</v>
      </c>
      <c r="AC2016" s="2"/>
    </row>
    <row r="2017" spans="1:31" x14ac:dyDescent="0.25">
      <c r="A2017" t="s">
        <v>9502</v>
      </c>
      <c r="B2017" t="s">
        <v>9503</v>
      </c>
      <c r="C2017" t="s">
        <v>9503</v>
      </c>
      <c r="D2017" t="s">
        <v>153</v>
      </c>
      <c r="E2017" t="s">
        <v>272</v>
      </c>
      <c r="F2017" t="s">
        <v>9504</v>
      </c>
      <c r="G2017" t="s">
        <v>299</v>
      </c>
      <c r="H2017" t="s">
        <v>6986</v>
      </c>
      <c r="I2017" t="s">
        <v>9505</v>
      </c>
      <c r="J2017" s="2">
        <v>327255</v>
      </c>
      <c r="K2017" s="2">
        <v>1500</v>
      </c>
      <c r="L2017" s="2">
        <v>15</v>
      </c>
      <c r="M2017" s="2">
        <v>0</v>
      </c>
      <c r="N2017" t="s">
        <v>6985</v>
      </c>
      <c r="O2017" t="s">
        <v>6986</v>
      </c>
      <c r="P2017" t="s">
        <v>6987</v>
      </c>
      <c r="Q2017" t="s">
        <v>6988</v>
      </c>
      <c r="S2017" t="s">
        <v>9506</v>
      </c>
      <c r="U2017" t="s">
        <v>45</v>
      </c>
      <c r="V2017" t="s">
        <v>46</v>
      </c>
      <c r="W2017" t="s">
        <v>6985</v>
      </c>
      <c r="X2017" t="s">
        <v>6986</v>
      </c>
      <c r="Y2017" t="s">
        <v>2399</v>
      </c>
      <c r="Z2017" t="s">
        <v>2400</v>
      </c>
      <c r="AA2017" t="s">
        <v>49</v>
      </c>
      <c r="AB2017" t="s">
        <v>50</v>
      </c>
      <c r="AC2017" s="2">
        <v>181112.9</v>
      </c>
      <c r="AD2017" t="s">
        <v>9507</v>
      </c>
      <c r="AE2017" t="s">
        <v>115</v>
      </c>
    </row>
    <row r="2018" spans="1:31" x14ac:dyDescent="0.25">
      <c r="A2018" t="s">
        <v>9508</v>
      </c>
      <c r="B2018" t="s">
        <v>9509</v>
      </c>
      <c r="C2018" t="s">
        <v>9509</v>
      </c>
      <c r="D2018" t="s">
        <v>153</v>
      </c>
      <c r="E2018" t="s">
        <v>272</v>
      </c>
      <c r="F2018" t="s">
        <v>9510</v>
      </c>
      <c r="G2018" t="s">
        <v>553</v>
      </c>
      <c r="H2018" t="s">
        <v>404</v>
      </c>
      <c r="I2018" t="s">
        <v>9511</v>
      </c>
      <c r="J2018" s="2">
        <v>118875</v>
      </c>
      <c r="K2018" s="2">
        <v>500</v>
      </c>
      <c r="L2018" s="2">
        <v>7</v>
      </c>
      <c r="M2018" s="2">
        <v>0</v>
      </c>
      <c r="N2018" t="s">
        <v>403</v>
      </c>
      <c r="O2018" t="s">
        <v>404</v>
      </c>
      <c r="P2018" t="s">
        <v>158</v>
      </c>
      <c r="Q2018" t="s">
        <v>159</v>
      </c>
      <c r="S2018" t="s">
        <v>9512</v>
      </c>
      <c r="U2018" t="s">
        <v>45</v>
      </c>
      <c r="V2018" t="s">
        <v>46</v>
      </c>
      <c r="W2018" t="s">
        <v>403</v>
      </c>
      <c r="X2018" t="s">
        <v>404</v>
      </c>
      <c r="Y2018" t="s">
        <v>161</v>
      </c>
      <c r="Z2018" t="s">
        <v>162</v>
      </c>
      <c r="AA2018" t="s">
        <v>49</v>
      </c>
      <c r="AB2018" t="s">
        <v>50</v>
      </c>
      <c r="AC2018" s="2">
        <v>81707.5</v>
      </c>
      <c r="AD2018" t="s">
        <v>9513</v>
      </c>
    </row>
    <row r="2019" spans="1:31" x14ac:dyDescent="0.25">
      <c r="A2019" t="s">
        <v>9514</v>
      </c>
      <c r="B2019" t="s">
        <v>9515</v>
      </c>
      <c r="C2019" t="s">
        <v>9515</v>
      </c>
      <c r="D2019" t="s">
        <v>262</v>
      </c>
      <c r="E2019" t="s">
        <v>134</v>
      </c>
      <c r="F2019" t="s">
        <v>9516</v>
      </c>
      <c r="G2019" t="s">
        <v>1752</v>
      </c>
      <c r="H2019" t="s">
        <v>9517</v>
      </c>
      <c r="I2019" t="s">
        <v>9518</v>
      </c>
      <c r="J2019" s="2">
        <v>65451</v>
      </c>
      <c r="K2019" s="2">
        <v>300</v>
      </c>
      <c r="L2019" s="2">
        <v>21</v>
      </c>
      <c r="M2019" s="2">
        <v>0</v>
      </c>
      <c r="N2019" t="s">
        <v>9519</v>
      </c>
      <c r="O2019" t="s">
        <v>9517</v>
      </c>
      <c r="P2019" t="s">
        <v>256</v>
      </c>
      <c r="Q2019" t="s">
        <v>255</v>
      </c>
      <c r="S2019" t="s">
        <v>9520</v>
      </c>
      <c r="U2019" t="s">
        <v>45</v>
      </c>
      <c r="V2019" t="s">
        <v>46</v>
      </c>
      <c r="W2019" t="s">
        <v>9519</v>
      </c>
      <c r="X2019" t="s">
        <v>9517</v>
      </c>
      <c r="Y2019" t="s">
        <v>258</v>
      </c>
      <c r="Z2019" t="s">
        <v>259</v>
      </c>
      <c r="AA2019" t="s">
        <v>49</v>
      </c>
      <c r="AB2019" t="s">
        <v>50</v>
      </c>
      <c r="AC2019" s="2">
        <v>65451</v>
      </c>
      <c r="AD2019" t="s">
        <v>64</v>
      </c>
    </row>
    <row r="2020" spans="1:31" hidden="1" x14ac:dyDescent="0.25">
      <c r="I2020" t="s">
        <v>5658</v>
      </c>
      <c r="J2020" s="2">
        <v>218</v>
      </c>
      <c r="K2020" s="2">
        <v>1</v>
      </c>
      <c r="L2020" s="2">
        <v>7</v>
      </c>
      <c r="M2020" s="2">
        <v>0</v>
      </c>
      <c r="S2020" t="s">
        <v>9521</v>
      </c>
      <c r="U2020" t="s">
        <v>45</v>
      </c>
      <c r="V2020" t="s">
        <v>46</v>
      </c>
      <c r="W2020" t="s">
        <v>5112</v>
      </c>
      <c r="X2020" t="s">
        <v>5110</v>
      </c>
      <c r="Y2020" t="s">
        <v>137</v>
      </c>
      <c r="Z2020" t="s">
        <v>717</v>
      </c>
      <c r="AA2020" t="s">
        <v>49</v>
      </c>
      <c r="AC2020" s="2"/>
    </row>
    <row r="2021" spans="1:31" x14ac:dyDescent="0.25">
      <c r="A2021" s="15" t="s">
        <v>9522</v>
      </c>
      <c r="B2021" s="15" t="s">
        <v>9523</v>
      </c>
      <c r="C2021" s="15" t="s">
        <v>9523</v>
      </c>
      <c r="D2021" s="15" t="s">
        <v>55</v>
      </c>
      <c r="E2021" s="15" t="s">
        <v>56</v>
      </c>
      <c r="F2021" s="15" t="s">
        <v>9524</v>
      </c>
      <c r="H2021" s="15" t="s">
        <v>41</v>
      </c>
      <c r="J2021" s="2">
        <v>65451</v>
      </c>
      <c r="K2021" s="2">
        <v>300</v>
      </c>
      <c r="L2021" s="2">
        <v>1</v>
      </c>
      <c r="M2021" s="2">
        <v>0</v>
      </c>
      <c r="N2021" s="15" t="s">
        <v>40</v>
      </c>
      <c r="O2021" s="15" t="s">
        <v>41</v>
      </c>
      <c r="P2021" s="15" t="s">
        <v>4315</v>
      </c>
      <c r="Q2021" s="15" t="s">
        <v>4316</v>
      </c>
      <c r="S2021" t="s">
        <v>9525</v>
      </c>
      <c r="U2021" t="s">
        <v>45</v>
      </c>
      <c r="V2021" t="s">
        <v>46</v>
      </c>
      <c r="W2021" t="s">
        <v>40</v>
      </c>
      <c r="X2021" t="s">
        <v>41</v>
      </c>
      <c r="Y2021" t="s">
        <v>47</v>
      </c>
      <c r="Z2021" t="s">
        <v>48</v>
      </c>
      <c r="AA2021" t="s">
        <v>49</v>
      </c>
      <c r="AB2021" s="15" t="s">
        <v>50</v>
      </c>
      <c r="AC2021" s="16">
        <v>65450.8</v>
      </c>
      <c r="AD2021" s="15" t="s">
        <v>9526</v>
      </c>
      <c r="AE2021" s="15" t="s">
        <v>115</v>
      </c>
    </row>
    <row r="2022" spans="1:31" hidden="1" x14ac:dyDescent="0.25">
      <c r="I2022" t="s">
        <v>9527</v>
      </c>
      <c r="J2022" s="2">
        <v>218170</v>
      </c>
      <c r="K2022" s="2">
        <v>1000</v>
      </c>
      <c r="L2022" s="2">
        <v>21</v>
      </c>
      <c r="M2022" s="2">
        <v>0</v>
      </c>
      <c r="S2022" t="s">
        <v>9528</v>
      </c>
      <c r="U2022" t="s">
        <v>45</v>
      </c>
      <c r="V2022" t="s">
        <v>46</v>
      </c>
      <c r="W2022" t="s">
        <v>7276</v>
      </c>
      <c r="X2022" t="s">
        <v>7277</v>
      </c>
      <c r="Y2022" t="s">
        <v>79</v>
      </c>
      <c r="Z2022" t="s">
        <v>94</v>
      </c>
      <c r="AA2022" t="s">
        <v>49</v>
      </c>
      <c r="AC2022" s="2"/>
    </row>
    <row r="2023" spans="1:31" hidden="1" x14ac:dyDescent="0.25">
      <c r="I2023" t="s">
        <v>9529</v>
      </c>
      <c r="J2023" s="2">
        <v>109085</v>
      </c>
      <c r="K2023" s="2">
        <v>500</v>
      </c>
      <c r="L2023" s="2">
        <v>21</v>
      </c>
      <c r="M2023" s="2">
        <v>0</v>
      </c>
      <c r="S2023" t="s">
        <v>9531</v>
      </c>
      <c r="U2023" t="s">
        <v>45</v>
      </c>
      <c r="V2023" t="s">
        <v>46</v>
      </c>
      <c r="W2023" t="s">
        <v>9530</v>
      </c>
      <c r="X2023" t="s">
        <v>9532</v>
      </c>
      <c r="Y2023" t="s">
        <v>5743</v>
      </c>
      <c r="Z2023" t="s">
        <v>5744</v>
      </c>
      <c r="AA2023" t="s">
        <v>49</v>
      </c>
      <c r="AC2023" s="2"/>
    </row>
    <row r="2024" spans="1:31" x14ac:dyDescent="0.25">
      <c r="A2024" t="s">
        <v>9533</v>
      </c>
      <c r="B2024" t="s">
        <v>9534</v>
      </c>
      <c r="C2024" t="s">
        <v>9534</v>
      </c>
      <c r="D2024" t="s">
        <v>1754</v>
      </c>
      <c r="E2024" t="s">
        <v>77</v>
      </c>
      <c r="F2024" t="s">
        <v>9535</v>
      </c>
      <c r="H2024" t="s">
        <v>2572</v>
      </c>
      <c r="I2024" t="s">
        <v>9536</v>
      </c>
      <c r="J2024" s="2">
        <v>43634</v>
      </c>
      <c r="K2024" s="2">
        <v>200</v>
      </c>
      <c r="L2024" s="2">
        <v>15</v>
      </c>
      <c r="M2024" s="2">
        <v>0</v>
      </c>
      <c r="N2024" t="s">
        <v>2571</v>
      </c>
      <c r="O2024" t="s">
        <v>2572</v>
      </c>
      <c r="P2024" t="s">
        <v>6987</v>
      </c>
      <c r="Q2024" t="s">
        <v>6988</v>
      </c>
      <c r="S2024" t="s">
        <v>9537</v>
      </c>
      <c r="U2024" t="s">
        <v>45</v>
      </c>
      <c r="V2024" t="s">
        <v>46</v>
      </c>
      <c r="W2024" t="s">
        <v>2571</v>
      </c>
      <c r="X2024" t="s">
        <v>2572</v>
      </c>
      <c r="Y2024" t="s">
        <v>2399</v>
      </c>
      <c r="Z2024" t="s">
        <v>2400</v>
      </c>
      <c r="AA2024" t="s">
        <v>49</v>
      </c>
      <c r="AB2024" t="s">
        <v>50</v>
      </c>
      <c r="AC2024" s="2">
        <v>43634</v>
      </c>
      <c r="AD2024" t="s">
        <v>64</v>
      </c>
    </row>
    <row r="2025" spans="1:31" hidden="1" x14ac:dyDescent="0.25">
      <c r="A2025" t="s">
        <v>9538</v>
      </c>
      <c r="B2025" t="s">
        <v>9539</v>
      </c>
      <c r="C2025" t="s">
        <v>9539</v>
      </c>
      <c r="F2025" t="s">
        <v>9540</v>
      </c>
      <c r="H2025" t="s">
        <v>7518</v>
      </c>
      <c r="I2025" t="s">
        <v>9541</v>
      </c>
      <c r="J2025" s="2">
        <v>65451</v>
      </c>
      <c r="K2025" s="2">
        <v>300</v>
      </c>
      <c r="L2025" s="2">
        <v>15</v>
      </c>
      <c r="M2025" s="2">
        <v>0</v>
      </c>
      <c r="N2025" t="s">
        <v>7517</v>
      </c>
      <c r="O2025" t="s">
        <v>7518</v>
      </c>
      <c r="P2025" t="s">
        <v>1212</v>
      </c>
      <c r="Q2025" t="s">
        <v>1213</v>
      </c>
      <c r="S2025" t="s">
        <v>9542</v>
      </c>
      <c r="U2025" t="s">
        <v>45</v>
      </c>
      <c r="V2025" t="s">
        <v>46</v>
      </c>
      <c r="W2025" t="s">
        <v>7517</v>
      </c>
      <c r="X2025" t="s">
        <v>7518</v>
      </c>
      <c r="Y2025" t="s">
        <v>1215</v>
      </c>
      <c r="Z2025" t="s">
        <v>1216</v>
      </c>
      <c r="AA2025" t="s">
        <v>49</v>
      </c>
      <c r="AB2025" t="s">
        <v>50</v>
      </c>
      <c r="AC2025" s="2">
        <v>65451</v>
      </c>
      <c r="AD2025" t="s">
        <v>64</v>
      </c>
    </row>
    <row r="2026" spans="1:31" x14ac:dyDescent="0.25">
      <c r="A2026" t="s">
        <v>9543</v>
      </c>
      <c r="B2026" t="s">
        <v>9544</v>
      </c>
      <c r="C2026" t="s">
        <v>9544</v>
      </c>
      <c r="D2026" t="s">
        <v>35</v>
      </c>
      <c r="E2026" t="s">
        <v>36</v>
      </c>
      <c r="F2026" t="s">
        <v>9545</v>
      </c>
      <c r="G2026" t="s">
        <v>178</v>
      </c>
      <c r="H2026" t="s">
        <v>1062</v>
      </c>
      <c r="I2026" t="s">
        <v>9546</v>
      </c>
      <c r="J2026" s="2">
        <v>109085</v>
      </c>
      <c r="K2026" s="2">
        <v>500</v>
      </c>
      <c r="L2026" s="2">
        <v>1</v>
      </c>
      <c r="M2026" s="2">
        <v>0</v>
      </c>
      <c r="N2026" t="s">
        <v>1064</v>
      </c>
      <c r="O2026" t="s">
        <v>1062</v>
      </c>
      <c r="P2026" t="s">
        <v>304</v>
      </c>
      <c r="Q2026" t="s">
        <v>72</v>
      </c>
      <c r="S2026" t="s">
        <v>9547</v>
      </c>
      <c r="U2026" t="s">
        <v>45</v>
      </c>
      <c r="V2026" t="s">
        <v>46</v>
      </c>
      <c r="W2026" t="s">
        <v>1064</v>
      </c>
      <c r="X2026" t="s">
        <v>1062</v>
      </c>
      <c r="Y2026" t="s">
        <v>72</v>
      </c>
      <c r="Z2026" t="s">
        <v>68</v>
      </c>
      <c r="AA2026" t="s">
        <v>49</v>
      </c>
      <c r="AB2026" t="s">
        <v>50</v>
      </c>
      <c r="AC2026" s="2">
        <v>109085</v>
      </c>
      <c r="AD2026" t="s">
        <v>64</v>
      </c>
    </row>
    <row r="2027" spans="1:31" x14ac:dyDescent="0.25">
      <c r="A2027" t="s">
        <v>9548</v>
      </c>
      <c r="B2027" t="s">
        <v>9549</v>
      </c>
      <c r="C2027" t="s">
        <v>9549</v>
      </c>
      <c r="D2027" t="s">
        <v>125</v>
      </c>
      <c r="E2027" t="s">
        <v>126</v>
      </c>
      <c r="F2027" t="s">
        <v>9550</v>
      </c>
      <c r="G2027" t="s">
        <v>125</v>
      </c>
      <c r="H2027" t="s">
        <v>7518</v>
      </c>
      <c r="I2027" t="s">
        <v>9551</v>
      </c>
      <c r="J2027" s="2">
        <v>174536</v>
      </c>
      <c r="K2027" s="2">
        <v>800</v>
      </c>
      <c r="L2027" s="2">
        <v>15</v>
      </c>
      <c r="M2027" s="2">
        <v>0</v>
      </c>
      <c r="N2027" t="s">
        <v>7517</v>
      </c>
      <c r="O2027" t="s">
        <v>7518</v>
      </c>
      <c r="P2027" t="s">
        <v>1212</v>
      </c>
      <c r="Q2027" t="s">
        <v>1213</v>
      </c>
      <c r="S2027" t="s">
        <v>9552</v>
      </c>
      <c r="U2027" t="s">
        <v>45</v>
      </c>
      <c r="V2027" t="s">
        <v>46</v>
      </c>
      <c r="W2027" t="s">
        <v>7517</v>
      </c>
      <c r="X2027" t="s">
        <v>7518</v>
      </c>
      <c r="Y2027" t="s">
        <v>1215</v>
      </c>
      <c r="Z2027" t="s">
        <v>1216</v>
      </c>
      <c r="AA2027" t="s">
        <v>49</v>
      </c>
      <c r="AB2027" t="s">
        <v>50</v>
      </c>
      <c r="AC2027" s="2">
        <v>99495.16</v>
      </c>
      <c r="AD2027" t="s">
        <v>9553</v>
      </c>
      <c r="AE2027" t="s">
        <v>115</v>
      </c>
    </row>
    <row r="2028" spans="1:31" x14ac:dyDescent="0.25">
      <c r="A2028" t="s">
        <v>9554</v>
      </c>
      <c r="B2028" t="s">
        <v>9555</v>
      </c>
      <c r="C2028" t="s">
        <v>9555</v>
      </c>
      <c r="D2028" t="s">
        <v>1633</v>
      </c>
      <c r="E2028" t="s">
        <v>1502</v>
      </c>
      <c r="F2028" t="s">
        <v>9556</v>
      </c>
      <c r="G2028" t="s">
        <v>4647</v>
      </c>
      <c r="H2028" t="s">
        <v>9557</v>
      </c>
      <c r="I2028" t="s">
        <v>9558</v>
      </c>
      <c r="J2028" s="2">
        <v>327255</v>
      </c>
      <c r="K2028" s="2">
        <v>1500</v>
      </c>
      <c r="L2028" s="2">
        <v>25</v>
      </c>
      <c r="M2028" s="2">
        <v>0</v>
      </c>
      <c r="N2028" t="s">
        <v>7837</v>
      </c>
      <c r="O2028" t="s">
        <v>7838</v>
      </c>
      <c r="P2028" t="s">
        <v>3487</v>
      </c>
      <c r="Q2028" t="s">
        <v>3488</v>
      </c>
      <c r="S2028" t="s">
        <v>9559</v>
      </c>
      <c r="U2028" t="s">
        <v>45</v>
      </c>
      <c r="V2028" t="s">
        <v>46</v>
      </c>
      <c r="W2028" t="s">
        <v>7837</v>
      </c>
      <c r="X2028" t="s">
        <v>7838</v>
      </c>
      <c r="Y2028" t="s">
        <v>79</v>
      </c>
      <c r="Z2028" t="s">
        <v>94</v>
      </c>
      <c r="AA2028" t="s">
        <v>49</v>
      </c>
      <c r="AB2028" t="s">
        <v>50</v>
      </c>
      <c r="AC2028" s="2">
        <v>320186.23999999999</v>
      </c>
      <c r="AD2028" t="s">
        <v>9560</v>
      </c>
    </row>
    <row r="2029" spans="1:31" x14ac:dyDescent="0.25">
      <c r="A2029" s="15" t="s">
        <v>9561</v>
      </c>
      <c r="B2029" s="15" t="s">
        <v>9562</v>
      </c>
      <c r="C2029" s="15" t="s">
        <v>9562</v>
      </c>
      <c r="D2029" s="15" t="s">
        <v>55</v>
      </c>
      <c r="E2029" s="15" t="s">
        <v>56</v>
      </c>
      <c r="F2029" s="15" t="s">
        <v>9563</v>
      </c>
      <c r="H2029" s="15" t="s">
        <v>9564</v>
      </c>
      <c r="I2029" t="s">
        <v>9565</v>
      </c>
      <c r="J2029" s="2">
        <v>218</v>
      </c>
      <c r="K2029" s="2">
        <v>1</v>
      </c>
      <c r="L2029" s="2">
        <v>1</v>
      </c>
      <c r="M2029" s="2">
        <v>0</v>
      </c>
      <c r="N2029" s="15" t="s">
        <v>7568</v>
      </c>
      <c r="O2029" s="15" t="s">
        <v>7569</v>
      </c>
      <c r="P2029" s="15" t="s">
        <v>256</v>
      </c>
      <c r="Q2029" s="15" t="s">
        <v>255</v>
      </c>
      <c r="S2029" t="s">
        <v>9566</v>
      </c>
      <c r="U2029" t="s">
        <v>45</v>
      </c>
      <c r="V2029" t="s">
        <v>46</v>
      </c>
      <c r="W2029" t="s">
        <v>7568</v>
      </c>
      <c r="X2029" t="s">
        <v>7569</v>
      </c>
      <c r="Y2029" t="s">
        <v>137</v>
      </c>
      <c r="Z2029" t="s">
        <v>717</v>
      </c>
      <c r="AA2029" t="s">
        <v>49</v>
      </c>
      <c r="AB2029" s="15" t="s">
        <v>50</v>
      </c>
      <c r="AC2029" s="16">
        <v>-29734.81</v>
      </c>
      <c r="AD2029" s="15" t="s">
        <v>9567</v>
      </c>
      <c r="AE2029" s="15" t="s">
        <v>115</v>
      </c>
    </row>
    <row r="2030" spans="1:31" x14ac:dyDescent="0.25">
      <c r="A2030" t="s">
        <v>9568</v>
      </c>
      <c r="B2030" t="s">
        <v>9569</v>
      </c>
      <c r="C2030" t="s">
        <v>9569</v>
      </c>
      <c r="D2030" t="s">
        <v>847</v>
      </c>
      <c r="E2030" t="s">
        <v>848</v>
      </c>
      <c r="F2030" t="s">
        <v>9570</v>
      </c>
      <c r="G2030" t="s">
        <v>847</v>
      </c>
      <c r="H2030" t="s">
        <v>9571</v>
      </c>
      <c r="I2030" t="s">
        <v>9572</v>
      </c>
      <c r="J2030" s="2">
        <v>1138193</v>
      </c>
      <c r="K2030" s="2">
        <v>5217</v>
      </c>
      <c r="L2030" s="2">
        <v>18</v>
      </c>
      <c r="M2030" s="2">
        <v>0</v>
      </c>
      <c r="N2030" t="s">
        <v>9573</v>
      </c>
      <c r="O2030" t="s">
        <v>9571</v>
      </c>
      <c r="P2030" t="s">
        <v>3487</v>
      </c>
      <c r="Q2030" t="s">
        <v>3488</v>
      </c>
      <c r="S2030" t="s">
        <v>9574</v>
      </c>
      <c r="U2030" t="s">
        <v>45</v>
      </c>
      <c r="V2030" t="s">
        <v>46</v>
      </c>
      <c r="W2030" t="s">
        <v>9573</v>
      </c>
      <c r="X2030" t="s">
        <v>9571</v>
      </c>
      <c r="Y2030" t="s">
        <v>79</v>
      </c>
      <c r="Z2030" t="s">
        <v>94</v>
      </c>
      <c r="AA2030" t="s">
        <v>49</v>
      </c>
      <c r="AB2030" t="s">
        <v>50</v>
      </c>
      <c r="AC2030" s="2">
        <v>1102402.6499999999</v>
      </c>
      <c r="AD2030" t="s">
        <v>9575</v>
      </c>
      <c r="AE2030" t="s">
        <v>52</v>
      </c>
    </row>
    <row r="2031" spans="1:31" hidden="1" x14ac:dyDescent="0.25">
      <c r="A2031" t="s">
        <v>9576</v>
      </c>
      <c r="B2031" t="s">
        <v>9577</v>
      </c>
      <c r="C2031" t="s">
        <v>9577</v>
      </c>
      <c r="D2031" t="s">
        <v>55</v>
      </c>
      <c r="E2031" t="s">
        <v>56</v>
      </c>
      <c r="F2031" t="s">
        <v>9578</v>
      </c>
      <c r="J2031" s="2">
        <v>1000</v>
      </c>
      <c r="K2031" s="2">
        <v>0</v>
      </c>
      <c r="L2031" s="2">
        <v>1</v>
      </c>
      <c r="M2031" s="2">
        <v>0</v>
      </c>
      <c r="N2031" t="s">
        <v>5741</v>
      </c>
      <c r="O2031" t="s">
        <v>5739</v>
      </c>
      <c r="P2031" t="s">
        <v>5966</v>
      </c>
      <c r="Q2031" t="s">
        <v>5739</v>
      </c>
      <c r="U2031" t="s">
        <v>45</v>
      </c>
      <c r="V2031" t="s">
        <v>46</v>
      </c>
      <c r="W2031" t="s">
        <v>5741</v>
      </c>
      <c r="X2031" t="s">
        <v>5739</v>
      </c>
      <c r="Y2031" t="s">
        <v>5743</v>
      </c>
      <c r="Z2031" t="s">
        <v>5744</v>
      </c>
      <c r="AA2031" t="s">
        <v>49</v>
      </c>
      <c r="AB2031" t="s">
        <v>50</v>
      </c>
      <c r="AC2031" s="2">
        <v>1000</v>
      </c>
      <c r="AD2031" t="s">
        <v>64</v>
      </c>
    </row>
    <row r="2032" spans="1:31" x14ac:dyDescent="0.25">
      <c r="A2032" t="s">
        <v>9579</v>
      </c>
      <c r="B2032" t="s">
        <v>9580</v>
      </c>
      <c r="C2032" t="s">
        <v>9581</v>
      </c>
      <c r="D2032" t="s">
        <v>169</v>
      </c>
      <c r="E2032" t="s">
        <v>190</v>
      </c>
      <c r="F2032" t="s">
        <v>9578</v>
      </c>
      <c r="G2032" t="s">
        <v>555</v>
      </c>
      <c r="H2032" t="s">
        <v>6058</v>
      </c>
      <c r="I2032" t="s">
        <v>9582</v>
      </c>
      <c r="J2032" s="2">
        <v>193750</v>
      </c>
      <c r="K2032" s="2">
        <v>863.49</v>
      </c>
      <c r="L2032" s="2">
        <v>30</v>
      </c>
      <c r="M2032" s="2">
        <v>0</v>
      </c>
      <c r="N2032" t="s">
        <v>6057</v>
      </c>
      <c r="O2032" t="s">
        <v>6058</v>
      </c>
      <c r="P2032" t="s">
        <v>5966</v>
      </c>
      <c r="Q2032" t="s">
        <v>5739</v>
      </c>
      <c r="S2032" t="s">
        <v>9583</v>
      </c>
      <c r="U2032" t="s">
        <v>45</v>
      </c>
      <c r="V2032" t="s">
        <v>46</v>
      </c>
      <c r="W2032" t="s">
        <v>6057</v>
      </c>
      <c r="X2032" t="s">
        <v>6058</v>
      </c>
      <c r="Y2032" t="s">
        <v>5743</v>
      </c>
      <c r="Z2032" t="s">
        <v>5744</v>
      </c>
      <c r="AA2032" t="s">
        <v>49</v>
      </c>
      <c r="AB2032" t="s">
        <v>50</v>
      </c>
      <c r="AC2032" s="2">
        <v>180504.25</v>
      </c>
      <c r="AD2032" t="s">
        <v>9584</v>
      </c>
      <c r="AE2032" t="s">
        <v>52</v>
      </c>
    </row>
    <row r="2033" spans="1:31" x14ac:dyDescent="0.25">
      <c r="A2033" t="s">
        <v>9585</v>
      </c>
      <c r="B2033" t="s">
        <v>9586</v>
      </c>
      <c r="C2033" t="s">
        <v>9586</v>
      </c>
      <c r="D2033" t="s">
        <v>847</v>
      </c>
      <c r="E2033" t="s">
        <v>848</v>
      </c>
      <c r="F2033" t="s">
        <v>9578</v>
      </c>
      <c r="G2033" t="s">
        <v>1245</v>
      </c>
      <c r="H2033" t="s">
        <v>9587</v>
      </c>
      <c r="I2033" t="s">
        <v>9582</v>
      </c>
      <c r="J2033" s="2">
        <v>218170</v>
      </c>
      <c r="K2033" s="2">
        <v>972.32</v>
      </c>
      <c r="L2033" s="2">
        <v>30</v>
      </c>
      <c r="M2033" s="2">
        <v>0</v>
      </c>
      <c r="N2033" t="s">
        <v>9588</v>
      </c>
      <c r="O2033" t="s">
        <v>9589</v>
      </c>
      <c r="P2033" t="s">
        <v>5966</v>
      </c>
      <c r="Q2033" t="s">
        <v>5739</v>
      </c>
      <c r="S2033" t="s">
        <v>9590</v>
      </c>
      <c r="U2033" t="s">
        <v>45</v>
      </c>
      <c r="V2033" t="s">
        <v>46</v>
      </c>
      <c r="W2033" t="s">
        <v>9588</v>
      </c>
      <c r="X2033" t="s">
        <v>9587</v>
      </c>
      <c r="Y2033" t="s">
        <v>5743</v>
      </c>
      <c r="Z2033" t="s">
        <v>5744</v>
      </c>
      <c r="AA2033" t="s">
        <v>49</v>
      </c>
      <c r="AB2033" t="s">
        <v>50</v>
      </c>
      <c r="AC2033" s="2">
        <v>218170</v>
      </c>
      <c r="AD2033" t="s">
        <v>64</v>
      </c>
    </row>
    <row r="2034" spans="1:31" x14ac:dyDescent="0.25">
      <c r="A2034" t="s">
        <v>9591</v>
      </c>
      <c r="B2034" t="s">
        <v>9592</v>
      </c>
      <c r="C2034" t="s">
        <v>9592</v>
      </c>
      <c r="D2034" t="s">
        <v>847</v>
      </c>
      <c r="E2034" t="s">
        <v>848</v>
      </c>
      <c r="F2034" t="s">
        <v>9578</v>
      </c>
      <c r="G2034" t="s">
        <v>1865</v>
      </c>
      <c r="H2034" t="s">
        <v>6113</v>
      </c>
      <c r="I2034" t="s">
        <v>9582</v>
      </c>
      <c r="J2034" s="2">
        <v>224331</v>
      </c>
      <c r="K2034" s="2">
        <v>999.78</v>
      </c>
      <c r="L2034" s="2">
        <v>30</v>
      </c>
      <c r="M2034" s="2">
        <v>0</v>
      </c>
      <c r="N2034" t="s">
        <v>5741</v>
      </c>
      <c r="O2034" t="s">
        <v>5739</v>
      </c>
      <c r="P2034" t="s">
        <v>5966</v>
      </c>
      <c r="Q2034" t="s">
        <v>5739</v>
      </c>
      <c r="S2034" t="s">
        <v>9583</v>
      </c>
      <c r="U2034" t="s">
        <v>45</v>
      </c>
      <c r="V2034" t="s">
        <v>46</v>
      </c>
      <c r="W2034" t="s">
        <v>5741</v>
      </c>
      <c r="X2034" t="s">
        <v>5739</v>
      </c>
      <c r="Y2034" t="s">
        <v>5743</v>
      </c>
      <c r="Z2034" t="s">
        <v>5744</v>
      </c>
      <c r="AA2034" t="s">
        <v>49</v>
      </c>
      <c r="AB2034" t="s">
        <v>50</v>
      </c>
      <c r="AC2034" s="2">
        <v>224331</v>
      </c>
      <c r="AD2034" t="s">
        <v>64</v>
      </c>
    </row>
    <row r="2035" spans="1:31" x14ac:dyDescent="0.25">
      <c r="A2035" t="s">
        <v>9593</v>
      </c>
      <c r="B2035" t="s">
        <v>9594</v>
      </c>
      <c r="C2035" t="s">
        <v>9594</v>
      </c>
      <c r="D2035" t="s">
        <v>125</v>
      </c>
      <c r="E2035" t="s">
        <v>126</v>
      </c>
      <c r="F2035" t="s">
        <v>9578</v>
      </c>
      <c r="G2035" t="s">
        <v>1865</v>
      </c>
      <c r="H2035" t="s">
        <v>6058</v>
      </c>
      <c r="I2035" t="s">
        <v>9582</v>
      </c>
      <c r="J2035" s="2">
        <v>218170</v>
      </c>
      <c r="K2035" s="2">
        <v>983.9</v>
      </c>
      <c r="L2035" s="2">
        <v>30</v>
      </c>
      <c r="M2035" s="2">
        <v>0</v>
      </c>
      <c r="N2035" t="s">
        <v>6057</v>
      </c>
      <c r="O2035" t="s">
        <v>6058</v>
      </c>
      <c r="P2035" t="s">
        <v>5966</v>
      </c>
      <c r="Q2035" t="s">
        <v>5739</v>
      </c>
      <c r="S2035" t="s">
        <v>9583</v>
      </c>
      <c r="U2035" t="s">
        <v>45</v>
      </c>
      <c r="V2035" t="s">
        <v>46</v>
      </c>
      <c r="W2035" t="s">
        <v>6057</v>
      </c>
      <c r="X2035" t="s">
        <v>6058</v>
      </c>
      <c r="Y2035" t="s">
        <v>5743</v>
      </c>
      <c r="Z2035" t="s">
        <v>5744</v>
      </c>
      <c r="AA2035" t="s">
        <v>49</v>
      </c>
      <c r="AB2035" t="s">
        <v>50</v>
      </c>
      <c r="AC2035" s="2">
        <v>217750.16</v>
      </c>
      <c r="AD2035" t="s">
        <v>9595</v>
      </c>
    </row>
    <row r="2036" spans="1:31" x14ac:dyDescent="0.25">
      <c r="A2036" t="s">
        <v>9596</v>
      </c>
      <c r="B2036" t="s">
        <v>9597</v>
      </c>
      <c r="C2036" t="s">
        <v>9597</v>
      </c>
      <c r="D2036" t="s">
        <v>847</v>
      </c>
      <c r="E2036" t="s">
        <v>848</v>
      </c>
      <c r="F2036" t="s">
        <v>9578</v>
      </c>
      <c r="G2036" t="s">
        <v>1865</v>
      </c>
      <c r="H2036" t="s">
        <v>6055</v>
      </c>
      <c r="I2036" t="s">
        <v>9582</v>
      </c>
      <c r="J2036" s="2">
        <v>224380</v>
      </c>
      <c r="K2036" s="2">
        <v>1000</v>
      </c>
      <c r="L2036" s="2">
        <v>30</v>
      </c>
      <c r="M2036" s="2">
        <v>0</v>
      </c>
      <c r="N2036" t="s">
        <v>6057</v>
      </c>
      <c r="O2036" t="s">
        <v>6058</v>
      </c>
      <c r="P2036" t="s">
        <v>5966</v>
      </c>
      <c r="Q2036" t="s">
        <v>5739</v>
      </c>
      <c r="S2036" t="s">
        <v>9590</v>
      </c>
      <c r="U2036" t="s">
        <v>45</v>
      </c>
      <c r="V2036" t="s">
        <v>46</v>
      </c>
      <c r="W2036" t="s">
        <v>6057</v>
      </c>
      <c r="X2036" t="s">
        <v>6058</v>
      </c>
      <c r="Y2036" t="s">
        <v>5743</v>
      </c>
      <c r="Z2036" t="s">
        <v>5744</v>
      </c>
      <c r="AA2036" t="s">
        <v>49</v>
      </c>
      <c r="AB2036" t="s">
        <v>50</v>
      </c>
      <c r="AC2036" s="2">
        <v>214548.67</v>
      </c>
      <c r="AD2036" t="s">
        <v>9598</v>
      </c>
      <c r="AE2036" t="s">
        <v>115</v>
      </c>
    </row>
    <row r="2037" spans="1:31" x14ac:dyDescent="0.25">
      <c r="A2037" t="s">
        <v>9599</v>
      </c>
      <c r="B2037" t="s">
        <v>9600</v>
      </c>
      <c r="C2037" t="s">
        <v>9600</v>
      </c>
      <c r="D2037" t="s">
        <v>555</v>
      </c>
      <c r="E2037" t="s">
        <v>1502</v>
      </c>
      <c r="F2037" t="s">
        <v>9578</v>
      </c>
      <c r="G2037" t="s">
        <v>1865</v>
      </c>
      <c r="H2037" t="s">
        <v>5739</v>
      </c>
      <c r="I2037" t="s">
        <v>9582</v>
      </c>
      <c r="J2037" s="2">
        <v>224380</v>
      </c>
      <c r="K2037" s="2">
        <v>1000</v>
      </c>
      <c r="L2037" s="2">
        <v>30</v>
      </c>
      <c r="M2037" s="2">
        <v>0</v>
      </c>
      <c r="N2037" t="s">
        <v>9601</v>
      </c>
      <c r="O2037" t="s">
        <v>9602</v>
      </c>
      <c r="P2037" t="s">
        <v>5966</v>
      </c>
      <c r="Q2037" t="s">
        <v>5739</v>
      </c>
      <c r="S2037" t="s">
        <v>9590</v>
      </c>
      <c r="U2037" t="s">
        <v>45</v>
      </c>
      <c r="V2037" t="s">
        <v>46</v>
      </c>
      <c r="W2037" t="s">
        <v>9601</v>
      </c>
      <c r="X2037" t="s">
        <v>9603</v>
      </c>
      <c r="Y2037" t="s">
        <v>5743</v>
      </c>
      <c r="Z2037" t="s">
        <v>5744</v>
      </c>
      <c r="AA2037" t="s">
        <v>49</v>
      </c>
      <c r="AB2037" t="s">
        <v>50</v>
      </c>
      <c r="AC2037" s="2">
        <v>224380</v>
      </c>
      <c r="AD2037" t="s">
        <v>64</v>
      </c>
    </row>
    <row r="2038" spans="1:31" x14ac:dyDescent="0.25">
      <c r="A2038" t="s">
        <v>9604</v>
      </c>
      <c r="B2038" t="s">
        <v>9605</v>
      </c>
      <c r="C2038" t="s">
        <v>9605</v>
      </c>
      <c r="D2038" t="s">
        <v>169</v>
      </c>
      <c r="E2038" t="s">
        <v>190</v>
      </c>
      <c r="F2038" t="s">
        <v>9606</v>
      </c>
      <c r="G2038" t="s">
        <v>1865</v>
      </c>
      <c r="H2038" t="s">
        <v>9587</v>
      </c>
      <c r="I2038" t="s">
        <v>9582</v>
      </c>
      <c r="J2038" s="2">
        <v>193750</v>
      </c>
      <c r="K2038" s="2">
        <v>888.07</v>
      </c>
      <c r="L2038" s="2">
        <v>30</v>
      </c>
      <c r="M2038" s="2">
        <v>0</v>
      </c>
      <c r="N2038" t="s">
        <v>9588</v>
      </c>
      <c r="O2038" t="s">
        <v>9589</v>
      </c>
      <c r="P2038" t="s">
        <v>5966</v>
      </c>
      <c r="Q2038" t="s">
        <v>5739</v>
      </c>
      <c r="S2038" t="s">
        <v>9607</v>
      </c>
      <c r="U2038" t="s">
        <v>45</v>
      </c>
      <c r="V2038" t="s">
        <v>46</v>
      </c>
      <c r="W2038" t="s">
        <v>9588</v>
      </c>
      <c r="X2038" t="s">
        <v>9587</v>
      </c>
      <c r="Y2038" t="s">
        <v>5743</v>
      </c>
      <c r="Z2038" t="s">
        <v>5744</v>
      </c>
      <c r="AA2038" t="s">
        <v>49</v>
      </c>
      <c r="AB2038" t="s">
        <v>50</v>
      </c>
      <c r="AC2038" s="2">
        <v>193750</v>
      </c>
      <c r="AD2038" t="s">
        <v>64</v>
      </c>
    </row>
    <row r="2039" spans="1:31" x14ac:dyDescent="0.25">
      <c r="A2039" t="s">
        <v>9608</v>
      </c>
      <c r="B2039" t="s">
        <v>9609</v>
      </c>
      <c r="C2039" t="s">
        <v>9609</v>
      </c>
      <c r="D2039" t="s">
        <v>569</v>
      </c>
      <c r="E2039" t="s">
        <v>570</v>
      </c>
      <c r="F2039" t="s">
        <v>9610</v>
      </c>
      <c r="G2039" t="s">
        <v>166</v>
      </c>
      <c r="H2039" t="s">
        <v>7493</v>
      </c>
      <c r="I2039" t="s">
        <v>9582</v>
      </c>
      <c r="J2039" s="2">
        <v>218170</v>
      </c>
      <c r="K2039" s="2">
        <v>1000</v>
      </c>
      <c r="L2039" s="2">
        <v>30</v>
      </c>
      <c r="M2039" s="2">
        <v>0</v>
      </c>
      <c r="N2039" t="s">
        <v>9611</v>
      </c>
      <c r="O2039" t="s">
        <v>7493</v>
      </c>
      <c r="P2039" t="s">
        <v>5966</v>
      </c>
      <c r="Q2039" t="s">
        <v>5739</v>
      </c>
      <c r="S2039" t="s">
        <v>9612</v>
      </c>
      <c r="U2039" t="s">
        <v>45</v>
      </c>
      <c r="V2039" t="s">
        <v>46</v>
      </c>
      <c r="W2039" t="s">
        <v>9611</v>
      </c>
      <c r="X2039" t="s">
        <v>7493</v>
      </c>
      <c r="Y2039" t="s">
        <v>7493</v>
      </c>
      <c r="Z2039" t="s">
        <v>7494</v>
      </c>
      <c r="AA2039" t="s">
        <v>49</v>
      </c>
      <c r="AB2039" t="s">
        <v>50</v>
      </c>
      <c r="AC2039" s="2">
        <v>171526.77</v>
      </c>
      <c r="AD2039" t="s">
        <v>9613</v>
      </c>
      <c r="AE2039" t="s">
        <v>115</v>
      </c>
    </row>
    <row r="2040" spans="1:31" x14ac:dyDescent="0.25">
      <c r="A2040" s="15" t="s">
        <v>9614</v>
      </c>
      <c r="B2040" s="15" t="s">
        <v>9615</v>
      </c>
      <c r="C2040" s="15" t="s">
        <v>9615</v>
      </c>
      <c r="D2040" s="15" t="s">
        <v>55</v>
      </c>
      <c r="E2040" s="15" t="s">
        <v>56</v>
      </c>
      <c r="F2040" s="15" t="s">
        <v>9616</v>
      </c>
      <c r="H2040" s="15" t="s">
        <v>3399</v>
      </c>
      <c r="I2040" t="s">
        <v>9617</v>
      </c>
      <c r="J2040" s="2">
        <v>21817</v>
      </c>
      <c r="K2040" s="2">
        <v>100</v>
      </c>
      <c r="L2040" s="2">
        <v>15</v>
      </c>
      <c r="M2040" s="2">
        <v>0</v>
      </c>
      <c r="N2040" s="15" t="s">
        <v>3398</v>
      </c>
      <c r="O2040" s="15" t="s">
        <v>3399</v>
      </c>
      <c r="P2040" s="15" t="s">
        <v>304</v>
      </c>
      <c r="Q2040" s="15" t="s">
        <v>72</v>
      </c>
      <c r="S2040" t="s">
        <v>9618</v>
      </c>
      <c r="U2040" t="s">
        <v>45</v>
      </c>
      <c r="V2040" t="s">
        <v>46</v>
      </c>
      <c r="W2040" t="s">
        <v>3398</v>
      </c>
      <c r="X2040" t="s">
        <v>3399</v>
      </c>
      <c r="Y2040" t="s">
        <v>72</v>
      </c>
      <c r="Z2040" t="s">
        <v>68</v>
      </c>
      <c r="AA2040" t="s">
        <v>49</v>
      </c>
      <c r="AB2040" s="15" t="s">
        <v>50</v>
      </c>
      <c r="AC2040" s="16">
        <v>-1035.17</v>
      </c>
      <c r="AD2040" s="15" t="s">
        <v>9619</v>
      </c>
      <c r="AE2040" s="15" t="s">
        <v>115</v>
      </c>
    </row>
    <row r="2041" spans="1:31" x14ac:dyDescent="0.25">
      <c r="A2041" t="s">
        <v>9620</v>
      </c>
      <c r="B2041" t="s">
        <v>9621</v>
      </c>
      <c r="C2041" t="s">
        <v>9621</v>
      </c>
      <c r="D2041" t="s">
        <v>569</v>
      </c>
      <c r="E2041" t="s">
        <v>570</v>
      </c>
      <c r="F2041" t="s">
        <v>9622</v>
      </c>
      <c r="H2041" t="s">
        <v>41</v>
      </c>
      <c r="J2041" s="2">
        <v>10909</v>
      </c>
      <c r="K2041" s="2">
        <v>50</v>
      </c>
      <c r="L2041" s="2">
        <v>1</v>
      </c>
      <c r="M2041" s="2">
        <v>0</v>
      </c>
      <c r="N2041" t="s">
        <v>40</v>
      </c>
      <c r="O2041" t="s">
        <v>41</v>
      </c>
      <c r="P2041" t="s">
        <v>42</v>
      </c>
      <c r="Q2041" t="s">
        <v>43</v>
      </c>
      <c r="U2041" t="s">
        <v>45</v>
      </c>
      <c r="V2041" t="s">
        <v>46</v>
      </c>
      <c r="W2041" t="s">
        <v>40</v>
      </c>
      <c r="X2041" t="s">
        <v>41</v>
      </c>
      <c r="Y2041" t="s">
        <v>47</v>
      </c>
      <c r="Z2041" t="s">
        <v>48</v>
      </c>
      <c r="AA2041" t="s">
        <v>141</v>
      </c>
      <c r="AB2041" t="s">
        <v>50</v>
      </c>
      <c r="AC2041" s="2">
        <v>10909</v>
      </c>
      <c r="AD2041" t="s">
        <v>64</v>
      </c>
    </row>
    <row r="2042" spans="1:31" hidden="1" x14ac:dyDescent="0.25">
      <c r="A2042" t="s">
        <v>9623</v>
      </c>
      <c r="B2042" t="s">
        <v>9624</v>
      </c>
      <c r="C2042" t="s">
        <v>9624</v>
      </c>
      <c r="F2042" t="s">
        <v>9625</v>
      </c>
      <c r="H2042" t="s">
        <v>6367</v>
      </c>
      <c r="I2042" t="s">
        <v>5658</v>
      </c>
      <c r="J2042" s="2">
        <v>218</v>
      </c>
      <c r="K2042" s="2">
        <v>1</v>
      </c>
      <c r="L2042" s="2">
        <v>7</v>
      </c>
      <c r="M2042" s="2">
        <v>0</v>
      </c>
      <c r="N2042" t="s">
        <v>6366</v>
      </c>
      <c r="O2042" t="s">
        <v>6367</v>
      </c>
      <c r="P2042" t="s">
        <v>256</v>
      </c>
      <c r="Q2042" t="s">
        <v>255</v>
      </c>
      <c r="S2042" t="s">
        <v>9626</v>
      </c>
      <c r="U2042" t="s">
        <v>45</v>
      </c>
      <c r="V2042" t="s">
        <v>46</v>
      </c>
      <c r="W2042" t="s">
        <v>6366</v>
      </c>
      <c r="X2042" t="s">
        <v>6367</v>
      </c>
      <c r="Y2042" t="s">
        <v>85</v>
      </c>
      <c r="Z2042" t="s">
        <v>86</v>
      </c>
      <c r="AA2042" t="s">
        <v>49</v>
      </c>
      <c r="AB2042" t="s">
        <v>50</v>
      </c>
      <c r="AC2042" s="2">
        <v>218</v>
      </c>
      <c r="AD2042" t="s">
        <v>64</v>
      </c>
    </row>
    <row r="2043" spans="1:31" hidden="1" x14ac:dyDescent="0.25">
      <c r="A2043" t="s">
        <v>9627</v>
      </c>
      <c r="B2043" t="s">
        <v>9628</v>
      </c>
      <c r="C2043" t="s">
        <v>9628</v>
      </c>
      <c r="D2043" t="s">
        <v>55</v>
      </c>
      <c r="E2043" t="s">
        <v>56</v>
      </c>
      <c r="F2043" t="s">
        <v>1131</v>
      </c>
      <c r="J2043" s="2">
        <v>243570</v>
      </c>
      <c r="K2043" s="2">
        <v>1000</v>
      </c>
      <c r="L2043" s="2">
        <v>1</v>
      </c>
      <c r="M2043" s="2">
        <v>0</v>
      </c>
      <c r="N2043" t="s">
        <v>302</v>
      </c>
      <c r="O2043" t="s">
        <v>303</v>
      </c>
      <c r="P2043" t="s">
        <v>304</v>
      </c>
      <c r="Q2043" t="s">
        <v>72</v>
      </c>
      <c r="U2043" t="s">
        <v>45</v>
      </c>
      <c r="V2043" t="s">
        <v>46</v>
      </c>
      <c r="W2043" t="s">
        <v>302</v>
      </c>
      <c r="X2043" t="s">
        <v>303</v>
      </c>
      <c r="Y2043" t="s">
        <v>72</v>
      </c>
      <c r="Z2043" t="s">
        <v>68</v>
      </c>
      <c r="AA2043" t="s">
        <v>49</v>
      </c>
      <c r="AB2043" t="s">
        <v>50</v>
      </c>
      <c r="AC2043" s="2">
        <v>243570</v>
      </c>
      <c r="AD2043" t="s">
        <v>64</v>
      </c>
    </row>
    <row r="2044" spans="1:31" x14ac:dyDescent="0.25">
      <c r="A2044" t="s">
        <v>9629</v>
      </c>
      <c r="B2044" t="s">
        <v>9630</v>
      </c>
      <c r="C2044" t="s">
        <v>9631</v>
      </c>
      <c r="D2044" t="s">
        <v>888</v>
      </c>
      <c r="E2044" t="s">
        <v>167</v>
      </c>
      <c r="F2044" t="s">
        <v>1131</v>
      </c>
      <c r="G2044" t="s">
        <v>498</v>
      </c>
      <c r="H2044" t="s">
        <v>300</v>
      </c>
      <c r="J2044" s="2">
        <v>152719</v>
      </c>
      <c r="K2044" s="2">
        <v>700</v>
      </c>
      <c r="L2044" s="2">
        <v>21</v>
      </c>
      <c r="M2044" s="2">
        <v>0</v>
      </c>
      <c r="N2044" t="s">
        <v>302</v>
      </c>
      <c r="O2044" t="s">
        <v>303</v>
      </c>
      <c r="P2044" t="s">
        <v>304</v>
      </c>
      <c r="Q2044" t="s">
        <v>72</v>
      </c>
      <c r="S2044" t="s">
        <v>9632</v>
      </c>
      <c r="U2044" t="s">
        <v>45</v>
      </c>
      <c r="V2044" t="s">
        <v>46</v>
      </c>
      <c r="W2044" t="s">
        <v>302</v>
      </c>
      <c r="X2044" t="s">
        <v>303</v>
      </c>
      <c r="Y2044" t="s">
        <v>72</v>
      </c>
      <c r="Z2044" t="s">
        <v>68</v>
      </c>
      <c r="AA2044" t="s">
        <v>49</v>
      </c>
      <c r="AB2044" t="s">
        <v>50</v>
      </c>
      <c r="AC2044" s="2">
        <v>64344.14</v>
      </c>
      <c r="AD2044" t="s">
        <v>9633</v>
      </c>
      <c r="AE2044" t="s">
        <v>115</v>
      </c>
    </row>
    <row r="2045" spans="1:31" hidden="1" x14ac:dyDescent="0.25">
      <c r="J2045" s="2">
        <v>1000</v>
      </c>
      <c r="K2045" s="2">
        <v>0</v>
      </c>
      <c r="L2045" s="2">
        <v>15</v>
      </c>
      <c r="M2045" s="2">
        <v>0</v>
      </c>
      <c r="S2045" t="s">
        <v>9634</v>
      </c>
      <c r="U2045" t="s">
        <v>45</v>
      </c>
      <c r="V2045" t="s">
        <v>46</v>
      </c>
      <c r="W2045" t="s">
        <v>302</v>
      </c>
      <c r="X2045" t="s">
        <v>303</v>
      </c>
      <c r="Y2045" t="s">
        <v>72</v>
      </c>
      <c r="Z2045" t="s">
        <v>68</v>
      </c>
      <c r="AA2045" t="s">
        <v>49</v>
      </c>
      <c r="AC2045" s="2"/>
    </row>
    <row r="2046" spans="1:31" hidden="1" x14ac:dyDescent="0.25">
      <c r="A2046" t="s">
        <v>9635</v>
      </c>
      <c r="B2046" t="s">
        <v>9636</v>
      </c>
      <c r="C2046" t="s">
        <v>9636</v>
      </c>
      <c r="F2046" t="s">
        <v>9637</v>
      </c>
      <c r="H2046" t="s">
        <v>5739</v>
      </c>
      <c r="I2046" t="s">
        <v>9638</v>
      </c>
      <c r="J2046" s="2">
        <v>1000</v>
      </c>
      <c r="K2046" s="2">
        <v>0</v>
      </c>
      <c r="L2046" s="2">
        <v>15</v>
      </c>
      <c r="M2046" s="2">
        <v>0</v>
      </c>
      <c r="N2046" t="s">
        <v>5741</v>
      </c>
      <c r="O2046" t="s">
        <v>5739</v>
      </c>
      <c r="P2046" t="s">
        <v>5966</v>
      </c>
      <c r="Q2046" t="s">
        <v>5739</v>
      </c>
      <c r="S2046" t="s">
        <v>9639</v>
      </c>
      <c r="U2046" t="s">
        <v>45</v>
      </c>
      <c r="V2046" t="s">
        <v>46</v>
      </c>
      <c r="W2046" t="s">
        <v>5741</v>
      </c>
      <c r="X2046" t="s">
        <v>5739</v>
      </c>
      <c r="Y2046" t="s">
        <v>5743</v>
      </c>
      <c r="Z2046" t="s">
        <v>5744</v>
      </c>
      <c r="AA2046" t="s">
        <v>49</v>
      </c>
      <c r="AB2046" t="s">
        <v>50</v>
      </c>
      <c r="AC2046" s="2">
        <v>1000</v>
      </c>
      <c r="AD2046" t="s">
        <v>64</v>
      </c>
    </row>
    <row r="2047" spans="1:31" x14ac:dyDescent="0.25">
      <c r="A2047" t="s">
        <v>9640</v>
      </c>
      <c r="B2047" t="s">
        <v>9641</v>
      </c>
      <c r="C2047" t="s">
        <v>9641</v>
      </c>
      <c r="D2047" t="s">
        <v>299</v>
      </c>
      <c r="E2047" t="s">
        <v>167</v>
      </c>
      <c r="F2047" t="s">
        <v>9642</v>
      </c>
      <c r="G2047" t="s">
        <v>5795</v>
      </c>
      <c r="H2047" t="s">
        <v>6996</v>
      </c>
      <c r="I2047" t="s">
        <v>9643</v>
      </c>
      <c r="J2047" s="2">
        <v>65451</v>
      </c>
      <c r="K2047" s="2">
        <v>300</v>
      </c>
      <c r="L2047" s="2">
        <v>21</v>
      </c>
      <c r="M2047" s="2">
        <v>0</v>
      </c>
      <c r="N2047" t="s">
        <v>6985</v>
      </c>
      <c r="O2047" t="s">
        <v>6986</v>
      </c>
      <c r="P2047" t="s">
        <v>6987</v>
      </c>
      <c r="Q2047" t="s">
        <v>6988</v>
      </c>
      <c r="S2047" t="s">
        <v>9644</v>
      </c>
      <c r="U2047" t="s">
        <v>45</v>
      </c>
      <c r="V2047" t="s">
        <v>46</v>
      </c>
      <c r="W2047" t="s">
        <v>6985</v>
      </c>
      <c r="X2047" t="s">
        <v>6986</v>
      </c>
      <c r="Y2047" t="s">
        <v>2399</v>
      </c>
      <c r="Z2047" t="s">
        <v>2400</v>
      </c>
      <c r="AA2047" t="s">
        <v>49</v>
      </c>
      <c r="AB2047" t="s">
        <v>50</v>
      </c>
      <c r="AC2047" s="2">
        <v>33453.21</v>
      </c>
      <c r="AD2047" t="s">
        <v>9645</v>
      </c>
      <c r="AE2047" t="s">
        <v>115</v>
      </c>
    </row>
    <row r="2048" spans="1:31" x14ac:dyDescent="0.25">
      <c r="A2048" t="s">
        <v>9646</v>
      </c>
      <c r="B2048" t="s">
        <v>9647</v>
      </c>
      <c r="C2048" t="s">
        <v>9647</v>
      </c>
      <c r="D2048" t="s">
        <v>2485</v>
      </c>
      <c r="E2048" t="s">
        <v>134</v>
      </c>
      <c r="F2048" t="s">
        <v>9648</v>
      </c>
      <c r="G2048" t="s">
        <v>1958</v>
      </c>
      <c r="H2048" t="s">
        <v>8321</v>
      </c>
      <c r="I2048" t="s">
        <v>9649</v>
      </c>
      <c r="J2048" s="2">
        <v>109085</v>
      </c>
      <c r="K2048" s="2">
        <v>500</v>
      </c>
      <c r="L2048" s="2">
        <v>21</v>
      </c>
      <c r="M2048" s="2">
        <v>0</v>
      </c>
      <c r="N2048" t="s">
        <v>8320</v>
      </c>
      <c r="O2048" t="s">
        <v>8321</v>
      </c>
      <c r="P2048" t="s">
        <v>6987</v>
      </c>
      <c r="Q2048" t="s">
        <v>6988</v>
      </c>
      <c r="S2048" t="s">
        <v>9650</v>
      </c>
      <c r="U2048" t="s">
        <v>45</v>
      </c>
      <c r="V2048" t="s">
        <v>46</v>
      </c>
      <c r="W2048" t="s">
        <v>8320</v>
      </c>
      <c r="X2048" t="s">
        <v>8321</v>
      </c>
      <c r="Y2048" t="s">
        <v>2399</v>
      </c>
      <c r="Z2048" t="s">
        <v>2400</v>
      </c>
      <c r="AA2048" t="s">
        <v>49</v>
      </c>
      <c r="AB2048" t="s">
        <v>50</v>
      </c>
      <c r="AC2048" s="2">
        <v>109085</v>
      </c>
      <c r="AD2048" t="s">
        <v>64</v>
      </c>
    </row>
    <row r="2049" spans="1:31" x14ac:dyDescent="0.25">
      <c r="A2049" t="s">
        <v>9651</v>
      </c>
      <c r="B2049" t="s">
        <v>9652</v>
      </c>
      <c r="C2049" t="s">
        <v>9652</v>
      </c>
      <c r="D2049" t="s">
        <v>299</v>
      </c>
      <c r="E2049" t="s">
        <v>167</v>
      </c>
      <c r="F2049" t="s">
        <v>9653</v>
      </c>
      <c r="G2049" t="s">
        <v>299</v>
      </c>
      <c r="H2049" t="s">
        <v>9654</v>
      </c>
      <c r="J2049" s="2">
        <v>436340</v>
      </c>
      <c r="K2049" s="2">
        <v>2000</v>
      </c>
      <c r="L2049" s="2">
        <v>15</v>
      </c>
      <c r="M2049" s="2">
        <v>0</v>
      </c>
      <c r="N2049" t="s">
        <v>9655</v>
      </c>
      <c r="O2049" t="s">
        <v>9654</v>
      </c>
      <c r="P2049" t="s">
        <v>4315</v>
      </c>
      <c r="Q2049" t="s">
        <v>4316</v>
      </c>
      <c r="S2049" t="s">
        <v>9656</v>
      </c>
      <c r="U2049" t="s">
        <v>45</v>
      </c>
      <c r="V2049" t="s">
        <v>46</v>
      </c>
      <c r="W2049" t="s">
        <v>9655</v>
      </c>
      <c r="X2049" t="s">
        <v>9654</v>
      </c>
      <c r="Y2049" t="s">
        <v>9657</v>
      </c>
      <c r="Z2049" t="s">
        <v>9658</v>
      </c>
      <c r="AA2049" t="s">
        <v>49</v>
      </c>
      <c r="AB2049" t="s">
        <v>50</v>
      </c>
      <c r="AC2049" s="2">
        <v>314208.38</v>
      </c>
      <c r="AD2049" t="s">
        <v>9659</v>
      </c>
      <c r="AE2049" t="s">
        <v>52</v>
      </c>
    </row>
    <row r="2050" spans="1:31" x14ac:dyDescent="0.25">
      <c r="A2050" t="s">
        <v>9660</v>
      </c>
      <c r="B2050" t="s">
        <v>9661</v>
      </c>
      <c r="C2050" t="s">
        <v>9661</v>
      </c>
      <c r="D2050" t="s">
        <v>35</v>
      </c>
      <c r="E2050" t="s">
        <v>36</v>
      </c>
      <c r="F2050" t="s">
        <v>9662</v>
      </c>
      <c r="G2050" t="s">
        <v>3857</v>
      </c>
      <c r="H2050" t="s">
        <v>6030</v>
      </c>
      <c r="I2050" t="s">
        <v>9663</v>
      </c>
      <c r="J2050" s="2">
        <v>121555</v>
      </c>
      <c r="K2050" s="2">
        <v>500</v>
      </c>
      <c r="L2050" s="2">
        <v>21</v>
      </c>
      <c r="M2050" s="2">
        <v>0</v>
      </c>
      <c r="N2050" t="s">
        <v>6029</v>
      </c>
      <c r="O2050" t="s">
        <v>6030</v>
      </c>
      <c r="P2050" t="s">
        <v>557</v>
      </c>
      <c r="Q2050" t="s">
        <v>558</v>
      </c>
      <c r="S2050" t="s">
        <v>9664</v>
      </c>
      <c r="U2050" t="s">
        <v>45</v>
      </c>
      <c r="V2050" t="s">
        <v>46</v>
      </c>
      <c r="W2050" t="s">
        <v>6029</v>
      </c>
      <c r="X2050" t="s">
        <v>6030</v>
      </c>
      <c r="Y2050" t="s">
        <v>85</v>
      </c>
      <c r="Z2050" t="s">
        <v>86</v>
      </c>
      <c r="AA2050" t="s">
        <v>49</v>
      </c>
      <c r="AB2050" t="s">
        <v>50</v>
      </c>
      <c r="AC2050" s="2">
        <v>97657.41</v>
      </c>
      <c r="AD2050" t="s">
        <v>9665</v>
      </c>
      <c r="AE2050" t="s">
        <v>115</v>
      </c>
    </row>
    <row r="2051" spans="1:31" x14ac:dyDescent="0.25">
      <c r="A2051" t="s">
        <v>9666</v>
      </c>
      <c r="B2051" t="s">
        <v>9667</v>
      </c>
      <c r="C2051" t="s">
        <v>9667</v>
      </c>
      <c r="D2051" t="s">
        <v>35</v>
      </c>
      <c r="E2051" t="s">
        <v>36</v>
      </c>
      <c r="F2051" t="s">
        <v>9668</v>
      </c>
      <c r="G2051" t="s">
        <v>35</v>
      </c>
      <c r="H2051" t="s">
        <v>6030</v>
      </c>
      <c r="I2051" t="s">
        <v>9669</v>
      </c>
      <c r="J2051" s="2">
        <v>170499</v>
      </c>
      <c r="K2051" s="2">
        <v>700</v>
      </c>
      <c r="L2051" s="2">
        <v>21</v>
      </c>
      <c r="M2051" s="2">
        <v>0</v>
      </c>
      <c r="N2051" t="s">
        <v>6029</v>
      </c>
      <c r="O2051" t="s">
        <v>6030</v>
      </c>
      <c r="P2051" t="s">
        <v>557</v>
      </c>
      <c r="Q2051" t="s">
        <v>558</v>
      </c>
      <c r="S2051" t="s">
        <v>9670</v>
      </c>
      <c r="U2051" t="s">
        <v>45</v>
      </c>
      <c r="V2051" t="s">
        <v>46</v>
      </c>
      <c r="W2051" t="s">
        <v>6029</v>
      </c>
      <c r="X2051" t="s">
        <v>6030</v>
      </c>
      <c r="Y2051" t="s">
        <v>85</v>
      </c>
      <c r="Z2051" t="s">
        <v>86</v>
      </c>
      <c r="AA2051" t="s">
        <v>49</v>
      </c>
      <c r="AB2051" t="s">
        <v>50</v>
      </c>
      <c r="AC2051" s="2">
        <v>31108.11</v>
      </c>
      <c r="AD2051" t="s">
        <v>9671</v>
      </c>
      <c r="AE2051" t="s">
        <v>52</v>
      </c>
    </row>
    <row r="2052" spans="1:31" x14ac:dyDescent="0.25">
      <c r="A2052" t="s">
        <v>9672</v>
      </c>
      <c r="B2052" t="s">
        <v>9673</v>
      </c>
      <c r="C2052" t="s">
        <v>9673</v>
      </c>
      <c r="D2052" t="s">
        <v>35</v>
      </c>
      <c r="E2052" t="s">
        <v>36</v>
      </c>
      <c r="F2052" t="s">
        <v>9674</v>
      </c>
      <c r="G2052" t="s">
        <v>153</v>
      </c>
      <c r="H2052" t="s">
        <v>6030</v>
      </c>
      <c r="I2052" t="s">
        <v>9663</v>
      </c>
      <c r="J2052" s="2">
        <v>494600</v>
      </c>
      <c r="K2052" s="2">
        <v>2000</v>
      </c>
      <c r="L2052" s="2">
        <v>21</v>
      </c>
      <c r="M2052" s="2">
        <v>0</v>
      </c>
      <c r="N2052" t="s">
        <v>6029</v>
      </c>
      <c r="O2052" t="s">
        <v>6030</v>
      </c>
      <c r="P2052" t="s">
        <v>557</v>
      </c>
      <c r="Q2052" t="s">
        <v>558</v>
      </c>
      <c r="S2052" t="s">
        <v>9675</v>
      </c>
      <c r="U2052" t="s">
        <v>45</v>
      </c>
      <c r="V2052" t="s">
        <v>46</v>
      </c>
      <c r="W2052" t="s">
        <v>6029</v>
      </c>
      <c r="X2052" t="s">
        <v>6030</v>
      </c>
      <c r="Y2052" t="s">
        <v>85</v>
      </c>
      <c r="Z2052" t="s">
        <v>86</v>
      </c>
      <c r="AA2052" t="s">
        <v>49</v>
      </c>
      <c r="AB2052" t="s">
        <v>50</v>
      </c>
      <c r="AC2052" s="2">
        <v>114936.58</v>
      </c>
      <c r="AD2052" t="s">
        <v>9676</v>
      </c>
      <c r="AE2052" t="s">
        <v>52</v>
      </c>
    </row>
    <row r="2053" spans="1:31" x14ac:dyDescent="0.25">
      <c r="A2053" t="s">
        <v>9677</v>
      </c>
      <c r="B2053" t="s">
        <v>9678</v>
      </c>
      <c r="C2053" t="s">
        <v>9678</v>
      </c>
      <c r="D2053" t="s">
        <v>153</v>
      </c>
      <c r="E2053" t="s">
        <v>272</v>
      </c>
      <c r="F2053" t="s">
        <v>9679</v>
      </c>
      <c r="G2053" t="s">
        <v>819</v>
      </c>
      <c r="H2053" t="s">
        <v>6030</v>
      </c>
      <c r="I2053" t="s">
        <v>9663</v>
      </c>
      <c r="J2053" s="2">
        <v>364665</v>
      </c>
      <c r="K2053" s="2">
        <v>1500</v>
      </c>
      <c r="L2053" s="2">
        <v>21</v>
      </c>
      <c r="M2053" s="2">
        <v>0</v>
      </c>
      <c r="N2053" t="s">
        <v>6029</v>
      </c>
      <c r="O2053" t="s">
        <v>6030</v>
      </c>
      <c r="P2053" t="s">
        <v>557</v>
      </c>
      <c r="Q2053" t="s">
        <v>558</v>
      </c>
      <c r="S2053" t="s">
        <v>9680</v>
      </c>
      <c r="U2053" t="s">
        <v>45</v>
      </c>
      <c r="V2053" t="s">
        <v>46</v>
      </c>
      <c r="W2053" t="s">
        <v>6029</v>
      </c>
      <c r="X2053" t="s">
        <v>6030</v>
      </c>
      <c r="Y2053" t="s">
        <v>85</v>
      </c>
      <c r="Z2053" t="s">
        <v>86</v>
      </c>
      <c r="AA2053" t="s">
        <v>49</v>
      </c>
      <c r="AB2053" t="s">
        <v>50</v>
      </c>
      <c r="AC2053" s="2">
        <v>-573837.43999999994</v>
      </c>
      <c r="AD2053" t="s">
        <v>9681</v>
      </c>
      <c r="AE2053" t="s">
        <v>115</v>
      </c>
    </row>
    <row r="2054" spans="1:31" hidden="1" x14ac:dyDescent="0.25">
      <c r="A2054" t="s">
        <v>9682</v>
      </c>
      <c r="B2054" t="s">
        <v>9683</v>
      </c>
      <c r="C2054" t="s">
        <v>9683</v>
      </c>
      <c r="F2054" t="s">
        <v>9684</v>
      </c>
      <c r="H2054" t="s">
        <v>2278</v>
      </c>
      <c r="I2054" t="s">
        <v>9685</v>
      </c>
      <c r="J2054" s="2">
        <v>218</v>
      </c>
      <c r="K2054" s="2">
        <v>1</v>
      </c>
      <c r="L2054" s="2">
        <v>1</v>
      </c>
      <c r="M2054" s="2">
        <v>0</v>
      </c>
      <c r="N2054" t="s">
        <v>2277</v>
      </c>
      <c r="O2054" t="s">
        <v>2278</v>
      </c>
      <c r="P2054" t="s">
        <v>256</v>
      </c>
      <c r="Q2054" t="s">
        <v>255</v>
      </c>
      <c r="S2054" t="s">
        <v>9686</v>
      </c>
      <c r="U2054" t="s">
        <v>45</v>
      </c>
      <c r="V2054" t="s">
        <v>46</v>
      </c>
      <c r="W2054" t="s">
        <v>2277</v>
      </c>
      <c r="X2054" t="s">
        <v>2278</v>
      </c>
      <c r="Y2054" t="s">
        <v>137</v>
      </c>
      <c r="Z2054" t="s">
        <v>717</v>
      </c>
      <c r="AA2054" t="s">
        <v>49</v>
      </c>
      <c r="AB2054" t="s">
        <v>50</v>
      </c>
      <c r="AC2054" s="2">
        <v>218</v>
      </c>
      <c r="AD2054" t="s">
        <v>64</v>
      </c>
    </row>
    <row r="2055" spans="1:31" hidden="1" x14ac:dyDescent="0.25">
      <c r="A2055" t="s">
        <v>9687</v>
      </c>
      <c r="B2055" t="s">
        <v>9688</v>
      </c>
      <c r="C2055" t="s">
        <v>9688</v>
      </c>
      <c r="F2055" t="s">
        <v>2753</v>
      </c>
      <c r="J2055" s="2">
        <v>1000</v>
      </c>
      <c r="K2055" s="2">
        <v>0</v>
      </c>
      <c r="L2055" s="2">
        <v>1</v>
      </c>
      <c r="M2055" s="2">
        <v>0</v>
      </c>
      <c r="N2055" t="s">
        <v>67</v>
      </c>
      <c r="O2055" t="s">
        <v>68</v>
      </c>
      <c r="P2055" t="s">
        <v>69</v>
      </c>
      <c r="Q2055" t="s">
        <v>70</v>
      </c>
      <c r="U2055" t="s">
        <v>45</v>
      </c>
      <c r="V2055" t="s">
        <v>46</v>
      </c>
      <c r="W2055" t="s">
        <v>67</v>
      </c>
      <c r="X2055" t="s">
        <v>68</v>
      </c>
      <c r="Y2055" t="s">
        <v>72</v>
      </c>
      <c r="Z2055" t="s">
        <v>68</v>
      </c>
      <c r="AA2055" t="s">
        <v>49</v>
      </c>
      <c r="AB2055" t="s">
        <v>50</v>
      </c>
      <c r="AC2055" s="2">
        <v>1000</v>
      </c>
      <c r="AD2055" t="s">
        <v>64</v>
      </c>
    </row>
    <row r="2056" spans="1:31" x14ac:dyDescent="0.25">
      <c r="A2056" t="s">
        <v>9689</v>
      </c>
      <c r="B2056" t="s">
        <v>9690</v>
      </c>
      <c r="C2056" t="s">
        <v>2752</v>
      </c>
      <c r="D2056" t="s">
        <v>1245</v>
      </c>
      <c r="E2056" t="s">
        <v>224</v>
      </c>
      <c r="F2056" t="s">
        <v>2753</v>
      </c>
      <c r="G2056" t="s">
        <v>1245</v>
      </c>
      <c r="H2056" t="s">
        <v>939</v>
      </c>
      <c r="I2056" t="s">
        <v>9691</v>
      </c>
      <c r="J2056" s="2">
        <v>285831</v>
      </c>
      <c r="K2056" s="2">
        <v>1300</v>
      </c>
      <c r="L2056" s="2">
        <v>10</v>
      </c>
      <c r="M2056" s="2">
        <v>0</v>
      </c>
      <c r="N2056" t="s">
        <v>879</v>
      </c>
      <c r="O2056" t="s">
        <v>877</v>
      </c>
      <c r="P2056" t="s">
        <v>69</v>
      </c>
      <c r="Q2056" t="s">
        <v>70</v>
      </c>
      <c r="S2056" t="s">
        <v>2756</v>
      </c>
      <c r="U2056" t="s">
        <v>45</v>
      </c>
      <c r="V2056" t="s">
        <v>46</v>
      </c>
      <c r="W2056" t="s">
        <v>879</v>
      </c>
      <c r="X2056" t="s">
        <v>877</v>
      </c>
      <c r="Y2056" t="s">
        <v>72</v>
      </c>
      <c r="Z2056" t="s">
        <v>68</v>
      </c>
      <c r="AA2056" t="s">
        <v>49</v>
      </c>
      <c r="AB2056" t="s">
        <v>50</v>
      </c>
      <c r="AC2056" s="2">
        <v>284643.42</v>
      </c>
      <c r="AD2056" t="s">
        <v>9692</v>
      </c>
    </row>
    <row r="2057" spans="1:31" x14ac:dyDescent="0.25">
      <c r="A2057" t="s">
        <v>9693</v>
      </c>
      <c r="B2057" t="s">
        <v>9694</v>
      </c>
      <c r="C2057" t="s">
        <v>9694</v>
      </c>
      <c r="D2057" t="s">
        <v>35</v>
      </c>
      <c r="E2057" t="s">
        <v>36</v>
      </c>
      <c r="F2057" t="s">
        <v>9695</v>
      </c>
      <c r="G2057" t="s">
        <v>153</v>
      </c>
      <c r="H2057" t="s">
        <v>9696</v>
      </c>
      <c r="J2057" s="2">
        <v>715628</v>
      </c>
      <c r="K2057" s="2">
        <v>3010</v>
      </c>
      <c r="L2057" s="2">
        <v>21</v>
      </c>
      <c r="M2057" s="2">
        <v>0</v>
      </c>
      <c r="N2057" t="s">
        <v>1357</v>
      </c>
      <c r="O2057" t="s">
        <v>1358</v>
      </c>
      <c r="P2057" t="s">
        <v>91</v>
      </c>
      <c r="Q2057" t="s">
        <v>92</v>
      </c>
      <c r="S2057" t="s">
        <v>9697</v>
      </c>
      <c r="U2057" t="s">
        <v>45</v>
      </c>
      <c r="V2057" t="s">
        <v>46</v>
      </c>
      <c r="W2057" t="s">
        <v>1357</v>
      </c>
      <c r="X2057" t="s">
        <v>1358</v>
      </c>
      <c r="Y2057" t="s">
        <v>92</v>
      </c>
      <c r="Z2057" t="s">
        <v>94</v>
      </c>
      <c r="AA2057" t="s">
        <v>49</v>
      </c>
      <c r="AB2057" t="s">
        <v>50</v>
      </c>
      <c r="AC2057" s="2">
        <v>-45419.24</v>
      </c>
      <c r="AD2057" t="s">
        <v>9698</v>
      </c>
      <c r="AE2057" t="s">
        <v>115</v>
      </c>
    </row>
    <row r="2058" spans="1:31" x14ac:dyDescent="0.25">
      <c r="A2058" t="s">
        <v>9699</v>
      </c>
      <c r="B2058" t="s">
        <v>9700</v>
      </c>
      <c r="C2058" t="s">
        <v>9700</v>
      </c>
      <c r="D2058" t="s">
        <v>773</v>
      </c>
      <c r="E2058" t="s">
        <v>224</v>
      </c>
      <c r="F2058" t="s">
        <v>9701</v>
      </c>
      <c r="G2058" t="s">
        <v>1941</v>
      </c>
      <c r="H2058" t="s">
        <v>4851</v>
      </c>
      <c r="I2058" t="s">
        <v>9702</v>
      </c>
      <c r="J2058" s="2">
        <v>654510</v>
      </c>
      <c r="K2058" s="2">
        <v>3000</v>
      </c>
      <c r="L2058" s="2">
        <v>21</v>
      </c>
      <c r="M2058" s="2">
        <v>0</v>
      </c>
      <c r="N2058" t="s">
        <v>4852</v>
      </c>
      <c r="O2058" t="s">
        <v>4851</v>
      </c>
      <c r="P2058" t="s">
        <v>4853</v>
      </c>
      <c r="Q2058" t="s">
        <v>4854</v>
      </c>
      <c r="S2058" t="s">
        <v>9703</v>
      </c>
      <c r="U2058" t="s">
        <v>45</v>
      </c>
      <c r="V2058" t="s">
        <v>46</v>
      </c>
      <c r="W2058" t="s">
        <v>4852</v>
      </c>
      <c r="X2058" t="s">
        <v>4851</v>
      </c>
      <c r="Y2058" t="s">
        <v>4854</v>
      </c>
      <c r="Z2058" t="s">
        <v>72</v>
      </c>
      <c r="AA2058" t="s">
        <v>49</v>
      </c>
      <c r="AB2058" t="s">
        <v>50</v>
      </c>
      <c r="AC2058" s="2">
        <v>654510</v>
      </c>
      <c r="AD2058" t="s">
        <v>64</v>
      </c>
    </row>
    <row r="2059" spans="1:31" x14ac:dyDescent="0.25">
      <c r="A2059" t="s">
        <v>9704</v>
      </c>
      <c r="B2059" t="s">
        <v>9705</v>
      </c>
      <c r="C2059" t="s">
        <v>9705</v>
      </c>
      <c r="D2059" t="s">
        <v>153</v>
      </c>
      <c r="E2059" t="s">
        <v>272</v>
      </c>
      <c r="F2059" t="s">
        <v>9706</v>
      </c>
      <c r="G2059" t="s">
        <v>153</v>
      </c>
      <c r="H2059" t="s">
        <v>1396</v>
      </c>
      <c r="I2059" t="s">
        <v>9707</v>
      </c>
      <c r="J2059" s="2">
        <v>327255</v>
      </c>
      <c r="K2059" s="2">
        <v>1500</v>
      </c>
      <c r="L2059" s="2">
        <v>21</v>
      </c>
      <c r="M2059" s="2">
        <v>0</v>
      </c>
      <c r="N2059" t="s">
        <v>1398</v>
      </c>
      <c r="O2059" t="s">
        <v>1396</v>
      </c>
      <c r="P2059" t="s">
        <v>120</v>
      </c>
      <c r="Q2059" t="s">
        <v>121</v>
      </c>
      <c r="S2059" t="s">
        <v>9708</v>
      </c>
      <c r="U2059" t="s">
        <v>45</v>
      </c>
      <c r="V2059" t="s">
        <v>46</v>
      </c>
      <c r="W2059" t="s">
        <v>1398</v>
      </c>
      <c r="X2059" t="s">
        <v>1396</v>
      </c>
      <c r="Y2059" t="s">
        <v>121</v>
      </c>
      <c r="Z2059" t="s">
        <v>94</v>
      </c>
      <c r="AA2059" t="s">
        <v>49</v>
      </c>
      <c r="AB2059" t="s">
        <v>50</v>
      </c>
      <c r="AC2059" s="2">
        <v>81094.66</v>
      </c>
      <c r="AD2059" t="s">
        <v>9709</v>
      </c>
      <c r="AE2059" t="s">
        <v>115</v>
      </c>
    </row>
    <row r="2060" spans="1:31" hidden="1" x14ac:dyDescent="0.25">
      <c r="I2060" t="s">
        <v>9710</v>
      </c>
      <c r="J2060" s="2">
        <v>218</v>
      </c>
      <c r="K2060" s="2">
        <v>1</v>
      </c>
      <c r="L2060" s="2">
        <v>1</v>
      </c>
      <c r="M2060" s="2">
        <v>0</v>
      </c>
      <c r="S2060" t="s">
        <v>9711</v>
      </c>
      <c r="U2060" t="s">
        <v>45</v>
      </c>
      <c r="V2060" t="s">
        <v>46</v>
      </c>
      <c r="W2060" t="s">
        <v>80</v>
      </c>
      <c r="X2060" t="s">
        <v>81</v>
      </c>
      <c r="Y2060" t="s">
        <v>85</v>
      </c>
      <c r="Z2060" t="s">
        <v>86</v>
      </c>
      <c r="AA2060" t="s">
        <v>49</v>
      </c>
      <c r="AC2060" s="2"/>
    </row>
    <row r="2061" spans="1:31" x14ac:dyDescent="0.25">
      <c r="A2061" t="s">
        <v>9712</v>
      </c>
      <c r="B2061" t="s">
        <v>9713</v>
      </c>
      <c r="C2061" t="s">
        <v>9713</v>
      </c>
      <c r="D2061" t="s">
        <v>35</v>
      </c>
      <c r="E2061" t="s">
        <v>36</v>
      </c>
      <c r="F2061" t="s">
        <v>9714</v>
      </c>
      <c r="G2061" t="s">
        <v>35</v>
      </c>
      <c r="H2061" t="s">
        <v>6986</v>
      </c>
      <c r="I2061" t="s">
        <v>9715</v>
      </c>
      <c r="J2061" s="2">
        <v>377434</v>
      </c>
      <c r="K2061" s="2">
        <v>1730</v>
      </c>
      <c r="L2061" s="2">
        <v>21</v>
      </c>
      <c r="M2061" s="2">
        <v>0</v>
      </c>
      <c r="N2061" t="s">
        <v>6985</v>
      </c>
      <c r="O2061" t="s">
        <v>6986</v>
      </c>
      <c r="P2061" t="s">
        <v>6987</v>
      </c>
      <c r="Q2061" t="s">
        <v>6988</v>
      </c>
      <c r="S2061" t="s">
        <v>9716</v>
      </c>
      <c r="U2061" t="s">
        <v>45</v>
      </c>
      <c r="V2061" t="s">
        <v>46</v>
      </c>
      <c r="W2061" t="s">
        <v>6985</v>
      </c>
      <c r="X2061" t="s">
        <v>6986</v>
      </c>
      <c r="Y2061" t="s">
        <v>2399</v>
      </c>
      <c r="Z2061" t="s">
        <v>2400</v>
      </c>
      <c r="AA2061" t="s">
        <v>49</v>
      </c>
      <c r="AB2061" t="s">
        <v>50</v>
      </c>
      <c r="AC2061" s="2">
        <v>102749.17</v>
      </c>
      <c r="AD2061" t="s">
        <v>9717</v>
      </c>
      <c r="AE2061" t="s">
        <v>52</v>
      </c>
    </row>
    <row r="2062" spans="1:31" x14ac:dyDescent="0.25">
      <c r="A2062" t="s">
        <v>9718</v>
      </c>
      <c r="B2062" t="s">
        <v>9719</v>
      </c>
      <c r="C2062" t="s">
        <v>9719</v>
      </c>
      <c r="D2062" t="s">
        <v>847</v>
      </c>
      <c r="E2062" t="s">
        <v>848</v>
      </c>
      <c r="F2062" t="s">
        <v>738</v>
      </c>
      <c r="H2062" t="s">
        <v>119</v>
      </c>
      <c r="I2062" t="s">
        <v>739</v>
      </c>
      <c r="J2062" s="2">
        <v>1090850</v>
      </c>
      <c r="K2062" s="2">
        <v>5000</v>
      </c>
      <c r="L2062" s="2">
        <v>21</v>
      </c>
      <c r="M2062" s="2">
        <v>0</v>
      </c>
      <c r="N2062" t="s">
        <v>118</v>
      </c>
      <c r="O2062" t="s">
        <v>119</v>
      </c>
      <c r="P2062" t="s">
        <v>120</v>
      </c>
      <c r="Q2062" t="s">
        <v>121</v>
      </c>
      <c r="S2062" t="s">
        <v>9720</v>
      </c>
      <c r="U2062" t="s">
        <v>45</v>
      </c>
      <c r="V2062" t="s">
        <v>46</v>
      </c>
      <c r="W2062" t="s">
        <v>118</v>
      </c>
      <c r="X2062" t="s">
        <v>119</v>
      </c>
      <c r="Y2062" t="s">
        <v>121</v>
      </c>
      <c r="Z2062" t="s">
        <v>94</v>
      </c>
      <c r="AA2062" t="s">
        <v>49</v>
      </c>
      <c r="AB2062" t="s">
        <v>50</v>
      </c>
      <c r="AC2062" s="2">
        <v>815408.71</v>
      </c>
      <c r="AD2062" t="s">
        <v>9721</v>
      </c>
      <c r="AE2062" t="s">
        <v>115</v>
      </c>
    </row>
    <row r="2063" spans="1:31" hidden="1" x14ac:dyDescent="0.25">
      <c r="I2063" t="s">
        <v>9722</v>
      </c>
      <c r="J2063" s="2">
        <v>218</v>
      </c>
      <c r="K2063" s="2">
        <v>1</v>
      </c>
      <c r="L2063" s="2">
        <v>1</v>
      </c>
      <c r="M2063" s="2">
        <v>0</v>
      </c>
      <c r="S2063" t="s">
        <v>9723</v>
      </c>
      <c r="U2063" t="s">
        <v>45</v>
      </c>
      <c r="V2063" t="s">
        <v>46</v>
      </c>
      <c r="W2063" t="s">
        <v>6239</v>
      </c>
      <c r="X2063" t="s">
        <v>6240</v>
      </c>
      <c r="Y2063" t="s">
        <v>85</v>
      </c>
      <c r="Z2063" t="s">
        <v>86</v>
      </c>
      <c r="AA2063" t="s">
        <v>49</v>
      </c>
      <c r="AC2063" s="2"/>
    </row>
    <row r="2064" spans="1:31" x14ac:dyDescent="0.25">
      <c r="A2064" t="s">
        <v>9724</v>
      </c>
      <c r="B2064" t="s">
        <v>9725</v>
      </c>
      <c r="C2064" t="s">
        <v>9725</v>
      </c>
      <c r="D2064" t="s">
        <v>331</v>
      </c>
      <c r="E2064" t="s">
        <v>224</v>
      </c>
      <c r="F2064" t="s">
        <v>78</v>
      </c>
      <c r="G2064" t="s">
        <v>2485</v>
      </c>
      <c r="H2064" t="s">
        <v>79</v>
      </c>
      <c r="I2064" t="s">
        <v>9726</v>
      </c>
      <c r="J2064" s="2">
        <v>218170</v>
      </c>
      <c r="K2064" s="2">
        <v>1000</v>
      </c>
      <c r="L2064" s="2">
        <v>21</v>
      </c>
      <c r="M2064" s="2">
        <v>0</v>
      </c>
      <c r="N2064" t="s">
        <v>495</v>
      </c>
      <c r="O2064" t="s">
        <v>79</v>
      </c>
      <c r="P2064" t="s">
        <v>3487</v>
      </c>
      <c r="Q2064" t="s">
        <v>3488</v>
      </c>
      <c r="S2064" t="s">
        <v>9727</v>
      </c>
      <c r="U2064" t="s">
        <v>45</v>
      </c>
      <c r="V2064" t="s">
        <v>46</v>
      </c>
      <c r="W2064" t="s">
        <v>495</v>
      </c>
      <c r="X2064" t="s">
        <v>79</v>
      </c>
      <c r="Y2064" t="s">
        <v>79</v>
      </c>
      <c r="Z2064" t="s">
        <v>94</v>
      </c>
      <c r="AA2064" t="s">
        <v>49</v>
      </c>
      <c r="AB2064" t="s">
        <v>50</v>
      </c>
      <c r="AC2064" s="2">
        <v>218170</v>
      </c>
      <c r="AD2064" t="s">
        <v>64</v>
      </c>
    </row>
    <row r="2065" spans="1:31" x14ac:dyDescent="0.25">
      <c r="A2065" t="s">
        <v>9728</v>
      </c>
      <c r="B2065" t="s">
        <v>9729</v>
      </c>
      <c r="C2065" t="s">
        <v>9729</v>
      </c>
      <c r="D2065" t="s">
        <v>2286</v>
      </c>
      <c r="E2065" t="s">
        <v>134</v>
      </c>
      <c r="F2065" t="s">
        <v>9730</v>
      </c>
      <c r="G2065" t="s">
        <v>1291</v>
      </c>
      <c r="H2065" t="s">
        <v>9731</v>
      </c>
      <c r="J2065" s="2">
        <v>436340</v>
      </c>
      <c r="K2065" s="2">
        <v>2000</v>
      </c>
      <c r="L2065" s="2">
        <v>15</v>
      </c>
      <c r="M2065" s="2">
        <v>0</v>
      </c>
      <c r="N2065" t="s">
        <v>9732</v>
      </c>
      <c r="O2065" t="s">
        <v>9731</v>
      </c>
      <c r="P2065" t="s">
        <v>5966</v>
      </c>
      <c r="Q2065" t="s">
        <v>5739</v>
      </c>
      <c r="S2065" t="s">
        <v>9733</v>
      </c>
      <c r="U2065" t="s">
        <v>45</v>
      </c>
      <c r="V2065" t="s">
        <v>46</v>
      </c>
      <c r="W2065" t="s">
        <v>9732</v>
      </c>
      <c r="X2065" t="s">
        <v>9731</v>
      </c>
      <c r="Y2065" t="s">
        <v>5743</v>
      </c>
      <c r="Z2065" t="s">
        <v>5744</v>
      </c>
      <c r="AA2065" t="s">
        <v>49</v>
      </c>
      <c r="AB2065" t="s">
        <v>50</v>
      </c>
      <c r="AC2065" s="2">
        <v>436340</v>
      </c>
      <c r="AD2065" t="s">
        <v>64</v>
      </c>
    </row>
    <row r="2066" spans="1:31" x14ac:dyDescent="0.25">
      <c r="A2066" t="s">
        <v>9734</v>
      </c>
      <c r="B2066" t="s">
        <v>9735</v>
      </c>
      <c r="C2066" t="s">
        <v>9735</v>
      </c>
      <c r="D2066" t="s">
        <v>125</v>
      </c>
      <c r="E2066" t="s">
        <v>126</v>
      </c>
      <c r="F2066" t="s">
        <v>9736</v>
      </c>
      <c r="G2066" t="s">
        <v>125</v>
      </c>
      <c r="H2066" t="s">
        <v>6728</v>
      </c>
      <c r="I2066" t="s">
        <v>9737</v>
      </c>
      <c r="J2066" s="2">
        <v>1309020</v>
      </c>
      <c r="K2066" s="2">
        <v>6000</v>
      </c>
      <c r="L2066" s="2">
        <v>15</v>
      </c>
      <c r="M2066" s="2">
        <v>0</v>
      </c>
      <c r="N2066" t="s">
        <v>6730</v>
      </c>
      <c r="O2066" t="s">
        <v>6728</v>
      </c>
      <c r="P2066" t="s">
        <v>557</v>
      </c>
      <c r="Q2066" t="s">
        <v>558</v>
      </c>
      <c r="S2066" t="s">
        <v>9738</v>
      </c>
      <c r="U2066" t="s">
        <v>45</v>
      </c>
      <c r="V2066" t="s">
        <v>46</v>
      </c>
      <c r="W2066" t="s">
        <v>6730</v>
      </c>
      <c r="X2066" t="s">
        <v>6728</v>
      </c>
      <c r="Y2066" t="s">
        <v>85</v>
      </c>
      <c r="Z2066" t="s">
        <v>86</v>
      </c>
      <c r="AA2066" t="s">
        <v>49</v>
      </c>
      <c r="AB2066" t="s">
        <v>50</v>
      </c>
      <c r="AC2066" s="2">
        <v>749831.35</v>
      </c>
      <c r="AD2066" t="s">
        <v>9739</v>
      </c>
      <c r="AE2066" t="s">
        <v>52</v>
      </c>
    </row>
    <row r="2067" spans="1:31" x14ac:dyDescent="0.25">
      <c r="A2067" t="s">
        <v>9740</v>
      </c>
      <c r="B2067" t="s">
        <v>9741</v>
      </c>
      <c r="C2067" t="s">
        <v>9741</v>
      </c>
      <c r="D2067" t="s">
        <v>153</v>
      </c>
      <c r="E2067" t="s">
        <v>272</v>
      </c>
      <c r="F2067" t="s">
        <v>9742</v>
      </c>
      <c r="J2067" s="2">
        <v>17454</v>
      </c>
      <c r="K2067" s="2">
        <v>80</v>
      </c>
      <c r="L2067" s="2">
        <v>1</v>
      </c>
      <c r="M2067" s="2">
        <v>0</v>
      </c>
      <c r="N2067" t="s">
        <v>40</v>
      </c>
      <c r="O2067" t="s">
        <v>41</v>
      </c>
      <c r="P2067" t="s">
        <v>42</v>
      </c>
      <c r="Q2067" t="s">
        <v>43</v>
      </c>
      <c r="U2067" t="s">
        <v>45</v>
      </c>
      <c r="V2067" t="s">
        <v>46</v>
      </c>
      <c r="W2067" t="s">
        <v>40</v>
      </c>
      <c r="X2067" t="s">
        <v>41</v>
      </c>
      <c r="Y2067" t="s">
        <v>47</v>
      </c>
      <c r="Z2067" t="s">
        <v>48</v>
      </c>
      <c r="AA2067" t="s">
        <v>141</v>
      </c>
      <c r="AB2067" t="s">
        <v>50</v>
      </c>
      <c r="AC2067" s="2">
        <v>12389.05</v>
      </c>
      <c r="AD2067" t="s">
        <v>9743</v>
      </c>
    </row>
    <row r="2068" spans="1:31" x14ac:dyDescent="0.25">
      <c r="A2068" t="s">
        <v>9744</v>
      </c>
      <c r="B2068" t="s">
        <v>9745</v>
      </c>
      <c r="C2068" t="s">
        <v>9745</v>
      </c>
      <c r="D2068" t="s">
        <v>178</v>
      </c>
      <c r="E2068" t="s">
        <v>179</v>
      </c>
      <c r="F2068" t="s">
        <v>9746</v>
      </c>
      <c r="G2068" t="s">
        <v>649</v>
      </c>
      <c r="H2068" t="s">
        <v>9747</v>
      </c>
      <c r="I2068" t="s">
        <v>9748</v>
      </c>
      <c r="J2068" s="2">
        <v>218170</v>
      </c>
      <c r="K2068" s="2">
        <v>1000</v>
      </c>
      <c r="L2068" s="2">
        <v>15</v>
      </c>
      <c r="M2068" s="2">
        <v>0</v>
      </c>
      <c r="N2068" t="s">
        <v>9749</v>
      </c>
      <c r="O2068" t="s">
        <v>9750</v>
      </c>
      <c r="P2068" t="s">
        <v>3534</v>
      </c>
      <c r="Q2068" t="s">
        <v>3535</v>
      </c>
      <c r="S2068" t="s">
        <v>9751</v>
      </c>
      <c r="U2068" t="s">
        <v>45</v>
      </c>
      <c r="V2068" t="s">
        <v>46</v>
      </c>
      <c r="W2068" t="s">
        <v>9749</v>
      </c>
      <c r="X2068" t="s">
        <v>9750</v>
      </c>
      <c r="Y2068" t="s">
        <v>137</v>
      </c>
      <c r="Z2068" t="s">
        <v>717</v>
      </c>
      <c r="AA2068" t="s">
        <v>49</v>
      </c>
      <c r="AB2068" t="s">
        <v>50</v>
      </c>
      <c r="AC2068" s="2">
        <v>208770.32</v>
      </c>
      <c r="AD2068" t="s">
        <v>9752</v>
      </c>
      <c r="AE2068" t="s">
        <v>115</v>
      </c>
    </row>
    <row r="2069" spans="1:31" hidden="1" x14ac:dyDescent="0.25">
      <c r="A2069" t="s">
        <v>9753</v>
      </c>
      <c r="B2069" t="s">
        <v>9754</v>
      </c>
      <c r="C2069" t="s">
        <v>9754</v>
      </c>
      <c r="F2069" t="s">
        <v>9755</v>
      </c>
      <c r="H2069" t="s">
        <v>6240</v>
      </c>
      <c r="I2069" t="s">
        <v>9756</v>
      </c>
      <c r="J2069" s="2">
        <v>109085</v>
      </c>
      <c r="K2069" s="2">
        <v>500</v>
      </c>
      <c r="L2069" s="2">
        <v>15</v>
      </c>
      <c r="M2069" s="2">
        <v>0</v>
      </c>
      <c r="N2069" t="s">
        <v>6239</v>
      </c>
      <c r="O2069" t="s">
        <v>6240</v>
      </c>
      <c r="P2069" t="s">
        <v>82</v>
      </c>
      <c r="Q2069" t="s">
        <v>83</v>
      </c>
      <c r="S2069" t="s">
        <v>9757</v>
      </c>
      <c r="U2069" t="s">
        <v>45</v>
      </c>
      <c r="V2069" t="s">
        <v>46</v>
      </c>
      <c r="W2069" t="s">
        <v>6239</v>
      </c>
      <c r="X2069" t="s">
        <v>6240</v>
      </c>
      <c r="Y2069" t="s">
        <v>85</v>
      </c>
      <c r="Z2069" t="s">
        <v>86</v>
      </c>
      <c r="AA2069" t="s">
        <v>49</v>
      </c>
      <c r="AB2069" t="s">
        <v>50</v>
      </c>
      <c r="AC2069" s="2">
        <v>109085</v>
      </c>
      <c r="AD2069" t="s">
        <v>64</v>
      </c>
    </row>
    <row r="2070" spans="1:31" x14ac:dyDescent="0.25">
      <c r="A2070" t="s">
        <v>9758</v>
      </c>
      <c r="B2070" t="s">
        <v>9759</v>
      </c>
      <c r="C2070" t="s">
        <v>9759</v>
      </c>
      <c r="D2070" t="s">
        <v>297</v>
      </c>
      <c r="E2070" t="s">
        <v>167</v>
      </c>
      <c r="F2070" t="s">
        <v>9760</v>
      </c>
      <c r="G2070" t="s">
        <v>297</v>
      </c>
      <c r="H2070" t="s">
        <v>79</v>
      </c>
      <c r="I2070" t="s">
        <v>9761</v>
      </c>
      <c r="J2070" s="2">
        <v>109085</v>
      </c>
      <c r="K2070" s="2">
        <v>500</v>
      </c>
      <c r="L2070" s="2">
        <v>15</v>
      </c>
      <c r="M2070" s="2">
        <v>0</v>
      </c>
      <c r="N2070" t="s">
        <v>495</v>
      </c>
      <c r="O2070" t="s">
        <v>79</v>
      </c>
      <c r="P2070" t="s">
        <v>3487</v>
      </c>
      <c r="Q2070" t="s">
        <v>3488</v>
      </c>
      <c r="S2070" t="s">
        <v>9762</v>
      </c>
      <c r="U2070" t="s">
        <v>45</v>
      </c>
      <c r="V2070" t="s">
        <v>46</v>
      </c>
      <c r="W2070" t="s">
        <v>495</v>
      </c>
      <c r="X2070" t="s">
        <v>79</v>
      </c>
      <c r="Y2070" t="s">
        <v>79</v>
      </c>
      <c r="Z2070" t="s">
        <v>94</v>
      </c>
      <c r="AA2070" t="s">
        <v>49</v>
      </c>
      <c r="AB2070" t="s">
        <v>50</v>
      </c>
      <c r="AC2070" s="2">
        <v>9668.85</v>
      </c>
      <c r="AD2070" t="s">
        <v>9763</v>
      </c>
      <c r="AE2070" t="s">
        <v>52</v>
      </c>
    </row>
    <row r="2071" spans="1:31" x14ac:dyDescent="0.25">
      <c r="A2071" t="s">
        <v>9764</v>
      </c>
      <c r="B2071" t="s">
        <v>9765</v>
      </c>
      <c r="C2071" t="s">
        <v>9765</v>
      </c>
      <c r="D2071" t="s">
        <v>125</v>
      </c>
      <c r="E2071" t="s">
        <v>126</v>
      </c>
      <c r="F2071" t="s">
        <v>9766</v>
      </c>
      <c r="G2071" t="s">
        <v>125</v>
      </c>
      <c r="H2071" t="s">
        <v>9767</v>
      </c>
      <c r="I2071" t="s">
        <v>9768</v>
      </c>
      <c r="J2071" s="2">
        <v>1101759</v>
      </c>
      <c r="K2071" s="2">
        <v>5050</v>
      </c>
      <c r="L2071" s="2">
        <v>25</v>
      </c>
      <c r="M2071" s="2">
        <v>0</v>
      </c>
      <c r="N2071" t="s">
        <v>9769</v>
      </c>
      <c r="O2071" t="s">
        <v>9767</v>
      </c>
      <c r="P2071" t="s">
        <v>5966</v>
      </c>
      <c r="Q2071" t="s">
        <v>5739</v>
      </c>
      <c r="S2071" t="s">
        <v>9770</v>
      </c>
      <c r="U2071" t="s">
        <v>45</v>
      </c>
      <c r="V2071" t="s">
        <v>46</v>
      </c>
      <c r="W2071" t="s">
        <v>9769</v>
      </c>
      <c r="X2071" t="s">
        <v>9767</v>
      </c>
      <c r="Y2071" t="s">
        <v>5743</v>
      </c>
      <c r="Z2071" t="s">
        <v>5744</v>
      </c>
      <c r="AA2071" t="s">
        <v>49</v>
      </c>
      <c r="AB2071" t="s">
        <v>50</v>
      </c>
      <c r="AC2071" s="2">
        <v>415078.34</v>
      </c>
      <c r="AD2071" t="s">
        <v>9771</v>
      </c>
      <c r="AE2071" t="s">
        <v>52</v>
      </c>
    </row>
    <row r="2072" spans="1:31" x14ac:dyDescent="0.25">
      <c r="A2072" t="s">
        <v>9772</v>
      </c>
      <c r="B2072" t="s">
        <v>9773</v>
      </c>
      <c r="C2072" t="s">
        <v>9773</v>
      </c>
      <c r="D2072" t="s">
        <v>9774</v>
      </c>
      <c r="E2072" t="s">
        <v>134</v>
      </c>
      <c r="F2072" t="s">
        <v>9775</v>
      </c>
      <c r="G2072" t="s">
        <v>2661</v>
      </c>
      <c r="H2072" t="s">
        <v>911</v>
      </c>
      <c r="I2072" t="s">
        <v>9776</v>
      </c>
      <c r="J2072" s="2">
        <v>109085</v>
      </c>
      <c r="K2072" s="2">
        <v>500</v>
      </c>
      <c r="L2072" s="2">
        <v>21</v>
      </c>
      <c r="M2072" s="2">
        <v>0</v>
      </c>
      <c r="N2072" t="s">
        <v>913</v>
      </c>
      <c r="O2072" t="s">
        <v>914</v>
      </c>
      <c r="P2072" t="s">
        <v>103</v>
      </c>
      <c r="Q2072" t="s">
        <v>104</v>
      </c>
      <c r="S2072" t="s">
        <v>9777</v>
      </c>
      <c r="U2072" t="s">
        <v>45</v>
      </c>
      <c r="V2072" t="s">
        <v>46</v>
      </c>
      <c r="W2072" t="s">
        <v>913</v>
      </c>
      <c r="X2072" t="s">
        <v>914</v>
      </c>
      <c r="Y2072" t="s">
        <v>106</v>
      </c>
      <c r="Z2072" t="s">
        <v>107</v>
      </c>
      <c r="AA2072" t="s">
        <v>49</v>
      </c>
      <c r="AB2072" t="s">
        <v>50</v>
      </c>
      <c r="AC2072" s="2">
        <v>109085</v>
      </c>
      <c r="AD2072" t="s">
        <v>64</v>
      </c>
    </row>
    <row r="2073" spans="1:31" hidden="1" x14ac:dyDescent="0.25">
      <c r="A2073" t="s">
        <v>9778</v>
      </c>
      <c r="B2073" t="s">
        <v>9779</v>
      </c>
      <c r="C2073" t="s">
        <v>9779</v>
      </c>
      <c r="F2073" t="s">
        <v>9780</v>
      </c>
      <c r="J2073" s="2">
        <v>1000</v>
      </c>
      <c r="K2073" s="2">
        <v>0</v>
      </c>
      <c r="L2073" s="2">
        <v>1</v>
      </c>
      <c r="M2073" s="2">
        <v>0</v>
      </c>
      <c r="N2073" t="s">
        <v>1427</v>
      </c>
      <c r="O2073" t="s">
        <v>1428</v>
      </c>
      <c r="P2073" t="s">
        <v>82</v>
      </c>
      <c r="Q2073" t="s">
        <v>83</v>
      </c>
      <c r="U2073" t="s">
        <v>45</v>
      </c>
      <c r="V2073" t="s">
        <v>46</v>
      </c>
      <c r="W2073" t="s">
        <v>1427</v>
      </c>
      <c r="X2073" t="s">
        <v>1430</v>
      </c>
      <c r="Y2073" t="s">
        <v>85</v>
      </c>
      <c r="Z2073" t="s">
        <v>86</v>
      </c>
      <c r="AA2073" t="s">
        <v>49</v>
      </c>
      <c r="AB2073" t="s">
        <v>50</v>
      </c>
      <c r="AC2073" s="2">
        <v>1000</v>
      </c>
      <c r="AD2073" t="s">
        <v>64</v>
      </c>
    </row>
    <row r="2074" spans="1:31" x14ac:dyDescent="0.25">
      <c r="A2074" t="s">
        <v>9781</v>
      </c>
      <c r="B2074" t="s">
        <v>9782</v>
      </c>
      <c r="C2074" t="s">
        <v>9782</v>
      </c>
      <c r="D2074" t="s">
        <v>847</v>
      </c>
      <c r="E2074" t="s">
        <v>848</v>
      </c>
      <c r="F2074" t="s">
        <v>9780</v>
      </c>
      <c r="G2074" t="s">
        <v>299</v>
      </c>
      <c r="H2074" t="s">
        <v>9783</v>
      </c>
      <c r="I2074" t="s">
        <v>9784</v>
      </c>
      <c r="J2074" s="2">
        <v>174536</v>
      </c>
      <c r="K2074" s="2">
        <v>800</v>
      </c>
      <c r="L2074" s="2">
        <v>15</v>
      </c>
      <c r="M2074" s="2">
        <v>0</v>
      </c>
      <c r="N2074" t="s">
        <v>1427</v>
      </c>
      <c r="O2074" t="s">
        <v>1428</v>
      </c>
      <c r="P2074" t="s">
        <v>82</v>
      </c>
      <c r="Q2074" t="s">
        <v>83</v>
      </c>
      <c r="S2074" t="s">
        <v>9785</v>
      </c>
      <c r="U2074" t="s">
        <v>45</v>
      </c>
      <c r="V2074" t="s">
        <v>46</v>
      </c>
      <c r="W2074" t="s">
        <v>1427</v>
      </c>
      <c r="X2074" t="s">
        <v>1430</v>
      </c>
      <c r="Y2074" t="s">
        <v>85</v>
      </c>
      <c r="Z2074" t="s">
        <v>86</v>
      </c>
      <c r="AA2074" t="s">
        <v>49</v>
      </c>
      <c r="AB2074" t="s">
        <v>50</v>
      </c>
      <c r="AC2074" s="2">
        <v>158501.14000000001</v>
      </c>
      <c r="AD2074" t="s">
        <v>9786</v>
      </c>
      <c r="AE2074" t="s">
        <v>52</v>
      </c>
    </row>
    <row r="2075" spans="1:31" x14ac:dyDescent="0.25">
      <c r="A2075" t="s">
        <v>9787</v>
      </c>
      <c r="B2075" t="s">
        <v>9788</v>
      </c>
      <c r="C2075" t="s">
        <v>9788</v>
      </c>
      <c r="D2075" t="s">
        <v>125</v>
      </c>
      <c r="E2075" t="s">
        <v>126</v>
      </c>
      <c r="F2075" t="s">
        <v>9780</v>
      </c>
      <c r="G2075" t="s">
        <v>299</v>
      </c>
      <c r="H2075" t="s">
        <v>1425</v>
      </c>
      <c r="I2075" t="s">
        <v>9789</v>
      </c>
      <c r="J2075" s="2">
        <v>174536</v>
      </c>
      <c r="K2075" s="2">
        <v>800</v>
      </c>
      <c r="L2075" s="2">
        <v>15</v>
      </c>
      <c r="M2075" s="2">
        <v>0</v>
      </c>
      <c r="N2075" t="s">
        <v>1427</v>
      </c>
      <c r="O2075" t="s">
        <v>1428</v>
      </c>
      <c r="P2075" t="s">
        <v>82</v>
      </c>
      <c r="Q2075" t="s">
        <v>83</v>
      </c>
      <c r="S2075" t="s">
        <v>9785</v>
      </c>
      <c r="U2075" t="s">
        <v>45</v>
      </c>
      <c r="V2075" t="s">
        <v>46</v>
      </c>
      <c r="W2075" t="s">
        <v>1427</v>
      </c>
      <c r="X2075" t="s">
        <v>1430</v>
      </c>
      <c r="Y2075" t="s">
        <v>85</v>
      </c>
      <c r="Z2075" t="s">
        <v>86</v>
      </c>
      <c r="AA2075" t="s">
        <v>49</v>
      </c>
      <c r="AB2075" t="s">
        <v>50</v>
      </c>
      <c r="AC2075" s="2">
        <v>131687.59</v>
      </c>
      <c r="AD2075" t="s">
        <v>9790</v>
      </c>
      <c r="AE2075" t="s">
        <v>52</v>
      </c>
    </row>
    <row r="2076" spans="1:31" x14ac:dyDescent="0.25">
      <c r="A2076" t="s">
        <v>9791</v>
      </c>
      <c r="B2076" t="s">
        <v>9792</v>
      </c>
      <c r="C2076" t="s">
        <v>9792</v>
      </c>
      <c r="D2076" t="s">
        <v>1289</v>
      </c>
      <c r="E2076" t="s">
        <v>224</v>
      </c>
      <c r="F2076" t="s">
        <v>9793</v>
      </c>
      <c r="H2076" t="s">
        <v>303</v>
      </c>
      <c r="J2076" s="2">
        <v>10909</v>
      </c>
      <c r="K2076" s="2">
        <v>50</v>
      </c>
      <c r="L2076" s="2">
        <v>7</v>
      </c>
      <c r="M2076" s="2">
        <v>0</v>
      </c>
      <c r="N2076" t="s">
        <v>302</v>
      </c>
      <c r="O2076" t="s">
        <v>303</v>
      </c>
      <c r="P2076" t="s">
        <v>304</v>
      </c>
      <c r="Q2076" t="s">
        <v>72</v>
      </c>
      <c r="S2076" t="s">
        <v>9794</v>
      </c>
      <c r="U2076" t="s">
        <v>45</v>
      </c>
      <c r="V2076" t="s">
        <v>46</v>
      </c>
      <c r="W2076" t="s">
        <v>302</v>
      </c>
      <c r="X2076" t="s">
        <v>303</v>
      </c>
      <c r="Y2076" t="s">
        <v>72</v>
      </c>
      <c r="Z2076" t="s">
        <v>68</v>
      </c>
      <c r="AA2076" t="s">
        <v>49</v>
      </c>
      <c r="AB2076" t="s">
        <v>50</v>
      </c>
      <c r="AC2076" s="2">
        <v>10909</v>
      </c>
      <c r="AD2076" t="s">
        <v>64</v>
      </c>
    </row>
    <row r="2077" spans="1:31" x14ac:dyDescent="0.25">
      <c r="A2077" t="s">
        <v>9795</v>
      </c>
      <c r="B2077" t="s">
        <v>9796</v>
      </c>
      <c r="C2077" t="s">
        <v>9796</v>
      </c>
      <c r="D2077" t="s">
        <v>153</v>
      </c>
      <c r="E2077" t="s">
        <v>272</v>
      </c>
      <c r="F2077" t="s">
        <v>9797</v>
      </c>
      <c r="G2077" t="s">
        <v>153</v>
      </c>
      <c r="H2077" t="s">
        <v>303</v>
      </c>
      <c r="J2077" s="2">
        <v>65451</v>
      </c>
      <c r="K2077" s="2">
        <v>300</v>
      </c>
      <c r="L2077" s="2">
        <v>7</v>
      </c>
      <c r="M2077" s="2">
        <v>0</v>
      </c>
      <c r="N2077" t="s">
        <v>302</v>
      </c>
      <c r="O2077" t="s">
        <v>303</v>
      </c>
      <c r="P2077" t="s">
        <v>304</v>
      </c>
      <c r="Q2077" t="s">
        <v>72</v>
      </c>
      <c r="S2077" t="s">
        <v>9798</v>
      </c>
      <c r="U2077" t="s">
        <v>45</v>
      </c>
      <c r="V2077" t="s">
        <v>46</v>
      </c>
      <c r="W2077" t="s">
        <v>302</v>
      </c>
      <c r="X2077" t="s">
        <v>303</v>
      </c>
      <c r="Y2077" t="s">
        <v>72</v>
      </c>
      <c r="Z2077" t="s">
        <v>68</v>
      </c>
      <c r="AA2077" t="s">
        <v>49</v>
      </c>
      <c r="AB2077" t="s">
        <v>50</v>
      </c>
      <c r="AC2077" s="2">
        <v>51973.33</v>
      </c>
      <c r="AD2077" t="s">
        <v>9799</v>
      </c>
      <c r="AE2077" t="s">
        <v>52</v>
      </c>
    </row>
    <row r="2078" spans="1:31" x14ac:dyDescent="0.25">
      <c r="A2078" t="s">
        <v>9800</v>
      </c>
      <c r="B2078" t="s">
        <v>9801</v>
      </c>
      <c r="C2078" t="s">
        <v>9801</v>
      </c>
      <c r="D2078" t="s">
        <v>847</v>
      </c>
      <c r="E2078" t="s">
        <v>848</v>
      </c>
      <c r="F2078" t="s">
        <v>9802</v>
      </c>
      <c r="G2078" t="s">
        <v>847</v>
      </c>
      <c r="H2078" t="s">
        <v>5739</v>
      </c>
      <c r="I2078" t="s">
        <v>7385</v>
      </c>
      <c r="J2078" s="2">
        <v>2181700</v>
      </c>
      <c r="K2078" s="2">
        <v>10000</v>
      </c>
      <c r="L2078" s="2">
        <v>30</v>
      </c>
      <c r="M2078" s="2">
        <v>0</v>
      </c>
      <c r="N2078" t="s">
        <v>5741</v>
      </c>
      <c r="O2078" t="s">
        <v>5739</v>
      </c>
      <c r="P2078" t="s">
        <v>2320</v>
      </c>
      <c r="Q2078" t="s">
        <v>2321</v>
      </c>
      <c r="S2078" t="s">
        <v>9803</v>
      </c>
      <c r="U2078" t="s">
        <v>45</v>
      </c>
      <c r="V2078" t="s">
        <v>46</v>
      </c>
      <c r="W2078" t="s">
        <v>5741</v>
      </c>
      <c r="X2078" t="s">
        <v>5739</v>
      </c>
      <c r="Y2078" t="s">
        <v>5743</v>
      </c>
      <c r="Z2078" t="s">
        <v>5744</v>
      </c>
      <c r="AA2078" t="s">
        <v>49</v>
      </c>
      <c r="AB2078" t="s">
        <v>50</v>
      </c>
      <c r="AC2078" s="2">
        <v>402844.92</v>
      </c>
      <c r="AD2078" t="s">
        <v>9804</v>
      </c>
      <c r="AE2078" t="s">
        <v>115</v>
      </c>
    </row>
    <row r="2079" spans="1:31" x14ac:dyDescent="0.25">
      <c r="A2079" t="s">
        <v>9805</v>
      </c>
      <c r="B2079" t="s">
        <v>9806</v>
      </c>
      <c r="C2079" t="s">
        <v>9806</v>
      </c>
      <c r="D2079" t="s">
        <v>847</v>
      </c>
      <c r="E2079" t="s">
        <v>848</v>
      </c>
      <c r="F2079" t="s">
        <v>9807</v>
      </c>
      <c r="G2079" t="s">
        <v>847</v>
      </c>
      <c r="H2079" t="s">
        <v>7491</v>
      </c>
      <c r="I2079" t="s">
        <v>7385</v>
      </c>
      <c r="J2079" s="2">
        <v>4621000</v>
      </c>
      <c r="K2079" s="2">
        <v>20000</v>
      </c>
      <c r="L2079" s="2">
        <v>30</v>
      </c>
      <c r="M2079" s="2">
        <v>0</v>
      </c>
      <c r="N2079" t="s">
        <v>7490</v>
      </c>
      <c r="O2079" t="s">
        <v>7491</v>
      </c>
      <c r="P2079" t="s">
        <v>2320</v>
      </c>
      <c r="Q2079" t="s">
        <v>2321</v>
      </c>
      <c r="S2079" t="s">
        <v>9808</v>
      </c>
      <c r="U2079" t="s">
        <v>45</v>
      </c>
      <c r="V2079" t="s">
        <v>46</v>
      </c>
      <c r="W2079" t="s">
        <v>7490</v>
      </c>
      <c r="X2079" t="s">
        <v>7491</v>
      </c>
      <c r="Y2079" t="s">
        <v>7493</v>
      </c>
      <c r="Z2079" t="s">
        <v>7494</v>
      </c>
      <c r="AA2079" t="s">
        <v>49</v>
      </c>
      <c r="AB2079" t="s">
        <v>50</v>
      </c>
      <c r="AC2079" s="2">
        <v>1301482.01</v>
      </c>
      <c r="AD2079" t="s">
        <v>9809</v>
      </c>
      <c r="AE2079" t="s">
        <v>115</v>
      </c>
    </row>
    <row r="2080" spans="1:31" x14ac:dyDescent="0.25">
      <c r="A2080" t="s">
        <v>9810</v>
      </c>
      <c r="B2080" t="s">
        <v>9811</v>
      </c>
      <c r="C2080" t="s">
        <v>9811</v>
      </c>
      <c r="D2080" t="s">
        <v>847</v>
      </c>
      <c r="E2080" t="s">
        <v>848</v>
      </c>
      <c r="F2080" t="s">
        <v>9812</v>
      </c>
      <c r="G2080" t="s">
        <v>847</v>
      </c>
      <c r="H2080" t="s">
        <v>9813</v>
      </c>
      <c r="I2080" t="s">
        <v>7385</v>
      </c>
      <c r="J2080" s="2">
        <v>2618040</v>
      </c>
      <c r="K2080" s="2">
        <v>12000</v>
      </c>
      <c r="L2080" s="2">
        <v>30</v>
      </c>
      <c r="M2080" s="2">
        <v>0</v>
      </c>
      <c r="N2080" t="s">
        <v>6057</v>
      </c>
      <c r="O2080" t="s">
        <v>6058</v>
      </c>
      <c r="P2080" t="s">
        <v>2320</v>
      </c>
      <c r="Q2080" t="s">
        <v>2321</v>
      </c>
      <c r="S2080" t="s">
        <v>9814</v>
      </c>
      <c r="U2080" t="s">
        <v>45</v>
      </c>
      <c r="V2080" t="s">
        <v>46</v>
      </c>
      <c r="W2080" t="s">
        <v>6057</v>
      </c>
      <c r="X2080" t="s">
        <v>6058</v>
      </c>
      <c r="Y2080" t="s">
        <v>5743</v>
      </c>
      <c r="Z2080" t="s">
        <v>5744</v>
      </c>
      <c r="AA2080" t="s">
        <v>49</v>
      </c>
      <c r="AB2080" t="s">
        <v>50</v>
      </c>
      <c r="AC2080" s="2">
        <v>309404.94</v>
      </c>
      <c r="AD2080" t="s">
        <v>9815</v>
      </c>
      <c r="AE2080" t="s">
        <v>115</v>
      </c>
    </row>
    <row r="2081" spans="1:31" x14ac:dyDescent="0.25">
      <c r="A2081" t="s">
        <v>9816</v>
      </c>
      <c r="B2081" t="s">
        <v>9817</v>
      </c>
      <c r="C2081" t="s">
        <v>9817</v>
      </c>
      <c r="D2081" t="s">
        <v>847</v>
      </c>
      <c r="E2081" t="s">
        <v>848</v>
      </c>
      <c r="F2081" t="s">
        <v>9818</v>
      </c>
      <c r="G2081" t="s">
        <v>847</v>
      </c>
      <c r="H2081" t="s">
        <v>5739</v>
      </c>
      <c r="I2081" t="s">
        <v>7385</v>
      </c>
      <c r="J2081" s="2">
        <v>1449453</v>
      </c>
      <c r="K2081" s="2">
        <v>5900</v>
      </c>
      <c r="L2081" s="2">
        <v>30</v>
      </c>
      <c r="M2081" s="2">
        <v>0</v>
      </c>
      <c r="N2081" t="s">
        <v>5741</v>
      </c>
      <c r="O2081" t="s">
        <v>5739</v>
      </c>
      <c r="P2081" t="s">
        <v>2320</v>
      </c>
      <c r="Q2081" t="s">
        <v>2321</v>
      </c>
      <c r="S2081" t="s">
        <v>9819</v>
      </c>
      <c r="U2081" t="s">
        <v>45</v>
      </c>
      <c r="V2081" t="s">
        <v>46</v>
      </c>
      <c r="W2081" t="s">
        <v>5741</v>
      </c>
      <c r="X2081" t="s">
        <v>5739</v>
      </c>
      <c r="Y2081" t="s">
        <v>5743</v>
      </c>
      <c r="Z2081" t="s">
        <v>5744</v>
      </c>
      <c r="AA2081" t="s">
        <v>49</v>
      </c>
      <c r="AB2081" t="s">
        <v>50</v>
      </c>
      <c r="AC2081" s="2">
        <v>19738.939999999999</v>
      </c>
      <c r="AD2081" t="s">
        <v>9820</v>
      </c>
      <c r="AE2081" t="s">
        <v>115</v>
      </c>
    </row>
    <row r="2082" spans="1:31" x14ac:dyDescent="0.25">
      <c r="A2082" t="s">
        <v>9821</v>
      </c>
      <c r="B2082" t="s">
        <v>9822</v>
      </c>
      <c r="C2082" t="s">
        <v>9822</v>
      </c>
      <c r="D2082" t="s">
        <v>847</v>
      </c>
      <c r="E2082" t="s">
        <v>848</v>
      </c>
      <c r="F2082" t="s">
        <v>9823</v>
      </c>
      <c r="G2082" t="s">
        <v>847</v>
      </c>
      <c r="H2082" t="s">
        <v>5739</v>
      </c>
      <c r="I2082" t="s">
        <v>7385</v>
      </c>
      <c r="J2082" s="2">
        <v>3036280</v>
      </c>
      <c r="K2082" s="2">
        <v>13000</v>
      </c>
      <c r="L2082" s="2">
        <v>30</v>
      </c>
      <c r="M2082" s="2">
        <v>0</v>
      </c>
      <c r="N2082" t="s">
        <v>5741</v>
      </c>
      <c r="O2082" t="s">
        <v>5739</v>
      </c>
      <c r="P2082" t="s">
        <v>2320</v>
      </c>
      <c r="Q2082" t="s">
        <v>2321</v>
      </c>
      <c r="S2082" t="s">
        <v>9824</v>
      </c>
      <c r="U2082" t="s">
        <v>45</v>
      </c>
      <c r="V2082" t="s">
        <v>46</v>
      </c>
      <c r="W2082" t="s">
        <v>5741</v>
      </c>
      <c r="X2082" t="s">
        <v>5739</v>
      </c>
      <c r="Y2082" t="s">
        <v>5743</v>
      </c>
      <c r="Z2082" t="s">
        <v>5744</v>
      </c>
      <c r="AA2082" t="s">
        <v>49</v>
      </c>
      <c r="AB2082" t="s">
        <v>50</v>
      </c>
      <c r="AC2082" s="2">
        <v>19645.36</v>
      </c>
      <c r="AD2082" t="s">
        <v>9825</v>
      </c>
      <c r="AE2082" t="s">
        <v>115</v>
      </c>
    </row>
    <row r="2083" spans="1:31" x14ac:dyDescent="0.25">
      <c r="A2083" t="s">
        <v>9826</v>
      </c>
      <c r="B2083" t="s">
        <v>9827</v>
      </c>
      <c r="C2083" t="s">
        <v>9827</v>
      </c>
      <c r="D2083" t="s">
        <v>847</v>
      </c>
      <c r="E2083" t="s">
        <v>848</v>
      </c>
      <c r="F2083" t="s">
        <v>9828</v>
      </c>
      <c r="G2083" t="s">
        <v>847</v>
      </c>
      <c r="H2083" t="s">
        <v>5739</v>
      </c>
      <c r="I2083" t="s">
        <v>7385</v>
      </c>
      <c r="J2083" s="2">
        <v>3465750</v>
      </c>
      <c r="K2083" s="2">
        <v>15000</v>
      </c>
      <c r="L2083" s="2">
        <v>30</v>
      </c>
      <c r="M2083" s="2">
        <v>0</v>
      </c>
      <c r="N2083" t="s">
        <v>5741</v>
      </c>
      <c r="O2083" t="s">
        <v>5739</v>
      </c>
      <c r="P2083" t="s">
        <v>2320</v>
      </c>
      <c r="Q2083" t="s">
        <v>2321</v>
      </c>
      <c r="S2083" t="s">
        <v>9829</v>
      </c>
      <c r="U2083" t="s">
        <v>45</v>
      </c>
      <c r="V2083" t="s">
        <v>46</v>
      </c>
      <c r="W2083" t="s">
        <v>5741</v>
      </c>
      <c r="X2083" t="s">
        <v>5739</v>
      </c>
      <c r="Y2083" t="s">
        <v>5743</v>
      </c>
      <c r="Z2083" t="s">
        <v>5744</v>
      </c>
      <c r="AA2083" t="s">
        <v>49</v>
      </c>
      <c r="AB2083" t="s">
        <v>50</v>
      </c>
      <c r="AC2083" s="2">
        <v>2312903.36</v>
      </c>
      <c r="AD2083" t="s">
        <v>9830</v>
      </c>
      <c r="AE2083" t="s">
        <v>115</v>
      </c>
    </row>
    <row r="2084" spans="1:31" x14ac:dyDescent="0.25">
      <c r="A2084" t="s">
        <v>9831</v>
      </c>
      <c r="B2084" t="s">
        <v>9832</v>
      </c>
      <c r="C2084" t="s">
        <v>9832</v>
      </c>
      <c r="D2084" t="s">
        <v>847</v>
      </c>
      <c r="E2084" t="s">
        <v>848</v>
      </c>
      <c r="F2084" t="s">
        <v>9833</v>
      </c>
      <c r="G2084" t="s">
        <v>847</v>
      </c>
      <c r="H2084" t="s">
        <v>9834</v>
      </c>
      <c r="I2084" t="s">
        <v>7385</v>
      </c>
      <c r="J2084" s="2">
        <v>1090850</v>
      </c>
      <c r="K2084" s="2">
        <v>5000</v>
      </c>
      <c r="L2084" s="2">
        <v>30</v>
      </c>
      <c r="M2084" s="2">
        <v>0</v>
      </c>
      <c r="N2084" t="s">
        <v>9588</v>
      </c>
      <c r="O2084" t="s">
        <v>9589</v>
      </c>
      <c r="P2084" t="s">
        <v>2320</v>
      </c>
      <c r="Q2084" t="s">
        <v>2321</v>
      </c>
      <c r="S2084" t="s">
        <v>9835</v>
      </c>
      <c r="U2084" t="s">
        <v>45</v>
      </c>
      <c r="V2084" t="s">
        <v>46</v>
      </c>
      <c r="W2084" t="s">
        <v>9588</v>
      </c>
      <c r="X2084" t="s">
        <v>9587</v>
      </c>
      <c r="Y2084" t="s">
        <v>5743</v>
      </c>
      <c r="Z2084" t="s">
        <v>5744</v>
      </c>
      <c r="AA2084" t="s">
        <v>49</v>
      </c>
      <c r="AB2084" t="s">
        <v>50</v>
      </c>
      <c r="AC2084" s="2">
        <v>237034.57</v>
      </c>
      <c r="AD2084" t="s">
        <v>9836</v>
      </c>
      <c r="AE2084" t="s">
        <v>115</v>
      </c>
    </row>
    <row r="2085" spans="1:31" x14ac:dyDescent="0.25">
      <c r="A2085" t="s">
        <v>9837</v>
      </c>
      <c r="B2085" t="s">
        <v>9838</v>
      </c>
      <c r="C2085" t="s">
        <v>9838</v>
      </c>
      <c r="D2085" t="s">
        <v>847</v>
      </c>
      <c r="E2085" t="s">
        <v>848</v>
      </c>
      <c r="F2085" t="s">
        <v>9839</v>
      </c>
      <c r="G2085" t="s">
        <v>847</v>
      </c>
      <c r="H2085" t="s">
        <v>6055</v>
      </c>
      <c r="I2085" t="s">
        <v>7385</v>
      </c>
      <c r="J2085" s="2">
        <v>2181700</v>
      </c>
      <c r="K2085" s="2">
        <v>10000</v>
      </c>
      <c r="L2085" s="2">
        <v>30</v>
      </c>
      <c r="M2085" s="2">
        <v>0</v>
      </c>
      <c r="N2085" t="s">
        <v>6057</v>
      </c>
      <c r="O2085" t="s">
        <v>6058</v>
      </c>
      <c r="P2085" t="s">
        <v>2320</v>
      </c>
      <c r="Q2085" t="s">
        <v>2321</v>
      </c>
      <c r="S2085" t="s">
        <v>9840</v>
      </c>
      <c r="U2085" t="s">
        <v>45</v>
      </c>
      <c r="V2085" t="s">
        <v>46</v>
      </c>
      <c r="W2085" t="s">
        <v>6057</v>
      </c>
      <c r="X2085" t="s">
        <v>6058</v>
      </c>
      <c r="Y2085" t="s">
        <v>5743</v>
      </c>
      <c r="Z2085" t="s">
        <v>5744</v>
      </c>
      <c r="AA2085" t="s">
        <v>49</v>
      </c>
      <c r="AB2085" t="s">
        <v>50</v>
      </c>
      <c r="AC2085" s="2">
        <v>211153.82</v>
      </c>
      <c r="AD2085" t="s">
        <v>9841</v>
      </c>
      <c r="AE2085" t="s">
        <v>115</v>
      </c>
    </row>
    <row r="2086" spans="1:31" x14ac:dyDescent="0.25">
      <c r="A2086" t="s">
        <v>9842</v>
      </c>
      <c r="B2086" t="s">
        <v>9843</v>
      </c>
      <c r="C2086" t="s">
        <v>9843</v>
      </c>
      <c r="D2086" t="s">
        <v>847</v>
      </c>
      <c r="E2086" t="s">
        <v>848</v>
      </c>
      <c r="F2086" t="s">
        <v>9844</v>
      </c>
      <c r="G2086" t="s">
        <v>847</v>
      </c>
      <c r="H2086" t="s">
        <v>7670</v>
      </c>
      <c r="I2086" t="s">
        <v>7385</v>
      </c>
      <c r="J2086" s="2">
        <v>2217400</v>
      </c>
      <c r="K2086" s="2">
        <v>10000</v>
      </c>
      <c r="L2086" s="2">
        <v>30</v>
      </c>
      <c r="M2086" s="2">
        <v>0</v>
      </c>
      <c r="N2086" t="s">
        <v>7669</v>
      </c>
      <c r="O2086" t="s">
        <v>7670</v>
      </c>
      <c r="P2086" t="s">
        <v>2320</v>
      </c>
      <c r="Q2086" t="s">
        <v>2321</v>
      </c>
      <c r="S2086" t="s">
        <v>9845</v>
      </c>
      <c r="U2086" t="s">
        <v>45</v>
      </c>
      <c r="V2086" t="s">
        <v>46</v>
      </c>
      <c r="W2086" t="s">
        <v>7669</v>
      </c>
      <c r="X2086" t="s">
        <v>7670</v>
      </c>
      <c r="Y2086" t="s">
        <v>5743</v>
      </c>
      <c r="Z2086" t="s">
        <v>5744</v>
      </c>
      <c r="AA2086" t="s">
        <v>49</v>
      </c>
      <c r="AB2086" t="s">
        <v>50</v>
      </c>
      <c r="AC2086" s="2">
        <v>795964.37</v>
      </c>
      <c r="AD2086" t="s">
        <v>9846</v>
      </c>
      <c r="AE2086" t="s">
        <v>115</v>
      </c>
    </row>
    <row r="2087" spans="1:31" x14ac:dyDescent="0.25">
      <c r="A2087" t="s">
        <v>9847</v>
      </c>
      <c r="B2087" t="s">
        <v>9848</v>
      </c>
      <c r="C2087" t="s">
        <v>9848</v>
      </c>
      <c r="D2087" t="s">
        <v>847</v>
      </c>
      <c r="E2087" t="s">
        <v>848</v>
      </c>
      <c r="F2087" t="s">
        <v>9849</v>
      </c>
      <c r="G2087" t="s">
        <v>847</v>
      </c>
      <c r="H2087" t="s">
        <v>6055</v>
      </c>
      <c r="I2087" t="s">
        <v>7385</v>
      </c>
      <c r="J2087" s="2">
        <v>2181700</v>
      </c>
      <c r="K2087" s="2">
        <v>10000</v>
      </c>
      <c r="L2087" s="2">
        <v>30</v>
      </c>
      <c r="M2087" s="2">
        <v>0</v>
      </c>
      <c r="N2087" t="s">
        <v>6057</v>
      </c>
      <c r="O2087" t="s">
        <v>6058</v>
      </c>
      <c r="P2087" t="s">
        <v>2320</v>
      </c>
      <c r="Q2087" t="s">
        <v>2321</v>
      </c>
      <c r="S2087" t="s">
        <v>9850</v>
      </c>
      <c r="U2087" t="s">
        <v>45</v>
      </c>
      <c r="V2087" t="s">
        <v>46</v>
      </c>
      <c r="W2087" t="s">
        <v>6057</v>
      </c>
      <c r="X2087" t="s">
        <v>6058</v>
      </c>
      <c r="Y2087" t="s">
        <v>5743</v>
      </c>
      <c r="Z2087" t="s">
        <v>5744</v>
      </c>
      <c r="AA2087" t="s">
        <v>49</v>
      </c>
      <c r="AB2087" t="s">
        <v>50</v>
      </c>
      <c r="AC2087" s="2">
        <v>480490.25</v>
      </c>
      <c r="AD2087" t="s">
        <v>9851</v>
      </c>
      <c r="AE2087" t="s">
        <v>115</v>
      </c>
    </row>
    <row r="2088" spans="1:31" x14ac:dyDescent="0.25">
      <c r="A2088" t="s">
        <v>9852</v>
      </c>
      <c r="B2088" t="s">
        <v>9853</v>
      </c>
      <c r="C2088" t="s">
        <v>9853</v>
      </c>
      <c r="D2088" t="s">
        <v>847</v>
      </c>
      <c r="E2088" t="s">
        <v>848</v>
      </c>
      <c r="F2088" t="s">
        <v>9854</v>
      </c>
      <c r="G2088" t="s">
        <v>847</v>
      </c>
      <c r="H2088" t="s">
        <v>5739</v>
      </c>
      <c r="I2088" t="s">
        <v>7385</v>
      </c>
      <c r="J2088" s="2">
        <v>2181700</v>
      </c>
      <c r="K2088" s="2">
        <v>10000</v>
      </c>
      <c r="L2088" s="2">
        <v>30</v>
      </c>
      <c r="M2088" s="2">
        <v>0</v>
      </c>
      <c r="N2088" t="s">
        <v>5741</v>
      </c>
      <c r="O2088" t="s">
        <v>5739</v>
      </c>
      <c r="P2088" t="s">
        <v>2320</v>
      </c>
      <c r="Q2088" t="s">
        <v>2321</v>
      </c>
      <c r="S2088" t="s">
        <v>9855</v>
      </c>
      <c r="U2088" t="s">
        <v>45</v>
      </c>
      <c r="V2088" t="s">
        <v>46</v>
      </c>
      <c r="W2088" t="s">
        <v>5741</v>
      </c>
      <c r="X2088" t="s">
        <v>5739</v>
      </c>
      <c r="Y2088" t="s">
        <v>5743</v>
      </c>
      <c r="Z2088" t="s">
        <v>5744</v>
      </c>
      <c r="AA2088" t="s">
        <v>49</v>
      </c>
      <c r="AB2088" t="s">
        <v>50</v>
      </c>
      <c r="AC2088" s="2">
        <v>576391.17000000004</v>
      </c>
      <c r="AD2088" t="s">
        <v>9856</v>
      </c>
      <c r="AE2088" t="s">
        <v>115</v>
      </c>
    </row>
    <row r="2089" spans="1:31" x14ac:dyDescent="0.25">
      <c r="A2089" t="s">
        <v>9857</v>
      </c>
      <c r="B2089" t="s">
        <v>9858</v>
      </c>
      <c r="C2089" t="s">
        <v>9858</v>
      </c>
      <c r="D2089" t="s">
        <v>847</v>
      </c>
      <c r="E2089" t="s">
        <v>848</v>
      </c>
      <c r="F2089" t="s">
        <v>9859</v>
      </c>
      <c r="G2089" t="s">
        <v>847</v>
      </c>
      <c r="H2089" t="s">
        <v>6113</v>
      </c>
      <c r="I2089" t="s">
        <v>7385</v>
      </c>
      <c r="J2089" s="2">
        <v>1090850</v>
      </c>
      <c r="K2089" s="2">
        <v>5000</v>
      </c>
      <c r="L2089" s="2">
        <v>30</v>
      </c>
      <c r="M2089" s="2">
        <v>0</v>
      </c>
      <c r="N2089" t="s">
        <v>5741</v>
      </c>
      <c r="O2089" t="s">
        <v>5739</v>
      </c>
      <c r="P2089" t="s">
        <v>2320</v>
      </c>
      <c r="Q2089" t="s">
        <v>2321</v>
      </c>
      <c r="S2089" t="s">
        <v>9860</v>
      </c>
      <c r="U2089" t="s">
        <v>45</v>
      </c>
      <c r="V2089" t="s">
        <v>46</v>
      </c>
      <c r="W2089" t="s">
        <v>5741</v>
      </c>
      <c r="X2089" t="s">
        <v>5739</v>
      </c>
      <c r="Y2089" t="s">
        <v>5743</v>
      </c>
      <c r="Z2089" t="s">
        <v>5744</v>
      </c>
      <c r="AA2089" t="s">
        <v>49</v>
      </c>
      <c r="AB2089" t="s">
        <v>50</v>
      </c>
      <c r="AC2089" s="2">
        <v>392598.47</v>
      </c>
      <c r="AD2089" t="s">
        <v>9861</v>
      </c>
      <c r="AE2089" t="s">
        <v>115</v>
      </c>
    </row>
    <row r="2090" spans="1:31" x14ac:dyDescent="0.25">
      <c r="A2090" t="s">
        <v>9862</v>
      </c>
      <c r="B2090" t="s">
        <v>9863</v>
      </c>
      <c r="C2090" t="s">
        <v>9863</v>
      </c>
      <c r="D2090" t="s">
        <v>847</v>
      </c>
      <c r="E2090" t="s">
        <v>848</v>
      </c>
      <c r="F2090" t="s">
        <v>9864</v>
      </c>
      <c r="G2090" t="s">
        <v>847</v>
      </c>
      <c r="H2090" t="s">
        <v>7263</v>
      </c>
      <c r="I2090" t="s">
        <v>7385</v>
      </c>
      <c r="J2090" s="2">
        <v>3466350</v>
      </c>
      <c r="K2090" s="2">
        <v>15000</v>
      </c>
      <c r="L2090" s="2">
        <v>30</v>
      </c>
      <c r="M2090" s="2">
        <v>0</v>
      </c>
      <c r="N2090" t="s">
        <v>2571</v>
      </c>
      <c r="O2090" t="s">
        <v>2572</v>
      </c>
      <c r="P2090" t="s">
        <v>2320</v>
      </c>
      <c r="Q2090" t="s">
        <v>2321</v>
      </c>
      <c r="S2090" t="s">
        <v>9865</v>
      </c>
      <c r="U2090" t="s">
        <v>45</v>
      </c>
      <c r="V2090" t="s">
        <v>46</v>
      </c>
      <c r="W2090" t="s">
        <v>2571</v>
      </c>
      <c r="X2090" t="s">
        <v>2572</v>
      </c>
      <c r="Y2090" t="s">
        <v>2399</v>
      </c>
      <c r="Z2090" t="s">
        <v>2400</v>
      </c>
      <c r="AA2090" t="s">
        <v>49</v>
      </c>
      <c r="AB2090" t="s">
        <v>50</v>
      </c>
      <c r="AC2090" s="2">
        <v>1033150.88</v>
      </c>
      <c r="AD2090" t="s">
        <v>9866</v>
      </c>
      <c r="AE2090" t="s">
        <v>115</v>
      </c>
    </row>
    <row r="2091" spans="1:31" x14ac:dyDescent="0.25">
      <c r="A2091" t="s">
        <v>9867</v>
      </c>
      <c r="B2091" t="s">
        <v>9868</v>
      </c>
      <c r="C2091" t="s">
        <v>9868</v>
      </c>
      <c r="D2091" t="s">
        <v>847</v>
      </c>
      <c r="E2091" t="s">
        <v>848</v>
      </c>
      <c r="F2091" t="s">
        <v>9869</v>
      </c>
      <c r="G2091" t="s">
        <v>847</v>
      </c>
      <c r="H2091" t="s">
        <v>9870</v>
      </c>
      <c r="I2091" t="s">
        <v>7385</v>
      </c>
      <c r="J2091" s="2">
        <v>2181700</v>
      </c>
      <c r="K2091" s="2">
        <v>10000</v>
      </c>
      <c r="L2091" s="2">
        <v>30</v>
      </c>
      <c r="M2091" s="2">
        <v>0</v>
      </c>
      <c r="N2091" t="s">
        <v>6042</v>
      </c>
      <c r="O2091" t="s">
        <v>6043</v>
      </c>
      <c r="P2091" t="s">
        <v>2320</v>
      </c>
      <c r="Q2091" t="s">
        <v>2321</v>
      </c>
      <c r="S2091" t="s">
        <v>9871</v>
      </c>
      <c r="U2091" t="s">
        <v>45</v>
      </c>
      <c r="V2091" t="s">
        <v>46</v>
      </c>
      <c r="W2091" t="s">
        <v>6042</v>
      </c>
      <c r="X2091" t="s">
        <v>6045</v>
      </c>
      <c r="Y2091" t="s">
        <v>5743</v>
      </c>
      <c r="Z2091" t="s">
        <v>5744</v>
      </c>
      <c r="AA2091" t="s">
        <v>49</v>
      </c>
      <c r="AB2091" t="s">
        <v>50</v>
      </c>
      <c r="AC2091" s="2">
        <v>8790.19</v>
      </c>
      <c r="AD2091" t="s">
        <v>9872</v>
      </c>
      <c r="AE2091" t="s">
        <v>115</v>
      </c>
    </row>
    <row r="2092" spans="1:31" x14ac:dyDescent="0.25">
      <c r="A2092" t="s">
        <v>9873</v>
      </c>
      <c r="B2092" t="s">
        <v>9874</v>
      </c>
      <c r="C2092" t="s">
        <v>9874</v>
      </c>
      <c r="D2092" t="s">
        <v>847</v>
      </c>
      <c r="E2092" t="s">
        <v>848</v>
      </c>
      <c r="F2092" t="s">
        <v>9875</v>
      </c>
      <c r="G2092" t="s">
        <v>847</v>
      </c>
      <c r="H2092" t="s">
        <v>8192</v>
      </c>
      <c r="I2092" t="s">
        <v>7385</v>
      </c>
      <c r="J2092" s="2">
        <v>2181700</v>
      </c>
      <c r="K2092" s="2">
        <v>10000</v>
      </c>
      <c r="L2092" s="2">
        <v>30</v>
      </c>
      <c r="M2092" s="2">
        <v>0</v>
      </c>
      <c r="N2092" t="s">
        <v>8191</v>
      </c>
      <c r="O2092" t="s">
        <v>8192</v>
      </c>
      <c r="P2092" t="s">
        <v>2320</v>
      </c>
      <c r="Q2092" t="s">
        <v>2321</v>
      </c>
      <c r="S2092" t="s">
        <v>9876</v>
      </c>
      <c r="U2092" t="s">
        <v>45</v>
      </c>
      <c r="V2092" t="s">
        <v>46</v>
      </c>
      <c r="W2092" t="s">
        <v>8191</v>
      </c>
      <c r="X2092" t="s">
        <v>8192</v>
      </c>
      <c r="Y2092" t="s">
        <v>2399</v>
      </c>
      <c r="Z2092" t="s">
        <v>2400</v>
      </c>
      <c r="AA2092" t="s">
        <v>49</v>
      </c>
      <c r="AB2092" t="s">
        <v>50</v>
      </c>
      <c r="AC2092" s="2">
        <v>719114.29</v>
      </c>
      <c r="AD2092" t="s">
        <v>9877</v>
      </c>
      <c r="AE2092" t="s">
        <v>115</v>
      </c>
    </row>
    <row r="2093" spans="1:31" x14ac:dyDescent="0.25">
      <c r="A2093" t="s">
        <v>9878</v>
      </c>
      <c r="B2093" t="s">
        <v>9879</v>
      </c>
      <c r="C2093" t="s">
        <v>9879</v>
      </c>
      <c r="D2093" t="s">
        <v>847</v>
      </c>
      <c r="E2093" t="s">
        <v>848</v>
      </c>
      <c r="F2093" t="s">
        <v>9880</v>
      </c>
      <c r="G2093" t="s">
        <v>847</v>
      </c>
      <c r="H2093" t="s">
        <v>5739</v>
      </c>
      <c r="I2093" t="s">
        <v>7385</v>
      </c>
      <c r="J2093" s="2">
        <v>4621000</v>
      </c>
      <c r="K2093" s="2">
        <v>20000</v>
      </c>
      <c r="L2093" s="2">
        <v>30</v>
      </c>
      <c r="M2093" s="2">
        <v>0</v>
      </c>
      <c r="N2093" t="s">
        <v>5741</v>
      </c>
      <c r="O2093" t="s">
        <v>5739</v>
      </c>
      <c r="P2093" t="s">
        <v>2320</v>
      </c>
      <c r="Q2093" t="s">
        <v>2321</v>
      </c>
      <c r="S2093" t="s">
        <v>9881</v>
      </c>
      <c r="U2093" t="s">
        <v>45</v>
      </c>
      <c r="V2093" t="s">
        <v>46</v>
      </c>
      <c r="W2093" t="s">
        <v>5741</v>
      </c>
      <c r="X2093" t="s">
        <v>5739</v>
      </c>
      <c r="Y2093" t="s">
        <v>5743</v>
      </c>
      <c r="Z2093" t="s">
        <v>5744</v>
      </c>
      <c r="AA2093" t="s">
        <v>49</v>
      </c>
      <c r="AB2093" t="s">
        <v>50</v>
      </c>
      <c r="AC2093" s="2">
        <v>1941602.63</v>
      </c>
      <c r="AD2093" t="s">
        <v>9882</v>
      </c>
      <c r="AE2093" t="s">
        <v>115</v>
      </c>
    </row>
    <row r="2094" spans="1:31" x14ac:dyDescent="0.25">
      <c r="A2094" t="s">
        <v>9883</v>
      </c>
      <c r="B2094" t="s">
        <v>9884</v>
      </c>
      <c r="C2094" t="s">
        <v>9884</v>
      </c>
      <c r="D2094" t="s">
        <v>847</v>
      </c>
      <c r="E2094" t="s">
        <v>848</v>
      </c>
      <c r="F2094" t="s">
        <v>9885</v>
      </c>
      <c r="G2094" t="s">
        <v>847</v>
      </c>
      <c r="H2094" t="s">
        <v>6058</v>
      </c>
      <c r="I2094" t="s">
        <v>7385</v>
      </c>
      <c r="J2094" s="2">
        <v>1090850</v>
      </c>
      <c r="K2094" s="2">
        <v>5000</v>
      </c>
      <c r="L2094" s="2">
        <v>30</v>
      </c>
      <c r="M2094" s="2">
        <v>0</v>
      </c>
      <c r="N2094" t="s">
        <v>6057</v>
      </c>
      <c r="O2094" t="s">
        <v>6058</v>
      </c>
      <c r="P2094" t="s">
        <v>2320</v>
      </c>
      <c r="Q2094" t="s">
        <v>2321</v>
      </c>
      <c r="S2094" t="s">
        <v>9886</v>
      </c>
      <c r="U2094" t="s">
        <v>45</v>
      </c>
      <c r="V2094" t="s">
        <v>46</v>
      </c>
      <c r="W2094" t="s">
        <v>6057</v>
      </c>
      <c r="X2094" t="s">
        <v>6058</v>
      </c>
      <c r="Y2094" t="s">
        <v>5743</v>
      </c>
      <c r="Z2094" t="s">
        <v>5744</v>
      </c>
      <c r="AA2094" t="s">
        <v>49</v>
      </c>
      <c r="AB2094" t="s">
        <v>50</v>
      </c>
      <c r="AC2094" s="2">
        <v>225015.41</v>
      </c>
      <c r="AD2094" t="s">
        <v>9887</v>
      </c>
      <c r="AE2094" t="s">
        <v>115</v>
      </c>
    </row>
    <row r="2095" spans="1:31" x14ac:dyDescent="0.25">
      <c r="A2095" t="s">
        <v>9888</v>
      </c>
      <c r="B2095" t="s">
        <v>9889</v>
      </c>
      <c r="C2095" t="s">
        <v>9889</v>
      </c>
      <c r="D2095" t="s">
        <v>847</v>
      </c>
      <c r="E2095" t="s">
        <v>848</v>
      </c>
      <c r="F2095" t="s">
        <v>9890</v>
      </c>
      <c r="G2095" t="s">
        <v>847</v>
      </c>
      <c r="H2095" t="s">
        <v>5739</v>
      </c>
      <c r="I2095" t="s">
        <v>7385</v>
      </c>
      <c r="J2095" s="2">
        <v>3465750</v>
      </c>
      <c r="K2095" s="2">
        <v>15000</v>
      </c>
      <c r="L2095" s="2">
        <v>30</v>
      </c>
      <c r="M2095" s="2">
        <v>0</v>
      </c>
      <c r="N2095" t="s">
        <v>5741</v>
      </c>
      <c r="O2095" t="s">
        <v>5739</v>
      </c>
      <c r="P2095" t="s">
        <v>2320</v>
      </c>
      <c r="Q2095" t="s">
        <v>2321</v>
      </c>
      <c r="S2095" t="s">
        <v>9891</v>
      </c>
      <c r="U2095" t="s">
        <v>45</v>
      </c>
      <c r="V2095" t="s">
        <v>46</v>
      </c>
      <c r="W2095" t="s">
        <v>5741</v>
      </c>
      <c r="X2095" t="s">
        <v>5739</v>
      </c>
      <c r="Y2095" t="s">
        <v>5743</v>
      </c>
      <c r="Z2095" t="s">
        <v>5744</v>
      </c>
      <c r="AA2095" t="s">
        <v>49</v>
      </c>
      <c r="AB2095" t="s">
        <v>50</v>
      </c>
      <c r="AC2095" s="2">
        <v>1194509.28</v>
      </c>
      <c r="AD2095" t="s">
        <v>9892</v>
      </c>
      <c r="AE2095" t="s">
        <v>115</v>
      </c>
    </row>
    <row r="2096" spans="1:31" x14ac:dyDescent="0.25">
      <c r="A2096" t="s">
        <v>9893</v>
      </c>
      <c r="B2096" t="s">
        <v>9894</v>
      </c>
      <c r="C2096" t="s">
        <v>9894</v>
      </c>
      <c r="D2096" t="s">
        <v>847</v>
      </c>
      <c r="E2096" t="s">
        <v>848</v>
      </c>
      <c r="F2096" t="s">
        <v>9895</v>
      </c>
      <c r="G2096" t="s">
        <v>847</v>
      </c>
      <c r="H2096" t="s">
        <v>9896</v>
      </c>
      <c r="I2096" t="s">
        <v>7385</v>
      </c>
      <c r="J2096" s="2">
        <v>4746344</v>
      </c>
      <c r="K2096" s="2">
        <v>19320</v>
      </c>
      <c r="L2096" s="2">
        <v>30</v>
      </c>
      <c r="M2096" s="2">
        <v>0</v>
      </c>
      <c r="N2096" t="s">
        <v>9897</v>
      </c>
      <c r="O2096" t="s">
        <v>9898</v>
      </c>
      <c r="P2096" t="s">
        <v>2320</v>
      </c>
      <c r="Q2096" t="s">
        <v>2321</v>
      </c>
      <c r="S2096" t="s">
        <v>9865</v>
      </c>
      <c r="U2096" t="s">
        <v>45</v>
      </c>
      <c r="V2096" t="s">
        <v>46</v>
      </c>
      <c r="W2096" t="s">
        <v>9897</v>
      </c>
      <c r="X2096" t="s">
        <v>9898</v>
      </c>
      <c r="Y2096" t="s">
        <v>5743</v>
      </c>
      <c r="Z2096" t="s">
        <v>5744</v>
      </c>
      <c r="AA2096" t="s">
        <v>49</v>
      </c>
      <c r="AB2096" t="s">
        <v>50</v>
      </c>
      <c r="AC2096" s="2">
        <v>398690.86</v>
      </c>
      <c r="AD2096" t="s">
        <v>9899</v>
      </c>
      <c r="AE2096" t="s">
        <v>115</v>
      </c>
    </row>
    <row r="2097" spans="1:31" x14ac:dyDescent="0.25">
      <c r="A2097" t="s">
        <v>9900</v>
      </c>
      <c r="B2097" t="s">
        <v>9901</v>
      </c>
      <c r="C2097" t="s">
        <v>9901</v>
      </c>
      <c r="D2097" t="s">
        <v>847</v>
      </c>
      <c r="E2097" t="s">
        <v>848</v>
      </c>
      <c r="F2097" t="s">
        <v>9902</v>
      </c>
      <c r="G2097" t="s">
        <v>847</v>
      </c>
      <c r="H2097" t="s">
        <v>6113</v>
      </c>
      <c r="I2097" t="s">
        <v>7385</v>
      </c>
      <c r="J2097" s="2">
        <v>2181700</v>
      </c>
      <c r="K2097" s="2">
        <v>10000</v>
      </c>
      <c r="L2097" s="2">
        <v>30</v>
      </c>
      <c r="M2097" s="2">
        <v>0</v>
      </c>
      <c r="N2097" t="s">
        <v>5741</v>
      </c>
      <c r="O2097" t="s">
        <v>5739</v>
      </c>
      <c r="P2097" t="s">
        <v>2320</v>
      </c>
      <c r="Q2097" t="s">
        <v>2321</v>
      </c>
      <c r="S2097" t="s">
        <v>9903</v>
      </c>
      <c r="U2097" t="s">
        <v>45</v>
      </c>
      <c r="V2097" t="s">
        <v>46</v>
      </c>
      <c r="W2097" t="s">
        <v>5741</v>
      </c>
      <c r="X2097" t="s">
        <v>5739</v>
      </c>
      <c r="Y2097" t="s">
        <v>5743</v>
      </c>
      <c r="Z2097" t="s">
        <v>5744</v>
      </c>
      <c r="AA2097" t="s">
        <v>49</v>
      </c>
      <c r="AB2097" t="s">
        <v>50</v>
      </c>
      <c r="AC2097" s="2">
        <v>62720.9</v>
      </c>
      <c r="AD2097" t="s">
        <v>9904</v>
      </c>
      <c r="AE2097" t="s">
        <v>115</v>
      </c>
    </row>
    <row r="2098" spans="1:31" x14ac:dyDescent="0.25">
      <c r="A2098" t="s">
        <v>9905</v>
      </c>
      <c r="B2098" t="s">
        <v>9906</v>
      </c>
      <c r="C2098" t="s">
        <v>9906</v>
      </c>
      <c r="D2098" t="s">
        <v>847</v>
      </c>
      <c r="E2098" t="s">
        <v>848</v>
      </c>
      <c r="F2098" t="s">
        <v>9907</v>
      </c>
      <c r="G2098" t="s">
        <v>847</v>
      </c>
      <c r="H2098" t="s">
        <v>7670</v>
      </c>
      <c r="I2098" t="s">
        <v>7385</v>
      </c>
      <c r="J2098" s="2">
        <v>2653236</v>
      </c>
      <c r="K2098" s="2">
        <v>10800</v>
      </c>
      <c r="L2098" s="2">
        <v>30</v>
      </c>
      <c r="M2098" s="2">
        <v>0</v>
      </c>
      <c r="N2098" t="s">
        <v>7669</v>
      </c>
      <c r="O2098" t="s">
        <v>7670</v>
      </c>
      <c r="P2098" t="s">
        <v>2320</v>
      </c>
      <c r="Q2098" t="s">
        <v>2321</v>
      </c>
      <c r="S2098" t="s">
        <v>9908</v>
      </c>
      <c r="U2098" t="s">
        <v>45</v>
      </c>
      <c r="V2098" t="s">
        <v>46</v>
      </c>
      <c r="W2098" t="s">
        <v>7669</v>
      </c>
      <c r="X2098" t="s">
        <v>7670</v>
      </c>
      <c r="Y2098" t="s">
        <v>5743</v>
      </c>
      <c r="Z2098" t="s">
        <v>5744</v>
      </c>
      <c r="AA2098" t="s">
        <v>49</v>
      </c>
      <c r="AB2098" t="s">
        <v>50</v>
      </c>
      <c r="AC2098" s="2">
        <v>31996.05</v>
      </c>
      <c r="AD2098" t="s">
        <v>9909</v>
      </c>
      <c r="AE2098" t="s">
        <v>115</v>
      </c>
    </row>
    <row r="2099" spans="1:31" hidden="1" x14ac:dyDescent="0.25">
      <c r="A2099" t="s">
        <v>9910</v>
      </c>
      <c r="B2099" t="s">
        <v>9911</v>
      </c>
      <c r="C2099" t="s">
        <v>9911</v>
      </c>
      <c r="F2099" t="s">
        <v>9912</v>
      </c>
      <c r="H2099" t="s">
        <v>4851</v>
      </c>
      <c r="I2099" t="s">
        <v>9913</v>
      </c>
      <c r="J2099" s="2">
        <v>1000</v>
      </c>
      <c r="K2099" s="2">
        <v>0</v>
      </c>
      <c r="L2099" s="2">
        <v>15</v>
      </c>
      <c r="M2099" s="2">
        <v>0</v>
      </c>
      <c r="N2099" t="s">
        <v>4852</v>
      </c>
      <c r="O2099" t="s">
        <v>4851</v>
      </c>
      <c r="P2099" t="s">
        <v>42</v>
      </c>
      <c r="Q2099" t="s">
        <v>43</v>
      </c>
      <c r="S2099" t="s">
        <v>9914</v>
      </c>
      <c r="U2099" t="s">
        <v>45</v>
      </c>
      <c r="V2099" t="s">
        <v>46</v>
      </c>
      <c r="W2099" t="s">
        <v>4852</v>
      </c>
      <c r="X2099" t="s">
        <v>4851</v>
      </c>
      <c r="Y2099" t="s">
        <v>4854</v>
      </c>
      <c r="Z2099" t="s">
        <v>72</v>
      </c>
      <c r="AA2099" t="s">
        <v>49</v>
      </c>
      <c r="AB2099" t="s">
        <v>50</v>
      </c>
      <c r="AC2099" s="2">
        <v>1000</v>
      </c>
      <c r="AD2099" t="s">
        <v>64</v>
      </c>
    </row>
    <row r="2100" spans="1:31" hidden="1" x14ac:dyDescent="0.25">
      <c r="I2100" t="s">
        <v>9915</v>
      </c>
      <c r="J2100" s="2">
        <v>21817</v>
      </c>
      <c r="K2100" s="2">
        <v>100</v>
      </c>
      <c r="L2100" s="2">
        <v>21</v>
      </c>
      <c r="M2100" s="2">
        <v>0</v>
      </c>
      <c r="S2100" t="s">
        <v>9916</v>
      </c>
      <c r="U2100" t="s">
        <v>45</v>
      </c>
      <c r="V2100" t="s">
        <v>46</v>
      </c>
      <c r="W2100" t="s">
        <v>6985</v>
      </c>
      <c r="X2100" t="s">
        <v>6986</v>
      </c>
      <c r="Y2100" t="s">
        <v>2399</v>
      </c>
      <c r="Z2100" t="s">
        <v>2400</v>
      </c>
      <c r="AA2100" t="s">
        <v>49</v>
      </c>
      <c r="AC2100" s="2"/>
    </row>
    <row r="2101" spans="1:31" x14ac:dyDescent="0.25">
      <c r="A2101" t="s">
        <v>9917</v>
      </c>
      <c r="B2101" t="s">
        <v>9918</v>
      </c>
      <c r="C2101" t="s">
        <v>9918</v>
      </c>
      <c r="D2101" t="s">
        <v>873</v>
      </c>
      <c r="E2101" t="s">
        <v>224</v>
      </c>
      <c r="F2101" t="s">
        <v>9919</v>
      </c>
      <c r="G2101" t="s">
        <v>1289</v>
      </c>
      <c r="H2101" t="s">
        <v>7210</v>
      </c>
      <c r="I2101" t="s">
        <v>9920</v>
      </c>
      <c r="J2101" s="2">
        <v>695840</v>
      </c>
      <c r="K2101" s="2">
        <v>3189.44</v>
      </c>
      <c r="L2101" s="2">
        <v>15</v>
      </c>
      <c r="M2101" s="2">
        <v>0</v>
      </c>
      <c r="N2101" t="s">
        <v>4996</v>
      </c>
      <c r="O2101" t="s">
        <v>4997</v>
      </c>
      <c r="P2101" t="s">
        <v>1212</v>
      </c>
      <c r="Q2101" t="s">
        <v>1213</v>
      </c>
      <c r="S2101" t="s">
        <v>9921</v>
      </c>
      <c r="U2101" t="s">
        <v>45</v>
      </c>
      <c r="V2101" t="s">
        <v>46</v>
      </c>
      <c r="W2101" t="s">
        <v>4996</v>
      </c>
      <c r="X2101" t="s">
        <v>4997</v>
      </c>
      <c r="Y2101" t="s">
        <v>1215</v>
      </c>
      <c r="Z2101" t="s">
        <v>1216</v>
      </c>
      <c r="AA2101" t="s">
        <v>49</v>
      </c>
      <c r="AB2101" t="s">
        <v>50</v>
      </c>
      <c r="AC2101" s="2">
        <v>695840</v>
      </c>
      <c r="AD2101" t="s">
        <v>64</v>
      </c>
    </row>
    <row r="2102" spans="1:31" x14ac:dyDescent="0.25">
      <c r="A2102" t="s">
        <v>9922</v>
      </c>
      <c r="B2102" t="s">
        <v>9923</v>
      </c>
      <c r="C2102" t="s">
        <v>9923</v>
      </c>
      <c r="D2102" t="s">
        <v>153</v>
      </c>
      <c r="E2102" t="s">
        <v>272</v>
      </c>
      <c r="F2102" t="s">
        <v>9924</v>
      </c>
      <c r="G2102" t="s">
        <v>153</v>
      </c>
      <c r="H2102" t="s">
        <v>3233</v>
      </c>
      <c r="I2102" t="s">
        <v>9925</v>
      </c>
      <c r="J2102" s="2">
        <v>218170</v>
      </c>
      <c r="K2102" s="2">
        <v>1000</v>
      </c>
      <c r="L2102" s="2">
        <v>15</v>
      </c>
      <c r="M2102" s="2">
        <v>0</v>
      </c>
      <c r="N2102" t="s">
        <v>3232</v>
      </c>
      <c r="O2102" t="s">
        <v>3233</v>
      </c>
      <c r="P2102" t="s">
        <v>1421</v>
      </c>
      <c r="Q2102" t="s">
        <v>1422</v>
      </c>
      <c r="S2102" t="s">
        <v>9926</v>
      </c>
      <c r="U2102" t="s">
        <v>45</v>
      </c>
      <c r="V2102" t="s">
        <v>46</v>
      </c>
      <c r="W2102" t="s">
        <v>3232</v>
      </c>
      <c r="X2102" t="s">
        <v>3233</v>
      </c>
      <c r="Y2102" t="s">
        <v>1215</v>
      </c>
      <c r="Z2102" t="s">
        <v>1216</v>
      </c>
      <c r="AA2102" t="s">
        <v>49</v>
      </c>
      <c r="AB2102" t="s">
        <v>50</v>
      </c>
      <c r="AC2102" s="2">
        <v>138407.60999999999</v>
      </c>
      <c r="AD2102" t="s">
        <v>9927</v>
      </c>
      <c r="AE2102" t="s">
        <v>52</v>
      </c>
    </row>
    <row r="2103" spans="1:31" x14ac:dyDescent="0.25">
      <c r="A2103" t="s">
        <v>9928</v>
      </c>
      <c r="B2103" t="s">
        <v>9929</v>
      </c>
      <c r="C2103" t="s">
        <v>9929</v>
      </c>
      <c r="D2103" t="s">
        <v>35</v>
      </c>
      <c r="E2103" t="s">
        <v>36</v>
      </c>
      <c r="F2103" t="s">
        <v>9930</v>
      </c>
      <c r="G2103" t="s">
        <v>35</v>
      </c>
      <c r="H2103" t="s">
        <v>3233</v>
      </c>
      <c r="I2103" t="s">
        <v>9931</v>
      </c>
      <c r="J2103" s="2">
        <v>218170</v>
      </c>
      <c r="K2103" s="2">
        <v>1000</v>
      </c>
      <c r="L2103" s="2">
        <v>15</v>
      </c>
      <c r="M2103" s="2">
        <v>0</v>
      </c>
      <c r="N2103" t="s">
        <v>3232</v>
      </c>
      <c r="O2103" t="s">
        <v>3233</v>
      </c>
      <c r="P2103" t="s">
        <v>1421</v>
      </c>
      <c r="Q2103" t="s">
        <v>1422</v>
      </c>
      <c r="S2103" t="s">
        <v>9932</v>
      </c>
      <c r="U2103" t="s">
        <v>45</v>
      </c>
      <c r="V2103" t="s">
        <v>46</v>
      </c>
      <c r="W2103" t="s">
        <v>3232</v>
      </c>
      <c r="X2103" t="s">
        <v>3233</v>
      </c>
      <c r="Y2103" t="s">
        <v>1215</v>
      </c>
      <c r="Z2103" t="s">
        <v>1216</v>
      </c>
      <c r="AA2103" t="s">
        <v>49</v>
      </c>
      <c r="AB2103" t="s">
        <v>50</v>
      </c>
      <c r="AC2103" s="2">
        <v>37045.1</v>
      </c>
      <c r="AD2103" t="s">
        <v>9933</v>
      </c>
      <c r="AE2103" t="s">
        <v>115</v>
      </c>
    </row>
    <row r="2104" spans="1:31" x14ac:dyDescent="0.25">
      <c r="A2104" t="s">
        <v>9934</v>
      </c>
      <c r="B2104" t="s">
        <v>9935</v>
      </c>
      <c r="C2104" t="s">
        <v>9935</v>
      </c>
      <c r="D2104" t="s">
        <v>847</v>
      </c>
      <c r="E2104" t="s">
        <v>848</v>
      </c>
      <c r="F2104" t="s">
        <v>9936</v>
      </c>
      <c r="G2104" t="s">
        <v>649</v>
      </c>
      <c r="H2104" t="s">
        <v>9937</v>
      </c>
      <c r="I2104" t="s">
        <v>9938</v>
      </c>
      <c r="J2104" s="2">
        <v>233560</v>
      </c>
      <c r="K2104" s="2">
        <v>1000</v>
      </c>
      <c r="L2104" s="2">
        <v>15</v>
      </c>
      <c r="M2104" s="2">
        <v>0</v>
      </c>
      <c r="N2104" t="s">
        <v>1362</v>
      </c>
      <c r="O2104" t="s">
        <v>1360</v>
      </c>
      <c r="P2104" t="s">
        <v>1212</v>
      </c>
      <c r="Q2104" t="s">
        <v>1213</v>
      </c>
      <c r="S2104" t="s">
        <v>9939</v>
      </c>
      <c r="U2104" t="s">
        <v>45</v>
      </c>
      <c r="V2104" t="s">
        <v>46</v>
      </c>
      <c r="W2104" t="s">
        <v>1362</v>
      </c>
      <c r="X2104" t="s">
        <v>1360</v>
      </c>
      <c r="Y2104" t="s">
        <v>1215</v>
      </c>
      <c r="Z2104" t="s">
        <v>1216</v>
      </c>
      <c r="AA2104" t="s">
        <v>49</v>
      </c>
      <c r="AB2104" t="s">
        <v>50</v>
      </c>
      <c r="AC2104" s="2">
        <v>232878.3</v>
      </c>
      <c r="AD2104" t="s">
        <v>9940</v>
      </c>
      <c r="AE2104" t="s">
        <v>115</v>
      </c>
    </row>
    <row r="2105" spans="1:31" x14ac:dyDescent="0.25">
      <c r="A2105" t="s">
        <v>9941</v>
      </c>
      <c r="B2105" t="s">
        <v>9942</v>
      </c>
      <c r="C2105" t="s">
        <v>9942</v>
      </c>
      <c r="D2105" t="s">
        <v>125</v>
      </c>
      <c r="E2105" t="s">
        <v>126</v>
      </c>
      <c r="F2105" t="s">
        <v>9943</v>
      </c>
      <c r="G2105" t="s">
        <v>125</v>
      </c>
      <c r="H2105" t="s">
        <v>2400</v>
      </c>
      <c r="I2105" t="s">
        <v>9944</v>
      </c>
      <c r="J2105" s="2">
        <v>436340</v>
      </c>
      <c r="K2105" s="2">
        <v>2000</v>
      </c>
      <c r="L2105" s="2">
        <v>21</v>
      </c>
      <c r="M2105" s="2">
        <v>0</v>
      </c>
      <c r="N2105" t="s">
        <v>7747</v>
      </c>
      <c r="O2105" t="s">
        <v>2400</v>
      </c>
      <c r="P2105" t="s">
        <v>2320</v>
      </c>
      <c r="Q2105" t="s">
        <v>2321</v>
      </c>
      <c r="S2105" t="s">
        <v>9945</v>
      </c>
      <c r="U2105" t="s">
        <v>45</v>
      </c>
      <c r="V2105" t="s">
        <v>46</v>
      </c>
      <c r="W2105" t="s">
        <v>7747</v>
      </c>
      <c r="X2105" t="s">
        <v>2400</v>
      </c>
      <c r="Y2105" t="s">
        <v>2399</v>
      </c>
      <c r="Z2105" t="s">
        <v>2400</v>
      </c>
      <c r="AA2105" t="s">
        <v>49</v>
      </c>
      <c r="AB2105" t="s">
        <v>50</v>
      </c>
      <c r="AC2105" s="2">
        <v>178976.86</v>
      </c>
      <c r="AD2105" t="s">
        <v>9946</v>
      </c>
      <c r="AE2105" t="s">
        <v>115</v>
      </c>
    </row>
    <row r="2106" spans="1:31" x14ac:dyDescent="0.25">
      <c r="A2106" t="s">
        <v>9947</v>
      </c>
      <c r="B2106" t="s">
        <v>9948</v>
      </c>
      <c r="C2106" t="s">
        <v>9948</v>
      </c>
      <c r="D2106" t="s">
        <v>3221</v>
      </c>
      <c r="E2106" t="s">
        <v>224</v>
      </c>
      <c r="F2106" t="s">
        <v>9949</v>
      </c>
      <c r="G2106" t="s">
        <v>5795</v>
      </c>
      <c r="H2106" t="s">
        <v>6058</v>
      </c>
      <c r="I2106" t="s">
        <v>9950</v>
      </c>
      <c r="J2106" s="2">
        <v>65451</v>
      </c>
      <c r="K2106" s="2">
        <v>300</v>
      </c>
      <c r="L2106" s="2">
        <v>15</v>
      </c>
      <c r="M2106" s="2">
        <v>0</v>
      </c>
      <c r="N2106" t="s">
        <v>6057</v>
      </c>
      <c r="O2106" t="s">
        <v>6058</v>
      </c>
      <c r="P2106" t="s">
        <v>5966</v>
      </c>
      <c r="Q2106" t="s">
        <v>5739</v>
      </c>
      <c r="S2106" t="s">
        <v>9951</v>
      </c>
      <c r="U2106" t="s">
        <v>45</v>
      </c>
      <c r="V2106" t="s">
        <v>46</v>
      </c>
      <c r="W2106" t="s">
        <v>6057</v>
      </c>
      <c r="X2106" t="s">
        <v>6058</v>
      </c>
      <c r="Y2106" t="s">
        <v>5743</v>
      </c>
      <c r="Z2106" t="s">
        <v>5744</v>
      </c>
      <c r="AA2106" t="s">
        <v>49</v>
      </c>
      <c r="AB2106" t="s">
        <v>50</v>
      </c>
      <c r="AC2106" s="2">
        <v>65451</v>
      </c>
      <c r="AD2106" t="s">
        <v>64</v>
      </c>
    </row>
    <row r="2107" spans="1:31" hidden="1" x14ac:dyDescent="0.25">
      <c r="I2107" t="s">
        <v>9952</v>
      </c>
      <c r="J2107" s="2">
        <v>1000</v>
      </c>
      <c r="K2107" s="2">
        <v>0</v>
      </c>
      <c r="L2107" s="2">
        <v>7</v>
      </c>
      <c r="M2107" s="2">
        <v>0</v>
      </c>
      <c r="S2107" t="s">
        <v>9953</v>
      </c>
      <c r="U2107" t="s">
        <v>45</v>
      </c>
      <c r="V2107" t="s">
        <v>46</v>
      </c>
      <c r="W2107" t="s">
        <v>1038</v>
      </c>
      <c r="X2107" t="s">
        <v>1039</v>
      </c>
      <c r="Y2107" t="s">
        <v>72</v>
      </c>
      <c r="Z2107" t="s">
        <v>68</v>
      </c>
      <c r="AA2107" t="s">
        <v>49</v>
      </c>
      <c r="AC2107" s="2"/>
    </row>
    <row r="2108" spans="1:31" x14ac:dyDescent="0.25">
      <c r="A2108" t="s">
        <v>9954</v>
      </c>
      <c r="B2108" t="s">
        <v>9955</v>
      </c>
      <c r="C2108" t="s">
        <v>9955</v>
      </c>
      <c r="D2108" t="s">
        <v>133</v>
      </c>
      <c r="E2108" t="s">
        <v>134</v>
      </c>
      <c r="F2108" t="s">
        <v>9956</v>
      </c>
      <c r="G2108" t="s">
        <v>7666</v>
      </c>
      <c r="H2108" t="s">
        <v>1360</v>
      </c>
      <c r="J2108" s="2">
        <v>436340</v>
      </c>
      <c r="K2108" s="2">
        <v>2000</v>
      </c>
      <c r="L2108" s="2">
        <v>15</v>
      </c>
      <c r="M2108" s="2">
        <v>0</v>
      </c>
      <c r="N2108" t="s">
        <v>1362</v>
      </c>
      <c r="O2108" t="s">
        <v>1360</v>
      </c>
      <c r="P2108" t="s">
        <v>2320</v>
      </c>
      <c r="Q2108" t="s">
        <v>2321</v>
      </c>
      <c r="S2108" t="s">
        <v>9957</v>
      </c>
      <c r="U2108" t="s">
        <v>45</v>
      </c>
      <c r="V2108" t="s">
        <v>46</v>
      </c>
      <c r="W2108" t="s">
        <v>1362</v>
      </c>
      <c r="X2108" t="s">
        <v>1360</v>
      </c>
      <c r="Y2108" t="s">
        <v>1215</v>
      </c>
      <c r="Z2108" t="s">
        <v>1216</v>
      </c>
      <c r="AA2108" t="s">
        <v>49</v>
      </c>
      <c r="AB2108" t="s">
        <v>50</v>
      </c>
      <c r="AC2108" s="2">
        <v>436340</v>
      </c>
      <c r="AD2108" t="s">
        <v>64</v>
      </c>
    </row>
    <row r="2109" spans="1:31" hidden="1" x14ac:dyDescent="0.25">
      <c r="J2109" s="2">
        <v>1000</v>
      </c>
      <c r="K2109" s="2">
        <v>0</v>
      </c>
      <c r="L2109" s="2">
        <v>1</v>
      </c>
      <c r="M2109" s="2">
        <v>0</v>
      </c>
      <c r="U2109" t="s">
        <v>45</v>
      </c>
      <c r="V2109" t="s">
        <v>46</v>
      </c>
      <c r="W2109" t="s">
        <v>40</v>
      </c>
      <c r="X2109" t="s">
        <v>41</v>
      </c>
      <c r="Y2109" t="s">
        <v>47</v>
      </c>
      <c r="Z2109" t="s">
        <v>48</v>
      </c>
      <c r="AA2109" t="s">
        <v>49</v>
      </c>
      <c r="AC2109" s="2"/>
    </row>
    <row r="2110" spans="1:31" x14ac:dyDescent="0.25">
      <c r="A2110" t="s">
        <v>9958</v>
      </c>
      <c r="B2110" t="s">
        <v>9959</v>
      </c>
      <c r="C2110" t="s">
        <v>9959</v>
      </c>
      <c r="D2110" t="s">
        <v>125</v>
      </c>
      <c r="E2110" t="s">
        <v>126</v>
      </c>
      <c r="F2110" t="s">
        <v>9960</v>
      </c>
      <c r="G2110" t="s">
        <v>847</v>
      </c>
      <c r="H2110" t="s">
        <v>7147</v>
      </c>
      <c r="J2110" s="2">
        <v>763595</v>
      </c>
      <c r="K2110" s="2">
        <v>3500</v>
      </c>
      <c r="L2110" s="2">
        <v>21</v>
      </c>
      <c r="M2110" s="2">
        <v>0</v>
      </c>
      <c r="N2110" t="s">
        <v>6940</v>
      </c>
      <c r="O2110" t="s">
        <v>6939</v>
      </c>
      <c r="P2110" t="s">
        <v>3487</v>
      </c>
      <c r="Q2110" t="s">
        <v>3488</v>
      </c>
      <c r="S2110" t="s">
        <v>9961</v>
      </c>
      <c r="U2110" t="s">
        <v>45</v>
      </c>
      <c r="V2110" t="s">
        <v>46</v>
      </c>
      <c r="W2110" t="s">
        <v>6940</v>
      </c>
      <c r="X2110" t="s">
        <v>6939</v>
      </c>
      <c r="Y2110" t="s">
        <v>79</v>
      </c>
      <c r="Z2110" t="s">
        <v>94</v>
      </c>
      <c r="AA2110" t="s">
        <v>49</v>
      </c>
      <c r="AB2110" t="s">
        <v>50</v>
      </c>
      <c r="AC2110" s="2">
        <v>730773.36</v>
      </c>
      <c r="AD2110" t="s">
        <v>9962</v>
      </c>
    </row>
    <row r="2111" spans="1:31" x14ac:dyDescent="0.25">
      <c r="A2111" t="s">
        <v>9963</v>
      </c>
      <c r="B2111" t="s">
        <v>9964</v>
      </c>
      <c r="C2111" t="s">
        <v>9964</v>
      </c>
      <c r="D2111" t="s">
        <v>125</v>
      </c>
      <c r="E2111" t="s">
        <v>126</v>
      </c>
      <c r="F2111" t="s">
        <v>9965</v>
      </c>
      <c r="G2111" t="s">
        <v>35</v>
      </c>
      <c r="H2111" t="s">
        <v>1222</v>
      </c>
      <c r="I2111" t="s">
        <v>9966</v>
      </c>
      <c r="J2111" s="2">
        <v>179504</v>
      </c>
      <c r="K2111" s="2">
        <v>800</v>
      </c>
      <c r="L2111" s="2">
        <v>15</v>
      </c>
      <c r="M2111" s="2">
        <v>0</v>
      </c>
      <c r="N2111" t="s">
        <v>1221</v>
      </c>
      <c r="O2111" t="s">
        <v>1222</v>
      </c>
      <c r="P2111" t="s">
        <v>205</v>
      </c>
      <c r="Q2111" t="s">
        <v>206</v>
      </c>
      <c r="S2111" t="s">
        <v>9967</v>
      </c>
      <c r="U2111" t="s">
        <v>45</v>
      </c>
      <c r="V2111" t="s">
        <v>46</v>
      </c>
      <c r="W2111" t="s">
        <v>1221</v>
      </c>
      <c r="X2111" t="s">
        <v>1222</v>
      </c>
      <c r="Y2111" t="s">
        <v>161</v>
      </c>
      <c r="Z2111" t="s">
        <v>162</v>
      </c>
      <c r="AA2111" t="s">
        <v>49</v>
      </c>
      <c r="AB2111" t="s">
        <v>50</v>
      </c>
      <c r="AC2111" s="2">
        <v>-57375.6</v>
      </c>
      <c r="AD2111" t="s">
        <v>9968</v>
      </c>
      <c r="AE2111" t="s">
        <v>115</v>
      </c>
    </row>
    <row r="2112" spans="1:31" x14ac:dyDescent="0.25">
      <c r="A2112" t="s">
        <v>9969</v>
      </c>
      <c r="B2112" t="s">
        <v>9970</v>
      </c>
      <c r="C2112" t="s">
        <v>9971</v>
      </c>
      <c r="D2112" t="s">
        <v>35</v>
      </c>
      <c r="E2112" t="s">
        <v>36</v>
      </c>
      <c r="F2112" t="s">
        <v>78</v>
      </c>
      <c r="G2112" t="s">
        <v>553</v>
      </c>
      <c r="H2112" t="s">
        <v>99</v>
      </c>
      <c r="I2112" t="s">
        <v>9972</v>
      </c>
      <c r="J2112" s="2">
        <v>218170</v>
      </c>
      <c r="K2112" s="2">
        <v>1000</v>
      </c>
      <c r="L2112" s="2">
        <v>21</v>
      </c>
      <c r="M2112" s="2">
        <v>0</v>
      </c>
      <c r="N2112" t="s">
        <v>101</v>
      </c>
      <c r="O2112" t="s">
        <v>102</v>
      </c>
      <c r="P2112" t="s">
        <v>3487</v>
      </c>
      <c r="Q2112" t="s">
        <v>3488</v>
      </c>
      <c r="S2112" t="s">
        <v>9973</v>
      </c>
      <c r="U2112" t="s">
        <v>45</v>
      </c>
      <c r="V2112" t="s">
        <v>46</v>
      </c>
      <c r="W2112" t="s">
        <v>101</v>
      </c>
      <c r="X2112" t="s">
        <v>102</v>
      </c>
      <c r="Y2112" t="s">
        <v>106</v>
      </c>
      <c r="Z2112" t="s">
        <v>107</v>
      </c>
      <c r="AA2112" t="s">
        <v>49</v>
      </c>
      <c r="AB2112" t="s">
        <v>50</v>
      </c>
      <c r="AC2112" s="2">
        <v>168551.71</v>
      </c>
      <c r="AD2112" t="s">
        <v>9974</v>
      </c>
      <c r="AE2112" t="s">
        <v>115</v>
      </c>
    </row>
    <row r="2113" spans="1:31" x14ac:dyDescent="0.25">
      <c r="A2113" t="s">
        <v>9975</v>
      </c>
      <c r="B2113" t="s">
        <v>9976</v>
      </c>
      <c r="C2113" t="s">
        <v>9976</v>
      </c>
      <c r="D2113" t="s">
        <v>2286</v>
      </c>
      <c r="E2113" t="s">
        <v>134</v>
      </c>
      <c r="F2113" t="s">
        <v>9977</v>
      </c>
      <c r="G2113" t="s">
        <v>2139</v>
      </c>
      <c r="H2113" t="s">
        <v>665</v>
      </c>
      <c r="I2113" t="s">
        <v>9978</v>
      </c>
      <c r="J2113" s="2">
        <v>218170</v>
      </c>
      <c r="K2113" s="2">
        <v>1000</v>
      </c>
      <c r="L2113" s="2">
        <v>30</v>
      </c>
      <c r="M2113" s="2">
        <v>0</v>
      </c>
      <c r="N2113" t="s">
        <v>664</v>
      </c>
      <c r="O2113" t="s">
        <v>665</v>
      </c>
      <c r="P2113" t="s">
        <v>103</v>
      </c>
      <c r="Q2113" t="s">
        <v>104</v>
      </c>
      <c r="S2113" t="s">
        <v>9979</v>
      </c>
      <c r="U2113" t="s">
        <v>45</v>
      </c>
      <c r="V2113" t="s">
        <v>46</v>
      </c>
      <c r="W2113" t="s">
        <v>664</v>
      </c>
      <c r="X2113" t="s">
        <v>665</v>
      </c>
      <c r="Y2113" t="s">
        <v>106</v>
      </c>
      <c r="Z2113" t="s">
        <v>107</v>
      </c>
      <c r="AA2113" t="s">
        <v>49</v>
      </c>
      <c r="AB2113" t="s">
        <v>50</v>
      </c>
      <c r="AC2113" s="2">
        <v>218170</v>
      </c>
      <c r="AD2113" t="s">
        <v>64</v>
      </c>
    </row>
    <row r="2114" spans="1:31" x14ac:dyDescent="0.25">
      <c r="A2114" t="s">
        <v>9980</v>
      </c>
      <c r="B2114" t="s">
        <v>9981</v>
      </c>
      <c r="C2114" t="s">
        <v>9981</v>
      </c>
      <c r="D2114" t="s">
        <v>1410</v>
      </c>
      <c r="E2114" t="s">
        <v>871</v>
      </c>
      <c r="F2114" t="s">
        <v>9982</v>
      </c>
      <c r="G2114" t="s">
        <v>6526</v>
      </c>
      <c r="H2114" t="s">
        <v>9129</v>
      </c>
      <c r="I2114" t="s">
        <v>9983</v>
      </c>
      <c r="J2114" s="2">
        <v>327255</v>
      </c>
      <c r="K2114" s="2">
        <v>1500</v>
      </c>
      <c r="L2114" s="2">
        <v>15</v>
      </c>
      <c r="M2114" s="2">
        <v>0</v>
      </c>
      <c r="N2114" t="s">
        <v>9130</v>
      </c>
      <c r="O2114" t="s">
        <v>9129</v>
      </c>
      <c r="P2114" t="s">
        <v>2320</v>
      </c>
      <c r="Q2114" t="s">
        <v>2321</v>
      </c>
      <c r="S2114" t="s">
        <v>9984</v>
      </c>
      <c r="U2114" t="s">
        <v>45</v>
      </c>
      <c r="V2114" t="s">
        <v>46</v>
      </c>
      <c r="W2114" t="s">
        <v>9130</v>
      </c>
      <c r="X2114" t="s">
        <v>9129</v>
      </c>
      <c r="Y2114" t="s">
        <v>258</v>
      </c>
      <c r="Z2114" t="s">
        <v>259</v>
      </c>
      <c r="AA2114" t="s">
        <v>49</v>
      </c>
      <c r="AB2114" t="s">
        <v>50</v>
      </c>
      <c r="AC2114" s="2">
        <v>327255</v>
      </c>
      <c r="AD2114" t="s">
        <v>64</v>
      </c>
    </row>
    <row r="2115" spans="1:31" hidden="1" x14ac:dyDescent="0.25">
      <c r="J2115" s="2">
        <v>1000</v>
      </c>
      <c r="K2115" s="2">
        <v>0</v>
      </c>
      <c r="L2115" s="2">
        <v>1</v>
      </c>
      <c r="M2115" s="2">
        <v>0</v>
      </c>
      <c r="S2115" t="s">
        <v>9985</v>
      </c>
      <c r="U2115" t="s">
        <v>45</v>
      </c>
      <c r="V2115" t="s">
        <v>46</v>
      </c>
      <c r="W2115" t="s">
        <v>40</v>
      </c>
      <c r="X2115" t="s">
        <v>41</v>
      </c>
      <c r="Y2115" t="s">
        <v>47</v>
      </c>
      <c r="Z2115" t="s">
        <v>48</v>
      </c>
      <c r="AA2115" t="s">
        <v>49</v>
      </c>
      <c r="AC2115" s="2"/>
    </row>
    <row r="2116" spans="1:31" hidden="1" x14ac:dyDescent="0.25">
      <c r="I2116" t="s">
        <v>9986</v>
      </c>
      <c r="J2116" s="2">
        <v>1090850</v>
      </c>
      <c r="K2116" s="2">
        <v>5000</v>
      </c>
      <c r="L2116" s="2">
        <v>30</v>
      </c>
      <c r="M2116" s="2">
        <v>0</v>
      </c>
      <c r="S2116" t="s">
        <v>9987</v>
      </c>
      <c r="U2116" t="s">
        <v>45</v>
      </c>
      <c r="V2116" t="s">
        <v>46</v>
      </c>
      <c r="W2116" t="s">
        <v>664</v>
      </c>
      <c r="X2116" t="s">
        <v>665</v>
      </c>
      <c r="Y2116" t="s">
        <v>106</v>
      </c>
      <c r="Z2116" t="s">
        <v>107</v>
      </c>
      <c r="AA2116" t="s">
        <v>49</v>
      </c>
      <c r="AC2116" s="2"/>
    </row>
    <row r="2117" spans="1:31" x14ac:dyDescent="0.25">
      <c r="A2117" t="s">
        <v>9988</v>
      </c>
      <c r="B2117" t="s">
        <v>9989</v>
      </c>
      <c r="C2117" t="s">
        <v>9989</v>
      </c>
      <c r="D2117" t="s">
        <v>5597</v>
      </c>
      <c r="E2117" t="s">
        <v>224</v>
      </c>
      <c r="F2117" t="s">
        <v>9990</v>
      </c>
      <c r="H2117" t="s">
        <v>81</v>
      </c>
      <c r="I2117" t="s">
        <v>9991</v>
      </c>
      <c r="J2117" s="2">
        <v>218</v>
      </c>
      <c r="K2117" s="2">
        <v>1</v>
      </c>
      <c r="L2117" s="2">
        <v>1</v>
      </c>
      <c r="M2117" s="2">
        <v>0</v>
      </c>
      <c r="N2117" t="s">
        <v>80</v>
      </c>
      <c r="O2117" t="s">
        <v>81</v>
      </c>
      <c r="P2117" t="s">
        <v>557</v>
      </c>
      <c r="Q2117" t="s">
        <v>558</v>
      </c>
      <c r="S2117" t="s">
        <v>9992</v>
      </c>
      <c r="U2117" t="s">
        <v>45</v>
      </c>
      <c r="V2117" t="s">
        <v>46</v>
      </c>
      <c r="W2117" t="s">
        <v>80</v>
      </c>
      <c r="X2117" t="s">
        <v>81</v>
      </c>
      <c r="Y2117" t="s">
        <v>85</v>
      </c>
      <c r="Z2117" t="s">
        <v>86</v>
      </c>
      <c r="AA2117" t="s">
        <v>49</v>
      </c>
      <c r="AB2117" t="s">
        <v>50</v>
      </c>
      <c r="AC2117" s="2">
        <v>218</v>
      </c>
      <c r="AD2117" t="s">
        <v>64</v>
      </c>
    </row>
    <row r="2118" spans="1:31" x14ac:dyDescent="0.25">
      <c r="A2118" t="s">
        <v>9993</v>
      </c>
      <c r="B2118" t="s">
        <v>9994</v>
      </c>
      <c r="C2118" t="s">
        <v>9994</v>
      </c>
      <c r="D2118" t="s">
        <v>125</v>
      </c>
      <c r="E2118" t="s">
        <v>126</v>
      </c>
      <c r="F2118" t="s">
        <v>9995</v>
      </c>
      <c r="G2118" t="s">
        <v>166</v>
      </c>
      <c r="H2118" t="s">
        <v>79</v>
      </c>
      <c r="I2118" t="s">
        <v>7630</v>
      </c>
      <c r="J2118" s="2">
        <v>188479</v>
      </c>
      <c r="K2118" s="2">
        <v>850</v>
      </c>
      <c r="L2118" s="2">
        <v>21</v>
      </c>
      <c r="M2118" s="2">
        <v>0</v>
      </c>
      <c r="N2118" t="s">
        <v>9996</v>
      </c>
      <c r="O2118" t="s">
        <v>9997</v>
      </c>
      <c r="P2118" t="s">
        <v>3487</v>
      </c>
      <c r="Q2118" t="s">
        <v>3488</v>
      </c>
      <c r="S2118" t="s">
        <v>9998</v>
      </c>
      <c r="U2118" t="s">
        <v>45</v>
      </c>
      <c r="V2118" t="s">
        <v>46</v>
      </c>
      <c r="W2118" t="s">
        <v>9996</v>
      </c>
      <c r="X2118" t="s">
        <v>9997</v>
      </c>
      <c r="Y2118" t="s">
        <v>79</v>
      </c>
      <c r="Z2118" t="s">
        <v>94</v>
      </c>
      <c r="AA2118" t="s">
        <v>49</v>
      </c>
      <c r="AB2118" t="s">
        <v>50</v>
      </c>
      <c r="AC2118" s="2">
        <v>188479</v>
      </c>
      <c r="AD2118" t="s">
        <v>64</v>
      </c>
    </row>
    <row r="2119" spans="1:31" hidden="1" x14ac:dyDescent="0.25">
      <c r="J2119" s="2">
        <v>1000</v>
      </c>
      <c r="K2119" s="2">
        <v>0</v>
      </c>
      <c r="L2119" s="2">
        <v>1</v>
      </c>
      <c r="M2119" s="2">
        <v>0</v>
      </c>
      <c r="S2119" t="s">
        <v>4322</v>
      </c>
      <c r="U2119" t="s">
        <v>45</v>
      </c>
      <c r="V2119" t="s">
        <v>46</v>
      </c>
      <c r="W2119" t="s">
        <v>40</v>
      </c>
      <c r="X2119" t="s">
        <v>41</v>
      </c>
      <c r="Y2119" t="s">
        <v>47</v>
      </c>
      <c r="Z2119" t="s">
        <v>48</v>
      </c>
      <c r="AA2119" t="s">
        <v>49</v>
      </c>
      <c r="AC2119" s="2"/>
    </row>
    <row r="2120" spans="1:31" hidden="1" x14ac:dyDescent="0.25">
      <c r="A2120" t="s">
        <v>10000</v>
      </c>
      <c r="B2120" t="s">
        <v>10001</v>
      </c>
      <c r="C2120" t="s">
        <v>7629</v>
      </c>
      <c r="F2120" t="s">
        <v>866</v>
      </c>
      <c r="H2120" t="s">
        <v>10002</v>
      </c>
      <c r="I2120" t="s">
        <v>7630</v>
      </c>
      <c r="J2120" s="2">
        <v>218170</v>
      </c>
      <c r="K2120" s="2">
        <v>1000</v>
      </c>
      <c r="L2120" s="2">
        <v>21</v>
      </c>
      <c r="M2120" s="2">
        <v>0</v>
      </c>
      <c r="N2120" t="s">
        <v>10003</v>
      </c>
      <c r="O2120" t="s">
        <v>10004</v>
      </c>
      <c r="P2120" t="s">
        <v>3487</v>
      </c>
      <c r="Q2120" t="s">
        <v>3488</v>
      </c>
      <c r="S2120" t="s">
        <v>7631</v>
      </c>
      <c r="U2120" t="s">
        <v>45</v>
      </c>
      <c r="V2120" t="s">
        <v>46</v>
      </c>
      <c r="W2120" t="s">
        <v>10003</v>
      </c>
      <c r="X2120" t="s">
        <v>10004</v>
      </c>
      <c r="Y2120" t="s">
        <v>79</v>
      </c>
      <c r="Z2120" t="s">
        <v>94</v>
      </c>
      <c r="AA2120" t="s">
        <v>49</v>
      </c>
      <c r="AB2120" t="s">
        <v>50</v>
      </c>
      <c r="AC2120" s="2">
        <v>218170</v>
      </c>
      <c r="AD2120" t="s">
        <v>64</v>
      </c>
    </row>
    <row r="2121" spans="1:31" hidden="1" x14ac:dyDescent="0.25">
      <c r="I2121" t="s">
        <v>9541</v>
      </c>
      <c r="J2121" s="2">
        <v>21817</v>
      </c>
      <c r="K2121" s="2">
        <v>100</v>
      </c>
      <c r="L2121" s="2">
        <v>1</v>
      </c>
      <c r="M2121" s="2">
        <v>0</v>
      </c>
      <c r="S2121" t="s">
        <v>10005</v>
      </c>
      <c r="U2121" t="s">
        <v>45</v>
      </c>
      <c r="V2121" t="s">
        <v>46</v>
      </c>
      <c r="W2121" t="s">
        <v>7517</v>
      </c>
      <c r="X2121" t="s">
        <v>7518</v>
      </c>
      <c r="Y2121" t="s">
        <v>1215</v>
      </c>
      <c r="Z2121" t="s">
        <v>1216</v>
      </c>
      <c r="AA2121" t="s">
        <v>49</v>
      </c>
      <c r="AC2121" s="2"/>
    </row>
    <row r="2122" spans="1:31" x14ac:dyDescent="0.25">
      <c r="A2122" t="s">
        <v>10006</v>
      </c>
      <c r="B2122" t="s">
        <v>10007</v>
      </c>
      <c r="C2122" t="s">
        <v>10007</v>
      </c>
      <c r="D2122" t="s">
        <v>847</v>
      </c>
      <c r="E2122" t="s">
        <v>848</v>
      </c>
      <c r="F2122" t="s">
        <v>10008</v>
      </c>
      <c r="G2122" t="s">
        <v>297</v>
      </c>
      <c r="H2122" t="s">
        <v>79</v>
      </c>
      <c r="I2122" t="s">
        <v>10009</v>
      </c>
      <c r="J2122" s="2">
        <v>577625</v>
      </c>
      <c r="K2122" s="2">
        <v>2500</v>
      </c>
      <c r="L2122" s="2">
        <v>25</v>
      </c>
      <c r="M2122" s="2">
        <v>0</v>
      </c>
      <c r="N2122" t="s">
        <v>495</v>
      </c>
      <c r="O2122" t="s">
        <v>79</v>
      </c>
      <c r="P2122" t="s">
        <v>3487</v>
      </c>
      <c r="Q2122" t="s">
        <v>3488</v>
      </c>
      <c r="S2122" t="s">
        <v>10010</v>
      </c>
      <c r="U2122" t="s">
        <v>45</v>
      </c>
      <c r="V2122" t="s">
        <v>46</v>
      </c>
      <c r="W2122" t="s">
        <v>495</v>
      </c>
      <c r="X2122" t="s">
        <v>79</v>
      </c>
      <c r="Y2122" t="s">
        <v>79</v>
      </c>
      <c r="Z2122" t="s">
        <v>94</v>
      </c>
      <c r="AA2122" t="s">
        <v>49</v>
      </c>
      <c r="AB2122" t="s">
        <v>50</v>
      </c>
      <c r="AC2122" s="2">
        <v>81484.19</v>
      </c>
      <c r="AD2122" t="s">
        <v>10011</v>
      </c>
      <c r="AE2122" t="s">
        <v>115</v>
      </c>
    </row>
    <row r="2123" spans="1:31" hidden="1" x14ac:dyDescent="0.25">
      <c r="J2123" s="2">
        <v>218170</v>
      </c>
      <c r="K2123" s="2">
        <v>1000</v>
      </c>
      <c r="L2123" s="2">
        <v>15</v>
      </c>
      <c r="M2123" s="2">
        <v>0</v>
      </c>
      <c r="S2123" t="s">
        <v>10012</v>
      </c>
      <c r="U2123" t="s">
        <v>45</v>
      </c>
      <c r="V2123" t="s">
        <v>46</v>
      </c>
      <c r="W2123" t="s">
        <v>1064</v>
      </c>
      <c r="X2123" t="s">
        <v>1062</v>
      </c>
      <c r="Y2123" t="s">
        <v>72</v>
      </c>
      <c r="Z2123" t="s">
        <v>68</v>
      </c>
      <c r="AA2123" t="s">
        <v>49</v>
      </c>
      <c r="AC2123" s="2"/>
    </row>
    <row r="2124" spans="1:31" x14ac:dyDescent="0.25">
      <c r="A2124" t="s">
        <v>10013</v>
      </c>
      <c r="B2124" t="s">
        <v>10014</v>
      </c>
      <c r="C2124" t="s">
        <v>10014</v>
      </c>
      <c r="D2124" t="s">
        <v>331</v>
      </c>
      <c r="E2124" t="s">
        <v>224</v>
      </c>
      <c r="F2124" t="s">
        <v>10015</v>
      </c>
      <c r="G2124" t="s">
        <v>1291</v>
      </c>
      <c r="H2124" t="s">
        <v>10016</v>
      </c>
      <c r="I2124" t="s">
        <v>10017</v>
      </c>
      <c r="J2124" s="2">
        <v>109085</v>
      </c>
      <c r="K2124" s="2">
        <v>500</v>
      </c>
      <c r="L2124" s="2">
        <v>21</v>
      </c>
      <c r="M2124" s="2">
        <v>0</v>
      </c>
      <c r="N2124" t="s">
        <v>5741</v>
      </c>
      <c r="O2124" t="s">
        <v>5739</v>
      </c>
      <c r="P2124" t="s">
        <v>5966</v>
      </c>
      <c r="Q2124" t="s">
        <v>5739</v>
      </c>
      <c r="S2124" t="s">
        <v>10018</v>
      </c>
      <c r="U2124" t="s">
        <v>45</v>
      </c>
      <c r="V2124" t="s">
        <v>46</v>
      </c>
      <c r="W2124" t="s">
        <v>5741</v>
      </c>
      <c r="X2124" t="s">
        <v>5739</v>
      </c>
      <c r="Y2124" t="s">
        <v>5743</v>
      </c>
      <c r="Z2124" t="s">
        <v>5744</v>
      </c>
      <c r="AA2124" t="s">
        <v>49</v>
      </c>
      <c r="AB2124" t="s">
        <v>50</v>
      </c>
      <c r="AC2124" s="2">
        <v>109085</v>
      </c>
      <c r="AD2124" t="s">
        <v>64</v>
      </c>
    </row>
    <row r="2125" spans="1:31" hidden="1" x14ac:dyDescent="0.25">
      <c r="I2125" t="s">
        <v>10019</v>
      </c>
      <c r="J2125" s="2">
        <v>43634</v>
      </c>
      <c r="K2125" s="2">
        <v>200</v>
      </c>
      <c r="L2125" s="2">
        <v>15</v>
      </c>
      <c r="M2125" s="2">
        <v>0</v>
      </c>
      <c r="S2125" t="s">
        <v>10020</v>
      </c>
      <c r="U2125" t="s">
        <v>45</v>
      </c>
      <c r="V2125" t="s">
        <v>46</v>
      </c>
      <c r="W2125" t="s">
        <v>7334</v>
      </c>
      <c r="X2125" t="s">
        <v>7335</v>
      </c>
      <c r="Y2125" t="s">
        <v>5743</v>
      </c>
      <c r="Z2125" t="s">
        <v>5744</v>
      </c>
      <c r="AA2125" t="s">
        <v>49</v>
      </c>
      <c r="AC2125" s="2"/>
    </row>
    <row r="2126" spans="1:31" x14ac:dyDescent="0.25">
      <c r="A2126" t="s">
        <v>10021</v>
      </c>
      <c r="B2126" t="s">
        <v>10022</v>
      </c>
      <c r="C2126" t="s">
        <v>10022</v>
      </c>
      <c r="D2126" t="s">
        <v>847</v>
      </c>
      <c r="E2126" t="s">
        <v>848</v>
      </c>
      <c r="F2126" t="s">
        <v>10023</v>
      </c>
      <c r="H2126" t="s">
        <v>41</v>
      </c>
      <c r="J2126" s="2">
        <v>10909</v>
      </c>
      <c r="K2126" s="2">
        <v>50</v>
      </c>
      <c r="L2126" s="2">
        <v>15</v>
      </c>
      <c r="M2126" s="2">
        <v>0</v>
      </c>
      <c r="N2126" t="s">
        <v>40</v>
      </c>
      <c r="O2126" t="s">
        <v>41</v>
      </c>
      <c r="P2126" t="s">
        <v>42</v>
      </c>
      <c r="Q2126" t="s">
        <v>43</v>
      </c>
      <c r="S2126" t="s">
        <v>41</v>
      </c>
      <c r="U2126" t="s">
        <v>45</v>
      </c>
      <c r="V2126" t="s">
        <v>46</v>
      </c>
      <c r="W2126" t="s">
        <v>40</v>
      </c>
      <c r="X2126" t="s">
        <v>41</v>
      </c>
      <c r="Y2126" t="s">
        <v>47</v>
      </c>
      <c r="Z2126" t="s">
        <v>48</v>
      </c>
      <c r="AA2126" t="s">
        <v>141</v>
      </c>
      <c r="AB2126" t="s">
        <v>50</v>
      </c>
      <c r="AC2126" s="2">
        <v>9458.08</v>
      </c>
      <c r="AD2126" t="s">
        <v>10024</v>
      </c>
    </row>
    <row r="2127" spans="1:31" x14ac:dyDescent="0.25">
      <c r="A2127" t="s">
        <v>10025</v>
      </c>
      <c r="B2127" t="s">
        <v>10026</v>
      </c>
      <c r="C2127" t="s">
        <v>10026</v>
      </c>
      <c r="D2127" t="s">
        <v>2120</v>
      </c>
      <c r="E2127" t="s">
        <v>224</v>
      </c>
      <c r="F2127" t="s">
        <v>10027</v>
      </c>
      <c r="G2127" t="s">
        <v>2485</v>
      </c>
      <c r="H2127" t="s">
        <v>10028</v>
      </c>
      <c r="I2127" t="s">
        <v>8269</v>
      </c>
      <c r="J2127" s="2">
        <v>130902</v>
      </c>
      <c r="K2127" s="2">
        <v>600</v>
      </c>
      <c r="L2127" s="2">
        <v>15</v>
      </c>
      <c r="M2127" s="2">
        <v>0</v>
      </c>
      <c r="N2127" t="s">
        <v>254</v>
      </c>
      <c r="O2127" t="s">
        <v>255</v>
      </c>
      <c r="P2127" t="s">
        <v>4374</v>
      </c>
      <c r="Q2127" t="s">
        <v>4375</v>
      </c>
      <c r="S2127" t="s">
        <v>10029</v>
      </c>
      <c r="U2127" t="s">
        <v>45</v>
      </c>
      <c r="V2127" t="s">
        <v>46</v>
      </c>
      <c r="W2127" t="s">
        <v>254</v>
      </c>
      <c r="X2127" t="s">
        <v>255</v>
      </c>
      <c r="Y2127" t="s">
        <v>258</v>
      </c>
      <c r="Z2127" t="s">
        <v>259</v>
      </c>
      <c r="AA2127" t="s">
        <v>49</v>
      </c>
      <c r="AB2127" t="s">
        <v>50</v>
      </c>
      <c r="AC2127" s="2">
        <v>130902</v>
      </c>
      <c r="AD2127" t="s">
        <v>64</v>
      </c>
    </row>
    <row r="2128" spans="1:31" x14ac:dyDescent="0.25">
      <c r="A2128" t="s">
        <v>10030</v>
      </c>
      <c r="B2128" t="s">
        <v>10031</v>
      </c>
      <c r="C2128" t="s">
        <v>10031</v>
      </c>
      <c r="D2128" t="s">
        <v>125</v>
      </c>
      <c r="E2128" t="s">
        <v>126</v>
      </c>
      <c r="F2128" t="s">
        <v>10032</v>
      </c>
      <c r="G2128" t="s">
        <v>153</v>
      </c>
      <c r="H2128" t="s">
        <v>303</v>
      </c>
      <c r="I2128" t="s">
        <v>10033</v>
      </c>
      <c r="J2128" s="2">
        <v>545425</v>
      </c>
      <c r="K2128" s="2">
        <v>2500</v>
      </c>
      <c r="L2128" s="2">
        <v>21</v>
      </c>
      <c r="M2128" s="2">
        <v>0</v>
      </c>
      <c r="N2128" t="s">
        <v>302</v>
      </c>
      <c r="O2128" t="s">
        <v>303</v>
      </c>
      <c r="P2128" t="s">
        <v>304</v>
      </c>
      <c r="Q2128" t="s">
        <v>72</v>
      </c>
      <c r="S2128" t="s">
        <v>10034</v>
      </c>
      <c r="U2128" t="s">
        <v>45</v>
      </c>
      <c r="V2128" t="s">
        <v>46</v>
      </c>
      <c r="W2128" t="s">
        <v>302</v>
      </c>
      <c r="X2128" t="s">
        <v>303</v>
      </c>
      <c r="Y2128" t="s">
        <v>72</v>
      </c>
      <c r="Z2128" t="s">
        <v>68</v>
      </c>
      <c r="AA2128" t="s">
        <v>49</v>
      </c>
      <c r="AB2128" t="s">
        <v>50</v>
      </c>
      <c r="AC2128" s="2">
        <v>432043.58</v>
      </c>
      <c r="AD2128" t="s">
        <v>10035</v>
      </c>
      <c r="AE2128" t="s">
        <v>115</v>
      </c>
    </row>
    <row r="2129" spans="1:31" x14ac:dyDescent="0.25">
      <c r="A2129" t="s">
        <v>10036</v>
      </c>
      <c r="B2129" t="s">
        <v>10037</v>
      </c>
      <c r="C2129" t="s">
        <v>10037</v>
      </c>
      <c r="D2129" t="s">
        <v>2389</v>
      </c>
      <c r="E2129" t="s">
        <v>134</v>
      </c>
      <c r="F2129" t="s">
        <v>10038</v>
      </c>
      <c r="G2129" t="s">
        <v>10039</v>
      </c>
      <c r="H2129" t="s">
        <v>41</v>
      </c>
      <c r="J2129" s="2">
        <v>218170</v>
      </c>
      <c r="K2129" s="2">
        <v>1000</v>
      </c>
      <c r="L2129" s="2">
        <v>15</v>
      </c>
      <c r="M2129" s="2">
        <v>0</v>
      </c>
      <c r="N2129" t="s">
        <v>40</v>
      </c>
      <c r="O2129" t="s">
        <v>41</v>
      </c>
      <c r="P2129" t="s">
        <v>61</v>
      </c>
      <c r="Q2129" t="s">
        <v>62</v>
      </c>
      <c r="S2129" t="s">
        <v>10040</v>
      </c>
      <c r="U2129" t="s">
        <v>45</v>
      </c>
      <c r="V2129" t="s">
        <v>46</v>
      </c>
      <c r="W2129" t="s">
        <v>40</v>
      </c>
      <c r="X2129" t="s">
        <v>41</v>
      </c>
      <c r="Y2129" t="s">
        <v>47</v>
      </c>
      <c r="Z2129" t="s">
        <v>48</v>
      </c>
      <c r="AA2129" t="s">
        <v>49</v>
      </c>
      <c r="AB2129" t="s">
        <v>50</v>
      </c>
      <c r="AC2129" s="2">
        <v>218170</v>
      </c>
      <c r="AD2129" t="s">
        <v>64</v>
      </c>
    </row>
    <row r="2130" spans="1:31" x14ac:dyDescent="0.25">
      <c r="A2130" t="s">
        <v>10041</v>
      </c>
      <c r="B2130" t="s">
        <v>10042</v>
      </c>
      <c r="C2130" t="s">
        <v>10042</v>
      </c>
      <c r="D2130" t="s">
        <v>264</v>
      </c>
      <c r="E2130" t="s">
        <v>134</v>
      </c>
      <c r="F2130" t="s">
        <v>10043</v>
      </c>
      <c r="H2130" t="s">
        <v>2572</v>
      </c>
      <c r="I2130" t="s">
        <v>10044</v>
      </c>
      <c r="J2130" s="2">
        <v>32726</v>
      </c>
      <c r="K2130" s="2">
        <v>150</v>
      </c>
      <c r="L2130" s="2">
        <v>21</v>
      </c>
      <c r="M2130" s="2">
        <v>0</v>
      </c>
      <c r="N2130" t="s">
        <v>2571</v>
      </c>
      <c r="O2130" t="s">
        <v>2572</v>
      </c>
      <c r="P2130" t="s">
        <v>6987</v>
      </c>
      <c r="Q2130" t="s">
        <v>6988</v>
      </c>
      <c r="S2130" t="s">
        <v>10045</v>
      </c>
      <c r="U2130" t="s">
        <v>45</v>
      </c>
      <c r="V2130" t="s">
        <v>46</v>
      </c>
      <c r="W2130" t="s">
        <v>2571</v>
      </c>
      <c r="X2130" t="s">
        <v>2572</v>
      </c>
      <c r="Y2130" t="s">
        <v>2399</v>
      </c>
      <c r="Z2130" t="s">
        <v>2400</v>
      </c>
      <c r="AA2130" t="s">
        <v>49</v>
      </c>
      <c r="AB2130" t="s">
        <v>50</v>
      </c>
      <c r="AC2130" s="2">
        <v>32726</v>
      </c>
      <c r="AD2130" t="s">
        <v>64</v>
      </c>
    </row>
    <row r="2131" spans="1:31" x14ac:dyDescent="0.25">
      <c r="A2131" t="s">
        <v>10046</v>
      </c>
      <c r="B2131" t="s">
        <v>10047</v>
      </c>
      <c r="C2131" t="s">
        <v>10047</v>
      </c>
      <c r="D2131" t="s">
        <v>178</v>
      </c>
      <c r="E2131" t="s">
        <v>179</v>
      </c>
      <c r="F2131" t="s">
        <v>10048</v>
      </c>
      <c r="G2131" t="s">
        <v>178</v>
      </c>
      <c r="H2131" t="s">
        <v>6728</v>
      </c>
      <c r="J2131" s="2">
        <v>218170</v>
      </c>
      <c r="K2131" s="2">
        <v>1000</v>
      </c>
      <c r="L2131" s="2">
        <v>15</v>
      </c>
      <c r="M2131" s="2">
        <v>0</v>
      </c>
      <c r="N2131" t="s">
        <v>6730</v>
      </c>
      <c r="O2131" t="s">
        <v>6728</v>
      </c>
      <c r="P2131" t="s">
        <v>557</v>
      </c>
      <c r="Q2131" t="s">
        <v>558</v>
      </c>
      <c r="S2131" t="s">
        <v>10049</v>
      </c>
      <c r="U2131" t="s">
        <v>45</v>
      </c>
      <c r="V2131" t="s">
        <v>46</v>
      </c>
      <c r="W2131" t="s">
        <v>6730</v>
      </c>
      <c r="X2131" t="s">
        <v>6728</v>
      </c>
      <c r="Y2131" t="s">
        <v>85</v>
      </c>
      <c r="Z2131" t="s">
        <v>86</v>
      </c>
      <c r="AA2131" t="s">
        <v>49</v>
      </c>
      <c r="AB2131" t="s">
        <v>50</v>
      </c>
      <c r="AC2131" s="2">
        <v>60639.33</v>
      </c>
      <c r="AD2131" t="s">
        <v>10050</v>
      </c>
      <c r="AE2131" t="s">
        <v>115</v>
      </c>
    </row>
    <row r="2132" spans="1:31" x14ac:dyDescent="0.25">
      <c r="A2132" t="s">
        <v>10051</v>
      </c>
      <c r="B2132" t="s">
        <v>10052</v>
      </c>
      <c r="C2132" t="s">
        <v>10052</v>
      </c>
      <c r="D2132" t="s">
        <v>1289</v>
      </c>
      <c r="E2132" t="s">
        <v>224</v>
      </c>
      <c r="F2132" t="s">
        <v>10053</v>
      </c>
      <c r="G2132" t="s">
        <v>333</v>
      </c>
      <c r="H2132" t="s">
        <v>1425</v>
      </c>
      <c r="I2132" t="s">
        <v>10054</v>
      </c>
      <c r="J2132" s="2">
        <v>218170</v>
      </c>
      <c r="K2132" s="2">
        <v>1000</v>
      </c>
      <c r="L2132" s="2">
        <v>15</v>
      </c>
      <c r="M2132" s="2">
        <v>0</v>
      </c>
      <c r="N2132" t="s">
        <v>1427</v>
      </c>
      <c r="O2132" t="s">
        <v>1428</v>
      </c>
      <c r="P2132" t="s">
        <v>82</v>
      </c>
      <c r="Q2132" t="s">
        <v>83</v>
      </c>
      <c r="S2132" t="s">
        <v>10055</v>
      </c>
      <c r="U2132" t="s">
        <v>45</v>
      </c>
      <c r="V2132" t="s">
        <v>46</v>
      </c>
      <c r="W2132" t="s">
        <v>1427</v>
      </c>
      <c r="X2132" t="s">
        <v>1430</v>
      </c>
      <c r="Y2132" t="s">
        <v>85</v>
      </c>
      <c r="Z2132" t="s">
        <v>86</v>
      </c>
      <c r="AA2132" t="s">
        <v>49</v>
      </c>
      <c r="AB2132" t="s">
        <v>50</v>
      </c>
      <c r="AC2132" s="2">
        <v>218170</v>
      </c>
      <c r="AD2132" t="s">
        <v>64</v>
      </c>
    </row>
    <row r="2133" spans="1:31" x14ac:dyDescent="0.25">
      <c r="A2133" t="s">
        <v>10056</v>
      </c>
      <c r="B2133" t="s">
        <v>10057</v>
      </c>
      <c r="C2133" t="s">
        <v>10057</v>
      </c>
      <c r="D2133" t="s">
        <v>35</v>
      </c>
      <c r="E2133" t="s">
        <v>36</v>
      </c>
      <c r="F2133" t="s">
        <v>10058</v>
      </c>
      <c r="G2133" t="s">
        <v>153</v>
      </c>
      <c r="H2133" t="s">
        <v>184</v>
      </c>
      <c r="J2133" s="2">
        <v>671880</v>
      </c>
      <c r="K2133" s="2">
        <v>3000</v>
      </c>
      <c r="L2133" s="2">
        <v>15</v>
      </c>
      <c r="M2133" s="2">
        <v>0</v>
      </c>
      <c r="N2133" t="s">
        <v>183</v>
      </c>
      <c r="O2133" t="s">
        <v>184</v>
      </c>
      <c r="P2133" t="s">
        <v>158</v>
      </c>
      <c r="Q2133" t="s">
        <v>159</v>
      </c>
      <c r="S2133" t="s">
        <v>10059</v>
      </c>
      <c r="U2133" t="s">
        <v>45</v>
      </c>
      <c r="V2133" t="s">
        <v>46</v>
      </c>
      <c r="W2133" t="s">
        <v>183</v>
      </c>
      <c r="X2133" t="s">
        <v>184</v>
      </c>
      <c r="Y2133" t="s">
        <v>161</v>
      </c>
      <c r="Z2133" t="s">
        <v>162</v>
      </c>
      <c r="AA2133" t="s">
        <v>49</v>
      </c>
      <c r="AB2133" t="s">
        <v>50</v>
      </c>
      <c r="AC2133" s="2">
        <v>282644.81</v>
      </c>
      <c r="AD2133" t="s">
        <v>10060</v>
      </c>
      <c r="AE2133" t="s">
        <v>52</v>
      </c>
    </row>
    <row r="2134" spans="1:31" x14ac:dyDescent="0.25">
      <c r="A2134" t="s">
        <v>10061</v>
      </c>
      <c r="B2134" t="s">
        <v>10062</v>
      </c>
      <c r="C2134" t="s">
        <v>10062</v>
      </c>
      <c r="D2134" t="s">
        <v>888</v>
      </c>
      <c r="E2134" t="s">
        <v>167</v>
      </c>
      <c r="F2134" t="s">
        <v>10063</v>
      </c>
      <c r="H2134" t="s">
        <v>7535</v>
      </c>
      <c r="I2134" t="s">
        <v>10064</v>
      </c>
      <c r="J2134" s="2">
        <v>109085</v>
      </c>
      <c r="K2134" s="2">
        <v>500</v>
      </c>
      <c r="L2134" s="2">
        <v>21</v>
      </c>
      <c r="M2134" s="2">
        <v>0</v>
      </c>
      <c r="N2134" t="s">
        <v>7534</v>
      </c>
      <c r="O2134" t="s">
        <v>7535</v>
      </c>
      <c r="P2134" t="s">
        <v>6987</v>
      </c>
      <c r="Q2134" t="s">
        <v>6988</v>
      </c>
      <c r="S2134" t="s">
        <v>10065</v>
      </c>
      <c r="U2134" t="s">
        <v>45</v>
      </c>
      <c r="V2134" t="s">
        <v>46</v>
      </c>
      <c r="W2134" t="s">
        <v>7534</v>
      </c>
      <c r="X2134" t="s">
        <v>7535</v>
      </c>
      <c r="Y2134" t="s">
        <v>2399</v>
      </c>
      <c r="Z2134" t="s">
        <v>2400</v>
      </c>
      <c r="AA2134" t="s">
        <v>49</v>
      </c>
      <c r="AB2134" t="s">
        <v>50</v>
      </c>
      <c r="AC2134" s="2">
        <v>101480.77</v>
      </c>
      <c r="AD2134" t="s">
        <v>10066</v>
      </c>
      <c r="AE2134" t="s">
        <v>115</v>
      </c>
    </row>
    <row r="2135" spans="1:31" hidden="1" x14ac:dyDescent="0.25">
      <c r="A2135" t="s">
        <v>10067</v>
      </c>
      <c r="B2135" t="s">
        <v>10068</v>
      </c>
      <c r="C2135" t="s">
        <v>10068</v>
      </c>
      <c r="F2135" t="s">
        <v>10069</v>
      </c>
      <c r="J2135" s="2">
        <v>1000</v>
      </c>
      <c r="K2135" s="2">
        <v>0</v>
      </c>
      <c r="L2135" s="2">
        <v>1</v>
      </c>
      <c r="M2135" s="2">
        <v>0</v>
      </c>
      <c r="N2135" t="s">
        <v>2571</v>
      </c>
      <c r="O2135" t="s">
        <v>2572</v>
      </c>
      <c r="P2135" t="s">
        <v>6987</v>
      </c>
      <c r="Q2135" t="s">
        <v>6988</v>
      </c>
      <c r="U2135" t="s">
        <v>45</v>
      </c>
      <c r="V2135" t="s">
        <v>46</v>
      </c>
      <c r="W2135" t="s">
        <v>2571</v>
      </c>
      <c r="X2135" t="s">
        <v>2572</v>
      </c>
      <c r="Y2135" t="s">
        <v>2399</v>
      </c>
      <c r="Z2135" t="s">
        <v>2400</v>
      </c>
      <c r="AA2135" t="s">
        <v>49</v>
      </c>
      <c r="AB2135" t="s">
        <v>50</v>
      </c>
      <c r="AC2135" s="2">
        <v>1000</v>
      </c>
      <c r="AD2135" t="s">
        <v>64</v>
      </c>
    </row>
    <row r="2136" spans="1:31" x14ac:dyDescent="0.25">
      <c r="A2136" t="s">
        <v>10070</v>
      </c>
      <c r="B2136" t="s">
        <v>10071</v>
      </c>
      <c r="C2136" t="s">
        <v>10071</v>
      </c>
      <c r="D2136" t="s">
        <v>299</v>
      </c>
      <c r="E2136" t="s">
        <v>167</v>
      </c>
      <c r="F2136" t="s">
        <v>10069</v>
      </c>
      <c r="G2136" t="s">
        <v>321</v>
      </c>
      <c r="H2136" t="s">
        <v>7263</v>
      </c>
      <c r="I2136" t="s">
        <v>10072</v>
      </c>
      <c r="J2136" s="2">
        <v>327255</v>
      </c>
      <c r="K2136" s="2">
        <v>1500</v>
      </c>
      <c r="L2136" s="2">
        <v>21</v>
      </c>
      <c r="M2136" s="2">
        <v>0</v>
      </c>
      <c r="N2136" t="s">
        <v>2571</v>
      </c>
      <c r="O2136" t="s">
        <v>2572</v>
      </c>
      <c r="P2136" t="s">
        <v>6987</v>
      </c>
      <c r="Q2136" t="s">
        <v>6988</v>
      </c>
      <c r="S2136" t="s">
        <v>10073</v>
      </c>
      <c r="U2136" t="s">
        <v>45</v>
      </c>
      <c r="V2136" t="s">
        <v>46</v>
      </c>
      <c r="W2136" t="s">
        <v>2571</v>
      </c>
      <c r="X2136" t="s">
        <v>2572</v>
      </c>
      <c r="Y2136" t="s">
        <v>2399</v>
      </c>
      <c r="Z2136" t="s">
        <v>2400</v>
      </c>
      <c r="AA2136" t="s">
        <v>49</v>
      </c>
      <c r="AB2136" t="s">
        <v>50</v>
      </c>
      <c r="AC2136" s="2">
        <v>275574.34000000003</v>
      </c>
      <c r="AD2136" t="s">
        <v>10074</v>
      </c>
      <c r="AE2136" t="s">
        <v>115</v>
      </c>
    </row>
    <row r="2137" spans="1:31" x14ac:dyDescent="0.25">
      <c r="A2137" t="s">
        <v>10075</v>
      </c>
      <c r="B2137" t="s">
        <v>10076</v>
      </c>
      <c r="C2137" t="s">
        <v>10071</v>
      </c>
      <c r="D2137" t="s">
        <v>888</v>
      </c>
      <c r="E2137" t="s">
        <v>167</v>
      </c>
      <c r="F2137" t="s">
        <v>10069</v>
      </c>
      <c r="G2137" t="s">
        <v>3221</v>
      </c>
      <c r="H2137" t="s">
        <v>10077</v>
      </c>
      <c r="I2137" t="s">
        <v>10072</v>
      </c>
      <c r="J2137" s="2">
        <v>141811</v>
      </c>
      <c r="K2137" s="2">
        <v>650</v>
      </c>
      <c r="L2137" s="2">
        <v>21</v>
      </c>
      <c r="M2137" s="2">
        <v>0</v>
      </c>
      <c r="N2137" t="s">
        <v>10078</v>
      </c>
      <c r="O2137" t="s">
        <v>10079</v>
      </c>
      <c r="P2137" t="s">
        <v>6987</v>
      </c>
      <c r="Q2137" t="s">
        <v>6988</v>
      </c>
      <c r="S2137" t="s">
        <v>10073</v>
      </c>
      <c r="U2137" t="s">
        <v>45</v>
      </c>
      <c r="V2137" t="s">
        <v>46</v>
      </c>
      <c r="W2137" t="s">
        <v>10078</v>
      </c>
      <c r="X2137" t="s">
        <v>10079</v>
      </c>
      <c r="Y2137" t="s">
        <v>2399</v>
      </c>
      <c r="Z2137" t="s">
        <v>2400</v>
      </c>
      <c r="AA2137" t="s">
        <v>49</v>
      </c>
      <c r="AB2137" t="s">
        <v>50</v>
      </c>
      <c r="AC2137" s="2">
        <v>131091.59</v>
      </c>
      <c r="AD2137" t="s">
        <v>10080</v>
      </c>
      <c r="AE2137" t="s">
        <v>115</v>
      </c>
    </row>
    <row r="2138" spans="1:31" x14ac:dyDescent="0.25">
      <c r="A2138" t="s">
        <v>10081</v>
      </c>
      <c r="B2138" t="s">
        <v>10082</v>
      </c>
      <c r="C2138" t="s">
        <v>10082</v>
      </c>
      <c r="D2138" t="s">
        <v>3472</v>
      </c>
      <c r="E2138" t="s">
        <v>871</v>
      </c>
      <c r="F2138" t="s">
        <v>10083</v>
      </c>
      <c r="G2138" t="s">
        <v>3221</v>
      </c>
      <c r="H2138" t="s">
        <v>7532</v>
      </c>
      <c r="I2138" t="s">
        <v>10084</v>
      </c>
      <c r="J2138" s="2">
        <v>141811</v>
      </c>
      <c r="K2138" s="2">
        <v>650</v>
      </c>
      <c r="L2138" s="2">
        <v>21</v>
      </c>
      <c r="M2138" s="2">
        <v>0</v>
      </c>
      <c r="N2138" t="s">
        <v>7534</v>
      </c>
      <c r="O2138" t="s">
        <v>7535</v>
      </c>
      <c r="P2138" t="s">
        <v>6987</v>
      </c>
      <c r="Q2138" t="s">
        <v>6988</v>
      </c>
      <c r="S2138" t="s">
        <v>10085</v>
      </c>
      <c r="U2138" t="s">
        <v>45</v>
      </c>
      <c r="V2138" t="s">
        <v>46</v>
      </c>
      <c r="W2138" t="s">
        <v>7534</v>
      </c>
      <c r="X2138" t="s">
        <v>7535</v>
      </c>
      <c r="Y2138" t="s">
        <v>2399</v>
      </c>
      <c r="Z2138" t="s">
        <v>2400</v>
      </c>
      <c r="AA2138" t="s">
        <v>49</v>
      </c>
      <c r="AB2138" t="s">
        <v>50</v>
      </c>
      <c r="AC2138" s="2">
        <v>141811</v>
      </c>
      <c r="AD2138" t="s">
        <v>64</v>
      </c>
    </row>
    <row r="2139" spans="1:31" x14ac:dyDescent="0.25">
      <c r="A2139" t="s">
        <v>10086</v>
      </c>
      <c r="B2139" t="s">
        <v>10087</v>
      </c>
      <c r="C2139" t="s">
        <v>10087</v>
      </c>
      <c r="D2139" t="s">
        <v>125</v>
      </c>
      <c r="E2139" t="s">
        <v>126</v>
      </c>
      <c r="F2139" t="s">
        <v>10088</v>
      </c>
      <c r="G2139" t="s">
        <v>125</v>
      </c>
      <c r="H2139" t="s">
        <v>10089</v>
      </c>
      <c r="I2139" t="s">
        <v>10090</v>
      </c>
      <c r="J2139" s="2">
        <v>3927060</v>
      </c>
      <c r="K2139" s="2">
        <v>18000</v>
      </c>
      <c r="L2139" s="2">
        <v>30</v>
      </c>
      <c r="M2139" s="2">
        <v>0</v>
      </c>
      <c r="N2139" t="s">
        <v>10091</v>
      </c>
      <c r="O2139" t="s">
        <v>10092</v>
      </c>
      <c r="P2139" t="s">
        <v>10093</v>
      </c>
      <c r="Q2139" t="s">
        <v>10094</v>
      </c>
      <c r="S2139" t="s">
        <v>10095</v>
      </c>
      <c r="U2139" t="s">
        <v>45</v>
      </c>
      <c r="V2139" t="s">
        <v>46</v>
      </c>
      <c r="W2139" t="s">
        <v>10091</v>
      </c>
      <c r="X2139" t="s">
        <v>10092</v>
      </c>
      <c r="Y2139" t="s">
        <v>7938</v>
      </c>
      <c r="Z2139" t="s">
        <v>7939</v>
      </c>
      <c r="AA2139" t="s">
        <v>49</v>
      </c>
      <c r="AB2139" t="s">
        <v>50</v>
      </c>
      <c r="AC2139" s="2">
        <v>2123422.73</v>
      </c>
      <c r="AD2139" t="s">
        <v>10096</v>
      </c>
      <c r="AE2139" t="s">
        <v>52</v>
      </c>
    </row>
    <row r="2140" spans="1:31" x14ac:dyDescent="0.25">
      <c r="A2140" t="s">
        <v>10097</v>
      </c>
      <c r="B2140" t="s">
        <v>1471</v>
      </c>
      <c r="C2140" t="s">
        <v>1471</v>
      </c>
      <c r="D2140" t="s">
        <v>35</v>
      </c>
      <c r="E2140" t="s">
        <v>36</v>
      </c>
      <c r="F2140" t="s">
        <v>10098</v>
      </c>
      <c r="G2140" t="s">
        <v>819</v>
      </c>
      <c r="H2140" t="s">
        <v>9898</v>
      </c>
      <c r="I2140" t="s">
        <v>10099</v>
      </c>
      <c r="J2140" s="2">
        <v>471247</v>
      </c>
      <c r="K2140" s="2">
        <v>2160</v>
      </c>
      <c r="L2140" s="2">
        <v>25</v>
      </c>
      <c r="M2140" s="2">
        <v>0</v>
      </c>
      <c r="N2140" t="s">
        <v>9897</v>
      </c>
      <c r="O2140" t="s">
        <v>9898</v>
      </c>
      <c r="P2140" t="s">
        <v>5966</v>
      </c>
      <c r="Q2140" t="s">
        <v>5739</v>
      </c>
      <c r="S2140" t="s">
        <v>10100</v>
      </c>
      <c r="U2140" t="s">
        <v>45</v>
      </c>
      <c r="V2140" t="s">
        <v>46</v>
      </c>
      <c r="W2140" t="s">
        <v>9897</v>
      </c>
      <c r="X2140" t="s">
        <v>9898</v>
      </c>
      <c r="Y2140" t="s">
        <v>5743</v>
      </c>
      <c r="Z2140" t="s">
        <v>5744</v>
      </c>
      <c r="AA2140" t="s">
        <v>49</v>
      </c>
      <c r="AB2140" t="s">
        <v>50</v>
      </c>
      <c r="AC2140" s="2">
        <v>426775.97</v>
      </c>
      <c r="AD2140" t="s">
        <v>10101</v>
      </c>
    </row>
    <row r="2141" spans="1:31" x14ac:dyDescent="0.25">
      <c r="A2141" t="s">
        <v>10102</v>
      </c>
      <c r="B2141" t="s">
        <v>10103</v>
      </c>
      <c r="C2141" t="s">
        <v>10103</v>
      </c>
      <c r="D2141" t="s">
        <v>153</v>
      </c>
      <c r="E2141" t="s">
        <v>272</v>
      </c>
      <c r="F2141" t="s">
        <v>10104</v>
      </c>
      <c r="G2141" t="s">
        <v>153</v>
      </c>
      <c r="H2141" t="s">
        <v>10105</v>
      </c>
      <c r="J2141" s="2">
        <v>654510</v>
      </c>
      <c r="K2141" s="2">
        <v>3000</v>
      </c>
      <c r="L2141" s="2">
        <v>21</v>
      </c>
      <c r="M2141" s="2">
        <v>0</v>
      </c>
      <c r="N2141" t="s">
        <v>10106</v>
      </c>
      <c r="O2141" t="s">
        <v>10105</v>
      </c>
      <c r="P2141" t="s">
        <v>4315</v>
      </c>
      <c r="Q2141" t="s">
        <v>4316</v>
      </c>
      <c r="S2141" t="s">
        <v>10107</v>
      </c>
      <c r="U2141" t="s">
        <v>45</v>
      </c>
      <c r="V2141" t="s">
        <v>46</v>
      </c>
      <c r="W2141" t="s">
        <v>10106</v>
      </c>
      <c r="X2141" t="s">
        <v>10105</v>
      </c>
      <c r="Y2141" t="s">
        <v>7938</v>
      </c>
      <c r="Z2141" t="s">
        <v>7939</v>
      </c>
      <c r="AA2141" t="s">
        <v>49</v>
      </c>
      <c r="AB2141" t="s">
        <v>50</v>
      </c>
      <c r="AC2141" s="2">
        <v>535743.17000000004</v>
      </c>
      <c r="AD2141" t="s">
        <v>10108</v>
      </c>
      <c r="AE2141" t="s">
        <v>52</v>
      </c>
    </row>
    <row r="2142" spans="1:31" x14ac:dyDescent="0.25">
      <c r="A2142" t="s">
        <v>10109</v>
      </c>
      <c r="B2142" t="s">
        <v>10110</v>
      </c>
      <c r="C2142" t="s">
        <v>10110</v>
      </c>
      <c r="D2142" t="s">
        <v>478</v>
      </c>
      <c r="E2142" t="s">
        <v>190</v>
      </c>
      <c r="F2142" t="s">
        <v>10111</v>
      </c>
      <c r="G2142" t="s">
        <v>2118</v>
      </c>
      <c r="H2142" t="s">
        <v>10112</v>
      </c>
      <c r="I2142" t="s">
        <v>10113</v>
      </c>
      <c r="J2142" s="2">
        <v>1090850</v>
      </c>
      <c r="K2142" s="2">
        <v>5000</v>
      </c>
      <c r="L2142" s="2">
        <v>21</v>
      </c>
      <c r="M2142" s="2">
        <v>0</v>
      </c>
      <c r="N2142" t="s">
        <v>6629</v>
      </c>
      <c r="O2142" t="s">
        <v>6630</v>
      </c>
      <c r="P2142" t="s">
        <v>3487</v>
      </c>
      <c r="Q2142" t="s">
        <v>3488</v>
      </c>
      <c r="S2142" t="s">
        <v>10114</v>
      </c>
      <c r="U2142" t="s">
        <v>45</v>
      </c>
      <c r="V2142" t="s">
        <v>46</v>
      </c>
      <c r="W2142" t="s">
        <v>6629</v>
      </c>
      <c r="X2142" t="s">
        <v>6630</v>
      </c>
      <c r="Y2142" t="s">
        <v>79</v>
      </c>
      <c r="Z2142" t="s">
        <v>94</v>
      </c>
      <c r="AA2142" t="s">
        <v>49</v>
      </c>
      <c r="AB2142" t="s">
        <v>50</v>
      </c>
      <c r="AC2142" s="2">
        <v>1090850</v>
      </c>
      <c r="AD2142" t="s">
        <v>64</v>
      </c>
    </row>
    <row r="2143" spans="1:31" x14ac:dyDescent="0.25">
      <c r="A2143" t="s">
        <v>10115</v>
      </c>
      <c r="B2143" t="s">
        <v>10116</v>
      </c>
      <c r="C2143" t="s">
        <v>10116</v>
      </c>
      <c r="D2143" t="s">
        <v>2120</v>
      </c>
      <c r="E2143" t="s">
        <v>224</v>
      </c>
      <c r="F2143" t="s">
        <v>10117</v>
      </c>
      <c r="H2143" t="s">
        <v>10118</v>
      </c>
      <c r="J2143" s="2">
        <v>219870</v>
      </c>
      <c r="K2143" s="2">
        <v>1000</v>
      </c>
      <c r="L2143" s="2">
        <v>30</v>
      </c>
      <c r="M2143" s="2">
        <v>0</v>
      </c>
      <c r="N2143" t="s">
        <v>9148</v>
      </c>
      <c r="O2143" t="s">
        <v>9149</v>
      </c>
      <c r="P2143" t="s">
        <v>10093</v>
      </c>
      <c r="Q2143" t="s">
        <v>10094</v>
      </c>
      <c r="S2143" t="s">
        <v>10119</v>
      </c>
      <c r="U2143" t="s">
        <v>45</v>
      </c>
      <c r="V2143" t="s">
        <v>46</v>
      </c>
      <c r="W2143" t="s">
        <v>9148</v>
      </c>
      <c r="X2143" t="s">
        <v>9149</v>
      </c>
      <c r="Y2143" t="s">
        <v>7938</v>
      </c>
      <c r="Z2143" t="s">
        <v>7939</v>
      </c>
      <c r="AA2143" t="s">
        <v>49</v>
      </c>
      <c r="AB2143" t="s">
        <v>50</v>
      </c>
      <c r="AC2143" s="2">
        <v>219870</v>
      </c>
      <c r="AD2143" t="s">
        <v>64</v>
      </c>
    </row>
    <row r="2144" spans="1:31" hidden="1" x14ac:dyDescent="0.25">
      <c r="I2144" t="s">
        <v>10120</v>
      </c>
      <c r="J2144" s="2">
        <v>65451</v>
      </c>
      <c r="K2144" s="2">
        <v>300</v>
      </c>
      <c r="L2144" s="2">
        <v>1</v>
      </c>
      <c r="M2144" s="2">
        <v>0</v>
      </c>
      <c r="S2144" t="s">
        <v>10121</v>
      </c>
      <c r="U2144" t="s">
        <v>45</v>
      </c>
      <c r="V2144" t="s">
        <v>46</v>
      </c>
      <c r="W2144" t="s">
        <v>7423</v>
      </c>
      <c r="X2144" t="s">
        <v>7424</v>
      </c>
      <c r="Y2144" t="s">
        <v>79</v>
      </c>
      <c r="Z2144" t="s">
        <v>94</v>
      </c>
      <c r="AA2144" t="s">
        <v>49</v>
      </c>
      <c r="AC2144" s="2"/>
    </row>
    <row r="2145" spans="1:31" x14ac:dyDescent="0.25">
      <c r="A2145" t="s">
        <v>10122</v>
      </c>
      <c r="B2145" t="s">
        <v>10123</v>
      </c>
      <c r="C2145" t="s">
        <v>10123</v>
      </c>
      <c r="D2145" t="s">
        <v>133</v>
      </c>
      <c r="E2145" t="s">
        <v>134</v>
      </c>
      <c r="F2145" t="s">
        <v>10124</v>
      </c>
      <c r="G2145" t="s">
        <v>3857</v>
      </c>
      <c r="H2145" t="s">
        <v>10125</v>
      </c>
      <c r="I2145" t="s">
        <v>10126</v>
      </c>
      <c r="J2145" s="2">
        <v>436340</v>
      </c>
      <c r="K2145" s="2">
        <v>2000</v>
      </c>
      <c r="L2145" s="2">
        <v>30</v>
      </c>
      <c r="M2145" s="2">
        <v>0</v>
      </c>
      <c r="N2145" t="s">
        <v>10127</v>
      </c>
      <c r="O2145" t="s">
        <v>10128</v>
      </c>
      <c r="P2145" t="s">
        <v>10093</v>
      </c>
      <c r="Q2145" t="s">
        <v>10094</v>
      </c>
      <c r="S2145" t="s">
        <v>10129</v>
      </c>
      <c r="U2145" t="s">
        <v>45</v>
      </c>
      <c r="V2145" t="s">
        <v>46</v>
      </c>
      <c r="W2145" t="s">
        <v>10127</v>
      </c>
      <c r="X2145" t="s">
        <v>10130</v>
      </c>
      <c r="Y2145" t="s">
        <v>7938</v>
      </c>
      <c r="Z2145" t="s">
        <v>7939</v>
      </c>
      <c r="AA2145" t="s">
        <v>49</v>
      </c>
      <c r="AB2145" t="s">
        <v>50</v>
      </c>
      <c r="AC2145" s="2">
        <v>436340</v>
      </c>
      <c r="AD2145" t="s">
        <v>64</v>
      </c>
    </row>
    <row r="2146" spans="1:31" x14ac:dyDescent="0.25">
      <c r="A2146" t="s">
        <v>10131</v>
      </c>
      <c r="B2146" t="s">
        <v>10132</v>
      </c>
      <c r="C2146" t="s">
        <v>10132</v>
      </c>
      <c r="D2146" t="s">
        <v>323</v>
      </c>
      <c r="E2146" t="s">
        <v>77</v>
      </c>
      <c r="F2146" t="s">
        <v>10133</v>
      </c>
      <c r="H2146" t="s">
        <v>10125</v>
      </c>
      <c r="I2146" t="s">
        <v>10126</v>
      </c>
      <c r="J2146" s="2">
        <v>109085</v>
      </c>
      <c r="K2146" s="2">
        <v>500</v>
      </c>
      <c r="L2146" s="2">
        <v>30</v>
      </c>
      <c r="M2146" s="2">
        <v>0</v>
      </c>
      <c r="N2146" t="s">
        <v>10127</v>
      </c>
      <c r="O2146" t="s">
        <v>10128</v>
      </c>
      <c r="P2146" t="s">
        <v>10093</v>
      </c>
      <c r="Q2146" t="s">
        <v>10094</v>
      </c>
      <c r="S2146" t="s">
        <v>10134</v>
      </c>
      <c r="U2146" t="s">
        <v>45</v>
      </c>
      <c r="V2146" t="s">
        <v>46</v>
      </c>
      <c r="W2146" t="s">
        <v>10127</v>
      </c>
      <c r="X2146" t="s">
        <v>10130</v>
      </c>
      <c r="Y2146" t="s">
        <v>7938</v>
      </c>
      <c r="Z2146" t="s">
        <v>7939</v>
      </c>
      <c r="AA2146" t="s">
        <v>49</v>
      </c>
      <c r="AB2146" t="s">
        <v>50</v>
      </c>
      <c r="AC2146" s="2">
        <v>109085</v>
      </c>
      <c r="AD2146" t="s">
        <v>64</v>
      </c>
    </row>
    <row r="2147" spans="1:31" x14ac:dyDescent="0.25">
      <c r="A2147" t="s">
        <v>10135</v>
      </c>
      <c r="B2147" t="s">
        <v>10136</v>
      </c>
      <c r="C2147" t="s">
        <v>10136</v>
      </c>
      <c r="D2147" t="s">
        <v>125</v>
      </c>
      <c r="E2147" t="s">
        <v>126</v>
      </c>
      <c r="F2147" t="s">
        <v>10137</v>
      </c>
      <c r="G2147" t="s">
        <v>125</v>
      </c>
      <c r="H2147" t="s">
        <v>10105</v>
      </c>
      <c r="I2147" t="s">
        <v>10138</v>
      </c>
      <c r="J2147" s="2">
        <v>2348700</v>
      </c>
      <c r="K2147" s="2">
        <v>10000</v>
      </c>
      <c r="L2147" s="2">
        <v>30</v>
      </c>
      <c r="M2147" s="2">
        <v>0</v>
      </c>
      <c r="N2147" t="s">
        <v>10106</v>
      </c>
      <c r="O2147" t="s">
        <v>10105</v>
      </c>
      <c r="P2147" t="s">
        <v>10093</v>
      </c>
      <c r="Q2147" t="s">
        <v>10094</v>
      </c>
      <c r="S2147" t="s">
        <v>10139</v>
      </c>
      <c r="U2147" t="s">
        <v>45</v>
      </c>
      <c r="V2147" t="s">
        <v>46</v>
      </c>
      <c r="W2147" t="s">
        <v>10106</v>
      </c>
      <c r="X2147" t="s">
        <v>10105</v>
      </c>
      <c r="Y2147" t="s">
        <v>7938</v>
      </c>
      <c r="Z2147" t="s">
        <v>7939</v>
      </c>
      <c r="AA2147" t="s">
        <v>49</v>
      </c>
      <c r="AB2147" t="s">
        <v>50</v>
      </c>
      <c r="AC2147" s="2">
        <v>798154.39</v>
      </c>
      <c r="AD2147" t="s">
        <v>10140</v>
      </c>
      <c r="AE2147" t="s">
        <v>52</v>
      </c>
    </row>
    <row r="2148" spans="1:31" hidden="1" x14ac:dyDescent="0.25">
      <c r="I2148" t="s">
        <v>10142</v>
      </c>
      <c r="J2148" s="2">
        <v>327255</v>
      </c>
      <c r="K2148" s="2">
        <v>1500</v>
      </c>
      <c r="L2148" s="2">
        <v>30</v>
      </c>
      <c r="M2148" s="2">
        <v>0</v>
      </c>
      <c r="S2148" t="s">
        <v>10143</v>
      </c>
      <c r="U2148" t="s">
        <v>45</v>
      </c>
      <c r="V2148" t="s">
        <v>46</v>
      </c>
      <c r="W2148" t="s">
        <v>7936</v>
      </c>
      <c r="X2148" t="s">
        <v>7935</v>
      </c>
      <c r="Y2148" t="s">
        <v>7938</v>
      </c>
      <c r="Z2148" t="s">
        <v>7939</v>
      </c>
      <c r="AA2148" t="s">
        <v>49</v>
      </c>
      <c r="AC2148" s="2"/>
    </row>
    <row r="2149" spans="1:31" hidden="1" x14ac:dyDescent="0.25">
      <c r="A2149" t="s">
        <v>10144</v>
      </c>
      <c r="B2149" t="s">
        <v>10145</v>
      </c>
      <c r="C2149" t="s">
        <v>10145</v>
      </c>
      <c r="F2149" t="s">
        <v>10146</v>
      </c>
      <c r="H2149" t="s">
        <v>10147</v>
      </c>
      <c r="I2149" t="s">
        <v>10148</v>
      </c>
      <c r="J2149" s="2">
        <v>1241</v>
      </c>
      <c r="K2149" s="2">
        <v>5.69</v>
      </c>
      <c r="L2149" s="2">
        <v>30</v>
      </c>
      <c r="M2149" s="2">
        <v>0</v>
      </c>
      <c r="N2149" t="s">
        <v>10149</v>
      </c>
      <c r="O2149" t="s">
        <v>10150</v>
      </c>
      <c r="P2149" t="s">
        <v>10093</v>
      </c>
      <c r="Q2149" t="s">
        <v>10094</v>
      </c>
      <c r="S2149" t="s">
        <v>10151</v>
      </c>
      <c r="U2149" t="s">
        <v>45</v>
      </c>
      <c r="V2149" t="s">
        <v>46</v>
      </c>
      <c r="W2149" t="s">
        <v>10149</v>
      </c>
      <c r="X2149" t="s">
        <v>10150</v>
      </c>
      <c r="Y2149" t="s">
        <v>7938</v>
      </c>
      <c r="Z2149" t="s">
        <v>7939</v>
      </c>
      <c r="AA2149" t="s">
        <v>49</v>
      </c>
      <c r="AB2149" t="s">
        <v>50</v>
      </c>
      <c r="AC2149" s="2">
        <v>1241</v>
      </c>
      <c r="AD2149" t="s">
        <v>64</v>
      </c>
    </row>
    <row r="2150" spans="1:31" x14ac:dyDescent="0.25">
      <c r="A2150" t="s">
        <v>10152</v>
      </c>
      <c r="B2150" t="s">
        <v>10153</v>
      </c>
      <c r="C2150" t="s">
        <v>10153</v>
      </c>
      <c r="D2150" t="s">
        <v>498</v>
      </c>
      <c r="E2150" t="s">
        <v>190</v>
      </c>
      <c r="F2150" t="s">
        <v>10154</v>
      </c>
      <c r="G2150" t="s">
        <v>773</v>
      </c>
      <c r="H2150" t="s">
        <v>10155</v>
      </c>
      <c r="I2150" t="s">
        <v>10156</v>
      </c>
      <c r="J2150" s="2">
        <v>872680</v>
      </c>
      <c r="K2150" s="2">
        <v>4000</v>
      </c>
      <c r="L2150" s="2">
        <v>30</v>
      </c>
      <c r="M2150" s="2">
        <v>0</v>
      </c>
      <c r="N2150" t="s">
        <v>10157</v>
      </c>
      <c r="O2150" t="s">
        <v>10155</v>
      </c>
      <c r="P2150" t="s">
        <v>10093</v>
      </c>
      <c r="Q2150" t="s">
        <v>10094</v>
      </c>
      <c r="S2150" t="s">
        <v>10158</v>
      </c>
      <c r="U2150" t="s">
        <v>45</v>
      </c>
      <c r="V2150" t="s">
        <v>46</v>
      </c>
      <c r="W2150" t="s">
        <v>10157</v>
      </c>
      <c r="X2150" t="s">
        <v>10155</v>
      </c>
      <c r="Y2150" t="s">
        <v>7938</v>
      </c>
      <c r="Z2150" t="s">
        <v>7939</v>
      </c>
      <c r="AA2150" t="s">
        <v>49</v>
      </c>
      <c r="AB2150" t="s">
        <v>50</v>
      </c>
      <c r="AC2150" s="2">
        <v>589320</v>
      </c>
      <c r="AD2150" t="s">
        <v>10159</v>
      </c>
    </row>
    <row r="2151" spans="1:31" x14ac:dyDescent="0.25">
      <c r="A2151" t="s">
        <v>10160</v>
      </c>
      <c r="B2151" t="s">
        <v>10161</v>
      </c>
      <c r="C2151" t="s">
        <v>10161</v>
      </c>
      <c r="D2151" t="s">
        <v>35</v>
      </c>
      <c r="E2151" t="s">
        <v>36</v>
      </c>
      <c r="F2151" t="s">
        <v>10162</v>
      </c>
      <c r="G2151" t="s">
        <v>35</v>
      </c>
      <c r="H2151" t="s">
        <v>10163</v>
      </c>
      <c r="I2151" t="s">
        <v>10164</v>
      </c>
      <c r="J2151" s="2">
        <v>2917320</v>
      </c>
      <c r="K2151" s="2">
        <v>12000</v>
      </c>
      <c r="L2151" s="2">
        <v>30</v>
      </c>
      <c r="M2151" s="2">
        <v>0</v>
      </c>
      <c r="N2151" t="s">
        <v>10165</v>
      </c>
      <c r="O2151" t="s">
        <v>10163</v>
      </c>
      <c r="P2151" t="s">
        <v>10093</v>
      </c>
      <c r="Q2151" t="s">
        <v>10094</v>
      </c>
      <c r="S2151" t="s">
        <v>10166</v>
      </c>
      <c r="U2151" t="s">
        <v>45</v>
      </c>
      <c r="V2151" t="s">
        <v>46</v>
      </c>
      <c r="W2151" t="s">
        <v>10165</v>
      </c>
      <c r="X2151" t="s">
        <v>10163</v>
      </c>
      <c r="Y2151" t="s">
        <v>10167</v>
      </c>
      <c r="Z2151" t="s">
        <v>10168</v>
      </c>
      <c r="AA2151" t="s">
        <v>49</v>
      </c>
      <c r="AB2151" t="s">
        <v>50</v>
      </c>
      <c r="AC2151" s="2">
        <v>536694.9</v>
      </c>
      <c r="AD2151" t="s">
        <v>10169</v>
      </c>
      <c r="AE2151" t="s">
        <v>115</v>
      </c>
    </row>
    <row r="2152" spans="1:31" x14ac:dyDescent="0.25">
      <c r="A2152" t="s">
        <v>10170</v>
      </c>
      <c r="B2152" t="s">
        <v>10171</v>
      </c>
      <c r="C2152" t="s">
        <v>10171</v>
      </c>
      <c r="D2152" t="s">
        <v>153</v>
      </c>
      <c r="E2152" t="s">
        <v>272</v>
      </c>
      <c r="F2152" t="s">
        <v>10172</v>
      </c>
      <c r="G2152" t="s">
        <v>153</v>
      </c>
      <c r="H2152" t="s">
        <v>2400</v>
      </c>
      <c r="I2152" t="s">
        <v>10173</v>
      </c>
      <c r="J2152" s="2">
        <v>115630</v>
      </c>
      <c r="K2152" s="2">
        <v>530</v>
      </c>
      <c r="L2152" s="2">
        <v>21</v>
      </c>
      <c r="M2152" s="2">
        <v>0</v>
      </c>
      <c r="N2152" t="s">
        <v>7747</v>
      </c>
      <c r="O2152" t="s">
        <v>2400</v>
      </c>
      <c r="P2152" t="s">
        <v>6987</v>
      </c>
      <c r="Q2152" t="s">
        <v>6988</v>
      </c>
      <c r="S2152" t="s">
        <v>10174</v>
      </c>
      <c r="U2152" t="s">
        <v>45</v>
      </c>
      <c r="V2152" t="s">
        <v>46</v>
      </c>
      <c r="W2152" t="s">
        <v>7747</v>
      </c>
      <c r="X2152" t="s">
        <v>2400</v>
      </c>
      <c r="Y2152" t="s">
        <v>2399</v>
      </c>
      <c r="Z2152" t="s">
        <v>2400</v>
      </c>
      <c r="AA2152" t="s">
        <v>49</v>
      </c>
      <c r="AB2152" t="s">
        <v>50</v>
      </c>
      <c r="AC2152" s="2">
        <v>47017.56</v>
      </c>
      <c r="AD2152" t="s">
        <v>10175</v>
      </c>
      <c r="AE2152" t="s">
        <v>52</v>
      </c>
    </row>
    <row r="2153" spans="1:31" x14ac:dyDescent="0.25">
      <c r="A2153" t="s">
        <v>10176</v>
      </c>
      <c r="B2153" t="s">
        <v>10177</v>
      </c>
      <c r="C2153" t="s">
        <v>10177</v>
      </c>
      <c r="D2153" t="s">
        <v>125</v>
      </c>
      <c r="E2153" t="s">
        <v>126</v>
      </c>
      <c r="F2153" t="s">
        <v>10178</v>
      </c>
      <c r="G2153" t="s">
        <v>125</v>
      </c>
      <c r="H2153" t="s">
        <v>9110</v>
      </c>
      <c r="I2153" t="s">
        <v>10179</v>
      </c>
      <c r="J2153" s="2">
        <v>865550</v>
      </c>
      <c r="K2153" s="2">
        <v>3500</v>
      </c>
      <c r="L2153" s="2">
        <v>7</v>
      </c>
      <c r="M2153" s="2">
        <v>0</v>
      </c>
      <c r="N2153" t="s">
        <v>9112</v>
      </c>
      <c r="O2153" t="s">
        <v>9110</v>
      </c>
      <c r="P2153" t="s">
        <v>1109</v>
      </c>
      <c r="Q2153" t="s">
        <v>1110</v>
      </c>
      <c r="S2153" t="s">
        <v>10180</v>
      </c>
      <c r="U2153" t="s">
        <v>45</v>
      </c>
      <c r="V2153" t="s">
        <v>46</v>
      </c>
      <c r="W2153" t="s">
        <v>9112</v>
      </c>
      <c r="X2153" t="s">
        <v>9110</v>
      </c>
      <c r="Y2153" t="s">
        <v>2157</v>
      </c>
      <c r="Z2153" t="s">
        <v>48</v>
      </c>
      <c r="AA2153" t="s">
        <v>49</v>
      </c>
      <c r="AB2153" t="s">
        <v>50</v>
      </c>
      <c r="AC2153" s="2">
        <v>610079.04</v>
      </c>
      <c r="AD2153" t="s">
        <v>10181</v>
      </c>
      <c r="AE2153" t="s">
        <v>52</v>
      </c>
    </row>
    <row r="2154" spans="1:31" x14ac:dyDescent="0.25">
      <c r="A2154" t="s">
        <v>10182</v>
      </c>
      <c r="B2154" t="s">
        <v>10183</v>
      </c>
      <c r="C2154" t="s">
        <v>10183</v>
      </c>
      <c r="D2154" t="s">
        <v>344</v>
      </c>
      <c r="E2154" t="s">
        <v>167</v>
      </c>
      <c r="F2154" t="s">
        <v>10184</v>
      </c>
      <c r="G2154" t="s">
        <v>819</v>
      </c>
      <c r="H2154" t="s">
        <v>10185</v>
      </c>
      <c r="I2154" t="s">
        <v>10186</v>
      </c>
      <c r="J2154" s="2">
        <v>480640</v>
      </c>
      <c r="K2154" s="2">
        <v>2000</v>
      </c>
      <c r="L2154" s="2">
        <v>15</v>
      </c>
      <c r="M2154" s="2">
        <v>0</v>
      </c>
      <c r="N2154" t="s">
        <v>10187</v>
      </c>
      <c r="O2154" t="s">
        <v>10185</v>
      </c>
      <c r="P2154" t="s">
        <v>6987</v>
      </c>
      <c r="Q2154" t="s">
        <v>6988</v>
      </c>
      <c r="S2154" t="s">
        <v>10188</v>
      </c>
      <c r="U2154" t="s">
        <v>45</v>
      </c>
      <c r="V2154" t="s">
        <v>46</v>
      </c>
      <c r="W2154" t="s">
        <v>10187</v>
      </c>
      <c r="X2154" t="s">
        <v>10185</v>
      </c>
      <c r="Y2154" t="s">
        <v>2399</v>
      </c>
      <c r="Z2154" t="s">
        <v>2400</v>
      </c>
      <c r="AA2154" t="s">
        <v>49</v>
      </c>
      <c r="AB2154" t="s">
        <v>50</v>
      </c>
      <c r="AC2154" s="2">
        <v>-267069.46000000002</v>
      </c>
      <c r="AD2154" t="s">
        <v>10189</v>
      </c>
      <c r="AE2154" t="s">
        <v>115</v>
      </c>
    </row>
    <row r="2155" spans="1:31" x14ac:dyDescent="0.25">
      <c r="A2155" t="s">
        <v>10190</v>
      </c>
      <c r="B2155" t="s">
        <v>10191</v>
      </c>
      <c r="C2155" t="s">
        <v>10191</v>
      </c>
      <c r="D2155" t="s">
        <v>223</v>
      </c>
      <c r="E2155" t="s">
        <v>224</v>
      </c>
      <c r="F2155" t="s">
        <v>10192</v>
      </c>
      <c r="G2155" t="s">
        <v>1291</v>
      </c>
      <c r="H2155" t="s">
        <v>10163</v>
      </c>
      <c r="I2155" t="s">
        <v>10193</v>
      </c>
      <c r="J2155" s="2">
        <v>770140</v>
      </c>
      <c r="K2155" s="2">
        <v>3530</v>
      </c>
      <c r="L2155" s="2">
        <v>30</v>
      </c>
      <c r="M2155" s="2">
        <v>0</v>
      </c>
      <c r="N2155" t="s">
        <v>10165</v>
      </c>
      <c r="O2155" t="s">
        <v>10163</v>
      </c>
      <c r="P2155" t="s">
        <v>10093</v>
      </c>
      <c r="Q2155" t="s">
        <v>10094</v>
      </c>
      <c r="S2155" t="s">
        <v>10194</v>
      </c>
      <c r="U2155" t="s">
        <v>45</v>
      </c>
      <c r="V2155" t="s">
        <v>46</v>
      </c>
      <c r="W2155" t="s">
        <v>10165</v>
      </c>
      <c r="X2155" t="s">
        <v>10163</v>
      </c>
      <c r="Y2155" t="s">
        <v>10167</v>
      </c>
      <c r="Z2155" t="s">
        <v>10168</v>
      </c>
      <c r="AA2155" t="s">
        <v>49</v>
      </c>
      <c r="AB2155" t="s">
        <v>50</v>
      </c>
      <c r="AC2155" s="2">
        <v>283419.89</v>
      </c>
      <c r="AD2155" t="s">
        <v>10195</v>
      </c>
      <c r="AE2155" t="s">
        <v>115</v>
      </c>
    </row>
    <row r="2156" spans="1:31" x14ac:dyDescent="0.25">
      <c r="A2156" t="s">
        <v>10196</v>
      </c>
      <c r="B2156" t="s">
        <v>10197</v>
      </c>
      <c r="C2156" t="s">
        <v>10197</v>
      </c>
      <c r="D2156" t="s">
        <v>344</v>
      </c>
      <c r="E2156" t="s">
        <v>167</v>
      </c>
      <c r="F2156" t="s">
        <v>10198</v>
      </c>
      <c r="G2156" t="s">
        <v>344</v>
      </c>
      <c r="H2156" t="s">
        <v>1029</v>
      </c>
      <c r="I2156" t="s">
        <v>10199</v>
      </c>
      <c r="J2156" s="2">
        <v>109085</v>
      </c>
      <c r="K2156" s="2">
        <v>500</v>
      </c>
      <c r="L2156" s="2">
        <v>15</v>
      </c>
      <c r="M2156" s="2">
        <v>0</v>
      </c>
      <c r="N2156" t="s">
        <v>1031</v>
      </c>
      <c r="O2156" t="s">
        <v>1029</v>
      </c>
      <c r="P2156" t="s">
        <v>103</v>
      </c>
      <c r="Q2156" t="s">
        <v>104</v>
      </c>
      <c r="S2156" t="s">
        <v>10200</v>
      </c>
      <c r="U2156" t="s">
        <v>45</v>
      </c>
      <c r="V2156" t="s">
        <v>46</v>
      </c>
      <c r="W2156" t="s">
        <v>1031</v>
      </c>
      <c r="X2156" t="s">
        <v>1029</v>
      </c>
      <c r="Y2156" t="s">
        <v>106</v>
      </c>
      <c r="Z2156" t="s">
        <v>107</v>
      </c>
      <c r="AA2156" t="s">
        <v>49</v>
      </c>
      <c r="AB2156" t="s">
        <v>50</v>
      </c>
      <c r="AC2156" s="2">
        <v>22750.47</v>
      </c>
      <c r="AD2156" t="s">
        <v>10201</v>
      </c>
      <c r="AE2156" t="s">
        <v>52</v>
      </c>
    </row>
    <row r="2157" spans="1:31" x14ac:dyDescent="0.25">
      <c r="A2157" t="s">
        <v>10202</v>
      </c>
      <c r="B2157" t="s">
        <v>10203</v>
      </c>
      <c r="C2157" t="s">
        <v>10203</v>
      </c>
      <c r="D2157" t="s">
        <v>153</v>
      </c>
      <c r="E2157" t="s">
        <v>272</v>
      </c>
      <c r="F2157" t="s">
        <v>10204</v>
      </c>
      <c r="H2157" t="s">
        <v>41</v>
      </c>
      <c r="I2157" t="s">
        <v>10205</v>
      </c>
      <c r="J2157" s="2">
        <v>43634</v>
      </c>
      <c r="K2157" s="2">
        <v>200</v>
      </c>
      <c r="L2157" s="2">
        <v>15</v>
      </c>
      <c r="M2157" s="2">
        <v>0</v>
      </c>
      <c r="N2157" t="s">
        <v>40</v>
      </c>
      <c r="O2157" t="s">
        <v>41</v>
      </c>
      <c r="P2157" t="s">
        <v>42</v>
      </c>
      <c r="Q2157" t="s">
        <v>43</v>
      </c>
      <c r="U2157" t="s">
        <v>45</v>
      </c>
      <c r="V2157" t="s">
        <v>46</v>
      </c>
      <c r="W2157" t="s">
        <v>40</v>
      </c>
      <c r="X2157" t="s">
        <v>41</v>
      </c>
      <c r="Y2157" t="s">
        <v>47</v>
      </c>
      <c r="Z2157" t="s">
        <v>48</v>
      </c>
      <c r="AA2157" t="s">
        <v>141</v>
      </c>
      <c r="AB2157" t="s">
        <v>50</v>
      </c>
      <c r="AC2157" s="2">
        <v>43634</v>
      </c>
      <c r="AD2157" t="s">
        <v>64</v>
      </c>
    </row>
    <row r="2158" spans="1:31" x14ac:dyDescent="0.25">
      <c r="A2158" t="s">
        <v>10206</v>
      </c>
      <c r="B2158" t="s">
        <v>10207</v>
      </c>
      <c r="C2158" t="s">
        <v>10207</v>
      </c>
      <c r="D2158" t="s">
        <v>1846</v>
      </c>
      <c r="E2158" t="s">
        <v>134</v>
      </c>
      <c r="F2158" t="s">
        <v>10208</v>
      </c>
      <c r="G2158" t="s">
        <v>98</v>
      </c>
      <c r="H2158" t="s">
        <v>1062</v>
      </c>
      <c r="I2158" t="s">
        <v>10209</v>
      </c>
      <c r="J2158" s="2">
        <v>174536</v>
      </c>
      <c r="K2158" s="2">
        <v>800</v>
      </c>
      <c r="L2158" s="2">
        <v>15</v>
      </c>
      <c r="M2158" s="2">
        <v>0</v>
      </c>
      <c r="N2158" t="s">
        <v>1064</v>
      </c>
      <c r="O2158" t="s">
        <v>1062</v>
      </c>
      <c r="P2158" t="s">
        <v>304</v>
      </c>
      <c r="Q2158" t="s">
        <v>72</v>
      </c>
      <c r="S2158" t="s">
        <v>10210</v>
      </c>
      <c r="U2158" t="s">
        <v>45</v>
      </c>
      <c r="V2158" t="s">
        <v>46</v>
      </c>
      <c r="W2158" t="s">
        <v>1064</v>
      </c>
      <c r="X2158" t="s">
        <v>1062</v>
      </c>
      <c r="Y2158" t="s">
        <v>72</v>
      </c>
      <c r="Z2158" t="s">
        <v>68</v>
      </c>
      <c r="AA2158" t="s">
        <v>49</v>
      </c>
      <c r="AB2158" t="s">
        <v>50</v>
      </c>
      <c r="AC2158" s="2">
        <v>174536</v>
      </c>
      <c r="AD2158" t="s">
        <v>64</v>
      </c>
    </row>
    <row r="2159" spans="1:31" x14ac:dyDescent="0.25">
      <c r="A2159" t="s">
        <v>10211</v>
      </c>
      <c r="B2159" t="s">
        <v>10212</v>
      </c>
      <c r="C2159" t="s">
        <v>10212</v>
      </c>
      <c r="D2159" t="s">
        <v>125</v>
      </c>
      <c r="E2159" t="s">
        <v>126</v>
      </c>
      <c r="F2159" t="s">
        <v>10213</v>
      </c>
      <c r="G2159" t="s">
        <v>125</v>
      </c>
      <c r="H2159" t="s">
        <v>10214</v>
      </c>
      <c r="I2159" t="s">
        <v>10215</v>
      </c>
      <c r="J2159" s="2">
        <v>545425</v>
      </c>
      <c r="K2159" s="2">
        <v>2500</v>
      </c>
      <c r="L2159" s="2">
        <v>30</v>
      </c>
      <c r="M2159" s="2">
        <v>0</v>
      </c>
      <c r="N2159" t="s">
        <v>10216</v>
      </c>
      <c r="O2159" t="s">
        <v>10214</v>
      </c>
      <c r="P2159" t="s">
        <v>10093</v>
      </c>
      <c r="Q2159" t="s">
        <v>10094</v>
      </c>
      <c r="S2159" t="s">
        <v>10217</v>
      </c>
      <c r="U2159" t="s">
        <v>45</v>
      </c>
      <c r="V2159" t="s">
        <v>46</v>
      </c>
      <c r="W2159" t="s">
        <v>10216</v>
      </c>
      <c r="X2159" t="s">
        <v>10214</v>
      </c>
      <c r="Y2159" t="s">
        <v>7938</v>
      </c>
      <c r="Z2159" t="s">
        <v>7939</v>
      </c>
      <c r="AA2159" t="s">
        <v>49</v>
      </c>
      <c r="AB2159" t="s">
        <v>50</v>
      </c>
      <c r="AC2159" s="2">
        <v>511595.67</v>
      </c>
      <c r="AD2159" t="s">
        <v>10218</v>
      </c>
      <c r="AE2159" t="s">
        <v>52</v>
      </c>
    </row>
    <row r="2160" spans="1:31" x14ac:dyDescent="0.25">
      <c r="A2160" t="s">
        <v>10219</v>
      </c>
      <c r="B2160" t="s">
        <v>10220</v>
      </c>
      <c r="C2160" t="s">
        <v>10220</v>
      </c>
      <c r="D2160" t="s">
        <v>297</v>
      </c>
      <c r="E2160" t="s">
        <v>167</v>
      </c>
      <c r="F2160" t="s">
        <v>10221</v>
      </c>
      <c r="G2160" t="s">
        <v>297</v>
      </c>
      <c r="H2160" t="s">
        <v>2399</v>
      </c>
      <c r="I2160" t="s">
        <v>10222</v>
      </c>
      <c r="J2160" s="2">
        <v>130902</v>
      </c>
      <c r="K2160" s="2">
        <v>600</v>
      </c>
      <c r="L2160" s="2">
        <v>21</v>
      </c>
      <c r="M2160" s="2">
        <v>0</v>
      </c>
      <c r="N2160" t="s">
        <v>10223</v>
      </c>
      <c r="O2160" t="s">
        <v>10224</v>
      </c>
      <c r="P2160" t="s">
        <v>6987</v>
      </c>
      <c r="Q2160" t="s">
        <v>6988</v>
      </c>
      <c r="S2160" t="s">
        <v>10225</v>
      </c>
      <c r="U2160" t="s">
        <v>45</v>
      </c>
      <c r="V2160" t="s">
        <v>46</v>
      </c>
      <c r="W2160" t="s">
        <v>10223</v>
      </c>
      <c r="X2160" t="s">
        <v>10224</v>
      </c>
      <c r="Y2160" t="s">
        <v>2399</v>
      </c>
      <c r="Z2160" t="s">
        <v>2400</v>
      </c>
      <c r="AA2160" t="s">
        <v>49</v>
      </c>
      <c r="AB2160" t="s">
        <v>50</v>
      </c>
      <c r="AC2160" s="2">
        <v>58782.16</v>
      </c>
      <c r="AD2160" t="s">
        <v>10226</v>
      </c>
      <c r="AE2160" t="s">
        <v>115</v>
      </c>
    </row>
    <row r="2161" spans="1:31" hidden="1" x14ac:dyDescent="0.25">
      <c r="I2161" t="s">
        <v>10227</v>
      </c>
      <c r="J2161" s="2">
        <v>21817</v>
      </c>
      <c r="K2161" s="2">
        <v>100</v>
      </c>
      <c r="L2161" s="2">
        <v>1</v>
      </c>
      <c r="M2161" s="2">
        <v>0</v>
      </c>
      <c r="S2161" t="s">
        <v>10228</v>
      </c>
      <c r="U2161" t="s">
        <v>45</v>
      </c>
      <c r="V2161" t="s">
        <v>46</v>
      </c>
      <c r="W2161" t="s">
        <v>1362</v>
      </c>
      <c r="X2161" t="s">
        <v>1360</v>
      </c>
      <c r="Y2161" t="s">
        <v>1215</v>
      </c>
      <c r="Z2161" t="s">
        <v>1216</v>
      </c>
      <c r="AA2161" t="s">
        <v>49</v>
      </c>
      <c r="AC2161" s="2"/>
    </row>
    <row r="2162" spans="1:31" x14ac:dyDescent="0.25">
      <c r="A2162" t="s">
        <v>10229</v>
      </c>
      <c r="B2162" t="s">
        <v>10230</v>
      </c>
      <c r="C2162" t="s">
        <v>10230</v>
      </c>
      <c r="D2162" t="s">
        <v>169</v>
      </c>
      <c r="E2162" t="s">
        <v>190</v>
      </c>
      <c r="F2162" t="s">
        <v>10231</v>
      </c>
      <c r="G2162" t="s">
        <v>169</v>
      </c>
      <c r="H2162" t="s">
        <v>2572</v>
      </c>
      <c r="I2162" t="s">
        <v>10232</v>
      </c>
      <c r="J2162" s="2">
        <v>327255</v>
      </c>
      <c r="K2162" s="2">
        <v>1404.23</v>
      </c>
      <c r="L2162" s="2">
        <v>15</v>
      </c>
      <c r="M2162" s="2">
        <v>0</v>
      </c>
      <c r="N2162" t="s">
        <v>2571</v>
      </c>
      <c r="O2162" t="s">
        <v>2572</v>
      </c>
      <c r="P2162" t="s">
        <v>6987</v>
      </c>
      <c r="Q2162" t="s">
        <v>6988</v>
      </c>
      <c r="S2162" t="s">
        <v>10233</v>
      </c>
      <c r="U2162" t="s">
        <v>45</v>
      </c>
      <c r="V2162" t="s">
        <v>46</v>
      </c>
      <c r="W2162" t="s">
        <v>2571</v>
      </c>
      <c r="X2162" t="s">
        <v>2572</v>
      </c>
      <c r="Y2162" t="s">
        <v>2399</v>
      </c>
      <c r="Z2162" t="s">
        <v>2400</v>
      </c>
      <c r="AA2162" t="s">
        <v>49</v>
      </c>
      <c r="AB2162" t="s">
        <v>50</v>
      </c>
      <c r="AC2162" s="2">
        <v>222815.3</v>
      </c>
      <c r="AD2162" t="s">
        <v>10234</v>
      </c>
      <c r="AE2162" t="s">
        <v>115</v>
      </c>
    </row>
    <row r="2163" spans="1:31" x14ac:dyDescent="0.25">
      <c r="A2163" t="s">
        <v>10235</v>
      </c>
      <c r="B2163" t="s">
        <v>10236</v>
      </c>
      <c r="C2163" t="s">
        <v>10236</v>
      </c>
      <c r="D2163" t="s">
        <v>125</v>
      </c>
      <c r="E2163" t="s">
        <v>126</v>
      </c>
      <c r="F2163" t="s">
        <v>10237</v>
      </c>
      <c r="G2163" t="s">
        <v>125</v>
      </c>
      <c r="H2163" t="s">
        <v>10141</v>
      </c>
      <c r="I2163" t="s">
        <v>10238</v>
      </c>
      <c r="J2163" s="2">
        <v>327255</v>
      </c>
      <c r="K2163" s="2">
        <v>1500</v>
      </c>
      <c r="L2163" s="2">
        <v>30</v>
      </c>
      <c r="M2163" s="2">
        <v>0</v>
      </c>
      <c r="N2163" t="s">
        <v>10239</v>
      </c>
      <c r="O2163" t="s">
        <v>10240</v>
      </c>
      <c r="P2163" t="s">
        <v>10093</v>
      </c>
      <c r="Q2163" t="s">
        <v>10094</v>
      </c>
      <c r="S2163" t="s">
        <v>10241</v>
      </c>
      <c r="U2163" t="s">
        <v>45</v>
      </c>
      <c r="V2163" t="s">
        <v>46</v>
      </c>
      <c r="W2163" t="s">
        <v>10242</v>
      </c>
      <c r="X2163" t="s">
        <v>10243</v>
      </c>
      <c r="Y2163" t="s">
        <v>7938</v>
      </c>
      <c r="Z2163" t="s">
        <v>7939</v>
      </c>
      <c r="AA2163" t="s">
        <v>49</v>
      </c>
      <c r="AB2163" t="s">
        <v>50</v>
      </c>
      <c r="AC2163" s="2">
        <v>154360.44</v>
      </c>
      <c r="AD2163" t="s">
        <v>10244</v>
      </c>
      <c r="AE2163" t="s">
        <v>52</v>
      </c>
    </row>
    <row r="2164" spans="1:31" x14ac:dyDescent="0.25">
      <c r="A2164" t="s">
        <v>10245</v>
      </c>
      <c r="B2164" t="s">
        <v>10246</v>
      </c>
      <c r="C2164" t="s">
        <v>10246</v>
      </c>
      <c r="D2164" t="s">
        <v>847</v>
      </c>
      <c r="E2164" t="s">
        <v>848</v>
      </c>
      <c r="F2164" t="s">
        <v>10247</v>
      </c>
      <c r="G2164" t="s">
        <v>847</v>
      </c>
      <c r="H2164" t="s">
        <v>10141</v>
      </c>
      <c r="I2164" t="s">
        <v>10248</v>
      </c>
      <c r="J2164" s="2">
        <v>659610</v>
      </c>
      <c r="K2164" s="2">
        <v>3000</v>
      </c>
      <c r="L2164" s="2">
        <v>30</v>
      </c>
      <c r="M2164" s="2">
        <v>0</v>
      </c>
      <c r="N2164" t="s">
        <v>7936</v>
      </c>
      <c r="O2164" t="s">
        <v>7935</v>
      </c>
      <c r="P2164" t="s">
        <v>10093</v>
      </c>
      <c r="Q2164" t="s">
        <v>10094</v>
      </c>
      <c r="S2164" t="s">
        <v>10249</v>
      </c>
      <c r="U2164" t="s">
        <v>45</v>
      </c>
      <c r="V2164" t="s">
        <v>46</v>
      </c>
      <c r="W2164" t="s">
        <v>7936</v>
      </c>
      <c r="X2164" t="s">
        <v>7935</v>
      </c>
      <c r="Y2164" t="s">
        <v>7938</v>
      </c>
      <c r="Z2164" t="s">
        <v>7939</v>
      </c>
      <c r="AA2164" t="s">
        <v>49</v>
      </c>
      <c r="AB2164" t="s">
        <v>50</v>
      </c>
      <c r="AC2164" s="2">
        <v>437340.05</v>
      </c>
      <c r="AD2164" t="s">
        <v>10250</v>
      </c>
      <c r="AE2164" t="s">
        <v>52</v>
      </c>
    </row>
    <row r="2165" spans="1:31" hidden="1" x14ac:dyDescent="0.25">
      <c r="A2165" t="s">
        <v>10251</v>
      </c>
      <c r="B2165" t="s">
        <v>10252</v>
      </c>
      <c r="C2165" t="s">
        <v>10252</v>
      </c>
      <c r="F2165" t="s">
        <v>10247</v>
      </c>
      <c r="H2165" t="s">
        <v>10141</v>
      </c>
      <c r="J2165" s="2">
        <v>1000</v>
      </c>
      <c r="K2165" s="2">
        <v>0</v>
      </c>
      <c r="L2165" s="2">
        <v>1</v>
      </c>
      <c r="M2165" s="2">
        <v>0</v>
      </c>
      <c r="N2165" t="s">
        <v>7936</v>
      </c>
      <c r="O2165" t="s">
        <v>7935</v>
      </c>
      <c r="P2165" t="s">
        <v>10093</v>
      </c>
      <c r="Q2165" t="s">
        <v>10094</v>
      </c>
      <c r="S2165" t="s">
        <v>10249</v>
      </c>
      <c r="U2165" t="s">
        <v>45</v>
      </c>
      <c r="V2165" t="s">
        <v>46</v>
      </c>
      <c r="W2165" t="s">
        <v>7936</v>
      </c>
      <c r="X2165" t="s">
        <v>7935</v>
      </c>
      <c r="Y2165" t="s">
        <v>7938</v>
      </c>
      <c r="Z2165" t="s">
        <v>7939</v>
      </c>
      <c r="AA2165" t="s">
        <v>49</v>
      </c>
      <c r="AB2165" t="s">
        <v>50</v>
      </c>
      <c r="AC2165" s="2">
        <v>1000</v>
      </c>
      <c r="AD2165" t="s">
        <v>64</v>
      </c>
    </row>
    <row r="2166" spans="1:31" hidden="1" x14ac:dyDescent="0.25">
      <c r="A2166" t="s">
        <v>10253</v>
      </c>
      <c r="B2166" t="s">
        <v>10254</v>
      </c>
      <c r="C2166" t="s">
        <v>10255</v>
      </c>
      <c r="F2166" t="s">
        <v>10247</v>
      </c>
      <c r="H2166" t="s">
        <v>10141</v>
      </c>
      <c r="I2166" t="s">
        <v>10248</v>
      </c>
      <c r="J2166" s="2">
        <v>1000</v>
      </c>
      <c r="K2166" s="2">
        <v>0</v>
      </c>
      <c r="L2166" s="2">
        <v>30</v>
      </c>
      <c r="M2166" s="2">
        <v>0</v>
      </c>
      <c r="N2166" t="s">
        <v>10256</v>
      </c>
      <c r="O2166" t="s">
        <v>10257</v>
      </c>
      <c r="P2166" t="s">
        <v>10093</v>
      </c>
      <c r="Q2166" t="s">
        <v>10094</v>
      </c>
      <c r="S2166" t="s">
        <v>10249</v>
      </c>
      <c r="U2166" t="s">
        <v>45</v>
      </c>
      <c r="V2166" t="s">
        <v>46</v>
      </c>
      <c r="W2166" t="s">
        <v>10256</v>
      </c>
      <c r="X2166" t="s">
        <v>10257</v>
      </c>
      <c r="Y2166" t="s">
        <v>7938</v>
      </c>
      <c r="Z2166" t="s">
        <v>7939</v>
      </c>
      <c r="AA2166" t="s">
        <v>49</v>
      </c>
      <c r="AB2166" t="s">
        <v>50</v>
      </c>
      <c r="AC2166" s="2">
        <v>1000</v>
      </c>
      <c r="AD2166" t="s">
        <v>64</v>
      </c>
    </row>
    <row r="2167" spans="1:31" x14ac:dyDescent="0.25">
      <c r="A2167" t="s">
        <v>10258</v>
      </c>
      <c r="B2167" t="s">
        <v>10259</v>
      </c>
      <c r="C2167" t="s">
        <v>10259</v>
      </c>
      <c r="D2167" t="s">
        <v>9774</v>
      </c>
      <c r="E2167" t="s">
        <v>134</v>
      </c>
      <c r="F2167" t="s">
        <v>10260</v>
      </c>
      <c r="H2167" t="s">
        <v>119</v>
      </c>
      <c r="J2167" s="2">
        <v>1090850</v>
      </c>
      <c r="K2167" s="2">
        <v>5000</v>
      </c>
      <c r="L2167" s="2">
        <v>21</v>
      </c>
      <c r="M2167" s="2">
        <v>0</v>
      </c>
      <c r="N2167" t="s">
        <v>118</v>
      </c>
      <c r="O2167" t="s">
        <v>119</v>
      </c>
      <c r="P2167" t="s">
        <v>120</v>
      </c>
      <c r="Q2167" t="s">
        <v>121</v>
      </c>
      <c r="S2167" t="s">
        <v>10261</v>
      </c>
      <c r="U2167" t="s">
        <v>45</v>
      </c>
      <c r="V2167" t="s">
        <v>46</v>
      </c>
      <c r="W2167" t="s">
        <v>118</v>
      </c>
      <c r="X2167" t="s">
        <v>119</v>
      </c>
      <c r="Y2167" t="s">
        <v>121</v>
      </c>
      <c r="Z2167" t="s">
        <v>94</v>
      </c>
      <c r="AA2167" t="s">
        <v>49</v>
      </c>
      <c r="AB2167" t="s">
        <v>50</v>
      </c>
      <c r="AC2167" s="2">
        <v>1084617.57</v>
      </c>
      <c r="AD2167" t="s">
        <v>10262</v>
      </c>
      <c r="AE2167" t="s">
        <v>115</v>
      </c>
    </row>
    <row r="2168" spans="1:31" x14ac:dyDescent="0.25">
      <c r="A2168" t="s">
        <v>10263</v>
      </c>
      <c r="B2168" t="s">
        <v>10264</v>
      </c>
      <c r="C2168" t="s">
        <v>10264</v>
      </c>
      <c r="D2168" t="s">
        <v>847</v>
      </c>
      <c r="E2168" t="s">
        <v>848</v>
      </c>
      <c r="F2168" t="s">
        <v>10265</v>
      </c>
      <c r="G2168" t="s">
        <v>847</v>
      </c>
      <c r="H2168" t="s">
        <v>81</v>
      </c>
      <c r="I2168" t="s">
        <v>10266</v>
      </c>
      <c r="J2168" s="2">
        <v>261804</v>
      </c>
      <c r="K2168" s="2">
        <v>1200</v>
      </c>
      <c r="L2168" s="2">
        <v>15</v>
      </c>
      <c r="M2168" s="2">
        <v>0</v>
      </c>
      <c r="N2168" t="s">
        <v>80</v>
      </c>
      <c r="O2168" t="s">
        <v>81</v>
      </c>
      <c r="P2168" t="s">
        <v>557</v>
      </c>
      <c r="Q2168" t="s">
        <v>558</v>
      </c>
      <c r="S2168" t="s">
        <v>10267</v>
      </c>
      <c r="U2168" t="s">
        <v>45</v>
      </c>
      <c r="V2168" t="s">
        <v>46</v>
      </c>
      <c r="W2168" t="s">
        <v>80</v>
      </c>
      <c r="X2168" t="s">
        <v>81</v>
      </c>
      <c r="Y2168" t="s">
        <v>85</v>
      </c>
      <c r="Z2168" t="s">
        <v>86</v>
      </c>
      <c r="AA2168" t="s">
        <v>49</v>
      </c>
      <c r="AB2168" t="s">
        <v>50</v>
      </c>
      <c r="AC2168" s="2">
        <v>7612.63</v>
      </c>
      <c r="AD2168" t="s">
        <v>10268</v>
      </c>
      <c r="AE2168" t="s">
        <v>52</v>
      </c>
    </row>
    <row r="2169" spans="1:31" x14ac:dyDescent="0.25">
      <c r="A2169" t="s">
        <v>10269</v>
      </c>
      <c r="B2169" t="s">
        <v>10270</v>
      </c>
      <c r="C2169" t="s">
        <v>10270</v>
      </c>
      <c r="D2169" t="s">
        <v>35</v>
      </c>
      <c r="E2169" t="s">
        <v>36</v>
      </c>
      <c r="F2169" t="s">
        <v>10271</v>
      </c>
      <c r="G2169" t="s">
        <v>35</v>
      </c>
      <c r="H2169" t="s">
        <v>10141</v>
      </c>
      <c r="I2169" t="s">
        <v>10272</v>
      </c>
      <c r="J2169" s="2">
        <v>1174350</v>
      </c>
      <c r="K2169" s="2">
        <v>5000</v>
      </c>
      <c r="L2169" s="2">
        <v>30</v>
      </c>
      <c r="M2169" s="2">
        <v>0</v>
      </c>
      <c r="N2169" t="s">
        <v>7936</v>
      </c>
      <c r="O2169" t="s">
        <v>7935</v>
      </c>
      <c r="P2169" t="s">
        <v>10093</v>
      </c>
      <c r="Q2169" t="s">
        <v>10094</v>
      </c>
      <c r="S2169" t="s">
        <v>10273</v>
      </c>
      <c r="U2169" t="s">
        <v>45</v>
      </c>
      <c r="V2169" t="s">
        <v>46</v>
      </c>
      <c r="W2169" t="s">
        <v>7936</v>
      </c>
      <c r="X2169" t="s">
        <v>7935</v>
      </c>
      <c r="Y2169" t="s">
        <v>7938</v>
      </c>
      <c r="Z2169" t="s">
        <v>7939</v>
      </c>
      <c r="AA2169" t="s">
        <v>49</v>
      </c>
      <c r="AB2169" t="s">
        <v>50</v>
      </c>
      <c r="AC2169" s="2">
        <v>1076730.8500000001</v>
      </c>
      <c r="AD2169" t="s">
        <v>10274</v>
      </c>
      <c r="AE2169" t="s">
        <v>52</v>
      </c>
    </row>
    <row r="2170" spans="1:31" hidden="1" x14ac:dyDescent="0.25">
      <c r="A2170" t="s">
        <v>10275</v>
      </c>
      <c r="B2170" t="s">
        <v>10276</v>
      </c>
      <c r="C2170" t="s">
        <v>10276</v>
      </c>
      <c r="F2170" t="s">
        <v>10277</v>
      </c>
      <c r="H2170" t="s">
        <v>5739</v>
      </c>
      <c r="I2170" t="s">
        <v>10278</v>
      </c>
      <c r="J2170" s="2">
        <v>1228</v>
      </c>
      <c r="K2170" s="2">
        <v>5.63</v>
      </c>
      <c r="L2170" s="2">
        <v>21</v>
      </c>
      <c r="M2170" s="2">
        <v>0</v>
      </c>
      <c r="N2170" t="s">
        <v>5741</v>
      </c>
      <c r="O2170" t="s">
        <v>5739</v>
      </c>
      <c r="P2170" t="s">
        <v>5966</v>
      </c>
      <c r="Q2170" t="s">
        <v>5739</v>
      </c>
      <c r="S2170" t="s">
        <v>10279</v>
      </c>
      <c r="U2170" t="s">
        <v>45</v>
      </c>
      <c r="V2170" t="s">
        <v>46</v>
      </c>
      <c r="W2170" t="s">
        <v>5741</v>
      </c>
      <c r="X2170" t="s">
        <v>5739</v>
      </c>
      <c r="Y2170" t="s">
        <v>5743</v>
      </c>
      <c r="Z2170" t="s">
        <v>5744</v>
      </c>
      <c r="AA2170" t="s">
        <v>49</v>
      </c>
      <c r="AB2170" t="s">
        <v>50</v>
      </c>
      <c r="AC2170" s="2">
        <v>1228</v>
      </c>
      <c r="AD2170" t="s">
        <v>64</v>
      </c>
    </row>
    <row r="2171" spans="1:31" hidden="1" x14ac:dyDescent="0.25">
      <c r="A2171" t="s">
        <v>10280</v>
      </c>
      <c r="B2171" t="s">
        <v>10281</v>
      </c>
      <c r="C2171" t="s">
        <v>10281</v>
      </c>
      <c r="F2171" t="s">
        <v>10282</v>
      </c>
      <c r="H2171" t="s">
        <v>7376</v>
      </c>
      <c r="J2171" s="2">
        <v>1228</v>
      </c>
      <c r="K2171" s="2">
        <v>5.63</v>
      </c>
      <c r="L2171" s="2">
        <v>21</v>
      </c>
      <c r="M2171" s="2">
        <v>0</v>
      </c>
      <c r="N2171" t="s">
        <v>7375</v>
      </c>
      <c r="O2171" t="s">
        <v>7376</v>
      </c>
      <c r="P2171" t="s">
        <v>5966</v>
      </c>
      <c r="Q2171" t="s">
        <v>5739</v>
      </c>
      <c r="S2171" t="s">
        <v>10283</v>
      </c>
      <c r="U2171" t="s">
        <v>45</v>
      </c>
      <c r="V2171" t="s">
        <v>46</v>
      </c>
      <c r="W2171" t="s">
        <v>7375</v>
      </c>
      <c r="X2171" t="s">
        <v>7376</v>
      </c>
      <c r="Y2171" t="s">
        <v>5743</v>
      </c>
      <c r="Z2171" t="s">
        <v>5744</v>
      </c>
      <c r="AA2171" t="s">
        <v>49</v>
      </c>
      <c r="AB2171" t="s">
        <v>50</v>
      </c>
      <c r="AC2171" s="2">
        <v>1228</v>
      </c>
      <c r="AD2171" t="s">
        <v>64</v>
      </c>
    </row>
    <row r="2172" spans="1:31" hidden="1" x14ac:dyDescent="0.25">
      <c r="A2172" t="s">
        <v>10284</v>
      </c>
      <c r="B2172" t="s">
        <v>10285</v>
      </c>
      <c r="C2172" t="s">
        <v>10285</v>
      </c>
      <c r="F2172" t="s">
        <v>10286</v>
      </c>
      <c r="H2172" t="s">
        <v>7376</v>
      </c>
      <c r="J2172" s="2">
        <v>1228</v>
      </c>
      <c r="K2172" s="2">
        <v>5.63</v>
      </c>
      <c r="L2172" s="2">
        <v>21</v>
      </c>
      <c r="M2172" s="2">
        <v>0</v>
      </c>
      <c r="N2172" t="s">
        <v>7375</v>
      </c>
      <c r="O2172" t="s">
        <v>7376</v>
      </c>
      <c r="P2172" t="s">
        <v>5966</v>
      </c>
      <c r="Q2172" t="s">
        <v>5739</v>
      </c>
      <c r="S2172" t="s">
        <v>10287</v>
      </c>
      <c r="U2172" t="s">
        <v>45</v>
      </c>
      <c r="V2172" t="s">
        <v>46</v>
      </c>
      <c r="W2172" t="s">
        <v>7375</v>
      </c>
      <c r="X2172" t="s">
        <v>7376</v>
      </c>
      <c r="Y2172" t="s">
        <v>5743</v>
      </c>
      <c r="Z2172" t="s">
        <v>5744</v>
      </c>
      <c r="AA2172" t="s">
        <v>49</v>
      </c>
      <c r="AB2172" t="s">
        <v>50</v>
      </c>
      <c r="AC2172" s="2">
        <v>1228</v>
      </c>
      <c r="AD2172" t="s">
        <v>64</v>
      </c>
    </row>
    <row r="2173" spans="1:31" hidden="1" x14ac:dyDescent="0.25">
      <c r="A2173" t="s">
        <v>10288</v>
      </c>
      <c r="B2173" t="s">
        <v>10289</v>
      </c>
      <c r="C2173" t="s">
        <v>10289</v>
      </c>
      <c r="F2173" t="s">
        <v>10290</v>
      </c>
      <c r="H2173" t="s">
        <v>7376</v>
      </c>
      <c r="J2173" s="2">
        <v>1228</v>
      </c>
      <c r="K2173" s="2">
        <v>5.63</v>
      </c>
      <c r="L2173" s="2">
        <v>21</v>
      </c>
      <c r="M2173" s="2">
        <v>0</v>
      </c>
      <c r="N2173" t="s">
        <v>7375</v>
      </c>
      <c r="O2173" t="s">
        <v>7376</v>
      </c>
      <c r="P2173" t="s">
        <v>5966</v>
      </c>
      <c r="Q2173" t="s">
        <v>5739</v>
      </c>
      <c r="S2173" t="s">
        <v>10291</v>
      </c>
      <c r="U2173" t="s">
        <v>45</v>
      </c>
      <c r="V2173" t="s">
        <v>46</v>
      </c>
      <c r="W2173" t="s">
        <v>7375</v>
      </c>
      <c r="X2173" t="s">
        <v>7376</v>
      </c>
      <c r="Y2173" t="s">
        <v>5743</v>
      </c>
      <c r="Z2173" t="s">
        <v>5744</v>
      </c>
      <c r="AA2173" t="s">
        <v>49</v>
      </c>
      <c r="AB2173" t="s">
        <v>50</v>
      </c>
      <c r="AC2173" s="2">
        <v>1228</v>
      </c>
      <c r="AD2173" t="s">
        <v>64</v>
      </c>
    </row>
    <row r="2174" spans="1:31" x14ac:dyDescent="0.25">
      <c r="A2174" t="s">
        <v>10292</v>
      </c>
      <c r="B2174" t="s">
        <v>10293</v>
      </c>
      <c r="C2174" t="s">
        <v>10293</v>
      </c>
      <c r="D2174" t="s">
        <v>125</v>
      </c>
      <c r="E2174" t="s">
        <v>126</v>
      </c>
      <c r="F2174" t="s">
        <v>10294</v>
      </c>
      <c r="G2174" t="s">
        <v>125</v>
      </c>
      <c r="H2174" t="s">
        <v>81</v>
      </c>
      <c r="I2174" t="s">
        <v>10295</v>
      </c>
      <c r="J2174" s="2">
        <v>109085</v>
      </c>
      <c r="K2174" s="2">
        <v>500</v>
      </c>
      <c r="L2174" s="2">
        <v>15</v>
      </c>
      <c r="M2174" s="2">
        <v>0</v>
      </c>
      <c r="N2174" t="s">
        <v>80</v>
      </c>
      <c r="O2174" t="s">
        <v>81</v>
      </c>
      <c r="P2174" t="s">
        <v>82</v>
      </c>
      <c r="Q2174" t="s">
        <v>83</v>
      </c>
      <c r="S2174" t="s">
        <v>10296</v>
      </c>
      <c r="U2174" t="s">
        <v>45</v>
      </c>
      <c r="V2174" t="s">
        <v>46</v>
      </c>
      <c r="W2174" t="s">
        <v>80</v>
      </c>
      <c r="X2174" t="s">
        <v>81</v>
      </c>
      <c r="Y2174" t="s">
        <v>85</v>
      </c>
      <c r="Z2174" t="s">
        <v>86</v>
      </c>
      <c r="AA2174" t="s">
        <v>49</v>
      </c>
      <c r="AB2174" t="s">
        <v>50</v>
      </c>
      <c r="AC2174" s="2">
        <v>59400.89</v>
      </c>
      <c r="AD2174" t="s">
        <v>10297</v>
      </c>
      <c r="AE2174" t="s">
        <v>52</v>
      </c>
    </row>
    <row r="2175" spans="1:31" x14ac:dyDescent="0.25">
      <c r="A2175" t="s">
        <v>10298</v>
      </c>
      <c r="B2175" t="s">
        <v>10299</v>
      </c>
      <c r="C2175" t="s">
        <v>10299</v>
      </c>
      <c r="D2175" t="s">
        <v>773</v>
      </c>
      <c r="E2175" t="s">
        <v>224</v>
      </c>
      <c r="F2175" t="s">
        <v>10300</v>
      </c>
      <c r="G2175" t="s">
        <v>773</v>
      </c>
      <c r="H2175" t="s">
        <v>9783</v>
      </c>
      <c r="I2175" t="s">
        <v>10301</v>
      </c>
      <c r="J2175" s="2">
        <v>109085</v>
      </c>
      <c r="K2175" s="2">
        <v>500</v>
      </c>
      <c r="L2175" s="2">
        <v>15</v>
      </c>
      <c r="M2175" s="2">
        <v>0</v>
      </c>
      <c r="N2175" t="s">
        <v>1427</v>
      </c>
      <c r="O2175" t="s">
        <v>1428</v>
      </c>
      <c r="P2175" t="s">
        <v>82</v>
      </c>
      <c r="Q2175" t="s">
        <v>83</v>
      </c>
      <c r="S2175" t="s">
        <v>10302</v>
      </c>
      <c r="U2175" t="s">
        <v>45</v>
      </c>
      <c r="V2175" t="s">
        <v>46</v>
      </c>
      <c r="W2175" t="s">
        <v>1427</v>
      </c>
      <c r="X2175" t="s">
        <v>1430</v>
      </c>
      <c r="Y2175" t="s">
        <v>85</v>
      </c>
      <c r="Z2175" t="s">
        <v>86</v>
      </c>
      <c r="AA2175" t="s">
        <v>49</v>
      </c>
      <c r="AB2175" t="s">
        <v>50</v>
      </c>
      <c r="AC2175" s="2">
        <v>90376.06</v>
      </c>
      <c r="AD2175" t="s">
        <v>10303</v>
      </c>
      <c r="AE2175" t="s">
        <v>115</v>
      </c>
    </row>
    <row r="2176" spans="1:31" x14ac:dyDescent="0.25">
      <c r="A2176" t="s">
        <v>10304</v>
      </c>
      <c r="B2176" t="s">
        <v>10305</v>
      </c>
      <c r="C2176" t="s">
        <v>10305</v>
      </c>
      <c r="D2176" t="s">
        <v>1865</v>
      </c>
      <c r="E2176" t="s">
        <v>224</v>
      </c>
      <c r="F2176" t="s">
        <v>10306</v>
      </c>
      <c r="G2176" t="s">
        <v>2286</v>
      </c>
      <c r="H2176" t="s">
        <v>9783</v>
      </c>
      <c r="I2176" t="s">
        <v>10307</v>
      </c>
      <c r="J2176" s="2">
        <v>174536</v>
      </c>
      <c r="K2176" s="2">
        <v>800</v>
      </c>
      <c r="L2176" s="2">
        <v>15</v>
      </c>
      <c r="M2176" s="2">
        <v>0</v>
      </c>
      <c r="N2176" t="s">
        <v>1427</v>
      </c>
      <c r="O2176" t="s">
        <v>1428</v>
      </c>
      <c r="P2176" t="s">
        <v>82</v>
      </c>
      <c r="Q2176" t="s">
        <v>83</v>
      </c>
      <c r="S2176" t="s">
        <v>10308</v>
      </c>
      <c r="U2176" t="s">
        <v>45</v>
      </c>
      <c r="V2176" t="s">
        <v>46</v>
      </c>
      <c r="W2176" t="s">
        <v>1427</v>
      </c>
      <c r="X2176" t="s">
        <v>1430</v>
      </c>
      <c r="Y2176" t="s">
        <v>85</v>
      </c>
      <c r="Z2176" t="s">
        <v>86</v>
      </c>
      <c r="AA2176" t="s">
        <v>49</v>
      </c>
      <c r="AB2176" t="s">
        <v>50</v>
      </c>
      <c r="AC2176" s="2">
        <v>174536</v>
      </c>
      <c r="AD2176" t="s">
        <v>64</v>
      </c>
    </row>
    <row r="2177" spans="1:31" x14ac:dyDescent="0.25">
      <c r="A2177" t="s">
        <v>10309</v>
      </c>
      <c r="B2177" t="s">
        <v>10310</v>
      </c>
      <c r="C2177" t="s">
        <v>10310</v>
      </c>
      <c r="D2177" t="s">
        <v>2687</v>
      </c>
      <c r="E2177" t="s">
        <v>190</v>
      </c>
      <c r="F2177" t="s">
        <v>10311</v>
      </c>
      <c r="G2177" t="s">
        <v>555</v>
      </c>
      <c r="H2177" t="s">
        <v>7090</v>
      </c>
      <c r="I2177" t="s">
        <v>10312</v>
      </c>
      <c r="J2177" s="2">
        <v>174536</v>
      </c>
      <c r="K2177" s="2">
        <v>800</v>
      </c>
      <c r="L2177" s="2">
        <v>15</v>
      </c>
      <c r="M2177" s="2">
        <v>0</v>
      </c>
      <c r="N2177" t="s">
        <v>7089</v>
      </c>
      <c r="O2177" t="s">
        <v>7090</v>
      </c>
      <c r="P2177" t="s">
        <v>557</v>
      </c>
      <c r="Q2177" t="s">
        <v>558</v>
      </c>
      <c r="S2177" t="s">
        <v>10313</v>
      </c>
      <c r="U2177" t="s">
        <v>45</v>
      </c>
      <c r="V2177" t="s">
        <v>46</v>
      </c>
      <c r="W2177" t="s">
        <v>7089</v>
      </c>
      <c r="X2177" t="s">
        <v>7090</v>
      </c>
      <c r="Y2177" t="s">
        <v>85</v>
      </c>
      <c r="Z2177" t="s">
        <v>86</v>
      </c>
      <c r="AA2177" t="s">
        <v>49</v>
      </c>
      <c r="AB2177" t="s">
        <v>50</v>
      </c>
      <c r="AC2177" s="2">
        <v>174536</v>
      </c>
      <c r="AD2177" t="s">
        <v>64</v>
      </c>
    </row>
    <row r="2178" spans="1:31" x14ac:dyDescent="0.25">
      <c r="A2178" t="s">
        <v>10314</v>
      </c>
      <c r="B2178" t="s">
        <v>10315</v>
      </c>
      <c r="C2178" t="s">
        <v>10315</v>
      </c>
      <c r="D2178" t="s">
        <v>35</v>
      </c>
      <c r="E2178" t="s">
        <v>36</v>
      </c>
      <c r="F2178" t="s">
        <v>10316</v>
      </c>
      <c r="G2178" t="s">
        <v>178</v>
      </c>
      <c r="H2178" t="s">
        <v>81</v>
      </c>
      <c r="I2178" t="s">
        <v>10312</v>
      </c>
      <c r="J2178" s="2">
        <v>174536</v>
      </c>
      <c r="K2178" s="2">
        <v>800</v>
      </c>
      <c r="L2178" s="2">
        <v>15</v>
      </c>
      <c r="M2178" s="2">
        <v>0</v>
      </c>
      <c r="N2178" t="s">
        <v>80</v>
      </c>
      <c r="O2178" t="s">
        <v>81</v>
      </c>
      <c r="P2178" t="s">
        <v>557</v>
      </c>
      <c r="Q2178" t="s">
        <v>558</v>
      </c>
      <c r="S2178" t="s">
        <v>10317</v>
      </c>
      <c r="U2178" t="s">
        <v>45</v>
      </c>
      <c r="V2178" t="s">
        <v>46</v>
      </c>
      <c r="W2178" t="s">
        <v>5938</v>
      </c>
      <c r="X2178" t="s">
        <v>5939</v>
      </c>
      <c r="Y2178" t="s">
        <v>85</v>
      </c>
      <c r="Z2178" t="s">
        <v>86</v>
      </c>
      <c r="AA2178" t="s">
        <v>49</v>
      </c>
      <c r="AB2178" t="s">
        <v>50</v>
      </c>
      <c r="AC2178" s="2">
        <v>174536</v>
      </c>
      <c r="AD2178" t="s">
        <v>64</v>
      </c>
    </row>
    <row r="2179" spans="1:31" x14ac:dyDescent="0.25">
      <c r="A2179" t="s">
        <v>10318</v>
      </c>
      <c r="B2179" t="s">
        <v>10319</v>
      </c>
      <c r="C2179" t="s">
        <v>10319</v>
      </c>
      <c r="D2179" t="s">
        <v>847</v>
      </c>
      <c r="E2179" t="s">
        <v>848</v>
      </c>
      <c r="F2179" t="s">
        <v>10320</v>
      </c>
      <c r="G2179" t="s">
        <v>166</v>
      </c>
      <c r="H2179" t="s">
        <v>8687</v>
      </c>
      <c r="J2179" s="2">
        <v>436340</v>
      </c>
      <c r="K2179" s="2">
        <v>2000</v>
      </c>
      <c r="L2179" s="2">
        <v>30</v>
      </c>
      <c r="M2179" s="2">
        <v>0</v>
      </c>
      <c r="N2179" t="s">
        <v>8689</v>
      </c>
      <c r="O2179" t="s">
        <v>8687</v>
      </c>
      <c r="P2179" t="s">
        <v>4853</v>
      </c>
      <c r="Q2179" t="s">
        <v>4854</v>
      </c>
      <c r="S2179" t="s">
        <v>10321</v>
      </c>
      <c r="U2179" t="s">
        <v>45</v>
      </c>
      <c r="V2179" t="s">
        <v>46</v>
      </c>
      <c r="W2179" t="s">
        <v>8689</v>
      </c>
      <c r="X2179" t="s">
        <v>8687</v>
      </c>
      <c r="Y2179" t="s">
        <v>4854</v>
      </c>
      <c r="Z2179" t="s">
        <v>72</v>
      </c>
      <c r="AA2179" t="s">
        <v>49</v>
      </c>
      <c r="AB2179" t="s">
        <v>50</v>
      </c>
      <c r="AC2179" s="2">
        <v>436340</v>
      </c>
      <c r="AD2179" t="s">
        <v>64</v>
      </c>
    </row>
    <row r="2180" spans="1:31" x14ac:dyDescent="0.25">
      <c r="A2180" t="s">
        <v>10322</v>
      </c>
      <c r="B2180" t="s">
        <v>10323</v>
      </c>
      <c r="C2180" t="s">
        <v>10323</v>
      </c>
      <c r="D2180" t="s">
        <v>153</v>
      </c>
      <c r="E2180" t="s">
        <v>272</v>
      </c>
      <c r="F2180" t="s">
        <v>10324</v>
      </c>
      <c r="G2180" t="s">
        <v>153</v>
      </c>
      <c r="H2180" t="s">
        <v>5202</v>
      </c>
      <c r="I2180" t="s">
        <v>10325</v>
      </c>
      <c r="J2180" s="2">
        <v>436340</v>
      </c>
      <c r="K2180" s="2">
        <v>2000</v>
      </c>
      <c r="L2180" s="2">
        <v>30</v>
      </c>
      <c r="M2180" s="2">
        <v>0</v>
      </c>
      <c r="N2180" t="s">
        <v>5201</v>
      </c>
      <c r="O2180" t="s">
        <v>5202</v>
      </c>
      <c r="P2180" t="s">
        <v>4853</v>
      </c>
      <c r="Q2180" t="s">
        <v>4854</v>
      </c>
      <c r="S2180" t="s">
        <v>10326</v>
      </c>
      <c r="U2180" t="s">
        <v>45</v>
      </c>
      <c r="V2180" t="s">
        <v>46</v>
      </c>
      <c r="W2180" t="s">
        <v>5201</v>
      </c>
      <c r="X2180" t="s">
        <v>5202</v>
      </c>
      <c r="Y2180" t="s">
        <v>4854</v>
      </c>
      <c r="Z2180" t="s">
        <v>72</v>
      </c>
      <c r="AA2180" t="s">
        <v>49</v>
      </c>
      <c r="AB2180" t="s">
        <v>50</v>
      </c>
      <c r="AC2180" s="2">
        <v>393655.93</v>
      </c>
      <c r="AD2180" t="s">
        <v>10327</v>
      </c>
      <c r="AE2180" t="s">
        <v>52</v>
      </c>
    </row>
    <row r="2181" spans="1:31" hidden="1" x14ac:dyDescent="0.25">
      <c r="A2181" t="s">
        <v>10328</v>
      </c>
      <c r="B2181" t="s">
        <v>10329</v>
      </c>
      <c r="C2181" t="s">
        <v>10329</v>
      </c>
      <c r="F2181" t="s">
        <v>10330</v>
      </c>
      <c r="H2181" t="s">
        <v>8524</v>
      </c>
      <c r="I2181" t="s">
        <v>10331</v>
      </c>
      <c r="J2181" s="2">
        <v>21817</v>
      </c>
      <c r="K2181" s="2">
        <v>100</v>
      </c>
      <c r="L2181" s="2">
        <v>21</v>
      </c>
      <c r="M2181" s="2">
        <v>0</v>
      </c>
      <c r="N2181" t="s">
        <v>2571</v>
      </c>
      <c r="O2181" t="s">
        <v>2572</v>
      </c>
      <c r="P2181" t="s">
        <v>6987</v>
      </c>
      <c r="Q2181" t="s">
        <v>6988</v>
      </c>
      <c r="S2181" t="s">
        <v>10332</v>
      </c>
      <c r="U2181" t="s">
        <v>45</v>
      </c>
      <c r="V2181" t="s">
        <v>46</v>
      </c>
      <c r="W2181" t="s">
        <v>2571</v>
      </c>
      <c r="X2181" t="s">
        <v>2572</v>
      </c>
      <c r="Y2181" t="s">
        <v>2399</v>
      </c>
      <c r="Z2181" t="s">
        <v>2400</v>
      </c>
      <c r="AA2181" t="s">
        <v>49</v>
      </c>
      <c r="AB2181" t="s">
        <v>50</v>
      </c>
      <c r="AC2181" s="2">
        <v>21817</v>
      </c>
      <c r="AD2181" t="s">
        <v>64</v>
      </c>
    </row>
    <row r="2182" spans="1:31" x14ac:dyDescent="0.25">
      <c r="A2182" t="s">
        <v>10333</v>
      </c>
      <c r="B2182" t="s">
        <v>10334</v>
      </c>
      <c r="C2182" t="s">
        <v>10334</v>
      </c>
      <c r="D2182" t="s">
        <v>35</v>
      </c>
      <c r="E2182" t="s">
        <v>36</v>
      </c>
      <c r="F2182" t="s">
        <v>10335</v>
      </c>
      <c r="G2182" t="s">
        <v>153</v>
      </c>
      <c r="H2182" t="s">
        <v>7376</v>
      </c>
      <c r="J2182" s="2">
        <v>218170</v>
      </c>
      <c r="K2182" s="2">
        <v>1000</v>
      </c>
      <c r="L2182" s="2">
        <v>21</v>
      </c>
      <c r="M2182" s="2">
        <v>0</v>
      </c>
      <c r="N2182" t="s">
        <v>7375</v>
      </c>
      <c r="O2182" t="s">
        <v>7376</v>
      </c>
      <c r="P2182" t="s">
        <v>5966</v>
      </c>
      <c r="Q2182" t="s">
        <v>5739</v>
      </c>
      <c r="S2182" t="s">
        <v>10336</v>
      </c>
      <c r="U2182" t="s">
        <v>45</v>
      </c>
      <c r="V2182" t="s">
        <v>46</v>
      </c>
      <c r="W2182" t="s">
        <v>7375</v>
      </c>
      <c r="X2182" t="s">
        <v>7376</v>
      </c>
      <c r="Y2182" t="s">
        <v>5743</v>
      </c>
      <c r="Z2182" t="s">
        <v>5744</v>
      </c>
      <c r="AA2182" t="s">
        <v>49</v>
      </c>
      <c r="AB2182" t="s">
        <v>50</v>
      </c>
      <c r="AC2182" s="2">
        <v>214561.96</v>
      </c>
      <c r="AD2182" t="s">
        <v>10337</v>
      </c>
      <c r="AE2182" t="s">
        <v>52</v>
      </c>
    </row>
    <row r="2183" spans="1:31" x14ac:dyDescent="0.25">
      <c r="A2183" t="s">
        <v>10338</v>
      </c>
      <c r="B2183" t="s">
        <v>10339</v>
      </c>
      <c r="C2183" t="s">
        <v>10339</v>
      </c>
      <c r="D2183" t="s">
        <v>125</v>
      </c>
      <c r="E2183" t="s">
        <v>126</v>
      </c>
      <c r="F2183" t="s">
        <v>10340</v>
      </c>
      <c r="G2183" t="s">
        <v>125</v>
      </c>
      <c r="H2183" t="s">
        <v>10341</v>
      </c>
      <c r="I2183" t="s">
        <v>10342</v>
      </c>
      <c r="J2183" s="2">
        <v>2181700</v>
      </c>
      <c r="K2183" s="2">
        <v>10000</v>
      </c>
      <c r="L2183" s="2">
        <v>30</v>
      </c>
      <c r="M2183" s="2">
        <v>0</v>
      </c>
      <c r="N2183" t="s">
        <v>10343</v>
      </c>
      <c r="O2183" t="s">
        <v>10344</v>
      </c>
      <c r="P2183" t="s">
        <v>10093</v>
      </c>
      <c r="Q2183" t="s">
        <v>10094</v>
      </c>
      <c r="S2183" t="s">
        <v>10345</v>
      </c>
      <c r="U2183" t="s">
        <v>45</v>
      </c>
      <c r="V2183" t="s">
        <v>46</v>
      </c>
      <c r="W2183" t="s">
        <v>10343</v>
      </c>
      <c r="X2183" t="s">
        <v>10344</v>
      </c>
      <c r="Y2183" t="s">
        <v>7938</v>
      </c>
      <c r="Z2183" t="s">
        <v>7939</v>
      </c>
      <c r="AA2183" t="s">
        <v>49</v>
      </c>
      <c r="AB2183" t="s">
        <v>50</v>
      </c>
      <c r="AC2183" s="2">
        <v>1483129.88</v>
      </c>
      <c r="AD2183" t="s">
        <v>10346</v>
      </c>
      <c r="AE2183" t="s">
        <v>52</v>
      </c>
    </row>
    <row r="2184" spans="1:31" x14ac:dyDescent="0.25">
      <c r="A2184" t="s">
        <v>10347</v>
      </c>
      <c r="B2184" t="s">
        <v>10348</v>
      </c>
      <c r="C2184" t="s">
        <v>10348</v>
      </c>
      <c r="D2184" t="s">
        <v>125</v>
      </c>
      <c r="E2184" t="s">
        <v>126</v>
      </c>
      <c r="F2184" t="s">
        <v>10349</v>
      </c>
      <c r="G2184" t="s">
        <v>153</v>
      </c>
      <c r="H2184" t="s">
        <v>10350</v>
      </c>
      <c r="I2184" t="s">
        <v>10351</v>
      </c>
      <c r="J2184" s="2">
        <v>2198700</v>
      </c>
      <c r="K2184" s="2">
        <v>10000</v>
      </c>
      <c r="L2184" s="2">
        <v>30</v>
      </c>
      <c r="M2184" s="2">
        <v>0</v>
      </c>
      <c r="N2184" t="s">
        <v>10352</v>
      </c>
      <c r="O2184" t="s">
        <v>10350</v>
      </c>
      <c r="P2184" t="s">
        <v>10093</v>
      </c>
      <c r="Q2184" t="s">
        <v>10094</v>
      </c>
      <c r="S2184" t="s">
        <v>10353</v>
      </c>
      <c r="U2184" t="s">
        <v>45</v>
      </c>
      <c r="V2184" t="s">
        <v>46</v>
      </c>
      <c r="W2184" t="s">
        <v>10352</v>
      </c>
      <c r="X2184" t="s">
        <v>7938</v>
      </c>
      <c r="Y2184" t="s">
        <v>7938</v>
      </c>
      <c r="Z2184" t="s">
        <v>7939</v>
      </c>
      <c r="AA2184" t="s">
        <v>49</v>
      </c>
      <c r="AB2184" t="s">
        <v>50</v>
      </c>
      <c r="AC2184" s="2">
        <v>1718654.96</v>
      </c>
      <c r="AD2184" t="s">
        <v>10354</v>
      </c>
      <c r="AE2184" t="s">
        <v>52</v>
      </c>
    </row>
    <row r="2185" spans="1:31" x14ac:dyDescent="0.25">
      <c r="A2185" t="s">
        <v>10355</v>
      </c>
      <c r="B2185" t="s">
        <v>10356</v>
      </c>
      <c r="C2185" t="s">
        <v>10356</v>
      </c>
      <c r="D2185" t="s">
        <v>125</v>
      </c>
      <c r="E2185" t="s">
        <v>126</v>
      </c>
      <c r="F2185" t="s">
        <v>10357</v>
      </c>
      <c r="G2185" t="s">
        <v>125</v>
      </c>
      <c r="H2185" t="s">
        <v>10089</v>
      </c>
      <c r="I2185" t="s">
        <v>10358</v>
      </c>
      <c r="J2185" s="2">
        <v>2181700</v>
      </c>
      <c r="K2185" s="2">
        <v>10000</v>
      </c>
      <c r="L2185" s="2">
        <v>30</v>
      </c>
      <c r="M2185" s="2">
        <v>0</v>
      </c>
      <c r="N2185" t="s">
        <v>10091</v>
      </c>
      <c r="O2185" t="s">
        <v>10092</v>
      </c>
      <c r="P2185" t="s">
        <v>10093</v>
      </c>
      <c r="Q2185" t="s">
        <v>10094</v>
      </c>
      <c r="S2185" t="s">
        <v>10359</v>
      </c>
      <c r="U2185" t="s">
        <v>45</v>
      </c>
      <c r="V2185" t="s">
        <v>46</v>
      </c>
      <c r="W2185" t="s">
        <v>10091</v>
      </c>
      <c r="X2185" t="s">
        <v>10092</v>
      </c>
      <c r="Y2185" t="s">
        <v>7938</v>
      </c>
      <c r="Z2185" t="s">
        <v>7939</v>
      </c>
      <c r="AA2185" t="s">
        <v>49</v>
      </c>
      <c r="AB2185" t="s">
        <v>50</v>
      </c>
      <c r="AC2185" s="2">
        <v>1217711.6599999999</v>
      </c>
      <c r="AD2185" t="s">
        <v>10360</v>
      </c>
      <c r="AE2185" t="s">
        <v>52</v>
      </c>
    </row>
    <row r="2186" spans="1:31" hidden="1" x14ac:dyDescent="0.25">
      <c r="J2186" s="2">
        <v>218170</v>
      </c>
      <c r="K2186" s="2">
        <v>1000</v>
      </c>
      <c r="L2186" s="2">
        <v>30</v>
      </c>
      <c r="M2186" s="2">
        <v>0</v>
      </c>
      <c r="S2186" t="s">
        <v>10363</v>
      </c>
      <c r="U2186" t="s">
        <v>45</v>
      </c>
      <c r="V2186" t="s">
        <v>46</v>
      </c>
      <c r="W2186" t="s">
        <v>10362</v>
      </c>
      <c r="X2186" t="s">
        <v>10361</v>
      </c>
      <c r="Y2186" t="s">
        <v>7938</v>
      </c>
      <c r="Z2186" t="s">
        <v>7939</v>
      </c>
      <c r="AA2186" t="s">
        <v>49</v>
      </c>
      <c r="AC2186" s="2"/>
    </row>
    <row r="2187" spans="1:31" x14ac:dyDescent="0.25">
      <c r="A2187" t="s">
        <v>10364</v>
      </c>
      <c r="B2187" t="s">
        <v>10365</v>
      </c>
      <c r="C2187" t="s">
        <v>10365</v>
      </c>
      <c r="D2187" t="s">
        <v>153</v>
      </c>
      <c r="E2187" t="s">
        <v>272</v>
      </c>
      <c r="F2187" t="s">
        <v>10366</v>
      </c>
      <c r="G2187" t="s">
        <v>297</v>
      </c>
      <c r="H2187" t="s">
        <v>10141</v>
      </c>
      <c r="I2187" t="s">
        <v>10367</v>
      </c>
      <c r="J2187" s="2">
        <v>1174350</v>
      </c>
      <c r="K2187" s="2">
        <v>5000</v>
      </c>
      <c r="L2187" s="2">
        <v>30</v>
      </c>
      <c r="M2187" s="2">
        <v>0</v>
      </c>
      <c r="N2187" t="s">
        <v>7936</v>
      </c>
      <c r="O2187" t="s">
        <v>7935</v>
      </c>
      <c r="P2187" t="s">
        <v>10093</v>
      </c>
      <c r="Q2187" t="s">
        <v>10094</v>
      </c>
      <c r="S2187" t="s">
        <v>10368</v>
      </c>
      <c r="U2187" t="s">
        <v>45</v>
      </c>
      <c r="V2187" t="s">
        <v>46</v>
      </c>
      <c r="W2187" t="s">
        <v>7936</v>
      </c>
      <c r="X2187" t="s">
        <v>7935</v>
      </c>
      <c r="Y2187" t="s">
        <v>7938</v>
      </c>
      <c r="Z2187" t="s">
        <v>7939</v>
      </c>
      <c r="AA2187" t="s">
        <v>49</v>
      </c>
      <c r="AB2187" t="s">
        <v>50</v>
      </c>
      <c r="AC2187" s="2">
        <v>863343.33</v>
      </c>
      <c r="AD2187" t="s">
        <v>10369</v>
      </c>
    </row>
    <row r="2188" spans="1:31" hidden="1" x14ac:dyDescent="0.25">
      <c r="A2188" t="s">
        <v>10370</v>
      </c>
      <c r="B2188" t="s">
        <v>10371</v>
      </c>
      <c r="C2188" t="s">
        <v>10371</v>
      </c>
      <c r="F2188" t="s">
        <v>10366</v>
      </c>
      <c r="H2188" t="s">
        <v>10141</v>
      </c>
      <c r="J2188" s="2">
        <v>218170</v>
      </c>
      <c r="K2188" s="2">
        <v>1000</v>
      </c>
      <c r="L2188" s="2">
        <v>30</v>
      </c>
      <c r="M2188" s="2">
        <v>0</v>
      </c>
      <c r="N2188" t="s">
        <v>7936</v>
      </c>
      <c r="O2188" t="s">
        <v>7935</v>
      </c>
      <c r="P2188" t="s">
        <v>10093</v>
      </c>
      <c r="Q2188" t="s">
        <v>10094</v>
      </c>
      <c r="S2188" t="s">
        <v>10368</v>
      </c>
      <c r="U2188" t="s">
        <v>45</v>
      </c>
      <c r="V2188" t="s">
        <v>46</v>
      </c>
      <c r="W2188" t="s">
        <v>7936</v>
      </c>
      <c r="X2188" t="s">
        <v>7935</v>
      </c>
      <c r="Y2188" t="s">
        <v>7938</v>
      </c>
      <c r="Z2188" t="s">
        <v>7939</v>
      </c>
      <c r="AA2188" t="s">
        <v>49</v>
      </c>
      <c r="AB2188" t="s">
        <v>50</v>
      </c>
      <c r="AC2188" s="2">
        <v>218170</v>
      </c>
      <c r="AD2188" t="s">
        <v>64</v>
      </c>
    </row>
    <row r="2189" spans="1:31" x14ac:dyDescent="0.25">
      <c r="A2189" t="s">
        <v>10372</v>
      </c>
      <c r="B2189" t="s">
        <v>10373</v>
      </c>
      <c r="C2189" t="s">
        <v>10373</v>
      </c>
      <c r="D2189" t="s">
        <v>125</v>
      </c>
      <c r="E2189" t="s">
        <v>126</v>
      </c>
      <c r="F2189" t="s">
        <v>10366</v>
      </c>
      <c r="G2189" t="s">
        <v>125</v>
      </c>
      <c r="H2189" t="s">
        <v>10141</v>
      </c>
      <c r="I2189" t="s">
        <v>10367</v>
      </c>
      <c r="J2189" s="2">
        <v>1174350</v>
      </c>
      <c r="K2189" s="2">
        <v>5000</v>
      </c>
      <c r="L2189" s="2">
        <v>30</v>
      </c>
      <c r="M2189" s="2">
        <v>0</v>
      </c>
      <c r="N2189" t="s">
        <v>10374</v>
      </c>
      <c r="O2189" t="s">
        <v>10375</v>
      </c>
      <c r="P2189" t="s">
        <v>10093</v>
      </c>
      <c r="Q2189" t="s">
        <v>10094</v>
      </c>
      <c r="S2189" t="s">
        <v>10368</v>
      </c>
      <c r="U2189" t="s">
        <v>45</v>
      </c>
      <c r="V2189" t="s">
        <v>46</v>
      </c>
      <c r="W2189" t="s">
        <v>10374</v>
      </c>
      <c r="X2189" t="s">
        <v>10375</v>
      </c>
      <c r="Y2189" t="s">
        <v>7938</v>
      </c>
      <c r="Z2189" t="s">
        <v>7939</v>
      </c>
      <c r="AA2189" t="s">
        <v>49</v>
      </c>
      <c r="AB2189" t="s">
        <v>50</v>
      </c>
      <c r="AC2189" s="2">
        <v>769600.82</v>
      </c>
      <c r="AD2189" t="s">
        <v>10376</v>
      </c>
      <c r="AE2189" t="s">
        <v>52</v>
      </c>
    </row>
    <row r="2190" spans="1:31" x14ac:dyDescent="0.25">
      <c r="A2190" t="s">
        <v>10377</v>
      </c>
      <c r="B2190" t="s">
        <v>10378</v>
      </c>
      <c r="C2190" t="s">
        <v>10378</v>
      </c>
      <c r="D2190" t="s">
        <v>35</v>
      </c>
      <c r="E2190" t="s">
        <v>36</v>
      </c>
      <c r="F2190" t="s">
        <v>10366</v>
      </c>
      <c r="G2190" t="s">
        <v>297</v>
      </c>
      <c r="H2190" t="s">
        <v>10141</v>
      </c>
      <c r="I2190" t="s">
        <v>10367</v>
      </c>
      <c r="J2190" s="2">
        <v>1174350</v>
      </c>
      <c r="K2190" s="2">
        <v>5000</v>
      </c>
      <c r="L2190" s="2">
        <v>30</v>
      </c>
      <c r="M2190" s="2">
        <v>0</v>
      </c>
      <c r="N2190" t="s">
        <v>7936</v>
      </c>
      <c r="O2190" t="s">
        <v>7935</v>
      </c>
      <c r="P2190" t="s">
        <v>10093</v>
      </c>
      <c r="Q2190" t="s">
        <v>10094</v>
      </c>
      <c r="S2190" t="s">
        <v>10368</v>
      </c>
      <c r="U2190" t="s">
        <v>45</v>
      </c>
      <c r="V2190" t="s">
        <v>46</v>
      </c>
      <c r="W2190" t="s">
        <v>7936</v>
      </c>
      <c r="X2190" t="s">
        <v>7935</v>
      </c>
      <c r="Y2190" t="s">
        <v>7938</v>
      </c>
      <c r="Z2190" t="s">
        <v>7939</v>
      </c>
      <c r="AA2190" t="s">
        <v>49</v>
      </c>
      <c r="AB2190" t="s">
        <v>50</v>
      </c>
      <c r="AC2190" s="2">
        <v>1174350</v>
      </c>
      <c r="AD2190" t="s">
        <v>64</v>
      </c>
    </row>
    <row r="2191" spans="1:31" x14ac:dyDescent="0.25">
      <c r="A2191" t="s">
        <v>10379</v>
      </c>
      <c r="B2191" t="s">
        <v>10380</v>
      </c>
      <c r="C2191" t="s">
        <v>10380</v>
      </c>
      <c r="D2191" t="s">
        <v>192</v>
      </c>
      <c r="E2191" t="s">
        <v>224</v>
      </c>
      <c r="F2191" t="s">
        <v>9578</v>
      </c>
      <c r="G2191" t="s">
        <v>1865</v>
      </c>
      <c r="H2191" t="s">
        <v>6113</v>
      </c>
      <c r="I2191" t="s">
        <v>10381</v>
      </c>
      <c r="J2191" s="2">
        <v>224380</v>
      </c>
      <c r="K2191" s="2">
        <v>1000</v>
      </c>
      <c r="L2191" s="2">
        <v>30</v>
      </c>
      <c r="M2191" s="2">
        <v>0</v>
      </c>
      <c r="N2191" t="s">
        <v>5741</v>
      </c>
      <c r="O2191" t="s">
        <v>5739</v>
      </c>
      <c r="P2191" t="s">
        <v>5966</v>
      </c>
      <c r="Q2191" t="s">
        <v>5739</v>
      </c>
      <c r="S2191" t="s">
        <v>9590</v>
      </c>
      <c r="U2191" t="s">
        <v>45</v>
      </c>
      <c r="V2191" t="s">
        <v>46</v>
      </c>
      <c r="W2191" t="s">
        <v>5741</v>
      </c>
      <c r="X2191" t="s">
        <v>5739</v>
      </c>
      <c r="Y2191" t="s">
        <v>5743</v>
      </c>
      <c r="Z2191" t="s">
        <v>5744</v>
      </c>
      <c r="AA2191" t="s">
        <v>49</v>
      </c>
      <c r="AB2191" t="s">
        <v>50</v>
      </c>
      <c r="AC2191" s="2">
        <v>221671.29</v>
      </c>
      <c r="AD2191" t="s">
        <v>10382</v>
      </c>
      <c r="AE2191" t="s">
        <v>115</v>
      </c>
    </row>
    <row r="2192" spans="1:31" x14ac:dyDescent="0.25">
      <c r="A2192" t="s">
        <v>10383</v>
      </c>
      <c r="B2192" t="s">
        <v>10384</v>
      </c>
      <c r="C2192" t="s">
        <v>10384</v>
      </c>
      <c r="D2192" t="s">
        <v>125</v>
      </c>
      <c r="E2192" t="s">
        <v>126</v>
      </c>
      <c r="F2192" t="s">
        <v>10385</v>
      </c>
      <c r="G2192" t="s">
        <v>125</v>
      </c>
      <c r="H2192" t="s">
        <v>5930</v>
      </c>
      <c r="I2192" t="s">
        <v>10386</v>
      </c>
      <c r="J2192" s="2">
        <v>170499</v>
      </c>
      <c r="K2192" s="2">
        <v>700</v>
      </c>
      <c r="L2192" s="2">
        <v>15</v>
      </c>
      <c r="M2192" s="2">
        <v>0</v>
      </c>
      <c r="N2192" t="s">
        <v>5929</v>
      </c>
      <c r="O2192" t="s">
        <v>5930</v>
      </c>
      <c r="P2192" t="s">
        <v>1363</v>
      </c>
      <c r="Q2192" t="s">
        <v>1364</v>
      </c>
      <c r="S2192" t="s">
        <v>10387</v>
      </c>
      <c r="U2192" t="s">
        <v>45</v>
      </c>
      <c r="V2192" t="s">
        <v>46</v>
      </c>
      <c r="W2192" t="s">
        <v>5929</v>
      </c>
      <c r="X2192" t="s">
        <v>5930</v>
      </c>
      <c r="Y2192" t="s">
        <v>85</v>
      </c>
      <c r="Z2192" t="s">
        <v>86</v>
      </c>
      <c r="AA2192" t="s">
        <v>49</v>
      </c>
      <c r="AB2192" t="s">
        <v>50</v>
      </c>
      <c r="AC2192" s="2">
        <v>37764.089999999997</v>
      </c>
      <c r="AD2192" t="s">
        <v>10388</v>
      </c>
      <c r="AE2192" t="s">
        <v>52</v>
      </c>
    </row>
    <row r="2193" spans="1:31" x14ac:dyDescent="0.25">
      <c r="A2193" t="s">
        <v>10389</v>
      </c>
      <c r="B2193" t="s">
        <v>10390</v>
      </c>
      <c r="C2193" t="s">
        <v>10390</v>
      </c>
      <c r="D2193" t="s">
        <v>847</v>
      </c>
      <c r="E2193" t="s">
        <v>848</v>
      </c>
      <c r="F2193" t="s">
        <v>10391</v>
      </c>
      <c r="G2193" t="s">
        <v>847</v>
      </c>
      <c r="H2193" t="s">
        <v>81</v>
      </c>
      <c r="I2193" t="s">
        <v>10392</v>
      </c>
      <c r="J2193" s="2">
        <v>218170</v>
      </c>
      <c r="K2193" s="2">
        <v>1000</v>
      </c>
      <c r="L2193" s="2">
        <v>15</v>
      </c>
      <c r="M2193" s="2">
        <v>0</v>
      </c>
      <c r="N2193" t="s">
        <v>80</v>
      </c>
      <c r="O2193" t="s">
        <v>81</v>
      </c>
      <c r="P2193" t="s">
        <v>557</v>
      </c>
      <c r="Q2193" t="s">
        <v>558</v>
      </c>
      <c r="S2193" t="s">
        <v>10393</v>
      </c>
      <c r="U2193" t="s">
        <v>45</v>
      </c>
      <c r="V2193" t="s">
        <v>46</v>
      </c>
      <c r="W2193" t="s">
        <v>80</v>
      </c>
      <c r="X2193" t="s">
        <v>81</v>
      </c>
      <c r="Y2193" t="s">
        <v>85</v>
      </c>
      <c r="Z2193" t="s">
        <v>86</v>
      </c>
      <c r="AA2193" t="s">
        <v>49</v>
      </c>
      <c r="AB2193" t="s">
        <v>50</v>
      </c>
      <c r="AC2193" s="2">
        <v>166979.75</v>
      </c>
      <c r="AD2193" t="s">
        <v>10394</v>
      </c>
      <c r="AE2193" t="s">
        <v>52</v>
      </c>
    </row>
    <row r="2194" spans="1:31" hidden="1" x14ac:dyDescent="0.25">
      <c r="I2194" t="s">
        <v>10396</v>
      </c>
      <c r="J2194" s="2">
        <v>65451</v>
      </c>
      <c r="K2194" s="2">
        <v>300</v>
      </c>
      <c r="L2194" s="2">
        <v>21</v>
      </c>
      <c r="M2194" s="2">
        <v>0</v>
      </c>
      <c r="S2194" t="s">
        <v>10397</v>
      </c>
      <c r="U2194" t="s">
        <v>45</v>
      </c>
      <c r="V2194" t="s">
        <v>46</v>
      </c>
      <c r="W2194" t="s">
        <v>6940</v>
      </c>
      <c r="X2194" t="s">
        <v>6939</v>
      </c>
      <c r="Y2194" t="s">
        <v>79</v>
      </c>
      <c r="Z2194" t="s">
        <v>94</v>
      </c>
      <c r="AA2194" t="s">
        <v>49</v>
      </c>
      <c r="AC2194" s="2"/>
    </row>
    <row r="2195" spans="1:31" hidden="1" x14ac:dyDescent="0.25">
      <c r="A2195" t="s">
        <v>10398</v>
      </c>
      <c r="B2195" t="s">
        <v>10399</v>
      </c>
      <c r="C2195" t="s">
        <v>10399</v>
      </c>
      <c r="F2195" t="s">
        <v>10400</v>
      </c>
      <c r="H2195" t="s">
        <v>7518</v>
      </c>
      <c r="I2195" t="s">
        <v>10401</v>
      </c>
      <c r="J2195" s="2">
        <v>21817</v>
      </c>
      <c r="K2195" s="2">
        <v>100</v>
      </c>
      <c r="L2195" s="2">
        <v>15</v>
      </c>
      <c r="M2195" s="2">
        <v>0</v>
      </c>
      <c r="N2195" t="s">
        <v>7517</v>
      </c>
      <c r="O2195" t="s">
        <v>7518</v>
      </c>
      <c r="P2195" t="s">
        <v>1212</v>
      </c>
      <c r="Q2195" t="s">
        <v>1213</v>
      </c>
      <c r="S2195" t="s">
        <v>10402</v>
      </c>
      <c r="U2195" t="s">
        <v>45</v>
      </c>
      <c r="V2195" t="s">
        <v>46</v>
      </c>
      <c r="W2195" t="s">
        <v>7517</v>
      </c>
      <c r="X2195" t="s">
        <v>7518</v>
      </c>
      <c r="Y2195" t="s">
        <v>1215</v>
      </c>
      <c r="Z2195" t="s">
        <v>1216</v>
      </c>
      <c r="AA2195" t="s">
        <v>49</v>
      </c>
      <c r="AB2195" t="s">
        <v>50</v>
      </c>
      <c r="AC2195" s="2">
        <v>21817</v>
      </c>
      <c r="AD2195" t="s">
        <v>64</v>
      </c>
    </row>
    <row r="2196" spans="1:31" x14ac:dyDescent="0.25">
      <c r="A2196" t="s">
        <v>10403</v>
      </c>
      <c r="B2196" t="s">
        <v>10404</v>
      </c>
      <c r="C2196" t="s">
        <v>10404</v>
      </c>
      <c r="D2196" t="s">
        <v>569</v>
      </c>
      <c r="E2196" t="s">
        <v>570</v>
      </c>
      <c r="F2196" t="s">
        <v>10405</v>
      </c>
      <c r="G2196" t="s">
        <v>297</v>
      </c>
      <c r="H2196" t="s">
        <v>10141</v>
      </c>
      <c r="I2196" t="s">
        <v>10406</v>
      </c>
      <c r="J2196" s="2">
        <v>608925</v>
      </c>
      <c r="K2196" s="2">
        <v>2500</v>
      </c>
      <c r="L2196" s="2">
        <v>30</v>
      </c>
      <c r="M2196" s="2">
        <v>0</v>
      </c>
      <c r="N2196" t="s">
        <v>7936</v>
      </c>
      <c r="O2196" t="s">
        <v>7935</v>
      </c>
      <c r="P2196" t="s">
        <v>10093</v>
      </c>
      <c r="Q2196" t="s">
        <v>10094</v>
      </c>
      <c r="S2196" t="s">
        <v>10407</v>
      </c>
      <c r="U2196" t="s">
        <v>45</v>
      </c>
      <c r="V2196" t="s">
        <v>46</v>
      </c>
      <c r="W2196" t="s">
        <v>7936</v>
      </c>
      <c r="X2196" t="s">
        <v>7935</v>
      </c>
      <c r="Y2196" t="s">
        <v>7938</v>
      </c>
      <c r="Z2196" t="s">
        <v>7939</v>
      </c>
      <c r="AA2196" t="s">
        <v>49</v>
      </c>
      <c r="AB2196" t="s">
        <v>50</v>
      </c>
      <c r="AC2196" s="2">
        <v>211916.15</v>
      </c>
      <c r="AD2196" t="s">
        <v>10408</v>
      </c>
      <c r="AE2196" t="s">
        <v>52</v>
      </c>
    </row>
    <row r="2197" spans="1:31" hidden="1" x14ac:dyDescent="0.25">
      <c r="I2197" t="s">
        <v>10409</v>
      </c>
      <c r="J2197" s="2">
        <v>32726</v>
      </c>
      <c r="K2197" s="2">
        <v>150</v>
      </c>
      <c r="L2197" s="2">
        <v>21</v>
      </c>
      <c r="M2197" s="2">
        <v>0</v>
      </c>
      <c r="S2197" t="s">
        <v>10410</v>
      </c>
      <c r="U2197" t="s">
        <v>45</v>
      </c>
      <c r="V2197" t="s">
        <v>46</v>
      </c>
      <c r="W2197" t="s">
        <v>6985</v>
      </c>
      <c r="X2197" t="s">
        <v>6986</v>
      </c>
      <c r="Y2197" t="s">
        <v>2399</v>
      </c>
      <c r="Z2197" t="s">
        <v>2400</v>
      </c>
      <c r="AA2197" t="s">
        <v>49</v>
      </c>
      <c r="AC2197" s="2"/>
    </row>
    <row r="2198" spans="1:31" x14ac:dyDescent="0.25">
      <c r="A2198" t="s">
        <v>10411</v>
      </c>
      <c r="B2198" t="s">
        <v>10412</v>
      </c>
      <c r="C2198" t="s">
        <v>10412</v>
      </c>
      <c r="D2198" t="s">
        <v>1520</v>
      </c>
      <c r="E2198" t="s">
        <v>224</v>
      </c>
      <c r="F2198" t="s">
        <v>10413</v>
      </c>
      <c r="H2198" t="s">
        <v>9767</v>
      </c>
      <c r="I2198" t="s">
        <v>10414</v>
      </c>
      <c r="J2198" s="2">
        <v>21817</v>
      </c>
      <c r="K2198" s="2">
        <v>100</v>
      </c>
      <c r="L2198" s="2">
        <v>1</v>
      </c>
      <c r="M2198" s="2">
        <v>0</v>
      </c>
      <c r="N2198" t="s">
        <v>9769</v>
      </c>
      <c r="O2198" t="s">
        <v>9767</v>
      </c>
      <c r="P2198" t="s">
        <v>5966</v>
      </c>
      <c r="Q2198" t="s">
        <v>5739</v>
      </c>
      <c r="S2198" t="s">
        <v>10415</v>
      </c>
      <c r="U2198" t="s">
        <v>45</v>
      </c>
      <c r="V2198" t="s">
        <v>46</v>
      </c>
      <c r="W2198" t="s">
        <v>9769</v>
      </c>
      <c r="X2198" t="s">
        <v>9767</v>
      </c>
      <c r="Y2198" t="s">
        <v>5743</v>
      </c>
      <c r="Z2198" t="s">
        <v>5744</v>
      </c>
      <c r="AA2198" t="s">
        <v>49</v>
      </c>
      <c r="AB2198" t="s">
        <v>50</v>
      </c>
      <c r="AC2198" s="2">
        <v>21817</v>
      </c>
      <c r="AD2198" t="s">
        <v>64</v>
      </c>
    </row>
    <row r="2199" spans="1:31" x14ac:dyDescent="0.25">
      <c r="A2199" t="s">
        <v>10416</v>
      </c>
      <c r="B2199" t="s">
        <v>10417</v>
      </c>
      <c r="C2199" t="s">
        <v>10417</v>
      </c>
      <c r="D2199" t="s">
        <v>125</v>
      </c>
      <c r="E2199" t="s">
        <v>126</v>
      </c>
      <c r="F2199" t="s">
        <v>10418</v>
      </c>
      <c r="G2199" t="s">
        <v>153</v>
      </c>
      <c r="H2199" t="s">
        <v>10155</v>
      </c>
      <c r="I2199" t="s">
        <v>10419</v>
      </c>
      <c r="J2199" s="2">
        <v>659610</v>
      </c>
      <c r="K2199" s="2">
        <v>3000</v>
      </c>
      <c r="L2199" s="2">
        <v>30</v>
      </c>
      <c r="M2199" s="2">
        <v>0</v>
      </c>
      <c r="N2199" t="s">
        <v>10157</v>
      </c>
      <c r="O2199" t="s">
        <v>10155</v>
      </c>
      <c r="P2199" t="s">
        <v>10093</v>
      </c>
      <c r="Q2199" t="s">
        <v>10094</v>
      </c>
      <c r="S2199" t="s">
        <v>10420</v>
      </c>
      <c r="U2199" t="s">
        <v>45</v>
      </c>
      <c r="V2199" t="s">
        <v>46</v>
      </c>
      <c r="W2199" t="s">
        <v>10157</v>
      </c>
      <c r="X2199" t="s">
        <v>10155</v>
      </c>
      <c r="Y2199" t="s">
        <v>7938</v>
      </c>
      <c r="Z2199" t="s">
        <v>7939</v>
      </c>
      <c r="AA2199" t="s">
        <v>49</v>
      </c>
      <c r="AB2199" t="s">
        <v>50</v>
      </c>
      <c r="AC2199" s="2">
        <v>413860.99</v>
      </c>
      <c r="AD2199" t="s">
        <v>10421</v>
      </c>
      <c r="AE2199" t="s">
        <v>52</v>
      </c>
    </row>
    <row r="2200" spans="1:31" x14ac:dyDescent="0.25">
      <c r="A2200" t="s">
        <v>10422</v>
      </c>
      <c r="B2200" t="s">
        <v>10423</v>
      </c>
      <c r="C2200" t="s">
        <v>10423</v>
      </c>
      <c r="D2200" t="s">
        <v>35</v>
      </c>
      <c r="E2200" t="s">
        <v>36</v>
      </c>
      <c r="F2200" t="s">
        <v>10424</v>
      </c>
      <c r="G2200" t="s">
        <v>153</v>
      </c>
      <c r="H2200" t="s">
        <v>119</v>
      </c>
      <c r="I2200" t="s">
        <v>739</v>
      </c>
      <c r="J2200" s="2">
        <v>1090850</v>
      </c>
      <c r="K2200" s="2">
        <v>5000</v>
      </c>
      <c r="L2200" s="2">
        <v>21</v>
      </c>
      <c r="M2200" s="2">
        <v>0</v>
      </c>
      <c r="N2200" t="s">
        <v>118</v>
      </c>
      <c r="O2200" t="s">
        <v>119</v>
      </c>
      <c r="P2200" t="s">
        <v>120</v>
      </c>
      <c r="Q2200" t="s">
        <v>121</v>
      </c>
      <c r="S2200" t="s">
        <v>10425</v>
      </c>
      <c r="U2200" t="s">
        <v>45</v>
      </c>
      <c r="V2200" t="s">
        <v>46</v>
      </c>
      <c r="W2200" t="s">
        <v>118</v>
      </c>
      <c r="X2200" t="s">
        <v>119</v>
      </c>
      <c r="Y2200" t="s">
        <v>121</v>
      </c>
      <c r="Z2200" t="s">
        <v>94</v>
      </c>
      <c r="AA2200" t="s">
        <v>49</v>
      </c>
      <c r="AB2200" t="s">
        <v>50</v>
      </c>
      <c r="AC2200" s="2">
        <v>681858.82</v>
      </c>
      <c r="AD2200" t="s">
        <v>10426</v>
      </c>
      <c r="AE2200" t="s">
        <v>52</v>
      </c>
    </row>
    <row r="2201" spans="1:31" x14ac:dyDescent="0.25">
      <c r="A2201" t="s">
        <v>10427</v>
      </c>
      <c r="B2201" t="s">
        <v>10428</v>
      </c>
      <c r="C2201" t="s">
        <v>10428</v>
      </c>
      <c r="D2201" t="s">
        <v>569</v>
      </c>
      <c r="E2201" t="s">
        <v>570</v>
      </c>
      <c r="F2201" t="s">
        <v>10429</v>
      </c>
      <c r="G2201" t="s">
        <v>569</v>
      </c>
      <c r="H2201" t="s">
        <v>41</v>
      </c>
      <c r="I2201" t="s">
        <v>10430</v>
      </c>
      <c r="J2201" s="2">
        <v>103918</v>
      </c>
      <c r="K2201" s="2">
        <v>423</v>
      </c>
      <c r="L2201" s="2">
        <v>7</v>
      </c>
      <c r="M2201" s="2">
        <v>0</v>
      </c>
      <c r="N2201" t="s">
        <v>40</v>
      </c>
      <c r="O2201" t="s">
        <v>41</v>
      </c>
      <c r="P2201" t="s">
        <v>61</v>
      </c>
      <c r="Q2201" t="s">
        <v>62</v>
      </c>
      <c r="S2201" t="s">
        <v>10431</v>
      </c>
      <c r="U2201" t="s">
        <v>45</v>
      </c>
      <c r="V2201" t="s">
        <v>46</v>
      </c>
      <c r="W2201" t="s">
        <v>40</v>
      </c>
      <c r="X2201" t="s">
        <v>41</v>
      </c>
      <c r="Y2201" t="s">
        <v>47</v>
      </c>
      <c r="Z2201" t="s">
        <v>48</v>
      </c>
      <c r="AA2201" t="s">
        <v>49</v>
      </c>
      <c r="AB2201" t="s">
        <v>50</v>
      </c>
      <c r="AC2201" s="2">
        <v>100804.11</v>
      </c>
      <c r="AD2201" t="s">
        <v>10432</v>
      </c>
      <c r="AE2201" t="s">
        <v>115</v>
      </c>
    </row>
    <row r="2202" spans="1:31" hidden="1" x14ac:dyDescent="0.25">
      <c r="A2202" t="s">
        <v>10433</v>
      </c>
      <c r="B2202" t="s">
        <v>10434</v>
      </c>
      <c r="C2202" t="s">
        <v>10434</v>
      </c>
      <c r="F2202" t="s">
        <v>10435</v>
      </c>
      <c r="H2202" t="s">
        <v>10436</v>
      </c>
      <c r="I2202" t="s">
        <v>10437</v>
      </c>
      <c r="J2202" s="2">
        <v>218170</v>
      </c>
      <c r="K2202" s="2">
        <v>1000</v>
      </c>
      <c r="L2202" s="2">
        <v>15</v>
      </c>
      <c r="M2202" s="2">
        <v>0</v>
      </c>
      <c r="N2202" t="s">
        <v>10438</v>
      </c>
      <c r="O2202" t="s">
        <v>10436</v>
      </c>
      <c r="P2202" t="s">
        <v>6143</v>
      </c>
      <c r="Q2202" t="s">
        <v>6144</v>
      </c>
      <c r="S2202" t="s">
        <v>10439</v>
      </c>
      <c r="U2202" t="s">
        <v>45</v>
      </c>
      <c r="V2202" t="s">
        <v>46</v>
      </c>
      <c r="W2202" t="s">
        <v>10438</v>
      </c>
      <c r="X2202" t="s">
        <v>10436</v>
      </c>
      <c r="Y2202" t="s">
        <v>7493</v>
      </c>
      <c r="Z2202" t="s">
        <v>7494</v>
      </c>
      <c r="AA2202" t="s">
        <v>49</v>
      </c>
      <c r="AB2202" t="s">
        <v>50</v>
      </c>
      <c r="AC2202" s="2">
        <v>218170</v>
      </c>
      <c r="AD2202" t="s">
        <v>64</v>
      </c>
    </row>
    <row r="2203" spans="1:31" hidden="1" x14ac:dyDescent="0.25">
      <c r="A2203" t="s">
        <v>10440</v>
      </c>
      <c r="B2203" t="s">
        <v>10441</v>
      </c>
      <c r="C2203" t="s">
        <v>10441</v>
      </c>
      <c r="F2203" t="s">
        <v>10442</v>
      </c>
      <c r="H2203" t="s">
        <v>10436</v>
      </c>
      <c r="I2203" t="s">
        <v>10443</v>
      </c>
      <c r="J2203" s="2">
        <v>218170</v>
      </c>
      <c r="K2203" s="2">
        <v>1000</v>
      </c>
      <c r="L2203" s="2">
        <v>15</v>
      </c>
      <c r="M2203" s="2">
        <v>0</v>
      </c>
      <c r="N2203" t="s">
        <v>10438</v>
      </c>
      <c r="O2203" t="s">
        <v>10436</v>
      </c>
      <c r="P2203" t="s">
        <v>6143</v>
      </c>
      <c r="Q2203" t="s">
        <v>6144</v>
      </c>
      <c r="S2203" t="s">
        <v>10444</v>
      </c>
      <c r="U2203" t="s">
        <v>45</v>
      </c>
      <c r="V2203" t="s">
        <v>46</v>
      </c>
      <c r="W2203" t="s">
        <v>10438</v>
      </c>
      <c r="X2203" t="s">
        <v>10436</v>
      </c>
      <c r="Y2203" t="s">
        <v>7493</v>
      </c>
      <c r="Z2203" t="s">
        <v>7494</v>
      </c>
      <c r="AA2203" t="s">
        <v>49</v>
      </c>
      <c r="AB2203" t="s">
        <v>50</v>
      </c>
      <c r="AC2203" s="2">
        <v>218170</v>
      </c>
      <c r="AD2203" t="s">
        <v>64</v>
      </c>
    </row>
    <row r="2204" spans="1:31" hidden="1" x14ac:dyDescent="0.25">
      <c r="A2204" t="s">
        <v>10445</v>
      </c>
      <c r="B2204" t="s">
        <v>10446</v>
      </c>
      <c r="C2204" t="s">
        <v>10446</v>
      </c>
      <c r="F2204" t="s">
        <v>10447</v>
      </c>
      <c r="H2204" t="s">
        <v>10016</v>
      </c>
      <c r="J2204" s="2">
        <v>109085</v>
      </c>
      <c r="K2204" s="2">
        <v>500</v>
      </c>
      <c r="L2204" s="2">
        <v>21</v>
      </c>
      <c r="M2204" s="2">
        <v>0</v>
      </c>
      <c r="N2204" t="s">
        <v>5741</v>
      </c>
      <c r="O2204" t="s">
        <v>5739</v>
      </c>
      <c r="P2204" t="s">
        <v>5966</v>
      </c>
      <c r="Q2204" t="s">
        <v>5739</v>
      </c>
      <c r="S2204" t="s">
        <v>10448</v>
      </c>
      <c r="U2204" t="s">
        <v>45</v>
      </c>
      <c r="V2204" t="s">
        <v>46</v>
      </c>
      <c r="W2204" t="s">
        <v>5741</v>
      </c>
      <c r="X2204" t="s">
        <v>5739</v>
      </c>
      <c r="Y2204" t="s">
        <v>5743</v>
      </c>
      <c r="Z2204" t="s">
        <v>5744</v>
      </c>
      <c r="AA2204" t="s">
        <v>49</v>
      </c>
      <c r="AB2204" t="s">
        <v>50</v>
      </c>
      <c r="AC2204" s="2">
        <v>109085</v>
      </c>
      <c r="AD2204" t="s">
        <v>64</v>
      </c>
    </row>
    <row r="2205" spans="1:31" x14ac:dyDescent="0.25">
      <c r="A2205" t="s">
        <v>10449</v>
      </c>
      <c r="B2205" t="s">
        <v>10450</v>
      </c>
      <c r="C2205" t="s">
        <v>10450</v>
      </c>
      <c r="D2205" t="s">
        <v>35</v>
      </c>
      <c r="E2205" t="s">
        <v>36</v>
      </c>
      <c r="F2205" t="s">
        <v>10451</v>
      </c>
      <c r="G2205" t="s">
        <v>35</v>
      </c>
      <c r="H2205" t="s">
        <v>1360</v>
      </c>
      <c r="I2205" t="s">
        <v>10452</v>
      </c>
      <c r="J2205" s="2">
        <v>420233</v>
      </c>
      <c r="K2205" s="2">
        <v>1926.17</v>
      </c>
      <c r="L2205" s="2">
        <v>15</v>
      </c>
      <c r="M2205" s="2">
        <v>0</v>
      </c>
      <c r="N2205" t="s">
        <v>1362</v>
      </c>
      <c r="O2205" t="s">
        <v>1360</v>
      </c>
      <c r="P2205" t="s">
        <v>1421</v>
      </c>
      <c r="Q2205" t="s">
        <v>1422</v>
      </c>
      <c r="S2205" t="s">
        <v>10453</v>
      </c>
      <c r="U2205" t="s">
        <v>45</v>
      </c>
      <c r="V2205" t="s">
        <v>46</v>
      </c>
      <c r="W2205" t="s">
        <v>1362</v>
      </c>
      <c r="X2205" t="s">
        <v>1360</v>
      </c>
      <c r="Y2205" t="s">
        <v>1215</v>
      </c>
      <c r="Z2205" t="s">
        <v>1216</v>
      </c>
      <c r="AA2205" t="s">
        <v>49</v>
      </c>
      <c r="AB2205" t="s">
        <v>50</v>
      </c>
      <c r="AC2205" s="2">
        <v>283877.81</v>
      </c>
      <c r="AD2205" t="s">
        <v>10454</v>
      </c>
      <c r="AE2205" t="s">
        <v>52</v>
      </c>
    </row>
    <row r="2206" spans="1:31" x14ac:dyDescent="0.25">
      <c r="A2206" t="s">
        <v>10455</v>
      </c>
      <c r="B2206" t="s">
        <v>10456</v>
      </c>
      <c r="C2206" t="s">
        <v>10456</v>
      </c>
      <c r="D2206" t="s">
        <v>847</v>
      </c>
      <c r="E2206" t="s">
        <v>848</v>
      </c>
      <c r="F2206" t="s">
        <v>10457</v>
      </c>
      <c r="G2206" t="s">
        <v>847</v>
      </c>
      <c r="H2206" t="s">
        <v>10458</v>
      </c>
      <c r="I2206" t="s">
        <v>10459</v>
      </c>
      <c r="J2206" s="2">
        <v>1090850</v>
      </c>
      <c r="K2206" s="2">
        <v>5000</v>
      </c>
      <c r="L2206" s="2">
        <v>30</v>
      </c>
      <c r="M2206" s="2">
        <v>0</v>
      </c>
      <c r="N2206" t="s">
        <v>10460</v>
      </c>
      <c r="O2206" t="s">
        <v>10458</v>
      </c>
      <c r="P2206" t="s">
        <v>10093</v>
      </c>
      <c r="Q2206" t="s">
        <v>10094</v>
      </c>
      <c r="S2206" t="s">
        <v>10461</v>
      </c>
      <c r="U2206" t="s">
        <v>45</v>
      </c>
      <c r="V2206" t="s">
        <v>46</v>
      </c>
      <c r="W2206" t="s">
        <v>10460</v>
      </c>
      <c r="X2206" t="s">
        <v>10458</v>
      </c>
      <c r="Y2206" t="s">
        <v>7938</v>
      </c>
      <c r="Z2206" t="s">
        <v>7939</v>
      </c>
      <c r="AA2206" t="s">
        <v>49</v>
      </c>
      <c r="AB2206" t="s">
        <v>50</v>
      </c>
      <c r="AC2206" s="2">
        <v>377475.34</v>
      </c>
      <c r="AD2206" t="s">
        <v>10462</v>
      </c>
      <c r="AE2206" t="s">
        <v>52</v>
      </c>
    </row>
    <row r="2207" spans="1:31" x14ac:dyDescent="0.25">
      <c r="A2207" t="s">
        <v>10463</v>
      </c>
      <c r="B2207" t="s">
        <v>10464</v>
      </c>
      <c r="C2207" t="s">
        <v>10464</v>
      </c>
      <c r="D2207" t="s">
        <v>569</v>
      </c>
      <c r="E2207" t="s">
        <v>570</v>
      </c>
      <c r="F2207" t="s">
        <v>10465</v>
      </c>
      <c r="G2207" t="s">
        <v>1865</v>
      </c>
      <c r="H2207" t="s">
        <v>10141</v>
      </c>
      <c r="I2207" t="s">
        <v>10466</v>
      </c>
      <c r="J2207" s="2">
        <v>436340</v>
      </c>
      <c r="K2207" s="2">
        <v>2000</v>
      </c>
      <c r="L2207" s="2">
        <v>30</v>
      </c>
      <c r="M2207" s="2">
        <v>0</v>
      </c>
      <c r="N2207" t="s">
        <v>7936</v>
      </c>
      <c r="O2207" t="s">
        <v>7935</v>
      </c>
      <c r="P2207" t="s">
        <v>10093</v>
      </c>
      <c r="Q2207" t="s">
        <v>10094</v>
      </c>
      <c r="S2207" t="s">
        <v>10467</v>
      </c>
      <c r="U2207" t="s">
        <v>45</v>
      </c>
      <c r="V2207" t="s">
        <v>46</v>
      </c>
      <c r="W2207" t="s">
        <v>7936</v>
      </c>
      <c r="X2207" t="s">
        <v>7935</v>
      </c>
      <c r="Y2207" t="s">
        <v>7938</v>
      </c>
      <c r="Z2207" t="s">
        <v>7939</v>
      </c>
      <c r="AA2207" t="s">
        <v>49</v>
      </c>
      <c r="AB2207" t="s">
        <v>50</v>
      </c>
      <c r="AC2207" s="2">
        <v>436340</v>
      </c>
      <c r="AD2207" t="s">
        <v>64</v>
      </c>
    </row>
    <row r="2208" spans="1:31" x14ac:dyDescent="0.25">
      <c r="A2208" t="s">
        <v>10468</v>
      </c>
      <c r="B2208" t="s">
        <v>10469</v>
      </c>
      <c r="C2208" t="s">
        <v>10469</v>
      </c>
      <c r="D2208" t="s">
        <v>35</v>
      </c>
      <c r="E2208" t="s">
        <v>36</v>
      </c>
      <c r="F2208" t="s">
        <v>10470</v>
      </c>
      <c r="G2208" t="s">
        <v>153</v>
      </c>
      <c r="H2208" t="s">
        <v>7670</v>
      </c>
      <c r="J2208" s="2">
        <v>218170</v>
      </c>
      <c r="K2208" s="2">
        <v>1000</v>
      </c>
      <c r="L2208" s="2">
        <v>21</v>
      </c>
      <c r="M2208" s="2">
        <v>0</v>
      </c>
      <c r="N2208" t="s">
        <v>7669</v>
      </c>
      <c r="O2208" t="s">
        <v>7670</v>
      </c>
      <c r="P2208" t="s">
        <v>5966</v>
      </c>
      <c r="Q2208" t="s">
        <v>5739</v>
      </c>
      <c r="S2208" t="s">
        <v>10471</v>
      </c>
      <c r="U2208" t="s">
        <v>45</v>
      </c>
      <c r="V2208" t="s">
        <v>46</v>
      </c>
      <c r="W2208" t="s">
        <v>7669</v>
      </c>
      <c r="X2208" t="s">
        <v>7670</v>
      </c>
      <c r="Y2208" t="s">
        <v>5743</v>
      </c>
      <c r="Z2208" t="s">
        <v>5744</v>
      </c>
      <c r="AA2208" t="s">
        <v>49</v>
      </c>
      <c r="AB2208" t="s">
        <v>50</v>
      </c>
      <c r="AC2208" s="2">
        <v>215383.64</v>
      </c>
      <c r="AD2208" t="s">
        <v>10472</v>
      </c>
      <c r="AE2208" t="s">
        <v>52</v>
      </c>
    </row>
    <row r="2209" spans="1:31" x14ac:dyDescent="0.25">
      <c r="A2209" t="s">
        <v>10473</v>
      </c>
      <c r="B2209" t="s">
        <v>10474</v>
      </c>
      <c r="C2209" t="s">
        <v>10474</v>
      </c>
      <c r="D2209" t="s">
        <v>125</v>
      </c>
      <c r="E2209" t="s">
        <v>126</v>
      </c>
      <c r="F2209" t="s">
        <v>10475</v>
      </c>
      <c r="G2209" t="s">
        <v>569</v>
      </c>
      <c r="H2209" t="s">
        <v>1062</v>
      </c>
      <c r="I2209" t="s">
        <v>10476</v>
      </c>
      <c r="J2209" s="2">
        <v>327255</v>
      </c>
      <c r="K2209" s="2">
        <v>1500</v>
      </c>
      <c r="L2209" s="2">
        <v>21</v>
      </c>
      <c r="M2209" s="2">
        <v>0</v>
      </c>
      <c r="N2209" t="s">
        <v>1064</v>
      </c>
      <c r="O2209" t="s">
        <v>1062</v>
      </c>
      <c r="P2209" t="s">
        <v>304</v>
      </c>
      <c r="Q2209" t="s">
        <v>72</v>
      </c>
      <c r="S2209" t="s">
        <v>10477</v>
      </c>
      <c r="U2209" t="s">
        <v>45</v>
      </c>
      <c r="V2209" t="s">
        <v>46</v>
      </c>
      <c r="W2209" t="s">
        <v>1064</v>
      </c>
      <c r="X2209" t="s">
        <v>1062</v>
      </c>
      <c r="Y2209" t="s">
        <v>72</v>
      </c>
      <c r="Z2209" t="s">
        <v>68</v>
      </c>
      <c r="AA2209" t="s">
        <v>49</v>
      </c>
      <c r="AB2209" t="s">
        <v>50</v>
      </c>
      <c r="AC2209" s="2">
        <v>245179.16</v>
      </c>
      <c r="AD2209" t="s">
        <v>10478</v>
      </c>
      <c r="AE2209" t="s">
        <v>52</v>
      </c>
    </row>
    <row r="2210" spans="1:31" x14ac:dyDescent="0.25">
      <c r="A2210" t="s">
        <v>10479</v>
      </c>
      <c r="B2210" t="s">
        <v>10480</v>
      </c>
      <c r="C2210" t="s">
        <v>10480</v>
      </c>
      <c r="D2210" t="s">
        <v>2118</v>
      </c>
      <c r="E2210" t="s">
        <v>871</v>
      </c>
      <c r="F2210" t="s">
        <v>10481</v>
      </c>
      <c r="G2210" t="s">
        <v>1520</v>
      </c>
      <c r="H2210" t="s">
        <v>303</v>
      </c>
      <c r="I2210" t="s">
        <v>10482</v>
      </c>
      <c r="J2210" s="2">
        <v>43634</v>
      </c>
      <c r="K2210" s="2">
        <v>200</v>
      </c>
      <c r="L2210" s="2">
        <v>7</v>
      </c>
      <c r="M2210" s="2">
        <v>0</v>
      </c>
      <c r="N2210" t="s">
        <v>302</v>
      </c>
      <c r="O2210" t="s">
        <v>303</v>
      </c>
      <c r="P2210" t="s">
        <v>304</v>
      </c>
      <c r="Q2210" t="s">
        <v>72</v>
      </c>
      <c r="S2210" t="s">
        <v>10483</v>
      </c>
      <c r="U2210" t="s">
        <v>45</v>
      </c>
      <c r="V2210" t="s">
        <v>46</v>
      </c>
      <c r="W2210" t="s">
        <v>302</v>
      </c>
      <c r="X2210" t="s">
        <v>303</v>
      </c>
      <c r="Y2210" t="s">
        <v>72</v>
      </c>
      <c r="Z2210" t="s">
        <v>68</v>
      </c>
      <c r="AA2210" t="s">
        <v>49</v>
      </c>
      <c r="AB2210" t="s">
        <v>50</v>
      </c>
      <c r="AC2210" s="2">
        <v>40423.879999999997</v>
      </c>
      <c r="AD2210" t="s">
        <v>10484</v>
      </c>
    </row>
    <row r="2211" spans="1:31" x14ac:dyDescent="0.25">
      <c r="A2211" t="s">
        <v>10485</v>
      </c>
      <c r="B2211" t="s">
        <v>10486</v>
      </c>
      <c r="C2211" t="s">
        <v>10486</v>
      </c>
      <c r="D2211" t="s">
        <v>153</v>
      </c>
      <c r="E2211" t="s">
        <v>272</v>
      </c>
      <c r="F2211" t="s">
        <v>10487</v>
      </c>
      <c r="G2211" t="s">
        <v>153</v>
      </c>
      <c r="H2211" t="s">
        <v>10141</v>
      </c>
      <c r="I2211" t="s">
        <v>10488</v>
      </c>
      <c r="J2211" s="2">
        <v>316043</v>
      </c>
      <c r="K2211" s="2">
        <v>1300</v>
      </c>
      <c r="L2211" s="2">
        <v>30</v>
      </c>
      <c r="M2211" s="2">
        <v>0</v>
      </c>
      <c r="N2211" t="s">
        <v>7936</v>
      </c>
      <c r="O2211" t="s">
        <v>7935</v>
      </c>
      <c r="P2211" t="s">
        <v>10093</v>
      </c>
      <c r="Q2211" t="s">
        <v>10094</v>
      </c>
      <c r="S2211" t="s">
        <v>10489</v>
      </c>
      <c r="U2211" t="s">
        <v>45</v>
      </c>
      <c r="V2211" t="s">
        <v>46</v>
      </c>
      <c r="W2211" t="s">
        <v>7936</v>
      </c>
      <c r="X2211" t="s">
        <v>7935</v>
      </c>
      <c r="Y2211" t="s">
        <v>7938</v>
      </c>
      <c r="Z2211" t="s">
        <v>7939</v>
      </c>
      <c r="AA2211" t="s">
        <v>49</v>
      </c>
      <c r="AB2211" t="s">
        <v>50</v>
      </c>
      <c r="AC2211" s="2">
        <v>76585.119999999995</v>
      </c>
      <c r="AD2211" t="s">
        <v>10490</v>
      </c>
      <c r="AE2211" t="s">
        <v>52</v>
      </c>
    </row>
    <row r="2212" spans="1:31" x14ac:dyDescent="0.25">
      <c r="A2212" t="s">
        <v>10491</v>
      </c>
      <c r="B2212" t="s">
        <v>10492</v>
      </c>
      <c r="C2212" t="s">
        <v>10492</v>
      </c>
      <c r="D2212" t="s">
        <v>125</v>
      </c>
      <c r="E2212" t="s">
        <v>126</v>
      </c>
      <c r="F2212" t="s">
        <v>10493</v>
      </c>
      <c r="G2212" t="s">
        <v>125</v>
      </c>
      <c r="H2212" t="s">
        <v>10155</v>
      </c>
      <c r="I2212" t="s">
        <v>10494</v>
      </c>
      <c r="J2212" s="2">
        <v>2198700</v>
      </c>
      <c r="K2212" s="2">
        <v>10000</v>
      </c>
      <c r="L2212" s="2">
        <v>30</v>
      </c>
      <c r="M2212" s="2">
        <v>0</v>
      </c>
      <c r="N2212" t="s">
        <v>10157</v>
      </c>
      <c r="O2212" t="s">
        <v>10155</v>
      </c>
      <c r="P2212" t="s">
        <v>10093</v>
      </c>
      <c r="Q2212" t="s">
        <v>10094</v>
      </c>
      <c r="S2212" t="s">
        <v>10495</v>
      </c>
      <c r="U2212" t="s">
        <v>45</v>
      </c>
      <c r="V2212" t="s">
        <v>46</v>
      </c>
      <c r="W2212" t="s">
        <v>10157</v>
      </c>
      <c r="X2212" t="s">
        <v>10155</v>
      </c>
      <c r="Y2212" t="s">
        <v>7938</v>
      </c>
      <c r="Z2212" t="s">
        <v>7939</v>
      </c>
      <c r="AA2212" t="s">
        <v>49</v>
      </c>
      <c r="AB2212" t="s">
        <v>50</v>
      </c>
      <c r="AC2212" s="2">
        <v>2094266.38</v>
      </c>
      <c r="AD2212" t="s">
        <v>10496</v>
      </c>
      <c r="AE2212" t="s">
        <v>52</v>
      </c>
    </row>
    <row r="2213" spans="1:31" x14ac:dyDescent="0.25">
      <c r="A2213" t="s">
        <v>10497</v>
      </c>
      <c r="B2213" t="s">
        <v>10498</v>
      </c>
      <c r="C2213" t="s">
        <v>10498</v>
      </c>
      <c r="D2213" t="s">
        <v>297</v>
      </c>
      <c r="E2213" t="s">
        <v>167</v>
      </c>
      <c r="F2213" t="s">
        <v>10499</v>
      </c>
      <c r="G2213" t="s">
        <v>297</v>
      </c>
      <c r="H2213" t="s">
        <v>7938</v>
      </c>
      <c r="I2213" t="s">
        <v>10500</v>
      </c>
      <c r="J2213" s="2">
        <v>1753704</v>
      </c>
      <c r="K2213" s="2">
        <v>7200</v>
      </c>
      <c r="L2213" s="2">
        <v>30</v>
      </c>
      <c r="M2213" s="2">
        <v>0</v>
      </c>
      <c r="N2213" t="s">
        <v>10501</v>
      </c>
      <c r="O2213" t="s">
        <v>10502</v>
      </c>
      <c r="P2213" t="s">
        <v>10093</v>
      </c>
      <c r="Q2213" t="s">
        <v>10094</v>
      </c>
      <c r="S2213" t="s">
        <v>10503</v>
      </c>
      <c r="U2213" t="s">
        <v>45</v>
      </c>
      <c r="V2213" t="s">
        <v>46</v>
      </c>
      <c r="W2213" t="s">
        <v>10501</v>
      </c>
      <c r="X2213" t="s">
        <v>10502</v>
      </c>
      <c r="Y2213" t="s">
        <v>7938</v>
      </c>
      <c r="Z2213" t="s">
        <v>7939</v>
      </c>
      <c r="AA2213" t="s">
        <v>49</v>
      </c>
      <c r="AB2213" t="s">
        <v>50</v>
      </c>
      <c r="AC2213" s="2">
        <v>175936.22</v>
      </c>
      <c r="AD2213" t="s">
        <v>10504</v>
      </c>
      <c r="AE2213" t="s">
        <v>115</v>
      </c>
    </row>
    <row r="2214" spans="1:31" hidden="1" x14ac:dyDescent="0.25">
      <c r="I2214" t="s">
        <v>2648</v>
      </c>
      <c r="J2214" s="2">
        <v>21817</v>
      </c>
      <c r="K2214" s="2">
        <v>100</v>
      </c>
      <c r="L2214" s="2">
        <v>1</v>
      </c>
      <c r="M2214" s="2">
        <v>0</v>
      </c>
      <c r="S2214" t="s">
        <v>10505</v>
      </c>
      <c r="U2214" t="s">
        <v>45</v>
      </c>
      <c r="V2214" t="s">
        <v>46</v>
      </c>
      <c r="W2214" t="s">
        <v>3121</v>
      </c>
      <c r="X2214" t="s">
        <v>3124</v>
      </c>
      <c r="Y2214" t="s">
        <v>1215</v>
      </c>
      <c r="Z2214" t="s">
        <v>1216</v>
      </c>
      <c r="AA2214" t="s">
        <v>49</v>
      </c>
      <c r="AC2214" s="2"/>
    </row>
    <row r="2215" spans="1:31" hidden="1" x14ac:dyDescent="0.25">
      <c r="A2215" s="10" t="s">
        <v>10506</v>
      </c>
      <c r="B2215" s="10" t="s">
        <v>10507</v>
      </c>
      <c r="C2215" t="s">
        <v>10507</v>
      </c>
      <c r="D2215" t="s">
        <v>2389</v>
      </c>
      <c r="E2215" t="s">
        <v>134</v>
      </c>
      <c r="F2215" t="s">
        <v>10508</v>
      </c>
      <c r="H2215" t="s">
        <v>10509</v>
      </c>
      <c r="J2215" s="2">
        <v>21817</v>
      </c>
      <c r="K2215" s="2">
        <v>100</v>
      </c>
      <c r="L2215" s="2">
        <v>1</v>
      </c>
      <c r="M2215" s="2">
        <v>0</v>
      </c>
      <c r="N2215" t="s">
        <v>40</v>
      </c>
      <c r="O2215" t="s">
        <v>41</v>
      </c>
      <c r="P2215" t="s">
        <v>42</v>
      </c>
      <c r="Q2215" t="s">
        <v>43</v>
      </c>
      <c r="U2215" t="s">
        <v>45</v>
      </c>
      <c r="V2215" t="s">
        <v>46</v>
      </c>
      <c r="W2215" t="s">
        <v>40</v>
      </c>
      <c r="X2215" t="s">
        <v>41</v>
      </c>
      <c r="Y2215" t="s">
        <v>47</v>
      </c>
      <c r="Z2215" t="s">
        <v>48</v>
      </c>
      <c r="AA2215" t="s">
        <v>141</v>
      </c>
      <c r="AB2215" t="s">
        <v>142</v>
      </c>
      <c r="AC2215" s="2">
        <v>21817</v>
      </c>
      <c r="AD2215" t="s">
        <v>64</v>
      </c>
    </row>
    <row r="2216" spans="1:31" hidden="1" x14ac:dyDescent="0.25">
      <c r="A2216" t="s">
        <v>10510</v>
      </c>
      <c r="B2216" t="s">
        <v>10511</v>
      </c>
      <c r="C2216" t="s">
        <v>10511</v>
      </c>
      <c r="F2216" t="s">
        <v>10512</v>
      </c>
      <c r="H2216" t="s">
        <v>6058</v>
      </c>
      <c r="I2216" t="s">
        <v>10513</v>
      </c>
      <c r="J2216" s="2">
        <v>1000</v>
      </c>
      <c r="K2216" s="2">
        <v>0</v>
      </c>
      <c r="L2216" s="2">
        <v>1</v>
      </c>
      <c r="M2216" s="2">
        <v>0</v>
      </c>
      <c r="N2216" t="s">
        <v>6057</v>
      </c>
      <c r="O2216" t="s">
        <v>6058</v>
      </c>
      <c r="P2216" t="s">
        <v>42</v>
      </c>
      <c r="Q2216" t="s">
        <v>43</v>
      </c>
      <c r="S2216" t="s">
        <v>10514</v>
      </c>
      <c r="U2216" t="s">
        <v>45</v>
      </c>
      <c r="V2216" t="s">
        <v>46</v>
      </c>
      <c r="W2216" t="s">
        <v>6057</v>
      </c>
      <c r="X2216" t="s">
        <v>6058</v>
      </c>
      <c r="Y2216" t="s">
        <v>5743</v>
      </c>
      <c r="Z2216" t="s">
        <v>5744</v>
      </c>
      <c r="AA2216" t="s">
        <v>49</v>
      </c>
      <c r="AB2216" t="s">
        <v>50</v>
      </c>
      <c r="AC2216" s="2">
        <v>1000</v>
      </c>
      <c r="AD2216" t="s">
        <v>64</v>
      </c>
    </row>
    <row r="2217" spans="1:31" hidden="1" x14ac:dyDescent="0.25">
      <c r="A2217" t="s">
        <v>10515</v>
      </c>
      <c r="B2217" t="s">
        <v>10516</v>
      </c>
      <c r="C2217" t="s">
        <v>10516</v>
      </c>
      <c r="F2217" t="s">
        <v>7848</v>
      </c>
      <c r="J2217" s="2">
        <v>1000</v>
      </c>
      <c r="K2217" s="2">
        <v>0</v>
      </c>
      <c r="L2217" s="2">
        <v>1</v>
      </c>
      <c r="M2217" s="2">
        <v>0</v>
      </c>
      <c r="N2217" t="s">
        <v>495</v>
      </c>
      <c r="O2217" t="s">
        <v>79</v>
      </c>
      <c r="P2217" t="s">
        <v>3487</v>
      </c>
      <c r="Q2217" t="s">
        <v>3488</v>
      </c>
      <c r="U2217" t="s">
        <v>45</v>
      </c>
      <c r="V2217" t="s">
        <v>46</v>
      </c>
      <c r="W2217" t="s">
        <v>495</v>
      </c>
      <c r="X2217" t="s">
        <v>79</v>
      </c>
      <c r="Y2217" t="s">
        <v>79</v>
      </c>
      <c r="Z2217" t="s">
        <v>94</v>
      </c>
      <c r="AA2217" t="s">
        <v>49</v>
      </c>
      <c r="AB2217" t="s">
        <v>50</v>
      </c>
      <c r="AC2217" s="2">
        <v>1000</v>
      </c>
      <c r="AD2217" t="s">
        <v>64</v>
      </c>
    </row>
    <row r="2218" spans="1:31" hidden="1" x14ac:dyDescent="0.25">
      <c r="I2218" t="s">
        <v>10517</v>
      </c>
      <c r="J2218" s="2">
        <v>65451</v>
      </c>
      <c r="K2218" s="2">
        <v>300</v>
      </c>
      <c r="L2218" s="2">
        <v>21</v>
      </c>
      <c r="M2218" s="2">
        <v>0</v>
      </c>
      <c r="S2218" t="s">
        <v>10518</v>
      </c>
      <c r="U2218" t="s">
        <v>45</v>
      </c>
      <c r="V2218" t="s">
        <v>46</v>
      </c>
      <c r="W2218" t="s">
        <v>495</v>
      </c>
      <c r="X2218" t="s">
        <v>79</v>
      </c>
      <c r="Y2218" t="s">
        <v>79</v>
      </c>
      <c r="Z2218" t="s">
        <v>94</v>
      </c>
      <c r="AA2218" t="s">
        <v>49</v>
      </c>
      <c r="AC2218" s="2"/>
    </row>
    <row r="2219" spans="1:31" hidden="1" x14ac:dyDescent="0.25">
      <c r="A2219" t="s">
        <v>10519</v>
      </c>
      <c r="B2219" t="s">
        <v>10520</v>
      </c>
      <c r="C2219" t="s">
        <v>10520</v>
      </c>
      <c r="F2219" t="s">
        <v>10521</v>
      </c>
      <c r="H2219" t="s">
        <v>1062</v>
      </c>
      <c r="J2219" s="2">
        <v>1000</v>
      </c>
      <c r="K2219" s="2">
        <v>0</v>
      </c>
      <c r="L2219" s="2">
        <v>1</v>
      </c>
      <c r="M2219" s="2">
        <v>0</v>
      </c>
      <c r="N2219" t="s">
        <v>1064</v>
      </c>
      <c r="O2219" t="s">
        <v>1062</v>
      </c>
      <c r="P2219" t="s">
        <v>304</v>
      </c>
      <c r="Q2219" t="s">
        <v>72</v>
      </c>
      <c r="S2219" t="s">
        <v>10522</v>
      </c>
      <c r="U2219" t="s">
        <v>45</v>
      </c>
      <c r="V2219" t="s">
        <v>46</v>
      </c>
      <c r="W2219" t="s">
        <v>1064</v>
      </c>
      <c r="X2219" t="s">
        <v>1062</v>
      </c>
      <c r="Y2219" t="s">
        <v>72</v>
      </c>
      <c r="Z2219" t="s">
        <v>68</v>
      </c>
      <c r="AA2219" t="s">
        <v>49</v>
      </c>
      <c r="AB2219" t="s">
        <v>50</v>
      </c>
      <c r="AC2219" s="2">
        <v>1000</v>
      </c>
      <c r="AD2219" t="s">
        <v>64</v>
      </c>
    </row>
    <row r="2220" spans="1:31" hidden="1" x14ac:dyDescent="0.25">
      <c r="A2220" t="s">
        <v>10523</v>
      </c>
      <c r="B2220" t="s">
        <v>10524</v>
      </c>
      <c r="C2220" t="s">
        <v>10524</v>
      </c>
      <c r="F2220" t="s">
        <v>10525</v>
      </c>
      <c r="H2220" t="s">
        <v>1062</v>
      </c>
      <c r="I2220" t="s">
        <v>10526</v>
      </c>
      <c r="J2220" s="2">
        <v>1000</v>
      </c>
      <c r="K2220" s="2">
        <v>0</v>
      </c>
      <c r="L2220" s="2">
        <v>1</v>
      </c>
      <c r="M2220" s="2">
        <v>0</v>
      </c>
      <c r="N2220" t="s">
        <v>1064</v>
      </c>
      <c r="O2220" t="s">
        <v>1062</v>
      </c>
      <c r="P2220" t="s">
        <v>304</v>
      </c>
      <c r="Q2220" t="s">
        <v>72</v>
      </c>
      <c r="S2220" t="s">
        <v>10527</v>
      </c>
      <c r="U2220" t="s">
        <v>45</v>
      </c>
      <c r="V2220" t="s">
        <v>46</v>
      </c>
      <c r="W2220" t="s">
        <v>1064</v>
      </c>
      <c r="X2220" t="s">
        <v>1062</v>
      </c>
      <c r="Y2220" t="s">
        <v>72</v>
      </c>
      <c r="Z2220" t="s">
        <v>68</v>
      </c>
      <c r="AA2220" t="s">
        <v>49</v>
      </c>
      <c r="AB2220" t="s">
        <v>50</v>
      </c>
      <c r="AC2220" s="2">
        <v>1000</v>
      </c>
      <c r="AD2220" t="s">
        <v>64</v>
      </c>
    </row>
    <row r="2221" spans="1:31" x14ac:dyDescent="0.25">
      <c r="A2221" t="s">
        <v>10528</v>
      </c>
      <c r="B2221" t="s">
        <v>10529</v>
      </c>
      <c r="C2221" t="s">
        <v>10529</v>
      </c>
      <c r="D2221" t="s">
        <v>35</v>
      </c>
      <c r="E2221" t="s">
        <v>36</v>
      </c>
      <c r="F2221" t="s">
        <v>10530</v>
      </c>
      <c r="G2221" t="s">
        <v>35</v>
      </c>
      <c r="H2221" t="s">
        <v>81</v>
      </c>
      <c r="I2221" t="s">
        <v>10531</v>
      </c>
      <c r="J2221" s="2">
        <v>448131</v>
      </c>
      <c r="K2221" s="2">
        <v>1855</v>
      </c>
      <c r="L2221" s="2">
        <v>15</v>
      </c>
      <c r="M2221" s="2">
        <v>0</v>
      </c>
      <c r="N2221" t="s">
        <v>80</v>
      </c>
      <c r="O2221" t="s">
        <v>81</v>
      </c>
      <c r="P2221" t="s">
        <v>557</v>
      </c>
      <c r="Q2221" t="s">
        <v>558</v>
      </c>
      <c r="S2221" t="s">
        <v>10532</v>
      </c>
      <c r="U2221" t="s">
        <v>45</v>
      </c>
      <c r="V2221" t="s">
        <v>46</v>
      </c>
      <c r="W2221" t="s">
        <v>80</v>
      </c>
      <c r="X2221" t="s">
        <v>81</v>
      </c>
      <c r="Y2221" t="s">
        <v>85</v>
      </c>
      <c r="Z2221" t="s">
        <v>86</v>
      </c>
      <c r="AA2221" t="s">
        <v>49</v>
      </c>
      <c r="AB2221" t="s">
        <v>50</v>
      </c>
      <c r="AC2221" s="2">
        <v>-1197.78</v>
      </c>
      <c r="AD2221" t="s">
        <v>10533</v>
      </c>
      <c r="AE2221" t="s">
        <v>115</v>
      </c>
    </row>
    <row r="2222" spans="1:31" x14ac:dyDescent="0.25">
      <c r="A2222" t="s">
        <v>10534</v>
      </c>
      <c r="B2222" t="s">
        <v>10535</v>
      </c>
      <c r="C2222" t="s">
        <v>10535</v>
      </c>
      <c r="D2222" t="s">
        <v>125</v>
      </c>
      <c r="E2222" t="s">
        <v>126</v>
      </c>
      <c r="F2222" t="s">
        <v>10536</v>
      </c>
      <c r="G2222" t="s">
        <v>125</v>
      </c>
      <c r="H2222" t="s">
        <v>7088</v>
      </c>
      <c r="I2222" t="s">
        <v>10537</v>
      </c>
      <c r="J2222" s="2">
        <v>436340</v>
      </c>
      <c r="K2222" s="2">
        <v>2000</v>
      </c>
      <c r="L2222" s="2">
        <v>15</v>
      </c>
      <c r="M2222" s="2">
        <v>0</v>
      </c>
      <c r="N2222" t="s">
        <v>7089</v>
      </c>
      <c r="O2222" t="s">
        <v>7090</v>
      </c>
      <c r="P2222" t="s">
        <v>557</v>
      </c>
      <c r="Q2222" t="s">
        <v>558</v>
      </c>
      <c r="S2222" t="s">
        <v>10538</v>
      </c>
      <c r="U2222" t="s">
        <v>45</v>
      </c>
      <c r="V2222" t="s">
        <v>46</v>
      </c>
      <c r="W2222" t="s">
        <v>7089</v>
      </c>
      <c r="X2222" t="s">
        <v>7090</v>
      </c>
      <c r="Y2222" t="s">
        <v>85</v>
      </c>
      <c r="Z2222" t="s">
        <v>86</v>
      </c>
      <c r="AA2222" t="s">
        <v>49</v>
      </c>
      <c r="AB2222" t="s">
        <v>50</v>
      </c>
      <c r="AC2222" s="2">
        <v>-35252.35</v>
      </c>
      <c r="AD2222" t="s">
        <v>10539</v>
      </c>
      <c r="AE2222" t="s">
        <v>115</v>
      </c>
    </row>
    <row r="2223" spans="1:31" x14ac:dyDescent="0.25">
      <c r="A2223" t="s">
        <v>10540</v>
      </c>
      <c r="B2223" t="s">
        <v>10541</v>
      </c>
      <c r="C2223" t="s">
        <v>10541</v>
      </c>
      <c r="D2223" t="s">
        <v>125</v>
      </c>
      <c r="E2223" t="s">
        <v>126</v>
      </c>
      <c r="F2223" t="s">
        <v>10542</v>
      </c>
      <c r="G2223" t="s">
        <v>569</v>
      </c>
      <c r="H2223" t="s">
        <v>10543</v>
      </c>
      <c r="I2223" t="s">
        <v>10544</v>
      </c>
      <c r="J2223" s="2">
        <v>1090850</v>
      </c>
      <c r="K2223" s="2">
        <v>5000</v>
      </c>
      <c r="L2223" s="2">
        <v>25</v>
      </c>
      <c r="M2223" s="2">
        <v>0</v>
      </c>
      <c r="N2223" t="s">
        <v>7350</v>
      </c>
      <c r="O2223" t="s">
        <v>7351</v>
      </c>
      <c r="P2223" t="s">
        <v>91</v>
      </c>
      <c r="Q2223" t="s">
        <v>92</v>
      </c>
      <c r="S2223" t="s">
        <v>10545</v>
      </c>
      <c r="U2223" t="s">
        <v>45</v>
      </c>
      <c r="V2223" t="s">
        <v>46</v>
      </c>
      <c r="W2223" t="s">
        <v>7350</v>
      </c>
      <c r="X2223" t="s">
        <v>7351</v>
      </c>
      <c r="Y2223" t="s">
        <v>92</v>
      </c>
      <c r="Z2223" t="s">
        <v>94</v>
      </c>
      <c r="AA2223" t="s">
        <v>49</v>
      </c>
      <c r="AB2223" t="s">
        <v>50</v>
      </c>
      <c r="AC2223" s="2">
        <v>680561.64</v>
      </c>
      <c r="AD2223" t="s">
        <v>10546</v>
      </c>
      <c r="AE2223" t="s">
        <v>52</v>
      </c>
    </row>
    <row r="2224" spans="1:31" x14ac:dyDescent="0.25">
      <c r="A2224" t="s">
        <v>10547</v>
      </c>
      <c r="B2224" t="s">
        <v>10548</v>
      </c>
      <c r="C2224" t="s">
        <v>10548</v>
      </c>
      <c r="D2224" t="s">
        <v>264</v>
      </c>
      <c r="E2224" t="s">
        <v>134</v>
      </c>
      <c r="F2224" t="s">
        <v>10549</v>
      </c>
      <c r="G2224" t="s">
        <v>2754</v>
      </c>
      <c r="H2224" t="s">
        <v>81</v>
      </c>
      <c r="J2224" s="2">
        <v>174536</v>
      </c>
      <c r="K2224" s="2">
        <v>800</v>
      </c>
      <c r="L2224" s="2">
        <v>15</v>
      </c>
      <c r="M2224" s="2">
        <v>0</v>
      </c>
      <c r="N2224" t="s">
        <v>80</v>
      </c>
      <c r="O2224" t="s">
        <v>81</v>
      </c>
      <c r="P2224" t="s">
        <v>557</v>
      </c>
      <c r="Q2224" t="s">
        <v>558</v>
      </c>
      <c r="S2224" t="s">
        <v>10550</v>
      </c>
      <c r="U2224" t="s">
        <v>45</v>
      </c>
      <c r="V2224" t="s">
        <v>46</v>
      </c>
      <c r="W2224" t="s">
        <v>80</v>
      </c>
      <c r="X2224" t="s">
        <v>81</v>
      </c>
      <c r="Y2224" t="s">
        <v>85</v>
      </c>
      <c r="Z2224" t="s">
        <v>86</v>
      </c>
      <c r="AA2224" t="s">
        <v>49</v>
      </c>
      <c r="AB2224" t="s">
        <v>50</v>
      </c>
      <c r="AC2224" s="2">
        <v>174536</v>
      </c>
      <c r="AD2224" t="s">
        <v>64</v>
      </c>
    </row>
    <row r="2225" spans="1:31" x14ac:dyDescent="0.25">
      <c r="A2225" t="s">
        <v>10551</v>
      </c>
      <c r="B2225" t="s">
        <v>10552</v>
      </c>
      <c r="C2225" t="s">
        <v>10552</v>
      </c>
      <c r="D2225" t="s">
        <v>35</v>
      </c>
      <c r="E2225" t="s">
        <v>36</v>
      </c>
      <c r="F2225" t="s">
        <v>10553</v>
      </c>
      <c r="G2225" t="s">
        <v>35</v>
      </c>
      <c r="H2225" t="s">
        <v>6519</v>
      </c>
      <c r="I2225" t="s">
        <v>10554</v>
      </c>
      <c r="J2225" s="2">
        <v>436340</v>
      </c>
      <c r="K2225" s="2">
        <v>2000</v>
      </c>
      <c r="L2225" s="2">
        <v>30</v>
      </c>
      <c r="M2225" s="2">
        <v>0</v>
      </c>
      <c r="N2225" t="s">
        <v>5201</v>
      </c>
      <c r="O2225" t="s">
        <v>5202</v>
      </c>
      <c r="P2225" t="s">
        <v>4853</v>
      </c>
      <c r="Q2225" t="s">
        <v>4854</v>
      </c>
      <c r="S2225" t="s">
        <v>10555</v>
      </c>
      <c r="U2225" t="s">
        <v>45</v>
      </c>
      <c r="V2225" t="s">
        <v>46</v>
      </c>
      <c r="W2225" t="s">
        <v>5201</v>
      </c>
      <c r="X2225" t="s">
        <v>5202</v>
      </c>
      <c r="Y2225" t="s">
        <v>4854</v>
      </c>
      <c r="Z2225" t="s">
        <v>72</v>
      </c>
      <c r="AA2225" t="s">
        <v>49</v>
      </c>
      <c r="AB2225" t="s">
        <v>50</v>
      </c>
      <c r="AC2225" s="2">
        <v>349931.9</v>
      </c>
      <c r="AD2225" t="s">
        <v>10556</v>
      </c>
      <c r="AE2225" t="s">
        <v>52</v>
      </c>
    </row>
    <row r="2226" spans="1:31" x14ac:dyDescent="0.25">
      <c r="A2226" t="s">
        <v>10557</v>
      </c>
      <c r="B2226" t="s">
        <v>10558</v>
      </c>
      <c r="C2226" t="s">
        <v>10558</v>
      </c>
      <c r="D2226" t="s">
        <v>125</v>
      </c>
      <c r="E2226" t="s">
        <v>126</v>
      </c>
      <c r="F2226" t="s">
        <v>10559</v>
      </c>
      <c r="G2226" t="s">
        <v>125</v>
      </c>
      <c r="H2226" t="s">
        <v>81</v>
      </c>
      <c r="I2226" t="s">
        <v>10537</v>
      </c>
      <c r="J2226" s="2">
        <v>174536</v>
      </c>
      <c r="K2226" s="2">
        <v>800</v>
      </c>
      <c r="L2226" s="2">
        <v>15</v>
      </c>
      <c r="M2226" s="2">
        <v>0</v>
      </c>
      <c r="N2226" t="s">
        <v>80</v>
      </c>
      <c r="O2226" t="s">
        <v>81</v>
      </c>
      <c r="P2226" t="s">
        <v>557</v>
      </c>
      <c r="Q2226" t="s">
        <v>558</v>
      </c>
      <c r="S2226" t="s">
        <v>10560</v>
      </c>
      <c r="U2226" t="s">
        <v>45</v>
      </c>
      <c r="V2226" t="s">
        <v>46</v>
      </c>
      <c r="W2226" t="s">
        <v>80</v>
      </c>
      <c r="X2226" t="s">
        <v>81</v>
      </c>
      <c r="Y2226" t="s">
        <v>85</v>
      </c>
      <c r="Z2226" t="s">
        <v>86</v>
      </c>
      <c r="AA2226" t="s">
        <v>49</v>
      </c>
      <c r="AB2226" t="s">
        <v>50</v>
      </c>
      <c r="AC2226" s="2">
        <v>65359.69</v>
      </c>
      <c r="AD2226" t="s">
        <v>10561</v>
      </c>
      <c r="AE2226" t="s">
        <v>115</v>
      </c>
    </row>
    <row r="2227" spans="1:31" hidden="1" x14ac:dyDescent="0.25">
      <c r="A2227" t="s">
        <v>10562</v>
      </c>
      <c r="B2227" t="s">
        <v>10563</v>
      </c>
      <c r="C2227" t="s">
        <v>10563</v>
      </c>
      <c r="F2227" t="s">
        <v>10564</v>
      </c>
      <c r="H2227" t="s">
        <v>10565</v>
      </c>
      <c r="I2227" t="s">
        <v>10566</v>
      </c>
      <c r="J2227" s="2">
        <v>109085</v>
      </c>
      <c r="K2227" s="2">
        <v>500</v>
      </c>
      <c r="L2227" s="2">
        <v>30</v>
      </c>
      <c r="M2227" s="2">
        <v>0</v>
      </c>
      <c r="N2227" t="s">
        <v>10567</v>
      </c>
      <c r="O2227" t="s">
        <v>10565</v>
      </c>
      <c r="P2227" t="s">
        <v>10093</v>
      </c>
      <c r="Q2227" t="s">
        <v>10094</v>
      </c>
      <c r="S2227" t="s">
        <v>10568</v>
      </c>
      <c r="U2227" t="s">
        <v>45</v>
      </c>
      <c r="V2227" t="s">
        <v>46</v>
      </c>
      <c r="W2227" t="s">
        <v>10567</v>
      </c>
      <c r="X2227" t="s">
        <v>10565</v>
      </c>
      <c r="Y2227" t="s">
        <v>10167</v>
      </c>
      <c r="Z2227" t="s">
        <v>10168</v>
      </c>
      <c r="AA2227" t="s">
        <v>49</v>
      </c>
      <c r="AB2227" t="s">
        <v>50</v>
      </c>
      <c r="AC2227" s="2">
        <v>109085</v>
      </c>
      <c r="AD2227" t="s">
        <v>64</v>
      </c>
    </row>
    <row r="2228" spans="1:31" hidden="1" x14ac:dyDescent="0.25">
      <c r="A2228" t="s">
        <v>10569</v>
      </c>
      <c r="B2228" t="s">
        <v>10570</v>
      </c>
      <c r="C2228" t="s">
        <v>10570</v>
      </c>
      <c r="F2228" t="s">
        <v>10564</v>
      </c>
      <c r="H2228" t="s">
        <v>10571</v>
      </c>
      <c r="J2228" s="2">
        <v>1000</v>
      </c>
      <c r="K2228" s="2">
        <v>0</v>
      </c>
      <c r="L2228" s="2">
        <v>1</v>
      </c>
      <c r="M2228" s="2">
        <v>0</v>
      </c>
      <c r="N2228" t="s">
        <v>10572</v>
      </c>
      <c r="O2228" t="s">
        <v>10571</v>
      </c>
      <c r="P2228" t="s">
        <v>10093</v>
      </c>
      <c r="Q2228" t="s">
        <v>10094</v>
      </c>
      <c r="S2228" t="s">
        <v>10568</v>
      </c>
      <c r="U2228" t="s">
        <v>45</v>
      </c>
      <c r="V2228" t="s">
        <v>46</v>
      </c>
      <c r="W2228" t="s">
        <v>10572</v>
      </c>
      <c r="X2228" t="s">
        <v>10571</v>
      </c>
      <c r="Y2228" t="s">
        <v>10167</v>
      </c>
      <c r="Z2228" t="s">
        <v>10168</v>
      </c>
      <c r="AA2228" t="s">
        <v>49</v>
      </c>
      <c r="AB2228" t="s">
        <v>50</v>
      </c>
      <c r="AC2228" s="2">
        <v>1000</v>
      </c>
      <c r="AD2228" t="s">
        <v>64</v>
      </c>
    </row>
    <row r="2229" spans="1:31" hidden="1" x14ac:dyDescent="0.25">
      <c r="A2229" t="s">
        <v>10573</v>
      </c>
      <c r="B2229" t="s">
        <v>10574</v>
      </c>
      <c r="C2229" t="s">
        <v>10575</v>
      </c>
      <c r="F2229" t="s">
        <v>10564</v>
      </c>
      <c r="H2229" t="s">
        <v>10576</v>
      </c>
      <c r="I2229" t="s">
        <v>10566</v>
      </c>
      <c r="J2229" s="2">
        <v>109085</v>
      </c>
      <c r="K2229" s="2">
        <v>500</v>
      </c>
      <c r="L2229" s="2">
        <v>30</v>
      </c>
      <c r="M2229" s="2">
        <v>0</v>
      </c>
      <c r="N2229" t="s">
        <v>10572</v>
      </c>
      <c r="O2229" t="s">
        <v>10571</v>
      </c>
      <c r="P2229" t="s">
        <v>10093</v>
      </c>
      <c r="Q2229" t="s">
        <v>10094</v>
      </c>
      <c r="S2229" t="s">
        <v>10568</v>
      </c>
      <c r="U2229" t="s">
        <v>45</v>
      </c>
      <c r="V2229" t="s">
        <v>46</v>
      </c>
      <c r="W2229" t="s">
        <v>10572</v>
      </c>
      <c r="X2229" t="s">
        <v>10571</v>
      </c>
      <c r="Y2229" t="s">
        <v>10167</v>
      </c>
      <c r="Z2229" t="s">
        <v>10168</v>
      </c>
      <c r="AA2229" t="s">
        <v>49</v>
      </c>
      <c r="AB2229" t="s">
        <v>50</v>
      </c>
      <c r="AC2229" s="2">
        <v>109085</v>
      </c>
      <c r="AD2229" t="s">
        <v>64</v>
      </c>
    </row>
    <row r="2230" spans="1:31" hidden="1" x14ac:dyDescent="0.25">
      <c r="A2230" t="s">
        <v>10577</v>
      </c>
      <c r="B2230" t="s">
        <v>10578</v>
      </c>
      <c r="C2230" t="s">
        <v>10575</v>
      </c>
      <c r="F2230" t="s">
        <v>10564</v>
      </c>
      <c r="H2230" t="s">
        <v>10576</v>
      </c>
      <c r="I2230" t="s">
        <v>10566</v>
      </c>
      <c r="J2230" s="2">
        <v>109085</v>
      </c>
      <c r="K2230" s="2">
        <v>500</v>
      </c>
      <c r="L2230" s="2">
        <v>30</v>
      </c>
      <c r="M2230" s="2">
        <v>0</v>
      </c>
      <c r="N2230" t="s">
        <v>10572</v>
      </c>
      <c r="O2230" t="s">
        <v>10571</v>
      </c>
      <c r="P2230" t="s">
        <v>10093</v>
      </c>
      <c r="Q2230" t="s">
        <v>10094</v>
      </c>
      <c r="S2230" t="s">
        <v>10568</v>
      </c>
      <c r="U2230" t="s">
        <v>45</v>
      </c>
      <c r="V2230" t="s">
        <v>46</v>
      </c>
      <c r="W2230" t="s">
        <v>10572</v>
      </c>
      <c r="X2230" t="s">
        <v>10571</v>
      </c>
      <c r="Y2230" t="s">
        <v>10167</v>
      </c>
      <c r="Z2230" t="s">
        <v>10168</v>
      </c>
      <c r="AA2230" t="s">
        <v>49</v>
      </c>
      <c r="AB2230" t="s">
        <v>50</v>
      </c>
      <c r="AC2230" s="2">
        <v>109085</v>
      </c>
      <c r="AD2230" t="s">
        <v>64</v>
      </c>
    </row>
    <row r="2231" spans="1:31" hidden="1" x14ac:dyDescent="0.25">
      <c r="A2231" t="s">
        <v>10579</v>
      </c>
      <c r="B2231" t="s">
        <v>10580</v>
      </c>
      <c r="C2231" t="s">
        <v>10580</v>
      </c>
      <c r="F2231" t="s">
        <v>10564</v>
      </c>
      <c r="H2231" t="s">
        <v>10576</v>
      </c>
      <c r="I2231" t="s">
        <v>10566</v>
      </c>
      <c r="J2231" s="2">
        <v>109085</v>
      </c>
      <c r="K2231" s="2">
        <v>500</v>
      </c>
      <c r="L2231" s="2">
        <v>30</v>
      </c>
      <c r="M2231" s="2">
        <v>0</v>
      </c>
      <c r="N2231" t="s">
        <v>10581</v>
      </c>
      <c r="O2231" t="s">
        <v>10582</v>
      </c>
      <c r="P2231" t="s">
        <v>10093</v>
      </c>
      <c r="Q2231" t="s">
        <v>10094</v>
      </c>
      <c r="S2231" t="s">
        <v>10568</v>
      </c>
      <c r="U2231" t="s">
        <v>45</v>
      </c>
      <c r="V2231" t="s">
        <v>46</v>
      </c>
      <c r="W2231" t="s">
        <v>10581</v>
      </c>
      <c r="X2231" t="s">
        <v>10582</v>
      </c>
      <c r="Y2231" t="s">
        <v>139</v>
      </c>
      <c r="Z2231" t="s">
        <v>140</v>
      </c>
      <c r="AA2231" t="s">
        <v>49</v>
      </c>
      <c r="AB2231" t="s">
        <v>50</v>
      </c>
      <c r="AC2231" s="2">
        <v>109085</v>
      </c>
      <c r="AD2231" t="s">
        <v>64</v>
      </c>
    </row>
    <row r="2232" spans="1:31" hidden="1" x14ac:dyDescent="0.25">
      <c r="A2232" t="s">
        <v>10583</v>
      </c>
      <c r="B2232" t="s">
        <v>10584</v>
      </c>
      <c r="C2232" t="s">
        <v>10584</v>
      </c>
      <c r="F2232" t="s">
        <v>10585</v>
      </c>
      <c r="H2232" t="s">
        <v>10565</v>
      </c>
      <c r="I2232" t="s">
        <v>10566</v>
      </c>
      <c r="J2232" s="2">
        <v>109085</v>
      </c>
      <c r="K2232" s="2">
        <v>500</v>
      </c>
      <c r="L2232" s="2">
        <v>30</v>
      </c>
      <c r="M2232" s="2">
        <v>0</v>
      </c>
      <c r="N2232" t="s">
        <v>10567</v>
      </c>
      <c r="O2232" t="s">
        <v>10565</v>
      </c>
      <c r="P2232" t="s">
        <v>10093</v>
      </c>
      <c r="Q2232" t="s">
        <v>10094</v>
      </c>
      <c r="S2232" t="s">
        <v>10586</v>
      </c>
      <c r="U2232" t="s">
        <v>45</v>
      </c>
      <c r="V2232" t="s">
        <v>46</v>
      </c>
      <c r="W2232" t="s">
        <v>10567</v>
      </c>
      <c r="X2232" t="s">
        <v>10565</v>
      </c>
      <c r="Y2232" t="s">
        <v>10167</v>
      </c>
      <c r="Z2232" t="s">
        <v>10168</v>
      </c>
      <c r="AA2232" t="s">
        <v>49</v>
      </c>
      <c r="AB2232" t="s">
        <v>50</v>
      </c>
      <c r="AC2232" s="2">
        <v>109085</v>
      </c>
      <c r="AD2232" t="s">
        <v>64</v>
      </c>
    </row>
    <row r="2233" spans="1:31" x14ac:dyDescent="0.25">
      <c r="A2233" t="s">
        <v>10587</v>
      </c>
      <c r="B2233" t="s">
        <v>10588</v>
      </c>
      <c r="C2233" t="s">
        <v>10588</v>
      </c>
      <c r="D2233" t="s">
        <v>1941</v>
      </c>
      <c r="E2233" t="s">
        <v>224</v>
      </c>
      <c r="F2233" t="s">
        <v>10589</v>
      </c>
      <c r="G2233" t="s">
        <v>1291</v>
      </c>
      <c r="H2233" t="s">
        <v>7376</v>
      </c>
      <c r="J2233" s="2">
        <v>109085</v>
      </c>
      <c r="K2233" s="2">
        <v>500</v>
      </c>
      <c r="L2233" s="2">
        <v>21</v>
      </c>
      <c r="M2233" s="2">
        <v>0</v>
      </c>
      <c r="N2233" t="s">
        <v>7375</v>
      </c>
      <c r="O2233" t="s">
        <v>7376</v>
      </c>
      <c r="P2233" t="s">
        <v>5966</v>
      </c>
      <c r="Q2233" t="s">
        <v>5739</v>
      </c>
      <c r="S2233" t="s">
        <v>10590</v>
      </c>
      <c r="U2233" t="s">
        <v>45</v>
      </c>
      <c r="V2233" t="s">
        <v>46</v>
      </c>
      <c r="W2233" t="s">
        <v>7375</v>
      </c>
      <c r="X2233" t="s">
        <v>7376</v>
      </c>
      <c r="Y2233" t="s">
        <v>5743</v>
      </c>
      <c r="Z2233" t="s">
        <v>5744</v>
      </c>
      <c r="AA2233" t="s">
        <v>49</v>
      </c>
      <c r="AB2233" t="s">
        <v>50</v>
      </c>
      <c r="AC2233" s="2">
        <v>109085</v>
      </c>
      <c r="AD2233" t="s">
        <v>64</v>
      </c>
    </row>
    <row r="2234" spans="1:31" hidden="1" x14ac:dyDescent="0.25">
      <c r="A2234" s="10" t="s">
        <v>10591</v>
      </c>
      <c r="B2234" s="10" t="s">
        <v>10592</v>
      </c>
      <c r="C2234" t="s">
        <v>10592</v>
      </c>
      <c r="D2234" t="s">
        <v>55</v>
      </c>
      <c r="E2234" t="s">
        <v>56</v>
      </c>
      <c r="F2234" t="s">
        <v>10593</v>
      </c>
      <c r="H2234" t="s">
        <v>92</v>
      </c>
      <c r="I2234" t="s">
        <v>10594</v>
      </c>
      <c r="J2234" s="2">
        <v>10909</v>
      </c>
      <c r="K2234" s="2">
        <v>50</v>
      </c>
      <c r="L2234" s="2">
        <v>15</v>
      </c>
      <c r="M2234" s="2">
        <v>0</v>
      </c>
      <c r="N2234" t="s">
        <v>4449</v>
      </c>
      <c r="O2234" t="s">
        <v>4450</v>
      </c>
      <c r="P2234" t="s">
        <v>42</v>
      </c>
      <c r="Q2234" t="s">
        <v>43</v>
      </c>
      <c r="S2234" t="s">
        <v>889</v>
      </c>
      <c r="U2234" t="s">
        <v>45</v>
      </c>
      <c r="V2234" t="s">
        <v>46</v>
      </c>
      <c r="W2234" t="s">
        <v>4449</v>
      </c>
      <c r="X2234" t="s">
        <v>4450</v>
      </c>
      <c r="Y2234" t="s">
        <v>92</v>
      </c>
      <c r="Z2234" t="s">
        <v>94</v>
      </c>
      <c r="AA2234" t="s">
        <v>141</v>
      </c>
      <c r="AB2234" t="s">
        <v>142</v>
      </c>
      <c r="AC2234" s="2">
        <v>10909</v>
      </c>
      <c r="AD2234" t="s">
        <v>64</v>
      </c>
    </row>
    <row r="2235" spans="1:31" x14ac:dyDescent="0.25">
      <c r="A2235" t="s">
        <v>10595</v>
      </c>
      <c r="B2235" t="s">
        <v>10596</v>
      </c>
      <c r="C2235" t="s">
        <v>10596</v>
      </c>
      <c r="D2235" t="s">
        <v>569</v>
      </c>
      <c r="E2235" t="s">
        <v>570</v>
      </c>
      <c r="F2235" t="s">
        <v>10597</v>
      </c>
      <c r="G2235" t="s">
        <v>166</v>
      </c>
      <c r="H2235" t="s">
        <v>6728</v>
      </c>
      <c r="I2235" t="s">
        <v>10598</v>
      </c>
      <c r="J2235" s="2">
        <v>545425</v>
      </c>
      <c r="K2235" s="2">
        <v>2500</v>
      </c>
      <c r="L2235" s="2">
        <v>15</v>
      </c>
      <c r="M2235" s="2">
        <v>0</v>
      </c>
      <c r="N2235" t="s">
        <v>6730</v>
      </c>
      <c r="O2235" t="s">
        <v>6728</v>
      </c>
      <c r="P2235" t="s">
        <v>557</v>
      </c>
      <c r="Q2235" t="s">
        <v>558</v>
      </c>
      <c r="S2235" t="s">
        <v>10599</v>
      </c>
      <c r="U2235" t="s">
        <v>45</v>
      </c>
      <c r="V2235" t="s">
        <v>46</v>
      </c>
      <c r="W2235" t="s">
        <v>6730</v>
      </c>
      <c r="X2235" t="s">
        <v>6728</v>
      </c>
      <c r="Y2235" t="s">
        <v>85</v>
      </c>
      <c r="Z2235" t="s">
        <v>86</v>
      </c>
      <c r="AA2235" t="s">
        <v>49</v>
      </c>
      <c r="AB2235" t="s">
        <v>50</v>
      </c>
      <c r="AC2235" s="2">
        <v>340558.99</v>
      </c>
      <c r="AD2235" t="s">
        <v>10600</v>
      </c>
      <c r="AE2235" t="s">
        <v>115</v>
      </c>
    </row>
    <row r="2236" spans="1:31" x14ac:dyDescent="0.25">
      <c r="A2236" t="s">
        <v>10601</v>
      </c>
      <c r="B2236" t="s">
        <v>10602</v>
      </c>
      <c r="C2236" t="s">
        <v>10602</v>
      </c>
      <c r="D2236" t="s">
        <v>299</v>
      </c>
      <c r="E2236" t="s">
        <v>167</v>
      </c>
      <c r="F2236" t="s">
        <v>10603</v>
      </c>
      <c r="G2236" t="s">
        <v>4891</v>
      </c>
      <c r="H2236" t="s">
        <v>7147</v>
      </c>
      <c r="J2236" s="2">
        <v>392706</v>
      </c>
      <c r="K2236" s="2">
        <v>1800</v>
      </c>
      <c r="L2236" s="2">
        <v>21</v>
      </c>
      <c r="M2236" s="2">
        <v>0</v>
      </c>
      <c r="N2236" t="s">
        <v>6940</v>
      </c>
      <c r="O2236" t="s">
        <v>6939</v>
      </c>
      <c r="P2236" t="s">
        <v>3487</v>
      </c>
      <c r="Q2236" t="s">
        <v>3488</v>
      </c>
      <c r="S2236" t="s">
        <v>10604</v>
      </c>
      <c r="U2236" t="s">
        <v>45</v>
      </c>
      <c r="V2236" t="s">
        <v>46</v>
      </c>
      <c r="W2236" t="s">
        <v>6940</v>
      </c>
      <c r="X2236" t="s">
        <v>6939</v>
      </c>
      <c r="Y2236" t="s">
        <v>79</v>
      </c>
      <c r="Z2236" t="s">
        <v>94</v>
      </c>
      <c r="AA2236" t="s">
        <v>49</v>
      </c>
      <c r="AB2236" t="s">
        <v>50</v>
      </c>
      <c r="AC2236" s="2">
        <v>384917.03</v>
      </c>
      <c r="AD2236" t="s">
        <v>10605</v>
      </c>
      <c r="AE2236" t="s">
        <v>115</v>
      </c>
    </row>
    <row r="2237" spans="1:31" hidden="1" x14ac:dyDescent="0.25">
      <c r="A2237" t="s">
        <v>10606</v>
      </c>
      <c r="B2237" t="s">
        <v>10607</v>
      </c>
      <c r="C2237" t="s">
        <v>10607</v>
      </c>
      <c r="F2237" t="s">
        <v>10608</v>
      </c>
      <c r="H2237" t="s">
        <v>10565</v>
      </c>
      <c r="I2237" t="s">
        <v>10566</v>
      </c>
      <c r="J2237" s="2">
        <v>109085</v>
      </c>
      <c r="K2237" s="2">
        <v>500</v>
      </c>
      <c r="L2237" s="2">
        <v>30</v>
      </c>
      <c r="M2237" s="2">
        <v>0</v>
      </c>
      <c r="N2237" t="s">
        <v>10567</v>
      </c>
      <c r="O2237" t="s">
        <v>10565</v>
      </c>
      <c r="P2237" t="s">
        <v>10093</v>
      </c>
      <c r="Q2237" t="s">
        <v>10094</v>
      </c>
      <c r="S2237" t="s">
        <v>10609</v>
      </c>
      <c r="U2237" t="s">
        <v>45</v>
      </c>
      <c r="V2237" t="s">
        <v>46</v>
      </c>
      <c r="W2237" t="s">
        <v>10567</v>
      </c>
      <c r="X2237" t="s">
        <v>10565</v>
      </c>
      <c r="Y2237" t="s">
        <v>10167</v>
      </c>
      <c r="Z2237" t="s">
        <v>10168</v>
      </c>
      <c r="AA2237" t="s">
        <v>49</v>
      </c>
      <c r="AB2237" t="s">
        <v>50</v>
      </c>
      <c r="AC2237" s="2">
        <v>109085</v>
      </c>
      <c r="AD2237" t="s">
        <v>64</v>
      </c>
    </row>
    <row r="2238" spans="1:31" hidden="1" x14ac:dyDescent="0.25">
      <c r="A2238" t="s">
        <v>10610</v>
      </c>
      <c r="B2238" t="s">
        <v>10611</v>
      </c>
      <c r="C2238" t="s">
        <v>10611</v>
      </c>
      <c r="F2238" t="s">
        <v>10612</v>
      </c>
      <c r="H2238" t="s">
        <v>10565</v>
      </c>
      <c r="I2238" t="s">
        <v>10566</v>
      </c>
      <c r="J2238" s="2">
        <v>109085</v>
      </c>
      <c r="K2238" s="2">
        <v>500</v>
      </c>
      <c r="L2238" s="2">
        <v>30</v>
      </c>
      <c r="M2238" s="2">
        <v>0</v>
      </c>
      <c r="N2238" t="s">
        <v>10567</v>
      </c>
      <c r="O2238" t="s">
        <v>10565</v>
      </c>
      <c r="P2238" t="s">
        <v>10093</v>
      </c>
      <c r="Q2238" t="s">
        <v>10094</v>
      </c>
      <c r="S2238" t="s">
        <v>10613</v>
      </c>
      <c r="U2238" t="s">
        <v>45</v>
      </c>
      <c r="V2238" t="s">
        <v>46</v>
      </c>
      <c r="W2238" t="s">
        <v>10567</v>
      </c>
      <c r="X2238" t="s">
        <v>10565</v>
      </c>
      <c r="Y2238" t="s">
        <v>10167</v>
      </c>
      <c r="Z2238" t="s">
        <v>10168</v>
      </c>
      <c r="AA2238" t="s">
        <v>49</v>
      </c>
      <c r="AB2238" t="s">
        <v>50</v>
      </c>
      <c r="AC2238" s="2">
        <v>109085</v>
      </c>
      <c r="AD2238" t="s">
        <v>64</v>
      </c>
    </row>
    <row r="2239" spans="1:31" x14ac:dyDescent="0.25">
      <c r="A2239" s="15" t="s">
        <v>10614</v>
      </c>
      <c r="B2239" s="15" t="s">
        <v>10615</v>
      </c>
      <c r="C2239" s="15" t="s">
        <v>10615</v>
      </c>
      <c r="D2239" s="15" t="s">
        <v>55</v>
      </c>
      <c r="E2239" s="15" t="s">
        <v>56</v>
      </c>
      <c r="F2239" s="15" t="s">
        <v>10616</v>
      </c>
      <c r="H2239" s="15" t="s">
        <v>41</v>
      </c>
      <c r="J2239" s="2">
        <v>1000</v>
      </c>
      <c r="K2239" s="2">
        <v>0</v>
      </c>
      <c r="L2239" s="2">
        <v>1</v>
      </c>
      <c r="M2239" s="2">
        <v>0</v>
      </c>
      <c r="N2239" s="15" t="s">
        <v>40</v>
      </c>
      <c r="O2239" s="15" t="s">
        <v>41</v>
      </c>
      <c r="P2239" s="15" t="s">
        <v>42</v>
      </c>
      <c r="Q2239" s="15" t="s">
        <v>43</v>
      </c>
      <c r="S2239" t="s">
        <v>10617</v>
      </c>
      <c r="U2239" t="s">
        <v>45</v>
      </c>
      <c r="V2239" t="s">
        <v>46</v>
      </c>
      <c r="W2239" t="s">
        <v>40</v>
      </c>
      <c r="X2239" t="s">
        <v>41</v>
      </c>
      <c r="Y2239" t="s">
        <v>47</v>
      </c>
      <c r="Z2239" t="s">
        <v>48</v>
      </c>
      <c r="AA2239" t="s">
        <v>49</v>
      </c>
      <c r="AB2239" s="15" t="s">
        <v>50</v>
      </c>
      <c r="AC2239" s="16">
        <v>999.67</v>
      </c>
      <c r="AD2239" s="15" t="s">
        <v>10618</v>
      </c>
      <c r="AE2239" s="15" t="s">
        <v>115</v>
      </c>
    </row>
    <row r="2240" spans="1:31" hidden="1" x14ac:dyDescent="0.25">
      <c r="A2240" t="s">
        <v>10619</v>
      </c>
      <c r="B2240" t="s">
        <v>10620</v>
      </c>
      <c r="C2240" t="s">
        <v>10620</v>
      </c>
      <c r="F2240" t="s">
        <v>10621</v>
      </c>
      <c r="H2240" t="s">
        <v>10565</v>
      </c>
      <c r="I2240" t="s">
        <v>10622</v>
      </c>
      <c r="J2240" s="2">
        <v>109085</v>
      </c>
      <c r="K2240" s="2">
        <v>500</v>
      </c>
      <c r="L2240" s="2">
        <v>30</v>
      </c>
      <c r="M2240" s="2">
        <v>0</v>
      </c>
      <c r="N2240" t="s">
        <v>10567</v>
      </c>
      <c r="O2240" t="s">
        <v>10565</v>
      </c>
      <c r="P2240" t="s">
        <v>10093</v>
      </c>
      <c r="Q2240" t="s">
        <v>10094</v>
      </c>
      <c r="S2240" t="s">
        <v>10623</v>
      </c>
      <c r="U2240" t="s">
        <v>45</v>
      </c>
      <c r="V2240" t="s">
        <v>46</v>
      </c>
      <c r="W2240" t="s">
        <v>10567</v>
      </c>
      <c r="X2240" t="s">
        <v>10565</v>
      </c>
      <c r="Y2240" t="s">
        <v>10167</v>
      </c>
      <c r="Z2240" t="s">
        <v>10168</v>
      </c>
      <c r="AA2240" t="s">
        <v>49</v>
      </c>
      <c r="AB2240" t="s">
        <v>50</v>
      </c>
      <c r="AC2240" s="2">
        <v>109085</v>
      </c>
      <c r="AD2240" t="s">
        <v>64</v>
      </c>
    </row>
    <row r="2241" spans="1:31" hidden="1" x14ac:dyDescent="0.25">
      <c r="A2241" t="s">
        <v>10624</v>
      </c>
      <c r="B2241" t="s">
        <v>10625</v>
      </c>
      <c r="C2241" t="s">
        <v>10625</v>
      </c>
      <c r="F2241" t="s">
        <v>10626</v>
      </c>
      <c r="H2241" t="s">
        <v>10565</v>
      </c>
      <c r="I2241" t="s">
        <v>10566</v>
      </c>
      <c r="J2241" s="2">
        <v>109085</v>
      </c>
      <c r="K2241" s="2">
        <v>500</v>
      </c>
      <c r="L2241" s="2">
        <v>30</v>
      </c>
      <c r="M2241" s="2">
        <v>0</v>
      </c>
      <c r="N2241" t="s">
        <v>10567</v>
      </c>
      <c r="O2241" t="s">
        <v>10565</v>
      </c>
      <c r="P2241" t="s">
        <v>10093</v>
      </c>
      <c r="Q2241" t="s">
        <v>10094</v>
      </c>
      <c r="S2241" t="s">
        <v>10627</v>
      </c>
      <c r="U2241" t="s">
        <v>45</v>
      </c>
      <c r="V2241" t="s">
        <v>46</v>
      </c>
      <c r="W2241" t="s">
        <v>10567</v>
      </c>
      <c r="X2241" t="s">
        <v>10565</v>
      </c>
      <c r="Y2241" t="s">
        <v>10167</v>
      </c>
      <c r="Z2241" t="s">
        <v>10168</v>
      </c>
      <c r="AA2241" t="s">
        <v>49</v>
      </c>
      <c r="AB2241" t="s">
        <v>50</v>
      </c>
      <c r="AC2241" s="2">
        <v>109085</v>
      </c>
      <c r="AD2241" t="s">
        <v>64</v>
      </c>
    </row>
    <row r="2242" spans="1:31" x14ac:dyDescent="0.25">
      <c r="A2242" t="s">
        <v>10628</v>
      </c>
      <c r="B2242" t="s">
        <v>10629</v>
      </c>
      <c r="C2242" t="s">
        <v>10629</v>
      </c>
      <c r="D2242" t="s">
        <v>35</v>
      </c>
      <c r="E2242" t="s">
        <v>36</v>
      </c>
      <c r="F2242" t="s">
        <v>10630</v>
      </c>
      <c r="G2242" t="s">
        <v>35</v>
      </c>
      <c r="H2242" t="s">
        <v>10631</v>
      </c>
      <c r="I2242" t="s">
        <v>10632</v>
      </c>
      <c r="J2242" s="2">
        <v>1174350</v>
      </c>
      <c r="K2242" s="2">
        <v>5000</v>
      </c>
      <c r="L2242" s="2">
        <v>30</v>
      </c>
      <c r="M2242" s="2">
        <v>0</v>
      </c>
      <c r="N2242" t="s">
        <v>10343</v>
      </c>
      <c r="O2242" t="s">
        <v>10344</v>
      </c>
      <c r="P2242" t="s">
        <v>10093</v>
      </c>
      <c r="Q2242" t="s">
        <v>10094</v>
      </c>
      <c r="S2242" t="s">
        <v>10633</v>
      </c>
      <c r="U2242" t="s">
        <v>45</v>
      </c>
      <c r="V2242" t="s">
        <v>46</v>
      </c>
      <c r="W2242" t="s">
        <v>10343</v>
      </c>
      <c r="X2242" t="s">
        <v>10344</v>
      </c>
      <c r="Y2242" t="s">
        <v>7938</v>
      </c>
      <c r="Z2242" t="s">
        <v>7939</v>
      </c>
      <c r="AA2242" t="s">
        <v>49</v>
      </c>
      <c r="AB2242" t="s">
        <v>50</v>
      </c>
      <c r="AC2242" s="2">
        <v>976619.38</v>
      </c>
      <c r="AD2242" t="s">
        <v>10634</v>
      </c>
      <c r="AE2242" t="s">
        <v>52</v>
      </c>
    </row>
    <row r="2243" spans="1:31" x14ac:dyDescent="0.25">
      <c r="A2243" t="s">
        <v>10635</v>
      </c>
      <c r="B2243" t="s">
        <v>10636</v>
      </c>
      <c r="C2243" t="s">
        <v>10636</v>
      </c>
      <c r="D2243" t="s">
        <v>192</v>
      </c>
      <c r="E2243" t="s">
        <v>224</v>
      </c>
      <c r="F2243" t="s">
        <v>10637</v>
      </c>
      <c r="G2243" t="s">
        <v>192</v>
      </c>
      <c r="H2243" t="s">
        <v>4851</v>
      </c>
      <c r="I2243" t="s">
        <v>10638</v>
      </c>
      <c r="J2243" s="2">
        <v>218170</v>
      </c>
      <c r="K2243" s="2">
        <v>1000</v>
      </c>
      <c r="L2243" s="2">
        <v>30</v>
      </c>
      <c r="M2243" s="2">
        <v>0</v>
      </c>
      <c r="N2243" t="s">
        <v>4852</v>
      </c>
      <c r="O2243" t="s">
        <v>4851</v>
      </c>
      <c r="P2243" t="s">
        <v>4853</v>
      </c>
      <c r="Q2243" t="s">
        <v>4854</v>
      </c>
      <c r="S2243" t="s">
        <v>10639</v>
      </c>
      <c r="U2243" t="s">
        <v>45</v>
      </c>
      <c r="V2243" t="s">
        <v>46</v>
      </c>
      <c r="W2243" t="s">
        <v>4852</v>
      </c>
      <c r="X2243" t="s">
        <v>4851</v>
      </c>
      <c r="Y2243" t="s">
        <v>4854</v>
      </c>
      <c r="Z2243" t="s">
        <v>72</v>
      </c>
      <c r="AA2243" t="s">
        <v>49</v>
      </c>
      <c r="AB2243" t="s">
        <v>50</v>
      </c>
      <c r="AC2243" s="2">
        <v>208535.94</v>
      </c>
      <c r="AD2243" t="s">
        <v>10640</v>
      </c>
    </row>
    <row r="2244" spans="1:31" x14ac:dyDescent="0.25">
      <c r="A2244" t="s">
        <v>10641</v>
      </c>
      <c r="B2244" t="s">
        <v>10642</v>
      </c>
      <c r="C2244" t="s">
        <v>10642</v>
      </c>
      <c r="D2244" t="s">
        <v>166</v>
      </c>
      <c r="E2244" t="s">
        <v>167</v>
      </c>
      <c r="F2244" t="s">
        <v>10643</v>
      </c>
      <c r="H2244" t="s">
        <v>3750</v>
      </c>
      <c r="I2244" t="s">
        <v>10644</v>
      </c>
      <c r="J2244" s="2">
        <v>218170</v>
      </c>
      <c r="K2244" s="2">
        <v>1000</v>
      </c>
      <c r="L2244" s="2">
        <v>7</v>
      </c>
      <c r="M2244" s="2">
        <v>0</v>
      </c>
      <c r="N2244" t="s">
        <v>3752</v>
      </c>
      <c r="O2244" t="s">
        <v>3753</v>
      </c>
      <c r="P2244" t="s">
        <v>158</v>
      </c>
      <c r="Q2244" t="s">
        <v>159</v>
      </c>
      <c r="S2244" t="s">
        <v>10645</v>
      </c>
      <c r="U2244" t="s">
        <v>45</v>
      </c>
      <c r="V2244" t="s">
        <v>46</v>
      </c>
      <c r="W2244" t="s">
        <v>3752</v>
      </c>
      <c r="X2244" t="s">
        <v>3753</v>
      </c>
      <c r="Y2244" t="s">
        <v>161</v>
      </c>
      <c r="Z2244" t="s">
        <v>162</v>
      </c>
      <c r="AA2244" t="s">
        <v>49</v>
      </c>
      <c r="AB2244" t="s">
        <v>50</v>
      </c>
      <c r="AC2244" s="2">
        <v>218170</v>
      </c>
      <c r="AD2244" t="s">
        <v>64</v>
      </c>
    </row>
    <row r="2245" spans="1:31" hidden="1" x14ac:dyDescent="0.25">
      <c r="A2245" t="s">
        <v>10646</v>
      </c>
      <c r="B2245" t="s">
        <v>10647</v>
      </c>
      <c r="C2245" t="s">
        <v>10647</v>
      </c>
      <c r="F2245" t="s">
        <v>10648</v>
      </c>
      <c r="H2245" t="s">
        <v>303</v>
      </c>
      <c r="I2245" t="s">
        <v>10649</v>
      </c>
      <c r="J2245" s="2">
        <v>1000</v>
      </c>
      <c r="K2245" s="2">
        <v>0</v>
      </c>
      <c r="L2245" s="2">
        <v>1</v>
      </c>
      <c r="M2245" s="2">
        <v>0</v>
      </c>
      <c r="N2245" t="s">
        <v>302</v>
      </c>
      <c r="O2245" t="s">
        <v>303</v>
      </c>
      <c r="P2245" t="s">
        <v>304</v>
      </c>
      <c r="Q2245" t="s">
        <v>72</v>
      </c>
      <c r="S2245" t="s">
        <v>10650</v>
      </c>
      <c r="U2245" t="s">
        <v>45</v>
      </c>
      <c r="V2245" t="s">
        <v>46</v>
      </c>
      <c r="W2245" t="s">
        <v>302</v>
      </c>
      <c r="X2245" t="s">
        <v>303</v>
      </c>
      <c r="Y2245" t="s">
        <v>72</v>
      </c>
      <c r="Z2245" t="s">
        <v>68</v>
      </c>
      <c r="AA2245" t="s">
        <v>49</v>
      </c>
      <c r="AB2245" t="s">
        <v>50</v>
      </c>
      <c r="AC2245" s="2">
        <v>1000</v>
      </c>
      <c r="AD2245" t="s">
        <v>64</v>
      </c>
    </row>
    <row r="2246" spans="1:31" x14ac:dyDescent="0.25">
      <c r="A2246" t="s">
        <v>10651</v>
      </c>
      <c r="B2246" t="s">
        <v>10652</v>
      </c>
      <c r="C2246" t="s">
        <v>10652</v>
      </c>
      <c r="D2246" t="s">
        <v>125</v>
      </c>
      <c r="E2246" t="s">
        <v>126</v>
      </c>
      <c r="F2246" t="s">
        <v>10653</v>
      </c>
      <c r="G2246" t="s">
        <v>125</v>
      </c>
      <c r="H2246" t="s">
        <v>2572</v>
      </c>
      <c r="I2246" t="s">
        <v>10654</v>
      </c>
      <c r="J2246" s="2">
        <v>470079</v>
      </c>
      <c r="K2246" s="2">
        <v>1900</v>
      </c>
      <c r="L2246" s="2">
        <v>15</v>
      </c>
      <c r="M2246" s="2">
        <v>0</v>
      </c>
      <c r="N2246" t="s">
        <v>2571</v>
      </c>
      <c r="O2246" t="s">
        <v>2572</v>
      </c>
      <c r="P2246" t="s">
        <v>6987</v>
      </c>
      <c r="Q2246" t="s">
        <v>6988</v>
      </c>
      <c r="S2246" t="s">
        <v>10655</v>
      </c>
      <c r="U2246" t="s">
        <v>45</v>
      </c>
      <c r="V2246" t="s">
        <v>46</v>
      </c>
      <c r="W2246" t="s">
        <v>2571</v>
      </c>
      <c r="X2246" t="s">
        <v>2572</v>
      </c>
      <c r="Y2246" t="s">
        <v>2399</v>
      </c>
      <c r="Z2246" t="s">
        <v>2400</v>
      </c>
      <c r="AA2246" t="s">
        <v>49</v>
      </c>
      <c r="AB2246" t="s">
        <v>50</v>
      </c>
      <c r="AC2246" s="2">
        <v>48447.58</v>
      </c>
      <c r="AD2246" t="s">
        <v>10656</v>
      </c>
      <c r="AE2246" t="s">
        <v>52</v>
      </c>
    </row>
    <row r="2247" spans="1:31" hidden="1" x14ac:dyDescent="0.25">
      <c r="J2247" s="2">
        <v>65451</v>
      </c>
      <c r="K2247" s="2">
        <v>300</v>
      </c>
      <c r="L2247" s="2">
        <v>10</v>
      </c>
      <c r="M2247" s="2">
        <v>0</v>
      </c>
      <c r="S2247" t="s">
        <v>10657</v>
      </c>
      <c r="U2247" t="s">
        <v>45</v>
      </c>
      <c r="V2247" t="s">
        <v>46</v>
      </c>
      <c r="W2247" t="s">
        <v>40</v>
      </c>
      <c r="X2247" t="s">
        <v>41</v>
      </c>
      <c r="Y2247" t="s">
        <v>47</v>
      </c>
      <c r="Z2247" t="s">
        <v>48</v>
      </c>
      <c r="AA2247" t="s">
        <v>49</v>
      </c>
      <c r="AC2247" s="2"/>
    </row>
    <row r="2248" spans="1:31" hidden="1" x14ac:dyDescent="0.25">
      <c r="J2248" s="2">
        <v>1000</v>
      </c>
      <c r="K2248" s="2">
        <v>0</v>
      </c>
      <c r="L2248" s="2">
        <v>1</v>
      </c>
      <c r="M2248" s="2">
        <v>0</v>
      </c>
      <c r="U2248" t="s">
        <v>45</v>
      </c>
      <c r="V2248" t="s">
        <v>46</v>
      </c>
      <c r="W2248" t="s">
        <v>40</v>
      </c>
      <c r="X2248" t="s">
        <v>41</v>
      </c>
      <c r="Y2248" t="s">
        <v>47</v>
      </c>
      <c r="Z2248" t="s">
        <v>48</v>
      </c>
      <c r="AA2248" t="s">
        <v>49</v>
      </c>
      <c r="AC2248" s="2"/>
    </row>
    <row r="2249" spans="1:31" hidden="1" x14ac:dyDescent="0.25">
      <c r="A2249" s="10" t="s">
        <v>10658</v>
      </c>
      <c r="B2249" s="10" t="s">
        <v>10659</v>
      </c>
      <c r="C2249" t="s">
        <v>10659</v>
      </c>
      <c r="D2249" t="s">
        <v>2485</v>
      </c>
      <c r="E2249" t="s">
        <v>134</v>
      </c>
      <c r="F2249" t="s">
        <v>10660</v>
      </c>
      <c r="H2249" t="s">
        <v>41</v>
      </c>
      <c r="J2249" s="2">
        <v>10909</v>
      </c>
      <c r="K2249" s="2">
        <v>50</v>
      </c>
      <c r="L2249" s="2">
        <v>15</v>
      </c>
      <c r="M2249" s="2">
        <v>0</v>
      </c>
      <c r="N2249" t="s">
        <v>40</v>
      </c>
      <c r="O2249" t="s">
        <v>41</v>
      </c>
      <c r="P2249" t="s">
        <v>42</v>
      </c>
      <c r="Q2249" t="s">
        <v>43</v>
      </c>
      <c r="U2249" t="s">
        <v>45</v>
      </c>
      <c r="V2249" t="s">
        <v>46</v>
      </c>
      <c r="W2249" t="s">
        <v>40</v>
      </c>
      <c r="X2249" t="s">
        <v>41</v>
      </c>
      <c r="Y2249" t="s">
        <v>47</v>
      </c>
      <c r="Z2249" t="s">
        <v>48</v>
      </c>
      <c r="AA2249" t="s">
        <v>141</v>
      </c>
      <c r="AB2249" t="s">
        <v>142</v>
      </c>
      <c r="AC2249" s="2">
        <v>10909</v>
      </c>
      <c r="AD2249" t="s">
        <v>64</v>
      </c>
    </row>
    <row r="2250" spans="1:31" x14ac:dyDescent="0.25">
      <c r="A2250" t="s">
        <v>10661</v>
      </c>
      <c r="B2250" t="s">
        <v>10662</v>
      </c>
      <c r="C2250" t="s">
        <v>10662</v>
      </c>
      <c r="D2250" t="s">
        <v>847</v>
      </c>
      <c r="E2250" t="s">
        <v>848</v>
      </c>
      <c r="F2250" t="s">
        <v>10663</v>
      </c>
      <c r="H2250" t="s">
        <v>41</v>
      </c>
      <c r="J2250" s="2">
        <v>21817</v>
      </c>
      <c r="K2250" s="2">
        <v>100</v>
      </c>
      <c r="L2250" s="2">
        <v>15</v>
      </c>
      <c r="M2250" s="2">
        <v>0</v>
      </c>
      <c r="N2250" t="s">
        <v>40</v>
      </c>
      <c r="O2250" t="s">
        <v>41</v>
      </c>
      <c r="P2250" t="s">
        <v>42</v>
      </c>
      <c r="Q2250" t="s">
        <v>43</v>
      </c>
      <c r="U2250" t="s">
        <v>45</v>
      </c>
      <c r="V2250" t="s">
        <v>46</v>
      </c>
      <c r="W2250" t="s">
        <v>40</v>
      </c>
      <c r="X2250" t="s">
        <v>41</v>
      </c>
      <c r="Y2250" t="s">
        <v>47</v>
      </c>
      <c r="Z2250" t="s">
        <v>48</v>
      </c>
      <c r="AA2250" t="s">
        <v>141</v>
      </c>
      <c r="AB2250" t="s">
        <v>50</v>
      </c>
      <c r="AC2250" s="2">
        <v>19976.25</v>
      </c>
      <c r="AD2250" t="s">
        <v>10664</v>
      </c>
    </row>
    <row r="2251" spans="1:31" hidden="1" x14ac:dyDescent="0.25">
      <c r="A2251" t="s">
        <v>10665</v>
      </c>
      <c r="B2251" t="s">
        <v>10666</v>
      </c>
      <c r="C2251" t="s">
        <v>10666</v>
      </c>
      <c r="F2251" t="s">
        <v>10667</v>
      </c>
      <c r="H2251" t="s">
        <v>68</v>
      </c>
      <c r="J2251" s="2">
        <v>1000</v>
      </c>
      <c r="K2251" s="2">
        <v>0</v>
      </c>
      <c r="L2251" s="2">
        <v>1</v>
      </c>
      <c r="M2251" s="2">
        <v>0</v>
      </c>
      <c r="N2251" t="s">
        <v>67</v>
      </c>
      <c r="O2251" t="s">
        <v>68</v>
      </c>
      <c r="P2251" t="s">
        <v>69</v>
      </c>
      <c r="Q2251" t="s">
        <v>70</v>
      </c>
      <c r="S2251" t="s">
        <v>10668</v>
      </c>
      <c r="U2251" t="s">
        <v>45</v>
      </c>
      <c r="V2251" t="s">
        <v>46</v>
      </c>
      <c r="W2251" t="s">
        <v>67</v>
      </c>
      <c r="X2251" t="s">
        <v>68</v>
      </c>
      <c r="Y2251" t="s">
        <v>72</v>
      </c>
      <c r="Z2251" t="s">
        <v>68</v>
      </c>
      <c r="AA2251" t="s">
        <v>49</v>
      </c>
      <c r="AB2251" t="s">
        <v>50</v>
      </c>
      <c r="AC2251" s="2">
        <v>1000</v>
      </c>
      <c r="AD2251" t="s">
        <v>64</v>
      </c>
    </row>
    <row r="2252" spans="1:31" x14ac:dyDescent="0.25">
      <c r="A2252" t="s">
        <v>10669</v>
      </c>
      <c r="B2252" t="s">
        <v>10670</v>
      </c>
      <c r="C2252" t="s">
        <v>10670</v>
      </c>
      <c r="D2252" t="s">
        <v>192</v>
      </c>
      <c r="E2252" t="s">
        <v>224</v>
      </c>
      <c r="F2252" t="s">
        <v>10671</v>
      </c>
      <c r="G2252" t="s">
        <v>6721</v>
      </c>
      <c r="H2252" t="s">
        <v>10672</v>
      </c>
      <c r="I2252" t="s">
        <v>10673</v>
      </c>
      <c r="J2252" s="2">
        <v>218170</v>
      </c>
      <c r="K2252" s="2">
        <v>1000</v>
      </c>
      <c r="L2252" s="2">
        <v>21</v>
      </c>
      <c r="M2252" s="2">
        <v>0</v>
      </c>
      <c r="N2252" t="s">
        <v>8208</v>
      </c>
      <c r="O2252" t="s">
        <v>8209</v>
      </c>
      <c r="P2252" t="s">
        <v>3487</v>
      </c>
      <c r="Q2252" t="s">
        <v>3488</v>
      </c>
      <c r="S2252" t="s">
        <v>10674</v>
      </c>
      <c r="U2252" t="s">
        <v>45</v>
      </c>
      <c r="V2252" t="s">
        <v>46</v>
      </c>
      <c r="W2252" t="s">
        <v>8208</v>
      </c>
      <c r="X2252" t="s">
        <v>8209</v>
      </c>
      <c r="Y2252" t="s">
        <v>79</v>
      </c>
      <c r="Z2252" t="s">
        <v>94</v>
      </c>
      <c r="AA2252" t="s">
        <v>49</v>
      </c>
      <c r="AB2252" t="s">
        <v>50</v>
      </c>
      <c r="AC2252" s="2">
        <v>215448.28</v>
      </c>
      <c r="AD2252" t="s">
        <v>10675</v>
      </c>
    </row>
    <row r="2253" spans="1:31" x14ac:dyDescent="0.25">
      <c r="A2253" t="s">
        <v>10676</v>
      </c>
      <c r="B2253" t="s">
        <v>10677</v>
      </c>
      <c r="C2253" t="s">
        <v>10677</v>
      </c>
      <c r="D2253" t="s">
        <v>166</v>
      </c>
      <c r="E2253" t="s">
        <v>167</v>
      </c>
      <c r="F2253" t="s">
        <v>10678</v>
      </c>
      <c r="G2253" t="s">
        <v>4647</v>
      </c>
      <c r="H2253" t="s">
        <v>8401</v>
      </c>
      <c r="I2253" t="s">
        <v>10679</v>
      </c>
      <c r="J2253" s="2">
        <v>43634</v>
      </c>
      <c r="K2253" s="2">
        <v>200</v>
      </c>
      <c r="L2253" s="2">
        <v>21</v>
      </c>
      <c r="M2253" s="2">
        <v>0</v>
      </c>
      <c r="N2253" t="s">
        <v>8403</v>
      </c>
      <c r="O2253" t="s">
        <v>8401</v>
      </c>
      <c r="P2253" t="s">
        <v>6987</v>
      </c>
      <c r="Q2253" t="s">
        <v>6988</v>
      </c>
      <c r="S2253" t="s">
        <v>10680</v>
      </c>
      <c r="U2253" t="s">
        <v>45</v>
      </c>
      <c r="V2253" t="s">
        <v>46</v>
      </c>
      <c r="W2253" t="s">
        <v>8403</v>
      </c>
      <c r="X2253" t="s">
        <v>8401</v>
      </c>
      <c r="Y2253" t="s">
        <v>2399</v>
      </c>
      <c r="Z2253" t="s">
        <v>2400</v>
      </c>
      <c r="AA2253" t="s">
        <v>49</v>
      </c>
      <c r="AB2253" t="s">
        <v>50</v>
      </c>
      <c r="AC2253" s="2">
        <v>43634</v>
      </c>
      <c r="AD2253" t="s">
        <v>64</v>
      </c>
    </row>
    <row r="2254" spans="1:31" hidden="1" x14ac:dyDescent="0.25">
      <c r="A2254" t="s">
        <v>10681</v>
      </c>
      <c r="B2254" t="s">
        <v>10682</v>
      </c>
      <c r="C2254" t="s">
        <v>10682</v>
      </c>
      <c r="F2254" t="s">
        <v>10683</v>
      </c>
      <c r="H2254" t="s">
        <v>9137</v>
      </c>
      <c r="J2254" s="2">
        <v>1000</v>
      </c>
      <c r="K2254" s="2">
        <v>0</v>
      </c>
      <c r="L2254" s="2">
        <v>21</v>
      </c>
      <c r="M2254" s="2">
        <v>0</v>
      </c>
      <c r="N2254" t="s">
        <v>9136</v>
      </c>
      <c r="O2254" t="s">
        <v>9137</v>
      </c>
      <c r="P2254" t="s">
        <v>5966</v>
      </c>
      <c r="Q2254" t="s">
        <v>5739</v>
      </c>
      <c r="S2254" t="s">
        <v>10684</v>
      </c>
      <c r="U2254" t="s">
        <v>45</v>
      </c>
      <c r="V2254" t="s">
        <v>46</v>
      </c>
      <c r="W2254" t="s">
        <v>9136</v>
      </c>
      <c r="X2254" t="s">
        <v>9137</v>
      </c>
      <c r="Y2254" t="s">
        <v>7493</v>
      </c>
      <c r="Z2254" t="s">
        <v>7494</v>
      </c>
      <c r="AA2254" t="s">
        <v>49</v>
      </c>
      <c r="AB2254" t="s">
        <v>50</v>
      </c>
      <c r="AC2254" s="2">
        <v>1000</v>
      </c>
      <c r="AD2254" t="s">
        <v>64</v>
      </c>
    </row>
    <row r="2255" spans="1:31" hidden="1" x14ac:dyDescent="0.25">
      <c r="A2255" t="s">
        <v>10685</v>
      </c>
      <c r="B2255" t="s">
        <v>10686</v>
      </c>
      <c r="C2255" t="s">
        <v>10686</v>
      </c>
      <c r="F2255" t="s">
        <v>10687</v>
      </c>
      <c r="H2255" t="s">
        <v>10688</v>
      </c>
      <c r="I2255" t="s">
        <v>10689</v>
      </c>
      <c r="J2255" s="2">
        <v>1000</v>
      </c>
      <c r="K2255" s="2">
        <v>0</v>
      </c>
      <c r="L2255" s="2">
        <v>21</v>
      </c>
      <c r="M2255" s="2">
        <v>0</v>
      </c>
      <c r="N2255" t="s">
        <v>10690</v>
      </c>
      <c r="O2255" t="s">
        <v>10688</v>
      </c>
      <c r="P2255" t="s">
        <v>5966</v>
      </c>
      <c r="Q2255" t="s">
        <v>5739</v>
      </c>
      <c r="S2255" t="s">
        <v>10691</v>
      </c>
      <c r="U2255" t="s">
        <v>45</v>
      </c>
      <c r="V2255" t="s">
        <v>46</v>
      </c>
      <c r="W2255" t="s">
        <v>10690</v>
      </c>
      <c r="X2255" t="s">
        <v>10688</v>
      </c>
      <c r="Y2255" t="s">
        <v>7493</v>
      </c>
      <c r="Z2255" t="s">
        <v>7494</v>
      </c>
      <c r="AA2255" t="s">
        <v>49</v>
      </c>
      <c r="AB2255" t="s">
        <v>50</v>
      </c>
      <c r="AC2255" s="2">
        <v>1000</v>
      </c>
      <c r="AD2255" t="s">
        <v>64</v>
      </c>
    </row>
    <row r="2256" spans="1:31" x14ac:dyDescent="0.25">
      <c r="A2256" t="s">
        <v>10692</v>
      </c>
      <c r="B2256" t="s">
        <v>10693</v>
      </c>
      <c r="C2256" t="s">
        <v>10693</v>
      </c>
      <c r="D2256" t="s">
        <v>7666</v>
      </c>
      <c r="E2256" t="s">
        <v>77</v>
      </c>
      <c r="F2256" t="s">
        <v>10694</v>
      </c>
      <c r="G2256" t="s">
        <v>323</v>
      </c>
      <c r="H2256" t="s">
        <v>10695</v>
      </c>
      <c r="I2256" t="s">
        <v>10696</v>
      </c>
      <c r="J2256" s="2">
        <v>109085</v>
      </c>
      <c r="K2256" s="2">
        <v>500</v>
      </c>
      <c r="L2256" s="2">
        <v>15</v>
      </c>
      <c r="M2256" s="2">
        <v>0</v>
      </c>
      <c r="N2256" t="s">
        <v>80</v>
      </c>
      <c r="O2256" t="s">
        <v>81</v>
      </c>
      <c r="P2256" t="s">
        <v>557</v>
      </c>
      <c r="Q2256" t="s">
        <v>558</v>
      </c>
      <c r="S2256" t="s">
        <v>10697</v>
      </c>
      <c r="U2256" t="s">
        <v>45</v>
      </c>
      <c r="V2256" t="s">
        <v>46</v>
      </c>
      <c r="W2256" t="s">
        <v>80</v>
      </c>
      <c r="X2256" t="s">
        <v>81</v>
      </c>
      <c r="Y2256" t="s">
        <v>85</v>
      </c>
      <c r="Z2256" t="s">
        <v>86</v>
      </c>
      <c r="AA2256" t="s">
        <v>49</v>
      </c>
      <c r="AB2256" t="s">
        <v>50</v>
      </c>
      <c r="AC2256" s="2">
        <v>109085</v>
      </c>
      <c r="AD2256" t="s">
        <v>64</v>
      </c>
    </row>
    <row r="2257" spans="1:31" x14ac:dyDescent="0.25">
      <c r="A2257" t="s">
        <v>10698</v>
      </c>
      <c r="B2257" t="s">
        <v>10699</v>
      </c>
      <c r="C2257" t="s">
        <v>10699</v>
      </c>
      <c r="D2257" t="s">
        <v>764</v>
      </c>
      <c r="E2257" t="s">
        <v>77</v>
      </c>
      <c r="F2257" t="s">
        <v>10700</v>
      </c>
      <c r="H2257" t="s">
        <v>861</v>
      </c>
      <c r="I2257" t="s">
        <v>10701</v>
      </c>
      <c r="J2257" s="2">
        <v>1691</v>
      </c>
      <c r="K2257" s="2">
        <v>7.75</v>
      </c>
      <c r="L2257" s="2">
        <v>30</v>
      </c>
      <c r="M2257" s="2">
        <v>0</v>
      </c>
      <c r="N2257" t="s">
        <v>860</v>
      </c>
      <c r="O2257" t="s">
        <v>861</v>
      </c>
      <c r="P2257" t="s">
        <v>103</v>
      </c>
      <c r="Q2257" t="s">
        <v>104</v>
      </c>
      <c r="S2257" t="s">
        <v>10702</v>
      </c>
      <c r="U2257" t="s">
        <v>45</v>
      </c>
      <c r="V2257" t="s">
        <v>46</v>
      </c>
      <c r="W2257" t="s">
        <v>860</v>
      </c>
      <c r="X2257" t="s">
        <v>861</v>
      </c>
      <c r="Y2257" t="s">
        <v>106</v>
      </c>
      <c r="Z2257" t="s">
        <v>107</v>
      </c>
      <c r="AA2257" t="s">
        <v>49</v>
      </c>
      <c r="AB2257" t="s">
        <v>50</v>
      </c>
      <c r="AC2257" s="2">
        <v>1691</v>
      </c>
      <c r="AD2257" t="s">
        <v>64</v>
      </c>
    </row>
    <row r="2258" spans="1:31" x14ac:dyDescent="0.25">
      <c r="A2258" t="s">
        <v>10703</v>
      </c>
      <c r="B2258" t="s">
        <v>10704</v>
      </c>
      <c r="C2258" t="s">
        <v>10704</v>
      </c>
      <c r="D2258" t="s">
        <v>166</v>
      </c>
      <c r="E2258" t="s">
        <v>167</v>
      </c>
      <c r="F2258" t="s">
        <v>10705</v>
      </c>
      <c r="G2258" t="s">
        <v>1245</v>
      </c>
      <c r="H2258" t="s">
        <v>79</v>
      </c>
      <c r="I2258" t="s">
        <v>10706</v>
      </c>
      <c r="J2258" s="2">
        <v>109085</v>
      </c>
      <c r="K2258" s="2">
        <v>500</v>
      </c>
      <c r="L2258" s="2">
        <v>21</v>
      </c>
      <c r="M2258" s="2">
        <v>0</v>
      </c>
      <c r="N2258" t="s">
        <v>495</v>
      </c>
      <c r="O2258" t="s">
        <v>79</v>
      </c>
      <c r="P2258" t="s">
        <v>3487</v>
      </c>
      <c r="Q2258" t="s">
        <v>3488</v>
      </c>
      <c r="S2258" t="s">
        <v>10707</v>
      </c>
      <c r="U2258" t="s">
        <v>45</v>
      </c>
      <c r="V2258" t="s">
        <v>46</v>
      </c>
      <c r="W2258" t="s">
        <v>495</v>
      </c>
      <c r="X2258" t="s">
        <v>79</v>
      </c>
      <c r="Y2258" t="s">
        <v>79</v>
      </c>
      <c r="Z2258" t="s">
        <v>94</v>
      </c>
      <c r="AA2258" t="s">
        <v>49</v>
      </c>
      <c r="AB2258" t="s">
        <v>50</v>
      </c>
      <c r="AC2258" s="2">
        <v>109085</v>
      </c>
      <c r="AD2258" t="s">
        <v>64</v>
      </c>
    </row>
    <row r="2259" spans="1:31" hidden="1" x14ac:dyDescent="0.25">
      <c r="A2259" t="s">
        <v>10708</v>
      </c>
      <c r="B2259" t="s">
        <v>10709</v>
      </c>
      <c r="C2259" t="s">
        <v>10709</v>
      </c>
      <c r="F2259" t="s">
        <v>10710</v>
      </c>
      <c r="H2259" t="s">
        <v>9137</v>
      </c>
      <c r="J2259" s="2">
        <v>1000</v>
      </c>
      <c r="K2259" s="2">
        <v>0</v>
      </c>
      <c r="L2259" s="2">
        <v>1</v>
      </c>
      <c r="M2259" s="2">
        <v>0</v>
      </c>
      <c r="N2259" t="s">
        <v>9136</v>
      </c>
      <c r="O2259" t="s">
        <v>9137</v>
      </c>
      <c r="P2259" t="s">
        <v>5966</v>
      </c>
      <c r="Q2259" t="s">
        <v>5739</v>
      </c>
      <c r="S2259" t="s">
        <v>10711</v>
      </c>
      <c r="U2259" t="s">
        <v>45</v>
      </c>
      <c r="V2259" t="s">
        <v>46</v>
      </c>
      <c r="W2259" t="s">
        <v>9136</v>
      </c>
      <c r="X2259" t="s">
        <v>9137</v>
      </c>
      <c r="Y2259" t="s">
        <v>7493</v>
      </c>
      <c r="Z2259" t="s">
        <v>7494</v>
      </c>
      <c r="AA2259" t="s">
        <v>49</v>
      </c>
      <c r="AB2259" t="s">
        <v>50</v>
      </c>
      <c r="AC2259" s="2">
        <v>1000</v>
      </c>
      <c r="AD2259" t="s">
        <v>64</v>
      </c>
    </row>
    <row r="2260" spans="1:31" x14ac:dyDescent="0.25">
      <c r="A2260" t="s">
        <v>10712</v>
      </c>
      <c r="B2260" t="s">
        <v>10713</v>
      </c>
      <c r="C2260" t="s">
        <v>10713</v>
      </c>
      <c r="D2260" t="s">
        <v>498</v>
      </c>
      <c r="E2260" t="s">
        <v>190</v>
      </c>
      <c r="F2260" t="s">
        <v>10714</v>
      </c>
      <c r="G2260" t="s">
        <v>498</v>
      </c>
      <c r="H2260" t="s">
        <v>665</v>
      </c>
      <c r="I2260" t="s">
        <v>10715</v>
      </c>
      <c r="J2260" s="2">
        <v>130902</v>
      </c>
      <c r="K2260" s="2">
        <v>600</v>
      </c>
      <c r="L2260" s="2">
        <v>30</v>
      </c>
      <c r="M2260" s="2">
        <v>0</v>
      </c>
      <c r="N2260" t="s">
        <v>664</v>
      </c>
      <c r="O2260" t="s">
        <v>665</v>
      </c>
      <c r="P2260" t="s">
        <v>103</v>
      </c>
      <c r="Q2260" t="s">
        <v>104</v>
      </c>
      <c r="S2260" t="s">
        <v>10716</v>
      </c>
      <c r="U2260" t="s">
        <v>45</v>
      </c>
      <c r="V2260" t="s">
        <v>46</v>
      </c>
      <c r="W2260" t="s">
        <v>664</v>
      </c>
      <c r="X2260" t="s">
        <v>665</v>
      </c>
      <c r="Y2260" t="s">
        <v>106</v>
      </c>
      <c r="Z2260" t="s">
        <v>107</v>
      </c>
      <c r="AA2260" t="s">
        <v>49</v>
      </c>
      <c r="AB2260" t="s">
        <v>50</v>
      </c>
      <c r="AC2260" s="2">
        <v>107165.51</v>
      </c>
      <c r="AD2260" t="s">
        <v>10717</v>
      </c>
      <c r="AE2260" t="s">
        <v>52</v>
      </c>
    </row>
    <row r="2261" spans="1:31" x14ac:dyDescent="0.25">
      <c r="A2261" t="s">
        <v>10718</v>
      </c>
      <c r="B2261" t="s">
        <v>10719</v>
      </c>
      <c r="C2261" t="s">
        <v>10719</v>
      </c>
      <c r="D2261" t="s">
        <v>2687</v>
      </c>
      <c r="E2261" t="s">
        <v>190</v>
      </c>
      <c r="F2261" t="s">
        <v>10720</v>
      </c>
      <c r="G2261" t="s">
        <v>792</v>
      </c>
      <c r="H2261" t="s">
        <v>139</v>
      </c>
      <c r="I2261" t="s">
        <v>10721</v>
      </c>
      <c r="J2261" s="2">
        <v>227560</v>
      </c>
      <c r="K2261" s="2">
        <v>1000</v>
      </c>
      <c r="L2261" s="2">
        <v>30</v>
      </c>
      <c r="M2261" s="2">
        <v>0</v>
      </c>
      <c r="N2261" t="s">
        <v>8853</v>
      </c>
      <c r="O2261" t="s">
        <v>139</v>
      </c>
      <c r="P2261" t="s">
        <v>10093</v>
      </c>
      <c r="Q2261" t="s">
        <v>10094</v>
      </c>
      <c r="S2261" t="s">
        <v>10722</v>
      </c>
      <c r="U2261" t="s">
        <v>45</v>
      </c>
      <c r="V2261" t="s">
        <v>46</v>
      </c>
      <c r="W2261" t="s">
        <v>8853</v>
      </c>
      <c r="X2261" t="s">
        <v>139</v>
      </c>
      <c r="Y2261" t="s">
        <v>139</v>
      </c>
      <c r="Z2261" t="s">
        <v>140</v>
      </c>
      <c r="AA2261" t="s">
        <v>49</v>
      </c>
      <c r="AB2261" t="s">
        <v>50</v>
      </c>
      <c r="AC2261" s="2">
        <v>226746.79</v>
      </c>
      <c r="AD2261" t="s">
        <v>10723</v>
      </c>
    </row>
    <row r="2262" spans="1:31" x14ac:dyDescent="0.25">
      <c r="A2262" t="s">
        <v>10724</v>
      </c>
      <c r="B2262" t="s">
        <v>10725</v>
      </c>
      <c r="C2262" t="s">
        <v>10725</v>
      </c>
      <c r="D2262" t="s">
        <v>125</v>
      </c>
      <c r="E2262" t="s">
        <v>126</v>
      </c>
      <c r="F2262" t="s">
        <v>10726</v>
      </c>
      <c r="G2262" t="s">
        <v>125</v>
      </c>
      <c r="H2262" t="s">
        <v>10727</v>
      </c>
      <c r="I2262" t="s">
        <v>10728</v>
      </c>
      <c r="J2262" s="2">
        <v>808815</v>
      </c>
      <c r="K2262" s="2">
        <v>3500</v>
      </c>
      <c r="L2262" s="2">
        <v>15</v>
      </c>
      <c r="M2262" s="2">
        <v>0</v>
      </c>
      <c r="N2262" t="s">
        <v>1210</v>
      </c>
      <c r="O2262" t="s">
        <v>1211</v>
      </c>
      <c r="P2262" t="s">
        <v>1421</v>
      </c>
      <c r="Q2262" t="s">
        <v>1422</v>
      </c>
      <c r="S2262" t="s">
        <v>10729</v>
      </c>
      <c r="U2262" t="s">
        <v>45</v>
      </c>
      <c r="V2262" t="s">
        <v>46</v>
      </c>
      <c r="W2262" t="s">
        <v>1210</v>
      </c>
      <c r="X2262" t="s">
        <v>1211</v>
      </c>
      <c r="Y2262" t="s">
        <v>1215</v>
      </c>
      <c r="Z2262" t="s">
        <v>1216</v>
      </c>
      <c r="AA2262" t="s">
        <v>49</v>
      </c>
      <c r="AB2262" t="s">
        <v>50</v>
      </c>
      <c r="AC2262" s="2">
        <v>149788.94</v>
      </c>
      <c r="AD2262" t="s">
        <v>10730</v>
      </c>
      <c r="AE2262" t="s">
        <v>52</v>
      </c>
    </row>
    <row r="2263" spans="1:31" x14ac:dyDescent="0.25">
      <c r="A2263" t="s">
        <v>10731</v>
      </c>
      <c r="B2263" t="s">
        <v>10732</v>
      </c>
      <c r="C2263" t="s">
        <v>10732</v>
      </c>
      <c r="D2263" t="s">
        <v>569</v>
      </c>
      <c r="E2263" t="s">
        <v>570</v>
      </c>
      <c r="F2263" t="s">
        <v>10733</v>
      </c>
      <c r="G2263" t="s">
        <v>178</v>
      </c>
      <c r="H2263" t="s">
        <v>81</v>
      </c>
      <c r="I2263" t="s">
        <v>10734</v>
      </c>
      <c r="J2263" s="2">
        <v>327255</v>
      </c>
      <c r="K2263" s="2">
        <v>1500</v>
      </c>
      <c r="L2263" s="2">
        <v>15</v>
      </c>
      <c r="M2263" s="2">
        <v>0</v>
      </c>
      <c r="N2263" t="s">
        <v>80</v>
      </c>
      <c r="O2263" t="s">
        <v>81</v>
      </c>
      <c r="P2263" t="s">
        <v>82</v>
      </c>
      <c r="Q2263" t="s">
        <v>83</v>
      </c>
      <c r="S2263" t="s">
        <v>10735</v>
      </c>
      <c r="U2263" t="s">
        <v>45</v>
      </c>
      <c r="V2263" t="s">
        <v>46</v>
      </c>
      <c r="W2263" t="s">
        <v>80</v>
      </c>
      <c r="X2263" t="s">
        <v>81</v>
      </c>
      <c r="Y2263" t="s">
        <v>85</v>
      </c>
      <c r="Z2263" t="s">
        <v>86</v>
      </c>
      <c r="AA2263" t="s">
        <v>49</v>
      </c>
      <c r="AB2263" t="s">
        <v>50</v>
      </c>
      <c r="AC2263" s="2">
        <v>327204.09999999998</v>
      </c>
      <c r="AD2263" t="s">
        <v>10736</v>
      </c>
      <c r="AE2263" t="s">
        <v>52</v>
      </c>
    </row>
    <row r="2264" spans="1:31" x14ac:dyDescent="0.25">
      <c r="A2264" t="s">
        <v>10737</v>
      </c>
      <c r="B2264" t="s">
        <v>10738</v>
      </c>
      <c r="C2264" t="s">
        <v>10738</v>
      </c>
      <c r="D2264" t="s">
        <v>125</v>
      </c>
      <c r="E2264" t="s">
        <v>126</v>
      </c>
      <c r="F2264" t="s">
        <v>10739</v>
      </c>
      <c r="G2264" t="s">
        <v>125</v>
      </c>
      <c r="H2264" t="s">
        <v>10141</v>
      </c>
      <c r="I2264" t="s">
        <v>10740</v>
      </c>
      <c r="J2264" s="2">
        <v>247410</v>
      </c>
      <c r="K2264" s="2">
        <v>1000</v>
      </c>
      <c r="L2264" s="2">
        <v>30</v>
      </c>
      <c r="M2264" s="2">
        <v>0</v>
      </c>
      <c r="N2264" t="s">
        <v>7936</v>
      </c>
      <c r="O2264" t="s">
        <v>7935</v>
      </c>
      <c r="P2264" t="s">
        <v>10093</v>
      </c>
      <c r="Q2264" t="s">
        <v>10094</v>
      </c>
      <c r="S2264" t="s">
        <v>10741</v>
      </c>
      <c r="U2264" t="s">
        <v>45</v>
      </c>
      <c r="V2264" t="s">
        <v>46</v>
      </c>
      <c r="W2264" t="s">
        <v>7936</v>
      </c>
      <c r="X2264" t="s">
        <v>7935</v>
      </c>
      <c r="Y2264" t="s">
        <v>7938</v>
      </c>
      <c r="Z2264" t="s">
        <v>7939</v>
      </c>
      <c r="AA2264" t="s">
        <v>49</v>
      </c>
      <c r="AB2264" t="s">
        <v>50</v>
      </c>
      <c r="AC2264" s="2">
        <v>199303.61</v>
      </c>
      <c r="AD2264" t="s">
        <v>10742</v>
      </c>
      <c r="AE2264" t="s">
        <v>52</v>
      </c>
    </row>
    <row r="2265" spans="1:31" x14ac:dyDescent="0.25">
      <c r="A2265" t="s">
        <v>10743</v>
      </c>
      <c r="B2265" t="s">
        <v>10744</v>
      </c>
      <c r="C2265" t="s">
        <v>10744</v>
      </c>
      <c r="D2265" t="s">
        <v>344</v>
      </c>
      <c r="E2265" t="s">
        <v>167</v>
      </c>
      <c r="F2265" t="s">
        <v>10745</v>
      </c>
      <c r="G2265" t="s">
        <v>344</v>
      </c>
      <c r="H2265" t="s">
        <v>10746</v>
      </c>
      <c r="J2265" s="2">
        <v>587737</v>
      </c>
      <c r="K2265" s="2">
        <v>2693.94</v>
      </c>
      <c r="L2265" s="2">
        <v>15</v>
      </c>
      <c r="M2265" s="2">
        <v>0</v>
      </c>
      <c r="N2265" t="s">
        <v>10747</v>
      </c>
      <c r="O2265" t="s">
        <v>10748</v>
      </c>
      <c r="P2265" t="s">
        <v>91</v>
      </c>
      <c r="Q2265" t="s">
        <v>92</v>
      </c>
      <c r="S2265" t="s">
        <v>10749</v>
      </c>
      <c r="U2265" t="s">
        <v>45</v>
      </c>
      <c r="V2265" t="s">
        <v>46</v>
      </c>
      <c r="W2265" t="s">
        <v>10747</v>
      </c>
      <c r="X2265" t="s">
        <v>10748</v>
      </c>
      <c r="Y2265" t="s">
        <v>92</v>
      </c>
      <c r="Z2265" t="s">
        <v>94</v>
      </c>
      <c r="AA2265" t="s">
        <v>49</v>
      </c>
      <c r="AB2265" t="s">
        <v>50</v>
      </c>
      <c r="AC2265" s="2">
        <v>260698.91</v>
      </c>
      <c r="AD2265" t="s">
        <v>10750</v>
      </c>
      <c r="AE2265" t="s">
        <v>52</v>
      </c>
    </row>
    <row r="2266" spans="1:31" hidden="1" x14ac:dyDescent="0.25">
      <c r="I2266" t="s">
        <v>10751</v>
      </c>
      <c r="J2266" s="2">
        <v>1000</v>
      </c>
      <c r="K2266" s="2">
        <v>0</v>
      </c>
      <c r="L2266" s="2">
        <v>21</v>
      </c>
      <c r="M2266" s="2">
        <v>0</v>
      </c>
      <c r="S2266" t="s">
        <v>10752</v>
      </c>
      <c r="U2266" t="s">
        <v>45</v>
      </c>
      <c r="V2266" t="s">
        <v>46</v>
      </c>
      <c r="W2266" t="s">
        <v>5741</v>
      </c>
      <c r="X2266" t="s">
        <v>5739</v>
      </c>
      <c r="Y2266" t="s">
        <v>5743</v>
      </c>
      <c r="Z2266" t="s">
        <v>5744</v>
      </c>
      <c r="AA2266" t="s">
        <v>49</v>
      </c>
      <c r="AC2266" s="2"/>
    </row>
    <row r="2267" spans="1:31" hidden="1" x14ac:dyDescent="0.25">
      <c r="A2267" t="s">
        <v>10753</v>
      </c>
      <c r="B2267" t="s">
        <v>10754</v>
      </c>
      <c r="C2267" t="s">
        <v>10754</v>
      </c>
      <c r="F2267" t="s">
        <v>10755</v>
      </c>
      <c r="H2267" t="s">
        <v>5739</v>
      </c>
      <c r="I2267" t="s">
        <v>10751</v>
      </c>
      <c r="J2267" s="2">
        <v>1000</v>
      </c>
      <c r="K2267" s="2">
        <v>0</v>
      </c>
      <c r="L2267" s="2">
        <v>21</v>
      </c>
      <c r="M2267" s="2">
        <v>0</v>
      </c>
      <c r="N2267" t="s">
        <v>5741</v>
      </c>
      <c r="O2267" t="s">
        <v>5739</v>
      </c>
      <c r="P2267" t="s">
        <v>5966</v>
      </c>
      <c r="Q2267" t="s">
        <v>5739</v>
      </c>
      <c r="S2267" t="s">
        <v>10756</v>
      </c>
      <c r="U2267" t="s">
        <v>45</v>
      </c>
      <c r="V2267" t="s">
        <v>46</v>
      </c>
      <c r="W2267" t="s">
        <v>5741</v>
      </c>
      <c r="X2267" t="s">
        <v>5739</v>
      </c>
      <c r="Y2267" t="s">
        <v>5743</v>
      </c>
      <c r="Z2267" t="s">
        <v>5744</v>
      </c>
      <c r="AA2267" t="s">
        <v>49</v>
      </c>
      <c r="AB2267" t="s">
        <v>50</v>
      </c>
      <c r="AC2267" s="2">
        <v>1000</v>
      </c>
      <c r="AD2267" t="s">
        <v>64</v>
      </c>
    </row>
    <row r="2268" spans="1:31" hidden="1" x14ac:dyDescent="0.25">
      <c r="I2268" t="s">
        <v>10751</v>
      </c>
      <c r="J2268" s="2">
        <v>1000</v>
      </c>
      <c r="K2268" s="2">
        <v>0</v>
      </c>
      <c r="L2268" s="2">
        <v>21</v>
      </c>
      <c r="M2268" s="2">
        <v>0</v>
      </c>
      <c r="S2268" t="s">
        <v>10757</v>
      </c>
      <c r="U2268" t="s">
        <v>45</v>
      </c>
      <c r="V2268" t="s">
        <v>46</v>
      </c>
      <c r="W2268" t="s">
        <v>5741</v>
      </c>
      <c r="X2268" t="s">
        <v>5739</v>
      </c>
      <c r="Y2268" t="s">
        <v>5743</v>
      </c>
      <c r="Z2268" t="s">
        <v>5744</v>
      </c>
      <c r="AA2268" t="s">
        <v>49</v>
      </c>
      <c r="AC2268" s="2"/>
    </row>
    <row r="2269" spans="1:31" x14ac:dyDescent="0.25">
      <c r="A2269" t="s">
        <v>10758</v>
      </c>
      <c r="B2269" t="s">
        <v>10759</v>
      </c>
      <c r="C2269" t="s">
        <v>10759</v>
      </c>
      <c r="D2269" t="s">
        <v>125</v>
      </c>
      <c r="E2269" t="s">
        <v>126</v>
      </c>
      <c r="F2269" t="s">
        <v>10760</v>
      </c>
      <c r="G2269" t="s">
        <v>125</v>
      </c>
      <c r="H2269" t="s">
        <v>10761</v>
      </c>
      <c r="I2269" t="s">
        <v>10762</v>
      </c>
      <c r="J2269" s="2">
        <v>479974</v>
      </c>
      <c r="K2269" s="2">
        <v>2200</v>
      </c>
      <c r="L2269" s="2">
        <v>30</v>
      </c>
      <c r="M2269" s="2">
        <v>0</v>
      </c>
      <c r="N2269" t="s">
        <v>10763</v>
      </c>
      <c r="O2269" t="s">
        <v>10764</v>
      </c>
      <c r="P2269" t="s">
        <v>10093</v>
      </c>
      <c r="Q2269" t="s">
        <v>10094</v>
      </c>
      <c r="S2269" t="s">
        <v>10765</v>
      </c>
      <c r="U2269" t="s">
        <v>45</v>
      </c>
      <c r="V2269" t="s">
        <v>46</v>
      </c>
      <c r="W2269" t="s">
        <v>10763</v>
      </c>
      <c r="X2269" t="s">
        <v>10764</v>
      </c>
      <c r="Y2269" t="s">
        <v>7938</v>
      </c>
      <c r="Z2269" t="s">
        <v>7939</v>
      </c>
      <c r="AA2269" t="s">
        <v>49</v>
      </c>
      <c r="AB2269" t="s">
        <v>50</v>
      </c>
      <c r="AC2269" s="2">
        <v>67956.210000000006</v>
      </c>
      <c r="AD2269" t="s">
        <v>10766</v>
      </c>
      <c r="AE2269" t="s">
        <v>52</v>
      </c>
    </row>
    <row r="2270" spans="1:31" hidden="1" x14ac:dyDescent="0.25">
      <c r="A2270" t="s">
        <v>10767</v>
      </c>
      <c r="B2270" t="s">
        <v>10768</v>
      </c>
      <c r="C2270" t="s">
        <v>10768</v>
      </c>
      <c r="F2270" t="s">
        <v>10769</v>
      </c>
      <c r="J2270" s="2">
        <v>65451</v>
      </c>
      <c r="K2270" s="2">
        <v>300</v>
      </c>
      <c r="L2270" s="2">
        <v>1</v>
      </c>
      <c r="M2270" s="2">
        <v>0</v>
      </c>
      <c r="N2270" t="s">
        <v>1362</v>
      </c>
      <c r="O2270" t="s">
        <v>1360</v>
      </c>
      <c r="P2270" t="s">
        <v>1421</v>
      </c>
      <c r="Q2270" t="s">
        <v>1422</v>
      </c>
      <c r="U2270" t="s">
        <v>45</v>
      </c>
      <c r="V2270" t="s">
        <v>46</v>
      </c>
      <c r="W2270" t="s">
        <v>1362</v>
      </c>
      <c r="X2270" t="s">
        <v>1360</v>
      </c>
      <c r="Y2270" t="s">
        <v>1215</v>
      </c>
      <c r="Z2270" t="s">
        <v>1216</v>
      </c>
      <c r="AA2270" t="s">
        <v>49</v>
      </c>
      <c r="AB2270" t="s">
        <v>50</v>
      </c>
      <c r="AC2270" s="2">
        <v>65451</v>
      </c>
      <c r="AD2270" t="s">
        <v>64</v>
      </c>
    </row>
    <row r="2271" spans="1:31" x14ac:dyDescent="0.25">
      <c r="A2271" t="s">
        <v>10770</v>
      </c>
      <c r="B2271" t="s">
        <v>10771</v>
      </c>
      <c r="C2271" t="s">
        <v>10771</v>
      </c>
      <c r="D2271" t="s">
        <v>189</v>
      </c>
      <c r="E2271" t="s">
        <v>190</v>
      </c>
      <c r="F2271" t="s">
        <v>10769</v>
      </c>
      <c r="G2271" t="s">
        <v>1846</v>
      </c>
      <c r="H2271" t="s">
        <v>10772</v>
      </c>
      <c r="I2271" t="s">
        <v>10773</v>
      </c>
      <c r="J2271" s="2">
        <v>87268</v>
      </c>
      <c r="K2271" s="2">
        <v>400</v>
      </c>
      <c r="L2271" s="2">
        <v>15</v>
      </c>
      <c r="M2271" s="2">
        <v>0</v>
      </c>
      <c r="N2271" t="s">
        <v>1419</v>
      </c>
      <c r="O2271" t="s">
        <v>1420</v>
      </c>
      <c r="P2271" t="s">
        <v>1421</v>
      </c>
      <c r="Q2271" t="s">
        <v>1422</v>
      </c>
      <c r="S2271" t="s">
        <v>10774</v>
      </c>
      <c r="U2271" t="s">
        <v>45</v>
      </c>
      <c r="V2271" t="s">
        <v>46</v>
      </c>
      <c r="W2271" t="s">
        <v>1419</v>
      </c>
      <c r="X2271" t="s">
        <v>1420</v>
      </c>
      <c r="Y2271" t="s">
        <v>1215</v>
      </c>
      <c r="Z2271" t="s">
        <v>1216</v>
      </c>
      <c r="AA2271" t="s">
        <v>49</v>
      </c>
      <c r="AB2271" t="s">
        <v>50</v>
      </c>
      <c r="AC2271" s="2">
        <v>43044.42</v>
      </c>
      <c r="AD2271" t="s">
        <v>10775</v>
      </c>
    </row>
    <row r="2272" spans="1:31" x14ac:dyDescent="0.25">
      <c r="A2272" t="s">
        <v>10776</v>
      </c>
      <c r="B2272" t="s">
        <v>10777</v>
      </c>
      <c r="C2272" t="s">
        <v>10777</v>
      </c>
      <c r="D2272" t="s">
        <v>577</v>
      </c>
      <c r="E2272" t="s">
        <v>134</v>
      </c>
      <c r="F2272" t="s">
        <v>10769</v>
      </c>
      <c r="G2272" t="s">
        <v>1846</v>
      </c>
      <c r="H2272" t="s">
        <v>1417</v>
      </c>
      <c r="I2272" t="s">
        <v>10778</v>
      </c>
      <c r="J2272" s="2">
        <v>119994</v>
      </c>
      <c r="K2272" s="2">
        <v>550</v>
      </c>
      <c r="L2272" s="2">
        <v>15</v>
      </c>
      <c r="M2272" s="2">
        <v>0</v>
      </c>
      <c r="N2272" t="s">
        <v>1419</v>
      </c>
      <c r="O2272" t="s">
        <v>1420</v>
      </c>
      <c r="P2272" t="s">
        <v>1421</v>
      </c>
      <c r="Q2272" t="s">
        <v>1422</v>
      </c>
      <c r="S2272" t="s">
        <v>10774</v>
      </c>
      <c r="U2272" t="s">
        <v>45</v>
      </c>
      <c r="V2272" t="s">
        <v>46</v>
      </c>
      <c r="W2272" t="s">
        <v>1419</v>
      </c>
      <c r="X2272" t="s">
        <v>1420</v>
      </c>
      <c r="Y2272" t="s">
        <v>1215</v>
      </c>
      <c r="Z2272" t="s">
        <v>1216</v>
      </c>
      <c r="AA2272" t="s">
        <v>49</v>
      </c>
      <c r="AB2272" t="s">
        <v>50</v>
      </c>
      <c r="AC2272" s="2">
        <v>119994</v>
      </c>
      <c r="AD2272" t="s">
        <v>64</v>
      </c>
    </row>
    <row r="2273" spans="1:31" x14ac:dyDescent="0.25">
      <c r="A2273" t="s">
        <v>10779</v>
      </c>
      <c r="B2273" t="s">
        <v>10780</v>
      </c>
      <c r="C2273" t="s">
        <v>10780</v>
      </c>
      <c r="D2273" t="s">
        <v>297</v>
      </c>
      <c r="E2273" t="s">
        <v>167</v>
      </c>
      <c r="F2273" t="s">
        <v>10781</v>
      </c>
      <c r="G2273" t="s">
        <v>166</v>
      </c>
      <c r="H2273" t="s">
        <v>1360</v>
      </c>
      <c r="I2273" t="s">
        <v>7498</v>
      </c>
      <c r="J2273" s="2">
        <v>436340</v>
      </c>
      <c r="K2273" s="2">
        <v>2000</v>
      </c>
      <c r="L2273" s="2">
        <v>15</v>
      </c>
      <c r="M2273" s="2">
        <v>0</v>
      </c>
      <c r="N2273" t="s">
        <v>1362</v>
      </c>
      <c r="O2273" t="s">
        <v>1360</v>
      </c>
      <c r="P2273" t="s">
        <v>2320</v>
      </c>
      <c r="Q2273" t="s">
        <v>2321</v>
      </c>
      <c r="S2273" t="s">
        <v>10782</v>
      </c>
      <c r="U2273" t="s">
        <v>45</v>
      </c>
      <c r="V2273" t="s">
        <v>46</v>
      </c>
      <c r="W2273" t="s">
        <v>1362</v>
      </c>
      <c r="X2273" t="s">
        <v>1360</v>
      </c>
      <c r="Y2273" t="s">
        <v>1215</v>
      </c>
      <c r="Z2273" t="s">
        <v>1216</v>
      </c>
      <c r="AA2273" t="s">
        <v>49</v>
      </c>
      <c r="AB2273" t="s">
        <v>50</v>
      </c>
      <c r="AC2273" s="2">
        <v>436340</v>
      </c>
      <c r="AD2273" t="s">
        <v>64</v>
      </c>
    </row>
    <row r="2274" spans="1:31" x14ac:dyDescent="0.25">
      <c r="A2274" t="s">
        <v>10783</v>
      </c>
      <c r="B2274" t="s">
        <v>10784</v>
      </c>
      <c r="C2274" t="s">
        <v>10784</v>
      </c>
      <c r="D2274" t="s">
        <v>125</v>
      </c>
      <c r="E2274" t="s">
        <v>126</v>
      </c>
      <c r="F2274" t="s">
        <v>10785</v>
      </c>
      <c r="G2274" t="s">
        <v>125</v>
      </c>
      <c r="H2274" t="s">
        <v>1360</v>
      </c>
      <c r="J2274" s="2">
        <v>2523582</v>
      </c>
      <c r="K2274" s="2">
        <v>10200</v>
      </c>
      <c r="L2274" s="2">
        <v>30</v>
      </c>
      <c r="M2274" s="2">
        <v>0</v>
      </c>
      <c r="N2274" t="s">
        <v>1362</v>
      </c>
      <c r="O2274" t="s">
        <v>1360</v>
      </c>
      <c r="P2274" t="s">
        <v>2320</v>
      </c>
      <c r="Q2274" t="s">
        <v>2321</v>
      </c>
      <c r="S2274" t="s">
        <v>10786</v>
      </c>
      <c r="U2274" t="s">
        <v>45</v>
      </c>
      <c r="V2274" t="s">
        <v>46</v>
      </c>
      <c r="W2274" t="s">
        <v>1362</v>
      </c>
      <c r="X2274" t="s">
        <v>1360</v>
      </c>
      <c r="Y2274" t="s">
        <v>1215</v>
      </c>
      <c r="Z2274" t="s">
        <v>1216</v>
      </c>
      <c r="AA2274" t="s">
        <v>49</v>
      </c>
      <c r="AB2274" t="s">
        <v>50</v>
      </c>
      <c r="AC2274" s="2">
        <v>311570.63</v>
      </c>
      <c r="AD2274" t="s">
        <v>10787</v>
      </c>
      <c r="AE2274" t="s">
        <v>115</v>
      </c>
    </row>
    <row r="2275" spans="1:31" x14ac:dyDescent="0.25">
      <c r="A2275" t="s">
        <v>10788</v>
      </c>
      <c r="B2275" t="s">
        <v>10789</v>
      </c>
      <c r="C2275" t="s">
        <v>10789</v>
      </c>
      <c r="D2275" t="s">
        <v>35</v>
      </c>
      <c r="E2275" t="s">
        <v>36</v>
      </c>
      <c r="F2275" t="s">
        <v>10790</v>
      </c>
      <c r="G2275" t="s">
        <v>35</v>
      </c>
      <c r="H2275" t="s">
        <v>1360</v>
      </c>
      <c r="J2275" s="2">
        <v>2181700</v>
      </c>
      <c r="K2275" s="2">
        <v>10000</v>
      </c>
      <c r="L2275" s="2">
        <v>30</v>
      </c>
      <c r="M2275" s="2">
        <v>0</v>
      </c>
      <c r="N2275" t="s">
        <v>1362</v>
      </c>
      <c r="O2275" t="s">
        <v>1360</v>
      </c>
      <c r="P2275" t="s">
        <v>2320</v>
      </c>
      <c r="Q2275" t="s">
        <v>2321</v>
      </c>
      <c r="S2275" t="s">
        <v>10791</v>
      </c>
      <c r="U2275" t="s">
        <v>45</v>
      </c>
      <c r="V2275" t="s">
        <v>46</v>
      </c>
      <c r="W2275" t="s">
        <v>1362</v>
      </c>
      <c r="X2275" t="s">
        <v>1360</v>
      </c>
      <c r="Y2275" t="s">
        <v>1215</v>
      </c>
      <c r="Z2275" t="s">
        <v>1216</v>
      </c>
      <c r="AA2275" t="s">
        <v>49</v>
      </c>
      <c r="AB2275" t="s">
        <v>50</v>
      </c>
      <c r="AC2275" s="2">
        <v>555316.21</v>
      </c>
      <c r="AD2275" t="s">
        <v>10792</v>
      </c>
      <c r="AE2275" t="s">
        <v>115</v>
      </c>
    </row>
    <row r="2276" spans="1:31" x14ac:dyDescent="0.25">
      <c r="A2276" t="s">
        <v>10793</v>
      </c>
      <c r="B2276" t="s">
        <v>10794</v>
      </c>
      <c r="C2276" t="s">
        <v>10794</v>
      </c>
      <c r="D2276" t="s">
        <v>125</v>
      </c>
      <c r="E2276" t="s">
        <v>126</v>
      </c>
      <c r="F2276" t="s">
        <v>10795</v>
      </c>
      <c r="G2276" t="s">
        <v>125</v>
      </c>
      <c r="H2276" t="s">
        <v>3122</v>
      </c>
      <c r="J2276" s="2">
        <v>2181700</v>
      </c>
      <c r="K2276" s="2">
        <v>10000</v>
      </c>
      <c r="L2276" s="2">
        <v>30</v>
      </c>
      <c r="M2276" s="2">
        <v>0</v>
      </c>
      <c r="N2276" t="s">
        <v>3121</v>
      </c>
      <c r="O2276" t="s">
        <v>3122</v>
      </c>
      <c r="P2276" t="s">
        <v>2320</v>
      </c>
      <c r="Q2276" t="s">
        <v>2321</v>
      </c>
      <c r="S2276" t="s">
        <v>10796</v>
      </c>
      <c r="U2276" t="s">
        <v>45</v>
      </c>
      <c r="V2276" t="s">
        <v>46</v>
      </c>
      <c r="W2276" t="s">
        <v>3121</v>
      </c>
      <c r="X2276" t="s">
        <v>3124</v>
      </c>
      <c r="Y2276" t="s">
        <v>1215</v>
      </c>
      <c r="Z2276" t="s">
        <v>1216</v>
      </c>
      <c r="AA2276" t="s">
        <v>49</v>
      </c>
      <c r="AB2276" t="s">
        <v>50</v>
      </c>
      <c r="AC2276" s="2">
        <v>584867.75</v>
      </c>
      <c r="AD2276" t="s">
        <v>10797</v>
      </c>
      <c r="AE2276" t="s">
        <v>115</v>
      </c>
    </row>
    <row r="2277" spans="1:31" x14ac:dyDescent="0.25">
      <c r="A2277" t="s">
        <v>10798</v>
      </c>
      <c r="B2277" t="s">
        <v>10799</v>
      </c>
      <c r="C2277" t="s">
        <v>10799</v>
      </c>
      <c r="D2277" t="s">
        <v>847</v>
      </c>
      <c r="E2277" t="s">
        <v>848</v>
      </c>
      <c r="F2277" t="s">
        <v>10800</v>
      </c>
      <c r="G2277" t="s">
        <v>555</v>
      </c>
      <c r="H2277" t="s">
        <v>6996</v>
      </c>
      <c r="I2277" t="s">
        <v>10801</v>
      </c>
      <c r="J2277" s="2">
        <v>224380</v>
      </c>
      <c r="K2277" s="2">
        <v>1000</v>
      </c>
      <c r="L2277" s="2">
        <v>30</v>
      </c>
      <c r="M2277" s="2">
        <v>0</v>
      </c>
      <c r="N2277" t="s">
        <v>6995</v>
      </c>
      <c r="O2277" t="s">
        <v>6996</v>
      </c>
      <c r="P2277" t="s">
        <v>6987</v>
      </c>
      <c r="Q2277" t="s">
        <v>6988</v>
      </c>
      <c r="S2277" t="s">
        <v>10802</v>
      </c>
      <c r="U2277" t="s">
        <v>45</v>
      </c>
      <c r="V2277" t="s">
        <v>46</v>
      </c>
      <c r="W2277" t="s">
        <v>6995</v>
      </c>
      <c r="X2277" t="s">
        <v>6996</v>
      </c>
      <c r="Y2277" t="s">
        <v>2399</v>
      </c>
      <c r="Z2277" t="s">
        <v>2400</v>
      </c>
      <c r="AA2277" t="s">
        <v>49</v>
      </c>
      <c r="AB2277" t="s">
        <v>50</v>
      </c>
      <c r="AC2277" s="2">
        <v>224380</v>
      </c>
      <c r="AD2277" t="s">
        <v>64</v>
      </c>
    </row>
    <row r="2278" spans="1:31" x14ac:dyDescent="0.25">
      <c r="A2278" t="s">
        <v>10803</v>
      </c>
      <c r="B2278" t="s">
        <v>10804</v>
      </c>
      <c r="C2278" t="s">
        <v>10804</v>
      </c>
      <c r="D2278" t="s">
        <v>297</v>
      </c>
      <c r="E2278" t="s">
        <v>167</v>
      </c>
      <c r="F2278" t="s">
        <v>10805</v>
      </c>
      <c r="G2278" t="s">
        <v>2120</v>
      </c>
      <c r="H2278" t="s">
        <v>81</v>
      </c>
      <c r="I2278" t="s">
        <v>10806</v>
      </c>
      <c r="J2278" s="2">
        <v>174536</v>
      </c>
      <c r="K2278" s="2">
        <v>800</v>
      </c>
      <c r="L2278" s="2">
        <v>15</v>
      </c>
      <c r="M2278" s="2">
        <v>0</v>
      </c>
      <c r="N2278" t="s">
        <v>80</v>
      </c>
      <c r="O2278" t="s">
        <v>81</v>
      </c>
      <c r="P2278" t="s">
        <v>82</v>
      </c>
      <c r="Q2278" t="s">
        <v>83</v>
      </c>
      <c r="S2278" t="s">
        <v>10807</v>
      </c>
      <c r="U2278" t="s">
        <v>45</v>
      </c>
      <c r="V2278" t="s">
        <v>46</v>
      </c>
      <c r="W2278" t="s">
        <v>80</v>
      </c>
      <c r="X2278" t="s">
        <v>81</v>
      </c>
      <c r="Y2278" t="s">
        <v>85</v>
      </c>
      <c r="Z2278" t="s">
        <v>86</v>
      </c>
      <c r="AA2278" t="s">
        <v>49</v>
      </c>
      <c r="AB2278" t="s">
        <v>50</v>
      </c>
      <c r="AC2278" s="2">
        <v>157417.79999999999</v>
      </c>
      <c r="AD2278" t="s">
        <v>10808</v>
      </c>
      <c r="AE2278" t="s">
        <v>115</v>
      </c>
    </row>
    <row r="2279" spans="1:31" x14ac:dyDescent="0.25">
      <c r="A2279" t="s">
        <v>10809</v>
      </c>
      <c r="B2279" t="s">
        <v>10810</v>
      </c>
      <c r="C2279" t="s">
        <v>10810</v>
      </c>
      <c r="D2279" t="s">
        <v>153</v>
      </c>
      <c r="E2279" t="s">
        <v>272</v>
      </c>
      <c r="F2279" t="s">
        <v>10811</v>
      </c>
      <c r="G2279" t="s">
        <v>819</v>
      </c>
      <c r="H2279" t="s">
        <v>10812</v>
      </c>
      <c r="I2279" t="s">
        <v>10813</v>
      </c>
      <c r="J2279" s="2">
        <v>229079</v>
      </c>
      <c r="K2279" s="2">
        <v>1050</v>
      </c>
      <c r="L2279" s="2">
        <v>15</v>
      </c>
      <c r="M2279" s="2">
        <v>0</v>
      </c>
      <c r="N2279" t="s">
        <v>10814</v>
      </c>
      <c r="O2279" t="s">
        <v>10812</v>
      </c>
      <c r="P2279" t="s">
        <v>82</v>
      </c>
      <c r="Q2279" t="s">
        <v>83</v>
      </c>
      <c r="S2279" t="s">
        <v>10815</v>
      </c>
      <c r="U2279" t="s">
        <v>45</v>
      </c>
      <c r="V2279" t="s">
        <v>46</v>
      </c>
      <c r="W2279" t="s">
        <v>10814</v>
      </c>
      <c r="X2279" t="s">
        <v>10812</v>
      </c>
      <c r="Y2279" t="s">
        <v>85</v>
      </c>
      <c r="Z2279" t="s">
        <v>86</v>
      </c>
      <c r="AA2279" t="s">
        <v>49</v>
      </c>
      <c r="AB2279" t="s">
        <v>50</v>
      </c>
      <c r="AC2279" s="2">
        <v>-246296.63</v>
      </c>
      <c r="AD2279" t="s">
        <v>10816</v>
      </c>
      <c r="AE2279" t="s">
        <v>115</v>
      </c>
    </row>
    <row r="2280" spans="1:31" x14ac:dyDescent="0.25">
      <c r="A2280" t="s">
        <v>10817</v>
      </c>
      <c r="B2280" t="s">
        <v>10818</v>
      </c>
      <c r="C2280" t="s">
        <v>10818</v>
      </c>
      <c r="D2280" t="s">
        <v>153</v>
      </c>
      <c r="E2280" t="s">
        <v>272</v>
      </c>
      <c r="F2280" t="s">
        <v>10819</v>
      </c>
      <c r="G2280" t="s">
        <v>1410</v>
      </c>
      <c r="H2280" t="s">
        <v>10105</v>
      </c>
      <c r="I2280" t="s">
        <v>10820</v>
      </c>
      <c r="J2280" s="2">
        <v>2198700</v>
      </c>
      <c r="K2280" s="2">
        <v>10000</v>
      </c>
      <c r="L2280" s="2">
        <v>30</v>
      </c>
      <c r="M2280" s="2">
        <v>0</v>
      </c>
      <c r="N2280" t="s">
        <v>10106</v>
      </c>
      <c r="O2280" t="s">
        <v>10105</v>
      </c>
      <c r="P2280" t="s">
        <v>10093</v>
      </c>
      <c r="Q2280" t="s">
        <v>10094</v>
      </c>
      <c r="S2280" t="s">
        <v>10821</v>
      </c>
      <c r="U2280" t="s">
        <v>45</v>
      </c>
      <c r="V2280" t="s">
        <v>46</v>
      </c>
      <c r="W2280" t="s">
        <v>10106</v>
      </c>
      <c r="X2280" t="s">
        <v>10105</v>
      </c>
      <c r="Y2280" t="s">
        <v>7938</v>
      </c>
      <c r="Z2280" t="s">
        <v>7939</v>
      </c>
      <c r="AA2280" t="s">
        <v>49</v>
      </c>
      <c r="AB2280" t="s">
        <v>50</v>
      </c>
      <c r="AC2280" s="2">
        <v>1192147.73</v>
      </c>
      <c r="AD2280" t="s">
        <v>10822</v>
      </c>
      <c r="AE2280" t="s">
        <v>115</v>
      </c>
    </row>
    <row r="2281" spans="1:31" x14ac:dyDescent="0.25">
      <c r="A2281" t="s">
        <v>10823</v>
      </c>
      <c r="B2281" t="s">
        <v>10824</v>
      </c>
      <c r="C2281" t="s">
        <v>10824</v>
      </c>
      <c r="D2281" t="s">
        <v>847</v>
      </c>
      <c r="E2281" t="s">
        <v>848</v>
      </c>
      <c r="F2281" t="s">
        <v>10825</v>
      </c>
      <c r="G2281" t="s">
        <v>3194</v>
      </c>
      <c r="H2281" t="s">
        <v>1211</v>
      </c>
      <c r="I2281" t="s">
        <v>10826</v>
      </c>
      <c r="J2281" s="2">
        <v>981765</v>
      </c>
      <c r="K2281" s="2">
        <v>4500</v>
      </c>
      <c r="L2281" s="2">
        <v>15</v>
      </c>
      <c r="M2281" s="2">
        <v>0</v>
      </c>
      <c r="N2281" t="s">
        <v>1210</v>
      </c>
      <c r="O2281" t="s">
        <v>1211</v>
      </c>
      <c r="P2281" t="s">
        <v>1212</v>
      </c>
      <c r="Q2281" t="s">
        <v>1213</v>
      </c>
      <c r="S2281" t="s">
        <v>10827</v>
      </c>
      <c r="U2281" t="s">
        <v>45</v>
      </c>
      <c r="V2281" t="s">
        <v>46</v>
      </c>
      <c r="W2281" t="s">
        <v>1210</v>
      </c>
      <c r="X2281" t="s">
        <v>1211</v>
      </c>
      <c r="Y2281" t="s">
        <v>1215</v>
      </c>
      <c r="Z2281" t="s">
        <v>1216</v>
      </c>
      <c r="AA2281" t="s">
        <v>49</v>
      </c>
      <c r="AB2281" t="s">
        <v>50</v>
      </c>
      <c r="AC2281" s="2">
        <v>916676.38</v>
      </c>
      <c r="AD2281" t="s">
        <v>10828</v>
      </c>
    </row>
    <row r="2282" spans="1:31" hidden="1" x14ac:dyDescent="0.25">
      <c r="A2282" t="s">
        <v>10829</v>
      </c>
      <c r="B2282" t="s">
        <v>10830</v>
      </c>
      <c r="C2282" t="s">
        <v>10830</v>
      </c>
      <c r="F2282" t="s">
        <v>10831</v>
      </c>
      <c r="H2282" t="s">
        <v>5939</v>
      </c>
      <c r="J2282" s="2">
        <v>218</v>
      </c>
      <c r="K2282" s="2">
        <v>1</v>
      </c>
      <c r="L2282" s="2">
        <v>1</v>
      </c>
      <c r="M2282" s="2">
        <v>0</v>
      </c>
      <c r="N2282" t="s">
        <v>5938</v>
      </c>
      <c r="O2282" t="s">
        <v>5939</v>
      </c>
      <c r="P2282" t="s">
        <v>82</v>
      </c>
      <c r="Q2282" t="s">
        <v>83</v>
      </c>
      <c r="S2282" t="s">
        <v>10832</v>
      </c>
      <c r="U2282" t="s">
        <v>45</v>
      </c>
      <c r="V2282" t="s">
        <v>46</v>
      </c>
      <c r="W2282" t="s">
        <v>5938</v>
      </c>
      <c r="X2282" t="s">
        <v>5939</v>
      </c>
      <c r="Y2282" t="s">
        <v>85</v>
      </c>
      <c r="Z2282" t="s">
        <v>86</v>
      </c>
      <c r="AA2282" t="s">
        <v>49</v>
      </c>
      <c r="AB2282" t="s">
        <v>50</v>
      </c>
      <c r="AC2282" s="2">
        <v>218</v>
      </c>
      <c r="AD2282" t="s">
        <v>64</v>
      </c>
    </row>
    <row r="2283" spans="1:31" x14ac:dyDescent="0.25">
      <c r="A2283" t="s">
        <v>10833</v>
      </c>
      <c r="B2283" t="s">
        <v>10834</v>
      </c>
      <c r="C2283" t="s">
        <v>10834</v>
      </c>
      <c r="D2283" t="s">
        <v>125</v>
      </c>
      <c r="E2283" t="s">
        <v>126</v>
      </c>
      <c r="F2283" t="s">
        <v>10835</v>
      </c>
      <c r="G2283" t="s">
        <v>125</v>
      </c>
      <c r="H2283" t="s">
        <v>10141</v>
      </c>
      <c r="I2283" t="s">
        <v>10836</v>
      </c>
      <c r="J2283" s="2">
        <v>218170</v>
      </c>
      <c r="K2283" s="2">
        <v>1000</v>
      </c>
      <c r="L2283" s="2">
        <v>30</v>
      </c>
      <c r="M2283" s="2">
        <v>0</v>
      </c>
      <c r="N2283" t="s">
        <v>7936</v>
      </c>
      <c r="O2283" t="s">
        <v>7935</v>
      </c>
      <c r="P2283" t="s">
        <v>10093</v>
      </c>
      <c r="Q2283" t="s">
        <v>10094</v>
      </c>
      <c r="S2283" t="s">
        <v>10837</v>
      </c>
      <c r="U2283" t="s">
        <v>45</v>
      </c>
      <c r="V2283" t="s">
        <v>46</v>
      </c>
      <c r="W2283" t="s">
        <v>7936</v>
      </c>
      <c r="X2283" t="s">
        <v>7935</v>
      </c>
      <c r="Y2283" t="s">
        <v>7938</v>
      </c>
      <c r="Z2283" t="s">
        <v>7939</v>
      </c>
      <c r="AA2283" t="s">
        <v>49</v>
      </c>
      <c r="AB2283" t="s">
        <v>50</v>
      </c>
      <c r="AC2283" s="2">
        <v>76639.86</v>
      </c>
      <c r="AD2283" t="s">
        <v>10838</v>
      </c>
      <c r="AE2283" t="s">
        <v>52</v>
      </c>
    </row>
    <row r="2284" spans="1:31" hidden="1" x14ac:dyDescent="0.25">
      <c r="A2284" t="s">
        <v>10839</v>
      </c>
      <c r="B2284" t="s">
        <v>10840</v>
      </c>
      <c r="C2284" t="s">
        <v>10840</v>
      </c>
      <c r="F2284" t="s">
        <v>4636</v>
      </c>
      <c r="J2284" s="2">
        <v>1000</v>
      </c>
      <c r="K2284" s="2">
        <v>0</v>
      </c>
      <c r="L2284" s="2">
        <v>1</v>
      </c>
      <c r="M2284" s="2">
        <v>0</v>
      </c>
      <c r="N2284" t="s">
        <v>495</v>
      </c>
      <c r="O2284" t="s">
        <v>79</v>
      </c>
      <c r="P2284" t="s">
        <v>3487</v>
      </c>
      <c r="Q2284" t="s">
        <v>3488</v>
      </c>
      <c r="S2284" t="s">
        <v>4638</v>
      </c>
      <c r="U2284" t="s">
        <v>45</v>
      </c>
      <c r="V2284" t="s">
        <v>46</v>
      </c>
      <c r="W2284" t="s">
        <v>495</v>
      </c>
      <c r="X2284" t="s">
        <v>79</v>
      </c>
      <c r="Y2284" t="s">
        <v>79</v>
      </c>
      <c r="Z2284" t="s">
        <v>94</v>
      </c>
      <c r="AA2284" t="s">
        <v>49</v>
      </c>
      <c r="AB2284" t="s">
        <v>50</v>
      </c>
      <c r="AC2284" s="2">
        <v>1000</v>
      </c>
      <c r="AD2284" t="s">
        <v>64</v>
      </c>
    </row>
    <row r="2285" spans="1:31" x14ac:dyDescent="0.25">
      <c r="A2285" t="s">
        <v>10841</v>
      </c>
      <c r="B2285" t="s">
        <v>10842</v>
      </c>
      <c r="C2285" t="s">
        <v>10842</v>
      </c>
      <c r="D2285" t="s">
        <v>847</v>
      </c>
      <c r="E2285" t="s">
        <v>848</v>
      </c>
      <c r="F2285" t="s">
        <v>4636</v>
      </c>
      <c r="G2285" t="s">
        <v>819</v>
      </c>
      <c r="H2285" t="s">
        <v>79</v>
      </c>
      <c r="I2285" t="s">
        <v>9726</v>
      </c>
      <c r="J2285" s="2">
        <v>218170</v>
      </c>
      <c r="K2285" s="2">
        <v>1000</v>
      </c>
      <c r="L2285" s="2">
        <v>21</v>
      </c>
      <c r="M2285" s="2">
        <v>0</v>
      </c>
      <c r="N2285" t="s">
        <v>495</v>
      </c>
      <c r="O2285" t="s">
        <v>79</v>
      </c>
      <c r="P2285" t="s">
        <v>3487</v>
      </c>
      <c r="Q2285" t="s">
        <v>3488</v>
      </c>
      <c r="S2285" t="s">
        <v>10843</v>
      </c>
      <c r="U2285" t="s">
        <v>45</v>
      </c>
      <c r="V2285" t="s">
        <v>46</v>
      </c>
      <c r="W2285" t="s">
        <v>495</v>
      </c>
      <c r="X2285" t="s">
        <v>79</v>
      </c>
      <c r="Y2285" t="s">
        <v>79</v>
      </c>
      <c r="Z2285" t="s">
        <v>94</v>
      </c>
      <c r="AA2285" t="s">
        <v>49</v>
      </c>
      <c r="AB2285" t="s">
        <v>50</v>
      </c>
      <c r="AC2285" s="2">
        <v>202675.91</v>
      </c>
      <c r="AD2285" t="s">
        <v>10844</v>
      </c>
      <c r="AE2285" t="s">
        <v>115</v>
      </c>
    </row>
    <row r="2286" spans="1:31" x14ac:dyDescent="0.25">
      <c r="A2286" t="s">
        <v>10845</v>
      </c>
      <c r="B2286" t="s">
        <v>10846</v>
      </c>
      <c r="C2286" t="s">
        <v>10846</v>
      </c>
      <c r="D2286" t="s">
        <v>178</v>
      </c>
      <c r="E2286" t="s">
        <v>179</v>
      </c>
      <c r="F2286" t="s">
        <v>10847</v>
      </c>
      <c r="G2286" t="s">
        <v>819</v>
      </c>
      <c r="H2286" t="s">
        <v>6030</v>
      </c>
      <c r="I2286" t="s">
        <v>10848</v>
      </c>
      <c r="J2286" s="2">
        <v>200716</v>
      </c>
      <c r="K2286" s="2">
        <v>920</v>
      </c>
      <c r="L2286" s="2">
        <v>15</v>
      </c>
      <c r="M2286" s="2">
        <v>0</v>
      </c>
      <c r="N2286" t="s">
        <v>6029</v>
      </c>
      <c r="O2286" t="s">
        <v>6030</v>
      </c>
      <c r="P2286" t="s">
        <v>82</v>
      </c>
      <c r="Q2286" t="s">
        <v>83</v>
      </c>
      <c r="S2286" t="s">
        <v>10849</v>
      </c>
      <c r="U2286" t="s">
        <v>45</v>
      </c>
      <c r="V2286" t="s">
        <v>46</v>
      </c>
      <c r="W2286" t="s">
        <v>6029</v>
      </c>
      <c r="X2286" t="s">
        <v>6030</v>
      </c>
      <c r="Y2286" t="s">
        <v>85</v>
      </c>
      <c r="Z2286" t="s">
        <v>86</v>
      </c>
      <c r="AA2286" t="s">
        <v>49</v>
      </c>
      <c r="AB2286" t="s">
        <v>50</v>
      </c>
      <c r="AC2286" s="2">
        <v>185515.44</v>
      </c>
      <c r="AD2286" t="s">
        <v>10850</v>
      </c>
    </row>
    <row r="2287" spans="1:31" x14ac:dyDescent="0.25">
      <c r="A2287" t="s">
        <v>10851</v>
      </c>
      <c r="B2287" t="s">
        <v>10852</v>
      </c>
      <c r="C2287" t="s">
        <v>10852</v>
      </c>
      <c r="D2287" t="s">
        <v>35</v>
      </c>
      <c r="E2287" t="s">
        <v>36</v>
      </c>
      <c r="F2287" t="s">
        <v>10853</v>
      </c>
      <c r="G2287" t="s">
        <v>1939</v>
      </c>
      <c r="H2287" t="s">
        <v>6030</v>
      </c>
      <c r="I2287" t="s">
        <v>10854</v>
      </c>
      <c r="J2287" s="2">
        <v>327255</v>
      </c>
      <c r="K2287" s="2">
        <v>1500</v>
      </c>
      <c r="L2287" s="2">
        <v>15</v>
      </c>
      <c r="M2287" s="2">
        <v>0</v>
      </c>
      <c r="N2287" t="s">
        <v>6029</v>
      </c>
      <c r="O2287" t="s">
        <v>6030</v>
      </c>
      <c r="P2287" t="s">
        <v>82</v>
      </c>
      <c r="Q2287" t="s">
        <v>83</v>
      </c>
      <c r="S2287" t="s">
        <v>10855</v>
      </c>
      <c r="U2287" t="s">
        <v>45</v>
      </c>
      <c r="V2287" t="s">
        <v>46</v>
      </c>
      <c r="W2287" t="s">
        <v>6029</v>
      </c>
      <c r="X2287" t="s">
        <v>6030</v>
      </c>
      <c r="Y2287" t="s">
        <v>85</v>
      </c>
      <c r="Z2287" t="s">
        <v>86</v>
      </c>
      <c r="AA2287" t="s">
        <v>49</v>
      </c>
      <c r="AB2287" t="s">
        <v>50</v>
      </c>
      <c r="AC2287" s="2">
        <v>266711.18</v>
      </c>
      <c r="AD2287" t="s">
        <v>10856</v>
      </c>
      <c r="AE2287" t="s">
        <v>115</v>
      </c>
    </row>
    <row r="2288" spans="1:31" x14ac:dyDescent="0.25">
      <c r="A2288" t="s">
        <v>10857</v>
      </c>
      <c r="B2288" t="s">
        <v>10858</v>
      </c>
      <c r="C2288" t="s">
        <v>10858</v>
      </c>
      <c r="D2288" t="s">
        <v>166</v>
      </c>
      <c r="E2288" t="s">
        <v>167</v>
      </c>
      <c r="F2288" t="s">
        <v>10859</v>
      </c>
      <c r="G2288" t="s">
        <v>169</v>
      </c>
      <c r="H2288" t="s">
        <v>3074</v>
      </c>
      <c r="I2288" t="s">
        <v>10860</v>
      </c>
      <c r="J2288" s="2">
        <v>218170</v>
      </c>
      <c r="K2288" s="2">
        <v>1000</v>
      </c>
      <c r="L2288" s="2">
        <v>30</v>
      </c>
      <c r="M2288" s="2">
        <v>0</v>
      </c>
      <c r="N2288" t="s">
        <v>3073</v>
      </c>
      <c r="O2288" t="s">
        <v>3074</v>
      </c>
      <c r="P2288" t="s">
        <v>103</v>
      </c>
      <c r="Q2288" t="s">
        <v>104</v>
      </c>
      <c r="S2288" t="s">
        <v>10861</v>
      </c>
      <c r="U2288" t="s">
        <v>45</v>
      </c>
      <c r="V2288" t="s">
        <v>46</v>
      </c>
      <c r="W2288" t="s">
        <v>3073</v>
      </c>
      <c r="X2288" t="s">
        <v>3074</v>
      </c>
      <c r="Y2288" t="s">
        <v>106</v>
      </c>
      <c r="Z2288" t="s">
        <v>107</v>
      </c>
      <c r="AA2288" t="s">
        <v>49</v>
      </c>
      <c r="AB2288" t="s">
        <v>50</v>
      </c>
      <c r="AC2288" s="2">
        <v>201084.53</v>
      </c>
      <c r="AD2288" t="s">
        <v>10862</v>
      </c>
    </row>
    <row r="2289" spans="1:31" x14ac:dyDescent="0.25">
      <c r="A2289" t="s">
        <v>10863</v>
      </c>
      <c r="B2289" t="s">
        <v>10864</v>
      </c>
      <c r="C2289" t="s">
        <v>10864</v>
      </c>
      <c r="D2289" t="s">
        <v>817</v>
      </c>
      <c r="E2289" t="s">
        <v>224</v>
      </c>
      <c r="F2289" t="s">
        <v>10865</v>
      </c>
      <c r="G2289" t="s">
        <v>1939</v>
      </c>
      <c r="H2289" t="s">
        <v>81</v>
      </c>
      <c r="I2289" t="s">
        <v>10866</v>
      </c>
      <c r="J2289" s="2">
        <v>327255</v>
      </c>
      <c r="K2289" s="2">
        <v>1500</v>
      </c>
      <c r="L2289" s="2">
        <v>15</v>
      </c>
      <c r="M2289" s="2">
        <v>0</v>
      </c>
      <c r="N2289" t="s">
        <v>80</v>
      </c>
      <c r="O2289" t="s">
        <v>81</v>
      </c>
      <c r="P2289" t="s">
        <v>82</v>
      </c>
      <c r="Q2289" t="s">
        <v>83</v>
      </c>
      <c r="S2289" t="s">
        <v>10867</v>
      </c>
      <c r="U2289" t="s">
        <v>45</v>
      </c>
      <c r="V2289" t="s">
        <v>46</v>
      </c>
      <c r="W2289" t="s">
        <v>80</v>
      </c>
      <c r="X2289" t="s">
        <v>81</v>
      </c>
      <c r="Y2289" t="s">
        <v>85</v>
      </c>
      <c r="Z2289" t="s">
        <v>86</v>
      </c>
      <c r="AA2289" t="s">
        <v>49</v>
      </c>
      <c r="AB2289" t="s">
        <v>50</v>
      </c>
      <c r="AC2289" s="2">
        <v>325031.06</v>
      </c>
      <c r="AD2289" t="s">
        <v>10868</v>
      </c>
    </row>
    <row r="2290" spans="1:31" hidden="1" x14ac:dyDescent="0.25">
      <c r="J2290" s="2">
        <v>1000</v>
      </c>
      <c r="K2290" s="2">
        <v>0</v>
      </c>
      <c r="L2290" s="2">
        <v>1</v>
      </c>
      <c r="M2290" s="2">
        <v>0</v>
      </c>
      <c r="U2290" t="s">
        <v>45</v>
      </c>
      <c r="V2290" t="s">
        <v>46</v>
      </c>
      <c r="W2290" t="s">
        <v>40</v>
      </c>
      <c r="X2290" t="s">
        <v>41</v>
      </c>
      <c r="Y2290" t="s">
        <v>47</v>
      </c>
      <c r="Z2290" t="s">
        <v>48</v>
      </c>
      <c r="AA2290" t="s">
        <v>49</v>
      </c>
      <c r="AC2290" s="2"/>
    </row>
    <row r="2291" spans="1:31" x14ac:dyDescent="0.25">
      <c r="A2291" t="s">
        <v>10869</v>
      </c>
      <c r="B2291" t="s">
        <v>10870</v>
      </c>
      <c r="C2291" t="s">
        <v>10870</v>
      </c>
      <c r="D2291" t="s">
        <v>125</v>
      </c>
      <c r="E2291" t="s">
        <v>126</v>
      </c>
      <c r="F2291" t="s">
        <v>10871</v>
      </c>
      <c r="G2291" t="s">
        <v>125</v>
      </c>
      <c r="H2291" t="s">
        <v>10872</v>
      </c>
      <c r="J2291" s="2">
        <v>654510</v>
      </c>
      <c r="K2291" s="2">
        <v>3000</v>
      </c>
      <c r="L2291" s="2">
        <v>21</v>
      </c>
      <c r="M2291" s="2">
        <v>0</v>
      </c>
      <c r="N2291" t="s">
        <v>10873</v>
      </c>
      <c r="O2291" t="s">
        <v>10872</v>
      </c>
      <c r="P2291" t="s">
        <v>2320</v>
      </c>
      <c r="Q2291" t="s">
        <v>2321</v>
      </c>
      <c r="S2291" t="s">
        <v>10874</v>
      </c>
      <c r="U2291" t="s">
        <v>45</v>
      </c>
      <c r="V2291" t="s">
        <v>46</v>
      </c>
      <c r="W2291" t="s">
        <v>10873</v>
      </c>
      <c r="X2291" t="s">
        <v>10872</v>
      </c>
      <c r="Y2291" t="s">
        <v>137</v>
      </c>
      <c r="Z2291" t="s">
        <v>717</v>
      </c>
      <c r="AA2291" t="s">
        <v>49</v>
      </c>
      <c r="AB2291" t="s">
        <v>50</v>
      </c>
      <c r="AC2291" s="2">
        <v>403337.38</v>
      </c>
      <c r="AD2291" t="s">
        <v>10875</v>
      </c>
      <c r="AE2291" t="s">
        <v>115</v>
      </c>
    </row>
    <row r="2292" spans="1:31" x14ac:dyDescent="0.25">
      <c r="A2292" t="s">
        <v>10876</v>
      </c>
      <c r="B2292" t="s">
        <v>10877</v>
      </c>
      <c r="C2292" t="s">
        <v>10877</v>
      </c>
      <c r="D2292" t="s">
        <v>153</v>
      </c>
      <c r="E2292" t="s">
        <v>272</v>
      </c>
      <c r="F2292" t="s">
        <v>10878</v>
      </c>
      <c r="G2292" t="s">
        <v>3194</v>
      </c>
      <c r="H2292" t="s">
        <v>1360</v>
      </c>
      <c r="I2292" t="s">
        <v>10879</v>
      </c>
      <c r="J2292" s="2">
        <v>109085</v>
      </c>
      <c r="K2292" s="2">
        <v>500</v>
      </c>
      <c r="L2292" s="2">
        <v>15</v>
      </c>
      <c r="M2292" s="2">
        <v>0</v>
      </c>
      <c r="N2292" t="s">
        <v>1362</v>
      </c>
      <c r="O2292" t="s">
        <v>1360</v>
      </c>
      <c r="P2292" t="s">
        <v>1421</v>
      </c>
      <c r="Q2292" t="s">
        <v>1422</v>
      </c>
      <c r="S2292" t="s">
        <v>10880</v>
      </c>
      <c r="U2292" t="s">
        <v>45</v>
      </c>
      <c r="V2292" t="s">
        <v>46</v>
      </c>
      <c r="W2292" t="s">
        <v>1362</v>
      </c>
      <c r="X2292" t="s">
        <v>1360</v>
      </c>
      <c r="Y2292" t="s">
        <v>1215</v>
      </c>
      <c r="Z2292" t="s">
        <v>1216</v>
      </c>
      <c r="AA2292" t="s">
        <v>49</v>
      </c>
      <c r="AB2292" t="s">
        <v>50</v>
      </c>
      <c r="AC2292" s="2">
        <v>-150913.84</v>
      </c>
      <c r="AD2292" t="s">
        <v>10881</v>
      </c>
      <c r="AE2292" t="s">
        <v>115</v>
      </c>
    </row>
    <row r="2293" spans="1:31" hidden="1" x14ac:dyDescent="0.25">
      <c r="A2293" t="s">
        <v>10882</v>
      </c>
      <c r="B2293" t="s">
        <v>10883</v>
      </c>
      <c r="C2293" t="s">
        <v>10883</v>
      </c>
      <c r="F2293" t="s">
        <v>10884</v>
      </c>
      <c r="H2293" t="s">
        <v>79</v>
      </c>
      <c r="J2293" s="2">
        <v>1000</v>
      </c>
      <c r="K2293" s="2">
        <v>0</v>
      </c>
      <c r="L2293" s="2">
        <v>1</v>
      </c>
      <c r="M2293" s="2">
        <v>0</v>
      </c>
      <c r="N2293" t="s">
        <v>495</v>
      </c>
      <c r="O2293" t="s">
        <v>79</v>
      </c>
      <c r="P2293" t="s">
        <v>3487</v>
      </c>
      <c r="Q2293" t="s">
        <v>3488</v>
      </c>
      <c r="S2293" t="s">
        <v>10885</v>
      </c>
      <c r="U2293" t="s">
        <v>45</v>
      </c>
      <c r="V2293" t="s">
        <v>46</v>
      </c>
      <c r="W2293" t="s">
        <v>495</v>
      </c>
      <c r="X2293" t="s">
        <v>79</v>
      </c>
      <c r="Y2293" t="s">
        <v>79</v>
      </c>
      <c r="Z2293" t="s">
        <v>94</v>
      </c>
      <c r="AA2293" t="s">
        <v>49</v>
      </c>
      <c r="AB2293" t="s">
        <v>50</v>
      </c>
      <c r="AC2293" s="2">
        <v>1000</v>
      </c>
      <c r="AD2293" t="s">
        <v>64</v>
      </c>
    </row>
    <row r="2294" spans="1:31" hidden="1" x14ac:dyDescent="0.25">
      <c r="A2294" t="s">
        <v>10886</v>
      </c>
      <c r="B2294" t="s">
        <v>10887</v>
      </c>
      <c r="C2294" t="s">
        <v>10887</v>
      </c>
      <c r="D2294" t="s">
        <v>55</v>
      </c>
      <c r="E2294" t="s">
        <v>56</v>
      </c>
      <c r="F2294" t="s">
        <v>1143</v>
      </c>
      <c r="J2294" s="2">
        <v>1000</v>
      </c>
      <c r="K2294" s="2">
        <v>0</v>
      </c>
      <c r="L2294" s="2">
        <v>1</v>
      </c>
      <c r="M2294" s="2">
        <v>0</v>
      </c>
      <c r="N2294" t="s">
        <v>302</v>
      </c>
      <c r="O2294" t="s">
        <v>303</v>
      </c>
      <c r="P2294" t="s">
        <v>304</v>
      </c>
      <c r="Q2294" t="s">
        <v>72</v>
      </c>
      <c r="U2294" t="s">
        <v>45</v>
      </c>
      <c r="V2294" t="s">
        <v>46</v>
      </c>
      <c r="W2294" t="s">
        <v>302</v>
      </c>
      <c r="X2294" t="s">
        <v>303</v>
      </c>
      <c r="Y2294" t="s">
        <v>72</v>
      </c>
      <c r="Z2294" t="s">
        <v>68</v>
      </c>
      <c r="AA2294" t="s">
        <v>49</v>
      </c>
      <c r="AB2294" t="s">
        <v>50</v>
      </c>
      <c r="AC2294" s="2">
        <v>1000</v>
      </c>
      <c r="AD2294" t="s">
        <v>64</v>
      </c>
    </row>
    <row r="2295" spans="1:31" hidden="1" x14ac:dyDescent="0.25">
      <c r="I2295" t="s">
        <v>10889</v>
      </c>
      <c r="J2295" s="2">
        <v>1000</v>
      </c>
      <c r="K2295" s="2">
        <v>0</v>
      </c>
      <c r="L2295" s="2">
        <v>7</v>
      </c>
      <c r="M2295" s="2">
        <v>0</v>
      </c>
      <c r="S2295" t="s">
        <v>1145</v>
      </c>
      <c r="U2295" t="s">
        <v>45</v>
      </c>
      <c r="V2295" t="s">
        <v>46</v>
      </c>
      <c r="W2295" t="s">
        <v>1038</v>
      </c>
      <c r="X2295" t="s">
        <v>1039</v>
      </c>
      <c r="Y2295" t="s">
        <v>72</v>
      </c>
      <c r="Z2295" t="s">
        <v>68</v>
      </c>
      <c r="AA2295" t="s">
        <v>49</v>
      </c>
      <c r="AC2295" s="2"/>
    </row>
    <row r="2296" spans="1:31" x14ac:dyDescent="0.25">
      <c r="A2296" t="s">
        <v>10890</v>
      </c>
      <c r="B2296" t="s">
        <v>10891</v>
      </c>
      <c r="C2296" t="s">
        <v>10891</v>
      </c>
      <c r="D2296" t="s">
        <v>189</v>
      </c>
      <c r="E2296" t="s">
        <v>190</v>
      </c>
      <c r="F2296" t="s">
        <v>10892</v>
      </c>
      <c r="G2296" t="s">
        <v>3472</v>
      </c>
      <c r="H2296" t="s">
        <v>1360</v>
      </c>
      <c r="I2296" t="s">
        <v>10893</v>
      </c>
      <c r="J2296" s="2">
        <v>74398</v>
      </c>
      <c r="K2296" s="2">
        <v>341.01</v>
      </c>
      <c r="L2296" s="2">
        <v>15</v>
      </c>
      <c r="M2296" s="2">
        <v>0</v>
      </c>
      <c r="N2296" t="s">
        <v>1362</v>
      </c>
      <c r="O2296" t="s">
        <v>1360</v>
      </c>
      <c r="P2296" t="s">
        <v>1421</v>
      </c>
      <c r="Q2296" t="s">
        <v>1422</v>
      </c>
      <c r="S2296" t="s">
        <v>10894</v>
      </c>
      <c r="U2296" t="s">
        <v>45</v>
      </c>
      <c r="V2296" t="s">
        <v>46</v>
      </c>
      <c r="W2296" t="s">
        <v>1362</v>
      </c>
      <c r="X2296" t="s">
        <v>1360</v>
      </c>
      <c r="Y2296" t="s">
        <v>1215</v>
      </c>
      <c r="Z2296" t="s">
        <v>1216</v>
      </c>
      <c r="AA2296" t="s">
        <v>49</v>
      </c>
      <c r="AB2296" t="s">
        <v>50</v>
      </c>
      <c r="AC2296" s="2">
        <v>28081.66</v>
      </c>
      <c r="AD2296" t="s">
        <v>10895</v>
      </c>
    </row>
    <row r="2297" spans="1:31" x14ac:dyDescent="0.25">
      <c r="A2297" t="s">
        <v>10896</v>
      </c>
      <c r="B2297" t="s">
        <v>10897</v>
      </c>
      <c r="C2297" t="s">
        <v>10897</v>
      </c>
      <c r="D2297" t="s">
        <v>153</v>
      </c>
      <c r="E2297" t="s">
        <v>272</v>
      </c>
      <c r="F2297" t="s">
        <v>10898</v>
      </c>
      <c r="G2297" t="s">
        <v>153</v>
      </c>
      <c r="H2297" t="s">
        <v>10141</v>
      </c>
      <c r="I2297" t="s">
        <v>10899</v>
      </c>
      <c r="J2297" s="2">
        <v>148380</v>
      </c>
      <c r="K2297" s="2">
        <v>600</v>
      </c>
      <c r="L2297" s="2">
        <v>30</v>
      </c>
      <c r="M2297" s="2">
        <v>0</v>
      </c>
      <c r="N2297" t="s">
        <v>7936</v>
      </c>
      <c r="O2297" t="s">
        <v>7935</v>
      </c>
      <c r="P2297" t="s">
        <v>10093</v>
      </c>
      <c r="Q2297" t="s">
        <v>10094</v>
      </c>
      <c r="S2297" t="s">
        <v>10900</v>
      </c>
      <c r="U2297" t="s">
        <v>45</v>
      </c>
      <c r="V2297" t="s">
        <v>46</v>
      </c>
      <c r="W2297" t="s">
        <v>7936</v>
      </c>
      <c r="X2297" t="s">
        <v>7935</v>
      </c>
      <c r="Y2297" t="s">
        <v>7938</v>
      </c>
      <c r="Z2297" t="s">
        <v>7939</v>
      </c>
      <c r="AA2297" t="s">
        <v>49</v>
      </c>
      <c r="AB2297" t="s">
        <v>50</v>
      </c>
      <c r="AC2297" s="2">
        <v>26669.31</v>
      </c>
      <c r="AD2297" t="s">
        <v>10901</v>
      </c>
      <c r="AE2297" t="s">
        <v>52</v>
      </c>
    </row>
    <row r="2298" spans="1:31" x14ac:dyDescent="0.25">
      <c r="A2298" t="s">
        <v>10902</v>
      </c>
      <c r="B2298" t="s">
        <v>10903</v>
      </c>
      <c r="C2298" t="s">
        <v>10903</v>
      </c>
      <c r="D2298" t="s">
        <v>1410</v>
      </c>
      <c r="E2298" t="s">
        <v>871</v>
      </c>
      <c r="F2298" t="s">
        <v>10904</v>
      </c>
      <c r="G2298" t="s">
        <v>819</v>
      </c>
      <c r="H2298" t="s">
        <v>10905</v>
      </c>
      <c r="I2298" t="s">
        <v>10906</v>
      </c>
      <c r="J2298" s="2">
        <v>218170</v>
      </c>
      <c r="K2298" s="2">
        <v>1000</v>
      </c>
      <c r="L2298" s="2">
        <v>15</v>
      </c>
      <c r="M2298" s="2">
        <v>0</v>
      </c>
      <c r="N2298" t="s">
        <v>2846</v>
      </c>
      <c r="O2298" t="s">
        <v>2844</v>
      </c>
      <c r="P2298" t="s">
        <v>2320</v>
      </c>
      <c r="Q2298" t="s">
        <v>2321</v>
      </c>
      <c r="S2298" t="s">
        <v>10907</v>
      </c>
      <c r="U2298" t="s">
        <v>45</v>
      </c>
      <c r="V2298" t="s">
        <v>46</v>
      </c>
      <c r="W2298" t="s">
        <v>2846</v>
      </c>
      <c r="X2298" t="s">
        <v>2844</v>
      </c>
      <c r="Y2298" t="s">
        <v>137</v>
      </c>
      <c r="Z2298" t="s">
        <v>717</v>
      </c>
      <c r="AA2298" t="s">
        <v>49</v>
      </c>
      <c r="AB2298" t="s">
        <v>50</v>
      </c>
      <c r="AC2298" s="2">
        <v>165317.42000000001</v>
      </c>
      <c r="AD2298" t="s">
        <v>10908</v>
      </c>
    </row>
    <row r="2299" spans="1:31" x14ac:dyDescent="0.25">
      <c r="A2299" t="s">
        <v>10909</v>
      </c>
      <c r="B2299" t="s">
        <v>10910</v>
      </c>
      <c r="C2299" t="s">
        <v>10910</v>
      </c>
      <c r="D2299" t="s">
        <v>35</v>
      </c>
      <c r="E2299" t="s">
        <v>36</v>
      </c>
      <c r="F2299" t="s">
        <v>10911</v>
      </c>
      <c r="G2299" t="s">
        <v>166</v>
      </c>
      <c r="H2299" t="s">
        <v>8321</v>
      </c>
      <c r="I2299" t="s">
        <v>10912</v>
      </c>
      <c r="J2299" s="2">
        <v>436340</v>
      </c>
      <c r="K2299" s="2">
        <v>2000</v>
      </c>
      <c r="L2299" s="2">
        <v>15</v>
      </c>
      <c r="M2299" s="2">
        <v>0</v>
      </c>
      <c r="N2299" t="s">
        <v>8320</v>
      </c>
      <c r="O2299" t="s">
        <v>8321</v>
      </c>
      <c r="P2299" t="s">
        <v>6987</v>
      </c>
      <c r="Q2299" t="s">
        <v>6988</v>
      </c>
      <c r="S2299" t="s">
        <v>10913</v>
      </c>
      <c r="U2299" t="s">
        <v>45</v>
      </c>
      <c r="V2299" t="s">
        <v>46</v>
      </c>
      <c r="W2299" t="s">
        <v>8320</v>
      </c>
      <c r="X2299" t="s">
        <v>8321</v>
      </c>
      <c r="Y2299" t="s">
        <v>2399</v>
      </c>
      <c r="Z2299" t="s">
        <v>2400</v>
      </c>
      <c r="AA2299" t="s">
        <v>49</v>
      </c>
      <c r="AB2299" t="s">
        <v>50</v>
      </c>
      <c r="AC2299" s="2">
        <v>340241.88</v>
      </c>
      <c r="AD2299" t="s">
        <v>10914</v>
      </c>
      <c r="AE2299" t="s">
        <v>52</v>
      </c>
    </row>
    <row r="2300" spans="1:31" x14ac:dyDescent="0.25">
      <c r="A2300" t="s">
        <v>10915</v>
      </c>
      <c r="B2300" t="s">
        <v>10916</v>
      </c>
      <c r="C2300" t="s">
        <v>10916</v>
      </c>
      <c r="D2300" t="s">
        <v>35</v>
      </c>
      <c r="E2300" t="s">
        <v>36</v>
      </c>
      <c r="F2300" t="s">
        <v>10917</v>
      </c>
      <c r="G2300" t="s">
        <v>498</v>
      </c>
      <c r="H2300" t="s">
        <v>8192</v>
      </c>
      <c r="I2300" t="s">
        <v>10912</v>
      </c>
      <c r="J2300" s="2">
        <v>268752</v>
      </c>
      <c r="K2300" s="2">
        <v>1200</v>
      </c>
      <c r="L2300" s="2">
        <v>15</v>
      </c>
      <c r="M2300" s="2">
        <v>0</v>
      </c>
      <c r="N2300" t="s">
        <v>8191</v>
      </c>
      <c r="O2300" t="s">
        <v>8192</v>
      </c>
      <c r="P2300" t="s">
        <v>6987</v>
      </c>
      <c r="Q2300" t="s">
        <v>6988</v>
      </c>
      <c r="S2300" t="s">
        <v>10918</v>
      </c>
      <c r="U2300" t="s">
        <v>45</v>
      </c>
      <c r="V2300" t="s">
        <v>46</v>
      </c>
      <c r="W2300" t="s">
        <v>8191</v>
      </c>
      <c r="X2300" t="s">
        <v>8192</v>
      </c>
      <c r="Y2300" t="s">
        <v>2399</v>
      </c>
      <c r="Z2300" t="s">
        <v>2400</v>
      </c>
      <c r="AA2300" t="s">
        <v>49</v>
      </c>
      <c r="AB2300" t="s">
        <v>50</v>
      </c>
      <c r="AC2300" s="2">
        <v>162258.34</v>
      </c>
      <c r="AD2300" t="s">
        <v>10919</v>
      </c>
      <c r="AE2300" t="s">
        <v>52</v>
      </c>
    </row>
    <row r="2301" spans="1:31" x14ac:dyDescent="0.25">
      <c r="A2301" t="s">
        <v>10920</v>
      </c>
      <c r="B2301" t="s">
        <v>10921</v>
      </c>
      <c r="C2301" t="s">
        <v>10921</v>
      </c>
      <c r="D2301" t="s">
        <v>125</v>
      </c>
      <c r="E2301" t="s">
        <v>126</v>
      </c>
      <c r="F2301" t="s">
        <v>10922</v>
      </c>
      <c r="G2301" t="s">
        <v>125</v>
      </c>
      <c r="H2301" t="s">
        <v>8192</v>
      </c>
      <c r="I2301" t="s">
        <v>10912</v>
      </c>
      <c r="J2301" s="2">
        <v>413805</v>
      </c>
      <c r="K2301" s="2">
        <v>1750</v>
      </c>
      <c r="L2301" s="2">
        <v>15</v>
      </c>
      <c r="M2301" s="2">
        <v>0</v>
      </c>
      <c r="N2301" t="s">
        <v>8191</v>
      </c>
      <c r="O2301" t="s">
        <v>8192</v>
      </c>
      <c r="P2301" t="s">
        <v>6987</v>
      </c>
      <c r="Q2301" t="s">
        <v>6988</v>
      </c>
      <c r="S2301" t="s">
        <v>10923</v>
      </c>
      <c r="U2301" t="s">
        <v>45</v>
      </c>
      <c r="V2301" t="s">
        <v>46</v>
      </c>
      <c r="W2301" t="s">
        <v>8191</v>
      </c>
      <c r="X2301" t="s">
        <v>8192</v>
      </c>
      <c r="Y2301" t="s">
        <v>2399</v>
      </c>
      <c r="Z2301" t="s">
        <v>2400</v>
      </c>
      <c r="AA2301" t="s">
        <v>49</v>
      </c>
      <c r="AB2301" t="s">
        <v>50</v>
      </c>
      <c r="AC2301" s="2">
        <v>306438.12</v>
      </c>
      <c r="AD2301" t="s">
        <v>10924</v>
      </c>
      <c r="AE2301" t="s">
        <v>52</v>
      </c>
    </row>
    <row r="2302" spans="1:31" x14ac:dyDescent="0.25">
      <c r="A2302" t="s">
        <v>10925</v>
      </c>
      <c r="B2302" t="s">
        <v>10926</v>
      </c>
      <c r="C2302" t="s">
        <v>10926</v>
      </c>
      <c r="D2302" t="s">
        <v>125</v>
      </c>
      <c r="E2302" t="s">
        <v>126</v>
      </c>
      <c r="F2302" t="s">
        <v>10927</v>
      </c>
      <c r="G2302" t="s">
        <v>125</v>
      </c>
      <c r="H2302" t="s">
        <v>8192</v>
      </c>
      <c r="I2302" t="s">
        <v>10912</v>
      </c>
      <c r="J2302" s="2">
        <v>747600</v>
      </c>
      <c r="K2302" s="2">
        <v>3000</v>
      </c>
      <c r="L2302" s="2">
        <v>15</v>
      </c>
      <c r="M2302" s="2">
        <v>0</v>
      </c>
      <c r="N2302" t="s">
        <v>8191</v>
      </c>
      <c r="O2302" t="s">
        <v>8192</v>
      </c>
      <c r="P2302" t="s">
        <v>6987</v>
      </c>
      <c r="Q2302" t="s">
        <v>6988</v>
      </c>
      <c r="S2302" t="s">
        <v>10928</v>
      </c>
      <c r="U2302" t="s">
        <v>45</v>
      </c>
      <c r="V2302" t="s">
        <v>46</v>
      </c>
      <c r="W2302" t="s">
        <v>8191</v>
      </c>
      <c r="X2302" t="s">
        <v>8192</v>
      </c>
      <c r="Y2302" t="s">
        <v>2399</v>
      </c>
      <c r="Z2302" t="s">
        <v>2400</v>
      </c>
      <c r="AA2302" t="s">
        <v>49</v>
      </c>
      <c r="AB2302" t="s">
        <v>50</v>
      </c>
      <c r="AC2302" s="2">
        <v>-70796.03</v>
      </c>
      <c r="AD2302" t="s">
        <v>10929</v>
      </c>
      <c r="AE2302" t="s">
        <v>52</v>
      </c>
    </row>
    <row r="2303" spans="1:31" x14ac:dyDescent="0.25">
      <c r="A2303" t="s">
        <v>10930</v>
      </c>
      <c r="B2303" t="s">
        <v>10931</v>
      </c>
      <c r="C2303" t="s">
        <v>10931</v>
      </c>
      <c r="D2303" t="s">
        <v>35</v>
      </c>
      <c r="E2303" t="s">
        <v>36</v>
      </c>
      <c r="F2303" t="s">
        <v>10932</v>
      </c>
      <c r="G2303" t="s">
        <v>792</v>
      </c>
      <c r="H2303" t="s">
        <v>8192</v>
      </c>
      <c r="I2303" t="s">
        <v>10912</v>
      </c>
      <c r="J2303" s="2">
        <v>436340</v>
      </c>
      <c r="K2303" s="2">
        <v>2000</v>
      </c>
      <c r="L2303" s="2">
        <v>15</v>
      </c>
      <c r="M2303" s="2">
        <v>0</v>
      </c>
      <c r="N2303" t="s">
        <v>8191</v>
      </c>
      <c r="O2303" t="s">
        <v>8192</v>
      </c>
      <c r="P2303" t="s">
        <v>6987</v>
      </c>
      <c r="Q2303" t="s">
        <v>6988</v>
      </c>
      <c r="S2303" t="s">
        <v>10933</v>
      </c>
      <c r="U2303" t="s">
        <v>45</v>
      </c>
      <c r="V2303" t="s">
        <v>46</v>
      </c>
      <c r="W2303" t="s">
        <v>8191</v>
      </c>
      <c r="X2303" t="s">
        <v>8192</v>
      </c>
      <c r="Y2303" t="s">
        <v>2399</v>
      </c>
      <c r="Z2303" t="s">
        <v>2400</v>
      </c>
      <c r="AA2303" t="s">
        <v>49</v>
      </c>
      <c r="AB2303" t="s">
        <v>50</v>
      </c>
      <c r="AC2303" s="2">
        <v>304421.11</v>
      </c>
      <c r="AD2303" t="s">
        <v>10934</v>
      </c>
      <c r="AE2303" t="s">
        <v>52</v>
      </c>
    </row>
    <row r="2304" spans="1:31" x14ac:dyDescent="0.25">
      <c r="A2304" t="s">
        <v>10935</v>
      </c>
      <c r="B2304" t="s">
        <v>10936</v>
      </c>
      <c r="C2304" t="s">
        <v>10936</v>
      </c>
      <c r="D2304" t="s">
        <v>35</v>
      </c>
      <c r="E2304" t="s">
        <v>36</v>
      </c>
      <c r="F2304" t="s">
        <v>10937</v>
      </c>
      <c r="G2304" t="s">
        <v>35</v>
      </c>
      <c r="H2304" t="s">
        <v>10938</v>
      </c>
      <c r="I2304" t="s">
        <v>10939</v>
      </c>
      <c r="J2304" s="2">
        <v>218170</v>
      </c>
      <c r="K2304" s="2">
        <v>1000</v>
      </c>
      <c r="L2304" s="2">
        <v>30</v>
      </c>
      <c r="M2304" s="2">
        <v>0</v>
      </c>
      <c r="N2304" t="s">
        <v>10940</v>
      </c>
      <c r="O2304" t="s">
        <v>10938</v>
      </c>
      <c r="P2304" t="s">
        <v>10093</v>
      </c>
      <c r="Q2304" t="s">
        <v>10094</v>
      </c>
      <c r="S2304" t="s">
        <v>10941</v>
      </c>
      <c r="U2304" t="s">
        <v>45</v>
      </c>
      <c r="V2304" t="s">
        <v>46</v>
      </c>
      <c r="W2304" t="s">
        <v>10940</v>
      </c>
      <c r="X2304" t="s">
        <v>10938</v>
      </c>
      <c r="Y2304" t="s">
        <v>7938</v>
      </c>
      <c r="Z2304" t="s">
        <v>7939</v>
      </c>
      <c r="AA2304" t="s">
        <v>49</v>
      </c>
      <c r="AB2304" t="s">
        <v>50</v>
      </c>
      <c r="AC2304" s="2">
        <v>165113.41</v>
      </c>
      <c r="AD2304" t="s">
        <v>10942</v>
      </c>
      <c r="AE2304" t="s">
        <v>52</v>
      </c>
    </row>
    <row r="2305" spans="1:31" hidden="1" x14ac:dyDescent="0.25">
      <c r="A2305" t="s">
        <v>10943</v>
      </c>
      <c r="B2305" t="s">
        <v>10944</v>
      </c>
      <c r="C2305" t="s">
        <v>10944</v>
      </c>
      <c r="F2305" t="s">
        <v>4022</v>
      </c>
      <c r="H2305" t="s">
        <v>10945</v>
      </c>
      <c r="J2305" s="2">
        <v>1000</v>
      </c>
      <c r="K2305" s="2">
        <v>0</v>
      </c>
      <c r="L2305" s="2">
        <v>1</v>
      </c>
      <c r="M2305" s="2">
        <v>0</v>
      </c>
      <c r="N2305" t="s">
        <v>10946</v>
      </c>
      <c r="O2305" t="s">
        <v>10947</v>
      </c>
      <c r="P2305" t="s">
        <v>205</v>
      </c>
      <c r="Q2305" t="s">
        <v>206</v>
      </c>
      <c r="U2305" t="s">
        <v>45</v>
      </c>
      <c r="V2305" t="s">
        <v>46</v>
      </c>
      <c r="W2305" t="s">
        <v>10946</v>
      </c>
      <c r="X2305" t="s">
        <v>10947</v>
      </c>
      <c r="Y2305" t="s">
        <v>161</v>
      </c>
      <c r="Z2305" t="s">
        <v>162</v>
      </c>
      <c r="AA2305" t="s">
        <v>49</v>
      </c>
      <c r="AB2305" t="s">
        <v>50</v>
      </c>
      <c r="AC2305" s="2">
        <v>1000</v>
      </c>
      <c r="AD2305" t="s">
        <v>64</v>
      </c>
    </row>
    <row r="2306" spans="1:31" x14ac:dyDescent="0.25">
      <c r="A2306" t="s">
        <v>10948</v>
      </c>
      <c r="B2306" t="s">
        <v>10949</v>
      </c>
      <c r="C2306" t="s">
        <v>10949</v>
      </c>
      <c r="D2306" t="s">
        <v>35</v>
      </c>
      <c r="E2306" t="s">
        <v>36</v>
      </c>
      <c r="F2306" t="s">
        <v>4022</v>
      </c>
      <c r="G2306" t="s">
        <v>153</v>
      </c>
      <c r="H2306" t="s">
        <v>10950</v>
      </c>
      <c r="J2306" s="2">
        <v>327255</v>
      </c>
      <c r="K2306" s="2">
        <v>1500</v>
      </c>
      <c r="L2306" s="2">
        <v>30</v>
      </c>
      <c r="M2306" s="2">
        <v>0</v>
      </c>
      <c r="N2306" t="s">
        <v>403</v>
      </c>
      <c r="O2306" t="s">
        <v>404</v>
      </c>
      <c r="P2306" t="s">
        <v>205</v>
      </c>
      <c r="Q2306" t="s">
        <v>206</v>
      </c>
      <c r="S2306" t="s">
        <v>10951</v>
      </c>
      <c r="U2306" t="s">
        <v>45</v>
      </c>
      <c r="V2306" t="s">
        <v>46</v>
      </c>
      <c r="W2306" t="s">
        <v>403</v>
      </c>
      <c r="X2306" t="s">
        <v>404</v>
      </c>
      <c r="Y2306" t="s">
        <v>161</v>
      </c>
      <c r="Z2306" t="s">
        <v>162</v>
      </c>
      <c r="AA2306" t="s">
        <v>49</v>
      </c>
      <c r="AB2306" t="s">
        <v>50</v>
      </c>
      <c r="AC2306" s="2">
        <v>77632.23</v>
      </c>
      <c r="AD2306" t="s">
        <v>10952</v>
      </c>
      <c r="AE2306" t="s">
        <v>52</v>
      </c>
    </row>
    <row r="2307" spans="1:31" hidden="1" x14ac:dyDescent="0.25">
      <c r="A2307" t="s">
        <v>10953</v>
      </c>
      <c r="B2307" t="s">
        <v>10954</v>
      </c>
      <c r="C2307" t="s">
        <v>10954</v>
      </c>
      <c r="F2307" t="s">
        <v>10955</v>
      </c>
      <c r="H2307" t="s">
        <v>119</v>
      </c>
      <c r="J2307" s="2">
        <v>1000</v>
      </c>
      <c r="K2307" s="2">
        <v>0</v>
      </c>
      <c r="L2307" s="2">
        <v>15</v>
      </c>
      <c r="M2307" s="2">
        <v>0</v>
      </c>
      <c r="N2307" t="s">
        <v>118</v>
      </c>
      <c r="O2307" t="s">
        <v>119</v>
      </c>
      <c r="P2307" t="s">
        <v>120</v>
      </c>
      <c r="Q2307" t="s">
        <v>121</v>
      </c>
      <c r="S2307" t="s">
        <v>10956</v>
      </c>
      <c r="U2307" t="s">
        <v>45</v>
      </c>
      <c r="V2307" t="s">
        <v>46</v>
      </c>
      <c r="W2307" t="s">
        <v>118</v>
      </c>
      <c r="X2307" t="s">
        <v>119</v>
      </c>
      <c r="Y2307" t="s">
        <v>121</v>
      </c>
      <c r="Z2307" t="s">
        <v>94</v>
      </c>
      <c r="AA2307" t="s">
        <v>49</v>
      </c>
      <c r="AB2307" t="s">
        <v>50</v>
      </c>
      <c r="AC2307" s="2">
        <v>1000</v>
      </c>
      <c r="AD2307" t="s">
        <v>64</v>
      </c>
    </row>
    <row r="2308" spans="1:31" hidden="1" x14ac:dyDescent="0.25">
      <c r="A2308" t="s">
        <v>10957</v>
      </c>
      <c r="B2308" t="s">
        <v>10958</v>
      </c>
      <c r="C2308" t="s">
        <v>10958</v>
      </c>
      <c r="F2308" t="s">
        <v>10959</v>
      </c>
      <c r="H2308" t="s">
        <v>119</v>
      </c>
      <c r="J2308" s="2">
        <v>218170</v>
      </c>
      <c r="K2308" s="2">
        <v>1000</v>
      </c>
      <c r="L2308" s="2">
        <v>15</v>
      </c>
      <c r="M2308" s="2">
        <v>0</v>
      </c>
      <c r="N2308" t="s">
        <v>118</v>
      </c>
      <c r="O2308" t="s">
        <v>119</v>
      </c>
      <c r="P2308" t="s">
        <v>120</v>
      </c>
      <c r="Q2308" t="s">
        <v>121</v>
      </c>
      <c r="S2308" t="s">
        <v>10960</v>
      </c>
      <c r="U2308" t="s">
        <v>45</v>
      </c>
      <c r="V2308" t="s">
        <v>46</v>
      </c>
      <c r="W2308" t="s">
        <v>118</v>
      </c>
      <c r="X2308" t="s">
        <v>119</v>
      </c>
      <c r="Y2308" t="s">
        <v>121</v>
      </c>
      <c r="Z2308" t="s">
        <v>94</v>
      </c>
      <c r="AA2308" t="s">
        <v>49</v>
      </c>
      <c r="AB2308" t="s">
        <v>50</v>
      </c>
      <c r="AC2308" s="2">
        <v>218170</v>
      </c>
      <c r="AD2308" t="s">
        <v>64</v>
      </c>
    </row>
    <row r="2309" spans="1:31" hidden="1" x14ac:dyDescent="0.25">
      <c r="A2309" t="s">
        <v>10961</v>
      </c>
      <c r="B2309" t="s">
        <v>10962</v>
      </c>
      <c r="C2309" t="s">
        <v>10962</v>
      </c>
      <c r="F2309" t="s">
        <v>10963</v>
      </c>
      <c r="H2309" t="s">
        <v>119</v>
      </c>
      <c r="J2309" s="2">
        <v>1000</v>
      </c>
      <c r="K2309" s="2">
        <v>0</v>
      </c>
      <c r="L2309" s="2">
        <v>15</v>
      </c>
      <c r="M2309" s="2">
        <v>0</v>
      </c>
      <c r="N2309" t="s">
        <v>118</v>
      </c>
      <c r="O2309" t="s">
        <v>119</v>
      </c>
      <c r="P2309" t="s">
        <v>120</v>
      </c>
      <c r="Q2309" t="s">
        <v>121</v>
      </c>
      <c r="S2309" t="s">
        <v>10964</v>
      </c>
      <c r="U2309" t="s">
        <v>45</v>
      </c>
      <c r="V2309" t="s">
        <v>46</v>
      </c>
      <c r="W2309" t="s">
        <v>118</v>
      </c>
      <c r="X2309" t="s">
        <v>119</v>
      </c>
      <c r="Y2309" t="s">
        <v>121</v>
      </c>
      <c r="Z2309" t="s">
        <v>94</v>
      </c>
      <c r="AA2309" t="s">
        <v>49</v>
      </c>
      <c r="AB2309" t="s">
        <v>50</v>
      </c>
      <c r="AC2309" s="2">
        <v>1000</v>
      </c>
      <c r="AD2309" t="s">
        <v>64</v>
      </c>
    </row>
    <row r="2310" spans="1:31" hidden="1" x14ac:dyDescent="0.25">
      <c r="A2310" t="s">
        <v>10965</v>
      </c>
      <c r="B2310" t="s">
        <v>10966</v>
      </c>
      <c r="C2310" t="s">
        <v>10966</v>
      </c>
      <c r="F2310" t="s">
        <v>10967</v>
      </c>
      <c r="H2310" t="s">
        <v>119</v>
      </c>
      <c r="J2310" s="2">
        <v>1000</v>
      </c>
      <c r="K2310" s="2">
        <v>0</v>
      </c>
      <c r="L2310" s="2">
        <v>15</v>
      </c>
      <c r="M2310" s="2">
        <v>0</v>
      </c>
      <c r="N2310" t="s">
        <v>118</v>
      </c>
      <c r="O2310" t="s">
        <v>119</v>
      </c>
      <c r="P2310" t="s">
        <v>120</v>
      </c>
      <c r="Q2310" t="s">
        <v>121</v>
      </c>
      <c r="S2310" t="s">
        <v>10968</v>
      </c>
      <c r="U2310" t="s">
        <v>45</v>
      </c>
      <c r="V2310" t="s">
        <v>46</v>
      </c>
      <c r="W2310" t="s">
        <v>118</v>
      </c>
      <c r="X2310" t="s">
        <v>119</v>
      </c>
      <c r="Y2310" t="s">
        <v>121</v>
      </c>
      <c r="Z2310" t="s">
        <v>94</v>
      </c>
      <c r="AA2310" t="s">
        <v>49</v>
      </c>
      <c r="AB2310" t="s">
        <v>50</v>
      </c>
      <c r="AC2310" s="2">
        <v>1000</v>
      </c>
      <c r="AD2310" t="s">
        <v>64</v>
      </c>
    </row>
    <row r="2311" spans="1:31" hidden="1" x14ac:dyDescent="0.25">
      <c r="A2311" t="s">
        <v>10969</v>
      </c>
      <c r="B2311" t="s">
        <v>10970</v>
      </c>
      <c r="C2311" t="s">
        <v>10970</v>
      </c>
      <c r="F2311" t="s">
        <v>10971</v>
      </c>
      <c r="H2311" t="s">
        <v>4851</v>
      </c>
      <c r="J2311" s="2">
        <v>1000</v>
      </c>
      <c r="K2311" s="2">
        <v>0</v>
      </c>
      <c r="L2311" s="2">
        <v>1</v>
      </c>
      <c r="M2311" s="2">
        <v>0</v>
      </c>
      <c r="N2311" t="s">
        <v>4852</v>
      </c>
      <c r="O2311" t="s">
        <v>4851</v>
      </c>
      <c r="P2311" t="s">
        <v>2320</v>
      </c>
      <c r="Q2311" t="s">
        <v>2321</v>
      </c>
      <c r="S2311" t="s">
        <v>10972</v>
      </c>
      <c r="U2311" t="s">
        <v>45</v>
      </c>
      <c r="V2311" t="s">
        <v>46</v>
      </c>
      <c r="W2311" t="s">
        <v>4852</v>
      </c>
      <c r="X2311" t="s">
        <v>4851</v>
      </c>
      <c r="Y2311" t="s">
        <v>4854</v>
      </c>
      <c r="Z2311" t="s">
        <v>72</v>
      </c>
      <c r="AA2311" t="s">
        <v>49</v>
      </c>
      <c r="AB2311" t="s">
        <v>50</v>
      </c>
      <c r="AC2311" s="2">
        <v>1000</v>
      </c>
      <c r="AD2311" t="s">
        <v>64</v>
      </c>
    </row>
    <row r="2312" spans="1:31" x14ac:dyDescent="0.25">
      <c r="A2312" t="s">
        <v>10973</v>
      </c>
      <c r="B2312" t="s">
        <v>10974</v>
      </c>
      <c r="C2312" t="s">
        <v>10974</v>
      </c>
      <c r="D2312" t="s">
        <v>297</v>
      </c>
      <c r="E2312" t="s">
        <v>167</v>
      </c>
      <c r="F2312" t="s">
        <v>10971</v>
      </c>
      <c r="G2312" t="s">
        <v>297</v>
      </c>
      <c r="H2312" t="s">
        <v>4851</v>
      </c>
      <c r="I2312" t="s">
        <v>10975</v>
      </c>
      <c r="J2312" s="2">
        <v>1090850</v>
      </c>
      <c r="K2312" s="2">
        <v>5000</v>
      </c>
      <c r="L2312" s="2">
        <v>30</v>
      </c>
      <c r="M2312" s="2">
        <v>0</v>
      </c>
      <c r="N2312" t="s">
        <v>4852</v>
      </c>
      <c r="O2312" t="s">
        <v>4851</v>
      </c>
      <c r="P2312" t="s">
        <v>4853</v>
      </c>
      <c r="Q2312" t="s">
        <v>4854</v>
      </c>
      <c r="S2312" t="s">
        <v>10972</v>
      </c>
      <c r="U2312" t="s">
        <v>45</v>
      </c>
      <c r="V2312" t="s">
        <v>46</v>
      </c>
      <c r="W2312" t="s">
        <v>4852</v>
      </c>
      <c r="X2312" t="s">
        <v>4851</v>
      </c>
      <c r="Y2312" t="s">
        <v>4854</v>
      </c>
      <c r="Z2312" t="s">
        <v>72</v>
      </c>
      <c r="AA2312" t="s">
        <v>49</v>
      </c>
      <c r="AB2312" t="s">
        <v>50</v>
      </c>
      <c r="AC2312" s="2">
        <v>229324.2</v>
      </c>
      <c r="AD2312" t="s">
        <v>10976</v>
      </c>
      <c r="AE2312" t="s">
        <v>52</v>
      </c>
    </row>
    <row r="2313" spans="1:31" x14ac:dyDescent="0.25">
      <c r="A2313" t="s">
        <v>10977</v>
      </c>
      <c r="B2313" t="s">
        <v>10978</v>
      </c>
      <c r="C2313" t="s">
        <v>10978</v>
      </c>
      <c r="D2313" t="s">
        <v>297</v>
      </c>
      <c r="E2313" t="s">
        <v>167</v>
      </c>
      <c r="F2313" t="s">
        <v>10971</v>
      </c>
      <c r="G2313" t="s">
        <v>297</v>
      </c>
      <c r="H2313" t="s">
        <v>7860</v>
      </c>
      <c r="I2313" t="s">
        <v>10975</v>
      </c>
      <c r="J2313" s="2">
        <v>1090850</v>
      </c>
      <c r="K2313" s="2">
        <v>5000</v>
      </c>
      <c r="L2313" s="2">
        <v>30</v>
      </c>
      <c r="M2313" s="2">
        <v>0</v>
      </c>
      <c r="N2313" t="s">
        <v>4852</v>
      </c>
      <c r="O2313" t="s">
        <v>4851</v>
      </c>
      <c r="P2313" t="s">
        <v>4853</v>
      </c>
      <c r="Q2313" t="s">
        <v>4854</v>
      </c>
      <c r="S2313" t="s">
        <v>10979</v>
      </c>
      <c r="U2313" t="s">
        <v>45</v>
      </c>
      <c r="V2313" t="s">
        <v>46</v>
      </c>
      <c r="W2313" t="s">
        <v>4852</v>
      </c>
      <c r="X2313" t="s">
        <v>4851</v>
      </c>
      <c r="Y2313" t="s">
        <v>4854</v>
      </c>
      <c r="Z2313" t="s">
        <v>72</v>
      </c>
      <c r="AA2313" t="s">
        <v>49</v>
      </c>
      <c r="AB2313" t="s">
        <v>50</v>
      </c>
      <c r="AC2313" s="2">
        <v>248787.9</v>
      </c>
      <c r="AD2313" t="s">
        <v>10980</v>
      </c>
      <c r="AE2313" t="s">
        <v>52</v>
      </c>
    </row>
    <row r="2314" spans="1:31" hidden="1" x14ac:dyDescent="0.25">
      <c r="A2314" t="s">
        <v>10981</v>
      </c>
      <c r="B2314" t="s">
        <v>10982</v>
      </c>
      <c r="C2314" t="s">
        <v>10982</v>
      </c>
      <c r="F2314" t="s">
        <v>10983</v>
      </c>
      <c r="H2314" t="s">
        <v>10984</v>
      </c>
      <c r="J2314" s="2">
        <v>218</v>
      </c>
      <c r="K2314" s="2">
        <v>1</v>
      </c>
      <c r="L2314" s="2">
        <v>1</v>
      </c>
      <c r="M2314" s="2">
        <v>0</v>
      </c>
      <c r="N2314" t="s">
        <v>254</v>
      </c>
      <c r="O2314" t="s">
        <v>255</v>
      </c>
      <c r="P2314" t="s">
        <v>256</v>
      </c>
      <c r="Q2314" t="s">
        <v>255</v>
      </c>
      <c r="S2314" t="s">
        <v>10985</v>
      </c>
      <c r="U2314" t="s">
        <v>45</v>
      </c>
      <c r="V2314" t="s">
        <v>46</v>
      </c>
      <c r="W2314" t="s">
        <v>254</v>
      </c>
      <c r="X2314" t="s">
        <v>255</v>
      </c>
      <c r="Y2314" t="s">
        <v>258</v>
      </c>
      <c r="Z2314" t="s">
        <v>259</v>
      </c>
      <c r="AA2314" t="s">
        <v>49</v>
      </c>
      <c r="AB2314" t="s">
        <v>50</v>
      </c>
      <c r="AC2314" s="2">
        <v>218</v>
      </c>
      <c r="AD2314" t="s">
        <v>64</v>
      </c>
    </row>
    <row r="2315" spans="1:31" hidden="1" x14ac:dyDescent="0.25">
      <c r="I2315" t="s">
        <v>10986</v>
      </c>
      <c r="J2315" s="2">
        <v>218</v>
      </c>
      <c r="K2315" s="2">
        <v>1</v>
      </c>
      <c r="L2315" s="2">
        <v>1</v>
      </c>
      <c r="M2315" s="2">
        <v>0</v>
      </c>
      <c r="S2315" t="s">
        <v>10987</v>
      </c>
      <c r="U2315" t="s">
        <v>45</v>
      </c>
      <c r="V2315" t="s">
        <v>46</v>
      </c>
      <c r="W2315" t="s">
        <v>80</v>
      </c>
      <c r="X2315" t="s">
        <v>81</v>
      </c>
      <c r="Y2315" t="s">
        <v>85</v>
      </c>
      <c r="Z2315" t="s">
        <v>86</v>
      </c>
      <c r="AA2315" t="s">
        <v>49</v>
      </c>
      <c r="AC2315" s="2"/>
    </row>
    <row r="2316" spans="1:31" x14ac:dyDescent="0.25">
      <c r="A2316" t="s">
        <v>10988</v>
      </c>
      <c r="B2316" t="s">
        <v>10989</v>
      </c>
      <c r="C2316" t="s">
        <v>10989</v>
      </c>
      <c r="D2316" t="s">
        <v>297</v>
      </c>
      <c r="E2316" t="s">
        <v>167</v>
      </c>
      <c r="F2316" t="s">
        <v>10990</v>
      </c>
      <c r="G2316" t="s">
        <v>555</v>
      </c>
      <c r="H2316" t="s">
        <v>446</v>
      </c>
      <c r="I2316" t="s">
        <v>10991</v>
      </c>
      <c r="J2316" s="2">
        <v>436340</v>
      </c>
      <c r="K2316" s="2">
        <v>2000</v>
      </c>
      <c r="L2316" s="2">
        <v>15</v>
      </c>
      <c r="M2316" s="2">
        <v>0</v>
      </c>
      <c r="N2316" t="s">
        <v>445</v>
      </c>
      <c r="O2316" t="s">
        <v>446</v>
      </c>
      <c r="P2316" t="s">
        <v>69</v>
      </c>
      <c r="Q2316" t="s">
        <v>70</v>
      </c>
      <c r="S2316" t="s">
        <v>10992</v>
      </c>
      <c r="U2316" t="s">
        <v>45</v>
      </c>
      <c r="V2316" t="s">
        <v>46</v>
      </c>
      <c r="W2316" t="s">
        <v>445</v>
      </c>
      <c r="X2316" t="s">
        <v>446</v>
      </c>
      <c r="Y2316" t="s">
        <v>72</v>
      </c>
      <c r="Z2316" t="s">
        <v>68</v>
      </c>
      <c r="AA2316" t="s">
        <v>49</v>
      </c>
      <c r="AB2316" t="s">
        <v>50</v>
      </c>
      <c r="AC2316" s="2">
        <v>436340</v>
      </c>
      <c r="AD2316" t="s">
        <v>64</v>
      </c>
    </row>
    <row r="2317" spans="1:31" x14ac:dyDescent="0.25">
      <c r="A2317" t="s">
        <v>10993</v>
      </c>
      <c r="B2317" t="s">
        <v>10994</v>
      </c>
      <c r="C2317" t="s">
        <v>10994</v>
      </c>
      <c r="D2317" t="s">
        <v>569</v>
      </c>
      <c r="E2317" t="s">
        <v>570</v>
      </c>
      <c r="F2317" t="s">
        <v>10995</v>
      </c>
      <c r="H2317" t="s">
        <v>41</v>
      </c>
      <c r="J2317" s="2">
        <v>10909</v>
      </c>
      <c r="K2317" s="2">
        <v>50</v>
      </c>
      <c r="L2317" s="2">
        <v>15</v>
      </c>
      <c r="M2317" s="2">
        <v>0</v>
      </c>
      <c r="N2317" t="s">
        <v>40</v>
      </c>
      <c r="O2317" t="s">
        <v>41</v>
      </c>
      <c r="P2317" t="s">
        <v>42</v>
      </c>
      <c r="Q2317" t="s">
        <v>43</v>
      </c>
      <c r="S2317" t="s">
        <v>5607</v>
      </c>
      <c r="U2317" t="s">
        <v>45</v>
      </c>
      <c r="V2317" t="s">
        <v>46</v>
      </c>
      <c r="W2317" t="s">
        <v>40</v>
      </c>
      <c r="X2317" t="s">
        <v>41</v>
      </c>
      <c r="Y2317" t="s">
        <v>47</v>
      </c>
      <c r="Z2317" t="s">
        <v>48</v>
      </c>
      <c r="AA2317" t="s">
        <v>141</v>
      </c>
      <c r="AB2317" t="s">
        <v>50</v>
      </c>
      <c r="AC2317" s="2">
        <v>10811.15</v>
      </c>
      <c r="AD2317" t="s">
        <v>10996</v>
      </c>
    </row>
    <row r="2318" spans="1:31" hidden="1" x14ac:dyDescent="0.25">
      <c r="A2318" t="s">
        <v>10997</v>
      </c>
      <c r="B2318" t="s">
        <v>10998</v>
      </c>
      <c r="C2318" t="s">
        <v>10998</v>
      </c>
      <c r="D2318" t="s">
        <v>55</v>
      </c>
      <c r="E2318" t="s">
        <v>56</v>
      </c>
      <c r="F2318" t="s">
        <v>8421</v>
      </c>
      <c r="H2318" t="s">
        <v>446</v>
      </c>
      <c r="J2318" s="2">
        <v>1000</v>
      </c>
      <c r="K2318" s="2">
        <v>0</v>
      </c>
      <c r="L2318" s="2">
        <v>1</v>
      </c>
      <c r="M2318" s="2">
        <v>0</v>
      </c>
      <c r="N2318" t="s">
        <v>445</v>
      </c>
      <c r="O2318" t="s">
        <v>446</v>
      </c>
      <c r="P2318" t="s">
        <v>4315</v>
      </c>
      <c r="Q2318" t="s">
        <v>4316</v>
      </c>
      <c r="S2318" t="s">
        <v>10999</v>
      </c>
      <c r="U2318" t="s">
        <v>45</v>
      </c>
      <c r="V2318" t="s">
        <v>46</v>
      </c>
      <c r="W2318" t="s">
        <v>445</v>
      </c>
      <c r="X2318" t="s">
        <v>446</v>
      </c>
      <c r="Y2318" t="s">
        <v>72</v>
      </c>
      <c r="Z2318" t="s">
        <v>68</v>
      </c>
      <c r="AA2318" t="s">
        <v>49</v>
      </c>
      <c r="AB2318" t="s">
        <v>50</v>
      </c>
      <c r="AC2318" s="2">
        <v>1000</v>
      </c>
      <c r="AD2318" t="s">
        <v>64</v>
      </c>
    </row>
    <row r="2319" spans="1:31" x14ac:dyDescent="0.25">
      <c r="A2319" t="s">
        <v>11000</v>
      </c>
      <c r="B2319" t="s">
        <v>11001</v>
      </c>
      <c r="C2319" t="s">
        <v>8420</v>
      </c>
      <c r="D2319" t="s">
        <v>153</v>
      </c>
      <c r="E2319" t="s">
        <v>272</v>
      </c>
      <c r="F2319" t="s">
        <v>8421</v>
      </c>
      <c r="G2319" t="s">
        <v>153</v>
      </c>
      <c r="H2319" t="s">
        <v>446</v>
      </c>
      <c r="I2319" t="s">
        <v>11002</v>
      </c>
      <c r="J2319" s="2">
        <v>575354</v>
      </c>
      <c r="K2319" s="2">
        <v>2637.18</v>
      </c>
      <c r="L2319" s="2">
        <v>21</v>
      </c>
      <c r="M2319" s="2">
        <v>0</v>
      </c>
      <c r="N2319" t="s">
        <v>2846</v>
      </c>
      <c r="O2319" t="s">
        <v>2844</v>
      </c>
      <c r="P2319" t="s">
        <v>4315</v>
      </c>
      <c r="Q2319" t="s">
        <v>4316</v>
      </c>
      <c r="S2319" t="s">
        <v>8423</v>
      </c>
      <c r="U2319" t="s">
        <v>45</v>
      </c>
      <c r="V2319" t="s">
        <v>46</v>
      </c>
      <c r="W2319" t="s">
        <v>2846</v>
      </c>
      <c r="X2319" t="s">
        <v>2844</v>
      </c>
      <c r="Y2319" t="s">
        <v>137</v>
      </c>
      <c r="Z2319" t="s">
        <v>717</v>
      </c>
      <c r="AA2319" t="s">
        <v>49</v>
      </c>
      <c r="AB2319" t="s">
        <v>50</v>
      </c>
      <c r="AC2319" s="2">
        <v>186797.17</v>
      </c>
      <c r="AD2319" t="s">
        <v>11003</v>
      </c>
      <c r="AE2319" t="s">
        <v>52</v>
      </c>
    </row>
    <row r="2320" spans="1:31" x14ac:dyDescent="0.25">
      <c r="A2320" t="s">
        <v>11004</v>
      </c>
      <c r="B2320" t="s">
        <v>11005</v>
      </c>
      <c r="C2320" t="s">
        <v>8420</v>
      </c>
      <c r="D2320" t="s">
        <v>35</v>
      </c>
      <c r="E2320" t="s">
        <v>36</v>
      </c>
      <c r="F2320" t="s">
        <v>8421</v>
      </c>
      <c r="G2320" t="s">
        <v>35</v>
      </c>
      <c r="H2320" t="s">
        <v>714</v>
      </c>
      <c r="I2320" t="s">
        <v>11002</v>
      </c>
      <c r="J2320" s="2">
        <v>675593</v>
      </c>
      <c r="K2320" s="2">
        <v>2750</v>
      </c>
      <c r="L2320" s="2">
        <v>21</v>
      </c>
      <c r="M2320" s="2">
        <v>0</v>
      </c>
      <c r="N2320" t="s">
        <v>715</v>
      </c>
      <c r="O2320" t="s">
        <v>714</v>
      </c>
      <c r="P2320" t="s">
        <v>4315</v>
      </c>
      <c r="Q2320" t="s">
        <v>4316</v>
      </c>
      <c r="S2320" t="s">
        <v>11006</v>
      </c>
      <c r="U2320" t="s">
        <v>45</v>
      </c>
      <c r="V2320" t="s">
        <v>46</v>
      </c>
      <c r="W2320" t="s">
        <v>715</v>
      </c>
      <c r="X2320" t="s">
        <v>714</v>
      </c>
      <c r="Y2320" t="s">
        <v>137</v>
      </c>
      <c r="Z2320" t="s">
        <v>717</v>
      </c>
      <c r="AA2320" t="s">
        <v>49</v>
      </c>
      <c r="AB2320" t="s">
        <v>50</v>
      </c>
      <c r="AC2320" s="2">
        <v>181406.66</v>
      </c>
      <c r="AD2320" t="s">
        <v>11007</v>
      </c>
      <c r="AE2320" t="s">
        <v>52</v>
      </c>
    </row>
    <row r="2321" spans="1:31" hidden="1" x14ac:dyDescent="0.25">
      <c r="I2321" t="s">
        <v>11008</v>
      </c>
      <c r="J2321" s="2">
        <v>54543</v>
      </c>
      <c r="K2321" s="2">
        <v>250</v>
      </c>
      <c r="L2321" s="2">
        <v>25</v>
      </c>
      <c r="M2321" s="2">
        <v>0</v>
      </c>
      <c r="S2321" t="s">
        <v>11009</v>
      </c>
      <c r="U2321" t="s">
        <v>45</v>
      </c>
      <c r="V2321" t="s">
        <v>46</v>
      </c>
      <c r="W2321" t="s">
        <v>6985</v>
      </c>
      <c r="X2321" t="s">
        <v>6986</v>
      </c>
      <c r="Y2321" t="s">
        <v>2399</v>
      </c>
      <c r="Z2321" t="s">
        <v>2400</v>
      </c>
      <c r="AA2321" t="s">
        <v>49</v>
      </c>
      <c r="AC2321" s="2"/>
    </row>
    <row r="2322" spans="1:31" x14ac:dyDescent="0.25">
      <c r="A2322" t="s">
        <v>11010</v>
      </c>
      <c r="B2322" t="s">
        <v>11011</v>
      </c>
      <c r="C2322" t="s">
        <v>11011</v>
      </c>
      <c r="D2322" t="s">
        <v>125</v>
      </c>
      <c r="E2322" t="s">
        <v>126</v>
      </c>
      <c r="F2322" t="s">
        <v>11012</v>
      </c>
      <c r="G2322" t="s">
        <v>125</v>
      </c>
      <c r="H2322" t="s">
        <v>10224</v>
      </c>
      <c r="I2322" t="s">
        <v>10912</v>
      </c>
      <c r="J2322" s="2">
        <v>512700</v>
      </c>
      <c r="K2322" s="2">
        <v>2350</v>
      </c>
      <c r="L2322" s="2">
        <v>25</v>
      </c>
      <c r="M2322" s="2">
        <v>0</v>
      </c>
      <c r="N2322" t="s">
        <v>10223</v>
      </c>
      <c r="O2322" t="s">
        <v>10224</v>
      </c>
      <c r="P2322" t="s">
        <v>6987</v>
      </c>
      <c r="Q2322" t="s">
        <v>6988</v>
      </c>
      <c r="S2322" t="s">
        <v>11013</v>
      </c>
      <c r="U2322" t="s">
        <v>45</v>
      </c>
      <c r="V2322" t="s">
        <v>46</v>
      </c>
      <c r="W2322" t="s">
        <v>10223</v>
      </c>
      <c r="X2322" t="s">
        <v>10224</v>
      </c>
      <c r="Y2322" t="s">
        <v>2399</v>
      </c>
      <c r="Z2322" t="s">
        <v>2400</v>
      </c>
      <c r="AA2322" t="s">
        <v>49</v>
      </c>
      <c r="AB2322" t="s">
        <v>50</v>
      </c>
      <c r="AC2322" s="2">
        <v>185243.28</v>
      </c>
      <c r="AD2322" t="s">
        <v>11014</v>
      </c>
      <c r="AE2322" t="s">
        <v>52</v>
      </c>
    </row>
    <row r="2323" spans="1:31" hidden="1" x14ac:dyDescent="0.25">
      <c r="J2323" s="2">
        <v>21817</v>
      </c>
      <c r="K2323" s="2">
        <v>100</v>
      </c>
      <c r="L2323" s="2">
        <v>1</v>
      </c>
      <c r="M2323" s="2">
        <v>0</v>
      </c>
      <c r="S2323" t="s">
        <v>11015</v>
      </c>
      <c r="U2323" t="s">
        <v>45</v>
      </c>
      <c r="V2323" t="s">
        <v>46</v>
      </c>
      <c r="W2323" t="s">
        <v>596</v>
      </c>
      <c r="X2323" t="s">
        <v>597</v>
      </c>
      <c r="Y2323" t="s">
        <v>92</v>
      </c>
      <c r="Z2323" t="s">
        <v>94</v>
      </c>
      <c r="AA2323" t="s">
        <v>49</v>
      </c>
      <c r="AC2323" s="2"/>
    </row>
    <row r="2324" spans="1:31" hidden="1" x14ac:dyDescent="0.25">
      <c r="I2324" t="s">
        <v>11016</v>
      </c>
      <c r="J2324" s="2">
        <v>174536</v>
      </c>
      <c r="K2324" s="2">
        <v>800</v>
      </c>
      <c r="L2324" s="2">
        <v>15</v>
      </c>
      <c r="M2324" s="2">
        <v>0</v>
      </c>
      <c r="S2324" t="s">
        <v>11017</v>
      </c>
      <c r="U2324" t="s">
        <v>45</v>
      </c>
      <c r="V2324" t="s">
        <v>46</v>
      </c>
      <c r="W2324" t="s">
        <v>80</v>
      </c>
      <c r="X2324" t="s">
        <v>81</v>
      </c>
      <c r="Y2324" t="s">
        <v>85</v>
      </c>
      <c r="Z2324" t="s">
        <v>86</v>
      </c>
      <c r="AA2324" t="s">
        <v>49</v>
      </c>
      <c r="AC2324" s="2"/>
    </row>
    <row r="2325" spans="1:31" x14ac:dyDescent="0.25">
      <c r="A2325" t="s">
        <v>11018</v>
      </c>
      <c r="B2325" t="s">
        <v>11019</v>
      </c>
      <c r="C2325" t="s">
        <v>11019</v>
      </c>
      <c r="D2325" t="s">
        <v>125</v>
      </c>
      <c r="E2325" t="s">
        <v>126</v>
      </c>
      <c r="F2325" t="s">
        <v>11020</v>
      </c>
      <c r="G2325" t="s">
        <v>125</v>
      </c>
      <c r="H2325" t="s">
        <v>10727</v>
      </c>
      <c r="I2325" t="s">
        <v>10401</v>
      </c>
      <c r="J2325" s="2">
        <v>743430</v>
      </c>
      <c r="K2325" s="2">
        <v>3190</v>
      </c>
      <c r="L2325" s="2">
        <v>30</v>
      </c>
      <c r="M2325" s="2">
        <v>0</v>
      </c>
      <c r="N2325" t="s">
        <v>1210</v>
      </c>
      <c r="O2325" t="s">
        <v>1211</v>
      </c>
      <c r="P2325" t="s">
        <v>1212</v>
      </c>
      <c r="Q2325" t="s">
        <v>1213</v>
      </c>
      <c r="S2325" t="s">
        <v>11021</v>
      </c>
      <c r="U2325" t="s">
        <v>45</v>
      </c>
      <c r="V2325" t="s">
        <v>46</v>
      </c>
      <c r="W2325" t="s">
        <v>1210</v>
      </c>
      <c r="X2325" t="s">
        <v>1211</v>
      </c>
      <c r="Y2325" t="s">
        <v>1215</v>
      </c>
      <c r="Z2325" t="s">
        <v>1216</v>
      </c>
      <c r="AA2325" t="s">
        <v>49</v>
      </c>
      <c r="AB2325" t="s">
        <v>50</v>
      </c>
      <c r="AC2325" s="2">
        <v>345874.78</v>
      </c>
      <c r="AD2325" t="s">
        <v>11022</v>
      </c>
      <c r="AE2325" t="s">
        <v>52</v>
      </c>
    </row>
    <row r="2326" spans="1:31" x14ac:dyDescent="0.25">
      <c r="A2326" t="s">
        <v>11023</v>
      </c>
      <c r="B2326" t="s">
        <v>11024</v>
      </c>
      <c r="C2326" t="s">
        <v>11024</v>
      </c>
      <c r="D2326" t="s">
        <v>35</v>
      </c>
      <c r="E2326" t="s">
        <v>36</v>
      </c>
      <c r="F2326" t="s">
        <v>11025</v>
      </c>
      <c r="G2326" t="s">
        <v>35</v>
      </c>
      <c r="H2326" t="s">
        <v>10727</v>
      </c>
      <c r="I2326" t="s">
        <v>10401</v>
      </c>
      <c r="J2326" s="2">
        <v>757413</v>
      </c>
      <c r="K2326" s="2">
        <v>3250</v>
      </c>
      <c r="L2326" s="2">
        <v>30</v>
      </c>
      <c r="M2326" s="2">
        <v>0</v>
      </c>
      <c r="N2326" t="s">
        <v>1210</v>
      </c>
      <c r="O2326" t="s">
        <v>1211</v>
      </c>
      <c r="P2326" t="s">
        <v>1212</v>
      </c>
      <c r="Q2326" t="s">
        <v>1213</v>
      </c>
      <c r="S2326" t="s">
        <v>11026</v>
      </c>
      <c r="U2326" t="s">
        <v>45</v>
      </c>
      <c r="V2326" t="s">
        <v>46</v>
      </c>
      <c r="W2326" t="s">
        <v>1210</v>
      </c>
      <c r="X2326" t="s">
        <v>1211</v>
      </c>
      <c r="Y2326" t="s">
        <v>1215</v>
      </c>
      <c r="Z2326" t="s">
        <v>1216</v>
      </c>
      <c r="AA2326" t="s">
        <v>49</v>
      </c>
      <c r="AB2326" t="s">
        <v>50</v>
      </c>
      <c r="AC2326" s="2">
        <v>281047.38</v>
      </c>
      <c r="AD2326" t="s">
        <v>11027</v>
      </c>
      <c r="AE2326" t="s">
        <v>52</v>
      </c>
    </row>
    <row r="2327" spans="1:31" x14ac:dyDescent="0.25">
      <c r="A2327" t="s">
        <v>11028</v>
      </c>
      <c r="B2327" t="s">
        <v>11029</v>
      </c>
      <c r="C2327" t="s">
        <v>11029</v>
      </c>
      <c r="D2327" t="s">
        <v>2389</v>
      </c>
      <c r="E2327" t="s">
        <v>134</v>
      </c>
      <c r="F2327" t="s">
        <v>11030</v>
      </c>
      <c r="G2327" t="s">
        <v>10039</v>
      </c>
      <c r="H2327" t="s">
        <v>1360</v>
      </c>
      <c r="I2327" t="s">
        <v>11031</v>
      </c>
      <c r="J2327" s="2">
        <v>54543</v>
      </c>
      <c r="K2327" s="2">
        <v>250</v>
      </c>
      <c r="L2327" s="2">
        <v>15</v>
      </c>
      <c r="M2327" s="2">
        <v>0</v>
      </c>
      <c r="N2327" t="s">
        <v>1362</v>
      </c>
      <c r="O2327" t="s">
        <v>1360</v>
      </c>
      <c r="P2327" t="s">
        <v>1212</v>
      </c>
      <c r="Q2327" t="s">
        <v>1213</v>
      </c>
      <c r="S2327" t="s">
        <v>11032</v>
      </c>
      <c r="U2327" t="s">
        <v>45</v>
      </c>
      <c r="V2327" t="s">
        <v>46</v>
      </c>
      <c r="W2327" t="s">
        <v>1362</v>
      </c>
      <c r="X2327" t="s">
        <v>1360</v>
      </c>
      <c r="Y2327" t="s">
        <v>1215</v>
      </c>
      <c r="Z2327" t="s">
        <v>1216</v>
      </c>
      <c r="AA2327" t="s">
        <v>49</v>
      </c>
      <c r="AB2327" t="s">
        <v>50</v>
      </c>
      <c r="AC2327" s="2">
        <v>54543</v>
      </c>
      <c r="AD2327" t="s">
        <v>64</v>
      </c>
    </row>
    <row r="2328" spans="1:31" x14ac:dyDescent="0.25">
      <c r="A2328" t="s">
        <v>11033</v>
      </c>
      <c r="B2328" t="s">
        <v>11034</v>
      </c>
      <c r="C2328" t="s">
        <v>11034</v>
      </c>
      <c r="D2328" t="s">
        <v>297</v>
      </c>
      <c r="E2328" t="s">
        <v>167</v>
      </c>
      <c r="F2328" t="s">
        <v>11035</v>
      </c>
      <c r="G2328" t="s">
        <v>3472</v>
      </c>
      <c r="H2328" t="s">
        <v>303</v>
      </c>
      <c r="I2328" t="s">
        <v>11036</v>
      </c>
      <c r="J2328" s="2">
        <v>218170</v>
      </c>
      <c r="K2328" s="2">
        <v>1000</v>
      </c>
      <c r="L2328" s="2">
        <v>15</v>
      </c>
      <c r="M2328" s="2">
        <v>0</v>
      </c>
      <c r="N2328" t="s">
        <v>302</v>
      </c>
      <c r="O2328" t="s">
        <v>303</v>
      </c>
      <c r="P2328" t="s">
        <v>304</v>
      </c>
      <c r="Q2328" t="s">
        <v>72</v>
      </c>
      <c r="S2328" t="s">
        <v>11037</v>
      </c>
      <c r="U2328" t="s">
        <v>45</v>
      </c>
      <c r="V2328" t="s">
        <v>46</v>
      </c>
      <c r="W2328" t="s">
        <v>302</v>
      </c>
      <c r="X2328" t="s">
        <v>303</v>
      </c>
      <c r="Y2328" t="s">
        <v>72</v>
      </c>
      <c r="Z2328" t="s">
        <v>68</v>
      </c>
      <c r="AA2328" t="s">
        <v>49</v>
      </c>
      <c r="AB2328" t="s">
        <v>50</v>
      </c>
      <c r="AC2328" s="2">
        <v>218170</v>
      </c>
      <c r="AD2328" t="s">
        <v>64</v>
      </c>
    </row>
    <row r="2329" spans="1:31" x14ac:dyDescent="0.25">
      <c r="A2329" t="s">
        <v>11038</v>
      </c>
      <c r="B2329" t="s">
        <v>11039</v>
      </c>
      <c r="C2329" t="s">
        <v>11039</v>
      </c>
      <c r="D2329" t="s">
        <v>344</v>
      </c>
      <c r="E2329" t="s">
        <v>167</v>
      </c>
      <c r="F2329" t="s">
        <v>11040</v>
      </c>
      <c r="G2329" t="s">
        <v>649</v>
      </c>
      <c r="H2329" t="s">
        <v>8209</v>
      </c>
      <c r="J2329" s="2">
        <v>109085</v>
      </c>
      <c r="K2329" s="2">
        <v>500</v>
      </c>
      <c r="L2329" s="2">
        <v>21</v>
      </c>
      <c r="M2329" s="2">
        <v>0</v>
      </c>
      <c r="N2329" t="s">
        <v>8208</v>
      </c>
      <c r="O2329" t="s">
        <v>8209</v>
      </c>
      <c r="P2329" t="s">
        <v>2320</v>
      </c>
      <c r="Q2329" t="s">
        <v>2321</v>
      </c>
      <c r="S2329" t="s">
        <v>11041</v>
      </c>
      <c r="U2329" t="s">
        <v>45</v>
      </c>
      <c r="V2329" t="s">
        <v>46</v>
      </c>
      <c r="W2329" t="s">
        <v>8208</v>
      </c>
      <c r="X2329" t="s">
        <v>8209</v>
      </c>
      <c r="Y2329" t="s">
        <v>79</v>
      </c>
      <c r="Z2329" t="s">
        <v>94</v>
      </c>
      <c r="AA2329" t="s">
        <v>49</v>
      </c>
      <c r="AB2329" t="s">
        <v>50</v>
      </c>
      <c r="AC2329" s="2">
        <v>109085</v>
      </c>
      <c r="AD2329" t="s">
        <v>64</v>
      </c>
    </row>
    <row r="2330" spans="1:31" hidden="1" x14ac:dyDescent="0.25">
      <c r="I2330" t="s">
        <v>11042</v>
      </c>
      <c r="J2330" s="2">
        <v>32726</v>
      </c>
      <c r="K2330" s="2">
        <v>150</v>
      </c>
      <c r="L2330" s="2">
        <v>15</v>
      </c>
      <c r="M2330" s="2">
        <v>0</v>
      </c>
      <c r="S2330" t="s">
        <v>11043</v>
      </c>
      <c r="U2330" t="s">
        <v>45</v>
      </c>
      <c r="V2330" t="s">
        <v>46</v>
      </c>
      <c r="W2330" t="s">
        <v>6985</v>
      </c>
      <c r="X2330" t="s">
        <v>6986</v>
      </c>
      <c r="Y2330" t="s">
        <v>2399</v>
      </c>
      <c r="Z2330" t="s">
        <v>2400</v>
      </c>
      <c r="AA2330" t="s">
        <v>49</v>
      </c>
      <c r="AC2330" s="2"/>
    </row>
    <row r="2331" spans="1:31" x14ac:dyDescent="0.25">
      <c r="A2331" t="s">
        <v>11044</v>
      </c>
      <c r="B2331" t="s">
        <v>11045</v>
      </c>
      <c r="C2331" t="s">
        <v>11045</v>
      </c>
      <c r="D2331" t="s">
        <v>344</v>
      </c>
      <c r="E2331" t="s">
        <v>167</v>
      </c>
      <c r="F2331" t="s">
        <v>11046</v>
      </c>
      <c r="G2331" t="s">
        <v>553</v>
      </c>
      <c r="H2331" t="s">
        <v>81</v>
      </c>
      <c r="J2331" s="2">
        <v>174536</v>
      </c>
      <c r="K2331" s="2">
        <v>800</v>
      </c>
      <c r="L2331" s="2">
        <v>15</v>
      </c>
      <c r="M2331" s="2">
        <v>0</v>
      </c>
      <c r="N2331" t="s">
        <v>80</v>
      </c>
      <c r="O2331" t="s">
        <v>81</v>
      </c>
      <c r="P2331" t="s">
        <v>557</v>
      </c>
      <c r="Q2331" t="s">
        <v>558</v>
      </c>
      <c r="S2331" t="s">
        <v>11047</v>
      </c>
      <c r="U2331" t="s">
        <v>45</v>
      </c>
      <c r="V2331" t="s">
        <v>46</v>
      </c>
      <c r="W2331" t="s">
        <v>80</v>
      </c>
      <c r="X2331" t="s">
        <v>81</v>
      </c>
      <c r="Y2331" t="s">
        <v>85</v>
      </c>
      <c r="Z2331" t="s">
        <v>86</v>
      </c>
      <c r="AA2331" t="s">
        <v>49</v>
      </c>
      <c r="AB2331" t="s">
        <v>50</v>
      </c>
      <c r="AC2331" s="2">
        <v>173903.62</v>
      </c>
      <c r="AD2331" t="s">
        <v>11048</v>
      </c>
      <c r="AE2331" t="s">
        <v>52</v>
      </c>
    </row>
    <row r="2332" spans="1:31" x14ac:dyDescent="0.25">
      <c r="A2332" t="s">
        <v>11049</v>
      </c>
      <c r="B2332" t="s">
        <v>11050</v>
      </c>
      <c r="C2332" t="s">
        <v>11050</v>
      </c>
      <c r="D2332" t="s">
        <v>35</v>
      </c>
      <c r="E2332" t="s">
        <v>36</v>
      </c>
      <c r="F2332" t="s">
        <v>11051</v>
      </c>
      <c r="G2332" t="s">
        <v>847</v>
      </c>
      <c r="H2332" t="s">
        <v>10727</v>
      </c>
      <c r="I2332" t="s">
        <v>11052</v>
      </c>
      <c r="J2332" s="2">
        <v>1309020</v>
      </c>
      <c r="K2332" s="2">
        <v>6000</v>
      </c>
      <c r="L2332" s="2">
        <v>21</v>
      </c>
      <c r="M2332" s="2">
        <v>0</v>
      </c>
      <c r="N2332" t="s">
        <v>1210</v>
      </c>
      <c r="O2332" t="s">
        <v>1211</v>
      </c>
      <c r="P2332" t="s">
        <v>1212</v>
      </c>
      <c r="Q2332" t="s">
        <v>1213</v>
      </c>
      <c r="S2332" t="s">
        <v>11053</v>
      </c>
      <c r="U2332" t="s">
        <v>45</v>
      </c>
      <c r="V2332" t="s">
        <v>46</v>
      </c>
      <c r="W2332" t="s">
        <v>1210</v>
      </c>
      <c r="X2332" t="s">
        <v>1211</v>
      </c>
      <c r="Y2332" t="s">
        <v>1215</v>
      </c>
      <c r="Z2332" t="s">
        <v>1216</v>
      </c>
      <c r="AA2332" t="s">
        <v>49</v>
      </c>
      <c r="AB2332" t="s">
        <v>50</v>
      </c>
      <c r="AC2332" s="2">
        <v>561081.87</v>
      </c>
      <c r="AD2332" t="s">
        <v>11054</v>
      </c>
      <c r="AE2332" t="s">
        <v>115</v>
      </c>
    </row>
    <row r="2333" spans="1:31" x14ac:dyDescent="0.25">
      <c r="A2333" t="s">
        <v>11055</v>
      </c>
      <c r="B2333" t="s">
        <v>11056</v>
      </c>
      <c r="C2333" t="s">
        <v>11056</v>
      </c>
      <c r="D2333" t="s">
        <v>344</v>
      </c>
      <c r="E2333" t="s">
        <v>167</v>
      </c>
      <c r="F2333" t="s">
        <v>11057</v>
      </c>
      <c r="G2333" t="s">
        <v>873</v>
      </c>
      <c r="H2333" t="s">
        <v>3074</v>
      </c>
      <c r="I2333" t="s">
        <v>11058</v>
      </c>
      <c r="J2333" s="2">
        <v>1090850</v>
      </c>
      <c r="K2333" s="2">
        <v>5000</v>
      </c>
      <c r="L2333" s="2">
        <v>30</v>
      </c>
      <c r="M2333" s="2">
        <v>0</v>
      </c>
      <c r="N2333" t="s">
        <v>3073</v>
      </c>
      <c r="O2333" t="s">
        <v>3074</v>
      </c>
      <c r="P2333" t="s">
        <v>103</v>
      </c>
      <c r="Q2333" t="s">
        <v>104</v>
      </c>
      <c r="S2333" t="s">
        <v>11059</v>
      </c>
      <c r="U2333" t="s">
        <v>45</v>
      </c>
      <c r="V2333" t="s">
        <v>46</v>
      </c>
      <c r="W2333" t="s">
        <v>3073</v>
      </c>
      <c r="X2333" t="s">
        <v>3074</v>
      </c>
      <c r="Y2333" t="s">
        <v>106</v>
      </c>
      <c r="Z2333" t="s">
        <v>107</v>
      </c>
      <c r="AA2333" t="s">
        <v>49</v>
      </c>
      <c r="AB2333" t="s">
        <v>50</v>
      </c>
      <c r="AC2333" s="2">
        <v>1090757.3700000001</v>
      </c>
      <c r="AD2333" t="s">
        <v>11060</v>
      </c>
      <c r="AE2333" t="s">
        <v>115</v>
      </c>
    </row>
    <row r="2334" spans="1:31" x14ac:dyDescent="0.25">
      <c r="A2334" t="s">
        <v>11061</v>
      </c>
      <c r="B2334" t="s">
        <v>11062</v>
      </c>
      <c r="C2334" t="s">
        <v>11062</v>
      </c>
      <c r="D2334" t="s">
        <v>553</v>
      </c>
      <c r="E2334" t="s">
        <v>167</v>
      </c>
      <c r="F2334" t="s">
        <v>11063</v>
      </c>
      <c r="G2334" t="s">
        <v>553</v>
      </c>
      <c r="H2334" t="s">
        <v>11064</v>
      </c>
      <c r="I2334" t="s">
        <v>11065</v>
      </c>
      <c r="J2334" s="2">
        <v>109085</v>
      </c>
      <c r="K2334" s="2">
        <v>500</v>
      </c>
      <c r="L2334" s="2">
        <v>21</v>
      </c>
      <c r="M2334" s="2">
        <v>0</v>
      </c>
      <c r="N2334" t="s">
        <v>7276</v>
      </c>
      <c r="O2334" t="s">
        <v>7277</v>
      </c>
      <c r="P2334" t="s">
        <v>3487</v>
      </c>
      <c r="Q2334" t="s">
        <v>3488</v>
      </c>
      <c r="S2334" t="s">
        <v>11066</v>
      </c>
      <c r="U2334" t="s">
        <v>45</v>
      </c>
      <c r="V2334" t="s">
        <v>46</v>
      </c>
      <c r="W2334" t="s">
        <v>7276</v>
      </c>
      <c r="X2334" t="s">
        <v>7277</v>
      </c>
      <c r="Y2334" t="s">
        <v>79</v>
      </c>
      <c r="Z2334" t="s">
        <v>94</v>
      </c>
      <c r="AA2334" t="s">
        <v>49</v>
      </c>
      <c r="AB2334" t="s">
        <v>50</v>
      </c>
      <c r="AC2334" s="2">
        <v>31580.959999999999</v>
      </c>
      <c r="AD2334" t="s">
        <v>11067</v>
      </c>
      <c r="AE2334" t="s">
        <v>52</v>
      </c>
    </row>
    <row r="2335" spans="1:31" hidden="1" x14ac:dyDescent="0.25">
      <c r="I2335" t="s">
        <v>11068</v>
      </c>
      <c r="J2335" s="2">
        <v>109085</v>
      </c>
      <c r="K2335" s="2">
        <v>500</v>
      </c>
      <c r="L2335" s="2">
        <v>15</v>
      </c>
      <c r="M2335" s="2">
        <v>0</v>
      </c>
      <c r="S2335" t="s">
        <v>11069</v>
      </c>
      <c r="U2335" t="s">
        <v>45</v>
      </c>
      <c r="V2335" t="s">
        <v>46</v>
      </c>
      <c r="W2335" t="s">
        <v>80</v>
      </c>
      <c r="X2335" t="s">
        <v>81</v>
      </c>
      <c r="Y2335" t="s">
        <v>85</v>
      </c>
      <c r="Z2335" t="s">
        <v>86</v>
      </c>
      <c r="AA2335" t="s">
        <v>49</v>
      </c>
      <c r="AC2335" s="2"/>
    </row>
    <row r="2336" spans="1:31" x14ac:dyDescent="0.25">
      <c r="A2336" t="s">
        <v>11070</v>
      </c>
      <c r="B2336" t="s">
        <v>11071</v>
      </c>
      <c r="C2336" t="s">
        <v>11071</v>
      </c>
      <c r="D2336" t="s">
        <v>153</v>
      </c>
      <c r="E2336" t="s">
        <v>272</v>
      </c>
      <c r="F2336" t="s">
        <v>11072</v>
      </c>
      <c r="G2336" t="s">
        <v>847</v>
      </c>
      <c r="H2336" t="s">
        <v>6240</v>
      </c>
      <c r="I2336" t="s">
        <v>11073</v>
      </c>
      <c r="J2336" s="2">
        <v>218170</v>
      </c>
      <c r="K2336" s="2">
        <v>1000</v>
      </c>
      <c r="L2336" s="2">
        <v>15</v>
      </c>
      <c r="M2336" s="2">
        <v>0</v>
      </c>
      <c r="N2336" t="s">
        <v>6239</v>
      </c>
      <c r="O2336" t="s">
        <v>6240</v>
      </c>
      <c r="P2336" t="s">
        <v>82</v>
      </c>
      <c r="Q2336" t="s">
        <v>83</v>
      </c>
      <c r="S2336" t="s">
        <v>11074</v>
      </c>
      <c r="U2336" t="s">
        <v>45</v>
      </c>
      <c r="V2336" t="s">
        <v>46</v>
      </c>
      <c r="W2336" t="s">
        <v>6239</v>
      </c>
      <c r="X2336" t="s">
        <v>6240</v>
      </c>
      <c r="Y2336" t="s">
        <v>85</v>
      </c>
      <c r="Z2336" t="s">
        <v>86</v>
      </c>
      <c r="AA2336" t="s">
        <v>49</v>
      </c>
      <c r="AB2336" t="s">
        <v>50</v>
      </c>
      <c r="AC2336" s="2">
        <v>187204.69</v>
      </c>
      <c r="AD2336" t="s">
        <v>11075</v>
      </c>
      <c r="AE2336" t="s">
        <v>52</v>
      </c>
    </row>
    <row r="2337" spans="1:31" x14ac:dyDescent="0.25">
      <c r="A2337" t="s">
        <v>11076</v>
      </c>
      <c r="B2337" t="s">
        <v>11077</v>
      </c>
      <c r="C2337" t="s">
        <v>11077</v>
      </c>
      <c r="D2337" t="s">
        <v>10039</v>
      </c>
      <c r="E2337" t="s">
        <v>77</v>
      </c>
      <c r="F2337" t="s">
        <v>11078</v>
      </c>
      <c r="H2337" t="s">
        <v>41</v>
      </c>
      <c r="J2337" s="2">
        <v>21817</v>
      </c>
      <c r="K2337" s="2">
        <v>100</v>
      </c>
      <c r="L2337" s="2">
        <v>15</v>
      </c>
      <c r="M2337" s="2">
        <v>0</v>
      </c>
      <c r="N2337" t="s">
        <v>40</v>
      </c>
      <c r="O2337" t="s">
        <v>41</v>
      </c>
      <c r="P2337" t="s">
        <v>42</v>
      </c>
      <c r="Q2337" t="s">
        <v>43</v>
      </c>
      <c r="S2337" t="s">
        <v>38</v>
      </c>
      <c r="U2337" t="s">
        <v>45</v>
      </c>
      <c r="V2337" t="s">
        <v>46</v>
      </c>
      <c r="W2337" t="s">
        <v>40</v>
      </c>
      <c r="X2337" t="s">
        <v>41</v>
      </c>
      <c r="Y2337" t="s">
        <v>47</v>
      </c>
      <c r="Z2337" t="s">
        <v>48</v>
      </c>
      <c r="AA2337" t="s">
        <v>141</v>
      </c>
      <c r="AB2337" t="s">
        <v>50</v>
      </c>
      <c r="AC2337" s="2">
        <v>21817</v>
      </c>
      <c r="AD2337" t="s">
        <v>64</v>
      </c>
    </row>
    <row r="2338" spans="1:31" x14ac:dyDescent="0.25">
      <c r="A2338" t="s">
        <v>11079</v>
      </c>
      <c r="B2338" t="s">
        <v>11080</v>
      </c>
      <c r="C2338" t="s">
        <v>11080</v>
      </c>
      <c r="D2338" t="s">
        <v>1467</v>
      </c>
      <c r="E2338" t="s">
        <v>224</v>
      </c>
      <c r="F2338" t="s">
        <v>11081</v>
      </c>
      <c r="G2338" t="s">
        <v>1467</v>
      </c>
      <c r="H2338" t="s">
        <v>11082</v>
      </c>
      <c r="I2338" t="s">
        <v>11083</v>
      </c>
      <c r="J2338" s="2">
        <v>43634</v>
      </c>
      <c r="K2338" s="2">
        <v>200</v>
      </c>
      <c r="L2338" s="2">
        <v>2</v>
      </c>
      <c r="M2338" s="2">
        <v>0</v>
      </c>
      <c r="N2338" t="s">
        <v>5707</v>
      </c>
      <c r="O2338" t="s">
        <v>5706</v>
      </c>
      <c r="P2338" t="s">
        <v>42</v>
      </c>
      <c r="Q2338" t="s">
        <v>43</v>
      </c>
      <c r="S2338" t="s">
        <v>11084</v>
      </c>
      <c r="U2338" t="s">
        <v>45</v>
      </c>
      <c r="V2338" t="s">
        <v>46</v>
      </c>
      <c r="W2338" t="s">
        <v>5707</v>
      </c>
      <c r="X2338" t="s">
        <v>5706</v>
      </c>
      <c r="Y2338" t="s">
        <v>121</v>
      </c>
      <c r="Z2338" t="s">
        <v>94</v>
      </c>
      <c r="AA2338" t="s">
        <v>49</v>
      </c>
      <c r="AB2338" t="s">
        <v>50</v>
      </c>
      <c r="AC2338" s="2">
        <v>-9365.81</v>
      </c>
      <c r="AD2338" t="s">
        <v>11085</v>
      </c>
      <c r="AE2338" t="s">
        <v>115</v>
      </c>
    </row>
    <row r="2339" spans="1:31" x14ac:dyDescent="0.25">
      <c r="A2339" t="s">
        <v>11086</v>
      </c>
      <c r="B2339" t="s">
        <v>11087</v>
      </c>
      <c r="C2339" t="s">
        <v>11087</v>
      </c>
      <c r="D2339" t="s">
        <v>169</v>
      </c>
      <c r="E2339" t="s">
        <v>190</v>
      </c>
      <c r="F2339" t="s">
        <v>11088</v>
      </c>
      <c r="G2339" t="s">
        <v>1243</v>
      </c>
      <c r="H2339" t="s">
        <v>699</v>
      </c>
      <c r="I2339" t="s">
        <v>11089</v>
      </c>
      <c r="J2339" s="2">
        <v>21817</v>
      </c>
      <c r="K2339" s="2">
        <v>100</v>
      </c>
      <c r="L2339" s="2">
        <v>1</v>
      </c>
      <c r="M2339" s="2">
        <v>0</v>
      </c>
      <c r="N2339" t="s">
        <v>700</v>
      </c>
      <c r="O2339" t="s">
        <v>699</v>
      </c>
      <c r="P2339" t="s">
        <v>69</v>
      </c>
      <c r="Q2339" t="s">
        <v>70</v>
      </c>
      <c r="S2339" t="s">
        <v>11090</v>
      </c>
      <c r="U2339" t="s">
        <v>45</v>
      </c>
      <c r="V2339" t="s">
        <v>46</v>
      </c>
      <c r="W2339" t="s">
        <v>700</v>
      </c>
      <c r="X2339" t="s">
        <v>699</v>
      </c>
      <c r="Y2339" t="s">
        <v>72</v>
      </c>
      <c r="Z2339" t="s">
        <v>68</v>
      </c>
      <c r="AA2339" t="s">
        <v>49</v>
      </c>
      <c r="AB2339" t="s">
        <v>50</v>
      </c>
      <c r="AC2339" s="2">
        <v>21817</v>
      </c>
      <c r="AD2339" t="s">
        <v>64</v>
      </c>
    </row>
    <row r="2340" spans="1:31" x14ac:dyDescent="0.25">
      <c r="A2340" t="s">
        <v>11091</v>
      </c>
      <c r="B2340" t="s">
        <v>11092</v>
      </c>
      <c r="C2340" t="s">
        <v>11092</v>
      </c>
      <c r="D2340" t="s">
        <v>498</v>
      </c>
      <c r="E2340" t="s">
        <v>190</v>
      </c>
      <c r="F2340" t="s">
        <v>11093</v>
      </c>
      <c r="G2340" t="s">
        <v>819</v>
      </c>
      <c r="H2340" t="s">
        <v>6240</v>
      </c>
      <c r="I2340" t="s">
        <v>11094</v>
      </c>
      <c r="J2340" s="2">
        <v>174536</v>
      </c>
      <c r="K2340" s="2">
        <v>800</v>
      </c>
      <c r="L2340" s="2">
        <v>15</v>
      </c>
      <c r="M2340" s="2">
        <v>0</v>
      </c>
      <c r="N2340" t="s">
        <v>6239</v>
      </c>
      <c r="O2340" t="s">
        <v>6240</v>
      </c>
      <c r="P2340" t="s">
        <v>82</v>
      </c>
      <c r="Q2340" t="s">
        <v>83</v>
      </c>
      <c r="S2340" t="s">
        <v>11095</v>
      </c>
      <c r="U2340" t="s">
        <v>45</v>
      </c>
      <c r="V2340" t="s">
        <v>46</v>
      </c>
      <c r="W2340" t="s">
        <v>6239</v>
      </c>
      <c r="X2340" t="s">
        <v>6240</v>
      </c>
      <c r="Y2340" t="s">
        <v>85</v>
      </c>
      <c r="Z2340" t="s">
        <v>86</v>
      </c>
      <c r="AA2340" t="s">
        <v>49</v>
      </c>
      <c r="AB2340" t="s">
        <v>50</v>
      </c>
      <c r="AC2340" s="2">
        <v>174536</v>
      </c>
      <c r="AD2340" t="s">
        <v>64</v>
      </c>
    </row>
    <row r="2341" spans="1:31" x14ac:dyDescent="0.25">
      <c r="A2341" t="s">
        <v>11096</v>
      </c>
      <c r="B2341" t="s">
        <v>11097</v>
      </c>
      <c r="C2341" t="s">
        <v>11097</v>
      </c>
      <c r="D2341" t="s">
        <v>569</v>
      </c>
      <c r="E2341" t="s">
        <v>570</v>
      </c>
      <c r="F2341" t="s">
        <v>11098</v>
      </c>
      <c r="H2341" t="s">
        <v>41</v>
      </c>
      <c r="J2341" s="2">
        <v>10909</v>
      </c>
      <c r="K2341" s="2">
        <v>50</v>
      </c>
      <c r="L2341" s="2">
        <v>15</v>
      </c>
      <c r="M2341" s="2">
        <v>0</v>
      </c>
      <c r="N2341" t="s">
        <v>40</v>
      </c>
      <c r="O2341" t="s">
        <v>41</v>
      </c>
      <c r="P2341" t="s">
        <v>42</v>
      </c>
      <c r="Q2341" t="s">
        <v>43</v>
      </c>
      <c r="U2341" t="s">
        <v>45</v>
      </c>
      <c r="V2341" t="s">
        <v>46</v>
      </c>
      <c r="W2341" t="s">
        <v>40</v>
      </c>
      <c r="X2341" t="s">
        <v>41</v>
      </c>
      <c r="Y2341" t="s">
        <v>47</v>
      </c>
      <c r="Z2341" t="s">
        <v>48</v>
      </c>
      <c r="AA2341" t="s">
        <v>141</v>
      </c>
      <c r="AB2341" t="s">
        <v>50</v>
      </c>
      <c r="AC2341" s="2">
        <v>10909</v>
      </c>
      <c r="AD2341" t="s">
        <v>64</v>
      </c>
    </row>
    <row r="2342" spans="1:31" x14ac:dyDescent="0.25">
      <c r="A2342" t="s">
        <v>11099</v>
      </c>
      <c r="B2342" t="s">
        <v>11100</v>
      </c>
      <c r="C2342" t="s">
        <v>11100</v>
      </c>
      <c r="D2342" t="s">
        <v>35</v>
      </c>
      <c r="E2342" t="s">
        <v>36</v>
      </c>
      <c r="F2342" t="s">
        <v>11101</v>
      </c>
      <c r="H2342" t="s">
        <v>137</v>
      </c>
      <c r="I2342" t="s">
        <v>11102</v>
      </c>
      <c r="J2342" s="2">
        <v>43634</v>
      </c>
      <c r="K2342" s="2">
        <v>200</v>
      </c>
      <c r="L2342" s="2">
        <v>15</v>
      </c>
      <c r="M2342" s="2">
        <v>0</v>
      </c>
      <c r="N2342" t="s">
        <v>136</v>
      </c>
      <c r="O2342" t="s">
        <v>137</v>
      </c>
      <c r="P2342" t="s">
        <v>256</v>
      </c>
      <c r="Q2342" t="s">
        <v>255</v>
      </c>
      <c r="S2342" t="s">
        <v>11103</v>
      </c>
      <c r="U2342" t="s">
        <v>45</v>
      </c>
      <c r="V2342" t="s">
        <v>46</v>
      </c>
      <c r="W2342" t="s">
        <v>136</v>
      </c>
      <c r="X2342" t="s">
        <v>137</v>
      </c>
      <c r="Y2342" t="s">
        <v>137</v>
      </c>
      <c r="Z2342" t="s">
        <v>717</v>
      </c>
      <c r="AA2342" t="s">
        <v>49</v>
      </c>
      <c r="AB2342" t="s">
        <v>50</v>
      </c>
      <c r="AC2342" s="2">
        <v>17961.95</v>
      </c>
      <c r="AD2342" t="s">
        <v>11104</v>
      </c>
      <c r="AE2342" t="s">
        <v>115</v>
      </c>
    </row>
    <row r="2343" spans="1:31" x14ac:dyDescent="0.25">
      <c r="A2343" t="s">
        <v>11105</v>
      </c>
      <c r="B2343" t="s">
        <v>11106</v>
      </c>
      <c r="C2343" t="s">
        <v>11106</v>
      </c>
      <c r="D2343" t="s">
        <v>189</v>
      </c>
      <c r="E2343" t="s">
        <v>190</v>
      </c>
      <c r="F2343" t="s">
        <v>11107</v>
      </c>
      <c r="G2343" t="s">
        <v>1467</v>
      </c>
      <c r="H2343" t="s">
        <v>81</v>
      </c>
      <c r="I2343" t="s">
        <v>11108</v>
      </c>
      <c r="J2343" s="2">
        <v>174536</v>
      </c>
      <c r="K2343" s="2">
        <v>800</v>
      </c>
      <c r="L2343" s="2">
        <v>15</v>
      </c>
      <c r="M2343" s="2">
        <v>0</v>
      </c>
      <c r="N2343" t="s">
        <v>80</v>
      </c>
      <c r="O2343" t="s">
        <v>81</v>
      </c>
      <c r="P2343" t="s">
        <v>82</v>
      </c>
      <c r="Q2343" t="s">
        <v>83</v>
      </c>
      <c r="S2343" t="s">
        <v>11109</v>
      </c>
      <c r="U2343" t="s">
        <v>45</v>
      </c>
      <c r="V2343" t="s">
        <v>46</v>
      </c>
      <c r="W2343" t="s">
        <v>80</v>
      </c>
      <c r="X2343" t="s">
        <v>81</v>
      </c>
      <c r="Y2343" t="s">
        <v>85</v>
      </c>
      <c r="Z2343" t="s">
        <v>86</v>
      </c>
      <c r="AA2343" t="s">
        <v>49</v>
      </c>
      <c r="AB2343" t="s">
        <v>50</v>
      </c>
      <c r="AC2343" s="2">
        <v>174337.2</v>
      </c>
      <c r="AD2343" t="s">
        <v>11110</v>
      </c>
    </row>
    <row r="2344" spans="1:31" x14ac:dyDescent="0.25">
      <c r="A2344" t="s">
        <v>11111</v>
      </c>
      <c r="B2344" t="s">
        <v>11112</v>
      </c>
      <c r="C2344" t="s">
        <v>11112</v>
      </c>
      <c r="D2344" t="s">
        <v>35</v>
      </c>
      <c r="E2344" t="s">
        <v>36</v>
      </c>
      <c r="F2344" t="s">
        <v>11113</v>
      </c>
      <c r="G2344" t="s">
        <v>299</v>
      </c>
      <c r="H2344" t="s">
        <v>1581</v>
      </c>
      <c r="I2344" t="s">
        <v>11114</v>
      </c>
      <c r="J2344" s="2">
        <v>43634</v>
      </c>
      <c r="K2344" s="2">
        <v>200</v>
      </c>
      <c r="L2344" s="2">
        <v>15</v>
      </c>
      <c r="M2344" s="2">
        <v>0</v>
      </c>
      <c r="N2344" t="s">
        <v>203</v>
      </c>
      <c r="O2344" t="s">
        <v>204</v>
      </c>
      <c r="P2344" t="s">
        <v>205</v>
      </c>
      <c r="Q2344" t="s">
        <v>206</v>
      </c>
      <c r="S2344" t="s">
        <v>11115</v>
      </c>
      <c r="U2344" t="s">
        <v>45</v>
      </c>
      <c r="V2344" t="s">
        <v>46</v>
      </c>
      <c r="W2344" t="s">
        <v>203</v>
      </c>
      <c r="X2344" t="s">
        <v>204</v>
      </c>
      <c r="Y2344" t="s">
        <v>161</v>
      </c>
      <c r="Z2344" t="s">
        <v>162</v>
      </c>
      <c r="AA2344" t="s">
        <v>49</v>
      </c>
      <c r="AB2344" t="s">
        <v>50</v>
      </c>
      <c r="AC2344" s="2">
        <v>22651.040000000001</v>
      </c>
      <c r="AD2344" t="s">
        <v>11116</v>
      </c>
      <c r="AE2344" t="s">
        <v>52</v>
      </c>
    </row>
    <row r="2345" spans="1:31" x14ac:dyDescent="0.25">
      <c r="A2345" t="s">
        <v>11117</v>
      </c>
      <c r="B2345" t="s">
        <v>11118</v>
      </c>
      <c r="C2345" t="s">
        <v>11118</v>
      </c>
      <c r="D2345" t="s">
        <v>153</v>
      </c>
      <c r="E2345" t="s">
        <v>272</v>
      </c>
      <c r="F2345" t="s">
        <v>11119</v>
      </c>
      <c r="G2345" t="s">
        <v>153</v>
      </c>
      <c r="H2345" t="s">
        <v>404</v>
      </c>
      <c r="I2345" t="s">
        <v>9938</v>
      </c>
      <c r="J2345" s="2">
        <v>32726</v>
      </c>
      <c r="K2345" s="2">
        <v>150</v>
      </c>
      <c r="L2345" s="2">
        <v>21</v>
      </c>
      <c r="M2345" s="2">
        <v>0</v>
      </c>
      <c r="N2345" t="s">
        <v>403</v>
      </c>
      <c r="O2345" t="s">
        <v>404</v>
      </c>
      <c r="P2345" t="s">
        <v>205</v>
      </c>
      <c r="Q2345" t="s">
        <v>206</v>
      </c>
      <c r="S2345" t="s">
        <v>11120</v>
      </c>
      <c r="U2345" t="s">
        <v>45</v>
      </c>
      <c r="V2345" t="s">
        <v>46</v>
      </c>
      <c r="W2345" t="s">
        <v>403</v>
      </c>
      <c r="X2345" t="s">
        <v>404</v>
      </c>
      <c r="Y2345" t="s">
        <v>161</v>
      </c>
      <c r="Z2345" t="s">
        <v>162</v>
      </c>
      <c r="AA2345" t="s">
        <v>49</v>
      </c>
      <c r="AB2345" t="s">
        <v>50</v>
      </c>
      <c r="AC2345" s="2">
        <v>23586.44</v>
      </c>
      <c r="AD2345" t="s">
        <v>11121</v>
      </c>
      <c r="AE2345" t="s">
        <v>52</v>
      </c>
    </row>
    <row r="2346" spans="1:31" hidden="1" x14ac:dyDescent="0.25">
      <c r="A2346" t="s">
        <v>11122</v>
      </c>
      <c r="B2346" t="s">
        <v>11123</v>
      </c>
      <c r="C2346" t="s">
        <v>11123</v>
      </c>
      <c r="F2346" t="s">
        <v>11124</v>
      </c>
      <c r="H2346" t="s">
        <v>81</v>
      </c>
      <c r="I2346" t="s">
        <v>11125</v>
      </c>
      <c r="J2346" s="2">
        <v>218170</v>
      </c>
      <c r="K2346" s="2">
        <v>1000</v>
      </c>
      <c r="L2346" s="2">
        <v>3</v>
      </c>
      <c r="M2346" s="2">
        <v>0</v>
      </c>
      <c r="N2346" t="s">
        <v>80</v>
      </c>
      <c r="O2346" t="s">
        <v>81</v>
      </c>
      <c r="P2346" t="s">
        <v>82</v>
      </c>
      <c r="Q2346" t="s">
        <v>83</v>
      </c>
      <c r="S2346" t="s">
        <v>11126</v>
      </c>
      <c r="U2346" t="s">
        <v>45</v>
      </c>
      <c r="V2346" t="s">
        <v>46</v>
      </c>
      <c r="W2346" t="s">
        <v>80</v>
      </c>
      <c r="X2346" t="s">
        <v>81</v>
      </c>
      <c r="Y2346" t="s">
        <v>85</v>
      </c>
      <c r="Z2346" t="s">
        <v>86</v>
      </c>
      <c r="AA2346" t="s">
        <v>49</v>
      </c>
      <c r="AB2346" t="s">
        <v>50</v>
      </c>
      <c r="AC2346" s="2">
        <v>218170</v>
      </c>
      <c r="AD2346" t="s">
        <v>64</v>
      </c>
    </row>
    <row r="2347" spans="1:31" x14ac:dyDescent="0.25">
      <c r="A2347" t="s">
        <v>11127</v>
      </c>
      <c r="B2347" t="s">
        <v>11128</v>
      </c>
      <c r="C2347" t="s">
        <v>11128</v>
      </c>
      <c r="D2347" t="s">
        <v>297</v>
      </c>
      <c r="E2347" t="s">
        <v>167</v>
      </c>
      <c r="F2347" t="s">
        <v>11129</v>
      </c>
      <c r="G2347" t="s">
        <v>649</v>
      </c>
      <c r="H2347" t="s">
        <v>11130</v>
      </c>
      <c r="J2347" s="2">
        <v>65451</v>
      </c>
      <c r="K2347" s="2">
        <v>300</v>
      </c>
      <c r="L2347" s="2">
        <v>15</v>
      </c>
      <c r="M2347" s="2">
        <v>0</v>
      </c>
      <c r="N2347" t="s">
        <v>11131</v>
      </c>
      <c r="O2347" t="s">
        <v>686</v>
      </c>
      <c r="P2347" t="s">
        <v>120</v>
      </c>
      <c r="Q2347" t="s">
        <v>121</v>
      </c>
      <c r="S2347" t="s">
        <v>11132</v>
      </c>
      <c r="U2347" t="s">
        <v>45</v>
      </c>
      <c r="V2347" t="s">
        <v>46</v>
      </c>
      <c r="W2347" t="s">
        <v>11131</v>
      </c>
      <c r="X2347" t="s">
        <v>686</v>
      </c>
      <c r="Y2347" t="s">
        <v>121</v>
      </c>
      <c r="Z2347" t="s">
        <v>94</v>
      </c>
      <c r="AA2347" t="s">
        <v>49</v>
      </c>
      <c r="AB2347" t="s">
        <v>50</v>
      </c>
      <c r="AC2347" s="2">
        <v>65451</v>
      </c>
      <c r="AD2347" t="s">
        <v>64</v>
      </c>
    </row>
    <row r="2348" spans="1:31" x14ac:dyDescent="0.25">
      <c r="A2348" t="s">
        <v>11133</v>
      </c>
      <c r="B2348" t="s">
        <v>11134</v>
      </c>
      <c r="C2348" t="s">
        <v>11134</v>
      </c>
      <c r="D2348" t="s">
        <v>153</v>
      </c>
      <c r="E2348" t="s">
        <v>272</v>
      </c>
      <c r="F2348" t="s">
        <v>11135</v>
      </c>
      <c r="G2348" t="s">
        <v>153</v>
      </c>
      <c r="H2348" t="s">
        <v>7819</v>
      </c>
      <c r="I2348" t="s">
        <v>11136</v>
      </c>
      <c r="J2348" s="2">
        <v>490476</v>
      </c>
      <c r="K2348" s="2">
        <v>2100</v>
      </c>
      <c r="L2348" s="2">
        <v>15</v>
      </c>
      <c r="M2348" s="2">
        <v>0</v>
      </c>
      <c r="N2348" t="s">
        <v>2472</v>
      </c>
      <c r="O2348" t="s">
        <v>2473</v>
      </c>
      <c r="P2348" t="s">
        <v>1421</v>
      </c>
      <c r="Q2348" t="s">
        <v>1422</v>
      </c>
      <c r="S2348" t="s">
        <v>11137</v>
      </c>
      <c r="U2348" t="s">
        <v>45</v>
      </c>
      <c r="V2348" t="s">
        <v>46</v>
      </c>
      <c r="W2348" t="s">
        <v>2472</v>
      </c>
      <c r="X2348" t="s">
        <v>2475</v>
      </c>
      <c r="Y2348" t="s">
        <v>1215</v>
      </c>
      <c r="Z2348" t="s">
        <v>1216</v>
      </c>
      <c r="AA2348" t="s">
        <v>49</v>
      </c>
      <c r="AB2348" t="s">
        <v>50</v>
      </c>
      <c r="AC2348" s="2">
        <v>234554.52</v>
      </c>
      <c r="AD2348" t="s">
        <v>11138</v>
      </c>
      <c r="AE2348" t="s">
        <v>115</v>
      </c>
    </row>
    <row r="2349" spans="1:31" x14ac:dyDescent="0.25">
      <c r="A2349" t="s">
        <v>11139</v>
      </c>
      <c r="B2349" t="s">
        <v>11140</v>
      </c>
      <c r="C2349" t="s">
        <v>11140</v>
      </c>
      <c r="D2349" t="s">
        <v>125</v>
      </c>
      <c r="E2349" t="s">
        <v>126</v>
      </c>
      <c r="F2349" t="s">
        <v>11141</v>
      </c>
      <c r="G2349" t="s">
        <v>125</v>
      </c>
      <c r="H2349" t="s">
        <v>11142</v>
      </c>
      <c r="I2349" t="s">
        <v>11143</v>
      </c>
      <c r="J2349" s="2">
        <v>454490</v>
      </c>
      <c r="K2349" s="2">
        <v>1850</v>
      </c>
      <c r="L2349" s="2">
        <v>15</v>
      </c>
      <c r="M2349" s="2">
        <v>0</v>
      </c>
      <c r="N2349" t="s">
        <v>5730</v>
      </c>
      <c r="O2349" t="s">
        <v>5728</v>
      </c>
      <c r="P2349" t="s">
        <v>120</v>
      </c>
      <c r="Q2349" t="s">
        <v>121</v>
      </c>
      <c r="S2349" t="s">
        <v>11144</v>
      </c>
      <c r="U2349" t="s">
        <v>45</v>
      </c>
      <c r="V2349" t="s">
        <v>46</v>
      </c>
      <c r="W2349" t="s">
        <v>5730</v>
      </c>
      <c r="X2349" t="s">
        <v>5728</v>
      </c>
      <c r="Y2349" t="s">
        <v>121</v>
      </c>
      <c r="Z2349" t="s">
        <v>94</v>
      </c>
      <c r="AA2349" t="s">
        <v>49</v>
      </c>
      <c r="AB2349" t="s">
        <v>50</v>
      </c>
      <c r="AC2349" s="2">
        <v>57062.02</v>
      </c>
      <c r="AD2349" t="s">
        <v>11145</v>
      </c>
      <c r="AE2349" t="s">
        <v>52</v>
      </c>
    </row>
    <row r="2350" spans="1:31" x14ac:dyDescent="0.25">
      <c r="A2350" t="s">
        <v>11146</v>
      </c>
      <c r="B2350" t="s">
        <v>11147</v>
      </c>
      <c r="C2350" t="s">
        <v>11147</v>
      </c>
      <c r="D2350" t="s">
        <v>35</v>
      </c>
      <c r="E2350" t="s">
        <v>36</v>
      </c>
      <c r="F2350" t="s">
        <v>11148</v>
      </c>
      <c r="G2350" t="s">
        <v>297</v>
      </c>
      <c r="H2350" t="s">
        <v>10141</v>
      </c>
      <c r="I2350" t="s">
        <v>11149</v>
      </c>
      <c r="J2350" s="2">
        <v>1230075</v>
      </c>
      <c r="K2350" s="2">
        <v>5500</v>
      </c>
      <c r="L2350" s="2">
        <v>30</v>
      </c>
      <c r="M2350" s="2">
        <v>0</v>
      </c>
      <c r="N2350" t="s">
        <v>7936</v>
      </c>
      <c r="O2350" t="s">
        <v>7935</v>
      </c>
      <c r="P2350" t="s">
        <v>10093</v>
      </c>
      <c r="Q2350" t="s">
        <v>10094</v>
      </c>
      <c r="S2350" t="s">
        <v>11150</v>
      </c>
      <c r="U2350" t="s">
        <v>45</v>
      </c>
      <c r="V2350" t="s">
        <v>46</v>
      </c>
      <c r="W2350" t="s">
        <v>7936</v>
      </c>
      <c r="X2350" t="s">
        <v>7935</v>
      </c>
      <c r="Y2350" t="s">
        <v>7938</v>
      </c>
      <c r="Z2350" t="s">
        <v>7939</v>
      </c>
      <c r="AA2350" t="s">
        <v>49</v>
      </c>
      <c r="AB2350" t="s">
        <v>50</v>
      </c>
      <c r="AC2350" s="2">
        <v>172906.71</v>
      </c>
      <c r="AD2350" t="s">
        <v>11151</v>
      </c>
      <c r="AE2350" t="s">
        <v>115</v>
      </c>
    </row>
    <row r="2351" spans="1:31" x14ac:dyDescent="0.25">
      <c r="A2351" t="s">
        <v>11152</v>
      </c>
      <c r="B2351" t="s">
        <v>11153</v>
      </c>
      <c r="C2351" t="s">
        <v>11153</v>
      </c>
      <c r="D2351" t="s">
        <v>125</v>
      </c>
      <c r="E2351" t="s">
        <v>126</v>
      </c>
      <c r="F2351" t="s">
        <v>11154</v>
      </c>
      <c r="G2351" t="s">
        <v>125</v>
      </c>
      <c r="H2351" t="s">
        <v>3233</v>
      </c>
      <c r="J2351" s="2">
        <v>2181700</v>
      </c>
      <c r="K2351" s="2">
        <v>10000</v>
      </c>
      <c r="L2351" s="2">
        <v>30</v>
      </c>
      <c r="M2351" s="2">
        <v>0</v>
      </c>
      <c r="N2351" t="s">
        <v>3232</v>
      </c>
      <c r="O2351" t="s">
        <v>3233</v>
      </c>
      <c r="P2351" t="s">
        <v>2320</v>
      </c>
      <c r="Q2351" t="s">
        <v>2321</v>
      </c>
      <c r="S2351" t="s">
        <v>11155</v>
      </c>
      <c r="U2351" t="s">
        <v>45</v>
      </c>
      <c r="V2351" t="s">
        <v>46</v>
      </c>
      <c r="W2351" t="s">
        <v>3232</v>
      </c>
      <c r="X2351" t="s">
        <v>3233</v>
      </c>
      <c r="Y2351" t="s">
        <v>1215</v>
      </c>
      <c r="Z2351" t="s">
        <v>1216</v>
      </c>
      <c r="AA2351" t="s">
        <v>49</v>
      </c>
      <c r="AB2351" t="s">
        <v>50</v>
      </c>
      <c r="AC2351" s="2">
        <v>695923.47</v>
      </c>
      <c r="AD2351" t="s">
        <v>11156</v>
      </c>
      <c r="AE2351" t="s">
        <v>115</v>
      </c>
    </row>
    <row r="2352" spans="1:31" x14ac:dyDescent="0.25">
      <c r="A2352" t="s">
        <v>11157</v>
      </c>
      <c r="B2352" t="s">
        <v>11158</v>
      </c>
      <c r="C2352" t="s">
        <v>11158</v>
      </c>
      <c r="D2352" t="s">
        <v>125</v>
      </c>
      <c r="E2352" t="s">
        <v>126</v>
      </c>
      <c r="F2352" t="s">
        <v>11159</v>
      </c>
      <c r="G2352" t="s">
        <v>125</v>
      </c>
      <c r="H2352" t="s">
        <v>7935</v>
      </c>
      <c r="I2352" t="s">
        <v>11160</v>
      </c>
      <c r="J2352" s="2">
        <v>654510</v>
      </c>
      <c r="K2352" s="2">
        <v>3000</v>
      </c>
      <c r="L2352" s="2">
        <v>30</v>
      </c>
      <c r="M2352" s="2">
        <v>0</v>
      </c>
      <c r="N2352" t="s">
        <v>7936</v>
      </c>
      <c r="O2352" t="s">
        <v>7935</v>
      </c>
      <c r="P2352" t="s">
        <v>10093</v>
      </c>
      <c r="Q2352" t="s">
        <v>10094</v>
      </c>
      <c r="S2352" t="s">
        <v>11161</v>
      </c>
      <c r="U2352" t="s">
        <v>45</v>
      </c>
      <c r="V2352" t="s">
        <v>46</v>
      </c>
      <c r="W2352" t="s">
        <v>7936</v>
      </c>
      <c r="X2352" t="s">
        <v>7935</v>
      </c>
      <c r="Y2352" t="s">
        <v>7938</v>
      </c>
      <c r="Z2352" t="s">
        <v>7939</v>
      </c>
      <c r="AA2352" t="s">
        <v>49</v>
      </c>
      <c r="AB2352" t="s">
        <v>50</v>
      </c>
      <c r="AC2352" s="2">
        <v>459015.18</v>
      </c>
      <c r="AD2352" t="s">
        <v>11162</v>
      </c>
      <c r="AE2352" t="s">
        <v>52</v>
      </c>
    </row>
    <row r="2353" spans="1:31" hidden="1" x14ac:dyDescent="0.25">
      <c r="A2353" t="s">
        <v>11163</v>
      </c>
      <c r="B2353" t="s">
        <v>11164</v>
      </c>
      <c r="C2353" t="s">
        <v>11164</v>
      </c>
      <c r="F2353" t="s">
        <v>11159</v>
      </c>
      <c r="H2353" t="s">
        <v>10141</v>
      </c>
      <c r="J2353" s="2">
        <v>1000</v>
      </c>
      <c r="K2353" s="2">
        <v>0</v>
      </c>
      <c r="L2353" s="2">
        <v>1</v>
      </c>
      <c r="M2353" s="2">
        <v>0</v>
      </c>
      <c r="N2353" t="s">
        <v>7936</v>
      </c>
      <c r="O2353" t="s">
        <v>7935</v>
      </c>
      <c r="P2353" t="s">
        <v>10093</v>
      </c>
      <c r="Q2353" t="s">
        <v>10094</v>
      </c>
      <c r="S2353" t="s">
        <v>11165</v>
      </c>
      <c r="U2353" t="s">
        <v>45</v>
      </c>
      <c r="V2353" t="s">
        <v>46</v>
      </c>
      <c r="W2353" t="s">
        <v>7936</v>
      </c>
      <c r="X2353" t="s">
        <v>7935</v>
      </c>
      <c r="Y2353" t="s">
        <v>7938</v>
      </c>
      <c r="Z2353" t="s">
        <v>7939</v>
      </c>
      <c r="AA2353" t="s">
        <v>49</v>
      </c>
      <c r="AB2353" t="s">
        <v>50</v>
      </c>
      <c r="AC2353" s="2">
        <v>1000</v>
      </c>
      <c r="AD2353" t="s">
        <v>64</v>
      </c>
    </row>
    <row r="2354" spans="1:31" x14ac:dyDescent="0.25">
      <c r="A2354" t="s">
        <v>11166</v>
      </c>
      <c r="B2354" t="s">
        <v>11167</v>
      </c>
      <c r="C2354" t="s">
        <v>11167</v>
      </c>
      <c r="D2354" t="s">
        <v>35</v>
      </c>
      <c r="E2354" t="s">
        <v>36</v>
      </c>
      <c r="F2354" t="s">
        <v>11159</v>
      </c>
      <c r="G2354" t="s">
        <v>153</v>
      </c>
      <c r="H2354" t="s">
        <v>10141</v>
      </c>
      <c r="I2354" t="s">
        <v>11160</v>
      </c>
      <c r="J2354" s="2">
        <v>654510</v>
      </c>
      <c r="K2354" s="2">
        <v>3000</v>
      </c>
      <c r="L2354" s="2">
        <v>30</v>
      </c>
      <c r="M2354" s="2">
        <v>0</v>
      </c>
      <c r="N2354" t="s">
        <v>7936</v>
      </c>
      <c r="O2354" t="s">
        <v>7935</v>
      </c>
      <c r="P2354" t="s">
        <v>10093</v>
      </c>
      <c r="Q2354" t="s">
        <v>10094</v>
      </c>
      <c r="S2354" t="s">
        <v>11165</v>
      </c>
      <c r="U2354" t="s">
        <v>45</v>
      </c>
      <c r="V2354" t="s">
        <v>46</v>
      </c>
      <c r="W2354" t="s">
        <v>7936</v>
      </c>
      <c r="X2354" t="s">
        <v>7935</v>
      </c>
      <c r="Y2354" t="s">
        <v>7938</v>
      </c>
      <c r="Z2354" t="s">
        <v>7939</v>
      </c>
      <c r="AA2354" t="s">
        <v>49</v>
      </c>
      <c r="AB2354" t="s">
        <v>50</v>
      </c>
      <c r="AC2354" s="2">
        <v>477537.34</v>
      </c>
      <c r="AD2354" t="s">
        <v>11168</v>
      </c>
      <c r="AE2354" t="s">
        <v>52</v>
      </c>
    </row>
    <row r="2355" spans="1:31" x14ac:dyDescent="0.25">
      <c r="A2355" t="s">
        <v>11169</v>
      </c>
      <c r="B2355" t="s">
        <v>11170</v>
      </c>
      <c r="C2355" t="s">
        <v>11170</v>
      </c>
      <c r="D2355" t="s">
        <v>153</v>
      </c>
      <c r="E2355" t="s">
        <v>272</v>
      </c>
      <c r="F2355" t="s">
        <v>11171</v>
      </c>
      <c r="G2355" t="s">
        <v>169</v>
      </c>
      <c r="H2355" t="s">
        <v>4223</v>
      </c>
      <c r="I2355" t="s">
        <v>11172</v>
      </c>
      <c r="J2355" s="2">
        <v>218170</v>
      </c>
      <c r="K2355" s="2">
        <v>1000</v>
      </c>
      <c r="L2355" s="2">
        <v>7</v>
      </c>
      <c r="M2355" s="2">
        <v>0</v>
      </c>
      <c r="N2355" t="s">
        <v>4225</v>
      </c>
      <c r="O2355" t="s">
        <v>4226</v>
      </c>
      <c r="P2355" t="s">
        <v>1363</v>
      </c>
      <c r="Q2355" t="s">
        <v>1364</v>
      </c>
      <c r="S2355" t="s">
        <v>11173</v>
      </c>
      <c r="U2355" t="s">
        <v>45</v>
      </c>
      <c r="V2355" t="s">
        <v>46</v>
      </c>
      <c r="W2355" t="s">
        <v>4225</v>
      </c>
      <c r="X2355" t="s">
        <v>4226</v>
      </c>
      <c r="Y2355" t="s">
        <v>85</v>
      </c>
      <c r="Z2355" t="s">
        <v>86</v>
      </c>
      <c r="AA2355" t="s">
        <v>49</v>
      </c>
      <c r="AB2355" t="s">
        <v>50</v>
      </c>
      <c r="AC2355" s="2">
        <v>127698.95</v>
      </c>
      <c r="AD2355" t="s">
        <v>11174</v>
      </c>
    </row>
    <row r="2356" spans="1:31" hidden="1" x14ac:dyDescent="0.25">
      <c r="A2356" t="s">
        <v>11175</v>
      </c>
      <c r="B2356" t="s">
        <v>11176</v>
      </c>
      <c r="C2356" t="s">
        <v>11176</v>
      </c>
      <c r="D2356" t="s">
        <v>55</v>
      </c>
      <c r="E2356" t="s">
        <v>56</v>
      </c>
      <c r="F2356" t="s">
        <v>5596</v>
      </c>
      <c r="J2356" s="2">
        <v>1000</v>
      </c>
      <c r="K2356" s="2">
        <v>0</v>
      </c>
      <c r="L2356" s="2">
        <v>1</v>
      </c>
      <c r="M2356" s="2">
        <v>0</v>
      </c>
      <c r="N2356" t="s">
        <v>700</v>
      </c>
      <c r="O2356" t="s">
        <v>699</v>
      </c>
      <c r="P2356" t="s">
        <v>69</v>
      </c>
      <c r="Q2356" t="s">
        <v>70</v>
      </c>
      <c r="U2356" t="s">
        <v>45</v>
      </c>
      <c r="V2356" t="s">
        <v>46</v>
      </c>
      <c r="W2356" t="s">
        <v>700</v>
      </c>
      <c r="X2356" t="s">
        <v>699</v>
      </c>
      <c r="Y2356" t="s">
        <v>72</v>
      </c>
      <c r="Z2356" t="s">
        <v>68</v>
      </c>
      <c r="AA2356" t="s">
        <v>49</v>
      </c>
      <c r="AB2356" t="s">
        <v>50</v>
      </c>
      <c r="AC2356" s="2">
        <v>1000</v>
      </c>
      <c r="AD2356" t="s">
        <v>64</v>
      </c>
    </row>
    <row r="2357" spans="1:31" x14ac:dyDescent="0.25">
      <c r="A2357" t="s">
        <v>11177</v>
      </c>
      <c r="B2357" t="s">
        <v>11178</v>
      </c>
      <c r="C2357" t="s">
        <v>11179</v>
      </c>
      <c r="D2357" t="s">
        <v>819</v>
      </c>
      <c r="E2357" t="s">
        <v>224</v>
      </c>
      <c r="F2357" t="s">
        <v>5596</v>
      </c>
      <c r="G2357" t="s">
        <v>5795</v>
      </c>
      <c r="H2357" t="s">
        <v>2508</v>
      </c>
      <c r="I2357" t="s">
        <v>5598</v>
      </c>
      <c r="J2357" s="2">
        <v>118420</v>
      </c>
      <c r="K2357" s="2">
        <v>500</v>
      </c>
      <c r="L2357" s="2">
        <v>1</v>
      </c>
      <c r="M2357" s="2">
        <v>0</v>
      </c>
      <c r="N2357" t="s">
        <v>700</v>
      </c>
      <c r="O2357" t="s">
        <v>699</v>
      </c>
      <c r="P2357" t="s">
        <v>69</v>
      </c>
      <c r="Q2357" t="s">
        <v>70</v>
      </c>
      <c r="S2357" t="s">
        <v>5599</v>
      </c>
      <c r="U2357" t="s">
        <v>45</v>
      </c>
      <c r="V2357" t="s">
        <v>46</v>
      </c>
      <c r="W2357" t="s">
        <v>700</v>
      </c>
      <c r="X2357" t="s">
        <v>699</v>
      </c>
      <c r="Y2357" t="s">
        <v>72</v>
      </c>
      <c r="Z2357" t="s">
        <v>68</v>
      </c>
      <c r="AA2357" t="s">
        <v>49</v>
      </c>
      <c r="AB2357" t="s">
        <v>50</v>
      </c>
      <c r="AC2357" s="2">
        <v>-166064.6</v>
      </c>
      <c r="AD2357" t="s">
        <v>11180</v>
      </c>
      <c r="AE2357" t="s">
        <v>115</v>
      </c>
    </row>
    <row r="2358" spans="1:31" hidden="1" x14ac:dyDescent="0.25">
      <c r="A2358" t="s">
        <v>11181</v>
      </c>
      <c r="B2358" t="s">
        <v>11182</v>
      </c>
      <c r="C2358" t="s">
        <v>11182</v>
      </c>
      <c r="F2358" t="s">
        <v>3452</v>
      </c>
      <c r="J2358" s="2">
        <v>1000</v>
      </c>
      <c r="K2358" s="2">
        <v>0</v>
      </c>
      <c r="L2358" s="2">
        <v>1</v>
      </c>
      <c r="M2358" s="2">
        <v>0</v>
      </c>
      <c r="N2358" t="s">
        <v>326</v>
      </c>
      <c r="O2358" t="s">
        <v>327</v>
      </c>
      <c r="P2358" t="s">
        <v>120</v>
      </c>
      <c r="Q2358" t="s">
        <v>121</v>
      </c>
      <c r="U2358" t="s">
        <v>45</v>
      </c>
      <c r="V2358" t="s">
        <v>46</v>
      </c>
      <c r="W2358" t="s">
        <v>326</v>
      </c>
      <c r="X2358" t="s">
        <v>327</v>
      </c>
      <c r="Y2358" t="s">
        <v>121</v>
      </c>
      <c r="Z2358" t="s">
        <v>94</v>
      </c>
      <c r="AA2358" t="s">
        <v>49</v>
      </c>
      <c r="AB2358" t="s">
        <v>50</v>
      </c>
      <c r="AC2358" s="2">
        <v>1000</v>
      </c>
      <c r="AD2358" t="s">
        <v>64</v>
      </c>
    </row>
    <row r="2359" spans="1:31" hidden="1" x14ac:dyDescent="0.25">
      <c r="A2359" t="s">
        <v>11183</v>
      </c>
      <c r="B2359" t="s">
        <v>11184</v>
      </c>
      <c r="C2359" t="s">
        <v>11184</v>
      </c>
      <c r="F2359" t="s">
        <v>3452</v>
      </c>
      <c r="H2359" t="s">
        <v>324</v>
      </c>
      <c r="J2359" s="2">
        <v>1000</v>
      </c>
      <c r="K2359" s="2">
        <v>0</v>
      </c>
      <c r="L2359" s="2">
        <v>1</v>
      </c>
      <c r="M2359" s="2">
        <v>0</v>
      </c>
      <c r="N2359" t="s">
        <v>326</v>
      </c>
      <c r="O2359" t="s">
        <v>327</v>
      </c>
      <c r="P2359" t="s">
        <v>120</v>
      </c>
      <c r="Q2359" t="s">
        <v>121</v>
      </c>
      <c r="S2359" t="s">
        <v>3454</v>
      </c>
      <c r="U2359" t="s">
        <v>45</v>
      </c>
      <c r="V2359" t="s">
        <v>46</v>
      </c>
      <c r="W2359" t="s">
        <v>326</v>
      </c>
      <c r="X2359" t="s">
        <v>327</v>
      </c>
      <c r="Y2359" t="s">
        <v>121</v>
      </c>
      <c r="Z2359" t="s">
        <v>94</v>
      </c>
      <c r="AA2359" t="s">
        <v>49</v>
      </c>
      <c r="AB2359" t="s">
        <v>50</v>
      </c>
      <c r="AC2359" s="2">
        <v>1000</v>
      </c>
      <c r="AD2359" t="s">
        <v>64</v>
      </c>
    </row>
    <row r="2360" spans="1:31" hidden="1" x14ac:dyDescent="0.25">
      <c r="A2360" t="s">
        <v>11185</v>
      </c>
      <c r="B2360" t="s">
        <v>11186</v>
      </c>
      <c r="C2360" t="s">
        <v>11186</v>
      </c>
      <c r="F2360" t="s">
        <v>6538</v>
      </c>
      <c r="J2360" s="2">
        <v>1000</v>
      </c>
      <c r="K2360" s="2">
        <v>0</v>
      </c>
      <c r="L2360" s="2">
        <v>1</v>
      </c>
      <c r="M2360" s="2">
        <v>0</v>
      </c>
      <c r="N2360" t="s">
        <v>4225</v>
      </c>
      <c r="O2360" t="s">
        <v>4226</v>
      </c>
      <c r="P2360" t="s">
        <v>1363</v>
      </c>
      <c r="Q2360" t="s">
        <v>1364</v>
      </c>
      <c r="S2360" t="s">
        <v>6540</v>
      </c>
      <c r="U2360" t="s">
        <v>45</v>
      </c>
      <c r="V2360" t="s">
        <v>46</v>
      </c>
      <c r="W2360" t="s">
        <v>4225</v>
      </c>
      <c r="X2360" t="s">
        <v>4226</v>
      </c>
      <c r="Y2360" t="s">
        <v>85</v>
      </c>
      <c r="Z2360" t="s">
        <v>86</v>
      </c>
      <c r="AA2360" t="s">
        <v>49</v>
      </c>
      <c r="AB2360" t="s">
        <v>50</v>
      </c>
      <c r="AC2360" s="2">
        <v>1000</v>
      </c>
      <c r="AD2360" t="s">
        <v>64</v>
      </c>
    </row>
    <row r="2361" spans="1:31" x14ac:dyDescent="0.25">
      <c r="A2361" t="s">
        <v>11187</v>
      </c>
      <c r="B2361" t="s">
        <v>11188</v>
      </c>
      <c r="C2361" t="s">
        <v>11188</v>
      </c>
      <c r="D2361" t="s">
        <v>35</v>
      </c>
      <c r="E2361" t="s">
        <v>36</v>
      </c>
      <c r="F2361" t="s">
        <v>6538</v>
      </c>
      <c r="H2361" t="s">
        <v>11189</v>
      </c>
      <c r="J2361" s="2">
        <v>109085</v>
      </c>
      <c r="K2361" s="2">
        <v>500</v>
      </c>
      <c r="L2361" s="2">
        <v>15</v>
      </c>
      <c r="M2361" s="2">
        <v>0</v>
      </c>
      <c r="N2361" t="s">
        <v>4225</v>
      </c>
      <c r="O2361" t="s">
        <v>4226</v>
      </c>
      <c r="P2361" t="s">
        <v>1363</v>
      </c>
      <c r="Q2361" t="s">
        <v>1364</v>
      </c>
      <c r="S2361" t="s">
        <v>6540</v>
      </c>
      <c r="U2361" t="s">
        <v>45</v>
      </c>
      <c r="V2361" t="s">
        <v>46</v>
      </c>
      <c r="W2361" t="s">
        <v>4225</v>
      </c>
      <c r="X2361" t="s">
        <v>4226</v>
      </c>
      <c r="Y2361" t="s">
        <v>85</v>
      </c>
      <c r="Z2361" t="s">
        <v>86</v>
      </c>
      <c r="AA2361" t="s">
        <v>49</v>
      </c>
      <c r="AB2361" t="s">
        <v>50</v>
      </c>
      <c r="AC2361" s="2">
        <v>-35713.96</v>
      </c>
      <c r="AD2361" t="s">
        <v>11190</v>
      </c>
      <c r="AE2361" t="s">
        <v>115</v>
      </c>
    </row>
    <row r="2362" spans="1:31" x14ac:dyDescent="0.25">
      <c r="A2362" t="s">
        <v>11191</v>
      </c>
      <c r="B2362" t="s">
        <v>11192</v>
      </c>
      <c r="C2362" t="s">
        <v>11192</v>
      </c>
      <c r="D2362" t="s">
        <v>153</v>
      </c>
      <c r="E2362" t="s">
        <v>272</v>
      </c>
      <c r="F2362" t="s">
        <v>11193</v>
      </c>
      <c r="G2362" t="s">
        <v>3472</v>
      </c>
      <c r="H2362" t="s">
        <v>157</v>
      </c>
      <c r="I2362" t="s">
        <v>11194</v>
      </c>
      <c r="J2362" s="2">
        <v>3272550</v>
      </c>
      <c r="K2362" s="2">
        <v>15000</v>
      </c>
      <c r="L2362" s="2">
        <v>30</v>
      </c>
      <c r="M2362" s="2">
        <v>0</v>
      </c>
      <c r="N2362" t="s">
        <v>156</v>
      </c>
      <c r="O2362" t="s">
        <v>157</v>
      </c>
      <c r="P2362" t="s">
        <v>158</v>
      </c>
      <c r="Q2362" t="s">
        <v>159</v>
      </c>
      <c r="S2362" t="s">
        <v>11195</v>
      </c>
      <c r="U2362" t="s">
        <v>45</v>
      </c>
      <c r="V2362" t="s">
        <v>46</v>
      </c>
      <c r="W2362" t="s">
        <v>156</v>
      </c>
      <c r="X2362" t="s">
        <v>157</v>
      </c>
      <c r="Y2362" t="s">
        <v>161</v>
      </c>
      <c r="Z2362" t="s">
        <v>162</v>
      </c>
      <c r="AA2362" t="s">
        <v>49</v>
      </c>
      <c r="AB2362" t="s">
        <v>50</v>
      </c>
      <c r="AC2362" s="2">
        <v>2865529.74</v>
      </c>
      <c r="AD2362" t="s">
        <v>11196</v>
      </c>
      <c r="AE2362" t="s">
        <v>115</v>
      </c>
    </row>
    <row r="2363" spans="1:31" x14ac:dyDescent="0.25">
      <c r="A2363" t="s">
        <v>11197</v>
      </c>
      <c r="B2363" t="s">
        <v>11198</v>
      </c>
      <c r="C2363" t="s">
        <v>11198</v>
      </c>
      <c r="D2363" t="s">
        <v>153</v>
      </c>
      <c r="E2363" t="s">
        <v>272</v>
      </c>
      <c r="F2363" t="s">
        <v>11199</v>
      </c>
      <c r="G2363" t="s">
        <v>1410</v>
      </c>
      <c r="H2363" t="s">
        <v>157</v>
      </c>
      <c r="I2363" t="s">
        <v>11194</v>
      </c>
      <c r="J2363" s="2">
        <v>3272550</v>
      </c>
      <c r="K2363" s="2">
        <v>15000</v>
      </c>
      <c r="L2363" s="2">
        <v>30</v>
      </c>
      <c r="M2363" s="2">
        <v>0</v>
      </c>
      <c r="N2363" t="s">
        <v>156</v>
      </c>
      <c r="O2363" t="s">
        <v>157</v>
      </c>
      <c r="P2363" t="s">
        <v>158</v>
      </c>
      <c r="Q2363" t="s">
        <v>159</v>
      </c>
      <c r="S2363" t="s">
        <v>11200</v>
      </c>
      <c r="U2363" t="s">
        <v>45</v>
      </c>
      <c r="V2363" t="s">
        <v>46</v>
      </c>
      <c r="W2363" t="s">
        <v>156</v>
      </c>
      <c r="X2363" t="s">
        <v>157</v>
      </c>
      <c r="Y2363" t="s">
        <v>161</v>
      </c>
      <c r="Z2363" t="s">
        <v>162</v>
      </c>
      <c r="AA2363" t="s">
        <v>49</v>
      </c>
      <c r="AB2363" t="s">
        <v>50</v>
      </c>
      <c r="AC2363" s="2">
        <v>3201657.62</v>
      </c>
      <c r="AD2363" t="s">
        <v>11201</v>
      </c>
      <c r="AE2363" t="s">
        <v>115</v>
      </c>
    </row>
    <row r="2364" spans="1:31" x14ac:dyDescent="0.25">
      <c r="A2364" t="s">
        <v>11202</v>
      </c>
      <c r="B2364" t="s">
        <v>11203</v>
      </c>
      <c r="C2364" t="s">
        <v>11203</v>
      </c>
      <c r="D2364" t="s">
        <v>153</v>
      </c>
      <c r="E2364" t="s">
        <v>272</v>
      </c>
      <c r="F2364" t="s">
        <v>11204</v>
      </c>
      <c r="G2364" t="s">
        <v>1410</v>
      </c>
      <c r="H2364" t="s">
        <v>157</v>
      </c>
      <c r="I2364" t="s">
        <v>11194</v>
      </c>
      <c r="J2364" s="2">
        <v>3272550</v>
      </c>
      <c r="K2364" s="2">
        <v>15000</v>
      </c>
      <c r="L2364" s="2">
        <v>30</v>
      </c>
      <c r="M2364" s="2">
        <v>0</v>
      </c>
      <c r="N2364" t="s">
        <v>156</v>
      </c>
      <c r="O2364" t="s">
        <v>157</v>
      </c>
      <c r="P2364" t="s">
        <v>158</v>
      </c>
      <c r="Q2364" t="s">
        <v>159</v>
      </c>
      <c r="S2364" t="s">
        <v>11205</v>
      </c>
      <c r="U2364" t="s">
        <v>45</v>
      </c>
      <c r="V2364" t="s">
        <v>46</v>
      </c>
      <c r="W2364" t="s">
        <v>156</v>
      </c>
      <c r="X2364" t="s">
        <v>157</v>
      </c>
      <c r="Y2364" t="s">
        <v>161</v>
      </c>
      <c r="Z2364" t="s">
        <v>162</v>
      </c>
      <c r="AA2364" t="s">
        <v>49</v>
      </c>
      <c r="AB2364" t="s">
        <v>50</v>
      </c>
      <c r="AC2364" s="2">
        <v>3143181.88</v>
      </c>
      <c r="AD2364" t="s">
        <v>11206</v>
      </c>
      <c r="AE2364" t="s">
        <v>115</v>
      </c>
    </row>
    <row r="2365" spans="1:31" x14ac:dyDescent="0.25">
      <c r="A2365" t="s">
        <v>11207</v>
      </c>
      <c r="B2365" t="s">
        <v>11208</v>
      </c>
      <c r="C2365" t="s">
        <v>11208</v>
      </c>
      <c r="D2365" t="s">
        <v>153</v>
      </c>
      <c r="E2365" t="s">
        <v>272</v>
      </c>
      <c r="F2365" t="s">
        <v>11209</v>
      </c>
      <c r="G2365" t="s">
        <v>817</v>
      </c>
      <c r="H2365" t="s">
        <v>157</v>
      </c>
      <c r="I2365" t="s">
        <v>11194</v>
      </c>
      <c r="J2365" s="2">
        <v>109085</v>
      </c>
      <c r="K2365" s="2">
        <v>500</v>
      </c>
      <c r="L2365" s="2">
        <v>30</v>
      </c>
      <c r="M2365" s="2">
        <v>0</v>
      </c>
      <c r="N2365" t="s">
        <v>156</v>
      </c>
      <c r="O2365" t="s">
        <v>157</v>
      </c>
      <c r="P2365" t="s">
        <v>158</v>
      </c>
      <c r="Q2365" t="s">
        <v>159</v>
      </c>
      <c r="S2365" t="s">
        <v>11195</v>
      </c>
      <c r="U2365" t="s">
        <v>45</v>
      </c>
      <c r="V2365" t="s">
        <v>46</v>
      </c>
      <c r="W2365" t="s">
        <v>156</v>
      </c>
      <c r="X2365" t="s">
        <v>157</v>
      </c>
      <c r="Y2365" t="s">
        <v>161</v>
      </c>
      <c r="Z2365" t="s">
        <v>162</v>
      </c>
      <c r="AA2365" t="s">
        <v>49</v>
      </c>
      <c r="AB2365" t="s">
        <v>50</v>
      </c>
      <c r="AC2365" s="2">
        <v>109085</v>
      </c>
      <c r="AD2365" t="s">
        <v>64</v>
      </c>
    </row>
    <row r="2366" spans="1:31" x14ac:dyDescent="0.25">
      <c r="A2366" t="s">
        <v>11210</v>
      </c>
      <c r="B2366" t="s">
        <v>11211</v>
      </c>
      <c r="C2366" t="s">
        <v>11211</v>
      </c>
      <c r="D2366" t="s">
        <v>125</v>
      </c>
      <c r="E2366" t="s">
        <v>126</v>
      </c>
      <c r="F2366" t="s">
        <v>11212</v>
      </c>
      <c r="G2366" t="s">
        <v>35</v>
      </c>
      <c r="H2366" t="s">
        <v>2463</v>
      </c>
      <c r="I2366" t="s">
        <v>9045</v>
      </c>
      <c r="J2366" s="2">
        <v>436340</v>
      </c>
      <c r="K2366" s="2">
        <v>2000</v>
      </c>
      <c r="L2366" s="2">
        <v>21</v>
      </c>
      <c r="M2366" s="2">
        <v>0</v>
      </c>
      <c r="N2366" t="s">
        <v>2462</v>
      </c>
      <c r="O2366" t="s">
        <v>2463</v>
      </c>
      <c r="P2366" t="s">
        <v>2320</v>
      </c>
      <c r="Q2366" t="s">
        <v>2321</v>
      </c>
      <c r="S2366" t="s">
        <v>11213</v>
      </c>
      <c r="U2366" t="s">
        <v>45</v>
      </c>
      <c r="V2366" t="s">
        <v>46</v>
      </c>
      <c r="W2366" t="s">
        <v>2462</v>
      </c>
      <c r="X2366" t="s">
        <v>2463</v>
      </c>
      <c r="Y2366" t="s">
        <v>2157</v>
      </c>
      <c r="Z2366" t="s">
        <v>48</v>
      </c>
      <c r="AA2366" t="s">
        <v>49</v>
      </c>
      <c r="AB2366" t="s">
        <v>50</v>
      </c>
      <c r="AC2366" s="2">
        <v>142477.84</v>
      </c>
      <c r="AD2366" t="s">
        <v>11214</v>
      </c>
      <c r="AE2366" t="s">
        <v>52</v>
      </c>
    </row>
    <row r="2367" spans="1:31" x14ac:dyDescent="0.25">
      <c r="A2367" t="s">
        <v>11215</v>
      </c>
      <c r="B2367" t="s">
        <v>11216</v>
      </c>
      <c r="C2367" t="s">
        <v>11216</v>
      </c>
      <c r="D2367" t="s">
        <v>847</v>
      </c>
      <c r="E2367" t="s">
        <v>848</v>
      </c>
      <c r="F2367" t="s">
        <v>11217</v>
      </c>
      <c r="G2367" t="s">
        <v>847</v>
      </c>
      <c r="H2367" t="s">
        <v>7518</v>
      </c>
      <c r="I2367" t="s">
        <v>11218</v>
      </c>
      <c r="J2367" s="2">
        <v>458157</v>
      </c>
      <c r="K2367" s="2">
        <v>2100</v>
      </c>
      <c r="L2367" s="2">
        <v>30</v>
      </c>
      <c r="M2367" s="2">
        <v>0</v>
      </c>
      <c r="N2367" t="s">
        <v>7517</v>
      </c>
      <c r="O2367" t="s">
        <v>7518</v>
      </c>
      <c r="P2367" t="s">
        <v>1212</v>
      </c>
      <c r="Q2367" t="s">
        <v>1213</v>
      </c>
      <c r="S2367" t="s">
        <v>11219</v>
      </c>
      <c r="U2367" t="s">
        <v>45</v>
      </c>
      <c r="V2367" t="s">
        <v>46</v>
      </c>
      <c r="W2367" t="s">
        <v>7517</v>
      </c>
      <c r="X2367" t="s">
        <v>7518</v>
      </c>
      <c r="Y2367" t="s">
        <v>1215</v>
      </c>
      <c r="Z2367" t="s">
        <v>1216</v>
      </c>
      <c r="AA2367" t="s">
        <v>49</v>
      </c>
      <c r="AB2367" t="s">
        <v>50</v>
      </c>
      <c r="AC2367" s="2">
        <v>159778</v>
      </c>
      <c r="AD2367" t="s">
        <v>11220</v>
      </c>
      <c r="AE2367" t="s">
        <v>115</v>
      </c>
    </row>
    <row r="2368" spans="1:31" x14ac:dyDescent="0.25">
      <c r="A2368" t="s">
        <v>11221</v>
      </c>
      <c r="B2368" t="s">
        <v>11222</v>
      </c>
      <c r="C2368" t="s">
        <v>11222</v>
      </c>
      <c r="D2368" t="s">
        <v>125</v>
      </c>
      <c r="E2368" t="s">
        <v>126</v>
      </c>
      <c r="F2368" t="s">
        <v>11223</v>
      </c>
      <c r="H2368" t="s">
        <v>6986</v>
      </c>
      <c r="I2368" t="s">
        <v>11224</v>
      </c>
      <c r="J2368" s="2">
        <v>32726</v>
      </c>
      <c r="K2368" s="2">
        <v>150</v>
      </c>
      <c r="L2368" s="2">
        <v>15</v>
      </c>
      <c r="M2368" s="2">
        <v>0</v>
      </c>
      <c r="N2368" t="s">
        <v>11225</v>
      </c>
      <c r="O2368" t="s">
        <v>2399</v>
      </c>
      <c r="P2368" t="s">
        <v>42</v>
      </c>
      <c r="Q2368" t="s">
        <v>43</v>
      </c>
      <c r="S2368" t="s">
        <v>11226</v>
      </c>
      <c r="U2368" t="s">
        <v>45</v>
      </c>
      <c r="V2368" t="s">
        <v>46</v>
      </c>
      <c r="W2368" t="s">
        <v>11225</v>
      </c>
      <c r="X2368" t="s">
        <v>2399</v>
      </c>
      <c r="Y2368" t="s">
        <v>2399</v>
      </c>
      <c r="Z2368" t="s">
        <v>2400</v>
      </c>
      <c r="AA2368" t="s">
        <v>141</v>
      </c>
      <c r="AB2368" t="s">
        <v>50</v>
      </c>
      <c r="AC2368" s="2">
        <v>10791.92</v>
      </c>
      <c r="AD2368" t="s">
        <v>11227</v>
      </c>
    </row>
    <row r="2369" spans="1:31" x14ac:dyDescent="0.25">
      <c r="A2369" t="s">
        <v>11228</v>
      </c>
      <c r="B2369" t="s">
        <v>11229</v>
      </c>
      <c r="C2369" t="s">
        <v>11229</v>
      </c>
      <c r="D2369" t="s">
        <v>498</v>
      </c>
      <c r="E2369" t="s">
        <v>190</v>
      </c>
      <c r="F2369" t="s">
        <v>11230</v>
      </c>
      <c r="G2369" t="s">
        <v>792</v>
      </c>
      <c r="H2369" t="s">
        <v>7090</v>
      </c>
      <c r="I2369" t="s">
        <v>11231</v>
      </c>
      <c r="J2369" s="2">
        <v>174536</v>
      </c>
      <c r="K2369" s="2">
        <v>800</v>
      </c>
      <c r="L2369" s="2">
        <v>15</v>
      </c>
      <c r="M2369" s="2">
        <v>0</v>
      </c>
      <c r="N2369" t="s">
        <v>7089</v>
      </c>
      <c r="O2369" t="s">
        <v>7090</v>
      </c>
      <c r="P2369" t="s">
        <v>557</v>
      </c>
      <c r="Q2369" t="s">
        <v>558</v>
      </c>
      <c r="S2369" t="s">
        <v>11232</v>
      </c>
      <c r="U2369" t="s">
        <v>45</v>
      </c>
      <c r="V2369" t="s">
        <v>46</v>
      </c>
      <c r="W2369" t="s">
        <v>7089</v>
      </c>
      <c r="X2369" t="s">
        <v>7090</v>
      </c>
      <c r="Y2369" t="s">
        <v>85</v>
      </c>
      <c r="Z2369" t="s">
        <v>86</v>
      </c>
      <c r="AA2369" t="s">
        <v>49</v>
      </c>
      <c r="AB2369" t="s">
        <v>50</v>
      </c>
      <c r="AC2369" s="2">
        <v>172785.62</v>
      </c>
      <c r="AD2369" t="s">
        <v>11233</v>
      </c>
      <c r="AE2369" t="s">
        <v>115</v>
      </c>
    </row>
    <row r="2370" spans="1:31" hidden="1" x14ac:dyDescent="0.25">
      <c r="J2370" s="2">
        <v>1000</v>
      </c>
      <c r="K2370" s="2">
        <v>0</v>
      </c>
      <c r="L2370" s="2">
        <v>1</v>
      </c>
      <c r="M2370" s="2">
        <v>0</v>
      </c>
      <c r="S2370" t="s">
        <v>11234</v>
      </c>
      <c r="U2370" t="s">
        <v>45</v>
      </c>
      <c r="V2370" t="s">
        <v>46</v>
      </c>
      <c r="W2370" t="s">
        <v>1038</v>
      </c>
      <c r="X2370" t="s">
        <v>1039</v>
      </c>
      <c r="Y2370" t="s">
        <v>72</v>
      </c>
      <c r="Z2370" t="s">
        <v>68</v>
      </c>
      <c r="AA2370" t="s">
        <v>49</v>
      </c>
      <c r="AC2370" s="2"/>
    </row>
    <row r="2371" spans="1:31" x14ac:dyDescent="0.25">
      <c r="A2371" t="s">
        <v>11235</v>
      </c>
      <c r="B2371" t="s">
        <v>11236</v>
      </c>
      <c r="C2371" t="s">
        <v>11236</v>
      </c>
      <c r="D2371" t="s">
        <v>153</v>
      </c>
      <c r="E2371" t="s">
        <v>272</v>
      </c>
      <c r="F2371" t="s">
        <v>11237</v>
      </c>
      <c r="G2371" t="s">
        <v>847</v>
      </c>
      <c r="H2371" t="s">
        <v>10141</v>
      </c>
      <c r="I2371" t="s">
        <v>11238</v>
      </c>
      <c r="J2371" s="2">
        <v>414523</v>
      </c>
      <c r="K2371" s="2">
        <v>1900</v>
      </c>
      <c r="L2371" s="2">
        <v>30</v>
      </c>
      <c r="M2371" s="2">
        <v>0</v>
      </c>
      <c r="N2371" t="s">
        <v>7936</v>
      </c>
      <c r="O2371" t="s">
        <v>7935</v>
      </c>
      <c r="P2371" t="s">
        <v>10093</v>
      </c>
      <c r="Q2371" t="s">
        <v>10094</v>
      </c>
      <c r="S2371" t="s">
        <v>11239</v>
      </c>
      <c r="U2371" t="s">
        <v>45</v>
      </c>
      <c r="V2371" t="s">
        <v>46</v>
      </c>
      <c r="W2371" t="s">
        <v>7936</v>
      </c>
      <c r="X2371" t="s">
        <v>7935</v>
      </c>
      <c r="Y2371" t="s">
        <v>7938</v>
      </c>
      <c r="Z2371" t="s">
        <v>7939</v>
      </c>
      <c r="AA2371" t="s">
        <v>49</v>
      </c>
      <c r="AB2371" t="s">
        <v>50</v>
      </c>
      <c r="AC2371" s="2">
        <v>261567.31</v>
      </c>
      <c r="AD2371" t="s">
        <v>11240</v>
      </c>
      <c r="AE2371" t="s">
        <v>52</v>
      </c>
    </row>
    <row r="2372" spans="1:31" x14ac:dyDescent="0.25">
      <c r="A2372" t="s">
        <v>11241</v>
      </c>
      <c r="B2372" t="s">
        <v>11242</v>
      </c>
      <c r="C2372" t="s">
        <v>11242</v>
      </c>
      <c r="D2372" t="s">
        <v>35</v>
      </c>
      <c r="E2372" t="s">
        <v>36</v>
      </c>
      <c r="F2372" t="s">
        <v>11243</v>
      </c>
      <c r="G2372" t="s">
        <v>35</v>
      </c>
      <c r="H2372" t="s">
        <v>10224</v>
      </c>
      <c r="I2372" t="s">
        <v>11244</v>
      </c>
      <c r="J2372" s="2">
        <v>327255</v>
      </c>
      <c r="K2372" s="2">
        <v>1500</v>
      </c>
      <c r="L2372" s="2">
        <v>21</v>
      </c>
      <c r="M2372" s="2">
        <v>0</v>
      </c>
      <c r="N2372" t="s">
        <v>10223</v>
      </c>
      <c r="O2372" t="s">
        <v>10224</v>
      </c>
      <c r="P2372" t="s">
        <v>6987</v>
      </c>
      <c r="Q2372" t="s">
        <v>6988</v>
      </c>
      <c r="S2372" t="s">
        <v>11245</v>
      </c>
      <c r="U2372" t="s">
        <v>45</v>
      </c>
      <c r="V2372" t="s">
        <v>46</v>
      </c>
      <c r="W2372" t="s">
        <v>10223</v>
      </c>
      <c r="X2372" t="s">
        <v>10224</v>
      </c>
      <c r="Y2372" t="s">
        <v>2399</v>
      </c>
      <c r="Z2372" t="s">
        <v>2400</v>
      </c>
      <c r="AA2372" t="s">
        <v>49</v>
      </c>
      <c r="AB2372" t="s">
        <v>50</v>
      </c>
      <c r="AC2372" s="2">
        <v>176347.23</v>
      </c>
      <c r="AD2372" t="s">
        <v>11246</v>
      </c>
      <c r="AE2372" t="s">
        <v>115</v>
      </c>
    </row>
    <row r="2373" spans="1:31" x14ac:dyDescent="0.25">
      <c r="A2373" t="s">
        <v>11247</v>
      </c>
      <c r="B2373" t="s">
        <v>11248</v>
      </c>
      <c r="C2373" t="s">
        <v>11248</v>
      </c>
      <c r="D2373" t="s">
        <v>125</v>
      </c>
      <c r="E2373" t="s">
        <v>126</v>
      </c>
      <c r="F2373" t="s">
        <v>11249</v>
      </c>
      <c r="G2373" t="s">
        <v>125</v>
      </c>
      <c r="H2373" t="s">
        <v>10155</v>
      </c>
      <c r="I2373" t="s">
        <v>11250</v>
      </c>
      <c r="J2373" s="2">
        <v>671880</v>
      </c>
      <c r="K2373" s="2">
        <v>3000</v>
      </c>
      <c r="L2373" s="2">
        <v>30</v>
      </c>
      <c r="M2373" s="2">
        <v>0</v>
      </c>
      <c r="N2373" t="s">
        <v>10157</v>
      </c>
      <c r="O2373" t="s">
        <v>10155</v>
      </c>
      <c r="P2373" t="s">
        <v>10093</v>
      </c>
      <c r="Q2373" t="s">
        <v>10094</v>
      </c>
      <c r="S2373" t="s">
        <v>11251</v>
      </c>
      <c r="U2373" t="s">
        <v>45</v>
      </c>
      <c r="V2373" t="s">
        <v>46</v>
      </c>
      <c r="W2373" t="s">
        <v>10157</v>
      </c>
      <c r="X2373" t="s">
        <v>10155</v>
      </c>
      <c r="Y2373" t="s">
        <v>7938</v>
      </c>
      <c r="Z2373" t="s">
        <v>7939</v>
      </c>
      <c r="AA2373" t="s">
        <v>49</v>
      </c>
      <c r="AB2373" t="s">
        <v>50</v>
      </c>
      <c r="AC2373" s="2">
        <v>501532.95</v>
      </c>
      <c r="AD2373" t="s">
        <v>11252</v>
      </c>
      <c r="AE2373" t="s">
        <v>52</v>
      </c>
    </row>
    <row r="2374" spans="1:31" x14ac:dyDescent="0.25">
      <c r="A2374" t="s">
        <v>11253</v>
      </c>
      <c r="B2374" t="s">
        <v>11254</v>
      </c>
      <c r="C2374" t="s">
        <v>11254</v>
      </c>
      <c r="D2374" t="s">
        <v>299</v>
      </c>
      <c r="E2374" t="s">
        <v>167</v>
      </c>
      <c r="F2374" t="s">
        <v>11255</v>
      </c>
      <c r="G2374" t="s">
        <v>299</v>
      </c>
      <c r="H2374" t="s">
        <v>11256</v>
      </c>
      <c r="I2374" t="s">
        <v>11257</v>
      </c>
      <c r="J2374" s="2">
        <v>316043</v>
      </c>
      <c r="K2374" s="2">
        <v>1300</v>
      </c>
      <c r="L2374" s="2">
        <v>15</v>
      </c>
      <c r="M2374" s="2">
        <v>0</v>
      </c>
      <c r="N2374" t="s">
        <v>10946</v>
      </c>
      <c r="O2374" t="s">
        <v>10947</v>
      </c>
      <c r="P2374" t="s">
        <v>4315</v>
      </c>
      <c r="Q2374" t="s">
        <v>4316</v>
      </c>
      <c r="S2374" t="s">
        <v>11258</v>
      </c>
      <c r="U2374" t="s">
        <v>45</v>
      </c>
      <c r="V2374" t="s">
        <v>46</v>
      </c>
      <c r="W2374" t="s">
        <v>10946</v>
      </c>
      <c r="X2374" t="s">
        <v>10947</v>
      </c>
      <c r="Y2374" t="s">
        <v>2157</v>
      </c>
      <c r="Z2374" t="s">
        <v>48</v>
      </c>
      <c r="AA2374" t="s">
        <v>49</v>
      </c>
      <c r="AB2374" t="s">
        <v>50</v>
      </c>
      <c r="AC2374" s="2">
        <v>194323.29</v>
      </c>
      <c r="AD2374" t="s">
        <v>11259</v>
      </c>
      <c r="AE2374" t="s">
        <v>52</v>
      </c>
    </row>
    <row r="2375" spans="1:31" x14ac:dyDescent="0.25">
      <c r="A2375" t="s">
        <v>11260</v>
      </c>
      <c r="B2375" t="s">
        <v>11261</v>
      </c>
      <c r="C2375" t="s">
        <v>11261</v>
      </c>
      <c r="D2375" t="s">
        <v>153</v>
      </c>
      <c r="E2375" t="s">
        <v>272</v>
      </c>
      <c r="F2375" t="s">
        <v>11262</v>
      </c>
      <c r="G2375" t="s">
        <v>1958</v>
      </c>
      <c r="H2375" t="s">
        <v>7263</v>
      </c>
      <c r="I2375" t="s">
        <v>11263</v>
      </c>
      <c r="J2375" s="2">
        <v>763595</v>
      </c>
      <c r="K2375" s="2">
        <v>3500</v>
      </c>
      <c r="L2375" s="2">
        <v>25</v>
      </c>
      <c r="M2375" s="2">
        <v>0</v>
      </c>
      <c r="N2375" t="s">
        <v>2571</v>
      </c>
      <c r="O2375" t="s">
        <v>2572</v>
      </c>
      <c r="P2375" t="s">
        <v>6987</v>
      </c>
      <c r="Q2375" t="s">
        <v>6988</v>
      </c>
      <c r="S2375" t="s">
        <v>11264</v>
      </c>
      <c r="U2375" t="s">
        <v>45</v>
      </c>
      <c r="V2375" t="s">
        <v>46</v>
      </c>
      <c r="W2375" t="s">
        <v>2571</v>
      </c>
      <c r="X2375" t="s">
        <v>2572</v>
      </c>
      <c r="Y2375" t="s">
        <v>2399</v>
      </c>
      <c r="Z2375" t="s">
        <v>2400</v>
      </c>
      <c r="AA2375" t="s">
        <v>49</v>
      </c>
      <c r="AB2375" t="s">
        <v>50</v>
      </c>
      <c r="AC2375" s="2">
        <v>722783.71</v>
      </c>
      <c r="AD2375" t="s">
        <v>11265</v>
      </c>
      <c r="AE2375" t="s">
        <v>115</v>
      </c>
    </row>
    <row r="2376" spans="1:31" x14ac:dyDescent="0.25">
      <c r="A2376" t="s">
        <v>11266</v>
      </c>
      <c r="B2376" t="s">
        <v>11267</v>
      </c>
      <c r="C2376" t="s">
        <v>11267</v>
      </c>
      <c r="D2376" t="s">
        <v>178</v>
      </c>
      <c r="E2376" t="s">
        <v>179</v>
      </c>
      <c r="F2376" t="s">
        <v>11268</v>
      </c>
      <c r="G2376" t="s">
        <v>297</v>
      </c>
      <c r="H2376" t="s">
        <v>11269</v>
      </c>
      <c r="I2376" t="s">
        <v>11270</v>
      </c>
      <c r="J2376" s="2">
        <v>918004</v>
      </c>
      <c r="K2376" s="2">
        <v>3800</v>
      </c>
      <c r="L2376" s="2">
        <v>30</v>
      </c>
      <c r="M2376" s="2">
        <v>0</v>
      </c>
      <c r="N2376" t="s">
        <v>8100</v>
      </c>
      <c r="O2376" t="s">
        <v>8101</v>
      </c>
      <c r="P2376" t="s">
        <v>4853</v>
      </c>
      <c r="Q2376" t="s">
        <v>4854</v>
      </c>
      <c r="S2376" t="s">
        <v>11271</v>
      </c>
      <c r="U2376" t="s">
        <v>45</v>
      </c>
      <c r="V2376" t="s">
        <v>46</v>
      </c>
      <c r="W2376" t="s">
        <v>8100</v>
      </c>
      <c r="X2376" t="s">
        <v>8101</v>
      </c>
      <c r="Y2376" t="s">
        <v>4854</v>
      </c>
      <c r="Z2376" t="s">
        <v>72</v>
      </c>
      <c r="AA2376" t="s">
        <v>49</v>
      </c>
      <c r="AB2376" t="s">
        <v>50</v>
      </c>
      <c r="AC2376" s="2">
        <v>376747.75</v>
      </c>
      <c r="AD2376" t="s">
        <v>11272</v>
      </c>
      <c r="AE2376" t="s">
        <v>52</v>
      </c>
    </row>
    <row r="2377" spans="1:31" hidden="1" x14ac:dyDescent="0.25">
      <c r="A2377" t="s">
        <v>11273</v>
      </c>
      <c r="B2377" t="s">
        <v>11274</v>
      </c>
      <c r="C2377" t="s">
        <v>11274</v>
      </c>
      <c r="F2377" t="s">
        <v>11275</v>
      </c>
      <c r="H2377" t="s">
        <v>5003</v>
      </c>
      <c r="I2377" t="s">
        <v>11276</v>
      </c>
      <c r="J2377" s="2">
        <v>65451</v>
      </c>
      <c r="K2377" s="2">
        <v>300</v>
      </c>
      <c r="L2377" s="2">
        <v>21</v>
      </c>
      <c r="M2377" s="2">
        <v>0</v>
      </c>
      <c r="N2377" t="s">
        <v>7568</v>
      </c>
      <c r="O2377" t="s">
        <v>7569</v>
      </c>
      <c r="P2377" t="s">
        <v>8938</v>
      </c>
      <c r="Q2377" t="s">
        <v>8939</v>
      </c>
      <c r="S2377" t="s">
        <v>11277</v>
      </c>
      <c r="U2377" t="s">
        <v>45</v>
      </c>
      <c r="V2377" t="s">
        <v>46</v>
      </c>
      <c r="W2377" t="s">
        <v>7568</v>
      </c>
      <c r="X2377" t="s">
        <v>7569</v>
      </c>
      <c r="Y2377" t="s">
        <v>258</v>
      </c>
      <c r="Z2377" t="s">
        <v>259</v>
      </c>
      <c r="AA2377" t="s">
        <v>49</v>
      </c>
      <c r="AB2377" t="s">
        <v>50</v>
      </c>
      <c r="AC2377" s="2">
        <v>65451</v>
      </c>
      <c r="AD2377" t="s">
        <v>64</v>
      </c>
    </row>
    <row r="2378" spans="1:31" x14ac:dyDescent="0.25">
      <c r="A2378" t="s">
        <v>11278</v>
      </c>
      <c r="B2378" t="s">
        <v>11279</v>
      </c>
      <c r="C2378" t="s">
        <v>11279</v>
      </c>
      <c r="D2378" t="s">
        <v>125</v>
      </c>
      <c r="E2378" t="s">
        <v>126</v>
      </c>
      <c r="F2378" t="s">
        <v>11280</v>
      </c>
      <c r="G2378" t="s">
        <v>125</v>
      </c>
      <c r="H2378" t="s">
        <v>10141</v>
      </c>
      <c r="I2378" t="s">
        <v>11281</v>
      </c>
      <c r="J2378" s="2">
        <v>122835</v>
      </c>
      <c r="K2378" s="2">
        <v>500</v>
      </c>
      <c r="L2378" s="2">
        <v>30</v>
      </c>
      <c r="M2378" s="2">
        <v>0</v>
      </c>
      <c r="N2378" t="s">
        <v>7936</v>
      </c>
      <c r="O2378" t="s">
        <v>7935</v>
      </c>
      <c r="P2378" t="s">
        <v>10093</v>
      </c>
      <c r="Q2378" t="s">
        <v>10094</v>
      </c>
      <c r="S2378" t="s">
        <v>11282</v>
      </c>
      <c r="U2378" t="s">
        <v>45</v>
      </c>
      <c r="V2378" t="s">
        <v>46</v>
      </c>
      <c r="W2378" t="s">
        <v>7936</v>
      </c>
      <c r="X2378" t="s">
        <v>7935</v>
      </c>
      <c r="Y2378" t="s">
        <v>7938</v>
      </c>
      <c r="Z2378" t="s">
        <v>7939</v>
      </c>
      <c r="AA2378" t="s">
        <v>49</v>
      </c>
      <c r="AB2378" t="s">
        <v>50</v>
      </c>
      <c r="AC2378" s="2">
        <v>7817.22</v>
      </c>
      <c r="AD2378" t="s">
        <v>11283</v>
      </c>
      <c r="AE2378" t="s">
        <v>52</v>
      </c>
    </row>
    <row r="2379" spans="1:31" x14ac:dyDescent="0.25">
      <c r="A2379" t="s">
        <v>11284</v>
      </c>
      <c r="B2379" t="s">
        <v>11285</v>
      </c>
      <c r="C2379" t="s">
        <v>11285</v>
      </c>
      <c r="D2379" t="s">
        <v>166</v>
      </c>
      <c r="E2379" t="s">
        <v>167</v>
      </c>
      <c r="F2379" t="s">
        <v>11286</v>
      </c>
      <c r="G2379" t="s">
        <v>166</v>
      </c>
      <c r="H2379" t="s">
        <v>10141</v>
      </c>
      <c r="I2379" t="s">
        <v>10142</v>
      </c>
      <c r="J2379" s="2">
        <v>327255</v>
      </c>
      <c r="K2379" s="2">
        <v>1500</v>
      </c>
      <c r="L2379" s="2">
        <v>30</v>
      </c>
      <c r="M2379" s="2">
        <v>0</v>
      </c>
      <c r="N2379" t="s">
        <v>7936</v>
      </c>
      <c r="O2379" t="s">
        <v>7935</v>
      </c>
      <c r="P2379" t="s">
        <v>10093</v>
      </c>
      <c r="Q2379" t="s">
        <v>10094</v>
      </c>
      <c r="S2379" t="s">
        <v>11287</v>
      </c>
      <c r="U2379" t="s">
        <v>45</v>
      </c>
      <c r="V2379" t="s">
        <v>46</v>
      </c>
      <c r="W2379" t="s">
        <v>7936</v>
      </c>
      <c r="X2379" t="s">
        <v>7935</v>
      </c>
      <c r="Y2379" t="s">
        <v>7938</v>
      </c>
      <c r="Z2379" t="s">
        <v>7939</v>
      </c>
      <c r="AA2379" t="s">
        <v>49</v>
      </c>
      <c r="AB2379" t="s">
        <v>50</v>
      </c>
      <c r="AC2379" s="2">
        <v>253227.25</v>
      </c>
      <c r="AD2379" t="s">
        <v>11288</v>
      </c>
      <c r="AE2379" t="s">
        <v>52</v>
      </c>
    </row>
    <row r="2380" spans="1:31" x14ac:dyDescent="0.25">
      <c r="A2380" t="s">
        <v>11289</v>
      </c>
      <c r="B2380" t="s">
        <v>11290</v>
      </c>
      <c r="C2380" t="s">
        <v>11290</v>
      </c>
      <c r="D2380" t="s">
        <v>11291</v>
      </c>
      <c r="E2380" t="s">
        <v>134</v>
      </c>
      <c r="F2380" t="s">
        <v>11292</v>
      </c>
      <c r="H2380" t="s">
        <v>10727</v>
      </c>
      <c r="I2380" t="s">
        <v>11293</v>
      </c>
      <c r="J2380" s="2">
        <v>43634</v>
      </c>
      <c r="K2380" s="2">
        <v>200</v>
      </c>
      <c r="L2380" s="2">
        <v>15</v>
      </c>
      <c r="M2380" s="2">
        <v>0</v>
      </c>
      <c r="N2380" t="s">
        <v>1210</v>
      </c>
      <c r="O2380" t="s">
        <v>1211</v>
      </c>
      <c r="P2380" t="s">
        <v>1212</v>
      </c>
      <c r="Q2380" t="s">
        <v>1213</v>
      </c>
      <c r="S2380" t="s">
        <v>11294</v>
      </c>
      <c r="U2380" t="s">
        <v>45</v>
      </c>
      <c r="V2380" t="s">
        <v>46</v>
      </c>
      <c r="W2380" t="s">
        <v>1210</v>
      </c>
      <c r="X2380" t="s">
        <v>1211</v>
      </c>
      <c r="Y2380" t="s">
        <v>1215</v>
      </c>
      <c r="Z2380" t="s">
        <v>1216</v>
      </c>
      <c r="AA2380" t="s">
        <v>49</v>
      </c>
      <c r="AB2380" t="s">
        <v>50</v>
      </c>
      <c r="AC2380" s="2">
        <v>43634</v>
      </c>
      <c r="AD2380" t="s">
        <v>64</v>
      </c>
    </row>
    <row r="2381" spans="1:31" x14ac:dyDescent="0.25">
      <c r="A2381" t="s">
        <v>11295</v>
      </c>
      <c r="B2381" t="s">
        <v>11296</v>
      </c>
      <c r="C2381" t="s">
        <v>11296</v>
      </c>
      <c r="D2381" t="s">
        <v>10039</v>
      </c>
      <c r="E2381" t="s">
        <v>77</v>
      </c>
      <c r="F2381" t="s">
        <v>11297</v>
      </c>
      <c r="H2381" t="s">
        <v>41</v>
      </c>
      <c r="J2381" s="2">
        <v>10909</v>
      </c>
      <c r="K2381" s="2">
        <v>50</v>
      </c>
      <c r="L2381" s="2">
        <v>15</v>
      </c>
      <c r="M2381" s="2">
        <v>0</v>
      </c>
      <c r="N2381" t="s">
        <v>40</v>
      </c>
      <c r="O2381" t="s">
        <v>41</v>
      </c>
      <c r="P2381" t="s">
        <v>42</v>
      </c>
      <c r="Q2381" t="s">
        <v>43</v>
      </c>
      <c r="U2381" t="s">
        <v>45</v>
      </c>
      <c r="V2381" t="s">
        <v>46</v>
      </c>
      <c r="W2381" t="s">
        <v>40</v>
      </c>
      <c r="X2381" t="s">
        <v>41</v>
      </c>
      <c r="Y2381" t="s">
        <v>47</v>
      </c>
      <c r="Z2381" t="s">
        <v>48</v>
      </c>
      <c r="AA2381" t="s">
        <v>141</v>
      </c>
      <c r="AB2381" t="s">
        <v>50</v>
      </c>
      <c r="AC2381" s="2">
        <v>10909</v>
      </c>
      <c r="AD2381" t="s">
        <v>64</v>
      </c>
    </row>
    <row r="2382" spans="1:31" x14ac:dyDescent="0.25">
      <c r="A2382" t="s">
        <v>11298</v>
      </c>
      <c r="B2382" t="s">
        <v>11299</v>
      </c>
      <c r="C2382" t="s">
        <v>11299</v>
      </c>
      <c r="D2382" t="s">
        <v>847</v>
      </c>
      <c r="E2382" t="s">
        <v>848</v>
      </c>
      <c r="F2382" t="s">
        <v>11300</v>
      </c>
      <c r="G2382" t="s">
        <v>178</v>
      </c>
      <c r="H2382" t="s">
        <v>4798</v>
      </c>
      <c r="I2382" t="s">
        <v>11301</v>
      </c>
      <c r="J2382" s="2">
        <v>660555</v>
      </c>
      <c r="K2382" s="2">
        <v>2700</v>
      </c>
      <c r="L2382" s="2">
        <v>30</v>
      </c>
      <c r="M2382" s="2">
        <v>0</v>
      </c>
      <c r="N2382" t="s">
        <v>4797</v>
      </c>
      <c r="O2382" t="s">
        <v>4798</v>
      </c>
      <c r="P2382" t="s">
        <v>1421</v>
      </c>
      <c r="Q2382" t="s">
        <v>1422</v>
      </c>
      <c r="S2382" t="s">
        <v>11302</v>
      </c>
      <c r="U2382" t="s">
        <v>45</v>
      </c>
      <c r="V2382" t="s">
        <v>46</v>
      </c>
      <c r="W2382" t="s">
        <v>4797</v>
      </c>
      <c r="X2382" t="s">
        <v>4798</v>
      </c>
      <c r="Y2382" t="s">
        <v>1215</v>
      </c>
      <c r="Z2382" t="s">
        <v>1216</v>
      </c>
      <c r="AA2382" t="s">
        <v>49</v>
      </c>
      <c r="AB2382" t="s">
        <v>50</v>
      </c>
      <c r="AC2382" s="2">
        <v>31119.56</v>
      </c>
      <c r="AD2382" t="s">
        <v>11303</v>
      </c>
      <c r="AE2382" t="s">
        <v>52</v>
      </c>
    </row>
    <row r="2383" spans="1:31" hidden="1" x14ac:dyDescent="0.25">
      <c r="J2383" s="2">
        <v>1000</v>
      </c>
      <c r="K2383" s="2">
        <v>0</v>
      </c>
      <c r="L2383" s="2">
        <v>1</v>
      </c>
      <c r="M2383" s="2">
        <v>0</v>
      </c>
      <c r="U2383" t="s">
        <v>45</v>
      </c>
      <c r="V2383" t="s">
        <v>46</v>
      </c>
      <c r="W2383" t="s">
        <v>40</v>
      </c>
      <c r="X2383" t="s">
        <v>41</v>
      </c>
      <c r="Y2383" t="s">
        <v>47</v>
      </c>
      <c r="Z2383" t="s">
        <v>48</v>
      </c>
      <c r="AA2383" t="s">
        <v>141</v>
      </c>
      <c r="AC2383" s="2"/>
    </row>
    <row r="2384" spans="1:31" x14ac:dyDescent="0.25">
      <c r="A2384" t="s">
        <v>11304</v>
      </c>
      <c r="B2384" t="s">
        <v>11305</v>
      </c>
      <c r="C2384" t="s">
        <v>11305</v>
      </c>
      <c r="D2384" t="s">
        <v>153</v>
      </c>
      <c r="E2384" t="s">
        <v>272</v>
      </c>
      <c r="F2384" t="s">
        <v>11306</v>
      </c>
      <c r="G2384" t="s">
        <v>153</v>
      </c>
      <c r="H2384" t="s">
        <v>1360</v>
      </c>
      <c r="I2384" t="s">
        <v>11307</v>
      </c>
      <c r="J2384" s="2">
        <v>162476</v>
      </c>
      <c r="K2384" s="2">
        <v>657</v>
      </c>
      <c r="L2384" s="2">
        <v>15</v>
      </c>
      <c r="M2384" s="2">
        <v>0</v>
      </c>
      <c r="N2384" t="s">
        <v>1362</v>
      </c>
      <c r="O2384" t="s">
        <v>1360</v>
      </c>
      <c r="P2384" t="s">
        <v>1421</v>
      </c>
      <c r="Q2384" t="s">
        <v>1422</v>
      </c>
      <c r="S2384" t="s">
        <v>11308</v>
      </c>
      <c r="U2384" t="s">
        <v>45</v>
      </c>
      <c r="V2384" t="s">
        <v>46</v>
      </c>
      <c r="W2384" t="s">
        <v>1362</v>
      </c>
      <c r="X2384" t="s">
        <v>1360</v>
      </c>
      <c r="Y2384" t="s">
        <v>1215</v>
      </c>
      <c r="Z2384" t="s">
        <v>1216</v>
      </c>
      <c r="AA2384" t="s">
        <v>49</v>
      </c>
      <c r="AB2384" t="s">
        <v>50</v>
      </c>
      <c r="AC2384" s="2">
        <v>-45074.25</v>
      </c>
      <c r="AD2384" t="s">
        <v>11309</v>
      </c>
      <c r="AE2384" t="s">
        <v>52</v>
      </c>
    </row>
    <row r="2385" spans="1:31" x14ac:dyDescent="0.25">
      <c r="A2385" t="s">
        <v>11310</v>
      </c>
      <c r="B2385" t="s">
        <v>11311</v>
      </c>
      <c r="C2385" t="s">
        <v>11311</v>
      </c>
      <c r="D2385" t="s">
        <v>35</v>
      </c>
      <c r="E2385" t="s">
        <v>36</v>
      </c>
      <c r="F2385" t="s">
        <v>11312</v>
      </c>
      <c r="G2385" t="s">
        <v>569</v>
      </c>
      <c r="H2385" t="s">
        <v>11313</v>
      </c>
      <c r="I2385" t="s">
        <v>11314</v>
      </c>
      <c r="J2385" s="2">
        <v>21817</v>
      </c>
      <c r="K2385" s="2">
        <v>100</v>
      </c>
      <c r="L2385" s="2">
        <v>7</v>
      </c>
      <c r="M2385" s="2">
        <v>0</v>
      </c>
      <c r="N2385" t="s">
        <v>11315</v>
      </c>
      <c r="O2385" t="s">
        <v>11316</v>
      </c>
      <c r="P2385" t="s">
        <v>91</v>
      </c>
      <c r="Q2385" t="s">
        <v>92</v>
      </c>
      <c r="S2385" t="s">
        <v>11317</v>
      </c>
      <c r="U2385" t="s">
        <v>45</v>
      </c>
      <c r="V2385" t="s">
        <v>46</v>
      </c>
      <c r="W2385" t="s">
        <v>11315</v>
      </c>
      <c r="X2385" t="s">
        <v>11316</v>
      </c>
      <c r="Y2385" t="s">
        <v>92</v>
      </c>
      <c r="Z2385" t="s">
        <v>94</v>
      </c>
      <c r="AA2385" t="s">
        <v>49</v>
      </c>
      <c r="AB2385" t="s">
        <v>50</v>
      </c>
      <c r="AC2385" s="2">
        <v>21817</v>
      </c>
      <c r="AD2385" t="s">
        <v>64</v>
      </c>
    </row>
    <row r="2386" spans="1:31" hidden="1" x14ac:dyDescent="0.25">
      <c r="I2386" t="s">
        <v>11318</v>
      </c>
      <c r="J2386" s="2">
        <v>1000</v>
      </c>
      <c r="K2386" s="2">
        <v>0</v>
      </c>
      <c r="L2386" s="2">
        <v>1</v>
      </c>
      <c r="M2386" s="2">
        <v>0</v>
      </c>
      <c r="U2386" t="s">
        <v>45</v>
      </c>
      <c r="V2386" t="s">
        <v>46</v>
      </c>
      <c r="W2386" t="s">
        <v>40</v>
      </c>
      <c r="X2386" t="s">
        <v>41</v>
      </c>
      <c r="Y2386" t="s">
        <v>47</v>
      </c>
      <c r="Z2386" t="s">
        <v>48</v>
      </c>
      <c r="AA2386" t="s">
        <v>49</v>
      </c>
      <c r="AC2386" s="2"/>
    </row>
    <row r="2387" spans="1:31" x14ac:dyDescent="0.25">
      <c r="A2387" t="s">
        <v>11319</v>
      </c>
      <c r="B2387" t="s">
        <v>11320</v>
      </c>
      <c r="C2387" t="s">
        <v>11320</v>
      </c>
      <c r="D2387" t="s">
        <v>2339</v>
      </c>
      <c r="E2387" t="s">
        <v>134</v>
      </c>
      <c r="F2387" t="s">
        <v>11321</v>
      </c>
      <c r="H2387" t="s">
        <v>7938</v>
      </c>
      <c r="I2387" t="s">
        <v>11322</v>
      </c>
      <c r="J2387" s="2">
        <v>32726</v>
      </c>
      <c r="K2387" s="2">
        <v>150</v>
      </c>
      <c r="L2387" s="2">
        <v>30</v>
      </c>
      <c r="M2387" s="2">
        <v>0</v>
      </c>
      <c r="N2387" t="s">
        <v>11323</v>
      </c>
      <c r="O2387" t="s">
        <v>11324</v>
      </c>
      <c r="P2387" t="s">
        <v>10093</v>
      </c>
      <c r="Q2387" t="s">
        <v>10094</v>
      </c>
      <c r="S2387" t="s">
        <v>11325</v>
      </c>
      <c r="U2387" t="s">
        <v>45</v>
      </c>
      <c r="V2387" t="s">
        <v>46</v>
      </c>
      <c r="W2387" t="s">
        <v>11323</v>
      </c>
      <c r="X2387" t="s">
        <v>11324</v>
      </c>
      <c r="Y2387" t="s">
        <v>7938</v>
      </c>
      <c r="Z2387" t="s">
        <v>7939</v>
      </c>
      <c r="AA2387" t="s">
        <v>49</v>
      </c>
      <c r="AB2387" t="s">
        <v>50</v>
      </c>
      <c r="AC2387" s="2">
        <v>32726</v>
      </c>
      <c r="AD2387" t="s">
        <v>64</v>
      </c>
    </row>
    <row r="2388" spans="1:31" x14ac:dyDescent="0.25">
      <c r="A2388" t="s">
        <v>11326</v>
      </c>
      <c r="B2388" t="s">
        <v>11327</v>
      </c>
      <c r="C2388" t="s">
        <v>11327</v>
      </c>
      <c r="D2388" t="s">
        <v>569</v>
      </c>
      <c r="E2388" t="s">
        <v>570</v>
      </c>
      <c r="F2388" t="s">
        <v>11328</v>
      </c>
      <c r="H2388" t="s">
        <v>41</v>
      </c>
      <c r="J2388" s="2">
        <v>10909</v>
      </c>
      <c r="K2388" s="2">
        <v>50</v>
      </c>
      <c r="L2388" s="2">
        <v>15</v>
      </c>
      <c r="M2388" s="2">
        <v>0</v>
      </c>
      <c r="N2388" t="s">
        <v>40</v>
      </c>
      <c r="O2388" t="s">
        <v>41</v>
      </c>
      <c r="P2388" t="s">
        <v>42</v>
      </c>
      <c r="Q2388" t="s">
        <v>43</v>
      </c>
      <c r="U2388" t="s">
        <v>45</v>
      </c>
      <c r="V2388" t="s">
        <v>46</v>
      </c>
      <c r="W2388" t="s">
        <v>40</v>
      </c>
      <c r="X2388" t="s">
        <v>41</v>
      </c>
      <c r="Y2388" t="s">
        <v>47</v>
      </c>
      <c r="Z2388" t="s">
        <v>48</v>
      </c>
      <c r="AA2388" t="s">
        <v>141</v>
      </c>
      <c r="AB2388" t="s">
        <v>50</v>
      </c>
      <c r="AC2388" s="2">
        <v>10904.27</v>
      </c>
      <c r="AD2388" t="s">
        <v>5692</v>
      </c>
    </row>
    <row r="2389" spans="1:31" x14ac:dyDescent="0.25">
      <c r="A2389" t="s">
        <v>11329</v>
      </c>
      <c r="B2389" t="s">
        <v>11330</v>
      </c>
      <c r="C2389" t="s">
        <v>11330</v>
      </c>
      <c r="D2389" t="s">
        <v>847</v>
      </c>
      <c r="E2389" t="s">
        <v>848</v>
      </c>
      <c r="F2389" t="s">
        <v>11331</v>
      </c>
      <c r="H2389" t="s">
        <v>41</v>
      </c>
      <c r="J2389" s="2">
        <v>15272</v>
      </c>
      <c r="K2389" s="2">
        <v>70</v>
      </c>
      <c r="L2389" s="2">
        <v>15</v>
      </c>
      <c r="M2389" s="2">
        <v>0</v>
      </c>
      <c r="N2389" t="s">
        <v>40</v>
      </c>
      <c r="O2389" t="s">
        <v>41</v>
      </c>
      <c r="P2389" t="s">
        <v>42</v>
      </c>
      <c r="Q2389" t="s">
        <v>43</v>
      </c>
      <c r="U2389" t="s">
        <v>45</v>
      </c>
      <c r="V2389" t="s">
        <v>46</v>
      </c>
      <c r="W2389" t="s">
        <v>40</v>
      </c>
      <c r="X2389" t="s">
        <v>41</v>
      </c>
      <c r="Y2389" t="s">
        <v>47</v>
      </c>
      <c r="Z2389" t="s">
        <v>48</v>
      </c>
      <c r="AA2389" t="s">
        <v>141</v>
      </c>
      <c r="AB2389" t="s">
        <v>50</v>
      </c>
      <c r="AC2389" s="2">
        <v>15272</v>
      </c>
      <c r="AD2389" t="s">
        <v>64</v>
      </c>
    </row>
    <row r="2390" spans="1:31" x14ac:dyDescent="0.25">
      <c r="A2390" t="s">
        <v>11332</v>
      </c>
      <c r="B2390" t="s">
        <v>11333</v>
      </c>
      <c r="C2390" t="s">
        <v>11333</v>
      </c>
      <c r="D2390" t="s">
        <v>569</v>
      </c>
      <c r="E2390" t="s">
        <v>570</v>
      </c>
      <c r="F2390" t="s">
        <v>11334</v>
      </c>
      <c r="H2390" t="s">
        <v>41</v>
      </c>
      <c r="J2390" s="2">
        <v>10909</v>
      </c>
      <c r="K2390" s="2">
        <v>50</v>
      </c>
      <c r="L2390" s="2">
        <v>1</v>
      </c>
      <c r="M2390" s="2">
        <v>0</v>
      </c>
      <c r="N2390" t="s">
        <v>40</v>
      </c>
      <c r="O2390" t="s">
        <v>41</v>
      </c>
      <c r="P2390" t="s">
        <v>42</v>
      </c>
      <c r="Q2390" t="s">
        <v>43</v>
      </c>
      <c r="U2390" t="s">
        <v>45</v>
      </c>
      <c r="V2390" t="s">
        <v>46</v>
      </c>
      <c r="W2390" t="s">
        <v>40</v>
      </c>
      <c r="X2390" t="s">
        <v>41</v>
      </c>
      <c r="Y2390" t="s">
        <v>47</v>
      </c>
      <c r="Z2390" t="s">
        <v>48</v>
      </c>
      <c r="AA2390" t="s">
        <v>141</v>
      </c>
      <c r="AB2390" t="s">
        <v>50</v>
      </c>
      <c r="AC2390" s="2">
        <v>10904.27</v>
      </c>
      <c r="AD2390" t="s">
        <v>5692</v>
      </c>
    </row>
    <row r="2391" spans="1:31" x14ac:dyDescent="0.25">
      <c r="A2391" t="s">
        <v>11335</v>
      </c>
      <c r="B2391" t="s">
        <v>11336</v>
      </c>
      <c r="C2391" t="s">
        <v>11336</v>
      </c>
      <c r="D2391" t="s">
        <v>125</v>
      </c>
      <c r="E2391" t="s">
        <v>126</v>
      </c>
      <c r="F2391" t="s">
        <v>11337</v>
      </c>
      <c r="H2391" t="s">
        <v>41</v>
      </c>
      <c r="J2391" s="2">
        <v>10909</v>
      </c>
      <c r="K2391" s="2">
        <v>50</v>
      </c>
      <c r="L2391" s="2">
        <v>15</v>
      </c>
      <c r="M2391" s="2">
        <v>0</v>
      </c>
      <c r="N2391" t="s">
        <v>40</v>
      </c>
      <c r="O2391" t="s">
        <v>41</v>
      </c>
      <c r="P2391" t="s">
        <v>42</v>
      </c>
      <c r="Q2391" t="s">
        <v>43</v>
      </c>
      <c r="U2391" t="s">
        <v>45</v>
      </c>
      <c r="V2391" t="s">
        <v>46</v>
      </c>
      <c r="W2391" t="s">
        <v>40</v>
      </c>
      <c r="X2391" t="s">
        <v>41</v>
      </c>
      <c r="Y2391" t="s">
        <v>47</v>
      </c>
      <c r="Z2391" t="s">
        <v>48</v>
      </c>
      <c r="AA2391" t="s">
        <v>141</v>
      </c>
      <c r="AB2391" t="s">
        <v>50</v>
      </c>
      <c r="AC2391" s="2">
        <v>9042.75</v>
      </c>
      <c r="AD2391" t="s">
        <v>11338</v>
      </c>
    </row>
    <row r="2392" spans="1:31" hidden="1" x14ac:dyDescent="0.25">
      <c r="A2392" t="s">
        <v>11339</v>
      </c>
      <c r="B2392" t="s">
        <v>11340</v>
      </c>
      <c r="C2392" t="s">
        <v>11340</v>
      </c>
      <c r="F2392" t="s">
        <v>10221</v>
      </c>
      <c r="H2392" t="s">
        <v>10155</v>
      </c>
      <c r="J2392" s="2">
        <v>1000</v>
      </c>
      <c r="K2392" s="2">
        <v>0</v>
      </c>
      <c r="L2392" s="2">
        <v>1</v>
      </c>
      <c r="M2392" s="2">
        <v>0</v>
      </c>
      <c r="N2392" t="s">
        <v>10157</v>
      </c>
      <c r="O2392" t="s">
        <v>10155</v>
      </c>
      <c r="P2392" t="s">
        <v>10093</v>
      </c>
      <c r="Q2392" t="s">
        <v>10094</v>
      </c>
      <c r="S2392" t="s">
        <v>11341</v>
      </c>
      <c r="U2392" t="s">
        <v>45</v>
      </c>
      <c r="V2392" t="s">
        <v>46</v>
      </c>
      <c r="W2392" t="s">
        <v>10157</v>
      </c>
      <c r="X2392" t="s">
        <v>10155</v>
      </c>
      <c r="Y2392" t="s">
        <v>7938</v>
      </c>
      <c r="Z2392" t="s">
        <v>7939</v>
      </c>
      <c r="AA2392" t="s">
        <v>49</v>
      </c>
      <c r="AB2392" t="s">
        <v>50</v>
      </c>
      <c r="AC2392" s="2">
        <v>1000</v>
      </c>
      <c r="AD2392" t="s">
        <v>64</v>
      </c>
    </row>
    <row r="2393" spans="1:31" x14ac:dyDescent="0.25">
      <c r="A2393" t="s">
        <v>11342</v>
      </c>
      <c r="B2393" t="s">
        <v>11343</v>
      </c>
      <c r="C2393" t="s">
        <v>10220</v>
      </c>
      <c r="D2393" t="s">
        <v>125</v>
      </c>
      <c r="E2393" t="s">
        <v>126</v>
      </c>
      <c r="F2393" t="s">
        <v>10221</v>
      </c>
      <c r="G2393" t="s">
        <v>297</v>
      </c>
      <c r="H2393" t="s">
        <v>10155</v>
      </c>
      <c r="I2393" t="s">
        <v>11344</v>
      </c>
      <c r="J2393" s="2">
        <v>545425</v>
      </c>
      <c r="K2393" s="2">
        <v>2500</v>
      </c>
      <c r="L2393" s="2">
        <v>30</v>
      </c>
      <c r="M2393" s="2">
        <v>0</v>
      </c>
      <c r="N2393" t="s">
        <v>10157</v>
      </c>
      <c r="O2393" t="s">
        <v>10155</v>
      </c>
      <c r="P2393" t="s">
        <v>10093</v>
      </c>
      <c r="Q2393" t="s">
        <v>10094</v>
      </c>
      <c r="S2393" t="s">
        <v>11341</v>
      </c>
      <c r="U2393" t="s">
        <v>45</v>
      </c>
      <c r="V2393" t="s">
        <v>46</v>
      </c>
      <c r="W2393" t="s">
        <v>10157</v>
      </c>
      <c r="X2393" t="s">
        <v>10155</v>
      </c>
      <c r="Y2393" t="s">
        <v>7938</v>
      </c>
      <c r="Z2393" t="s">
        <v>7939</v>
      </c>
      <c r="AA2393" t="s">
        <v>49</v>
      </c>
      <c r="AB2393" t="s">
        <v>50</v>
      </c>
      <c r="AC2393" s="2">
        <v>224326.03</v>
      </c>
      <c r="AD2393" t="s">
        <v>11345</v>
      </c>
      <c r="AE2393" t="s">
        <v>115</v>
      </c>
    </row>
    <row r="2394" spans="1:31" x14ac:dyDescent="0.25">
      <c r="A2394" t="s">
        <v>11346</v>
      </c>
      <c r="B2394" t="s">
        <v>11347</v>
      </c>
      <c r="C2394" t="s">
        <v>11347</v>
      </c>
      <c r="D2394" t="s">
        <v>847</v>
      </c>
      <c r="E2394" t="s">
        <v>848</v>
      </c>
      <c r="F2394" t="s">
        <v>10221</v>
      </c>
      <c r="G2394" t="s">
        <v>847</v>
      </c>
      <c r="H2394" t="s">
        <v>10155</v>
      </c>
      <c r="I2394" t="s">
        <v>11344</v>
      </c>
      <c r="J2394" s="2">
        <v>361808</v>
      </c>
      <c r="K2394" s="2">
        <v>1600</v>
      </c>
      <c r="L2394" s="2">
        <v>30</v>
      </c>
      <c r="M2394" s="2">
        <v>0</v>
      </c>
      <c r="N2394" t="s">
        <v>7936</v>
      </c>
      <c r="O2394" t="s">
        <v>7935</v>
      </c>
      <c r="P2394" t="s">
        <v>10093</v>
      </c>
      <c r="Q2394" t="s">
        <v>10094</v>
      </c>
      <c r="S2394" t="s">
        <v>11341</v>
      </c>
      <c r="U2394" t="s">
        <v>45</v>
      </c>
      <c r="V2394" t="s">
        <v>46</v>
      </c>
      <c r="W2394" t="s">
        <v>7936</v>
      </c>
      <c r="X2394" t="s">
        <v>7935</v>
      </c>
      <c r="Y2394" t="s">
        <v>2399</v>
      </c>
      <c r="Z2394" t="s">
        <v>2400</v>
      </c>
      <c r="AA2394" t="s">
        <v>49</v>
      </c>
      <c r="AB2394" t="s">
        <v>50</v>
      </c>
      <c r="AC2394" s="2">
        <v>138845.07</v>
      </c>
      <c r="AD2394" t="s">
        <v>11348</v>
      </c>
      <c r="AE2394" t="s">
        <v>52</v>
      </c>
    </row>
    <row r="2395" spans="1:31" x14ac:dyDescent="0.25">
      <c r="A2395" t="s">
        <v>11349</v>
      </c>
      <c r="B2395" t="s">
        <v>11350</v>
      </c>
      <c r="C2395" t="s">
        <v>11350</v>
      </c>
      <c r="D2395" t="s">
        <v>847</v>
      </c>
      <c r="E2395" t="s">
        <v>848</v>
      </c>
      <c r="F2395" t="s">
        <v>11351</v>
      </c>
      <c r="G2395" t="s">
        <v>478</v>
      </c>
      <c r="H2395" t="s">
        <v>11352</v>
      </c>
      <c r="J2395" s="2">
        <v>218170</v>
      </c>
      <c r="K2395" s="2">
        <v>1000</v>
      </c>
      <c r="L2395" s="2">
        <v>21</v>
      </c>
      <c r="M2395" s="2">
        <v>0</v>
      </c>
      <c r="N2395" t="s">
        <v>11353</v>
      </c>
      <c r="O2395" t="s">
        <v>11352</v>
      </c>
      <c r="P2395" t="s">
        <v>4315</v>
      </c>
      <c r="Q2395" t="s">
        <v>4316</v>
      </c>
      <c r="S2395" t="s">
        <v>11354</v>
      </c>
      <c r="U2395" t="s">
        <v>45</v>
      </c>
      <c r="V2395" t="s">
        <v>46</v>
      </c>
      <c r="W2395" t="s">
        <v>11353</v>
      </c>
      <c r="X2395" t="s">
        <v>11352</v>
      </c>
      <c r="Y2395" t="s">
        <v>7938</v>
      </c>
      <c r="Z2395" t="s">
        <v>7939</v>
      </c>
      <c r="AA2395" t="s">
        <v>49</v>
      </c>
      <c r="AB2395" t="s">
        <v>50</v>
      </c>
      <c r="AC2395" s="2">
        <v>190632.99</v>
      </c>
      <c r="AD2395" t="s">
        <v>11355</v>
      </c>
      <c r="AE2395" t="s">
        <v>52</v>
      </c>
    </row>
    <row r="2396" spans="1:31" x14ac:dyDescent="0.25">
      <c r="A2396" t="s">
        <v>11356</v>
      </c>
      <c r="B2396" t="s">
        <v>11357</v>
      </c>
      <c r="C2396" t="s">
        <v>11357</v>
      </c>
      <c r="D2396" t="s">
        <v>125</v>
      </c>
      <c r="E2396" t="s">
        <v>126</v>
      </c>
      <c r="F2396" t="s">
        <v>11358</v>
      </c>
      <c r="G2396" t="s">
        <v>847</v>
      </c>
      <c r="H2396" t="s">
        <v>11359</v>
      </c>
      <c r="I2396" t="s">
        <v>11360</v>
      </c>
      <c r="J2396" s="2">
        <v>1876262</v>
      </c>
      <c r="K2396" s="2">
        <v>8600</v>
      </c>
      <c r="L2396" s="2">
        <v>30</v>
      </c>
      <c r="M2396" s="2">
        <v>0</v>
      </c>
      <c r="N2396" t="s">
        <v>7341</v>
      </c>
      <c r="O2396" t="s">
        <v>7342</v>
      </c>
      <c r="P2396" t="s">
        <v>2320</v>
      </c>
      <c r="Q2396" t="s">
        <v>2321</v>
      </c>
      <c r="S2396" t="s">
        <v>11361</v>
      </c>
      <c r="U2396" t="s">
        <v>45</v>
      </c>
      <c r="V2396" t="s">
        <v>46</v>
      </c>
      <c r="W2396" t="s">
        <v>7341</v>
      </c>
      <c r="X2396" t="s">
        <v>7342</v>
      </c>
      <c r="Y2396" t="s">
        <v>2399</v>
      </c>
      <c r="Z2396" t="s">
        <v>2400</v>
      </c>
      <c r="AA2396" t="s">
        <v>49</v>
      </c>
      <c r="AB2396" t="s">
        <v>50</v>
      </c>
      <c r="AC2396" s="2">
        <v>1107350.1000000001</v>
      </c>
      <c r="AD2396" t="s">
        <v>11362</v>
      </c>
      <c r="AE2396" t="s">
        <v>52</v>
      </c>
    </row>
    <row r="2397" spans="1:31" x14ac:dyDescent="0.25">
      <c r="A2397" t="s">
        <v>11363</v>
      </c>
      <c r="B2397" t="s">
        <v>11364</v>
      </c>
      <c r="C2397" t="s">
        <v>11364</v>
      </c>
      <c r="D2397" t="s">
        <v>35</v>
      </c>
      <c r="E2397" t="s">
        <v>36</v>
      </c>
      <c r="F2397" t="s">
        <v>11365</v>
      </c>
      <c r="G2397" t="s">
        <v>35</v>
      </c>
      <c r="H2397" t="s">
        <v>2473</v>
      </c>
      <c r="I2397" t="s">
        <v>11136</v>
      </c>
      <c r="J2397" s="2">
        <v>218170</v>
      </c>
      <c r="K2397" s="2">
        <v>1000</v>
      </c>
      <c r="L2397" s="2">
        <v>15</v>
      </c>
      <c r="M2397" s="2">
        <v>0</v>
      </c>
      <c r="N2397" t="s">
        <v>2472</v>
      </c>
      <c r="O2397" t="s">
        <v>2473</v>
      </c>
      <c r="P2397" t="s">
        <v>1421</v>
      </c>
      <c r="Q2397" t="s">
        <v>1422</v>
      </c>
      <c r="S2397" t="s">
        <v>11366</v>
      </c>
      <c r="U2397" t="s">
        <v>45</v>
      </c>
      <c r="V2397" t="s">
        <v>46</v>
      </c>
      <c r="W2397" t="s">
        <v>2472</v>
      </c>
      <c r="X2397" t="s">
        <v>2475</v>
      </c>
      <c r="Y2397" t="s">
        <v>1215</v>
      </c>
      <c r="Z2397" t="s">
        <v>1216</v>
      </c>
      <c r="AA2397" t="s">
        <v>49</v>
      </c>
      <c r="AB2397" t="s">
        <v>50</v>
      </c>
      <c r="AC2397" s="2">
        <v>74225.490000000005</v>
      </c>
      <c r="AD2397" t="s">
        <v>11367</v>
      </c>
      <c r="AE2397" t="s">
        <v>115</v>
      </c>
    </row>
    <row r="2398" spans="1:31" x14ac:dyDescent="0.25">
      <c r="A2398" t="s">
        <v>11368</v>
      </c>
      <c r="B2398" t="s">
        <v>11369</v>
      </c>
      <c r="C2398" t="s">
        <v>11369</v>
      </c>
      <c r="D2398" t="s">
        <v>125</v>
      </c>
      <c r="E2398" t="s">
        <v>126</v>
      </c>
      <c r="F2398" t="s">
        <v>8920</v>
      </c>
      <c r="G2398" t="s">
        <v>125</v>
      </c>
      <c r="H2398" t="s">
        <v>10395</v>
      </c>
      <c r="I2398" t="s">
        <v>11370</v>
      </c>
      <c r="J2398" s="2">
        <v>763595</v>
      </c>
      <c r="K2398" s="2">
        <v>3500</v>
      </c>
      <c r="L2398" s="2">
        <v>25</v>
      </c>
      <c r="M2398" s="2">
        <v>0</v>
      </c>
      <c r="N2398" t="s">
        <v>6940</v>
      </c>
      <c r="O2398" t="s">
        <v>6939</v>
      </c>
      <c r="P2398" t="s">
        <v>3487</v>
      </c>
      <c r="Q2398" t="s">
        <v>3488</v>
      </c>
      <c r="S2398" t="s">
        <v>8922</v>
      </c>
      <c r="U2398" t="s">
        <v>45</v>
      </c>
      <c r="V2398" t="s">
        <v>46</v>
      </c>
      <c r="W2398" t="s">
        <v>6940</v>
      </c>
      <c r="X2398" t="s">
        <v>6939</v>
      </c>
      <c r="Y2398" t="s">
        <v>79</v>
      </c>
      <c r="Z2398" t="s">
        <v>94</v>
      </c>
      <c r="AA2398" t="s">
        <v>49</v>
      </c>
      <c r="AB2398" t="s">
        <v>50</v>
      </c>
      <c r="AC2398" s="2">
        <v>438482.92</v>
      </c>
      <c r="AD2398" t="s">
        <v>11371</v>
      </c>
      <c r="AE2398" t="s">
        <v>52</v>
      </c>
    </row>
    <row r="2399" spans="1:31" x14ac:dyDescent="0.25">
      <c r="A2399" t="s">
        <v>11372</v>
      </c>
      <c r="B2399" t="s">
        <v>11373</v>
      </c>
      <c r="C2399" t="s">
        <v>11373</v>
      </c>
      <c r="D2399" t="s">
        <v>125</v>
      </c>
      <c r="E2399" t="s">
        <v>126</v>
      </c>
      <c r="F2399" t="s">
        <v>11374</v>
      </c>
      <c r="G2399" t="s">
        <v>125</v>
      </c>
      <c r="H2399" t="s">
        <v>11375</v>
      </c>
      <c r="I2399" t="s">
        <v>11376</v>
      </c>
      <c r="J2399" s="2">
        <v>2118200</v>
      </c>
      <c r="K2399" s="2">
        <v>8500</v>
      </c>
      <c r="L2399" s="2">
        <v>30</v>
      </c>
      <c r="M2399" s="2">
        <v>0</v>
      </c>
      <c r="N2399" t="s">
        <v>11377</v>
      </c>
      <c r="O2399" t="s">
        <v>11378</v>
      </c>
      <c r="P2399" t="s">
        <v>3487</v>
      </c>
      <c r="Q2399" t="s">
        <v>3488</v>
      </c>
      <c r="S2399" t="s">
        <v>11379</v>
      </c>
      <c r="U2399" t="s">
        <v>45</v>
      </c>
      <c r="V2399" t="s">
        <v>46</v>
      </c>
      <c r="W2399" t="s">
        <v>11377</v>
      </c>
      <c r="X2399" t="s">
        <v>11378</v>
      </c>
      <c r="Y2399" t="s">
        <v>79</v>
      </c>
      <c r="Z2399" t="s">
        <v>94</v>
      </c>
      <c r="AA2399" t="s">
        <v>49</v>
      </c>
      <c r="AB2399" t="s">
        <v>50</v>
      </c>
      <c r="AC2399" s="2">
        <v>102691.35</v>
      </c>
      <c r="AD2399" t="s">
        <v>11380</v>
      </c>
      <c r="AE2399" t="s">
        <v>52</v>
      </c>
    </row>
    <row r="2400" spans="1:31" x14ac:dyDescent="0.25">
      <c r="A2400" t="s">
        <v>11381</v>
      </c>
      <c r="B2400" t="s">
        <v>11382</v>
      </c>
      <c r="C2400" t="s">
        <v>11382</v>
      </c>
      <c r="D2400" t="s">
        <v>166</v>
      </c>
      <c r="E2400" t="s">
        <v>167</v>
      </c>
      <c r="F2400" t="s">
        <v>11383</v>
      </c>
      <c r="G2400" t="s">
        <v>166</v>
      </c>
      <c r="H2400" t="s">
        <v>6728</v>
      </c>
      <c r="J2400" s="2">
        <v>436340</v>
      </c>
      <c r="K2400" s="2">
        <v>2000</v>
      </c>
      <c r="L2400" s="2">
        <v>15</v>
      </c>
      <c r="M2400" s="2">
        <v>0</v>
      </c>
      <c r="N2400" t="s">
        <v>6730</v>
      </c>
      <c r="O2400" t="s">
        <v>6728</v>
      </c>
      <c r="P2400" t="s">
        <v>557</v>
      </c>
      <c r="Q2400" t="s">
        <v>558</v>
      </c>
      <c r="S2400" t="s">
        <v>11384</v>
      </c>
      <c r="U2400" t="s">
        <v>45</v>
      </c>
      <c r="V2400" t="s">
        <v>46</v>
      </c>
      <c r="W2400" t="s">
        <v>6730</v>
      </c>
      <c r="X2400" t="s">
        <v>6728</v>
      </c>
      <c r="Y2400" t="s">
        <v>85</v>
      </c>
      <c r="Z2400" t="s">
        <v>86</v>
      </c>
      <c r="AA2400" t="s">
        <v>49</v>
      </c>
      <c r="AB2400" t="s">
        <v>50</v>
      </c>
      <c r="AC2400" s="2">
        <v>371610.6</v>
      </c>
      <c r="AD2400" t="s">
        <v>11385</v>
      </c>
      <c r="AE2400" t="s">
        <v>52</v>
      </c>
    </row>
    <row r="2401" spans="1:31" x14ac:dyDescent="0.25">
      <c r="A2401" t="s">
        <v>11386</v>
      </c>
      <c r="B2401" t="s">
        <v>11387</v>
      </c>
      <c r="C2401" t="s">
        <v>11387</v>
      </c>
      <c r="D2401" t="s">
        <v>344</v>
      </c>
      <c r="E2401" t="s">
        <v>167</v>
      </c>
      <c r="F2401" t="s">
        <v>11388</v>
      </c>
      <c r="G2401" t="s">
        <v>169</v>
      </c>
      <c r="H2401" t="s">
        <v>349</v>
      </c>
      <c r="J2401" s="2">
        <v>123750</v>
      </c>
      <c r="K2401" s="2">
        <v>531</v>
      </c>
      <c r="L2401" s="2">
        <v>15</v>
      </c>
      <c r="M2401" s="2">
        <v>0</v>
      </c>
      <c r="N2401" t="s">
        <v>348</v>
      </c>
      <c r="O2401" t="s">
        <v>349</v>
      </c>
      <c r="P2401" t="s">
        <v>316</v>
      </c>
      <c r="Q2401" t="s">
        <v>317</v>
      </c>
      <c r="S2401" t="s">
        <v>11389</v>
      </c>
      <c r="U2401" t="s">
        <v>45</v>
      </c>
      <c r="V2401" t="s">
        <v>46</v>
      </c>
      <c r="W2401" t="s">
        <v>348</v>
      </c>
      <c r="X2401" t="s">
        <v>349</v>
      </c>
      <c r="Y2401" t="s">
        <v>317</v>
      </c>
      <c r="Z2401" t="s">
        <v>349</v>
      </c>
      <c r="AA2401" t="s">
        <v>49</v>
      </c>
      <c r="AB2401" t="s">
        <v>50</v>
      </c>
      <c r="AC2401" s="2">
        <v>123750</v>
      </c>
      <c r="AD2401" t="s">
        <v>64</v>
      </c>
    </row>
    <row r="2402" spans="1:31" x14ac:dyDescent="0.25">
      <c r="A2402" t="s">
        <v>11390</v>
      </c>
      <c r="B2402" t="s">
        <v>11391</v>
      </c>
      <c r="C2402" t="s">
        <v>11391</v>
      </c>
      <c r="D2402" t="s">
        <v>792</v>
      </c>
      <c r="E2402" t="s">
        <v>190</v>
      </c>
      <c r="F2402" t="s">
        <v>11392</v>
      </c>
      <c r="G2402" t="s">
        <v>792</v>
      </c>
      <c r="H2402" t="s">
        <v>10141</v>
      </c>
      <c r="J2402" s="2">
        <v>218170</v>
      </c>
      <c r="K2402" s="2">
        <v>1000</v>
      </c>
      <c r="L2402" s="2">
        <v>30</v>
      </c>
      <c r="M2402" s="2">
        <v>0</v>
      </c>
      <c r="N2402" t="s">
        <v>7936</v>
      </c>
      <c r="O2402" t="s">
        <v>7935</v>
      </c>
      <c r="P2402" t="s">
        <v>10093</v>
      </c>
      <c r="Q2402" t="s">
        <v>10094</v>
      </c>
      <c r="S2402" t="s">
        <v>11393</v>
      </c>
      <c r="U2402" t="s">
        <v>45</v>
      </c>
      <c r="V2402" t="s">
        <v>46</v>
      </c>
      <c r="W2402" t="s">
        <v>7936</v>
      </c>
      <c r="X2402" t="s">
        <v>7935</v>
      </c>
      <c r="Y2402" t="s">
        <v>7938</v>
      </c>
      <c r="Z2402" t="s">
        <v>7939</v>
      </c>
      <c r="AA2402" t="s">
        <v>49</v>
      </c>
      <c r="AB2402" t="s">
        <v>50</v>
      </c>
      <c r="AC2402" s="2">
        <v>98365.52</v>
      </c>
      <c r="AD2402" t="s">
        <v>11394</v>
      </c>
      <c r="AE2402" t="s">
        <v>52</v>
      </c>
    </row>
    <row r="2403" spans="1:31" x14ac:dyDescent="0.25">
      <c r="A2403" t="s">
        <v>11395</v>
      </c>
      <c r="B2403" t="s">
        <v>11396</v>
      </c>
      <c r="C2403" t="s">
        <v>11396</v>
      </c>
      <c r="D2403" t="s">
        <v>35</v>
      </c>
      <c r="E2403" t="s">
        <v>36</v>
      </c>
      <c r="F2403" t="s">
        <v>11397</v>
      </c>
      <c r="G2403" t="s">
        <v>299</v>
      </c>
      <c r="H2403" t="s">
        <v>1222</v>
      </c>
      <c r="I2403" t="s">
        <v>6659</v>
      </c>
      <c r="J2403" s="2">
        <v>436340</v>
      </c>
      <c r="K2403" s="2">
        <v>2000</v>
      </c>
      <c r="L2403" s="2">
        <v>30</v>
      </c>
      <c r="M2403" s="2">
        <v>0</v>
      </c>
      <c r="N2403" t="s">
        <v>1221</v>
      </c>
      <c r="O2403" t="s">
        <v>1222</v>
      </c>
      <c r="P2403" t="s">
        <v>205</v>
      </c>
      <c r="Q2403" t="s">
        <v>206</v>
      </c>
      <c r="S2403" t="s">
        <v>11398</v>
      </c>
      <c r="U2403" t="s">
        <v>45</v>
      </c>
      <c r="V2403" t="s">
        <v>46</v>
      </c>
      <c r="W2403" t="s">
        <v>1221</v>
      </c>
      <c r="X2403" t="s">
        <v>1222</v>
      </c>
      <c r="Y2403" t="s">
        <v>161</v>
      </c>
      <c r="Z2403" t="s">
        <v>162</v>
      </c>
      <c r="AA2403" t="s">
        <v>49</v>
      </c>
      <c r="AB2403" t="s">
        <v>50</v>
      </c>
      <c r="AC2403" s="2">
        <v>407026</v>
      </c>
      <c r="AD2403" t="s">
        <v>11399</v>
      </c>
      <c r="AE2403" t="s">
        <v>52</v>
      </c>
    </row>
    <row r="2404" spans="1:31" x14ac:dyDescent="0.25">
      <c r="A2404" t="s">
        <v>11400</v>
      </c>
      <c r="B2404" t="s">
        <v>11401</v>
      </c>
      <c r="C2404" t="s">
        <v>11401</v>
      </c>
      <c r="D2404" t="s">
        <v>621</v>
      </c>
      <c r="E2404" t="s">
        <v>77</v>
      </c>
      <c r="F2404" t="s">
        <v>11402</v>
      </c>
      <c r="G2404" t="s">
        <v>2754</v>
      </c>
      <c r="H2404" t="s">
        <v>7210</v>
      </c>
      <c r="I2404" t="s">
        <v>11403</v>
      </c>
      <c r="J2404" s="2">
        <v>54543</v>
      </c>
      <c r="K2404" s="2">
        <v>250</v>
      </c>
      <c r="L2404" s="2">
        <v>15</v>
      </c>
      <c r="M2404" s="2">
        <v>0</v>
      </c>
      <c r="N2404" t="s">
        <v>4996</v>
      </c>
      <c r="O2404" t="s">
        <v>4997</v>
      </c>
      <c r="P2404" t="s">
        <v>1212</v>
      </c>
      <c r="Q2404" t="s">
        <v>1213</v>
      </c>
      <c r="S2404" t="s">
        <v>11404</v>
      </c>
      <c r="U2404" t="s">
        <v>45</v>
      </c>
      <c r="V2404" t="s">
        <v>46</v>
      </c>
      <c r="W2404" t="s">
        <v>4996</v>
      </c>
      <c r="X2404" t="s">
        <v>4997</v>
      </c>
      <c r="Y2404" t="s">
        <v>1215</v>
      </c>
      <c r="Z2404" t="s">
        <v>1216</v>
      </c>
      <c r="AA2404" t="s">
        <v>49</v>
      </c>
      <c r="AB2404" t="s">
        <v>50</v>
      </c>
      <c r="AC2404" s="2">
        <v>54543</v>
      </c>
      <c r="AD2404" t="s">
        <v>64</v>
      </c>
    </row>
    <row r="2405" spans="1:31" hidden="1" x14ac:dyDescent="0.25">
      <c r="A2405" t="s">
        <v>11405</v>
      </c>
      <c r="B2405" t="s">
        <v>11406</v>
      </c>
      <c r="C2405" t="s">
        <v>11406</v>
      </c>
      <c r="F2405" t="s">
        <v>11407</v>
      </c>
      <c r="H2405" t="s">
        <v>4831</v>
      </c>
      <c r="I2405" t="s">
        <v>11408</v>
      </c>
      <c r="J2405" s="2">
        <v>1000</v>
      </c>
      <c r="K2405" s="2">
        <v>0</v>
      </c>
      <c r="L2405" s="2">
        <v>30</v>
      </c>
      <c r="M2405" s="2">
        <v>0</v>
      </c>
      <c r="N2405" t="s">
        <v>4830</v>
      </c>
      <c r="O2405" t="s">
        <v>4831</v>
      </c>
      <c r="P2405" t="s">
        <v>2320</v>
      </c>
      <c r="Q2405" t="s">
        <v>2321</v>
      </c>
      <c r="S2405" t="s">
        <v>11409</v>
      </c>
      <c r="U2405" t="s">
        <v>45</v>
      </c>
      <c r="V2405" t="s">
        <v>46</v>
      </c>
      <c r="W2405" t="s">
        <v>4830</v>
      </c>
      <c r="X2405" t="s">
        <v>4831</v>
      </c>
      <c r="Y2405" t="s">
        <v>137</v>
      </c>
      <c r="Z2405" t="s">
        <v>717</v>
      </c>
      <c r="AA2405" t="s">
        <v>49</v>
      </c>
      <c r="AB2405" t="s">
        <v>50</v>
      </c>
      <c r="AC2405" s="2">
        <v>1000</v>
      </c>
      <c r="AD2405" t="s">
        <v>64</v>
      </c>
    </row>
    <row r="2406" spans="1:31" x14ac:dyDescent="0.25">
      <c r="A2406" t="s">
        <v>11410</v>
      </c>
      <c r="B2406" t="s">
        <v>11411</v>
      </c>
      <c r="C2406" t="s">
        <v>11411</v>
      </c>
      <c r="D2406" t="s">
        <v>35</v>
      </c>
      <c r="E2406" t="s">
        <v>36</v>
      </c>
      <c r="F2406" t="s">
        <v>11412</v>
      </c>
      <c r="G2406" t="s">
        <v>299</v>
      </c>
      <c r="H2406" t="s">
        <v>7938</v>
      </c>
      <c r="I2406" t="s">
        <v>11413</v>
      </c>
      <c r="J2406" s="2">
        <v>261804</v>
      </c>
      <c r="K2406" s="2">
        <v>1200</v>
      </c>
      <c r="L2406" s="2">
        <v>30</v>
      </c>
      <c r="M2406" s="2">
        <v>0</v>
      </c>
      <c r="N2406" t="s">
        <v>10127</v>
      </c>
      <c r="O2406" t="s">
        <v>10128</v>
      </c>
      <c r="P2406" t="s">
        <v>10093</v>
      </c>
      <c r="Q2406" t="s">
        <v>10094</v>
      </c>
      <c r="S2406" t="s">
        <v>11414</v>
      </c>
      <c r="U2406" t="s">
        <v>45</v>
      </c>
      <c r="V2406" t="s">
        <v>46</v>
      </c>
      <c r="W2406" t="s">
        <v>10127</v>
      </c>
      <c r="X2406" t="s">
        <v>10130</v>
      </c>
      <c r="Y2406" t="s">
        <v>7938</v>
      </c>
      <c r="Z2406" t="s">
        <v>7939</v>
      </c>
      <c r="AA2406" t="s">
        <v>49</v>
      </c>
      <c r="AB2406" t="s">
        <v>50</v>
      </c>
      <c r="AC2406" s="2">
        <v>218485.16</v>
      </c>
      <c r="AD2406" t="s">
        <v>11415</v>
      </c>
      <c r="AE2406" t="s">
        <v>52</v>
      </c>
    </row>
    <row r="2407" spans="1:31" x14ac:dyDescent="0.25">
      <c r="A2407" t="s">
        <v>11416</v>
      </c>
      <c r="B2407" t="s">
        <v>11417</v>
      </c>
      <c r="C2407" t="s">
        <v>11417</v>
      </c>
      <c r="D2407" t="s">
        <v>125</v>
      </c>
      <c r="E2407" t="s">
        <v>126</v>
      </c>
      <c r="F2407" t="s">
        <v>11418</v>
      </c>
      <c r="G2407" t="s">
        <v>125</v>
      </c>
      <c r="H2407" t="s">
        <v>1360</v>
      </c>
      <c r="I2407" t="s">
        <v>11419</v>
      </c>
      <c r="J2407" s="2">
        <v>361808</v>
      </c>
      <c r="K2407" s="2">
        <v>1600</v>
      </c>
      <c r="L2407" s="2">
        <v>15</v>
      </c>
      <c r="M2407" s="2">
        <v>0</v>
      </c>
      <c r="N2407" t="s">
        <v>1362</v>
      </c>
      <c r="O2407" t="s">
        <v>1360</v>
      </c>
      <c r="P2407" t="s">
        <v>1421</v>
      </c>
      <c r="Q2407" t="s">
        <v>1422</v>
      </c>
      <c r="S2407" t="s">
        <v>11420</v>
      </c>
      <c r="U2407" t="s">
        <v>45</v>
      </c>
      <c r="V2407" t="s">
        <v>46</v>
      </c>
      <c r="W2407" t="s">
        <v>1362</v>
      </c>
      <c r="X2407" t="s">
        <v>1360</v>
      </c>
      <c r="Y2407" t="s">
        <v>1215</v>
      </c>
      <c r="Z2407" t="s">
        <v>1216</v>
      </c>
      <c r="AA2407" t="s">
        <v>49</v>
      </c>
      <c r="AB2407" t="s">
        <v>50</v>
      </c>
      <c r="AC2407" s="2">
        <v>123909.72</v>
      </c>
      <c r="AD2407" t="s">
        <v>11421</v>
      </c>
      <c r="AE2407" t="s">
        <v>115</v>
      </c>
    </row>
    <row r="2408" spans="1:31" x14ac:dyDescent="0.25">
      <c r="A2408" t="s">
        <v>11422</v>
      </c>
      <c r="B2408" t="s">
        <v>11423</v>
      </c>
      <c r="C2408" t="s">
        <v>11423</v>
      </c>
      <c r="D2408" t="s">
        <v>847</v>
      </c>
      <c r="E2408" t="s">
        <v>848</v>
      </c>
      <c r="F2408" t="s">
        <v>11424</v>
      </c>
      <c r="G2408" t="s">
        <v>1504</v>
      </c>
      <c r="H2408" t="s">
        <v>1123</v>
      </c>
      <c r="I2408" t="s">
        <v>11425</v>
      </c>
      <c r="J2408" s="2">
        <v>436340</v>
      </c>
      <c r="K2408" s="2">
        <v>2000</v>
      </c>
      <c r="L2408" s="2">
        <v>15</v>
      </c>
      <c r="M2408" s="2">
        <v>0</v>
      </c>
      <c r="N2408" t="s">
        <v>1125</v>
      </c>
      <c r="O2408" t="s">
        <v>1123</v>
      </c>
      <c r="P2408" t="s">
        <v>158</v>
      </c>
      <c r="Q2408" t="s">
        <v>159</v>
      </c>
      <c r="S2408" t="s">
        <v>11426</v>
      </c>
      <c r="U2408" t="s">
        <v>45</v>
      </c>
      <c r="V2408" t="s">
        <v>46</v>
      </c>
      <c r="W2408" t="s">
        <v>1125</v>
      </c>
      <c r="X2408" t="s">
        <v>1123</v>
      </c>
      <c r="Y2408" t="s">
        <v>161</v>
      </c>
      <c r="Z2408" t="s">
        <v>162</v>
      </c>
      <c r="AA2408" t="s">
        <v>49</v>
      </c>
      <c r="AB2408" t="s">
        <v>50</v>
      </c>
      <c r="AC2408" s="2">
        <v>400804.51</v>
      </c>
      <c r="AD2408" t="s">
        <v>11427</v>
      </c>
    </row>
    <row r="2409" spans="1:31" x14ac:dyDescent="0.25">
      <c r="A2409" t="s">
        <v>11428</v>
      </c>
      <c r="B2409" t="s">
        <v>11429</v>
      </c>
      <c r="C2409" t="s">
        <v>11429</v>
      </c>
      <c r="D2409" t="s">
        <v>178</v>
      </c>
      <c r="E2409" t="s">
        <v>179</v>
      </c>
      <c r="F2409" t="s">
        <v>11430</v>
      </c>
      <c r="G2409" t="s">
        <v>485</v>
      </c>
      <c r="H2409" t="s">
        <v>714</v>
      </c>
      <c r="I2409" t="s">
        <v>5303</v>
      </c>
      <c r="J2409" s="2">
        <v>283621</v>
      </c>
      <c r="K2409" s="2">
        <v>1300</v>
      </c>
      <c r="L2409" s="2">
        <v>21</v>
      </c>
      <c r="M2409" s="2">
        <v>0</v>
      </c>
      <c r="N2409" t="s">
        <v>715</v>
      </c>
      <c r="O2409" t="s">
        <v>714</v>
      </c>
      <c r="P2409" t="s">
        <v>256</v>
      </c>
      <c r="Q2409" t="s">
        <v>255</v>
      </c>
      <c r="S2409" t="s">
        <v>11431</v>
      </c>
      <c r="U2409" t="s">
        <v>45</v>
      </c>
      <c r="V2409" t="s">
        <v>46</v>
      </c>
      <c r="W2409" t="s">
        <v>715</v>
      </c>
      <c r="X2409" t="s">
        <v>714</v>
      </c>
      <c r="Y2409" t="s">
        <v>137</v>
      </c>
      <c r="Z2409" t="s">
        <v>717</v>
      </c>
      <c r="AA2409" t="s">
        <v>49</v>
      </c>
      <c r="AB2409" t="s">
        <v>50</v>
      </c>
      <c r="AC2409" s="2">
        <v>231618.31</v>
      </c>
      <c r="AD2409" t="s">
        <v>11432</v>
      </c>
      <c r="AE2409" t="s">
        <v>115</v>
      </c>
    </row>
    <row r="2410" spans="1:31" x14ac:dyDescent="0.25">
      <c r="A2410" t="s">
        <v>11433</v>
      </c>
      <c r="B2410" t="s">
        <v>11434</v>
      </c>
      <c r="C2410" t="s">
        <v>11434</v>
      </c>
      <c r="D2410" t="s">
        <v>847</v>
      </c>
      <c r="E2410" t="s">
        <v>848</v>
      </c>
      <c r="F2410" t="s">
        <v>11435</v>
      </c>
      <c r="H2410" t="s">
        <v>41</v>
      </c>
      <c r="J2410" s="2">
        <v>10909</v>
      </c>
      <c r="K2410" s="2">
        <v>50</v>
      </c>
      <c r="L2410" s="2">
        <v>15</v>
      </c>
      <c r="M2410" s="2">
        <v>0</v>
      </c>
      <c r="N2410" t="s">
        <v>40</v>
      </c>
      <c r="O2410" t="s">
        <v>41</v>
      </c>
      <c r="P2410" t="s">
        <v>42</v>
      </c>
      <c r="Q2410" t="s">
        <v>43</v>
      </c>
      <c r="U2410" t="s">
        <v>45</v>
      </c>
      <c r="V2410" t="s">
        <v>46</v>
      </c>
      <c r="W2410" t="s">
        <v>40</v>
      </c>
      <c r="X2410" t="s">
        <v>41</v>
      </c>
      <c r="Y2410" t="s">
        <v>47</v>
      </c>
      <c r="Z2410" t="s">
        <v>48</v>
      </c>
      <c r="AA2410" t="s">
        <v>141</v>
      </c>
      <c r="AB2410" t="s">
        <v>50</v>
      </c>
      <c r="AC2410" s="2">
        <v>-8328.4599999999991</v>
      </c>
      <c r="AD2410" t="s">
        <v>11436</v>
      </c>
    </row>
    <row r="2411" spans="1:31" x14ac:dyDescent="0.25">
      <c r="A2411" t="s">
        <v>11437</v>
      </c>
      <c r="B2411" t="s">
        <v>11438</v>
      </c>
      <c r="C2411" t="s">
        <v>11438</v>
      </c>
      <c r="D2411" t="s">
        <v>553</v>
      </c>
      <c r="E2411" t="s">
        <v>167</v>
      </c>
      <c r="F2411" t="s">
        <v>11439</v>
      </c>
      <c r="H2411" t="s">
        <v>11440</v>
      </c>
      <c r="J2411" s="2">
        <v>218</v>
      </c>
      <c r="K2411" s="2">
        <v>1</v>
      </c>
      <c r="L2411" s="2">
        <v>1</v>
      </c>
      <c r="M2411" s="2">
        <v>0</v>
      </c>
      <c r="N2411" t="s">
        <v>7568</v>
      </c>
      <c r="O2411" t="s">
        <v>7569</v>
      </c>
      <c r="P2411" t="s">
        <v>256</v>
      </c>
      <c r="Q2411" t="s">
        <v>255</v>
      </c>
      <c r="S2411" t="s">
        <v>11441</v>
      </c>
      <c r="U2411" t="s">
        <v>45</v>
      </c>
      <c r="V2411" t="s">
        <v>46</v>
      </c>
      <c r="W2411" t="s">
        <v>7568</v>
      </c>
      <c r="X2411" t="s">
        <v>7569</v>
      </c>
      <c r="Y2411" t="s">
        <v>137</v>
      </c>
      <c r="Z2411" t="s">
        <v>717</v>
      </c>
      <c r="AA2411" t="s">
        <v>49</v>
      </c>
      <c r="AB2411" t="s">
        <v>50</v>
      </c>
      <c r="AC2411" s="2">
        <v>-147528.76999999999</v>
      </c>
      <c r="AD2411" t="s">
        <v>11442</v>
      </c>
      <c r="AE2411" t="s">
        <v>115</v>
      </c>
    </row>
    <row r="2412" spans="1:31" x14ac:dyDescent="0.25">
      <c r="A2412" t="s">
        <v>11443</v>
      </c>
      <c r="B2412" t="s">
        <v>11444</v>
      </c>
      <c r="C2412" t="s">
        <v>11444</v>
      </c>
      <c r="D2412" t="s">
        <v>297</v>
      </c>
      <c r="E2412" t="s">
        <v>167</v>
      </c>
      <c r="F2412" t="s">
        <v>11445</v>
      </c>
      <c r="G2412" t="s">
        <v>792</v>
      </c>
      <c r="H2412" t="s">
        <v>10147</v>
      </c>
      <c r="I2412" t="s">
        <v>11446</v>
      </c>
      <c r="J2412" s="2">
        <v>785412</v>
      </c>
      <c r="K2412" s="2">
        <v>3600</v>
      </c>
      <c r="L2412" s="2">
        <v>30</v>
      </c>
      <c r="M2412" s="2">
        <v>0</v>
      </c>
      <c r="N2412" t="s">
        <v>10149</v>
      </c>
      <c r="O2412" t="s">
        <v>10150</v>
      </c>
      <c r="P2412" t="s">
        <v>10093</v>
      </c>
      <c r="Q2412" t="s">
        <v>10094</v>
      </c>
      <c r="S2412" t="s">
        <v>11447</v>
      </c>
      <c r="U2412" t="s">
        <v>45</v>
      </c>
      <c r="V2412" t="s">
        <v>46</v>
      </c>
      <c r="W2412" t="s">
        <v>10149</v>
      </c>
      <c r="X2412" t="s">
        <v>10150</v>
      </c>
      <c r="Y2412" t="s">
        <v>7938</v>
      </c>
      <c r="Z2412" t="s">
        <v>7939</v>
      </c>
      <c r="AA2412" t="s">
        <v>49</v>
      </c>
      <c r="AB2412" t="s">
        <v>50</v>
      </c>
      <c r="AC2412" s="2">
        <v>273895.26</v>
      </c>
      <c r="AD2412" t="s">
        <v>11448</v>
      </c>
      <c r="AE2412" t="s">
        <v>115</v>
      </c>
    </row>
    <row r="2413" spans="1:31" x14ac:dyDescent="0.25">
      <c r="A2413" t="s">
        <v>11449</v>
      </c>
      <c r="B2413" t="s">
        <v>11450</v>
      </c>
      <c r="C2413" t="s">
        <v>11450</v>
      </c>
      <c r="D2413" t="s">
        <v>498</v>
      </c>
      <c r="E2413" t="s">
        <v>190</v>
      </c>
      <c r="F2413" t="s">
        <v>11451</v>
      </c>
      <c r="G2413" t="s">
        <v>792</v>
      </c>
      <c r="H2413" t="s">
        <v>10141</v>
      </c>
      <c r="I2413" t="s">
        <v>11452</v>
      </c>
      <c r="J2413" s="2">
        <v>493227</v>
      </c>
      <c r="K2413" s="2">
        <v>2100</v>
      </c>
      <c r="L2413" s="2">
        <v>30</v>
      </c>
      <c r="M2413" s="2">
        <v>0</v>
      </c>
      <c r="N2413" t="s">
        <v>7936</v>
      </c>
      <c r="O2413" t="s">
        <v>7935</v>
      </c>
      <c r="P2413" t="s">
        <v>10093</v>
      </c>
      <c r="Q2413" t="s">
        <v>10094</v>
      </c>
      <c r="S2413" t="s">
        <v>11453</v>
      </c>
      <c r="U2413" t="s">
        <v>45</v>
      </c>
      <c r="V2413" t="s">
        <v>46</v>
      </c>
      <c r="W2413" t="s">
        <v>7936</v>
      </c>
      <c r="X2413" t="s">
        <v>7935</v>
      </c>
      <c r="Y2413" t="s">
        <v>7938</v>
      </c>
      <c r="Z2413" t="s">
        <v>7939</v>
      </c>
      <c r="AA2413" t="s">
        <v>49</v>
      </c>
      <c r="AB2413" t="s">
        <v>50</v>
      </c>
      <c r="AC2413" s="2">
        <v>32898.339999999997</v>
      </c>
      <c r="AD2413" t="s">
        <v>11454</v>
      </c>
      <c r="AE2413" t="s">
        <v>52</v>
      </c>
    </row>
    <row r="2414" spans="1:31" x14ac:dyDescent="0.25">
      <c r="A2414" t="s">
        <v>11455</v>
      </c>
      <c r="B2414" t="s">
        <v>11456</v>
      </c>
      <c r="C2414" t="s">
        <v>11456</v>
      </c>
      <c r="D2414" t="s">
        <v>125</v>
      </c>
      <c r="E2414" t="s">
        <v>126</v>
      </c>
      <c r="F2414" t="s">
        <v>11457</v>
      </c>
      <c r="G2414" t="s">
        <v>478</v>
      </c>
      <c r="H2414" t="s">
        <v>5009</v>
      </c>
      <c r="I2414" t="s">
        <v>11458</v>
      </c>
      <c r="J2414" s="2">
        <v>236840</v>
      </c>
      <c r="K2414" s="2">
        <v>1000</v>
      </c>
      <c r="L2414" s="2">
        <v>30</v>
      </c>
      <c r="M2414" s="2">
        <v>0</v>
      </c>
      <c r="N2414" t="s">
        <v>11459</v>
      </c>
      <c r="O2414" t="s">
        <v>11440</v>
      </c>
      <c r="P2414" t="s">
        <v>2320</v>
      </c>
      <c r="Q2414" t="s">
        <v>2321</v>
      </c>
      <c r="S2414" t="s">
        <v>11460</v>
      </c>
      <c r="U2414" t="s">
        <v>45</v>
      </c>
      <c r="V2414" t="s">
        <v>46</v>
      </c>
      <c r="W2414" t="s">
        <v>11459</v>
      </c>
      <c r="X2414" t="s">
        <v>11440</v>
      </c>
      <c r="Y2414" t="s">
        <v>137</v>
      </c>
      <c r="Z2414" t="s">
        <v>717</v>
      </c>
      <c r="AA2414" t="s">
        <v>49</v>
      </c>
      <c r="AB2414" t="s">
        <v>50</v>
      </c>
      <c r="AC2414" s="2">
        <v>174921.66</v>
      </c>
      <c r="AD2414" t="s">
        <v>11461</v>
      </c>
    </row>
    <row r="2415" spans="1:31" hidden="1" x14ac:dyDescent="0.25">
      <c r="A2415" t="s">
        <v>11462</v>
      </c>
      <c r="B2415" t="s">
        <v>11463</v>
      </c>
      <c r="C2415" t="s">
        <v>11463</v>
      </c>
      <c r="F2415" t="s">
        <v>11464</v>
      </c>
      <c r="H2415" t="s">
        <v>1062</v>
      </c>
      <c r="J2415" s="2">
        <v>10909</v>
      </c>
      <c r="K2415" s="2">
        <v>50</v>
      </c>
      <c r="L2415" s="2">
        <v>1</v>
      </c>
      <c r="M2415" s="2">
        <v>0</v>
      </c>
      <c r="N2415" t="s">
        <v>1064</v>
      </c>
      <c r="O2415" t="s">
        <v>1062</v>
      </c>
      <c r="P2415" t="s">
        <v>304</v>
      </c>
      <c r="Q2415" t="s">
        <v>72</v>
      </c>
      <c r="S2415" t="s">
        <v>11465</v>
      </c>
      <c r="U2415" t="s">
        <v>45</v>
      </c>
      <c r="V2415" t="s">
        <v>46</v>
      </c>
      <c r="W2415" t="s">
        <v>1064</v>
      </c>
      <c r="X2415" t="s">
        <v>1062</v>
      </c>
      <c r="Y2415" t="s">
        <v>72</v>
      </c>
      <c r="Z2415" t="s">
        <v>68</v>
      </c>
      <c r="AA2415" t="s">
        <v>49</v>
      </c>
      <c r="AB2415" t="s">
        <v>50</v>
      </c>
      <c r="AC2415" s="2">
        <v>10909</v>
      </c>
      <c r="AD2415" t="s">
        <v>64</v>
      </c>
    </row>
    <row r="2416" spans="1:31" x14ac:dyDescent="0.25">
      <c r="A2416" t="s">
        <v>11466</v>
      </c>
      <c r="B2416" t="s">
        <v>11467</v>
      </c>
      <c r="C2416" t="s">
        <v>11467</v>
      </c>
      <c r="D2416" t="s">
        <v>125</v>
      </c>
      <c r="E2416" t="s">
        <v>126</v>
      </c>
      <c r="F2416" t="s">
        <v>11468</v>
      </c>
      <c r="G2416" t="s">
        <v>847</v>
      </c>
      <c r="H2416" t="s">
        <v>7938</v>
      </c>
      <c r="I2416" t="s">
        <v>11469</v>
      </c>
      <c r="J2416" s="2">
        <v>218170</v>
      </c>
      <c r="K2416" s="2">
        <v>1000</v>
      </c>
      <c r="L2416" s="2">
        <v>30</v>
      </c>
      <c r="M2416" s="2">
        <v>0</v>
      </c>
      <c r="N2416" t="s">
        <v>10127</v>
      </c>
      <c r="O2416" t="s">
        <v>10128</v>
      </c>
      <c r="P2416" t="s">
        <v>10093</v>
      </c>
      <c r="Q2416" t="s">
        <v>10094</v>
      </c>
      <c r="S2416" t="s">
        <v>11470</v>
      </c>
      <c r="U2416" t="s">
        <v>45</v>
      </c>
      <c r="V2416" t="s">
        <v>46</v>
      </c>
      <c r="W2416" t="s">
        <v>10127</v>
      </c>
      <c r="X2416" t="s">
        <v>10130</v>
      </c>
      <c r="Y2416" t="s">
        <v>7938</v>
      </c>
      <c r="Z2416" t="s">
        <v>7939</v>
      </c>
      <c r="AA2416" t="s">
        <v>49</v>
      </c>
      <c r="AB2416" t="s">
        <v>50</v>
      </c>
      <c r="AC2416" s="2">
        <v>176890.84</v>
      </c>
      <c r="AD2416" t="s">
        <v>11471</v>
      </c>
      <c r="AE2416" t="s">
        <v>52</v>
      </c>
    </row>
    <row r="2417" spans="1:31" hidden="1" x14ac:dyDescent="0.25">
      <c r="A2417" t="s">
        <v>11472</v>
      </c>
      <c r="B2417" t="s">
        <v>11473</v>
      </c>
      <c r="C2417" t="s">
        <v>11473</v>
      </c>
      <c r="D2417" t="s">
        <v>11474</v>
      </c>
      <c r="E2417" t="s">
        <v>9999</v>
      </c>
      <c r="F2417" t="s">
        <v>5356</v>
      </c>
      <c r="J2417" s="2">
        <v>1000</v>
      </c>
      <c r="K2417" s="2">
        <v>0</v>
      </c>
      <c r="L2417" s="2">
        <v>1</v>
      </c>
      <c r="M2417" s="2">
        <v>0</v>
      </c>
      <c r="N2417" t="s">
        <v>664</v>
      </c>
      <c r="O2417" t="s">
        <v>665</v>
      </c>
      <c r="P2417" t="s">
        <v>103</v>
      </c>
      <c r="Q2417" t="s">
        <v>104</v>
      </c>
      <c r="U2417" t="s">
        <v>45</v>
      </c>
      <c r="V2417" t="s">
        <v>46</v>
      </c>
      <c r="W2417" t="s">
        <v>664</v>
      </c>
      <c r="X2417" t="s">
        <v>665</v>
      </c>
      <c r="Y2417" t="s">
        <v>106</v>
      </c>
      <c r="Z2417" t="s">
        <v>107</v>
      </c>
      <c r="AA2417" t="s">
        <v>49</v>
      </c>
      <c r="AB2417" t="s">
        <v>50</v>
      </c>
      <c r="AC2417" s="2">
        <v>1000</v>
      </c>
      <c r="AD2417" t="s">
        <v>64</v>
      </c>
    </row>
    <row r="2418" spans="1:31" x14ac:dyDescent="0.25">
      <c r="A2418" t="s">
        <v>11475</v>
      </c>
      <c r="B2418" t="s">
        <v>11476</v>
      </c>
      <c r="C2418" t="s">
        <v>11476</v>
      </c>
      <c r="D2418" t="s">
        <v>2288</v>
      </c>
      <c r="E2418" t="s">
        <v>134</v>
      </c>
      <c r="F2418" t="s">
        <v>5356</v>
      </c>
      <c r="H2418" t="s">
        <v>2218</v>
      </c>
      <c r="I2418" t="s">
        <v>11477</v>
      </c>
      <c r="J2418" s="2">
        <v>43634</v>
      </c>
      <c r="K2418" s="2">
        <v>200</v>
      </c>
      <c r="L2418" s="2">
        <v>15</v>
      </c>
      <c r="M2418" s="2">
        <v>0</v>
      </c>
      <c r="N2418" t="s">
        <v>664</v>
      </c>
      <c r="O2418" t="s">
        <v>665</v>
      </c>
      <c r="P2418" t="s">
        <v>103</v>
      </c>
      <c r="Q2418" t="s">
        <v>104</v>
      </c>
      <c r="S2418" t="s">
        <v>11478</v>
      </c>
      <c r="U2418" t="s">
        <v>45</v>
      </c>
      <c r="V2418" t="s">
        <v>46</v>
      </c>
      <c r="W2418" t="s">
        <v>664</v>
      </c>
      <c r="X2418" t="s">
        <v>665</v>
      </c>
      <c r="Y2418" t="s">
        <v>106</v>
      </c>
      <c r="Z2418" t="s">
        <v>107</v>
      </c>
      <c r="AA2418" t="s">
        <v>49</v>
      </c>
      <c r="AB2418" t="s">
        <v>50</v>
      </c>
      <c r="AC2418" s="2">
        <v>43634</v>
      </c>
      <c r="AD2418" t="s">
        <v>64</v>
      </c>
    </row>
    <row r="2419" spans="1:31" x14ac:dyDescent="0.25">
      <c r="A2419" t="s">
        <v>11479</v>
      </c>
      <c r="B2419" t="s">
        <v>11480</v>
      </c>
      <c r="C2419" t="s">
        <v>11480</v>
      </c>
      <c r="D2419" t="s">
        <v>125</v>
      </c>
      <c r="E2419" t="s">
        <v>126</v>
      </c>
      <c r="F2419" t="s">
        <v>11481</v>
      </c>
      <c r="G2419" t="s">
        <v>297</v>
      </c>
      <c r="H2419" t="s">
        <v>2463</v>
      </c>
      <c r="I2419" t="s">
        <v>9045</v>
      </c>
      <c r="J2419" s="2">
        <v>436340</v>
      </c>
      <c r="K2419" s="2">
        <v>2000</v>
      </c>
      <c r="L2419" s="2">
        <v>21</v>
      </c>
      <c r="M2419" s="2">
        <v>0</v>
      </c>
      <c r="N2419" t="s">
        <v>2462</v>
      </c>
      <c r="O2419" t="s">
        <v>2463</v>
      </c>
      <c r="P2419" t="s">
        <v>2320</v>
      </c>
      <c r="Q2419" t="s">
        <v>2321</v>
      </c>
      <c r="S2419" t="s">
        <v>11482</v>
      </c>
      <c r="U2419" t="s">
        <v>45</v>
      </c>
      <c r="V2419" t="s">
        <v>46</v>
      </c>
      <c r="W2419" t="s">
        <v>2462</v>
      </c>
      <c r="X2419" t="s">
        <v>2463</v>
      </c>
      <c r="Y2419" t="s">
        <v>2157</v>
      </c>
      <c r="Z2419" t="s">
        <v>48</v>
      </c>
      <c r="AA2419" t="s">
        <v>49</v>
      </c>
      <c r="AB2419" t="s">
        <v>50</v>
      </c>
      <c r="AC2419" s="2">
        <v>152516.18</v>
      </c>
      <c r="AD2419" t="s">
        <v>11483</v>
      </c>
      <c r="AE2419" t="s">
        <v>115</v>
      </c>
    </row>
    <row r="2420" spans="1:31" x14ac:dyDescent="0.25">
      <c r="A2420" t="s">
        <v>11484</v>
      </c>
      <c r="B2420" t="s">
        <v>11485</v>
      </c>
      <c r="C2420" t="s">
        <v>11485</v>
      </c>
      <c r="D2420" t="s">
        <v>1865</v>
      </c>
      <c r="E2420" t="s">
        <v>224</v>
      </c>
      <c r="F2420" t="s">
        <v>11486</v>
      </c>
      <c r="G2420" t="s">
        <v>1752</v>
      </c>
      <c r="H2420" t="s">
        <v>5739</v>
      </c>
      <c r="I2420" t="s">
        <v>11487</v>
      </c>
      <c r="J2420" s="2">
        <v>109085</v>
      </c>
      <c r="K2420" s="2">
        <v>500</v>
      </c>
      <c r="L2420" s="2">
        <v>30</v>
      </c>
      <c r="M2420" s="2">
        <v>0</v>
      </c>
      <c r="N2420" t="s">
        <v>5741</v>
      </c>
      <c r="O2420" t="s">
        <v>5739</v>
      </c>
      <c r="P2420" t="s">
        <v>5966</v>
      </c>
      <c r="Q2420" t="s">
        <v>5739</v>
      </c>
      <c r="S2420" t="s">
        <v>11488</v>
      </c>
      <c r="U2420" t="s">
        <v>45</v>
      </c>
      <c r="V2420" t="s">
        <v>46</v>
      </c>
      <c r="W2420" t="s">
        <v>5741</v>
      </c>
      <c r="X2420" t="s">
        <v>5739</v>
      </c>
      <c r="Y2420" t="s">
        <v>5743</v>
      </c>
      <c r="Z2420" t="s">
        <v>5744</v>
      </c>
      <c r="AA2420" t="s">
        <v>49</v>
      </c>
      <c r="AB2420" t="s">
        <v>50</v>
      </c>
      <c r="AC2420" s="2">
        <v>53681.78</v>
      </c>
      <c r="AD2420" t="s">
        <v>11489</v>
      </c>
    </row>
    <row r="2421" spans="1:31" x14ac:dyDescent="0.25">
      <c r="A2421" t="s">
        <v>11490</v>
      </c>
      <c r="B2421" t="s">
        <v>11491</v>
      </c>
      <c r="C2421" t="s">
        <v>11491</v>
      </c>
      <c r="D2421" t="s">
        <v>125</v>
      </c>
      <c r="E2421" t="s">
        <v>126</v>
      </c>
      <c r="F2421" t="s">
        <v>11492</v>
      </c>
      <c r="G2421" t="s">
        <v>125</v>
      </c>
      <c r="H2421" t="s">
        <v>41</v>
      </c>
      <c r="I2421" t="s">
        <v>11493</v>
      </c>
      <c r="J2421" s="2">
        <v>218170</v>
      </c>
      <c r="K2421" s="2">
        <v>1000</v>
      </c>
      <c r="L2421" s="2">
        <v>15</v>
      </c>
      <c r="M2421" s="2">
        <v>0</v>
      </c>
      <c r="N2421" t="s">
        <v>40</v>
      </c>
      <c r="O2421" t="s">
        <v>41</v>
      </c>
      <c r="P2421" t="s">
        <v>61</v>
      </c>
      <c r="Q2421" t="s">
        <v>62</v>
      </c>
      <c r="S2421" t="s">
        <v>11494</v>
      </c>
      <c r="U2421" t="s">
        <v>45</v>
      </c>
      <c r="V2421" t="s">
        <v>46</v>
      </c>
      <c r="W2421" t="s">
        <v>40</v>
      </c>
      <c r="X2421" t="s">
        <v>41</v>
      </c>
      <c r="Y2421" t="s">
        <v>47</v>
      </c>
      <c r="Z2421" t="s">
        <v>48</v>
      </c>
      <c r="AA2421" t="s">
        <v>49</v>
      </c>
      <c r="AB2421" t="s">
        <v>50</v>
      </c>
      <c r="AC2421" s="2">
        <v>171098.14</v>
      </c>
      <c r="AD2421" t="s">
        <v>11495</v>
      </c>
      <c r="AE2421" t="s">
        <v>52</v>
      </c>
    </row>
    <row r="2422" spans="1:31" x14ac:dyDescent="0.25">
      <c r="A2422" t="s">
        <v>11496</v>
      </c>
      <c r="B2422" t="s">
        <v>11497</v>
      </c>
      <c r="C2422" t="s">
        <v>11497</v>
      </c>
      <c r="D2422" t="s">
        <v>577</v>
      </c>
      <c r="E2422" t="s">
        <v>134</v>
      </c>
      <c r="F2422" t="s">
        <v>11498</v>
      </c>
      <c r="I2422" t="s">
        <v>11499</v>
      </c>
      <c r="J2422" s="2">
        <v>21817</v>
      </c>
      <c r="K2422" s="2">
        <v>100</v>
      </c>
      <c r="L2422" s="2">
        <v>15</v>
      </c>
      <c r="M2422" s="2">
        <v>0</v>
      </c>
      <c r="N2422" t="s">
        <v>40</v>
      </c>
      <c r="O2422" t="s">
        <v>41</v>
      </c>
      <c r="P2422" t="s">
        <v>42</v>
      </c>
      <c r="Q2422" t="s">
        <v>43</v>
      </c>
      <c r="S2422" t="s">
        <v>11500</v>
      </c>
      <c r="U2422" t="s">
        <v>45</v>
      </c>
      <c r="V2422" t="s">
        <v>46</v>
      </c>
      <c r="W2422" t="s">
        <v>40</v>
      </c>
      <c r="X2422" t="s">
        <v>41</v>
      </c>
      <c r="Y2422" t="s">
        <v>47</v>
      </c>
      <c r="Z2422" t="s">
        <v>48</v>
      </c>
      <c r="AA2422" t="s">
        <v>141</v>
      </c>
      <c r="AB2422" t="s">
        <v>50</v>
      </c>
      <c r="AC2422" s="2">
        <v>21817</v>
      </c>
      <c r="AD2422" t="s">
        <v>64</v>
      </c>
    </row>
    <row r="2423" spans="1:31" x14ac:dyDescent="0.25">
      <c r="A2423" t="s">
        <v>11501</v>
      </c>
      <c r="B2423" t="s">
        <v>11502</v>
      </c>
      <c r="C2423" t="s">
        <v>11502</v>
      </c>
      <c r="D2423" t="s">
        <v>817</v>
      </c>
      <c r="E2423" t="s">
        <v>224</v>
      </c>
      <c r="F2423" t="s">
        <v>11503</v>
      </c>
      <c r="G2423" t="s">
        <v>817</v>
      </c>
      <c r="H2423" t="s">
        <v>90</v>
      </c>
      <c r="J2423" s="2">
        <v>21817</v>
      </c>
      <c r="K2423" s="2">
        <v>100</v>
      </c>
      <c r="L2423" s="2">
        <v>1</v>
      </c>
      <c r="M2423" s="2">
        <v>0</v>
      </c>
      <c r="N2423" t="s">
        <v>89</v>
      </c>
      <c r="O2423" t="s">
        <v>90</v>
      </c>
      <c r="P2423" t="s">
        <v>91</v>
      </c>
      <c r="Q2423" t="s">
        <v>92</v>
      </c>
      <c r="S2423" t="s">
        <v>11504</v>
      </c>
      <c r="U2423" t="s">
        <v>45</v>
      </c>
      <c r="V2423" t="s">
        <v>46</v>
      </c>
      <c r="W2423" t="s">
        <v>89</v>
      </c>
      <c r="X2423" t="s">
        <v>90</v>
      </c>
      <c r="Y2423" t="s">
        <v>92</v>
      </c>
      <c r="Z2423" t="s">
        <v>94</v>
      </c>
      <c r="AA2423" t="s">
        <v>49</v>
      </c>
      <c r="AB2423" t="s">
        <v>50</v>
      </c>
      <c r="AC2423" s="2">
        <v>21817</v>
      </c>
      <c r="AD2423" t="s">
        <v>64</v>
      </c>
    </row>
    <row r="2424" spans="1:31" x14ac:dyDescent="0.25">
      <c r="A2424" t="s">
        <v>11505</v>
      </c>
      <c r="B2424" t="s">
        <v>11506</v>
      </c>
      <c r="C2424" t="s">
        <v>11506</v>
      </c>
      <c r="D2424" t="s">
        <v>847</v>
      </c>
      <c r="E2424" t="s">
        <v>848</v>
      </c>
      <c r="F2424" t="s">
        <v>11507</v>
      </c>
      <c r="G2424" t="s">
        <v>847</v>
      </c>
      <c r="H2424" t="s">
        <v>6113</v>
      </c>
      <c r="I2424" t="s">
        <v>11508</v>
      </c>
      <c r="J2424" s="2">
        <v>109085</v>
      </c>
      <c r="K2424" s="2">
        <v>500</v>
      </c>
      <c r="L2424" s="2">
        <v>15</v>
      </c>
      <c r="M2424" s="2">
        <v>0</v>
      </c>
      <c r="N2424" t="s">
        <v>5741</v>
      </c>
      <c r="O2424" t="s">
        <v>5739</v>
      </c>
      <c r="P2424" t="s">
        <v>6143</v>
      </c>
      <c r="Q2424" t="s">
        <v>6144</v>
      </c>
      <c r="S2424" t="s">
        <v>11509</v>
      </c>
      <c r="U2424" t="s">
        <v>45</v>
      </c>
      <c r="V2424" t="s">
        <v>46</v>
      </c>
      <c r="W2424" t="s">
        <v>5741</v>
      </c>
      <c r="X2424" t="s">
        <v>5739</v>
      </c>
      <c r="Y2424" t="s">
        <v>5743</v>
      </c>
      <c r="Z2424" t="s">
        <v>5744</v>
      </c>
      <c r="AA2424" t="s">
        <v>49</v>
      </c>
      <c r="AB2424" t="s">
        <v>50</v>
      </c>
      <c r="AC2424" s="2">
        <v>96292.35</v>
      </c>
      <c r="AD2424" t="s">
        <v>11510</v>
      </c>
      <c r="AE2424" t="s">
        <v>52</v>
      </c>
    </row>
    <row r="2425" spans="1:31" hidden="1" x14ac:dyDescent="0.25">
      <c r="A2425" t="s">
        <v>11511</v>
      </c>
      <c r="B2425" t="s">
        <v>11512</v>
      </c>
      <c r="C2425" t="s">
        <v>11512</v>
      </c>
      <c r="F2425" t="s">
        <v>11513</v>
      </c>
      <c r="H2425" t="s">
        <v>11514</v>
      </c>
      <c r="J2425" s="2">
        <v>1000</v>
      </c>
      <c r="K2425" s="2">
        <v>0</v>
      </c>
      <c r="L2425" s="2">
        <v>1</v>
      </c>
      <c r="M2425" s="2">
        <v>0</v>
      </c>
      <c r="N2425" t="s">
        <v>40</v>
      </c>
      <c r="O2425" t="s">
        <v>41</v>
      </c>
      <c r="P2425" t="s">
        <v>42</v>
      </c>
      <c r="Q2425" t="s">
        <v>43</v>
      </c>
      <c r="S2425" t="s">
        <v>11515</v>
      </c>
      <c r="U2425" t="s">
        <v>45</v>
      </c>
      <c r="V2425" t="s">
        <v>46</v>
      </c>
      <c r="W2425" t="s">
        <v>40</v>
      </c>
      <c r="X2425" t="s">
        <v>41</v>
      </c>
      <c r="Y2425" t="s">
        <v>47</v>
      </c>
      <c r="Z2425" t="s">
        <v>48</v>
      </c>
      <c r="AA2425" t="s">
        <v>49</v>
      </c>
      <c r="AB2425" t="s">
        <v>50</v>
      </c>
      <c r="AC2425" s="2">
        <v>1000</v>
      </c>
      <c r="AD2425" t="s">
        <v>64</v>
      </c>
    </row>
    <row r="2426" spans="1:31" hidden="1" x14ac:dyDescent="0.25">
      <c r="A2426" t="s">
        <v>11516</v>
      </c>
      <c r="B2426" t="s">
        <v>11517</v>
      </c>
      <c r="C2426" t="s">
        <v>11517</v>
      </c>
      <c r="F2426" t="s">
        <v>11518</v>
      </c>
      <c r="H2426" t="s">
        <v>1062</v>
      </c>
      <c r="I2426" t="s">
        <v>11519</v>
      </c>
      <c r="J2426" s="2">
        <v>1000</v>
      </c>
      <c r="K2426" s="2">
        <v>0</v>
      </c>
      <c r="L2426" s="2">
        <v>21</v>
      </c>
      <c r="M2426" s="2">
        <v>0</v>
      </c>
      <c r="N2426" t="s">
        <v>1064</v>
      </c>
      <c r="O2426" t="s">
        <v>1062</v>
      </c>
      <c r="P2426" t="s">
        <v>304</v>
      </c>
      <c r="Q2426" t="s">
        <v>72</v>
      </c>
      <c r="S2426" t="s">
        <v>11520</v>
      </c>
      <c r="U2426" t="s">
        <v>45</v>
      </c>
      <c r="V2426" t="s">
        <v>46</v>
      </c>
      <c r="W2426" t="s">
        <v>1064</v>
      </c>
      <c r="X2426" t="s">
        <v>1062</v>
      </c>
      <c r="Y2426" t="s">
        <v>72</v>
      </c>
      <c r="Z2426" t="s">
        <v>68</v>
      </c>
      <c r="AA2426" t="s">
        <v>49</v>
      </c>
      <c r="AB2426" t="s">
        <v>50</v>
      </c>
      <c r="AC2426" s="2">
        <v>1000</v>
      </c>
      <c r="AD2426" t="s">
        <v>64</v>
      </c>
    </row>
    <row r="2427" spans="1:31" x14ac:dyDescent="0.25">
      <c r="A2427" t="s">
        <v>11521</v>
      </c>
      <c r="B2427" t="s">
        <v>11522</v>
      </c>
      <c r="C2427" t="s">
        <v>11522</v>
      </c>
      <c r="D2427" t="s">
        <v>553</v>
      </c>
      <c r="E2427" t="s">
        <v>167</v>
      </c>
      <c r="F2427" t="s">
        <v>11523</v>
      </c>
      <c r="G2427" t="s">
        <v>649</v>
      </c>
      <c r="H2427" t="s">
        <v>10141</v>
      </c>
      <c r="I2427" t="s">
        <v>11524</v>
      </c>
      <c r="J2427" s="2">
        <v>218170</v>
      </c>
      <c r="K2427" s="2">
        <v>1000</v>
      </c>
      <c r="L2427" s="2">
        <v>30</v>
      </c>
      <c r="M2427" s="2">
        <v>0</v>
      </c>
      <c r="N2427" t="s">
        <v>7936</v>
      </c>
      <c r="O2427" t="s">
        <v>7935</v>
      </c>
      <c r="P2427" t="s">
        <v>10093</v>
      </c>
      <c r="Q2427" t="s">
        <v>10094</v>
      </c>
      <c r="S2427" t="s">
        <v>11525</v>
      </c>
      <c r="U2427" t="s">
        <v>45</v>
      </c>
      <c r="V2427" t="s">
        <v>46</v>
      </c>
      <c r="W2427" t="s">
        <v>7936</v>
      </c>
      <c r="X2427" t="s">
        <v>7935</v>
      </c>
      <c r="Y2427" t="s">
        <v>7938</v>
      </c>
      <c r="Z2427" t="s">
        <v>7939</v>
      </c>
      <c r="AA2427" t="s">
        <v>49</v>
      </c>
      <c r="AB2427" t="s">
        <v>50</v>
      </c>
      <c r="AC2427" s="2">
        <v>149849.63</v>
      </c>
      <c r="AD2427" t="s">
        <v>11526</v>
      </c>
      <c r="AE2427" t="s">
        <v>52</v>
      </c>
    </row>
    <row r="2428" spans="1:31" hidden="1" x14ac:dyDescent="0.25">
      <c r="A2428" t="s">
        <v>11527</v>
      </c>
      <c r="B2428" t="s">
        <v>11528</v>
      </c>
      <c r="C2428" t="s">
        <v>11528</v>
      </c>
      <c r="F2428" t="s">
        <v>11523</v>
      </c>
      <c r="H2428" t="s">
        <v>10141</v>
      </c>
      <c r="J2428" s="2">
        <v>1000</v>
      </c>
      <c r="K2428" s="2">
        <v>0</v>
      </c>
      <c r="L2428" s="2">
        <v>1</v>
      </c>
      <c r="M2428" s="2">
        <v>0</v>
      </c>
      <c r="N2428" t="s">
        <v>7936</v>
      </c>
      <c r="O2428" t="s">
        <v>7935</v>
      </c>
      <c r="P2428" t="s">
        <v>10093</v>
      </c>
      <c r="Q2428" t="s">
        <v>10094</v>
      </c>
      <c r="S2428" t="s">
        <v>11525</v>
      </c>
      <c r="U2428" t="s">
        <v>45</v>
      </c>
      <c r="V2428" t="s">
        <v>46</v>
      </c>
      <c r="W2428" t="s">
        <v>7936</v>
      </c>
      <c r="X2428" t="s">
        <v>7935</v>
      </c>
      <c r="Y2428" t="s">
        <v>7938</v>
      </c>
      <c r="Z2428" t="s">
        <v>7939</v>
      </c>
      <c r="AA2428" t="s">
        <v>49</v>
      </c>
      <c r="AB2428" t="s">
        <v>50</v>
      </c>
      <c r="AC2428" s="2">
        <v>1000</v>
      </c>
      <c r="AD2428" t="s">
        <v>64</v>
      </c>
    </row>
    <row r="2429" spans="1:31" x14ac:dyDescent="0.25">
      <c r="A2429" t="s">
        <v>11529</v>
      </c>
      <c r="B2429" t="s">
        <v>11530</v>
      </c>
      <c r="C2429" t="s">
        <v>11530</v>
      </c>
      <c r="D2429" t="s">
        <v>297</v>
      </c>
      <c r="E2429" t="s">
        <v>167</v>
      </c>
      <c r="F2429" t="s">
        <v>11523</v>
      </c>
      <c r="G2429" t="s">
        <v>297</v>
      </c>
      <c r="H2429" t="s">
        <v>10141</v>
      </c>
      <c r="I2429" t="s">
        <v>11524</v>
      </c>
      <c r="J2429" s="2">
        <v>218170</v>
      </c>
      <c r="K2429" s="2">
        <v>1000</v>
      </c>
      <c r="L2429" s="2">
        <v>30</v>
      </c>
      <c r="M2429" s="2">
        <v>0</v>
      </c>
      <c r="N2429" t="s">
        <v>7936</v>
      </c>
      <c r="O2429" t="s">
        <v>7935</v>
      </c>
      <c r="P2429" t="s">
        <v>10093</v>
      </c>
      <c r="Q2429" t="s">
        <v>10094</v>
      </c>
      <c r="S2429" t="s">
        <v>11525</v>
      </c>
      <c r="U2429" t="s">
        <v>45</v>
      </c>
      <c r="V2429" t="s">
        <v>46</v>
      </c>
      <c r="W2429" t="s">
        <v>7936</v>
      </c>
      <c r="X2429" t="s">
        <v>7935</v>
      </c>
      <c r="Y2429" t="s">
        <v>7938</v>
      </c>
      <c r="Z2429" t="s">
        <v>7939</v>
      </c>
      <c r="AA2429" t="s">
        <v>49</v>
      </c>
      <c r="AB2429" t="s">
        <v>50</v>
      </c>
      <c r="AC2429" s="2">
        <v>97222.84</v>
      </c>
      <c r="AD2429" t="s">
        <v>11531</v>
      </c>
      <c r="AE2429" t="s">
        <v>52</v>
      </c>
    </row>
    <row r="2430" spans="1:31" hidden="1" x14ac:dyDescent="0.25">
      <c r="I2430" t="s">
        <v>11016</v>
      </c>
      <c r="J2430" s="2">
        <v>218170</v>
      </c>
      <c r="K2430" s="2">
        <v>1000</v>
      </c>
      <c r="L2430" s="2">
        <v>15</v>
      </c>
      <c r="M2430" s="2">
        <v>0</v>
      </c>
      <c r="S2430" t="s">
        <v>11532</v>
      </c>
      <c r="U2430" t="s">
        <v>45</v>
      </c>
      <c r="V2430" t="s">
        <v>46</v>
      </c>
      <c r="W2430" t="s">
        <v>80</v>
      </c>
      <c r="X2430" t="s">
        <v>81</v>
      </c>
      <c r="Y2430" t="s">
        <v>85</v>
      </c>
      <c r="Z2430" t="s">
        <v>86</v>
      </c>
      <c r="AA2430" t="s">
        <v>49</v>
      </c>
      <c r="AC2430" s="2"/>
    </row>
    <row r="2431" spans="1:31" x14ac:dyDescent="0.25">
      <c r="A2431" t="s">
        <v>11533</v>
      </c>
      <c r="B2431" t="s">
        <v>11534</v>
      </c>
      <c r="C2431" t="s">
        <v>11534</v>
      </c>
      <c r="D2431" t="s">
        <v>621</v>
      </c>
      <c r="E2431" t="s">
        <v>77</v>
      </c>
      <c r="F2431" t="s">
        <v>11535</v>
      </c>
      <c r="H2431" t="s">
        <v>2463</v>
      </c>
      <c r="J2431" s="2">
        <v>109085</v>
      </c>
      <c r="K2431" s="2">
        <v>500</v>
      </c>
      <c r="L2431" s="2">
        <v>21</v>
      </c>
      <c r="M2431" s="2">
        <v>0</v>
      </c>
      <c r="N2431" t="s">
        <v>2462</v>
      </c>
      <c r="O2431" t="s">
        <v>2463</v>
      </c>
      <c r="P2431" t="s">
        <v>2320</v>
      </c>
      <c r="Q2431" t="s">
        <v>2321</v>
      </c>
      <c r="S2431" t="s">
        <v>11536</v>
      </c>
      <c r="U2431" t="s">
        <v>45</v>
      </c>
      <c r="V2431" t="s">
        <v>46</v>
      </c>
      <c r="W2431" t="s">
        <v>2462</v>
      </c>
      <c r="X2431" t="s">
        <v>2463</v>
      </c>
      <c r="Y2431" t="s">
        <v>2157</v>
      </c>
      <c r="Z2431" t="s">
        <v>48</v>
      </c>
      <c r="AA2431" t="s">
        <v>49</v>
      </c>
      <c r="AB2431" t="s">
        <v>50</v>
      </c>
      <c r="AC2431" s="2">
        <v>109085</v>
      </c>
      <c r="AD2431" t="s">
        <v>64</v>
      </c>
    </row>
    <row r="2432" spans="1:31" hidden="1" x14ac:dyDescent="0.25">
      <c r="A2432" t="s">
        <v>11537</v>
      </c>
      <c r="B2432" t="s">
        <v>11538</v>
      </c>
      <c r="C2432" t="s">
        <v>11538</v>
      </c>
      <c r="F2432" t="s">
        <v>11539</v>
      </c>
      <c r="H2432" t="s">
        <v>11540</v>
      </c>
      <c r="J2432" s="2">
        <v>1000</v>
      </c>
      <c r="K2432" s="2">
        <v>0</v>
      </c>
      <c r="L2432" s="2">
        <v>1</v>
      </c>
      <c r="M2432" s="2">
        <v>0</v>
      </c>
      <c r="N2432" t="s">
        <v>4412</v>
      </c>
      <c r="O2432" t="s">
        <v>4413</v>
      </c>
      <c r="P2432" t="s">
        <v>2320</v>
      </c>
      <c r="Q2432" t="s">
        <v>2321</v>
      </c>
      <c r="U2432" t="s">
        <v>45</v>
      </c>
      <c r="V2432" t="s">
        <v>46</v>
      </c>
      <c r="W2432" t="s">
        <v>4412</v>
      </c>
      <c r="X2432" t="s">
        <v>4413</v>
      </c>
      <c r="Y2432" t="s">
        <v>92</v>
      </c>
      <c r="Z2432" t="s">
        <v>94</v>
      </c>
      <c r="AA2432" t="s">
        <v>49</v>
      </c>
      <c r="AB2432" t="s">
        <v>50</v>
      </c>
      <c r="AC2432" s="2">
        <v>1000</v>
      </c>
      <c r="AD2432" t="s">
        <v>64</v>
      </c>
    </row>
    <row r="2433" spans="1:31" hidden="1" x14ac:dyDescent="0.25">
      <c r="A2433" t="s">
        <v>11541</v>
      </c>
      <c r="B2433" t="s">
        <v>11542</v>
      </c>
      <c r="C2433" t="s">
        <v>11542</v>
      </c>
      <c r="F2433" t="s">
        <v>11539</v>
      </c>
      <c r="H2433" t="s">
        <v>4413</v>
      </c>
      <c r="J2433" s="2">
        <v>1000</v>
      </c>
      <c r="K2433" s="2">
        <v>0</v>
      </c>
      <c r="L2433" s="2">
        <v>30</v>
      </c>
      <c r="M2433" s="2">
        <v>0</v>
      </c>
      <c r="N2433" t="s">
        <v>4412</v>
      </c>
      <c r="O2433" t="s">
        <v>4413</v>
      </c>
      <c r="P2433" t="s">
        <v>2320</v>
      </c>
      <c r="Q2433" t="s">
        <v>2321</v>
      </c>
      <c r="S2433" t="s">
        <v>11543</v>
      </c>
      <c r="U2433" t="s">
        <v>45</v>
      </c>
      <c r="V2433" t="s">
        <v>46</v>
      </c>
      <c r="W2433" t="s">
        <v>4412</v>
      </c>
      <c r="X2433" t="s">
        <v>4413</v>
      </c>
      <c r="Y2433" t="s">
        <v>92</v>
      </c>
      <c r="Z2433" t="s">
        <v>94</v>
      </c>
      <c r="AA2433" t="s">
        <v>49</v>
      </c>
      <c r="AB2433" t="s">
        <v>50</v>
      </c>
      <c r="AC2433" s="2">
        <v>1000</v>
      </c>
      <c r="AD2433" t="s">
        <v>64</v>
      </c>
    </row>
    <row r="2434" spans="1:31" hidden="1" x14ac:dyDescent="0.25">
      <c r="A2434" t="s">
        <v>11544</v>
      </c>
      <c r="B2434" t="s">
        <v>11545</v>
      </c>
      <c r="C2434" t="s">
        <v>11545</v>
      </c>
      <c r="F2434" t="s">
        <v>11539</v>
      </c>
      <c r="H2434" t="s">
        <v>5188</v>
      </c>
      <c r="J2434" s="2">
        <v>1000</v>
      </c>
      <c r="K2434" s="2">
        <v>0</v>
      </c>
      <c r="L2434" s="2">
        <v>30</v>
      </c>
      <c r="M2434" s="2">
        <v>0</v>
      </c>
      <c r="N2434" t="s">
        <v>5190</v>
      </c>
      <c r="O2434" t="s">
        <v>5188</v>
      </c>
      <c r="P2434" t="s">
        <v>2320</v>
      </c>
      <c r="Q2434" t="s">
        <v>2321</v>
      </c>
      <c r="S2434" t="s">
        <v>11543</v>
      </c>
      <c r="U2434" t="s">
        <v>45</v>
      </c>
      <c r="V2434" t="s">
        <v>46</v>
      </c>
      <c r="W2434" t="s">
        <v>5190</v>
      </c>
      <c r="X2434" t="s">
        <v>5188</v>
      </c>
      <c r="Y2434" t="s">
        <v>258</v>
      </c>
      <c r="Z2434" t="s">
        <v>259</v>
      </c>
      <c r="AA2434" t="s">
        <v>49</v>
      </c>
      <c r="AB2434" t="s">
        <v>50</v>
      </c>
      <c r="AC2434" s="2">
        <v>1000</v>
      </c>
      <c r="AD2434" t="s">
        <v>64</v>
      </c>
    </row>
    <row r="2435" spans="1:31" x14ac:dyDescent="0.25">
      <c r="A2435" t="s">
        <v>11546</v>
      </c>
      <c r="B2435" t="s">
        <v>11547</v>
      </c>
      <c r="C2435" t="s">
        <v>11547</v>
      </c>
      <c r="D2435" t="s">
        <v>847</v>
      </c>
      <c r="E2435" t="s">
        <v>848</v>
      </c>
      <c r="F2435" t="s">
        <v>11548</v>
      </c>
      <c r="G2435" t="s">
        <v>166</v>
      </c>
      <c r="H2435" t="s">
        <v>81</v>
      </c>
      <c r="I2435" t="s">
        <v>11549</v>
      </c>
      <c r="J2435" s="2">
        <v>174536</v>
      </c>
      <c r="K2435" s="2">
        <v>800</v>
      </c>
      <c r="L2435" s="2">
        <v>15</v>
      </c>
      <c r="M2435" s="2">
        <v>0</v>
      </c>
      <c r="N2435" t="s">
        <v>80</v>
      </c>
      <c r="O2435" t="s">
        <v>81</v>
      </c>
      <c r="P2435" t="s">
        <v>557</v>
      </c>
      <c r="Q2435" t="s">
        <v>558</v>
      </c>
      <c r="S2435" t="s">
        <v>11550</v>
      </c>
      <c r="U2435" t="s">
        <v>45</v>
      </c>
      <c r="V2435" t="s">
        <v>46</v>
      </c>
      <c r="W2435" t="s">
        <v>80</v>
      </c>
      <c r="X2435" t="s">
        <v>81</v>
      </c>
      <c r="Y2435" t="s">
        <v>85</v>
      </c>
      <c r="Z2435" t="s">
        <v>86</v>
      </c>
      <c r="AA2435" t="s">
        <v>49</v>
      </c>
      <c r="AB2435" t="s">
        <v>50</v>
      </c>
      <c r="AC2435" s="2">
        <v>145021.93</v>
      </c>
      <c r="AD2435" t="s">
        <v>11551</v>
      </c>
      <c r="AE2435" t="s">
        <v>52</v>
      </c>
    </row>
    <row r="2436" spans="1:31" x14ac:dyDescent="0.25">
      <c r="A2436" t="s">
        <v>11552</v>
      </c>
      <c r="B2436" t="s">
        <v>11553</v>
      </c>
      <c r="C2436" t="s">
        <v>11553</v>
      </c>
      <c r="D2436" t="s">
        <v>166</v>
      </c>
      <c r="E2436" t="s">
        <v>167</v>
      </c>
      <c r="F2436" t="s">
        <v>10884</v>
      </c>
      <c r="G2436" t="s">
        <v>166</v>
      </c>
      <c r="H2436" t="s">
        <v>79</v>
      </c>
      <c r="I2436" t="s">
        <v>11554</v>
      </c>
      <c r="J2436" s="2">
        <v>370889</v>
      </c>
      <c r="K2436" s="2">
        <v>1700</v>
      </c>
      <c r="L2436" s="2">
        <v>15</v>
      </c>
      <c r="M2436" s="2">
        <v>0</v>
      </c>
      <c r="N2436" t="s">
        <v>495</v>
      </c>
      <c r="O2436" t="s">
        <v>79</v>
      </c>
      <c r="P2436" t="s">
        <v>3487</v>
      </c>
      <c r="Q2436" t="s">
        <v>3488</v>
      </c>
      <c r="S2436" t="s">
        <v>11555</v>
      </c>
      <c r="U2436" t="s">
        <v>45</v>
      </c>
      <c r="V2436" t="s">
        <v>46</v>
      </c>
      <c r="W2436" t="s">
        <v>495</v>
      </c>
      <c r="X2436" t="s">
        <v>79</v>
      </c>
      <c r="Y2436" t="s">
        <v>79</v>
      </c>
      <c r="Z2436" t="s">
        <v>94</v>
      </c>
      <c r="AA2436" t="s">
        <v>49</v>
      </c>
      <c r="AB2436" t="s">
        <v>50</v>
      </c>
      <c r="AC2436" s="2">
        <v>201261.23</v>
      </c>
      <c r="AD2436" t="s">
        <v>11556</v>
      </c>
      <c r="AE2436" t="s">
        <v>52</v>
      </c>
    </row>
    <row r="2437" spans="1:31" x14ac:dyDescent="0.25">
      <c r="A2437" t="s">
        <v>11557</v>
      </c>
      <c r="B2437" t="s">
        <v>11558</v>
      </c>
      <c r="C2437" t="s">
        <v>11558</v>
      </c>
      <c r="D2437" t="s">
        <v>299</v>
      </c>
      <c r="E2437" t="s">
        <v>167</v>
      </c>
      <c r="F2437" t="s">
        <v>10884</v>
      </c>
      <c r="G2437" t="s">
        <v>299</v>
      </c>
      <c r="H2437" t="s">
        <v>79</v>
      </c>
      <c r="J2437" s="2">
        <v>97897</v>
      </c>
      <c r="K2437" s="2">
        <v>448.72</v>
      </c>
      <c r="L2437" s="2">
        <v>15</v>
      </c>
      <c r="M2437" s="2">
        <v>0</v>
      </c>
      <c r="N2437" t="s">
        <v>495</v>
      </c>
      <c r="O2437" t="s">
        <v>79</v>
      </c>
      <c r="P2437" t="s">
        <v>3487</v>
      </c>
      <c r="Q2437" t="s">
        <v>3488</v>
      </c>
      <c r="S2437" t="s">
        <v>11555</v>
      </c>
      <c r="U2437" t="s">
        <v>45</v>
      </c>
      <c r="V2437" t="s">
        <v>46</v>
      </c>
      <c r="W2437" t="s">
        <v>495</v>
      </c>
      <c r="X2437" t="s">
        <v>79</v>
      </c>
      <c r="Y2437" t="s">
        <v>79</v>
      </c>
      <c r="Z2437" t="s">
        <v>94</v>
      </c>
      <c r="AA2437" t="s">
        <v>49</v>
      </c>
      <c r="AB2437" t="s">
        <v>50</v>
      </c>
      <c r="AC2437" s="2">
        <v>-3046.73</v>
      </c>
      <c r="AD2437" t="s">
        <v>11559</v>
      </c>
      <c r="AE2437" t="s">
        <v>52</v>
      </c>
    </row>
    <row r="2438" spans="1:31" x14ac:dyDescent="0.25">
      <c r="A2438" t="s">
        <v>11560</v>
      </c>
      <c r="B2438" t="s">
        <v>11561</v>
      </c>
      <c r="C2438" t="s">
        <v>11561</v>
      </c>
      <c r="D2438" t="s">
        <v>178</v>
      </c>
      <c r="E2438" t="s">
        <v>179</v>
      </c>
      <c r="F2438" t="s">
        <v>10884</v>
      </c>
      <c r="G2438" t="s">
        <v>166</v>
      </c>
      <c r="H2438" t="s">
        <v>79</v>
      </c>
      <c r="I2438" t="s">
        <v>11554</v>
      </c>
      <c r="J2438" s="2">
        <v>130902</v>
      </c>
      <c r="K2438" s="2">
        <v>600</v>
      </c>
      <c r="L2438" s="2">
        <v>15</v>
      </c>
      <c r="M2438" s="2">
        <v>0</v>
      </c>
      <c r="N2438" t="s">
        <v>495</v>
      </c>
      <c r="O2438" t="s">
        <v>79</v>
      </c>
      <c r="P2438" t="s">
        <v>3487</v>
      </c>
      <c r="Q2438" t="s">
        <v>3488</v>
      </c>
      <c r="S2438" t="s">
        <v>11555</v>
      </c>
      <c r="U2438" t="s">
        <v>45</v>
      </c>
      <c r="V2438" t="s">
        <v>46</v>
      </c>
      <c r="W2438" t="s">
        <v>495</v>
      </c>
      <c r="X2438" t="s">
        <v>79</v>
      </c>
      <c r="Y2438" t="s">
        <v>79</v>
      </c>
      <c r="Z2438" t="s">
        <v>94</v>
      </c>
      <c r="AA2438" t="s">
        <v>49</v>
      </c>
      <c r="AB2438" t="s">
        <v>50</v>
      </c>
      <c r="AC2438" s="2">
        <v>34153.97</v>
      </c>
      <c r="AD2438" t="s">
        <v>11562</v>
      </c>
      <c r="AE2438" t="s">
        <v>52</v>
      </c>
    </row>
    <row r="2439" spans="1:31" x14ac:dyDescent="0.25">
      <c r="A2439" t="s">
        <v>11563</v>
      </c>
      <c r="B2439" t="s">
        <v>11564</v>
      </c>
      <c r="C2439" t="s">
        <v>11564</v>
      </c>
      <c r="D2439" t="s">
        <v>35</v>
      </c>
      <c r="E2439" t="s">
        <v>36</v>
      </c>
      <c r="F2439" t="s">
        <v>11565</v>
      </c>
      <c r="G2439" t="s">
        <v>35</v>
      </c>
      <c r="H2439" t="s">
        <v>8401</v>
      </c>
      <c r="I2439" t="s">
        <v>11566</v>
      </c>
      <c r="J2439" s="2">
        <v>1745360</v>
      </c>
      <c r="K2439" s="2">
        <v>8000</v>
      </c>
      <c r="L2439" s="2">
        <v>25</v>
      </c>
      <c r="M2439" s="2">
        <v>0</v>
      </c>
      <c r="N2439" t="s">
        <v>8403</v>
      </c>
      <c r="O2439" t="s">
        <v>8401</v>
      </c>
      <c r="P2439" t="s">
        <v>6987</v>
      </c>
      <c r="Q2439" t="s">
        <v>6988</v>
      </c>
      <c r="S2439" t="s">
        <v>11567</v>
      </c>
      <c r="U2439" t="s">
        <v>45</v>
      </c>
      <c r="V2439" t="s">
        <v>46</v>
      </c>
      <c r="W2439" t="s">
        <v>8403</v>
      </c>
      <c r="X2439" t="s">
        <v>8401</v>
      </c>
      <c r="Y2439" t="s">
        <v>2399</v>
      </c>
      <c r="Z2439" t="s">
        <v>2400</v>
      </c>
      <c r="AA2439" t="s">
        <v>49</v>
      </c>
      <c r="AB2439" t="s">
        <v>50</v>
      </c>
      <c r="AC2439" s="2">
        <v>826778.47</v>
      </c>
      <c r="AD2439" t="s">
        <v>11568</v>
      </c>
      <c r="AE2439" t="s">
        <v>52</v>
      </c>
    </row>
    <row r="2440" spans="1:31" x14ac:dyDescent="0.25">
      <c r="A2440" t="s">
        <v>11569</v>
      </c>
      <c r="B2440" t="s">
        <v>11570</v>
      </c>
      <c r="C2440" t="s">
        <v>11570</v>
      </c>
      <c r="D2440" t="s">
        <v>189</v>
      </c>
      <c r="E2440" t="s">
        <v>190</v>
      </c>
      <c r="F2440" t="s">
        <v>11571</v>
      </c>
      <c r="G2440" t="s">
        <v>1633</v>
      </c>
      <c r="H2440" t="s">
        <v>4851</v>
      </c>
      <c r="I2440" t="s">
        <v>11572</v>
      </c>
      <c r="J2440" s="2">
        <v>218170</v>
      </c>
      <c r="K2440" s="2">
        <v>1000</v>
      </c>
      <c r="L2440" s="2">
        <v>30</v>
      </c>
      <c r="M2440" s="2">
        <v>0</v>
      </c>
      <c r="N2440" t="s">
        <v>4852</v>
      </c>
      <c r="O2440" t="s">
        <v>4851</v>
      </c>
      <c r="P2440" t="s">
        <v>4853</v>
      </c>
      <c r="Q2440" t="s">
        <v>4854</v>
      </c>
      <c r="S2440" t="s">
        <v>11573</v>
      </c>
      <c r="U2440" t="s">
        <v>45</v>
      </c>
      <c r="V2440" t="s">
        <v>46</v>
      </c>
      <c r="W2440" t="s">
        <v>4852</v>
      </c>
      <c r="X2440" t="s">
        <v>4851</v>
      </c>
      <c r="Y2440" t="s">
        <v>4854</v>
      </c>
      <c r="Z2440" t="s">
        <v>72</v>
      </c>
      <c r="AA2440" t="s">
        <v>49</v>
      </c>
      <c r="AB2440" t="s">
        <v>50</v>
      </c>
      <c r="AC2440" s="2">
        <v>213419.29</v>
      </c>
      <c r="AD2440" t="s">
        <v>11574</v>
      </c>
      <c r="AE2440" t="s">
        <v>115</v>
      </c>
    </row>
    <row r="2441" spans="1:31" hidden="1" x14ac:dyDescent="0.25">
      <c r="A2441" s="10" t="s">
        <v>11575</v>
      </c>
      <c r="B2441" s="10" t="s">
        <v>11576</v>
      </c>
      <c r="C2441" t="s">
        <v>11576</v>
      </c>
      <c r="D2441" t="s">
        <v>11577</v>
      </c>
      <c r="E2441" t="s">
        <v>56</v>
      </c>
      <c r="F2441" t="s">
        <v>11578</v>
      </c>
      <c r="H2441" t="s">
        <v>41</v>
      </c>
      <c r="J2441" s="2">
        <v>1000</v>
      </c>
      <c r="K2441" s="2">
        <v>0</v>
      </c>
      <c r="L2441" s="2">
        <v>1</v>
      </c>
      <c r="M2441" s="2">
        <v>0</v>
      </c>
      <c r="N2441" t="s">
        <v>40</v>
      </c>
      <c r="O2441" t="s">
        <v>41</v>
      </c>
      <c r="P2441" t="s">
        <v>42</v>
      </c>
      <c r="Q2441" t="s">
        <v>43</v>
      </c>
      <c r="U2441" t="s">
        <v>45</v>
      </c>
      <c r="V2441" t="s">
        <v>46</v>
      </c>
      <c r="W2441" t="s">
        <v>40</v>
      </c>
      <c r="X2441" t="s">
        <v>41</v>
      </c>
      <c r="Y2441" t="s">
        <v>47</v>
      </c>
      <c r="Z2441" t="s">
        <v>48</v>
      </c>
      <c r="AA2441" t="s">
        <v>49</v>
      </c>
      <c r="AB2441" t="s">
        <v>142</v>
      </c>
      <c r="AC2441" s="2">
        <v>1000</v>
      </c>
      <c r="AD2441" t="s">
        <v>64</v>
      </c>
    </row>
    <row r="2442" spans="1:31" hidden="1" x14ac:dyDescent="0.25">
      <c r="A2442" t="s">
        <v>11579</v>
      </c>
      <c r="B2442" t="s">
        <v>11580</v>
      </c>
      <c r="C2442" t="s">
        <v>11580</v>
      </c>
      <c r="F2442" t="s">
        <v>2733</v>
      </c>
      <c r="J2442" s="2">
        <v>1000</v>
      </c>
      <c r="K2442" s="2">
        <v>0</v>
      </c>
      <c r="L2442" s="2">
        <v>1</v>
      </c>
      <c r="M2442" s="2">
        <v>0</v>
      </c>
      <c r="N2442" t="s">
        <v>445</v>
      </c>
      <c r="O2442" t="s">
        <v>446</v>
      </c>
      <c r="P2442" t="s">
        <v>69</v>
      </c>
      <c r="Q2442" t="s">
        <v>70</v>
      </c>
      <c r="U2442" t="s">
        <v>45</v>
      </c>
      <c r="V2442" t="s">
        <v>46</v>
      </c>
      <c r="W2442" t="s">
        <v>445</v>
      </c>
      <c r="X2442" t="s">
        <v>446</v>
      </c>
      <c r="Y2442" t="s">
        <v>72</v>
      </c>
      <c r="Z2442" t="s">
        <v>68</v>
      </c>
      <c r="AA2442" t="s">
        <v>49</v>
      </c>
      <c r="AB2442" t="s">
        <v>50</v>
      </c>
      <c r="AC2442" s="2">
        <v>1000</v>
      </c>
      <c r="AD2442" t="s">
        <v>64</v>
      </c>
    </row>
    <row r="2443" spans="1:31" x14ac:dyDescent="0.25">
      <c r="A2443" t="s">
        <v>11581</v>
      </c>
      <c r="B2443" t="s">
        <v>11582</v>
      </c>
      <c r="C2443" t="s">
        <v>11582</v>
      </c>
      <c r="D2443" t="s">
        <v>153</v>
      </c>
      <c r="E2443" t="s">
        <v>272</v>
      </c>
      <c r="F2443" t="s">
        <v>2733</v>
      </c>
      <c r="G2443" t="s">
        <v>178</v>
      </c>
      <c r="H2443" t="s">
        <v>11583</v>
      </c>
      <c r="I2443" t="s">
        <v>2734</v>
      </c>
      <c r="J2443" s="2">
        <v>436340</v>
      </c>
      <c r="K2443" s="2">
        <v>2000</v>
      </c>
      <c r="L2443" s="2">
        <v>21</v>
      </c>
      <c r="M2443" s="2">
        <v>0</v>
      </c>
      <c r="N2443" t="s">
        <v>445</v>
      </c>
      <c r="O2443" t="s">
        <v>446</v>
      </c>
      <c r="P2443" t="s">
        <v>69</v>
      </c>
      <c r="Q2443" t="s">
        <v>70</v>
      </c>
      <c r="S2443" t="s">
        <v>2735</v>
      </c>
      <c r="U2443" t="s">
        <v>45</v>
      </c>
      <c r="V2443" t="s">
        <v>46</v>
      </c>
      <c r="W2443" t="s">
        <v>445</v>
      </c>
      <c r="X2443" t="s">
        <v>446</v>
      </c>
      <c r="Y2443" t="s">
        <v>72</v>
      </c>
      <c r="Z2443" t="s">
        <v>68</v>
      </c>
      <c r="AA2443" t="s">
        <v>49</v>
      </c>
      <c r="AB2443" t="s">
        <v>50</v>
      </c>
      <c r="AC2443" s="2">
        <v>96267.89</v>
      </c>
      <c r="AD2443" t="s">
        <v>11584</v>
      </c>
      <c r="AE2443" t="s">
        <v>115</v>
      </c>
    </row>
    <row r="2444" spans="1:31" x14ac:dyDescent="0.25">
      <c r="A2444" t="s">
        <v>11585</v>
      </c>
      <c r="B2444" t="s">
        <v>11586</v>
      </c>
      <c r="C2444" t="s">
        <v>11586</v>
      </c>
      <c r="D2444" t="s">
        <v>297</v>
      </c>
      <c r="E2444" t="s">
        <v>167</v>
      </c>
      <c r="F2444" t="s">
        <v>11587</v>
      </c>
      <c r="G2444" t="s">
        <v>1291</v>
      </c>
      <c r="H2444" t="s">
        <v>11588</v>
      </c>
      <c r="I2444" t="s">
        <v>11589</v>
      </c>
      <c r="J2444" s="2">
        <v>43634</v>
      </c>
      <c r="K2444" s="2">
        <v>200</v>
      </c>
      <c r="L2444" s="2">
        <v>21</v>
      </c>
      <c r="M2444" s="2">
        <v>0</v>
      </c>
      <c r="N2444" t="s">
        <v>11590</v>
      </c>
      <c r="O2444" t="s">
        <v>11588</v>
      </c>
      <c r="P2444" t="s">
        <v>1212</v>
      </c>
      <c r="Q2444" t="s">
        <v>1213</v>
      </c>
      <c r="S2444" t="s">
        <v>11591</v>
      </c>
      <c r="U2444" t="s">
        <v>45</v>
      </c>
      <c r="V2444" t="s">
        <v>46</v>
      </c>
      <c r="W2444" t="s">
        <v>11590</v>
      </c>
      <c r="X2444" t="s">
        <v>11588</v>
      </c>
      <c r="Y2444" t="s">
        <v>1215</v>
      </c>
      <c r="Z2444" t="s">
        <v>1216</v>
      </c>
      <c r="AA2444" t="s">
        <v>49</v>
      </c>
      <c r="AB2444" t="s">
        <v>50</v>
      </c>
      <c r="AC2444" s="2">
        <v>43634</v>
      </c>
      <c r="AD2444" t="s">
        <v>64</v>
      </c>
    </row>
    <row r="2445" spans="1:31" x14ac:dyDescent="0.25">
      <c r="A2445" t="s">
        <v>11592</v>
      </c>
      <c r="B2445" t="s">
        <v>11593</v>
      </c>
      <c r="C2445" t="s">
        <v>11593</v>
      </c>
      <c r="D2445" t="s">
        <v>847</v>
      </c>
      <c r="E2445" t="s">
        <v>848</v>
      </c>
      <c r="F2445" t="s">
        <v>11594</v>
      </c>
      <c r="G2445" t="s">
        <v>178</v>
      </c>
      <c r="H2445" t="s">
        <v>1360</v>
      </c>
      <c r="I2445" t="s">
        <v>11595</v>
      </c>
      <c r="J2445" s="2">
        <v>237311</v>
      </c>
      <c r="K2445" s="2">
        <v>970</v>
      </c>
      <c r="L2445" s="2">
        <v>15</v>
      </c>
      <c r="M2445" s="2">
        <v>0</v>
      </c>
      <c r="N2445" t="s">
        <v>1362</v>
      </c>
      <c r="O2445" t="s">
        <v>1360</v>
      </c>
      <c r="P2445" t="s">
        <v>1421</v>
      </c>
      <c r="Q2445" t="s">
        <v>1422</v>
      </c>
      <c r="S2445" t="s">
        <v>11596</v>
      </c>
      <c r="U2445" t="s">
        <v>45</v>
      </c>
      <c r="V2445" t="s">
        <v>46</v>
      </c>
      <c r="W2445" t="s">
        <v>1362</v>
      </c>
      <c r="X2445" t="s">
        <v>1360</v>
      </c>
      <c r="Y2445" t="s">
        <v>1215</v>
      </c>
      <c r="Z2445" t="s">
        <v>1216</v>
      </c>
      <c r="AA2445" t="s">
        <v>49</v>
      </c>
      <c r="AB2445" t="s">
        <v>50</v>
      </c>
      <c r="AC2445" s="2">
        <v>36459.96</v>
      </c>
      <c r="AD2445" t="s">
        <v>11597</v>
      </c>
      <c r="AE2445" t="s">
        <v>52</v>
      </c>
    </row>
    <row r="2446" spans="1:31" x14ac:dyDescent="0.25">
      <c r="A2446" t="s">
        <v>11598</v>
      </c>
      <c r="B2446" t="s">
        <v>11599</v>
      </c>
      <c r="C2446" t="s">
        <v>11599</v>
      </c>
      <c r="D2446" t="s">
        <v>153</v>
      </c>
      <c r="E2446" t="s">
        <v>272</v>
      </c>
      <c r="F2446" t="s">
        <v>11600</v>
      </c>
      <c r="G2446" t="s">
        <v>153</v>
      </c>
      <c r="H2446" t="s">
        <v>2396</v>
      </c>
      <c r="J2446" s="2">
        <v>2181700</v>
      </c>
      <c r="K2446" s="2">
        <v>10000</v>
      </c>
      <c r="L2446" s="2">
        <v>30</v>
      </c>
      <c r="M2446" s="2">
        <v>0</v>
      </c>
      <c r="N2446" t="s">
        <v>6985</v>
      </c>
      <c r="O2446" t="s">
        <v>6986</v>
      </c>
      <c r="P2446" t="s">
        <v>2320</v>
      </c>
      <c r="Q2446" t="s">
        <v>2321</v>
      </c>
      <c r="S2446" t="s">
        <v>11601</v>
      </c>
      <c r="U2446" t="s">
        <v>45</v>
      </c>
      <c r="V2446" t="s">
        <v>46</v>
      </c>
      <c r="W2446" t="s">
        <v>6985</v>
      </c>
      <c r="X2446" t="s">
        <v>6986</v>
      </c>
      <c r="Y2446" t="s">
        <v>2399</v>
      </c>
      <c r="Z2446" t="s">
        <v>2400</v>
      </c>
      <c r="AA2446" t="s">
        <v>49</v>
      </c>
      <c r="AB2446" t="s">
        <v>50</v>
      </c>
      <c r="AC2446" s="2">
        <v>275849.46999999997</v>
      </c>
      <c r="AD2446" t="s">
        <v>11602</v>
      </c>
      <c r="AE2446" t="s">
        <v>115</v>
      </c>
    </row>
    <row r="2447" spans="1:31" x14ac:dyDescent="0.25">
      <c r="A2447" t="s">
        <v>11603</v>
      </c>
      <c r="B2447" t="s">
        <v>11604</v>
      </c>
      <c r="C2447" t="s">
        <v>11604</v>
      </c>
      <c r="D2447" t="s">
        <v>125</v>
      </c>
      <c r="E2447" t="s">
        <v>126</v>
      </c>
      <c r="F2447" t="s">
        <v>11605</v>
      </c>
      <c r="G2447" t="s">
        <v>125</v>
      </c>
      <c r="H2447" t="s">
        <v>11606</v>
      </c>
      <c r="I2447" t="s">
        <v>11607</v>
      </c>
      <c r="J2447" s="2">
        <v>303076</v>
      </c>
      <c r="K2447" s="2">
        <v>1246.6600000000001</v>
      </c>
      <c r="L2447" s="2">
        <v>15</v>
      </c>
      <c r="M2447" s="2">
        <v>0</v>
      </c>
      <c r="N2447" t="s">
        <v>9187</v>
      </c>
      <c r="O2447" t="s">
        <v>9188</v>
      </c>
      <c r="P2447" t="s">
        <v>4315</v>
      </c>
      <c r="Q2447" t="s">
        <v>4316</v>
      </c>
      <c r="S2447" t="s">
        <v>11608</v>
      </c>
      <c r="U2447" t="s">
        <v>45</v>
      </c>
      <c r="V2447" t="s">
        <v>46</v>
      </c>
      <c r="W2447" t="s">
        <v>9187</v>
      </c>
      <c r="X2447" t="s">
        <v>9186</v>
      </c>
      <c r="Y2447" t="s">
        <v>5743</v>
      </c>
      <c r="Z2447" t="s">
        <v>5744</v>
      </c>
      <c r="AA2447" t="s">
        <v>49</v>
      </c>
      <c r="AB2447" t="s">
        <v>50</v>
      </c>
      <c r="AC2447" s="2">
        <v>112413.65</v>
      </c>
      <c r="AD2447" t="s">
        <v>11609</v>
      </c>
      <c r="AE2447" t="s">
        <v>115</v>
      </c>
    </row>
    <row r="2448" spans="1:31" x14ac:dyDescent="0.25">
      <c r="A2448" t="s">
        <v>11610</v>
      </c>
      <c r="B2448" t="s">
        <v>11611</v>
      </c>
      <c r="C2448" t="s">
        <v>11611</v>
      </c>
      <c r="D2448" t="s">
        <v>847</v>
      </c>
      <c r="E2448" t="s">
        <v>848</v>
      </c>
      <c r="F2448" t="s">
        <v>11612</v>
      </c>
      <c r="H2448" t="s">
        <v>41</v>
      </c>
      <c r="J2448" s="2">
        <v>10909</v>
      </c>
      <c r="K2448" s="2">
        <v>50</v>
      </c>
      <c r="L2448" s="2">
        <v>15</v>
      </c>
      <c r="M2448" s="2">
        <v>0</v>
      </c>
      <c r="N2448" t="s">
        <v>40</v>
      </c>
      <c r="O2448" t="s">
        <v>41</v>
      </c>
      <c r="P2448" t="s">
        <v>42</v>
      </c>
      <c r="Q2448" t="s">
        <v>43</v>
      </c>
      <c r="U2448" t="s">
        <v>45</v>
      </c>
      <c r="V2448" t="s">
        <v>46</v>
      </c>
      <c r="W2448" t="s">
        <v>40</v>
      </c>
      <c r="X2448" t="s">
        <v>41</v>
      </c>
      <c r="Y2448" t="s">
        <v>47</v>
      </c>
      <c r="Z2448" t="s">
        <v>48</v>
      </c>
      <c r="AA2448" t="s">
        <v>141</v>
      </c>
      <c r="AB2448" t="s">
        <v>50</v>
      </c>
      <c r="AC2448" s="2">
        <v>10909</v>
      </c>
      <c r="AD2448" t="s">
        <v>64</v>
      </c>
    </row>
    <row r="2449" spans="1:31" hidden="1" x14ac:dyDescent="0.25">
      <c r="I2449" t="s">
        <v>11613</v>
      </c>
      <c r="J2449" s="2">
        <v>1000</v>
      </c>
      <c r="K2449" s="2">
        <v>0</v>
      </c>
      <c r="L2449" s="2">
        <v>1</v>
      </c>
      <c r="M2449" s="2">
        <v>0</v>
      </c>
      <c r="S2449" t="s">
        <v>11614</v>
      </c>
      <c r="U2449" t="s">
        <v>45</v>
      </c>
      <c r="V2449" t="s">
        <v>46</v>
      </c>
      <c r="W2449" t="s">
        <v>254</v>
      </c>
      <c r="X2449" t="s">
        <v>255</v>
      </c>
      <c r="Y2449" t="s">
        <v>258</v>
      </c>
      <c r="Z2449" t="s">
        <v>259</v>
      </c>
      <c r="AA2449" t="s">
        <v>49</v>
      </c>
      <c r="AC2449" s="2"/>
    </row>
    <row r="2450" spans="1:31" x14ac:dyDescent="0.25">
      <c r="A2450" t="s">
        <v>11615</v>
      </c>
      <c r="B2450" t="s">
        <v>11616</v>
      </c>
      <c r="C2450" t="s">
        <v>11616</v>
      </c>
      <c r="D2450" t="s">
        <v>125</v>
      </c>
      <c r="E2450" t="s">
        <v>126</v>
      </c>
      <c r="F2450" t="s">
        <v>11617</v>
      </c>
      <c r="G2450" t="s">
        <v>125</v>
      </c>
      <c r="H2450" t="s">
        <v>7263</v>
      </c>
      <c r="I2450" t="s">
        <v>11618</v>
      </c>
      <c r="J2450" s="2">
        <v>2770992</v>
      </c>
      <c r="K2450" s="2">
        <v>11200</v>
      </c>
      <c r="L2450" s="2">
        <v>30</v>
      </c>
      <c r="M2450" s="2">
        <v>0</v>
      </c>
      <c r="N2450" t="s">
        <v>2571</v>
      </c>
      <c r="O2450" t="s">
        <v>2572</v>
      </c>
      <c r="P2450" t="s">
        <v>4853</v>
      </c>
      <c r="Q2450" t="s">
        <v>4854</v>
      </c>
      <c r="S2450" t="s">
        <v>11619</v>
      </c>
      <c r="U2450" t="s">
        <v>45</v>
      </c>
      <c r="V2450" t="s">
        <v>46</v>
      </c>
      <c r="W2450" t="s">
        <v>2571</v>
      </c>
      <c r="X2450" t="s">
        <v>2572</v>
      </c>
      <c r="Y2450" t="s">
        <v>2399</v>
      </c>
      <c r="Z2450" t="s">
        <v>2400</v>
      </c>
      <c r="AA2450" t="s">
        <v>49</v>
      </c>
      <c r="AB2450" t="s">
        <v>50</v>
      </c>
      <c r="AC2450" s="2">
        <v>1142635.03</v>
      </c>
      <c r="AD2450" t="s">
        <v>11620</v>
      </c>
      <c r="AE2450" t="s">
        <v>52</v>
      </c>
    </row>
    <row r="2451" spans="1:31" x14ac:dyDescent="0.25">
      <c r="A2451" t="s">
        <v>11621</v>
      </c>
      <c r="B2451" t="s">
        <v>11622</v>
      </c>
      <c r="C2451" t="s">
        <v>11622</v>
      </c>
      <c r="D2451" t="s">
        <v>35</v>
      </c>
      <c r="E2451" t="s">
        <v>36</v>
      </c>
      <c r="F2451" t="s">
        <v>11623</v>
      </c>
      <c r="G2451" t="s">
        <v>35</v>
      </c>
      <c r="H2451" t="s">
        <v>8101</v>
      </c>
      <c r="J2451" s="2">
        <v>1418105</v>
      </c>
      <c r="K2451" s="2">
        <v>6500</v>
      </c>
      <c r="L2451" s="2">
        <v>30</v>
      </c>
      <c r="M2451" s="2">
        <v>0</v>
      </c>
      <c r="N2451" t="s">
        <v>8100</v>
      </c>
      <c r="O2451" t="s">
        <v>8101</v>
      </c>
      <c r="P2451" t="s">
        <v>4853</v>
      </c>
      <c r="Q2451" t="s">
        <v>4854</v>
      </c>
      <c r="S2451" t="s">
        <v>11624</v>
      </c>
      <c r="U2451" t="s">
        <v>45</v>
      </c>
      <c r="V2451" t="s">
        <v>46</v>
      </c>
      <c r="W2451" t="s">
        <v>8100</v>
      </c>
      <c r="X2451" t="s">
        <v>8101</v>
      </c>
      <c r="Y2451" t="s">
        <v>4854</v>
      </c>
      <c r="Z2451" t="s">
        <v>72</v>
      </c>
      <c r="AA2451" t="s">
        <v>49</v>
      </c>
      <c r="AB2451" t="s">
        <v>50</v>
      </c>
      <c r="AC2451" s="2">
        <v>455659.35</v>
      </c>
      <c r="AD2451" t="s">
        <v>11625</v>
      </c>
      <c r="AE2451" t="s">
        <v>52</v>
      </c>
    </row>
    <row r="2452" spans="1:31" x14ac:dyDescent="0.25">
      <c r="A2452" t="s">
        <v>11626</v>
      </c>
      <c r="B2452" t="s">
        <v>11627</v>
      </c>
      <c r="C2452" t="s">
        <v>11627</v>
      </c>
      <c r="D2452" t="s">
        <v>125</v>
      </c>
      <c r="E2452" t="s">
        <v>126</v>
      </c>
      <c r="F2452" t="s">
        <v>11628</v>
      </c>
      <c r="G2452" t="s">
        <v>125</v>
      </c>
      <c r="H2452" t="s">
        <v>11629</v>
      </c>
      <c r="I2452" t="s">
        <v>11630</v>
      </c>
      <c r="J2452" s="2">
        <v>109085</v>
      </c>
      <c r="K2452" s="2">
        <v>500</v>
      </c>
      <c r="L2452" s="2">
        <v>30</v>
      </c>
      <c r="M2452" s="2">
        <v>0</v>
      </c>
      <c r="N2452" t="s">
        <v>11323</v>
      </c>
      <c r="O2452" t="s">
        <v>11324</v>
      </c>
      <c r="P2452" t="s">
        <v>10093</v>
      </c>
      <c r="Q2452" t="s">
        <v>10094</v>
      </c>
      <c r="S2452" t="s">
        <v>11631</v>
      </c>
      <c r="U2452" t="s">
        <v>45</v>
      </c>
      <c r="V2452" t="s">
        <v>46</v>
      </c>
      <c r="W2452" t="s">
        <v>11323</v>
      </c>
      <c r="X2452" t="s">
        <v>11324</v>
      </c>
      <c r="Y2452" t="s">
        <v>7938</v>
      </c>
      <c r="Z2452" t="s">
        <v>7939</v>
      </c>
      <c r="AA2452" t="s">
        <v>49</v>
      </c>
      <c r="AB2452" t="s">
        <v>50</v>
      </c>
      <c r="AC2452" s="2">
        <v>43151.81</v>
      </c>
      <c r="AD2452" t="s">
        <v>11632</v>
      </c>
      <c r="AE2452" t="s">
        <v>52</v>
      </c>
    </row>
    <row r="2453" spans="1:31" x14ac:dyDescent="0.25">
      <c r="A2453" t="s">
        <v>11633</v>
      </c>
      <c r="B2453" t="s">
        <v>11634</v>
      </c>
      <c r="C2453" t="s">
        <v>11634</v>
      </c>
      <c r="D2453" t="s">
        <v>297</v>
      </c>
      <c r="E2453" t="s">
        <v>167</v>
      </c>
      <c r="F2453" t="s">
        <v>11635</v>
      </c>
      <c r="G2453" t="s">
        <v>299</v>
      </c>
      <c r="H2453" t="s">
        <v>443</v>
      </c>
      <c r="I2453" t="s">
        <v>11636</v>
      </c>
      <c r="J2453" s="2">
        <v>111980</v>
      </c>
      <c r="K2453" s="2">
        <v>500</v>
      </c>
      <c r="L2453" s="2">
        <v>21</v>
      </c>
      <c r="M2453" s="2">
        <v>0</v>
      </c>
      <c r="N2453" t="s">
        <v>445</v>
      </c>
      <c r="O2453" t="s">
        <v>446</v>
      </c>
      <c r="P2453" t="s">
        <v>69</v>
      </c>
      <c r="Q2453" t="s">
        <v>70</v>
      </c>
      <c r="S2453" t="s">
        <v>11637</v>
      </c>
      <c r="U2453" t="s">
        <v>45</v>
      </c>
      <c r="V2453" t="s">
        <v>46</v>
      </c>
      <c r="W2453" t="s">
        <v>445</v>
      </c>
      <c r="X2453" t="s">
        <v>446</v>
      </c>
      <c r="Y2453" t="s">
        <v>72</v>
      </c>
      <c r="Z2453" t="s">
        <v>68</v>
      </c>
      <c r="AA2453" t="s">
        <v>49</v>
      </c>
      <c r="AB2453" t="s">
        <v>50</v>
      </c>
      <c r="AC2453" s="2">
        <v>94081.66</v>
      </c>
      <c r="AD2453" t="s">
        <v>11638</v>
      </c>
      <c r="AE2453" t="s">
        <v>115</v>
      </c>
    </row>
    <row r="2454" spans="1:31" hidden="1" x14ac:dyDescent="0.25">
      <c r="A2454" t="s">
        <v>11639</v>
      </c>
      <c r="B2454" t="s">
        <v>11640</v>
      </c>
      <c r="C2454" t="s">
        <v>11640</v>
      </c>
      <c r="F2454" t="s">
        <v>11641</v>
      </c>
      <c r="H2454" t="s">
        <v>6419</v>
      </c>
      <c r="I2454" t="s">
        <v>11642</v>
      </c>
      <c r="J2454" s="2">
        <v>174536</v>
      </c>
      <c r="K2454" s="2">
        <v>800</v>
      </c>
      <c r="L2454" s="2">
        <v>15</v>
      </c>
      <c r="M2454" s="2">
        <v>0</v>
      </c>
      <c r="N2454" t="s">
        <v>6029</v>
      </c>
      <c r="O2454" t="s">
        <v>6030</v>
      </c>
      <c r="P2454" t="s">
        <v>82</v>
      </c>
      <c r="Q2454" t="s">
        <v>83</v>
      </c>
      <c r="S2454" t="s">
        <v>11643</v>
      </c>
      <c r="U2454" t="s">
        <v>45</v>
      </c>
      <c r="V2454" t="s">
        <v>46</v>
      </c>
      <c r="W2454" t="s">
        <v>254</v>
      </c>
      <c r="X2454" t="s">
        <v>255</v>
      </c>
      <c r="Y2454" t="s">
        <v>85</v>
      </c>
      <c r="Z2454" t="s">
        <v>86</v>
      </c>
      <c r="AA2454" t="s">
        <v>49</v>
      </c>
      <c r="AB2454" t="s">
        <v>50</v>
      </c>
      <c r="AC2454" s="2">
        <v>174536</v>
      </c>
      <c r="AD2454" t="s">
        <v>64</v>
      </c>
    </row>
    <row r="2455" spans="1:31" x14ac:dyDescent="0.25">
      <c r="A2455" t="s">
        <v>11644</v>
      </c>
      <c r="B2455" t="s">
        <v>11645</v>
      </c>
      <c r="C2455" t="s">
        <v>11645</v>
      </c>
      <c r="D2455" t="s">
        <v>169</v>
      </c>
      <c r="E2455" t="s">
        <v>190</v>
      </c>
      <c r="F2455" t="s">
        <v>11646</v>
      </c>
      <c r="G2455" t="s">
        <v>169</v>
      </c>
      <c r="H2455" t="s">
        <v>1335</v>
      </c>
      <c r="J2455" s="2">
        <v>1090850</v>
      </c>
      <c r="K2455" s="2">
        <v>5000</v>
      </c>
      <c r="L2455" s="2">
        <v>30</v>
      </c>
      <c r="M2455" s="2">
        <v>0</v>
      </c>
      <c r="N2455" t="s">
        <v>254</v>
      </c>
      <c r="O2455" t="s">
        <v>255</v>
      </c>
      <c r="P2455" t="s">
        <v>2320</v>
      </c>
      <c r="Q2455" t="s">
        <v>2321</v>
      </c>
      <c r="S2455" t="s">
        <v>11647</v>
      </c>
      <c r="U2455" t="s">
        <v>45</v>
      </c>
      <c r="V2455" t="s">
        <v>46</v>
      </c>
      <c r="W2455" t="s">
        <v>254</v>
      </c>
      <c r="X2455" t="s">
        <v>255</v>
      </c>
      <c r="Y2455" t="s">
        <v>258</v>
      </c>
      <c r="Z2455" t="s">
        <v>259</v>
      </c>
      <c r="AA2455" t="s">
        <v>49</v>
      </c>
      <c r="AB2455" t="s">
        <v>50</v>
      </c>
      <c r="AC2455" s="2">
        <v>575075.06000000006</v>
      </c>
      <c r="AD2455" t="s">
        <v>11648</v>
      </c>
      <c r="AE2455" t="s">
        <v>52</v>
      </c>
    </row>
    <row r="2456" spans="1:31" x14ac:dyDescent="0.25">
      <c r="A2456" t="s">
        <v>11649</v>
      </c>
      <c r="B2456" t="s">
        <v>11650</v>
      </c>
      <c r="C2456" t="s">
        <v>11650</v>
      </c>
      <c r="D2456" t="s">
        <v>125</v>
      </c>
      <c r="E2456" t="s">
        <v>126</v>
      </c>
      <c r="F2456" t="s">
        <v>11651</v>
      </c>
      <c r="G2456" t="s">
        <v>35</v>
      </c>
      <c r="H2456" t="s">
        <v>11652</v>
      </c>
      <c r="I2456" t="s">
        <v>11653</v>
      </c>
      <c r="J2456" s="2">
        <v>218170</v>
      </c>
      <c r="K2456" s="2">
        <v>1000</v>
      </c>
      <c r="L2456" s="2">
        <v>21</v>
      </c>
      <c r="M2456" s="2">
        <v>0</v>
      </c>
      <c r="N2456" t="s">
        <v>11654</v>
      </c>
      <c r="O2456" t="s">
        <v>11652</v>
      </c>
      <c r="P2456" t="s">
        <v>4315</v>
      </c>
      <c r="Q2456" t="s">
        <v>4316</v>
      </c>
      <c r="S2456" t="s">
        <v>11655</v>
      </c>
      <c r="U2456" t="s">
        <v>45</v>
      </c>
      <c r="V2456" t="s">
        <v>46</v>
      </c>
      <c r="W2456" t="s">
        <v>11654</v>
      </c>
      <c r="X2456" t="s">
        <v>11652</v>
      </c>
      <c r="Y2456" t="s">
        <v>137</v>
      </c>
      <c r="Z2456" t="s">
        <v>717</v>
      </c>
      <c r="AA2456" t="s">
        <v>49</v>
      </c>
      <c r="AB2456" t="s">
        <v>50</v>
      </c>
      <c r="AC2456" s="2">
        <v>216584.77</v>
      </c>
      <c r="AD2456" t="s">
        <v>11656</v>
      </c>
      <c r="AE2456" t="s">
        <v>52</v>
      </c>
    </row>
    <row r="2457" spans="1:31" x14ac:dyDescent="0.25">
      <c r="A2457" t="s">
        <v>11657</v>
      </c>
      <c r="B2457" t="s">
        <v>11658</v>
      </c>
      <c r="C2457" t="s">
        <v>11658</v>
      </c>
      <c r="D2457" t="s">
        <v>333</v>
      </c>
      <c r="E2457" t="s">
        <v>134</v>
      </c>
      <c r="F2457" t="s">
        <v>11659</v>
      </c>
      <c r="G2457" t="s">
        <v>4891</v>
      </c>
      <c r="H2457" t="s">
        <v>11660</v>
      </c>
      <c r="I2457" t="s">
        <v>11661</v>
      </c>
      <c r="J2457" s="2">
        <v>174536</v>
      </c>
      <c r="K2457" s="2">
        <v>800</v>
      </c>
      <c r="L2457" s="2">
        <v>21</v>
      </c>
      <c r="M2457" s="2">
        <v>0</v>
      </c>
      <c r="N2457" t="s">
        <v>7837</v>
      </c>
      <c r="O2457" t="s">
        <v>7838</v>
      </c>
      <c r="P2457" t="s">
        <v>3487</v>
      </c>
      <c r="Q2457" t="s">
        <v>3488</v>
      </c>
      <c r="S2457" t="s">
        <v>11662</v>
      </c>
      <c r="U2457" t="s">
        <v>45</v>
      </c>
      <c r="V2457" t="s">
        <v>46</v>
      </c>
      <c r="W2457" t="s">
        <v>7837</v>
      </c>
      <c r="X2457" t="s">
        <v>7838</v>
      </c>
      <c r="Y2457" t="s">
        <v>79</v>
      </c>
      <c r="Z2457" t="s">
        <v>94</v>
      </c>
      <c r="AA2457" t="s">
        <v>49</v>
      </c>
      <c r="AB2457" t="s">
        <v>50</v>
      </c>
      <c r="AC2457" s="2">
        <v>174536</v>
      </c>
      <c r="AD2457" t="s">
        <v>64</v>
      </c>
    </row>
    <row r="2458" spans="1:31" x14ac:dyDescent="0.25">
      <c r="A2458" t="s">
        <v>11663</v>
      </c>
      <c r="B2458" t="s">
        <v>11664</v>
      </c>
      <c r="C2458" t="s">
        <v>11664</v>
      </c>
      <c r="D2458" t="s">
        <v>125</v>
      </c>
      <c r="E2458" t="s">
        <v>126</v>
      </c>
      <c r="F2458" t="s">
        <v>11665</v>
      </c>
      <c r="G2458" t="s">
        <v>153</v>
      </c>
      <c r="H2458" t="s">
        <v>638</v>
      </c>
      <c r="J2458" s="2">
        <v>545425</v>
      </c>
      <c r="K2458" s="2">
        <v>2500</v>
      </c>
      <c r="L2458" s="2">
        <v>30</v>
      </c>
      <c r="M2458" s="2">
        <v>0</v>
      </c>
      <c r="N2458" t="s">
        <v>640</v>
      </c>
      <c r="O2458" t="s">
        <v>641</v>
      </c>
      <c r="P2458" t="s">
        <v>91</v>
      </c>
      <c r="Q2458" t="s">
        <v>92</v>
      </c>
      <c r="S2458" t="s">
        <v>11666</v>
      </c>
      <c r="U2458" t="s">
        <v>45</v>
      </c>
      <c r="V2458" t="s">
        <v>46</v>
      </c>
      <c r="W2458" t="s">
        <v>640</v>
      </c>
      <c r="X2458" t="s">
        <v>641</v>
      </c>
      <c r="Y2458" t="s">
        <v>92</v>
      </c>
      <c r="Z2458" t="s">
        <v>94</v>
      </c>
      <c r="AA2458" t="s">
        <v>49</v>
      </c>
      <c r="AB2458" t="s">
        <v>50</v>
      </c>
      <c r="AC2458" s="2">
        <v>274717.57</v>
      </c>
      <c r="AD2458" t="s">
        <v>11667</v>
      </c>
      <c r="AE2458" t="s">
        <v>115</v>
      </c>
    </row>
    <row r="2459" spans="1:31" hidden="1" x14ac:dyDescent="0.25">
      <c r="A2459" t="s">
        <v>11668</v>
      </c>
      <c r="B2459" t="s">
        <v>11669</v>
      </c>
      <c r="C2459" t="s">
        <v>11669</v>
      </c>
      <c r="F2459" t="s">
        <v>11670</v>
      </c>
      <c r="H2459" t="s">
        <v>11671</v>
      </c>
      <c r="J2459" s="2">
        <v>21817</v>
      </c>
      <c r="K2459" s="2">
        <v>100</v>
      </c>
      <c r="L2459" s="2">
        <v>21</v>
      </c>
      <c r="M2459" s="2">
        <v>0</v>
      </c>
      <c r="N2459" t="s">
        <v>89</v>
      </c>
      <c r="O2459" t="s">
        <v>90</v>
      </c>
      <c r="P2459" t="s">
        <v>91</v>
      </c>
      <c r="Q2459" t="s">
        <v>92</v>
      </c>
      <c r="S2459" t="s">
        <v>11672</v>
      </c>
      <c r="U2459" t="s">
        <v>45</v>
      </c>
      <c r="V2459" t="s">
        <v>46</v>
      </c>
      <c r="W2459" t="s">
        <v>89</v>
      </c>
      <c r="X2459" t="s">
        <v>90</v>
      </c>
      <c r="Y2459" t="s">
        <v>92</v>
      </c>
      <c r="Z2459" t="s">
        <v>94</v>
      </c>
      <c r="AA2459" t="s">
        <v>49</v>
      </c>
      <c r="AB2459" t="s">
        <v>50</v>
      </c>
      <c r="AC2459" s="2">
        <v>21817</v>
      </c>
      <c r="AD2459" t="s">
        <v>64</v>
      </c>
    </row>
    <row r="2460" spans="1:31" x14ac:dyDescent="0.25">
      <c r="A2460" t="s">
        <v>11673</v>
      </c>
      <c r="B2460" t="s">
        <v>11674</v>
      </c>
      <c r="C2460" t="s">
        <v>11674</v>
      </c>
      <c r="D2460" t="s">
        <v>9774</v>
      </c>
      <c r="E2460" t="s">
        <v>134</v>
      </c>
      <c r="F2460" t="s">
        <v>11675</v>
      </c>
      <c r="G2460" t="s">
        <v>1846</v>
      </c>
      <c r="H2460" t="s">
        <v>11676</v>
      </c>
      <c r="I2460" t="s">
        <v>11677</v>
      </c>
      <c r="J2460" s="2">
        <v>87268</v>
      </c>
      <c r="K2460" s="2">
        <v>400</v>
      </c>
      <c r="L2460" s="2">
        <v>15</v>
      </c>
      <c r="M2460" s="2">
        <v>0</v>
      </c>
      <c r="N2460" t="s">
        <v>1524</v>
      </c>
      <c r="O2460" t="s">
        <v>1525</v>
      </c>
      <c r="P2460" t="s">
        <v>120</v>
      </c>
      <c r="Q2460" t="s">
        <v>121</v>
      </c>
      <c r="S2460" t="s">
        <v>11678</v>
      </c>
      <c r="U2460" t="s">
        <v>45</v>
      </c>
      <c r="V2460" t="s">
        <v>46</v>
      </c>
      <c r="W2460" t="s">
        <v>1524</v>
      </c>
      <c r="X2460" t="s">
        <v>1525</v>
      </c>
      <c r="Y2460" t="s">
        <v>121</v>
      </c>
      <c r="Z2460" t="s">
        <v>94</v>
      </c>
      <c r="AA2460" t="s">
        <v>49</v>
      </c>
      <c r="AB2460" t="s">
        <v>50</v>
      </c>
      <c r="AC2460" s="2">
        <v>87268</v>
      </c>
      <c r="AD2460" t="s">
        <v>64</v>
      </c>
    </row>
    <row r="2461" spans="1:31" x14ac:dyDescent="0.25">
      <c r="A2461" t="s">
        <v>11679</v>
      </c>
      <c r="B2461" t="s">
        <v>11680</v>
      </c>
      <c r="C2461" t="s">
        <v>11680</v>
      </c>
      <c r="D2461" t="s">
        <v>344</v>
      </c>
      <c r="E2461" t="s">
        <v>167</v>
      </c>
      <c r="F2461" t="s">
        <v>11681</v>
      </c>
      <c r="G2461" t="s">
        <v>1939</v>
      </c>
      <c r="H2461" t="s">
        <v>7263</v>
      </c>
      <c r="I2461" t="s">
        <v>11682</v>
      </c>
      <c r="J2461" s="2">
        <v>603855</v>
      </c>
      <c r="K2461" s="2">
        <v>2700</v>
      </c>
      <c r="L2461" s="2">
        <v>30</v>
      </c>
      <c r="M2461" s="2">
        <v>0</v>
      </c>
      <c r="N2461" t="s">
        <v>2571</v>
      </c>
      <c r="O2461" t="s">
        <v>2572</v>
      </c>
      <c r="P2461" t="s">
        <v>6987</v>
      </c>
      <c r="Q2461" t="s">
        <v>6988</v>
      </c>
      <c r="S2461" t="s">
        <v>11683</v>
      </c>
      <c r="U2461" t="s">
        <v>45</v>
      </c>
      <c r="V2461" t="s">
        <v>46</v>
      </c>
      <c r="W2461" t="s">
        <v>2571</v>
      </c>
      <c r="X2461" t="s">
        <v>2572</v>
      </c>
      <c r="Y2461" t="s">
        <v>2399</v>
      </c>
      <c r="Z2461" t="s">
        <v>2400</v>
      </c>
      <c r="AA2461" t="s">
        <v>49</v>
      </c>
      <c r="AB2461" t="s">
        <v>50</v>
      </c>
      <c r="AC2461" s="2">
        <v>286618.02</v>
      </c>
      <c r="AD2461" t="s">
        <v>11684</v>
      </c>
      <c r="AE2461" t="s">
        <v>115</v>
      </c>
    </row>
    <row r="2462" spans="1:31" x14ac:dyDescent="0.25">
      <c r="A2462" t="s">
        <v>11685</v>
      </c>
      <c r="B2462" t="s">
        <v>11686</v>
      </c>
      <c r="C2462" t="s">
        <v>11686</v>
      </c>
      <c r="D2462" t="s">
        <v>344</v>
      </c>
      <c r="E2462" t="s">
        <v>167</v>
      </c>
      <c r="F2462" t="s">
        <v>11687</v>
      </c>
      <c r="G2462" t="s">
        <v>1939</v>
      </c>
      <c r="H2462" t="s">
        <v>7263</v>
      </c>
      <c r="I2462" t="s">
        <v>11688</v>
      </c>
      <c r="J2462" s="2">
        <v>1341900</v>
      </c>
      <c r="K2462" s="2">
        <v>6000</v>
      </c>
      <c r="L2462" s="2">
        <v>30</v>
      </c>
      <c r="M2462" s="2">
        <v>0</v>
      </c>
      <c r="N2462" t="s">
        <v>2571</v>
      </c>
      <c r="O2462" t="s">
        <v>2572</v>
      </c>
      <c r="P2462" t="s">
        <v>6987</v>
      </c>
      <c r="Q2462" t="s">
        <v>6988</v>
      </c>
      <c r="S2462" t="s">
        <v>11689</v>
      </c>
      <c r="U2462" t="s">
        <v>45</v>
      </c>
      <c r="V2462" t="s">
        <v>46</v>
      </c>
      <c r="W2462" t="s">
        <v>2571</v>
      </c>
      <c r="X2462" t="s">
        <v>2572</v>
      </c>
      <c r="Y2462" t="s">
        <v>2399</v>
      </c>
      <c r="Z2462" t="s">
        <v>2400</v>
      </c>
      <c r="AA2462" t="s">
        <v>49</v>
      </c>
      <c r="AB2462" t="s">
        <v>50</v>
      </c>
      <c r="AC2462" s="2">
        <v>838223.12</v>
      </c>
      <c r="AD2462" t="s">
        <v>11690</v>
      </c>
      <c r="AE2462" t="s">
        <v>115</v>
      </c>
    </row>
    <row r="2463" spans="1:31" x14ac:dyDescent="0.25">
      <c r="A2463" t="s">
        <v>11691</v>
      </c>
      <c r="B2463" t="s">
        <v>11692</v>
      </c>
      <c r="C2463" t="s">
        <v>11692</v>
      </c>
      <c r="D2463" t="s">
        <v>344</v>
      </c>
      <c r="E2463" t="s">
        <v>167</v>
      </c>
      <c r="F2463" t="s">
        <v>11693</v>
      </c>
      <c r="G2463" t="s">
        <v>1939</v>
      </c>
      <c r="H2463" t="s">
        <v>11694</v>
      </c>
      <c r="I2463" t="s">
        <v>11682</v>
      </c>
      <c r="J2463" s="2">
        <v>536760</v>
      </c>
      <c r="K2463" s="2">
        <v>2400</v>
      </c>
      <c r="L2463" s="2">
        <v>30</v>
      </c>
      <c r="M2463" s="2">
        <v>0</v>
      </c>
      <c r="N2463" t="s">
        <v>2571</v>
      </c>
      <c r="O2463" t="s">
        <v>2572</v>
      </c>
      <c r="P2463" t="s">
        <v>6987</v>
      </c>
      <c r="Q2463" t="s">
        <v>6988</v>
      </c>
      <c r="S2463" t="s">
        <v>11695</v>
      </c>
      <c r="U2463" t="s">
        <v>45</v>
      </c>
      <c r="V2463" t="s">
        <v>46</v>
      </c>
      <c r="W2463" t="s">
        <v>2571</v>
      </c>
      <c r="X2463" t="s">
        <v>2572</v>
      </c>
      <c r="Y2463" t="s">
        <v>2399</v>
      </c>
      <c r="Z2463" t="s">
        <v>2400</v>
      </c>
      <c r="AA2463" t="s">
        <v>49</v>
      </c>
      <c r="AB2463" t="s">
        <v>50</v>
      </c>
      <c r="AC2463" s="2">
        <v>229207.53</v>
      </c>
      <c r="AD2463" t="s">
        <v>11696</v>
      </c>
      <c r="AE2463" t="s">
        <v>115</v>
      </c>
    </row>
    <row r="2464" spans="1:31" x14ac:dyDescent="0.25">
      <c r="A2464" t="s">
        <v>11697</v>
      </c>
      <c r="B2464" t="s">
        <v>11698</v>
      </c>
      <c r="C2464" t="s">
        <v>11698</v>
      </c>
      <c r="D2464" t="s">
        <v>344</v>
      </c>
      <c r="E2464" t="s">
        <v>167</v>
      </c>
      <c r="F2464" t="s">
        <v>11699</v>
      </c>
      <c r="G2464" t="s">
        <v>1289</v>
      </c>
      <c r="H2464" t="s">
        <v>7263</v>
      </c>
      <c r="I2464" t="s">
        <v>11688</v>
      </c>
      <c r="J2464" s="2">
        <v>610876</v>
      </c>
      <c r="K2464" s="2">
        <v>2800</v>
      </c>
      <c r="L2464" s="2">
        <v>30</v>
      </c>
      <c r="M2464" s="2">
        <v>0</v>
      </c>
      <c r="N2464" t="s">
        <v>2571</v>
      </c>
      <c r="O2464" t="s">
        <v>2572</v>
      </c>
      <c r="P2464" t="s">
        <v>6987</v>
      </c>
      <c r="Q2464" t="s">
        <v>6988</v>
      </c>
      <c r="S2464" t="s">
        <v>11700</v>
      </c>
      <c r="U2464" t="s">
        <v>45</v>
      </c>
      <c r="V2464" t="s">
        <v>46</v>
      </c>
      <c r="W2464" t="s">
        <v>2571</v>
      </c>
      <c r="X2464" t="s">
        <v>2572</v>
      </c>
      <c r="Y2464" t="s">
        <v>2399</v>
      </c>
      <c r="Z2464" t="s">
        <v>2400</v>
      </c>
      <c r="AA2464" t="s">
        <v>49</v>
      </c>
      <c r="AB2464" t="s">
        <v>50</v>
      </c>
      <c r="AC2464" s="2">
        <v>610875.51</v>
      </c>
      <c r="AD2464" t="s">
        <v>11701</v>
      </c>
    </row>
    <row r="2465" spans="1:31" hidden="1" x14ac:dyDescent="0.25">
      <c r="J2465" s="2">
        <v>1000</v>
      </c>
      <c r="K2465" s="2">
        <v>0</v>
      </c>
      <c r="L2465" s="2">
        <v>1</v>
      </c>
      <c r="M2465" s="2">
        <v>0</v>
      </c>
      <c r="S2465" t="s">
        <v>11702</v>
      </c>
      <c r="U2465" t="s">
        <v>45</v>
      </c>
      <c r="V2465" t="s">
        <v>46</v>
      </c>
      <c r="W2465" t="s">
        <v>1064</v>
      </c>
      <c r="X2465" t="s">
        <v>1062</v>
      </c>
      <c r="Y2465" t="s">
        <v>72</v>
      </c>
      <c r="Z2465" t="s">
        <v>68</v>
      </c>
      <c r="AA2465" t="s">
        <v>49</v>
      </c>
      <c r="AC2465" s="2"/>
    </row>
    <row r="2466" spans="1:31" x14ac:dyDescent="0.25">
      <c r="A2466" t="s">
        <v>11703</v>
      </c>
      <c r="B2466" t="s">
        <v>11704</v>
      </c>
      <c r="C2466" t="s">
        <v>11704</v>
      </c>
      <c r="D2466" t="s">
        <v>125</v>
      </c>
      <c r="E2466" t="s">
        <v>126</v>
      </c>
      <c r="F2466" t="s">
        <v>11705</v>
      </c>
      <c r="G2466" t="s">
        <v>125</v>
      </c>
      <c r="H2466" t="s">
        <v>9937</v>
      </c>
      <c r="J2466" s="2">
        <v>508398</v>
      </c>
      <c r="K2466" s="2">
        <v>2200</v>
      </c>
      <c r="L2466" s="2">
        <v>15</v>
      </c>
      <c r="M2466" s="2">
        <v>0</v>
      </c>
      <c r="N2466" t="s">
        <v>1362</v>
      </c>
      <c r="O2466" t="s">
        <v>1360</v>
      </c>
      <c r="P2466" t="s">
        <v>2320</v>
      </c>
      <c r="Q2466" t="s">
        <v>2321</v>
      </c>
      <c r="S2466" t="s">
        <v>11706</v>
      </c>
      <c r="U2466" t="s">
        <v>45</v>
      </c>
      <c r="V2466" t="s">
        <v>46</v>
      </c>
      <c r="W2466" t="s">
        <v>1362</v>
      </c>
      <c r="X2466" t="s">
        <v>1360</v>
      </c>
      <c r="Y2466" t="s">
        <v>1215</v>
      </c>
      <c r="Z2466" t="s">
        <v>1216</v>
      </c>
      <c r="AA2466" t="s">
        <v>49</v>
      </c>
      <c r="AB2466" t="s">
        <v>50</v>
      </c>
      <c r="AC2466" s="2">
        <v>102267.61</v>
      </c>
      <c r="AD2466" t="s">
        <v>11707</v>
      </c>
      <c r="AE2466" t="s">
        <v>52</v>
      </c>
    </row>
    <row r="2467" spans="1:31" x14ac:dyDescent="0.25">
      <c r="A2467" t="s">
        <v>11708</v>
      </c>
      <c r="B2467" t="s">
        <v>11709</v>
      </c>
      <c r="C2467" t="s">
        <v>11709</v>
      </c>
      <c r="D2467" t="s">
        <v>11710</v>
      </c>
      <c r="E2467" t="s">
        <v>224</v>
      </c>
      <c r="F2467" t="s">
        <v>11711</v>
      </c>
      <c r="G2467" t="s">
        <v>1865</v>
      </c>
      <c r="H2467" t="s">
        <v>6519</v>
      </c>
      <c r="J2467" s="2">
        <v>1090850</v>
      </c>
      <c r="K2467" s="2">
        <v>5000</v>
      </c>
      <c r="L2467" s="2">
        <v>30</v>
      </c>
      <c r="M2467" s="2">
        <v>0</v>
      </c>
      <c r="N2467" t="s">
        <v>5201</v>
      </c>
      <c r="O2467" t="s">
        <v>5202</v>
      </c>
      <c r="P2467" t="s">
        <v>4853</v>
      </c>
      <c r="Q2467" t="s">
        <v>4854</v>
      </c>
      <c r="S2467" t="s">
        <v>11712</v>
      </c>
      <c r="U2467" t="s">
        <v>45</v>
      </c>
      <c r="V2467" t="s">
        <v>46</v>
      </c>
      <c r="W2467" t="s">
        <v>5201</v>
      </c>
      <c r="X2467" t="s">
        <v>5202</v>
      </c>
      <c r="Y2467" t="s">
        <v>4854</v>
      </c>
      <c r="Z2467" t="s">
        <v>72</v>
      </c>
      <c r="AA2467" t="s">
        <v>49</v>
      </c>
      <c r="AB2467" t="s">
        <v>50</v>
      </c>
      <c r="AC2467" s="2">
        <v>1047411.76</v>
      </c>
      <c r="AD2467" t="s">
        <v>11713</v>
      </c>
    </row>
    <row r="2468" spans="1:31" x14ac:dyDescent="0.25">
      <c r="A2468" t="s">
        <v>11714</v>
      </c>
      <c r="B2468" t="s">
        <v>11715</v>
      </c>
      <c r="C2468" t="s">
        <v>11715</v>
      </c>
      <c r="D2468" t="s">
        <v>153</v>
      </c>
      <c r="E2468" t="s">
        <v>272</v>
      </c>
      <c r="F2468" t="s">
        <v>11716</v>
      </c>
      <c r="G2468" t="s">
        <v>478</v>
      </c>
      <c r="H2468" t="s">
        <v>6027</v>
      </c>
      <c r="I2468" t="s">
        <v>11717</v>
      </c>
      <c r="J2468" s="2">
        <v>729330</v>
      </c>
      <c r="K2468" s="2">
        <v>3000</v>
      </c>
      <c r="L2468" s="2">
        <v>15</v>
      </c>
      <c r="M2468" s="2">
        <v>0</v>
      </c>
      <c r="N2468" t="s">
        <v>6029</v>
      </c>
      <c r="O2468" t="s">
        <v>6030</v>
      </c>
      <c r="P2468" t="s">
        <v>82</v>
      </c>
      <c r="Q2468" t="s">
        <v>83</v>
      </c>
      <c r="S2468" t="s">
        <v>11718</v>
      </c>
      <c r="U2468" t="s">
        <v>45</v>
      </c>
      <c r="V2468" t="s">
        <v>46</v>
      </c>
      <c r="W2468" t="s">
        <v>6029</v>
      </c>
      <c r="X2468" t="s">
        <v>6030</v>
      </c>
      <c r="Y2468" t="s">
        <v>85</v>
      </c>
      <c r="Z2468" t="s">
        <v>86</v>
      </c>
      <c r="AA2468" t="s">
        <v>49</v>
      </c>
      <c r="AB2468" t="s">
        <v>50</v>
      </c>
      <c r="AC2468" s="2">
        <v>713805.65</v>
      </c>
      <c r="AD2468" t="s">
        <v>11719</v>
      </c>
    </row>
    <row r="2469" spans="1:31" x14ac:dyDescent="0.25">
      <c r="A2469" t="s">
        <v>11720</v>
      </c>
      <c r="B2469" t="s">
        <v>11721</v>
      </c>
      <c r="C2469" t="s">
        <v>11721</v>
      </c>
      <c r="D2469" t="s">
        <v>297</v>
      </c>
      <c r="E2469" t="s">
        <v>167</v>
      </c>
      <c r="F2469" t="s">
        <v>11722</v>
      </c>
      <c r="G2469" t="s">
        <v>344</v>
      </c>
      <c r="H2469" t="s">
        <v>11723</v>
      </c>
      <c r="I2469" t="s">
        <v>11724</v>
      </c>
      <c r="J2469" s="2">
        <v>436340</v>
      </c>
      <c r="K2469" s="2">
        <v>2000</v>
      </c>
      <c r="L2469" s="2">
        <v>15</v>
      </c>
      <c r="M2469" s="2">
        <v>0</v>
      </c>
      <c r="N2469" t="s">
        <v>585</v>
      </c>
      <c r="O2469" t="s">
        <v>584</v>
      </c>
      <c r="P2469" t="s">
        <v>4315</v>
      </c>
      <c r="Q2469" t="s">
        <v>4316</v>
      </c>
      <c r="S2469" t="s">
        <v>11725</v>
      </c>
      <c r="U2469" t="s">
        <v>45</v>
      </c>
      <c r="V2469" t="s">
        <v>46</v>
      </c>
      <c r="W2469" t="s">
        <v>585</v>
      </c>
      <c r="X2469" t="s">
        <v>584</v>
      </c>
      <c r="Y2469" t="s">
        <v>161</v>
      </c>
      <c r="Z2469" t="s">
        <v>162</v>
      </c>
      <c r="AA2469" t="s">
        <v>49</v>
      </c>
      <c r="AB2469" t="s">
        <v>50</v>
      </c>
      <c r="AC2469" s="2">
        <v>326953.21999999997</v>
      </c>
      <c r="AD2469" t="s">
        <v>11726</v>
      </c>
    </row>
    <row r="2470" spans="1:31" x14ac:dyDescent="0.25">
      <c r="A2470" t="s">
        <v>11727</v>
      </c>
      <c r="B2470" t="s">
        <v>11728</v>
      </c>
      <c r="C2470" t="s">
        <v>11728</v>
      </c>
      <c r="D2470" t="s">
        <v>847</v>
      </c>
      <c r="E2470" t="s">
        <v>848</v>
      </c>
      <c r="F2470" t="s">
        <v>11729</v>
      </c>
      <c r="G2470" t="s">
        <v>178</v>
      </c>
      <c r="H2470" t="s">
        <v>2647</v>
      </c>
      <c r="I2470" t="s">
        <v>11730</v>
      </c>
      <c r="J2470" s="2">
        <v>54543</v>
      </c>
      <c r="K2470" s="2">
        <v>250</v>
      </c>
      <c r="L2470" s="2">
        <v>15</v>
      </c>
      <c r="M2470" s="2">
        <v>0</v>
      </c>
      <c r="N2470" t="s">
        <v>1362</v>
      </c>
      <c r="O2470" t="s">
        <v>1360</v>
      </c>
      <c r="P2470" t="s">
        <v>1212</v>
      </c>
      <c r="Q2470" t="s">
        <v>1213</v>
      </c>
      <c r="S2470" t="s">
        <v>11731</v>
      </c>
      <c r="U2470" t="s">
        <v>45</v>
      </c>
      <c r="V2470" t="s">
        <v>46</v>
      </c>
      <c r="W2470" t="s">
        <v>1362</v>
      </c>
      <c r="X2470" t="s">
        <v>1360</v>
      </c>
      <c r="Y2470" t="s">
        <v>1215</v>
      </c>
      <c r="Z2470" t="s">
        <v>1216</v>
      </c>
      <c r="AA2470" t="s">
        <v>49</v>
      </c>
      <c r="AB2470" t="s">
        <v>50</v>
      </c>
      <c r="AC2470" s="2">
        <v>9825.2199999999993</v>
      </c>
      <c r="AD2470" t="s">
        <v>11732</v>
      </c>
      <c r="AE2470" t="s">
        <v>52</v>
      </c>
    </row>
    <row r="2471" spans="1:31" x14ac:dyDescent="0.25">
      <c r="A2471" t="s">
        <v>11733</v>
      </c>
      <c r="B2471" t="s">
        <v>11734</v>
      </c>
      <c r="C2471" t="s">
        <v>11734</v>
      </c>
      <c r="D2471" t="s">
        <v>344</v>
      </c>
      <c r="E2471" t="s">
        <v>167</v>
      </c>
      <c r="F2471" t="s">
        <v>11735</v>
      </c>
      <c r="G2471" t="s">
        <v>1289</v>
      </c>
      <c r="H2471" t="s">
        <v>11736</v>
      </c>
      <c r="I2471" t="s">
        <v>11737</v>
      </c>
      <c r="J2471" s="2">
        <v>436340</v>
      </c>
      <c r="K2471" s="2">
        <v>2000</v>
      </c>
      <c r="L2471" s="2">
        <v>30</v>
      </c>
      <c r="M2471" s="2">
        <v>0</v>
      </c>
      <c r="N2471" t="s">
        <v>5741</v>
      </c>
      <c r="O2471" t="s">
        <v>5739</v>
      </c>
      <c r="P2471" t="s">
        <v>6987</v>
      </c>
      <c r="Q2471" t="s">
        <v>6988</v>
      </c>
      <c r="S2471" t="s">
        <v>11738</v>
      </c>
      <c r="U2471" t="s">
        <v>45</v>
      </c>
      <c r="V2471" t="s">
        <v>46</v>
      </c>
      <c r="W2471" t="s">
        <v>5741</v>
      </c>
      <c r="X2471" t="s">
        <v>5739</v>
      </c>
      <c r="Y2471" t="s">
        <v>5743</v>
      </c>
      <c r="Z2471" t="s">
        <v>5744</v>
      </c>
      <c r="AA2471" t="s">
        <v>49</v>
      </c>
      <c r="AB2471" t="s">
        <v>50</v>
      </c>
      <c r="AC2471" s="2">
        <v>436340</v>
      </c>
      <c r="AD2471" t="s">
        <v>64</v>
      </c>
    </row>
    <row r="2472" spans="1:31" x14ac:dyDescent="0.25">
      <c r="A2472" t="s">
        <v>11739</v>
      </c>
      <c r="B2472" t="s">
        <v>11740</v>
      </c>
      <c r="C2472" t="s">
        <v>11740</v>
      </c>
      <c r="D2472" t="s">
        <v>344</v>
      </c>
      <c r="E2472" t="s">
        <v>167</v>
      </c>
      <c r="F2472" t="s">
        <v>11741</v>
      </c>
      <c r="G2472" t="s">
        <v>1289</v>
      </c>
      <c r="H2472" t="s">
        <v>7263</v>
      </c>
      <c r="I2472" t="s">
        <v>11737</v>
      </c>
      <c r="J2472" s="2">
        <v>436340</v>
      </c>
      <c r="K2472" s="2">
        <v>2000</v>
      </c>
      <c r="L2472" s="2">
        <v>30</v>
      </c>
      <c r="M2472" s="2">
        <v>0</v>
      </c>
      <c r="N2472" t="s">
        <v>2571</v>
      </c>
      <c r="O2472" t="s">
        <v>2572</v>
      </c>
      <c r="P2472" t="s">
        <v>6987</v>
      </c>
      <c r="Q2472" t="s">
        <v>6988</v>
      </c>
      <c r="S2472" t="s">
        <v>11742</v>
      </c>
      <c r="U2472" t="s">
        <v>45</v>
      </c>
      <c r="V2472" t="s">
        <v>46</v>
      </c>
      <c r="W2472" t="s">
        <v>2571</v>
      </c>
      <c r="X2472" t="s">
        <v>2572</v>
      </c>
      <c r="Y2472" t="s">
        <v>2399</v>
      </c>
      <c r="Z2472" t="s">
        <v>2400</v>
      </c>
      <c r="AA2472" t="s">
        <v>49</v>
      </c>
      <c r="AB2472" t="s">
        <v>50</v>
      </c>
      <c r="AC2472" s="2">
        <v>436340</v>
      </c>
      <c r="AD2472" t="s">
        <v>64</v>
      </c>
    </row>
    <row r="2473" spans="1:31" hidden="1" x14ac:dyDescent="0.25">
      <c r="A2473" t="s">
        <v>11743</v>
      </c>
      <c r="B2473" t="s">
        <v>11744</v>
      </c>
      <c r="C2473" t="s">
        <v>11744</v>
      </c>
      <c r="F2473" t="s">
        <v>11745</v>
      </c>
      <c r="H2473" t="s">
        <v>6073</v>
      </c>
      <c r="I2473" t="s">
        <v>11746</v>
      </c>
      <c r="J2473" s="2">
        <v>218</v>
      </c>
      <c r="K2473" s="2">
        <v>1</v>
      </c>
      <c r="L2473" s="2">
        <v>1</v>
      </c>
      <c r="M2473" s="2">
        <v>0</v>
      </c>
      <c r="N2473" t="s">
        <v>6072</v>
      </c>
      <c r="O2473" t="s">
        <v>6073</v>
      </c>
      <c r="P2473" t="s">
        <v>82</v>
      </c>
      <c r="Q2473" t="s">
        <v>83</v>
      </c>
      <c r="S2473" t="s">
        <v>11747</v>
      </c>
      <c r="U2473" t="s">
        <v>45</v>
      </c>
      <c r="V2473" t="s">
        <v>46</v>
      </c>
      <c r="W2473" t="s">
        <v>6072</v>
      </c>
      <c r="X2473" t="s">
        <v>6073</v>
      </c>
      <c r="Y2473" t="s">
        <v>85</v>
      </c>
      <c r="Z2473" t="s">
        <v>86</v>
      </c>
      <c r="AA2473" t="s">
        <v>49</v>
      </c>
      <c r="AB2473" t="s">
        <v>50</v>
      </c>
      <c r="AC2473" s="2">
        <v>218</v>
      </c>
      <c r="AD2473" t="s">
        <v>64</v>
      </c>
    </row>
    <row r="2474" spans="1:31" x14ac:dyDescent="0.25">
      <c r="A2474" t="s">
        <v>11748</v>
      </c>
      <c r="B2474" t="s">
        <v>11749</v>
      </c>
      <c r="C2474" t="s">
        <v>11749</v>
      </c>
      <c r="D2474" t="s">
        <v>125</v>
      </c>
      <c r="E2474" t="s">
        <v>126</v>
      </c>
      <c r="F2474" t="s">
        <v>11750</v>
      </c>
      <c r="G2474" t="s">
        <v>125</v>
      </c>
      <c r="H2474" t="s">
        <v>10105</v>
      </c>
      <c r="I2474" t="s">
        <v>11751</v>
      </c>
      <c r="J2474" s="2">
        <v>395766</v>
      </c>
      <c r="K2474" s="2">
        <v>1800</v>
      </c>
      <c r="L2474" s="2">
        <v>30</v>
      </c>
      <c r="M2474" s="2">
        <v>0</v>
      </c>
      <c r="N2474" t="s">
        <v>10106</v>
      </c>
      <c r="O2474" t="s">
        <v>10105</v>
      </c>
      <c r="P2474" t="s">
        <v>10093</v>
      </c>
      <c r="Q2474" t="s">
        <v>10094</v>
      </c>
      <c r="S2474" t="s">
        <v>11752</v>
      </c>
      <c r="U2474" t="s">
        <v>45</v>
      </c>
      <c r="V2474" t="s">
        <v>46</v>
      </c>
      <c r="W2474" t="s">
        <v>10106</v>
      </c>
      <c r="X2474" t="s">
        <v>10105</v>
      </c>
      <c r="Y2474" t="s">
        <v>7938</v>
      </c>
      <c r="Z2474" t="s">
        <v>7939</v>
      </c>
      <c r="AA2474" t="s">
        <v>49</v>
      </c>
      <c r="AB2474" t="s">
        <v>50</v>
      </c>
      <c r="AC2474" s="2">
        <v>40426.720000000001</v>
      </c>
      <c r="AD2474" t="s">
        <v>11753</v>
      </c>
      <c r="AE2474" t="s">
        <v>52</v>
      </c>
    </row>
    <row r="2475" spans="1:31" x14ac:dyDescent="0.25">
      <c r="A2475" t="s">
        <v>11754</v>
      </c>
      <c r="B2475" t="s">
        <v>11755</v>
      </c>
      <c r="C2475" t="s">
        <v>11755</v>
      </c>
      <c r="D2475" t="s">
        <v>847</v>
      </c>
      <c r="E2475" t="s">
        <v>848</v>
      </c>
      <c r="F2475" t="s">
        <v>11756</v>
      </c>
      <c r="H2475" t="s">
        <v>41</v>
      </c>
      <c r="J2475" s="2">
        <v>10909</v>
      </c>
      <c r="K2475" s="2">
        <v>50</v>
      </c>
      <c r="L2475" s="2">
        <v>15</v>
      </c>
      <c r="M2475" s="2">
        <v>0</v>
      </c>
      <c r="N2475" t="s">
        <v>40</v>
      </c>
      <c r="O2475" t="s">
        <v>41</v>
      </c>
      <c r="P2475" t="s">
        <v>42</v>
      </c>
      <c r="Q2475" t="s">
        <v>43</v>
      </c>
      <c r="U2475" t="s">
        <v>45</v>
      </c>
      <c r="V2475" t="s">
        <v>46</v>
      </c>
      <c r="W2475" t="s">
        <v>40</v>
      </c>
      <c r="X2475" t="s">
        <v>41</v>
      </c>
      <c r="Y2475" t="s">
        <v>47</v>
      </c>
      <c r="Z2475" t="s">
        <v>48</v>
      </c>
      <c r="AA2475" t="s">
        <v>141</v>
      </c>
      <c r="AB2475" t="s">
        <v>50</v>
      </c>
      <c r="AC2475" s="2">
        <v>10909</v>
      </c>
      <c r="AD2475" t="s">
        <v>64</v>
      </c>
    </row>
    <row r="2476" spans="1:31" x14ac:dyDescent="0.25">
      <c r="A2476" t="s">
        <v>11757</v>
      </c>
      <c r="B2476" t="s">
        <v>11758</v>
      </c>
      <c r="C2476" t="s">
        <v>11758</v>
      </c>
      <c r="D2476" t="s">
        <v>297</v>
      </c>
      <c r="E2476" t="s">
        <v>167</v>
      </c>
      <c r="F2476" t="s">
        <v>11759</v>
      </c>
      <c r="G2476" t="s">
        <v>297</v>
      </c>
      <c r="H2476" t="s">
        <v>10458</v>
      </c>
      <c r="I2476" t="s">
        <v>11760</v>
      </c>
      <c r="J2476" s="2">
        <v>65451</v>
      </c>
      <c r="K2476" s="2">
        <v>300</v>
      </c>
      <c r="L2476" s="2">
        <v>30</v>
      </c>
      <c r="M2476" s="2">
        <v>0</v>
      </c>
      <c r="N2476" t="s">
        <v>10460</v>
      </c>
      <c r="O2476" t="s">
        <v>10458</v>
      </c>
      <c r="P2476" t="s">
        <v>10093</v>
      </c>
      <c r="Q2476" t="s">
        <v>10094</v>
      </c>
      <c r="S2476" t="s">
        <v>11761</v>
      </c>
      <c r="U2476" t="s">
        <v>45</v>
      </c>
      <c r="V2476" t="s">
        <v>46</v>
      </c>
      <c r="W2476" t="s">
        <v>10460</v>
      </c>
      <c r="X2476" t="s">
        <v>10458</v>
      </c>
      <c r="Y2476" t="s">
        <v>7938</v>
      </c>
      <c r="Z2476" t="s">
        <v>7939</v>
      </c>
      <c r="AA2476" t="s">
        <v>49</v>
      </c>
      <c r="AB2476" t="s">
        <v>50</v>
      </c>
      <c r="AC2476" s="2">
        <v>40808.71</v>
      </c>
      <c r="AD2476" t="s">
        <v>11762</v>
      </c>
      <c r="AE2476" t="s">
        <v>52</v>
      </c>
    </row>
    <row r="2477" spans="1:31" x14ac:dyDescent="0.25">
      <c r="A2477" t="s">
        <v>11763</v>
      </c>
      <c r="B2477" t="s">
        <v>11764</v>
      </c>
      <c r="C2477" t="s">
        <v>11764</v>
      </c>
      <c r="D2477" t="s">
        <v>847</v>
      </c>
      <c r="E2477" t="s">
        <v>848</v>
      </c>
      <c r="F2477" t="s">
        <v>11765</v>
      </c>
      <c r="H2477" t="s">
        <v>41</v>
      </c>
      <c r="J2477" s="2">
        <v>10909</v>
      </c>
      <c r="K2477" s="2">
        <v>50</v>
      </c>
      <c r="L2477" s="2">
        <v>15</v>
      </c>
      <c r="M2477" s="2">
        <v>0</v>
      </c>
      <c r="N2477" t="s">
        <v>40</v>
      </c>
      <c r="O2477" t="s">
        <v>41</v>
      </c>
      <c r="P2477" t="s">
        <v>42</v>
      </c>
      <c r="Q2477" t="s">
        <v>43</v>
      </c>
      <c r="U2477" t="s">
        <v>45</v>
      </c>
      <c r="V2477" t="s">
        <v>46</v>
      </c>
      <c r="W2477" t="s">
        <v>40</v>
      </c>
      <c r="X2477" t="s">
        <v>41</v>
      </c>
      <c r="Y2477" t="s">
        <v>47</v>
      </c>
      <c r="Z2477" t="s">
        <v>48</v>
      </c>
      <c r="AA2477" t="s">
        <v>141</v>
      </c>
      <c r="AB2477" t="s">
        <v>50</v>
      </c>
      <c r="AC2477" s="2">
        <v>10906.64</v>
      </c>
      <c r="AD2477" t="s">
        <v>11766</v>
      </c>
    </row>
    <row r="2478" spans="1:31" x14ac:dyDescent="0.25">
      <c r="A2478" t="s">
        <v>11767</v>
      </c>
      <c r="B2478" t="s">
        <v>11768</v>
      </c>
      <c r="C2478" t="s">
        <v>11768</v>
      </c>
      <c r="D2478" t="s">
        <v>125</v>
      </c>
      <c r="E2478" t="s">
        <v>126</v>
      </c>
      <c r="F2478" t="s">
        <v>11769</v>
      </c>
      <c r="G2478" t="s">
        <v>35</v>
      </c>
      <c r="H2478" t="s">
        <v>2002</v>
      </c>
      <c r="I2478" t="s">
        <v>11770</v>
      </c>
      <c r="J2478" s="2">
        <v>279577</v>
      </c>
      <c r="K2478" s="2">
        <v>1150</v>
      </c>
      <c r="L2478" s="2">
        <v>30</v>
      </c>
      <c r="M2478" s="2">
        <v>0</v>
      </c>
      <c r="N2478" t="s">
        <v>101</v>
      </c>
      <c r="O2478" t="s">
        <v>102</v>
      </c>
      <c r="P2478" t="s">
        <v>103</v>
      </c>
      <c r="Q2478" t="s">
        <v>104</v>
      </c>
      <c r="S2478" t="s">
        <v>11771</v>
      </c>
      <c r="U2478" t="s">
        <v>45</v>
      </c>
      <c r="V2478" t="s">
        <v>46</v>
      </c>
      <c r="W2478" t="s">
        <v>101</v>
      </c>
      <c r="X2478" t="s">
        <v>102</v>
      </c>
      <c r="Y2478" t="s">
        <v>106</v>
      </c>
      <c r="Z2478" t="s">
        <v>107</v>
      </c>
      <c r="AA2478" t="s">
        <v>49</v>
      </c>
      <c r="AB2478" t="s">
        <v>50</v>
      </c>
      <c r="AC2478" s="2">
        <v>-72484.33</v>
      </c>
      <c r="AD2478" t="s">
        <v>11772</v>
      </c>
      <c r="AE2478" t="s">
        <v>52</v>
      </c>
    </row>
    <row r="2479" spans="1:31" x14ac:dyDescent="0.25">
      <c r="A2479" t="s">
        <v>11773</v>
      </c>
      <c r="B2479" t="s">
        <v>11774</v>
      </c>
      <c r="C2479" t="s">
        <v>11774</v>
      </c>
      <c r="D2479" t="s">
        <v>35</v>
      </c>
      <c r="E2479" t="s">
        <v>36</v>
      </c>
      <c r="F2479" t="s">
        <v>11775</v>
      </c>
      <c r="G2479" t="s">
        <v>153</v>
      </c>
      <c r="H2479" t="s">
        <v>2002</v>
      </c>
      <c r="I2479" t="s">
        <v>11770</v>
      </c>
      <c r="J2479" s="2">
        <v>364665</v>
      </c>
      <c r="K2479" s="2">
        <v>1500</v>
      </c>
      <c r="L2479" s="2">
        <v>30</v>
      </c>
      <c r="M2479" s="2">
        <v>0</v>
      </c>
      <c r="N2479" t="s">
        <v>101</v>
      </c>
      <c r="O2479" t="s">
        <v>102</v>
      </c>
      <c r="P2479" t="s">
        <v>103</v>
      </c>
      <c r="Q2479" t="s">
        <v>104</v>
      </c>
      <c r="S2479" t="s">
        <v>11776</v>
      </c>
      <c r="U2479" t="s">
        <v>45</v>
      </c>
      <c r="V2479" t="s">
        <v>46</v>
      </c>
      <c r="W2479" t="s">
        <v>101</v>
      </c>
      <c r="X2479" t="s">
        <v>102</v>
      </c>
      <c r="Y2479" t="s">
        <v>106</v>
      </c>
      <c r="Z2479" t="s">
        <v>107</v>
      </c>
      <c r="AA2479" t="s">
        <v>49</v>
      </c>
      <c r="AB2479" t="s">
        <v>50</v>
      </c>
      <c r="AC2479" s="2">
        <v>-94566.74</v>
      </c>
      <c r="AD2479" t="s">
        <v>11777</v>
      </c>
      <c r="AE2479" t="s">
        <v>52</v>
      </c>
    </row>
    <row r="2480" spans="1:31" x14ac:dyDescent="0.25">
      <c r="A2480" t="s">
        <v>11778</v>
      </c>
      <c r="B2480" t="s">
        <v>11779</v>
      </c>
      <c r="C2480" t="s">
        <v>11779</v>
      </c>
      <c r="D2480" t="s">
        <v>569</v>
      </c>
      <c r="E2480" t="s">
        <v>570</v>
      </c>
      <c r="F2480" t="s">
        <v>11780</v>
      </c>
      <c r="H2480" t="s">
        <v>41</v>
      </c>
      <c r="J2480" s="2">
        <v>32726</v>
      </c>
      <c r="K2480" s="2">
        <v>150</v>
      </c>
      <c r="L2480" s="2">
        <v>15</v>
      </c>
      <c r="M2480" s="2">
        <v>0</v>
      </c>
      <c r="N2480" t="s">
        <v>40</v>
      </c>
      <c r="O2480" t="s">
        <v>41</v>
      </c>
      <c r="P2480" t="s">
        <v>42</v>
      </c>
      <c r="Q2480" t="s">
        <v>43</v>
      </c>
      <c r="U2480" t="s">
        <v>45</v>
      </c>
      <c r="V2480" t="s">
        <v>46</v>
      </c>
      <c r="W2480" t="s">
        <v>40</v>
      </c>
      <c r="X2480" t="s">
        <v>41</v>
      </c>
      <c r="Y2480" t="s">
        <v>47</v>
      </c>
      <c r="Z2480" t="s">
        <v>48</v>
      </c>
      <c r="AA2480" t="s">
        <v>141</v>
      </c>
      <c r="AB2480" t="s">
        <v>50</v>
      </c>
      <c r="AC2480" s="2">
        <v>32726</v>
      </c>
      <c r="AD2480" t="s">
        <v>64</v>
      </c>
    </row>
    <row r="2481" spans="1:31" x14ac:dyDescent="0.25">
      <c r="A2481" t="s">
        <v>11781</v>
      </c>
      <c r="B2481" t="s">
        <v>11782</v>
      </c>
      <c r="C2481" t="s">
        <v>11782</v>
      </c>
      <c r="D2481" t="s">
        <v>847</v>
      </c>
      <c r="E2481" t="s">
        <v>848</v>
      </c>
      <c r="F2481" t="s">
        <v>11783</v>
      </c>
      <c r="H2481" t="s">
        <v>41</v>
      </c>
      <c r="J2481" s="2">
        <v>10909</v>
      </c>
      <c r="K2481" s="2">
        <v>50</v>
      </c>
      <c r="L2481" s="2">
        <v>15</v>
      </c>
      <c r="M2481" s="2">
        <v>0</v>
      </c>
      <c r="N2481" t="s">
        <v>40</v>
      </c>
      <c r="O2481" t="s">
        <v>41</v>
      </c>
      <c r="P2481" t="s">
        <v>42</v>
      </c>
      <c r="Q2481" t="s">
        <v>43</v>
      </c>
      <c r="U2481" t="s">
        <v>45</v>
      </c>
      <c r="V2481" t="s">
        <v>46</v>
      </c>
      <c r="W2481" t="s">
        <v>40</v>
      </c>
      <c r="X2481" t="s">
        <v>41</v>
      </c>
      <c r="Y2481" t="s">
        <v>47</v>
      </c>
      <c r="Z2481" t="s">
        <v>48</v>
      </c>
      <c r="AA2481" t="s">
        <v>141</v>
      </c>
      <c r="AB2481" t="s">
        <v>50</v>
      </c>
      <c r="AC2481" s="2">
        <v>10659.55</v>
      </c>
      <c r="AD2481" t="s">
        <v>11784</v>
      </c>
    </row>
    <row r="2482" spans="1:31" x14ac:dyDescent="0.25">
      <c r="A2482" t="s">
        <v>11785</v>
      </c>
      <c r="B2482" t="s">
        <v>11786</v>
      </c>
      <c r="C2482" t="s">
        <v>11786</v>
      </c>
      <c r="D2482" t="s">
        <v>1633</v>
      </c>
      <c r="E2482" t="s">
        <v>1502</v>
      </c>
      <c r="F2482" t="s">
        <v>11787</v>
      </c>
      <c r="G2482" t="s">
        <v>773</v>
      </c>
      <c r="H2482" t="s">
        <v>79</v>
      </c>
      <c r="I2482" t="s">
        <v>11788</v>
      </c>
      <c r="J2482" s="2">
        <v>218170</v>
      </c>
      <c r="K2482" s="2">
        <v>1000</v>
      </c>
      <c r="L2482" s="2">
        <v>21</v>
      </c>
      <c r="M2482" s="2">
        <v>0</v>
      </c>
      <c r="N2482" t="s">
        <v>495</v>
      </c>
      <c r="O2482" t="s">
        <v>79</v>
      </c>
      <c r="P2482" t="s">
        <v>3487</v>
      </c>
      <c r="Q2482" t="s">
        <v>3488</v>
      </c>
      <c r="S2482" t="s">
        <v>11789</v>
      </c>
      <c r="U2482" t="s">
        <v>45</v>
      </c>
      <c r="V2482" t="s">
        <v>46</v>
      </c>
      <c r="W2482" t="s">
        <v>495</v>
      </c>
      <c r="X2482" t="s">
        <v>79</v>
      </c>
      <c r="Y2482" t="s">
        <v>79</v>
      </c>
      <c r="Z2482" t="s">
        <v>94</v>
      </c>
      <c r="AA2482" t="s">
        <v>49</v>
      </c>
      <c r="AB2482" t="s">
        <v>50</v>
      </c>
      <c r="AC2482" s="2">
        <v>165532.9</v>
      </c>
      <c r="AD2482" t="s">
        <v>11790</v>
      </c>
    </row>
    <row r="2483" spans="1:31" hidden="1" x14ac:dyDescent="0.25">
      <c r="I2483" t="s">
        <v>11791</v>
      </c>
      <c r="J2483" s="2">
        <v>1000</v>
      </c>
      <c r="K2483" s="2">
        <v>0</v>
      </c>
      <c r="L2483" s="2">
        <v>1</v>
      </c>
      <c r="M2483" s="2">
        <v>0</v>
      </c>
      <c r="S2483" t="s">
        <v>11792</v>
      </c>
      <c r="U2483" t="s">
        <v>45</v>
      </c>
      <c r="V2483" t="s">
        <v>46</v>
      </c>
      <c r="W2483" t="s">
        <v>40</v>
      </c>
      <c r="X2483" t="s">
        <v>41</v>
      </c>
      <c r="Y2483" t="s">
        <v>47</v>
      </c>
      <c r="Z2483" t="s">
        <v>48</v>
      </c>
      <c r="AA2483" t="s">
        <v>49</v>
      </c>
      <c r="AC2483" s="2"/>
    </row>
    <row r="2484" spans="1:31" x14ac:dyDescent="0.25">
      <c r="A2484" t="s">
        <v>11793</v>
      </c>
      <c r="B2484" t="s">
        <v>11794</v>
      </c>
      <c r="C2484" t="s">
        <v>11794</v>
      </c>
      <c r="D2484" t="s">
        <v>1633</v>
      </c>
      <c r="E2484" t="s">
        <v>1502</v>
      </c>
      <c r="F2484" t="s">
        <v>11795</v>
      </c>
      <c r="G2484" t="s">
        <v>819</v>
      </c>
      <c r="H2484" t="s">
        <v>79</v>
      </c>
      <c r="I2484" t="s">
        <v>11788</v>
      </c>
      <c r="J2484" s="2">
        <v>174536</v>
      </c>
      <c r="K2484" s="2">
        <v>800</v>
      </c>
      <c r="L2484" s="2">
        <v>21</v>
      </c>
      <c r="M2484" s="2">
        <v>0</v>
      </c>
      <c r="N2484" t="s">
        <v>495</v>
      </c>
      <c r="O2484" t="s">
        <v>79</v>
      </c>
      <c r="P2484" t="s">
        <v>3487</v>
      </c>
      <c r="Q2484" t="s">
        <v>3488</v>
      </c>
      <c r="S2484" t="s">
        <v>11796</v>
      </c>
      <c r="U2484" t="s">
        <v>45</v>
      </c>
      <c r="V2484" t="s">
        <v>46</v>
      </c>
      <c r="W2484" t="s">
        <v>495</v>
      </c>
      <c r="X2484" t="s">
        <v>79</v>
      </c>
      <c r="Y2484" t="s">
        <v>79</v>
      </c>
      <c r="Z2484" t="s">
        <v>94</v>
      </c>
      <c r="AA2484" t="s">
        <v>49</v>
      </c>
      <c r="AB2484" t="s">
        <v>50</v>
      </c>
      <c r="AC2484" s="2">
        <v>160922.01</v>
      </c>
      <c r="AD2484" t="s">
        <v>11797</v>
      </c>
    </row>
    <row r="2485" spans="1:31" hidden="1" x14ac:dyDescent="0.25">
      <c r="A2485" t="s">
        <v>11798</v>
      </c>
      <c r="B2485" t="s">
        <v>11799</v>
      </c>
      <c r="C2485" t="s">
        <v>11799</v>
      </c>
      <c r="F2485" t="s">
        <v>10922</v>
      </c>
      <c r="J2485" s="2">
        <v>1000</v>
      </c>
      <c r="K2485" s="2">
        <v>0</v>
      </c>
      <c r="L2485" s="2">
        <v>15</v>
      </c>
      <c r="M2485" s="2">
        <v>0</v>
      </c>
      <c r="N2485" t="s">
        <v>11800</v>
      </c>
      <c r="O2485" t="s">
        <v>11801</v>
      </c>
      <c r="P2485" t="s">
        <v>6987</v>
      </c>
      <c r="Q2485" t="s">
        <v>6988</v>
      </c>
      <c r="U2485" t="s">
        <v>45</v>
      </c>
      <c r="V2485" t="s">
        <v>46</v>
      </c>
      <c r="W2485" t="s">
        <v>11800</v>
      </c>
      <c r="X2485" t="s">
        <v>11801</v>
      </c>
      <c r="Y2485" t="s">
        <v>2399</v>
      </c>
      <c r="Z2485" t="s">
        <v>2400</v>
      </c>
      <c r="AA2485" t="s">
        <v>49</v>
      </c>
      <c r="AB2485" t="s">
        <v>50</v>
      </c>
      <c r="AC2485" s="2">
        <v>1000</v>
      </c>
      <c r="AD2485" t="s">
        <v>64</v>
      </c>
    </row>
    <row r="2486" spans="1:31" x14ac:dyDescent="0.25">
      <c r="A2486" t="s">
        <v>11802</v>
      </c>
      <c r="B2486" t="s">
        <v>11803</v>
      </c>
      <c r="C2486" t="s">
        <v>11803</v>
      </c>
      <c r="D2486" t="s">
        <v>35</v>
      </c>
      <c r="E2486" t="s">
        <v>36</v>
      </c>
      <c r="F2486" t="s">
        <v>10922</v>
      </c>
      <c r="G2486" t="s">
        <v>792</v>
      </c>
      <c r="H2486" t="s">
        <v>11801</v>
      </c>
      <c r="I2486" t="s">
        <v>10912</v>
      </c>
      <c r="J2486" s="2">
        <v>436340</v>
      </c>
      <c r="K2486" s="2">
        <v>2000</v>
      </c>
      <c r="L2486" s="2">
        <v>15</v>
      </c>
      <c r="M2486" s="2">
        <v>0</v>
      </c>
      <c r="N2486" t="s">
        <v>11800</v>
      </c>
      <c r="O2486" t="s">
        <v>11801</v>
      </c>
      <c r="P2486" t="s">
        <v>6987</v>
      </c>
      <c r="Q2486" t="s">
        <v>6988</v>
      </c>
      <c r="S2486" t="s">
        <v>10923</v>
      </c>
      <c r="U2486" t="s">
        <v>45</v>
      </c>
      <c r="V2486" t="s">
        <v>46</v>
      </c>
      <c r="W2486" t="s">
        <v>11800</v>
      </c>
      <c r="X2486" t="s">
        <v>11801</v>
      </c>
      <c r="Y2486" t="s">
        <v>2399</v>
      </c>
      <c r="Z2486" t="s">
        <v>2400</v>
      </c>
      <c r="AA2486" t="s">
        <v>49</v>
      </c>
      <c r="AB2486" t="s">
        <v>50</v>
      </c>
      <c r="AC2486" s="2">
        <v>396868.57</v>
      </c>
      <c r="AD2486" t="s">
        <v>11804</v>
      </c>
      <c r="AE2486" t="s">
        <v>52</v>
      </c>
    </row>
    <row r="2487" spans="1:31" x14ac:dyDescent="0.25">
      <c r="A2487" t="s">
        <v>11805</v>
      </c>
      <c r="B2487" t="s">
        <v>11806</v>
      </c>
      <c r="C2487" t="s">
        <v>11806</v>
      </c>
      <c r="D2487" t="s">
        <v>192</v>
      </c>
      <c r="E2487" t="s">
        <v>224</v>
      </c>
      <c r="F2487" t="s">
        <v>11807</v>
      </c>
      <c r="G2487" t="s">
        <v>1865</v>
      </c>
      <c r="H2487" t="s">
        <v>7828</v>
      </c>
      <c r="I2487" t="s">
        <v>11808</v>
      </c>
      <c r="J2487" s="2">
        <v>272713</v>
      </c>
      <c r="K2487" s="2">
        <v>1250</v>
      </c>
      <c r="L2487" s="2">
        <v>30</v>
      </c>
      <c r="M2487" s="2">
        <v>0</v>
      </c>
      <c r="N2487" t="s">
        <v>664</v>
      </c>
      <c r="O2487" t="s">
        <v>665</v>
      </c>
      <c r="P2487" t="s">
        <v>103</v>
      </c>
      <c r="Q2487" t="s">
        <v>104</v>
      </c>
      <c r="S2487" t="s">
        <v>11809</v>
      </c>
      <c r="U2487" t="s">
        <v>45</v>
      </c>
      <c r="V2487" t="s">
        <v>46</v>
      </c>
      <c r="W2487" t="s">
        <v>664</v>
      </c>
      <c r="X2487" t="s">
        <v>665</v>
      </c>
      <c r="Y2487" t="s">
        <v>106</v>
      </c>
      <c r="Z2487" t="s">
        <v>107</v>
      </c>
      <c r="AA2487" t="s">
        <v>49</v>
      </c>
      <c r="AB2487" t="s">
        <v>50</v>
      </c>
      <c r="AC2487" s="2">
        <v>142450.57</v>
      </c>
      <c r="AD2487" t="s">
        <v>11810</v>
      </c>
    </row>
    <row r="2488" spans="1:31" x14ac:dyDescent="0.25">
      <c r="A2488" t="s">
        <v>11811</v>
      </c>
      <c r="B2488" t="s">
        <v>11812</v>
      </c>
      <c r="C2488" t="s">
        <v>11812</v>
      </c>
      <c r="D2488" t="s">
        <v>125</v>
      </c>
      <c r="E2488" t="s">
        <v>126</v>
      </c>
      <c r="F2488" t="s">
        <v>11813</v>
      </c>
      <c r="G2488" t="s">
        <v>153</v>
      </c>
      <c r="H2488" t="s">
        <v>7828</v>
      </c>
      <c r="I2488" t="s">
        <v>11808</v>
      </c>
      <c r="J2488" s="2">
        <v>1090850</v>
      </c>
      <c r="K2488" s="2">
        <v>5000</v>
      </c>
      <c r="L2488" s="2">
        <v>30</v>
      </c>
      <c r="M2488" s="2">
        <v>0</v>
      </c>
      <c r="N2488" t="s">
        <v>664</v>
      </c>
      <c r="O2488" t="s">
        <v>665</v>
      </c>
      <c r="P2488" t="s">
        <v>103</v>
      </c>
      <c r="Q2488" t="s">
        <v>104</v>
      </c>
      <c r="S2488" t="s">
        <v>11814</v>
      </c>
      <c r="U2488" t="s">
        <v>45</v>
      </c>
      <c r="V2488" t="s">
        <v>46</v>
      </c>
      <c r="W2488" t="s">
        <v>664</v>
      </c>
      <c r="X2488" t="s">
        <v>665</v>
      </c>
      <c r="Y2488" t="s">
        <v>106</v>
      </c>
      <c r="Z2488" t="s">
        <v>107</v>
      </c>
      <c r="AA2488" t="s">
        <v>49</v>
      </c>
      <c r="AB2488" t="s">
        <v>50</v>
      </c>
      <c r="AC2488" s="2">
        <v>1090850</v>
      </c>
      <c r="AD2488" t="s">
        <v>64</v>
      </c>
    </row>
    <row r="2489" spans="1:31" x14ac:dyDescent="0.25">
      <c r="A2489" t="s">
        <v>11815</v>
      </c>
      <c r="B2489" t="s">
        <v>11816</v>
      </c>
      <c r="C2489" t="s">
        <v>11816</v>
      </c>
      <c r="D2489" t="s">
        <v>153</v>
      </c>
      <c r="E2489" t="s">
        <v>272</v>
      </c>
      <c r="F2489" t="s">
        <v>11817</v>
      </c>
      <c r="G2489" t="s">
        <v>344</v>
      </c>
      <c r="H2489" t="s">
        <v>2234</v>
      </c>
      <c r="I2489" t="s">
        <v>11818</v>
      </c>
      <c r="J2489" s="2">
        <v>1144444</v>
      </c>
      <c r="K2489" s="2">
        <v>4900</v>
      </c>
      <c r="L2489" s="2">
        <v>2</v>
      </c>
      <c r="M2489" s="2">
        <v>0</v>
      </c>
      <c r="N2489" t="s">
        <v>1108</v>
      </c>
      <c r="O2489" t="s">
        <v>1106</v>
      </c>
      <c r="P2489" t="s">
        <v>6143</v>
      </c>
      <c r="Q2489" t="s">
        <v>6144</v>
      </c>
      <c r="S2489" t="s">
        <v>11819</v>
      </c>
      <c r="U2489" t="s">
        <v>45</v>
      </c>
      <c r="V2489" t="s">
        <v>46</v>
      </c>
      <c r="W2489" t="s">
        <v>1108</v>
      </c>
      <c r="X2489" t="s">
        <v>1106</v>
      </c>
      <c r="Y2489" t="s">
        <v>1112</v>
      </c>
      <c r="Z2489" t="s">
        <v>1113</v>
      </c>
      <c r="AA2489" t="s">
        <v>49</v>
      </c>
      <c r="AB2489" t="s">
        <v>50</v>
      </c>
      <c r="AC2489" s="2">
        <v>837088.68</v>
      </c>
      <c r="AD2489" t="s">
        <v>11820</v>
      </c>
      <c r="AE2489" t="s">
        <v>52</v>
      </c>
    </row>
    <row r="2490" spans="1:31" x14ac:dyDescent="0.25">
      <c r="A2490" t="s">
        <v>11821</v>
      </c>
      <c r="B2490" t="s">
        <v>11822</v>
      </c>
      <c r="C2490" t="s">
        <v>11822</v>
      </c>
      <c r="D2490" t="s">
        <v>1734</v>
      </c>
      <c r="E2490" t="s">
        <v>224</v>
      </c>
      <c r="F2490" t="s">
        <v>11823</v>
      </c>
      <c r="G2490" t="s">
        <v>2288</v>
      </c>
      <c r="H2490" t="s">
        <v>7828</v>
      </c>
      <c r="I2490" t="s">
        <v>11808</v>
      </c>
      <c r="J2490" s="2">
        <v>1090850</v>
      </c>
      <c r="K2490" s="2">
        <v>5000</v>
      </c>
      <c r="L2490" s="2">
        <v>30</v>
      </c>
      <c r="M2490" s="2">
        <v>0</v>
      </c>
      <c r="N2490" t="s">
        <v>664</v>
      </c>
      <c r="O2490" t="s">
        <v>665</v>
      </c>
      <c r="P2490" t="s">
        <v>103</v>
      </c>
      <c r="Q2490" t="s">
        <v>104</v>
      </c>
      <c r="S2490" t="s">
        <v>11824</v>
      </c>
      <c r="U2490" t="s">
        <v>45</v>
      </c>
      <c r="V2490" t="s">
        <v>46</v>
      </c>
      <c r="W2490" t="s">
        <v>664</v>
      </c>
      <c r="X2490" t="s">
        <v>665</v>
      </c>
      <c r="Y2490" t="s">
        <v>106</v>
      </c>
      <c r="Z2490" t="s">
        <v>107</v>
      </c>
      <c r="AA2490" t="s">
        <v>49</v>
      </c>
      <c r="AB2490" t="s">
        <v>50</v>
      </c>
      <c r="AC2490" s="2">
        <v>1090850</v>
      </c>
      <c r="AD2490" t="s">
        <v>64</v>
      </c>
    </row>
    <row r="2491" spans="1:31" hidden="1" x14ac:dyDescent="0.25">
      <c r="I2491" t="s">
        <v>11808</v>
      </c>
      <c r="J2491" s="2">
        <v>1090850</v>
      </c>
      <c r="K2491" s="2">
        <v>5000</v>
      </c>
      <c r="L2491" s="2">
        <v>30</v>
      </c>
      <c r="M2491" s="2">
        <v>0</v>
      </c>
      <c r="S2491" t="s">
        <v>11825</v>
      </c>
      <c r="U2491" t="s">
        <v>45</v>
      </c>
      <c r="V2491" t="s">
        <v>46</v>
      </c>
      <c r="W2491" t="s">
        <v>1064</v>
      </c>
      <c r="X2491" t="s">
        <v>1062</v>
      </c>
      <c r="Y2491" t="s">
        <v>72</v>
      </c>
      <c r="Z2491" t="s">
        <v>68</v>
      </c>
      <c r="AA2491" t="s">
        <v>49</v>
      </c>
      <c r="AC2491" s="2"/>
    </row>
    <row r="2492" spans="1:31" hidden="1" x14ac:dyDescent="0.25">
      <c r="A2492" t="s">
        <v>11826</v>
      </c>
      <c r="B2492" t="s">
        <v>11827</v>
      </c>
      <c r="C2492" t="s">
        <v>11827</v>
      </c>
      <c r="F2492" t="s">
        <v>11828</v>
      </c>
      <c r="H2492" t="s">
        <v>9937</v>
      </c>
      <c r="I2492" t="s">
        <v>11829</v>
      </c>
      <c r="J2492" s="2">
        <v>21817</v>
      </c>
      <c r="K2492" s="2">
        <v>100</v>
      </c>
      <c r="L2492" s="2">
        <v>1</v>
      </c>
      <c r="M2492" s="2">
        <v>0</v>
      </c>
      <c r="N2492" t="s">
        <v>1362</v>
      </c>
      <c r="O2492" t="s">
        <v>1360</v>
      </c>
      <c r="P2492" t="s">
        <v>1421</v>
      </c>
      <c r="Q2492" t="s">
        <v>1422</v>
      </c>
      <c r="S2492" t="s">
        <v>11830</v>
      </c>
      <c r="U2492" t="s">
        <v>45</v>
      </c>
      <c r="V2492" t="s">
        <v>46</v>
      </c>
      <c r="W2492" t="s">
        <v>1362</v>
      </c>
      <c r="X2492" t="s">
        <v>1360</v>
      </c>
      <c r="Y2492" t="s">
        <v>1215</v>
      </c>
      <c r="Z2492" t="s">
        <v>1216</v>
      </c>
      <c r="AA2492" t="s">
        <v>49</v>
      </c>
      <c r="AB2492" t="s">
        <v>50</v>
      </c>
      <c r="AC2492" s="2">
        <v>21817</v>
      </c>
      <c r="AD2492" t="s">
        <v>64</v>
      </c>
    </row>
    <row r="2493" spans="1:31" x14ac:dyDescent="0.25">
      <c r="A2493" t="s">
        <v>11831</v>
      </c>
      <c r="B2493" t="s">
        <v>11832</v>
      </c>
      <c r="C2493" t="s">
        <v>11832</v>
      </c>
      <c r="D2493" t="s">
        <v>35</v>
      </c>
      <c r="E2493" t="s">
        <v>36</v>
      </c>
      <c r="F2493" t="s">
        <v>11833</v>
      </c>
      <c r="G2493" t="s">
        <v>35</v>
      </c>
      <c r="H2493" t="s">
        <v>10888</v>
      </c>
      <c r="I2493" t="s">
        <v>11834</v>
      </c>
      <c r="J2493" s="2">
        <v>349072</v>
      </c>
      <c r="K2493" s="2">
        <v>1600</v>
      </c>
      <c r="L2493" s="2">
        <v>15</v>
      </c>
      <c r="M2493" s="2">
        <v>0</v>
      </c>
      <c r="N2493" t="s">
        <v>302</v>
      </c>
      <c r="O2493" t="s">
        <v>303</v>
      </c>
      <c r="P2493" t="s">
        <v>304</v>
      </c>
      <c r="Q2493" t="s">
        <v>72</v>
      </c>
      <c r="S2493" t="s">
        <v>11835</v>
      </c>
      <c r="U2493" t="s">
        <v>45</v>
      </c>
      <c r="V2493" t="s">
        <v>46</v>
      </c>
      <c r="W2493" t="s">
        <v>302</v>
      </c>
      <c r="X2493" t="s">
        <v>303</v>
      </c>
      <c r="Y2493" t="s">
        <v>72</v>
      </c>
      <c r="Z2493" t="s">
        <v>68</v>
      </c>
      <c r="AA2493" t="s">
        <v>49</v>
      </c>
      <c r="AB2493" t="s">
        <v>50</v>
      </c>
      <c r="AC2493" s="2">
        <v>284867.59999999998</v>
      </c>
      <c r="AD2493" t="s">
        <v>11836</v>
      </c>
      <c r="AE2493" t="s">
        <v>52</v>
      </c>
    </row>
    <row r="2494" spans="1:31" x14ac:dyDescent="0.25">
      <c r="A2494" t="s">
        <v>11837</v>
      </c>
      <c r="B2494" t="s">
        <v>11838</v>
      </c>
      <c r="C2494" t="s">
        <v>11838</v>
      </c>
      <c r="D2494" t="s">
        <v>847</v>
      </c>
      <c r="E2494" t="s">
        <v>848</v>
      </c>
      <c r="F2494" t="s">
        <v>11839</v>
      </c>
      <c r="G2494" t="s">
        <v>1243</v>
      </c>
      <c r="H2494" t="s">
        <v>10888</v>
      </c>
      <c r="I2494" t="s">
        <v>11840</v>
      </c>
      <c r="J2494" s="2">
        <v>13709</v>
      </c>
      <c r="K2494" s="2">
        <v>60</v>
      </c>
      <c r="L2494" s="2">
        <v>7</v>
      </c>
      <c r="M2494" s="2">
        <v>0</v>
      </c>
      <c r="N2494" t="s">
        <v>302</v>
      </c>
      <c r="O2494" t="s">
        <v>303</v>
      </c>
      <c r="P2494" t="s">
        <v>304</v>
      </c>
      <c r="Q2494" t="s">
        <v>72</v>
      </c>
      <c r="S2494" t="s">
        <v>11841</v>
      </c>
      <c r="U2494" t="s">
        <v>45</v>
      </c>
      <c r="V2494" t="s">
        <v>46</v>
      </c>
      <c r="W2494" t="s">
        <v>302</v>
      </c>
      <c r="X2494" t="s">
        <v>303</v>
      </c>
      <c r="Y2494" t="s">
        <v>72</v>
      </c>
      <c r="Z2494" t="s">
        <v>68</v>
      </c>
      <c r="AA2494" t="s">
        <v>49</v>
      </c>
      <c r="AB2494" t="s">
        <v>50</v>
      </c>
      <c r="AC2494" s="2">
        <v>13709</v>
      </c>
      <c r="AD2494" t="s">
        <v>64</v>
      </c>
    </row>
    <row r="2495" spans="1:31" hidden="1" x14ac:dyDescent="0.25">
      <c r="J2495" s="2">
        <v>21817</v>
      </c>
      <c r="K2495" s="2">
        <v>100</v>
      </c>
      <c r="L2495" s="2">
        <v>15</v>
      </c>
      <c r="M2495" s="2">
        <v>0</v>
      </c>
      <c r="S2495" t="s">
        <v>11842</v>
      </c>
      <c r="U2495" t="s">
        <v>45</v>
      </c>
      <c r="V2495" t="s">
        <v>46</v>
      </c>
      <c r="W2495" t="s">
        <v>348</v>
      </c>
      <c r="X2495" t="s">
        <v>349</v>
      </c>
      <c r="Y2495" t="s">
        <v>317</v>
      </c>
      <c r="Z2495" t="s">
        <v>349</v>
      </c>
      <c r="AA2495" t="s">
        <v>49</v>
      </c>
      <c r="AC2495" s="2"/>
    </row>
    <row r="2496" spans="1:31" hidden="1" x14ac:dyDescent="0.25">
      <c r="I2496" t="s">
        <v>11843</v>
      </c>
      <c r="J2496" s="2">
        <v>218</v>
      </c>
      <c r="K2496" s="2">
        <v>1</v>
      </c>
      <c r="L2496" s="2">
        <v>1</v>
      </c>
      <c r="M2496" s="2">
        <v>0</v>
      </c>
      <c r="S2496" t="s">
        <v>11844</v>
      </c>
      <c r="U2496" t="s">
        <v>45</v>
      </c>
      <c r="V2496" t="s">
        <v>46</v>
      </c>
      <c r="W2496" t="s">
        <v>254</v>
      </c>
      <c r="X2496" t="s">
        <v>255</v>
      </c>
      <c r="Y2496" t="s">
        <v>258</v>
      </c>
      <c r="Z2496" t="s">
        <v>259</v>
      </c>
      <c r="AA2496" t="s">
        <v>49</v>
      </c>
      <c r="AC2496" s="2"/>
    </row>
    <row r="2497" spans="1:31" hidden="1" x14ac:dyDescent="0.25">
      <c r="A2497" t="s">
        <v>11845</v>
      </c>
      <c r="B2497" t="s">
        <v>11846</v>
      </c>
      <c r="C2497" t="s">
        <v>11846</v>
      </c>
      <c r="F2497" t="s">
        <v>11847</v>
      </c>
      <c r="H2497" t="s">
        <v>11848</v>
      </c>
      <c r="I2497" t="s">
        <v>11849</v>
      </c>
      <c r="J2497" s="2">
        <v>65451</v>
      </c>
      <c r="K2497" s="2">
        <v>300</v>
      </c>
      <c r="L2497" s="2">
        <v>1</v>
      </c>
      <c r="M2497" s="2">
        <v>0</v>
      </c>
      <c r="N2497" t="s">
        <v>8675</v>
      </c>
      <c r="O2497" t="s">
        <v>8673</v>
      </c>
      <c r="P2497" t="s">
        <v>3487</v>
      </c>
      <c r="Q2497" t="s">
        <v>3488</v>
      </c>
      <c r="S2497" t="s">
        <v>11850</v>
      </c>
      <c r="U2497" t="s">
        <v>45</v>
      </c>
      <c r="V2497" t="s">
        <v>46</v>
      </c>
      <c r="W2497" t="s">
        <v>8675</v>
      </c>
      <c r="X2497" t="s">
        <v>8673</v>
      </c>
      <c r="Y2497" t="s">
        <v>79</v>
      </c>
      <c r="Z2497" t="s">
        <v>94</v>
      </c>
      <c r="AA2497" t="s">
        <v>49</v>
      </c>
      <c r="AB2497" t="s">
        <v>50</v>
      </c>
      <c r="AC2497" s="2">
        <v>65451</v>
      </c>
      <c r="AD2497" t="s">
        <v>64</v>
      </c>
    </row>
    <row r="2498" spans="1:31" x14ac:dyDescent="0.25">
      <c r="A2498" t="s">
        <v>11851</v>
      </c>
      <c r="B2498" t="s">
        <v>11852</v>
      </c>
      <c r="C2498" t="s">
        <v>11852</v>
      </c>
      <c r="D2498" t="s">
        <v>649</v>
      </c>
      <c r="E2498" t="s">
        <v>871</v>
      </c>
      <c r="F2498" t="s">
        <v>11853</v>
      </c>
      <c r="G2498" t="s">
        <v>1467</v>
      </c>
      <c r="H2498" t="s">
        <v>11854</v>
      </c>
      <c r="I2498" t="s">
        <v>10826</v>
      </c>
      <c r="J2498" s="2">
        <v>676327</v>
      </c>
      <c r="K2498" s="2">
        <v>3100</v>
      </c>
      <c r="L2498" s="2">
        <v>15</v>
      </c>
      <c r="M2498" s="2">
        <v>0</v>
      </c>
      <c r="N2498" t="s">
        <v>1210</v>
      </c>
      <c r="O2498" t="s">
        <v>1211</v>
      </c>
      <c r="P2498" t="s">
        <v>1212</v>
      </c>
      <c r="Q2498" t="s">
        <v>1213</v>
      </c>
      <c r="S2498" t="s">
        <v>11855</v>
      </c>
      <c r="U2498" t="s">
        <v>45</v>
      </c>
      <c r="V2498" t="s">
        <v>46</v>
      </c>
      <c r="W2498" t="s">
        <v>1210</v>
      </c>
      <c r="X2498" t="s">
        <v>1211</v>
      </c>
      <c r="Y2498" t="s">
        <v>1215</v>
      </c>
      <c r="Z2498" t="s">
        <v>1216</v>
      </c>
      <c r="AA2498" t="s">
        <v>49</v>
      </c>
      <c r="AB2498" t="s">
        <v>50</v>
      </c>
      <c r="AC2498" s="2">
        <v>35433.129999999997</v>
      </c>
      <c r="AD2498" t="s">
        <v>11856</v>
      </c>
      <c r="AE2498" t="s">
        <v>115</v>
      </c>
    </row>
    <row r="2499" spans="1:31" x14ac:dyDescent="0.25">
      <c r="A2499" t="s">
        <v>11857</v>
      </c>
      <c r="B2499" t="s">
        <v>11858</v>
      </c>
      <c r="C2499" t="s">
        <v>11858</v>
      </c>
      <c r="D2499" t="s">
        <v>125</v>
      </c>
      <c r="E2499" t="s">
        <v>126</v>
      </c>
      <c r="F2499" t="s">
        <v>11859</v>
      </c>
      <c r="G2499" t="s">
        <v>125</v>
      </c>
      <c r="H2499" t="s">
        <v>11860</v>
      </c>
      <c r="I2499" t="s">
        <v>11861</v>
      </c>
      <c r="J2499" s="2">
        <v>582625</v>
      </c>
      <c r="K2499" s="2">
        <v>2500</v>
      </c>
      <c r="L2499" s="2">
        <v>15</v>
      </c>
      <c r="M2499" s="2">
        <v>0</v>
      </c>
      <c r="N2499" t="s">
        <v>1362</v>
      </c>
      <c r="O2499" t="s">
        <v>1360</v>
      </c>
      <c r="P2499" t="s">
        <v>2320</v>
      </c>
      <c r="Q2499" t="s">
        <v>2321</v>
      </c>
      <c r="S2499" t="s">
        <v>11862</v>
      </c>
      <c r="U2499" t="s">
        <v>45</v>
      </c>
      <c r="V2499" t="s">
        <v>46</v>
      </c>
      <c r="W2499" t="s">
        <v>1362</v>
      </c>
      <c r="X2499" t="s">
        <v>1360</v>
      </c>
      <c r="Y2499" t="s">
        <v>1215</v>
      </c>
      <c r="Z2499" t="s">
        <v>1216</v>
      </c>
      <c r="AA2499" t="s">
        <v>49</v>
      </c>
      <c r="AB2499" t="s">
        <v>50</v>
      </c>
      <c r="AC2499" s="2">
        <v>188904.81</v>
      </c>
      <c r="AD2499" t="s">
        <v>11863</v>
      </c>
      <c r="AE2499" t="s">
        <v>52</v>
      </c>
    </row>
    <row r="2500" spans="1:31" x14ac:dyDescent="0.25">
      <c r="A2500" t="s">
        <v>11864</v>
      </c>
      <c r="B2500" t="s">
        <v>11865</v>
      </c>
      <c r="C2500" t="s">
        <v>11865</v>
      </c>
      <c r="D2500" t="s">
        <v>553</v>
      </c>
      <c r="E2500" t="s">
        <v>167</v>
      </c>
      <c r="F2500" t="s">
        <v>11866</v>
      </c>
      <c r="G2500" t="s">
        <v>553</v>
      </c>
      <c r="H2500" t="s">
        <v>11867</v>
      </c>
      <c r="I2500" t="s">
        <v>11868</v>
      </c>
      <c r="J2500" s="2">
        <v>21817</v>
      </c>
      <c r="K2500" s="2">
        <v>100</v>
      </c>
      <c r="L2500" s="2">
        <v>30</v>
      </c>
      <c r="M2500" s="2">
        <v>0</v>
      </c>
      <c r="N2500" t="s">
        <v>6995</v>
      </c>
      <c r="O2500" t="s">
        <v>6996</v>
      </c>
      <c r="P2500" t="s">
        <v>6987</v>
      </c>
      <c r="Q2500" t="s">
        <v>6988</v>
      </c>
      <c r="S2500" t="s">
        <v>11869</v>
      </c>
      <c r="U2500" t="s">
        <v>45</v>
      </c>
      <c r="V2500" t="s">
        <v>46</v>
      </c>
      <c r="W2500" t="s">
        <v>6995</v>
      </c>
      <c r="X2500" t="s">
        <v>6996</v>
      </c>
      <c r="Y2500" t="s">
        <v>2399</v>
      </c>
      <c r="Z2500" t="s">
        <v>2400</v>
      </c>
      <c r="AA2500" t="s">
        <v>49</v>
      </c>
      <c r="AB2500" t="s">
        <v>50</v>
      </c>
      <c r="AC2500" s="2">
        <v>8665</v>
      </c>
      <c r="AD2500" t="s">
        <v>11870</v>
      </c>
      <c r="AE2500" t="s">
        <v>115</v>
      </c>
    </row>
    <row r="2501" spans="1:31" x14ac:dyDescent="0.25">
      <c r="A2501" t="s">
        <v>11871</v>
      </c>
      <c r="B2501" t="s">
        <v>11872</v>
      </c>
      <c r="C2501" t="s">
        <v>11872</v>
      </c>
      <c r="D2501" t="s">
        <v>888</v>
      </c>
      <c r="E2501" t="s">
        <v>167</v>
      </c>
      <c r="F2501" t="s">
        <v>11873</v>
      </c>
      <c r="G2501" t="s">
        <v>888</v>
      </c>
      <c r="H2501" t="s">
        <v>11874</v>
      </c>
      <c r="I2501" t="s">
        <v>11875</v>
      </c>
      <c r="J2501" s="2">
        <v>386528</v>
      </c>
      <c r="K2501" s="2">
        <v>1600</v>
      </c>
      <c r="L2501" s="2">
        <v>21</v>
      </c>
      <c r="M2501" s="2">
        <v>0</v>
      </c>
      <c r="N2501" t="s">
        <v>7203</v>
      </c>
      <c r="O2501" t="s">
        <v>7204</v>
      </c>
      <c r="P2501" t="s">
        <v>2320</v>
      </c>
      <c r="Q2501" t="s">
        <v>2321</v>
      </c>
      <c r="S2501" t="s">
        <v>11876</v>
      </c>
      <c r="U2501" t="s">
        <v>45</v>
      </c>
      <c r="V2501" t="s">
        <v>46</v>
      </c>
      <c r="W2501" t="s">
        <v>7203</v>
      </c>
      <c r="X2501" t="s">
        <v>7204</v>
      </c>
      <c r="Y2501" t="s">
        <v>121</v>
      </c>
      <c r="Z2501" t="s">
        <v>94</v>
      </c>
      <c r="AA2501" t="s">
        <v>49</v>
      </c>
      <c r="AB2501" t="s">
        <v>50</v>
      </c>
      <c r="AC2501" s="2">
        <v>59231.89</v>
      </c>
      <c r="AD2501" t="s">
        <v>11877</v>
      </c>
      <c r="AE2501" t="s">
        <v>52</v>
      </c>
    </row>
    <row r="2502" spans="1:31" x14ac:dyDescent="0.25">
      <c r="A2502" t="s">
        <v>11878</v>
      </c>
      <c r="B2502" t="s">
        <v>11879</v>
      </c>
      <c r="C2502" t="s">
        <v>11879</v>
      </c>
      <c r="D2502" t="s">
        <v>125</v>
      </c>
      <c r="E2502" t="s">
        <v>126</v>
      </c>
      <c r="F2502" t="s">
        <v>11880</v>
      </c>
      <c r="G2502" t="s">
        <v>125</v>
      </c>
      <c r="H2502" t="s">
        <v>7515</v>
      </c>
      <c r="I2502" t="s">
        <v>11881</v>
      </c>
      <c r="J2502" s="2">
        <v>853752</v>
      </c>
      <c r="K2502" s="2">
        <v>3635</v>
      </c>
      <c r="L2502" s="2">
        <v>15</v>
      </c>
      <c r="M2502" s="2">
        <v>0</v>
      </c>
      <c r="N2502" t="s">
        <v>7517</v>
      </c>
      <c r="O2502" t="s">
        <v>7518</v>
      </c>
      <c r="P2502" t="s">
        <v>2320</v>
      </c>
      <c r="Q2502" t="s">
        <v>2321</v>
      </c>
      <c r="S2502" t="s">
        <v>11882</v>
      </c>
      <c r="U2502" t="s">
        <v>45</v>
      </c>
      <c r="V2502" t="s">
        <v>46</v>
      </c>
      <c r="W2502" t="s">
        <v>7517</v>
      </c>
      <c r="X2502" t="s">
        <v>7518</v>
      </c>
      <c r="Y2502" t="s">
        <v>1215</v>
      </c>
      <c r="Z2502" t="s">
        <v>1216</v>
      </c>
      <c r="AA2502" t="s">
        <v>49</v>
      </c>
      <c r="AB2502" t="s">
        <v>50</v>
      </c>
      <c r="AC2502" s="2">
        <v>363649.98</v>
      </c>
      <c r="AD2502" t="s">
        <v>11883</v>
      </c>
      <c r="AE2502" t="s">
        <v>115</v>
      </c>
    </row>
    <row r="2503" spans="1:31" x14ac:dyDescent="0.25">
      <c r="A2503" t="s">
        <v>11884</v>
      </c>
      <c r="B2503" t="s">
        <v>11885</v>
      </c>
      <c r="C2503" t="s">
        <v>11885</v>
      </c>
      <c r="D2503" t="s">
        <v>125</v>
      </c>
      <c r="E2503" t="s">
        <v>126</v>
      </c>
      <c r="F2503" t="s">
        <v>11886</v>
      </c>
      <c r="G2503" t="s">
        <v>125</v>
      </c>
      <c r="H2503" t="s">
        <v>2647</v>
      </c>
      <c r="I2503" t="s">
        <v>11887</v>
      </c>
      <c r="J2503" s="2">
        <v>209443</v>
      </c>
      <c r="K2503" s="2">
        <v>960</v>
      </c>
      <c r="L2503" s="2">
        <v>21</v>
      </c>
      <c r="M2503" s="2">
        <v>0</v>
      </c>
      <c r="N2503" t="s">
        <v>1362</v>
      </c>
      <c r="O2503" t="s">
        <v>1360</v>
      </c>
      <c r="P2503" t="s">
        <v>1212</v>
      </c>
      <c r="Q2503" t="s">
        <v>1213</v>
      </c>
      <c r="S2503" t="s">
        <v>11888</v>
      </c>
      <c r="U2503" t="s">
        <v>45</v>
      </c>
      <c r="V2503" t="s">
        <v>46</v>
      </c>
      <c r="W2503" t="s">
        <v>1362</v>
      </c>
      <c r="X2503" t="s">
        <v>1360</v>
      </c>
      <c r="Y2503" t="s">
        <v>1215</v>
      </c>
      <c r="Z2503" t="s">
        <v>1216</v>
      </c>
      <c r="AA2503" t="s">
        <v>49</v>
      </c>
      <c r="AB2503" t="s">
        <v>50</v>
      </c>
      <c r="AC2503" s="2">
        <v>151028.51</v>
      </c>
      <c r="AD2503" t="s">
        <v>11889</v>
      </c>
      <c r="AE2503" t="s">
        <v>52</v>
      </c>
    </row>
    <row r="2504" spans="1:31" x14ac:dyDescent="0.25">
      <c r="A2504" t="s">
        <v>11890</v>
      </c>
      <c r="B2504" t="s">
        <v>11891</v>
      </c>
      <c r="C2504" t="s">
        <v>11891</v>
      </c>
      <c r="D2504" t="s">
        <v>153</v>
      </c>
      <c r="E2504" t="s">
        <v>272</v>
      </c>
      <c r="F2504" t="s">
        <v>11892</v>
      </c>
      <c r="G2504" t="s">
        <v>153</v>
      </c>
      <c r="H2504" t="s">
        <v>277</v>
      </c>
      <c r="I2504" t="s">
        <v>11893</v>
      </c>
      <c r="J2504" s="2">
        <v>436340</v>
      </c>
      <c r="K2504" s="2">
        <v>2000</v>
      </c>
      <c r="L2504" s="2">
        <v>30</v>
      </c>
      <c r="M2504" s="2">
        <v>0</v>
      </c>
      <c r="N2504" t="s">
        <v>276</v>
      </c>
      <c r="O2504" t="s">
        <v>277</v>
      </c>
      <c r="P2504" t="s">
        <v>103</v>
      </c>
      <c r="Q2504" t="s">
        <v>104</v>
      </c>
      <c r="S2504" t="s">
        <v>11894</v>
      </c>
      <c r="U2504" t="s">
        <v>45</v>
      </c>
      <c r="V2504" t="s">
        <v>46</v>
      </c>
      <c r="W2504" t="s">
        <v>276</v>
      </c>
      <c r="X2504" t="s">
        <v>277</v>
      </c>
      <c r="Y2504" t="s">
        <v>279</v>
      </c>
      <c r="Z2504" t="s">
        <v>280</v>
      </c>
      <c r="AA2504" t="s">
        <v>49</v>
      </c>
      <c r="AB2504" t="s">
        <v>50</v>
      </c>
      <c r="AC2504" s="2">
        <v>244916.17</v>
      </c>
      <c r="AD2504" t="s">
        <v>11895</v>
      </c>
      <c r="AE2504" t="s">
        <v>52</v>
      </c>
    </row>
    <row r="2505" spans="1:31" x14ac:dyDescent="0.25">
      <c r="A2505" t="s">
        <v>11896</v>
      </c>
      <c r="B2505" t="s">
        <v>11897</v>
      </c>
      <c r="C2505" t="s">
        <v>11897</v>
      </c>
      <c r="D2505" t="s">
        <v>35</v>
      </c>
      <c r="E2505" t="s">
        <v>36</v>
      </c>
      <c r="F2505" t="s">
        <v>11898</v>
      </c>
      <c r="G2505" t="s">
        <v>153</v>
      </c>
      <c r="H2505" t="s">
        <v>6733</v>
      </c>
      <c r="I2505" t="s">
        <v>11899</v>
      </c>
      <c r="J2505" s="2">
        <v>401982</v>
      </c>
      <c r="K2505" s="2">
        <v>1700</v>
      </c>
      <c r="L2505" s="2">
        <v>15</v>
      </c>
      <c r="M2505" s="2">
        <v>0</v>
      </c>
      <c r="N2505" t="s">
        <v>6734</v>
      </c>
      <c r="O2505" t="s">
        <v>6735</v>
      </c>
      <c r="P2505" t="s">
        <v>557</v>
      </c>
      <c r="Q2505" t="s">
        <v>558</v>
      </c>
      <c r="S2505" t="s">
        <v>11900</v>
      </c>
      <c r="U2505" t="s">
        <v>45</v>
      </c>
      <c r="V2505" t="s">
        <v>46</v>
      </c>
      <c r="W2505" t="s">
        <v>6734</v>
      </c>
      <c r="X2505" t="s">
        <v>6735</v>
      </c>
      <c r="Y2505" t="s">
        <v>85</v>
      </c>
      <c r="Z2505" t="s">
        <v>86</v>
      </c>
      <c r="AA2505" t="s">
        <v>49</v>
      </c>
      <c r="AB2505" t="s">
        <v>50</v>
      </c>
      <c r="AC2505" s="2">
        <v>205462.36</v>
      </c>
      <c r="AD2505" t="s">
        <v>11901</v>
      </c>
      <c r="AE2505" t="s">
        <v>115</v>
      </c>
    </row>
    <row r="2506" spans="1:31" x14ac:dyDescent="0.25">
      <c r="A2506" t="s">
        <v>11902</v>
      </c>
      <c r="B2506" t="s">
        <v>11903</v>
      </c>
      <c r="C2506" t="s">
        <v>11903</v>
      </c>
      <c r="D2506" t="s">
        <v>178</v>
      </c>
      <c r="E2506" t="s">
        <v>179</v>
      </c>
      <c r="F2506" t="s">
        <v>11904</v>
      </c>
      <c r="G2506" t="s">
        <v>299</v>
      </c>
      <c r="H2506" t="s">
        <v>81</v>
      </c>
      <c r="I2506" t="s">
        <v>11905</v>
      </c>
      <c r="J2506" s="2">
        <v>218170</v>
      </c>
      <c r="K2506" s="2">
        <v>1000</v>
      </c>
      <c r="L2506" s="2">
        <v>15</v>
      </c>
      <c r="M2506" s="2">
        <v>0</v>
      </c>
      <c r="N2506" t="s">
        <v>80</v>
      </c>
      <c r="O2506" t="s">
        <v>81</v>
      </c>
      <c r="P2506" t="s">
        <v>557</v>
      </c>
      <c r="Q2506" t="s">
        <v>558</v>
      </c>
      <c r="S2506" t="s">
        <v>11906</v>
      </c>
      <c r="U2506" t="s">
        <v>45</v>
      </c>
      <c r="V2506" t="s">
        <v>46</v>
      </c>
      <c r="W2506" t="s">
        <v>80</v>
      </c>
      <c r="X2506" t="s">
        <v>81</v>
      </c>
      <c r="Y2506" t="s">
        <v>85</v>
      </c>
      <c r="Z2506" t="s">
        <v>86</v>
      </c>
      <c r="AA2506" t="s">
        <v>49</v>
      </c>
      <c r="AB2506" t="s">
        <v>50</v>
      </c>
      <c r="AC2506" s="2">
        <v>202675.66</v>
      </c>
      <c r="AD2506" t="s">
        <v>11907</v>
      </c>
    </row>
    <row r="2507" spans="1:31" hidden="1" x14ac:dyDescent="0.25">
      <c r="A2507" t="s">
        <v>11908</v>
      </c>
      <c r="B2507" t="s">
        <v>11909</v>
      </c>
      <c r="C2507" t="s">
        <v>11909</v>
      </c>
      <c r="D2507" t="s">
        <v>55</v>
      </c>
      <c r="E2507" t="s">
        <v>56</v>
      </c>
      <c r="F2507" t="s">
        <v>7948</v>
      </c>
      <c r="H2507" t="s">
        <v>11910</v>
      </c>
      <c r="J2507" s="2">
        <v>1000</v>
      </c>
      <c r="K2507" s="2">
        <v>0</v>
      </c>
      <c r="L2507" s="2">
        <v>1</v>
      </c>
      <c r="M2507" s="2">
        <v>0</v>
      </c>
      <c r="N2507" t="s">
        <v>254</v>
      </c>
      <c r="O2507" t="s">
        <v>255</v>
      </c>
      <c r="P2507" t="s">
        <v>4374</v>
      </c>
      <c r="Q2507" t="s">
        <v>4375</v>
      </c>
      <c r="S2507" t="s">
        <v>11911</v>
      </c>
      <c r="U2507" t="s">
        <v>45</v>
      </c>
      <c r="V2507" t="s">
        <v>46</v>
      </c>
      <c r="W2507" t="s">
        <v>254</v>
      </c>
      <c r="X2507" t="s">
        <v>255</v>
      </c>
      <c r="Y2507" t="s">
        <v>258</v>
      </c>
      <c r="Z2507" t="s">
        <v>259</v>
      </c>
      <c r="AA2507" t="s">
        <v>49</v>
      </c>
      <c r="AB2507" t="s">
        <v>50</v>
      </c>
      <c r="AC2507" s="2">
        <v>1000</v>
      </c>
      <c r="AD2507" t="s">
        <v>64</v>
      </c>
    </row>
    <row r="2508" spans="1:31" x14ac:dyDescent="0.25">
      <c r="A2508" t="s">
        <v>11912</v>
      </c>
      <c r="B2508" t="s">
        <v>11913</v>
      </c>
      <c r="C2508" t="s">
        <v>11913</v>
      </c>
      <c r="D2508" t="s">
        <v>178</v>
      </c>
      <c r="E2508" t="s">
        <v>179</v>
      </c>
      <c r="F2508" t="s">
        <v>7948</v>
      </c>
      <c r="G2508" t="s">
        <v>178</v>
      </c>
      <c r="H2508" t="s">
        <v>255</v>
      </c>
      <c r="I2508" t="s">
        <v>11861</v>
      </c>
      <c r="J2508" s="2">
        <v>117435</v>
      </c>
      <c r="K2508" s="2">
        <v>500</v>
      </c>
      <c r="L2508" s="2">
        <v>15</v>
      </c>
      <c r="M2508" s="2">
        <v>0</v>
      </c>
      <c r="N2508" t="s">
        <v>254</v>
      </c>
      <c r="O2508" t="s">
        <v>255</v>
      </c>
      <c r="P2508" t="s">
        <v>4374</v>
      </c>
      <c r="Q2508" t="s">
        <v>4375</v>
      </c>
      <c r="S2508" t="s">
        <v>11911</v>
      </c>
      <c r="U2508" t="s">
        <v>45</v>
      </c>
      <c r="V2508" t="s">
        <v>46</v>
      </c>
      <c r="W2508" t="s">
        <v>254</v>
      </c>
      <c r="X2508" t="s">
        <v>255</v>
      </c>
      <c r="Y2508" t="s">
        <v>258</v>
      </c>
      <c r="Z2508" t="s">
        <v>259</v>
      </c>
      <c r="AA2508" t="s">
        <v>49</v>
      </c>
      <c r="AB2508" t="s">
        <v>50</v>
      </c>
      <c r="AC2508" s="2">
        <v>-28723.200000000001</v>
      </c>
      <c r="AD2508" t="s">
        <v>11914</v>
      </c>
      <c r="AE2508" t="s">
        <v>115</v>
      </c>
    </row>
    <row r="2509" spans="1:31" x14ac:dyDescent="0.25">
      <c r="A2509" t="s">
        <v>11915</v>
      </c>
      <c r="B2509" t="s">
        <v>11916</v>
      </c>
      <c r="C2509" t="s">
        <v>11916</v>
      </c>
      <c r="D2509" t="s">
        <v>125</v>
      </c>
      <c r="E2509" t="s">
        <v>126</v>
      </c>
      <c r="F2509" t="s">
        <v>11917</v>
      </c>
      <c r="G2509" t="s">
        <v>125</v>
      </c>
      <c r="H2509" t="s">
        <v>2647</v>
      </c>
      <c r="I2509" t="s">
        <v>11918</v>
      </c>
      <c r="J2509" s="2">
        <v>526983</v>
      </c>
      <c r="K2509" s="2">
        <v>2130</v>
      </c>
      <c r="L2509" s="2">
        <v>15</v>
      </c>
      <c r="M2509" s="2">
        <v>0</v>
      </c>
      <c r="N2509" t="s">
        <v>1362</v>
      </c>
      <c r="O2509" t="s">
        <v>1360</v>
      </c>
      <c r="P2509" t="s">
        <v>2320</v>
      </c>
      <c r="Q2509" t="s">
        <v>2321</v>
      </c>
      <c r="S2509" t="s">
        <v>11919</v>
      </c>
      <c r="U2509" t="s">
        <v>45</v>
      </c>
      <c r="V2509" t="s">
        <v>46</v>
      </c>
      <c r="W2509" t="s">
        <v>1362</v>
      </c>
      <c r="X2509" t="s">
        <v>1360</v>
      </c>
      <c r="Y2509" t="s">
        <v>1215</v>
      </c>
      <c r="Z2509" t="s">
        <v>1216</v>
      </c>
      <c r="AA2509" t="s">
        <v>49</v>
      </c>
      <c r="AB2509" t="s">
        <v>50</v>
      </c>
      <c r="AC2509" s="2">
        <v>122461.02</v>
      </c>
      <c r="AD2509" t="s">
        <v>11920</v>
      </c>
      <c r="AE2509" t="s">
        <v>115</v>
      </c>
    </row>
    <row r="2510" spans="1:31" x14ac:dyDescent="0.25">
      <c r="A2510" t="s">
        <v>11921</v>
      </c>
      <c r="B2510" t="s">
        <v>11922</v>
      </c>
      <c r="C2510" t="s">
        <v>11922</v>
      </c>
      <c r="D2510" t="s">
        <v>125</v>
      </c>
      <c r="E2510" t="s">
        <v>126</v>
      </c>
      <c r="F2510" t="s">
        <v>11923</v>
      </c>
      <c r="G2510" t="s">
        <v>125</v>
      </c>
      <c r="H2510" t="s">
        <v>2647</v>
      </c>
      <c r="I2510" t="s">
        <v>11924</v>
      </c>
      <c r="J2510" s="2">
        <v>247410</v>
      </c>
      <c r="K2510" s="2">
        <v>1000</v>
      </c>
      <c r="L2510" s="2">
        <v>21</v>
      </c>
      <c r="M2510" s="2">
        <v>0</v>
      </c>
      <c r="N2510" t="s">
        <v>1362</v>
      </c>
      <c r="O2510" t="s">
        <v>1360</v>
      </c>
      <c r="P2510" t="s">
        <v>1212</v>
      </c>
      <c r="Q2510" t="s">
        <v>1213</v>
      </c>
      <c r="S2510" t="s">
        <v>11925</v>
      </c>
      <c r="U2510" t="s">
        <v>45</v>
      </c>
      <c r="V2510" t="s">
        <v>46</v>
      </c>
      <c r="W2510" t="s">
        <v>1362</v>
      </c>
      <c r="X2510" t="s">
        <v>1360</v>
      </c>
      <c r="Y2510" t="s">
        <v>1215</v>
      </c>
      <c r="Z2510" t="s">
        <v>1216</v>
      </c>
      <c r="AA2510" t="s">
        <v>49</v>
      </c>
      <c r="AB2510" t="s">
        <v>50</v>
      </c>
      <c r="AC2510" s="2">
        <v>152116.65</v>
      </c>
      <c r="AD2510" t="s">
        <v>11926</v>
      </c>
      <c r="AE2510" t="s">
        <v>52</v>
      </c>
    </row>
    <row r="2511" spans="1:31" x14ac:dyDescent="0.25">
      <c r="A2511" t="s">
        <v>11927</v>
      </c>
      <c r="B2511" t="s">
        <v>11928</v>
      </c>
      <c r="C2511" t="s">
        <v>11928</v>
      </c>
      <c r="D2511" t="s">
        <v>125</v>
      </c>
      <c r="E2511" t="s">
        <v>126</v>
      </c>
      <c r="F2511" t="s">
        <v>11929</v>
      </c>
      <c r="G2511" t="s">
        <v>125</v>
      </c>
      <c r="H2511" t="s">
        <v>6285</v>
      </c>
      <c r="I2511" t="s">
        <v>11930</v>
      </c>
      <c r="J2511" s="2">
        <v>469740</v>
      </c>
      <c r="K2511" s="2">
        <v>2000</v>
      </c>
      <c r="L2511" s="2">
        <v>21</v>
      </c>
      <c r="M2511" s="2">
        <v>0</v>
      </c>
      <c r="N2511" t="s">
        <v>1210</v>
      </c>
      <c r="O2511" t="s">
        <v>1211</v>
      </c>
      <c r="P2511" t="s">
        <v>1212</v>
      </c>
      <c r="Q2511" t="s">
        <v>1213</v>
      </c>
      <c r="S2511" t="s">
        <v>11931</v>
      </c>
      <c r="U2511" t="s">
        <v>45</v>
      </c>
      <c r="V2511" t="s">
        <v>46</v>
      </c>
      <c r="W2511" t="s">
        <v>1210</v>
      </c>
      <c r="X2511" t="s">
        <v>1211</v>
      </c>
      <c r="Y2511" t="s">
        <v>1215</v>
      </c>
      <c r="Z2511" t="s">
        <v>1216</v>
      </c>
      <c r="AA2511" t="s">
        <v>49</v>
      </c>
      <c r="AB2511" t="s">
        <v>50</v>
      </c>
      <c r="AC2511" s="2">
        <v>272929.8</v>
      </c>
      <c r="AD2511" t="s">
        <v>11932</v>
      </c>
      <c r="AE2511" t="s">
        <v>52</v>
      </c>
    </row>
    <row r="2512" spans="1:31" x14ac:dyDescent="0.25">
      <c r="A2512" t="s">
        <v>11933</v>
      </c>
      <c r="B2512" t="s">
        <v>11934</v>
      </c>
      <c r="C2512" t="s">
        <v>11934</v>
      </c>
      <c r="D2512" t="s">
        <v>125</v>
      </c>
      <c r="E2512" t="s">
        <v>126</v>
      </c>
      <c r="F2512" t="s">
        <v>11935</v>
      </c>
      <c r="G2512" t="s">
        <v>125</v>
      </c>
      <c r="H2512" t="s">
        <v>2647</v>
      </c>
      <c r="I2512" t="s">
        <v>11936</v>
      </c>
      <c r="J2512" s="2">
        <v>494820</v>
      </c>
      <c r="K2512" s="2">
        <v>2000</v>
      </c>
      <c r="L2512" s="2">
        <v>21</v>
      </c>
      <c r="M2512" s="2">
        <v>0</v>
      </c>
      <c r="N2512" t="s">
        <v>1362</v>
      </c>
      <c r="O2512" t="s">
        <v>1360</v>
      </c>
      <c r="P2512" t="s">
        <v>1212</v>
      </c>
      <c r="Q2512" t="s">
        <v>1213</v>
      </c>
      <c r="S2512" t="s">
        <v>11937</v>
      </c>
      <c r="U2512" t="s">
        <v>45</v>
      </c>
      <c r="V2512" t="s">
        <v>46</v>
      </c>
      <c r="W2512" t="s">
        <v>1362</v>
      </c>
      <c r="X2512" t="s">
        <v>1360</v>
      </c>
      <c r="Y2512" t="s">
        <v>1215</v>
      </c>
      <c r="Z2512" t="s">
        <v>1216</v>
      </c>
      <c r="AA2512" t="s">
        <v>49</v>
      </c>
      <c r="AB2512" t="s">
        <v>50</v>
      </c>
      <c r="AC2512" s="2">
        <v>326414.88</v>
      </c>
      <c r="AD2512" t="s">
        <v>11938</v>
      </c>
      <c r="AE2512" t="s">
        <v>52</v>
      </c>
    </row>
    <row r="2513" spans="1:31" x14ac:dyDescent="0.25">
      <c r="A2513" t="s">
        <v>11939</v>
      </c>
      <c r="B2513" t="s">
        <v>11940</v>
      </c>
      <c r="C2513" t="s">
        <v>11940</v>
      </c>
      <c r="D2513" t="s">
        <v>1329</v>
      </c>
      <c r="E2513" t="s">
        <v>134</v>
      </c>
      <c r="F2513" t="s">
        <v>11941</v>
      </c>
      <c r="H2513" t="s">
        <v>11942</v>
      </c>
      <c r="I2513" t="s">
        <v>11943</v>
      </c>
      <c r="J2513" s="2">
        <v>174536</v>
      </c>
      <c r="K2513" s="2">
        <v>800</v>
      </c>
      <c r="L2513" s="2">
        <v>15</v>
      </c>
      <c r="M2513" s="2">
        <v>0</v>
      </c>
      <c r="N2513" t="s">
        <v>80</v>
      </c>
      <c r="O2513" t="s">
        <v>81</v>
      </c>
      <c r="P2513" t="s">
        <v>557</v>
      </c>
      <c r="Q2513" t="s">
        <v>558</v>
      </c>
      <c r="S2513" t="s">
        <v>11944</v>
      </c>
      <c r="U2513" t="s">
        <v>45</v>
      </c>
      <c r="V2513" t="s">
        <v>46</v>
      </c>
      <c r="W2513" t="s">
        <v>80</v>
      </c>
      <c r="X2513" t="s">
        <v>81</v>
      </c>
      <c r="Y2513" t="s">
        <v>85</v>
      </c>
      <c r="Z2513" t="s">
        <v>86</v>
      </c>
      <c r="AA2513" t="s">
        <v>49</v>
      </c>
      <c r="AB2513" t="s">
        <v>50</v>
      </c>
      <c r="AC2513" s="2">
        <v>174536</v>
      </c>
      <c r="AD2513" t="s">
        <v>64</v>
      </c>
    </row>
    <row r="2514" spans="1:31" x14ac:dyDescent="0.25">
      <c r="A2514" t="s">
        <v>11945</v>
      </c>
      <c r="B2514" t="s">
        <v>11946</v>
      </c>
      <c r="C2514" t="s">
        <v>11946</v>
      </c>
      <c r="D2514" t="s">
        <v>153</v>
      </c>
      <c r="E2514" t="s">
        <v>272</v>
      </c>
      <c r="F2514" t="s">
        <v>11947</v>
      </c>
      <c r="G2514" t="s">
        <v>847</v>
      </c>
      <c r="H2514" t="s">
        <v>255</v>
      </c>
      <c r="I2514" t="s">
        <v>11948</v>
      </c>
      <c r="J2514" s="2">
        <v>436340</v>
      </c>
      <c r="K2514" s="2">
        <v>2000</v>
      </c>
      <c r="L2514" s="2">
        <v>15</v>
      </c>
      <c r="M2514" s="2">
        <v>0</v>
      </c>
      <c r="N2514" t="s">
        <v>254</v>
      </c>
      <c r="O2514" t="s">
        <v>255</v>
      </c>
      <c r="P2514" t="s">
        <v>256</v>
      </c>
      <c r="Q2514" t="s">
        <v>255</v>
      </c>
      <c r="S2514" t="s">
        <v>11949</v>
      </c>
      <c r="U2514" t="s">
        <v>45</v>
      </c>
      <c r="V2514" t="s">
        <v>46</v>
      </c>
      <c r="W2514" t="s">
        <v>254</v>
      </c>
      <c r="X2514" t="s">
        <v>255</v>
      </c>
      <c r="Y2514" t="s">
        <v>258</v>
      </c>
      <c r="Z2514" t="s">
        <v>259</v>
      </c>
      <c r="AA2514" t="s">
        <v>49</v>
      </c>
      <c r="AB2514" t="s">
        <v>50</v>
      </c>
      <c r="AC2514" s="2">
        <v>431610.22</v>
      </c>
      <c r="AD2514" t="s">
        <v>11950</v>
      </c>
      <c r="AE2514" t="s">
        <v>52</v>
      </c>
    </row>
    <row r="2515" spans="1:31" x14ac:dyDescent="0.25">
      <c r="A2515" t="s">
        <v>11951</v>
      </c>
      <c r="B2515" t="s">
        <v>11952</v>
      </c>
      <c r="C2515" t="s">
        <v>11952</v>
      </c>
      <c r="D2515" t="s">
        <v>35</v>
      </c>
      <c r="E2515" t="s">
        <v>36</v>
      </c>
      <c r="F2515" t="s">
        <v>11953</v>
      </c>
      <c r="G2515" t="s">
        <v>35</v>
      </c>
      <c r="H2515" t="s">
        <v>11954</v>
      </c>
      <c r="J2515" s="2">
        <v>261804</v>
      </c>
      <c r="K2515" s="2">
        <v>1200</v>
      </c>
      <c r="L2515" s="2">
        <v>15</v>
      </c>
      <c r="M2515" s="2">
        <v>0</v>
      </c>
      <c r="N2515" t="s">
        <v>5469</v>
      </c>
      <c r="O2515" t="s">
        <v>5467</v>
      </c>
      <c r="P2515" t="s">
        <v>256</v>
      </c>
      <c r="Q2515" t="s">
        <v>255</v>
      </c>
      <c r="S2515" t="s">
        <v>11955</v>
      </c>
      <c r="U2515" t="s">
        <v>45</v>
      </c>
      <c r="V2515" t="s">
        <v>46</v>
      </c>
      <c r="W2515" t="s">
        <v>5469</v>
      </c>
      <c r="X2515" t="s">
        <v>5467</v>
      </c>
      <c r="Y2515" t="s">
        <v>137</v>
      </c>
      <c r="Z2515" t="s">
        <v>717</v>
      </c>
      <c r="AA2515" t="s">
        <v>49</v>
      </c>
      <c r="AB2515" t="s">
        <v>50</v>
      </c>
      <c r="AC2515" s="2">
        <v>222263.33</v>
      </c>
      <c r="AD2515" t="s">
        <v>11956</v>
      </c>
      <c r="AE2515" t="s">
        <v>115</v>
      </c>
    </row>
    <row r="2516" spans="1:31" x14ac:dyDescent="0.25">
      <c r="A2516" t="s">
        <v>11957</v>
      </c>
      <c r="B2516" t="s">
        <v>11958</v>
      </c>
      <c r="C2516" t="s">
        <v>11958</v>
      </c>
      <c r="D2516" t="s">
        <v>35</v>
      </c>
      <c r="E2516" t="s">
        <v>36</v>
      </c>
      <c r="F2516" t="s">
        <v>11959</v>
      </c>
      <c r="G2516" t="s">
        <v>35</v>
      </c>
      <c r="H2516" t="s">
        <v>255</v>
      </c>
      <c r="J2516" s="2">
        <v>261804</v>
      </c>
      <c r="K2516" s="2">
        <v>1200</v>
      </c>
      <c r="L2516" s="2">
        <v>15</v>
      </c>
      <c r="M2516" s="2">
        <v>0</v>
      </c>
      <c r="N2516" t="s">
        <v>254</v>
      </c>
      <c r="O2516" t="s">
        <v>255</v>
      </c>
      <c r="P2516" t="s">
        <v>256</v>
      </c>
      <c r="Q2516" t="s">
        <v>255</v>
      </c>
      <c r="S2516" t="s">
        <v>11960</v>
      </c>
      <c r="U2516" t="s">
        <v>45</v>
      </c>
      <c r="V2516" t="s">
        <v>46</v>
      </c>
      <c r="W2516" t="s">
        <v>254</v>
      </c>
      <c r="X2516" t="s">
        <v>255</v>
      </c>
      <c r="Y2516" t="s">
        <v>258</v>
      </c>
      <c r="Z2516" t="s">
        <v>259</v>
      </c>
      <c r="AA2516" t="s">
        <v>49</v>
      </c>
      <c r="AB2516" t="s">
        <v>50</v>
      </c>
      <c r="AC2516" s="2">
        <v>192185.99</v>
      </c>
      <c r="AD2516" t="s">
        <v>11961</v>
      </c>
      <c r="AE2516" t="s">
        <v>52</v>
      </c>
    </row>
    <row r="2517" spans="1:31" x14ac:dyDescent="0.25">
      <c r="A2517" t="s">
        <v>11962</v>
      </c>
      <c r="B2517" t="s">
        <v>11963</v>
      </c>
      <c r="C2517" t="s">
        <v>11963</v>
      </c>
      <c r="D2517" t="s">
        <v>847</v>
      </c>
      <c r="E2517" t="s">
        <v>848</v>
      </c>
      <c r="F2517" t="s">
        <v>11964</v>
      </c>
      <c r="G2517" t="s">
        <v>555</v>
      </c>
      <c r="H2517" t="s">
        <v>1425</v>
      </c>
      <c r="I2517" t="s">
        <v>11965</v>
      </c>
      <c r="J2517" s="2">
        <v>218170</v>
      </c>
      <c r="K2517" s="2">
        <v>1000</v>
      </c>
      <c r="L2517" s="2">
        <v>15</v>
      </c>
      <c r="M2517" s="2">
        <v>0</v>
      </c>
      <c r="N2517" t="s">
        <v>1427</v>
      </c>
      <c r="O2517" t="s">
        <v>1428</v>
      </c>
      <c r="P2517" t="s">
        <v>82</v>
      </c>
      <c r="Q2517" t="s">
        <v>83</v>
      </c>
      <c r="S2517" t="s">
        <v>11966</v>
      </c>
      <c r="U2517" t="s">
        <v>45</v>
      </c>
      <c r="V2517" t="s">
        <v>46</v>
      </c>
      <c r="W2517" t="s">
        <v>1427</v>
      </c>
      <c r="X2517" t="s">
        <v>1430</v>
      </c>
      <c r="Y2517" t="s">
        <v>85</v>
      </c>
      <c r="Z2517" t="s">
        <v>86</v>
      </c>
      <c r="AA2517" t="s">
        <v>49</v>
      </c>
      <c r="AB2517" t="s">
        <v>50</v>
      </c>
      <c r="AC2517" s="2">
        <v>214559.27</v>
      </c>
      <c r="AD2517" t="s">
        <v>11967</v>
      </c>
    </row>
    <row r="2518" spans="1:31" x14ac:dyDescent="0.25">
      <c r="A2518" t="s">
        <v>11968</v>
      </c>
      <c r="B2518" t="s">
        <v>11969</v>
      </c>
      <c r="C2518" t="s">
        <v>11969</v>
      </c>
      <c r="D2518" t="s">
        <v>125</v>
      </c>
      <c r="E2518" t="s">
        <v>126</v>
      </c>
      <c r="F2518" t="s">
        <v>11970</v>
      </c>
      <c r="G2518" t="s">
        <v>153</v>
      </c>
      <c r="H2518" t="s">
        <v>402</v>
      </c>
      <c r="I2518" t="s">
        <v>11971</v>
      </c>
      <c r="J2518" s="2">
        <v>2181700</v>
      </c>
      <c r="K2518" s="2">
        <v>10000</v>
      </c>
      <c r="L2518" s="2">
        <v>21</v>
      </c>
      <c r="M2518" s="2">
        <v>0</v>
      </c>
      <c r="N2518" t="s">
        <v>403</v>
      </c>
      <c r="O2518" t="s">
        <v>404</v>
      </c>
      <c r="P2518" t="s">
        <v>205</v>
      </c>
      <c r="Q2518" t="s">
        <v>206</v>
      </c>
      <c r="S2518" t="s">
        <v>11972</v>
      </c>
      <c r="U2518" t="s">
        <v>45</v>
      </c>
      <c r="V2518" t="s">
        <v>46</v>
      </c>
      <c r="W2518" t="s">
        <v>403</v>
      </c>
      <c r="X2518" t="s">
        <v>404</v>
      </c>
      <c r="Y2518" t="s">
        <v>161</v>
      </c>
      <c r="Z2518" t="s">
        <v>162</v>
      </c>
      <c r="AA2518" t="s">
        <v>49</v>
      </c>
      <c r="AB2518" t="s">
        <v>50</v>
      </c>
      <c r="AC2518" s="2">
        <v>1708052.89</v>
      </c>
      <c r="AD2518" t="s">
        <v>11973</v>
      </c>
      <c r="AE2518" t="s">
        <v>52</v>
      </c>
    </row>
    <row r="2519" spans="1:31" hidden="1" x14ac:dyDescent="0.25">
      <c r="A2519" t="s">
        <v>11974</v>
      </c>
      <c r="B2519" t="s">
        <v>11975</v>
      </c>
      <c r="C2519" t="s">
        <v>11975</v>
      </c>
      <c r="F2519" t="s">
        <v>11976</v>
      </c>
      <c r="H2519" t="s">
        <v>204</v>
      </c>
      <c r="I2519" t="s">
        <v>11977</v>
      </c>
      <c r="J2519" s="2">
        <v>327255</v>
      </c>
      <c r="K2519" s="2">
        <v>1500</v>
      </c>
      <c r="L2519" s="2">
        <v>7</v>
      </c>
      <c r="M2519" s="2">
        <v>0</v>
      </c>
      <c r="N2519" t="s">
        <v>203</v>
      </c>
      <c r="O2519" t="s">
        <v>204</v>
      </c>
      <c r="P2519" t="s">
        <v>205</v>
      </c>
      <c r="Q2519" t="s">
        <v>206</v>
      </c>
      <c r="S2519" t="s">
        <v>11978</v>
      </c>
      <c r="U2519" t="s">
        <v>45</v>
      </c>
      <c r="V2519" t="s">
        <v>46</v>
      </c>
      <c r="W2519" t="s">
        <v>203</v>
      </c>
      <c r="X2519" t="s">
        <v>204</v>
      </c>
      <c r="Y2519" t="s">
        <v>161</v>
      </c>
      <c r="Z2519" t="s">
        <v>162</v>
      </c>
      <c r="AA2519" t="s">
        <v>49</v>
      </c>
      <c r="AB2519" t="s">
        <v>50</v>
      </c>
      <c r="AC2519" s="2">
        <v>327255</v>
      </c>
      <c r="AD2519" t="s">
        <v>64</v>
      </c>
    </row>
    <row r="2520" spans="1:31" x14ac:dyDescent="0.25">
      <c r="A2520" t="s">
        <v>11979</v>
      </c>
      <c r="B2520" t="s">
        <v>11980</v>
      </c>
      <c r="C2520" t="s">
        <v>11980</v>
      </c>
      <c r="D2520" t="s">
        <v>569</v>
      </c>
      <c r="E2520" t="s">
        <v>570</v>
      </c>
      <c r="F2520" t="s">
        <v>11981</v>
      </c>
      <c r="H2520" t="s">
        <v>41</v>
      </c>
      <c r="J2520" s="2">
        <v>10909</v>
      </c>
      <c r="K2520" s="2">
        <v>50</v>
      </c>
      <c r="L2520" s="2">
        <v>15</v>
      </c>
      <c r="M2520" s="2">
        <v>0</v>
      </c>
      <c r="N2520" t="s">
        <v>40</v>
      </c>
      <c r="O2520" t="s">
        <v>41</v>
      </c>
      <c r="P2520" t="s">
        <v>42</v>
      </c>
      <c r="Q2520" t="s">
        <v>43</v>
      </c>
      <c r="U2520" t="s">
        <v>45</v>
      </c>
      <c r="V2520" t="s">
        <v>46</v>
      </c>
      <c r="W2520" t="s">
        <v>40</v>
      </c>
      <c r="X2520" t="s">
        <v>41</v>
      </c>
      <c r="Y2520" t="s">
        <v>47</v>
      </c>
      <c r="Z2520" t="s">
        <v>48</v>
      </c>
      <c r="AA2520" t="s">
        <v>141</v>
      </c>
      <c r="AB2520" t="s">
        <v>50</v>
      </c>
      <c r="AC2520" s="2">
        <v>10904.27</v>
      </c>
      <c r="AD2520" t="s">
        <v>5692</v>
      </c>
    </row>
    <row r="2521" spans="1:31" x14ac:dyDescent="0.25">
      <c r="A2521" t="s">
        <v>11982</v>
      </c>
      <c r="B2521" t="s">
        <v>11983</v>
      </c>
      <c r="C2521" t="s">
        <v>11983</v>
      </c>
      <c r="D2521" t="s">
        <v>847</v>
      </c>
      <c r="E2521" t="s">
        <v>848</v>
      </c>
      <c r="F2521" t="s">
        <v>11984</v>
      </c>
      <c r="G2521" t="s">
        <v>847</v>
      </c>
      <c r="H2521" t="s">
        <v>255</v>
      </c>
      <c r="I2521" t="s">
        <v>11985</v>
      </c>
      <c r="J2521" s="2">
        <v>109085</v>
      </c>
      <c r="K2521" s="2">
        <v>500</v>
      </c>
      <c r="L2521" s="2">
        <v>15</v>
      </c>
      <c r="M2521" s="2">
        <v>0</v>
      </c>
      <c r="N2521" t="s">
        <v>254</v>
      </c>
      <c r="O2521" t="s">
        <v>255</v>
      </c>
      <c r="P2521" t="s">
        <v>256</v>
      </c>
      <c r="Q2521" t="s">
        <v>255</v>
      </c>
      <c r="S2521" t="s">
        <v>11986</v>
      </c>
      <c r="U2521" t="s">
        <v>45</v>
      </c>
      <c r="V2521" t="s">
        <v>46</v>
      </c>
      <c r="W2521" t="s">
        <v>254</v>
      </c>
      <c r="X2521" t="s">
        <v>255</v>
      </c>
      <c r="Y2521" t="s">
        <v>258</v>
      </c>
      <c r="Z2521" t="s">
        <v>259</v>
      </c>
      <c r="AA2521" t="s">
        <v>49</v>
      </c>
      <c r="AB2521" t="s">
        <v>50</v>
      </c>
      <c r="AC2521" s="2">
        <v>55118.05</v>
      </c>
      <c r="AD2521" t="s">
        <v>11987</v>
      </c>
      <c r="AE2521" t="s">
        <v>115</v>
      </c>
    </row>
    <row r="2522" spans="1:31" hidden="1" x14ac:dyDescent="0.25">
      <c r="A2522" t="s">
        <v>11988</v>
      </c>
      <c r="B2522" t="s">
        <v>11989</v>
      </c>
      <c r="C2522" t="s">
        <v>11989</v>
      </c>
      <c r="F2522" t="s">
        <v>11990</v>
      </c>
      <c r="H2522" t="s">
        <v>2396</v>
      </c>
      <c r="I2522" t="s">
        <v>11991</v>
      </c>
      <c r="J2522" s="2">
        <v>21817</v>
      </c>
      <c r="K2522" s="2">
        <v>100</v>
      </c>
      <c r="L2522" s="2">
        <v>1</v>
      </c>
      <c r="M2522" s="2">
        <v>0</v>
      </c>
      <c r="N2522" t="s">
        <v>6985</v>
      </c>
      <c r="O2522" t="s">
        <v>6986</v>
      </c>
      <c r="P2522" t="s">
        <v>6987</v>
      </c>
      <c r="Q2522" t="s">
        <v>6988</v>
      </c>
      <c r="S2522" t="s">
        <v>11992</v>
      </c>
      <c r="U2522" t="s">
        <v>45</v>
      </c>
      <c r="V2522" t="s">
        <v>46</v>
      </c>
      <c r="W2522" t="s">
        <v>6985</v>
      </c>
      <c r="X2522" t="s">
        <v>6986</v>
      </c>
      <c r="Y2522" t="s">
        <v>2399</v>
      </c>
      <c r="Z2522" t="s">
        <v>2400</v>
      </c>
      <c r="AA2522" t="s">
        <v>49</v>
      </c>
      <c r="AB2522" t="s">
        <v>50</v>
      </c>
      <c r="AC2522" s="2">
        <v>21817</v>
      </c>
      <c r="AD2522" t="s">
        <v>64</v>
      </c>
    </row>
    <row r="2523" spans="1:31" hidden="1" x14ac:dyDescent="0.25">
      <c r="A2523" t="s">
        <v>11993</v>
      </c>
      <c r="B2523" t="s">
        <v>11994</v>
      </c>
      <c r="C2523" t="s">
        <v>11994</v>
      </c>
      <c r="F2523" t="s">
        <v>11995</v>
      </c>
      <c r="H2523" t="s">
        <v>11996</v>
      </c>
      <c r="J2523" s="2">
        <v>109085</v>
      </c>
      <c r="K2523" s="2">
        <v>500</v>
      </c>
      <c r="L2523" s="2">
        <v>21</v>
      </c>
      <c r="M2523" s="2">
        <v>0</v>
      </c>
      <c r="N2523" t="s">
        <v>5190</v>
      </c>
      <c r="O2523" t="s">
        <v>5188</v>
      </c>
      <c r="P2523" t="s">
        <v>8938</v>
      </c>
      <c r="Q2523" t="s">
        <v>8939</v>
      </c>
      <c r="S2523" t="s">
        <v>11997</v>
      </c>
      <c r="U2523" t="s">
        <v>45</v>
      </c>
      <c r="V2523" t="s">
        <v>46</v>
      </c>
      <c r="W2523" t="s">
        <v>5190</v>
      </c>
      <c r="X2523" t="s">
        <v>5188</v>
      </c>
      <c r="Y2523" t="s">
        <v>137</v>
      </c>
      <c r="Z2523" t="s">
        <v>717</v>
      </c>
      <c r="AA2523" t="s">
        <v>49</v>
      </c>
      <c r="AB2523" t="s">
        <v>50</v>
      </c>
      <c r="AC2523" s="2">
        <v>109085</v>
      </c>
      <c r="AD2523" t="s">
        <v>64</v>
      </c>
    </row>
    <row r="2524" spans="1:31" x14ac:dyDescent="0.25">
      <c r="A2524" t="s">
        <v>11998</v>
      </c>
      <c r="B2524" t="s">
        <v>11999</v>
      </c>
      <c r="C2524" t="s">
        <v>11999</v>
      </c>
      <c r="D2524" t="s">
        <v>321</v>
      </c>
      <c r="E2524" t="s">
        <v>224</v>
      </c>
      <c r="F2524" t="s">
        <v>12000</v>
      </c>
      <c r="G2524" t="s">
        <v>2286</v>
      </c>
      <c r="H2524" t="s">
        <v>1335</v>
      </c>
      <c r="I2524" t="s">
        <v>12001</v>
      </c>
      <c r="J2524" s="2">
        <v>109085</v>
      </c>
      <c r="K2524" s="2">
        <v>500</v>
      </c>
      <c r="L2524" s="2">
        <v>21</v>
      </c>
      <c r="M2524" s="2">
        <v>0</v>
      </c>
      <c r="N2524" t="s">
        <v>254</v>
      </c>
      <c r="O2524" t="s">
        <v>255</v>
      </c>
      <c r="P2524" t="s">
        <v>4374</v>
      </c>
      <c r="Q2524" t="s">
        <v>4375</v>
      </c>
      <c r="S2524" t="s">
        <v>12002</v>
      </c>
      <c r="U2524" t="s">
        <v>45</v>
      </c>
      <c r="V2524" t="s">
        <v>46</v>
      </c>
      <c r="W2524" t="s">
        <v>254</v>
      </c>
      <c r="X2524" t="s">
        <v>255</v>
      </c>
      <c r="Y2524" t="s">
        <v>258</v>
      </c>
      <c r="Z2524" t="s">
        <v>259</v>
      </c>
      <c r="AA2524" t="s">
        <v>49</v>
      </c>
      <c r="AB2524" t="s">
        <v>50</v>
      </c>
      <c r="AC2524" s="2">
        <v>88965.24</v>
      </c>
      <c r="AD2524" t="s">
        <v>12003</v>
      </c>
    </row>
    <row r="2525" spans="1:31" x14ac:dyDescent="0.25">
      <c r="A2525" t="s">
        <v>12004</v>
      </c>
      <c r="B2525" t="s">
        <v>12005</v>
      </c>
      <c r="C2525" t="s">
        <v>12005</v>
      </c>
      <c r="D2525" t="s">
        <v>178</v>
      </c>
      <c r="E2525" t="s">
        <v>179</v>
      </c>
      <c r="F2525" t="s">
        <v>12006</v>
      </c>
      <c r="G2525" t="s">
        <v>1504</v>
      </c>
      <c r="H2525" t="s">
        <v>584</v>
      </c>
      <c r="I2525" t="s">
        <v>12007</v>
      </c>
      <c r="J2525" s="2">
        <v>654510</v>
      </c>
      <c r="K2525" s="2">
        <v>3000</v>
      </c>
      <c r="L2525" s="2">
        <v>7</v>
      </c>
      <c r="M2525" s="2">
        <v>0</v>
      </c>
      <c r="N2525" t="s">
        <v>585</v>
      </c>
      <c r="O2525" t="s">
        <v>584</v>
      </c>
      <c r="P2525" t="s">
        <v>158</v>
      </c>
      <c r="Q2525" t="s">
        <v>159</v>
      </c>
      <c r="S2525" t="s">
        <v>12008</v>
      </c>
      <c r="U2525" t="s">
        <v>45</v>
      </c>
      <c r="V2525" t="s">
        <v>46</v>
      </c>
      <c r="W2525" t="s">
        <v>585</v>
      </c>
      <c r="X2525" t="s">
        <v>584</v>
      </c>
      <c r="Y2525" t="s">
        <v>161</v>
      </c>
      <c r="Z2525" t="s">
        <v>162</v>
      </c>
      <c r="AA2525" t="s">
        <v>49</v>
      </c>
      <c r="AB2525" t="s">
        <v>50</v>
      </c>
      <c r="AC2525" s="2">
        <v>419419.81</v>
      </c>
      <c r="AD2525" t="s">
        <v>12009</v>
      </c>
    </row>
    <row r="2526" spans="1:31" x14ac:dyDescent="0.25">
      <c r="A2526" t="s">
        <v>12010</v>
      </c>
      <c r="B2526" t="s">
        <v>12011</v>
      </c>
      <c r="C2526" t="s">
        <v>12011</v>
      </c>
      <c r="D2526" t="s">
        <v>125</v>
      </c>
      <c r="E2526" t="s">
        <v>126</v>
      </c>
      <c r="F2526" t="s">
        <v>12012</v>
      </c>
      <c r="G2526" t="s">
        <v>125</v>
      </c>
      <c r="H2526" t="s">
        <v>12013</v>
      </c>
      <c r="I2526" t="s">
        <v>12014</v>
      </c>
      <c r="J2526" s="2">
        <v>4913400</v>
      </c>
      <c r="K2526" s="2">
        <v>20000</v>
      </c>
      <c r="L2526" s="2">
        <v>30</v>
      </c>
      <c r="M2526" s="2">
        <v>0</v>
      </c>
      <c r="N2526" t="s">
        <v>2159</v>
      </c>
      <c r="O2526" t="s">
        <v>2160</v>
      </c>
      <c r="P2526" t="s">
        <v>2320</v>
      </c>
      <c r="Q2526" t="s">
        <v>2321</v>
      </c>
      <c r="S2526" t="s">
        <v>12015</v>
      </c>
      <c r="U2526" t="s">
        <v>45</v>
      </c>
      <c r="V2526" t="s">
        <v>46</v>
      </c>
      <c r="W2526" t="s">
        <v>2159</v>
      </c>
      <c r="X2526" t="s">
        <v>2160</v>
      </c>
      <c r="Y2526" t="s">
        <v>2157</v>
      </c>
      <c r="Z2526" t="s">
        <v>48</v>
      </c>
      <c r="AA2526" t="s">
        <v>49</v>
      </c>
      <c r="AB2526" t="s">
        <v>50</v>
      </c>
      <c r="AC2526" s="2">
        <v>3044855.78</v>
      </c>
      <c r="AD2526" t="s">
        <v>12016</v>
      </c>
      <c r="AE2526" t="s">
        <v>52</v>
      </c>
    </row>
    <row r="2527" spans="1:31" x14ac:dyDescent="0.25">
      <c r="A2527" t="s">
        <v>12017</v>
      </c>
      <c r="B2527" t="s">
        <v>12018</v>
      </c>
      <c r="C2527" t="s">
        <v>12018</v>
      </c>
      <c r="D2527" t="s">
        <v>1410</v>
      </c>
      <c r="E2527" t="s">
        <v>871</v>
      </c>
      <c r="F2527" t="s">
        <v>12019</v>
      </c>
      <c r="G2527" t="s">
        <v>2754</v>
      </c>
      <c r="H2527" t="s">
        <v>252</v>
      </c>
      <c r="I2527" t="s">
        <v>12020</v>
      </c>
      <c r="J2527" s="2">
        <v>109085</v>
      </c>
      <c r="K2527" s="2">
        <v>500</v>
      </c>
      <c r="L2527" s="2">
        <v>15</v>
      </c>
      <c r="M2527" s="2">
        <v>0</v>
      </c>
      <c r="N2527" t="s">
        <v>254</v>
      </c>
      <c r="O2527" t="s">
        <v>255</v>
      </c>
      <c r="P2527" t="s">
        <v>4374</v>
      </c>
      <c r="Q2527" t="s">
        <v>4375</v>
      </c>
      <c r="S2527" t="s">
        <v>12021</v>
      </c>
      <c r="U2527" t="s">
        <v>45</v>
      </c>
      <c r="V2527" t="s">
        <v>46</v>
      </c>
      <c r="W2527" t="s">
        <v>254</v>
      </c>
      <c r="X2527" t="s">
        <v>255</v>
      </c>
      <c r="Y2527" t="s">
        <v>258</v>
      </c>
      <c r="Z2527" t="s">
        <v>259</v>
      </c>
      <c r="AA2527" t="s">
        <v>49</v>
      </c>
      <c r="AB2527" t="s">
        <v>50</v>
      </c>
      <c r="AC2527" s="2">
        <v>76907.570000000007</v>
      </c>
      <c r="AD2527" t="s">
        <v>12022</v>
      </c>
      <c r="AE2527" t="s">
        <v>115</v>
      </c>
    </row>
    <row r="2528" spans="1:31" x14ac:dyDescent="0.25">
      <c r="A2528" t="s">
        <v>12023</v>
      </c>
      <c r="B2528" t="s">
        <v>12024</v>
      </c>
      <c r="C2528" t="s">
        <v>12024</v>
      </c>
      <c r="D2528" t="s">
        <v>125</v>
      </c>
      <c r="E2528" t="s">
        <v>126</v>
      </c>
      <c r="F2528" t="s">
        <v>12025</v>
      </c>
      <c r="H2528" t="s">
        <v>41</v>
      </c>
      <c r="J2528" s="2">
        <v>10909</v>
      </c>
      <c r="K2528" s="2">
        <v>50</v>
      </c>
      <c r="L2528" s="2">
        <v>15</v>
      </c>
      <c r="M2528" s="2">
        <v>0</v>
      </c>
      <c r="N2528" t="s">
        <v>40</v>
      </c>
      <c r="O2528" t="s">
        <v>41</v>
      </c>
      <c r="P2528" t="s">
        <v>42</v>
      </c>
      <c r="Q2528" t="s">
        <v>43</v>
      </c>
      <c r="U2528" t="s">
        <v>45</v>
      </c>
      <c r="V2528" t="s">
        <v>46</v>
      </c>
      <c r="W2528" t="s">
        <v>40</v>
      </c>
      <c r="X2528" t="s">
        <v>41</v>
      </c>
      <c r="Y2528" t="s">
        <v>47</v>
      </c>
      <c r="Z2528" t="s">
        <v>48</v>
      </c>
      <c r="AA2528" t="s">
        <v>141</v>
      </c>
      <c r="AB2528" t="s">
        <v>50</v>
      </c>
      <c r="AC2528" s="2">
        <v>6605.19</v>
      </c>
      <c r="AD2528" t="s">
        <v>12026</v>
      </c>
    </row>
    <row r="2529" spans="1:31" x14ac:dyDescent="0.25">
      <c r="A2529" t="s">
        <v>12027</v>
      </c>
      <c r="B2529" t="s">
        <v>12028</v>
      </c>
      <c r="C2529" t="s">
        <v>12028</v>
      </c>
      <c r="D2529" t="s">
        <v>344</v>
      </c>
      <c r="E2529" t="s">
        <v>167</v>
      </c>
      <c r="F2529" t="s">
        <v>12029</v>
      </c>
      <c r="G2529" t="s">
        <v>344</v>
      </c>
      <c r="H2529" t="s">
        <v>12030</v>
      </c>
      <c r="I2529" t="s">
        <v>12031</v>
      </c>
      <c r="J2529" s="2">
        <v>436340</v>
      </c>
      <c r="K2529" s="2">
        <v>2000</v>
      </c>
      <c r="L2529" s="2">
        <v>21</v>
      </c>
      <c r="M2529" s="2">
        <v>0</v>
      </c>
      <c r="N2529" t="s">
        <v>12032</v>
      </c>
      <c r="O2529" t="s">
        <v>12033</v>
      </c>
      <c r="P2529" t="s">
        <v>2320</v>
      </c>
      <c r="Q2529" t="s">
        <v>2321</v>
      </c>
      <c r="S2529" t="s">
        <v>12034</v>
      </c>
      <c r="U2529" t="s">
        <v>45</v>
      </c>
      <c r="V2529" t="s">
        <v>46</v>
      </c>
      <c r="W2529" t="s">
        <v>12032</v>
      </c>
      <c r="X2529" t="s">
        <v>12033</v>
      </c>
      <c r="Y2529" t="s">
        <v>2157</v>
      </c>
      <c r="Z2529" t="s">
        <v>48</v>
      </c>
      <c r="AA2529" t="s">
        <v>49</v>
      </c>
      <c r="AB2529" t="s">
        <v>50</v>
      </c>
      <c r="AC2529" s="2">
        <v>298913.87</v>
      </c>
      <c r="AD2529" t="s">
        <v>12035</v>
      </c>
      <c r="AE2529" t="s">
        <v>115</v>
      </c>
    </row>
    <row r="2530" spans="1:31" hidden="1" x14ac:dyDescent="0.25">
      <c r="A2530" t="s">
        <v>12036</v>
      </c>
      <c r="B2530" t="s">
        <v>12037</v>
      </c>
      <c r="C2530" t="s">
        <v>12037</v>
      </c>
      <c r="F2530" t="s">
        <v>12038</v>
      </c>
      <c r="H2530" t="s">
        <v>252</v>
      </c>
      <c r="I2530" t="s">
        <v>12039</v>
      </c>
      <c r="J2530" s="2">
        <v>109085</v>
      </c>
      <c r="K2530" s="2">
        <v>500</v>
      </c>
      <c r="L2530" s="2">
        <v>21</v>
      </c>
      <c r="M2530" s="2">
        <v>0</v>
      </c>
      <c r="N2530" t="s">
        <v>254</v>
      </c>
      <c r="O2530" t="s">
        <v>255</v>
      </c>
      <c r="P2530" t="s">
        <v>4374</v>
      </c>
      <c r="Q2530" t="s">
        <v>4375</v>
      </c>
      <c r="S2530" t="s">
        <v>12040</v>
      </c>
      <c r="U2530" t="s">
        <v>45</v>
      </c>
      <c r="V2530" t="s">
        <v>46</v>
      </c>
      <c r="W2530" t="s">
        <v>254</v>
      </c>
      <c r="X2530" t="s">
        <v>255</v>
      </c>
      <c r="Y2530" t="s">
        <v>258</v>
      </c>
      <c r="Z2530" t="s">
        <v>259</v>
      </c>
      <c r="AA2530" t="s">
        <v>49</v>
      </c>
      <c r="AB2530" t="s">
        <v>50</v>
      </c>
      <c r="AC2530" s="2">
        <v>109085</v>
      </c>
      <c r="AD2530" t="s">
        <v>64</v>
      </c>
    </row>
    <row r="2531" spans="1:31" x14ac:dyDescent="0.25">
      <c r="A2531" t="s">
        <v>12041</v>
      </c>
      <c r="B2531" t="s">
        <v>12042</v>
      </c>
      <c r="C2531" t="s">
        <v>12042</v>
      </c>
      <c r="D2531" t="s">
        <v>888</v>
      </c>
      <c r="E2531" t="s">
        <v>167</v>
      </c>
      <c r="F2531" t="s">
        <v>12043</v>
      </c>
      <c r="G2531" t="s">
        <v>1291</v>
      </c>
      <c r="H2531" t="s">
        <v>255</v>
      </c>
      <c r="I2531" t="s">
        <v>12044</v>
      </c>
      <c r="J2531" s="2">
        <v>218170</v>
      </c>
      <c r="K2531" s="2">
        <v>1000</v>
      </c>
      <c r="L2531" s="2">
        <v>21</v>
      </c>
      <c r="M2531" s="2">
        <v>0</v>
      </c>
      <c r="N2531" t="s">
        <v>254</v>
      </c>
      <c r="O2531" t="s">
        <v>255</v>
      </c>
      <c r="P2531" t="s">
        <v>4374</v>
      </c>
      <c r="Q2531" t="s">
        <v>4375</v>
      </c>
      <c r="S2531" t="s">
        <v>12045</v>
      </c>
      <c r="U2531" t="s">
        <v>45</v>
      </c>
      <c r="V2531" t="s">
        <v>46</v>
      </c>
      <c r="W2531" t="s">
        <v>254</v>
      </c>
      <c r="X2531" t="s">
        <v>255</v>
      </c>
      <c r="Y2531" t="s">
        <v>258</v>
      </c>
      <c r="Z2531" t="s">
        <v>259</v>
      </c>
      <c r="AA2531" t="s">
        <v>49</v>
      </c>
      <c r="AB2531" t="s">
        <v>50</v>
      </c>
      <c r="AC2531" s="2">
        <v>218170</v>
      </c>
      <c r="AD2531" t="s">
        <v>64</v>
      </c>
    </row>
    <row r="2532" spans="1:31" x14ac:dyDescent="0.25">
      <c r="A2532" t="s">
        <v>12046</v>
      </c>
      <c r="B2532" t="s">
        <v>12047</v>
      </c>
      <c r="C2532" t="s">
        <v>12047</v>
      </c>
      <c r="D2532" t="s">
        <v>870</v>
      </c>
      <c r="E2532" t="s">
        <v>871</v>
      </c>
      <c r="F2532" t="s">
        <v>12048</v>
      </c>
      <c r="G2532" t="s">
        <v>1467</v>
      </c>
      <c r="H2532" t="s">
        <v>324</v>
      </c>
      <c r="J2532" s="2">
        <v>24158</v>
      </c>
      <c r="K2532" s="2">
        <v>100</v>
      </c>
      <c r="L2532" s="2">
        <v>15</v>
      </c>
      <c r="M2532" s="2">
        <v>0</v>
      </c>
      <c r="N2532" t="s">
        <v>326</v>
      </c>
      <c r="O2532" t="s">
        <v>327</v>
      </c>
      <c r="P2532" t="s">
        <v>304</v>
      </c>
      <c r="Q2532" t="s">
        <v>72</v>
      </c>
      <c r="S2532" t="s">
        <v>12049</v>
      </c>
      <c r="U2532" t="s">
        <v>45</v>
      </c>
      <c r="V2532" t="s">
        <v>46</v>
      </c>
      <c r="W2532" t="s">
        <v>326</v>
      </c>
      <c r="X2532" t="s">
        <v>327</v>
      </c>
      <c r="Y2532" t="s">
        <v>121</v>
      </c>
      <c r="Z2532" t="s">
        <v>94</v>
      </c>
      <c r="AA2532" t="s">
        <v>49</v>
      </c>
      <c r="AB2532" t="s">
        <v>50</v>
      </c>
      <c r="AC2532" s="2">
        <v>-130842.05</v>
      </c>
      <c r="AD2532" t="s">
        <v>12050</v>
      </c>
      <c r="AE2532" t="s">
        <v>115</v>
      </c>
    </row>
    <row r="2533" spans="1:31" hidden="1" x14ac:dyDescent="0.25">
      <c r="A2533" s="10" t="s">
        <v>12051</v>
      </c>
      <c r="B2533" s="10" t="s">
        <v>12052</v>
      </c>
      <c r="C2533" t="s">
        <v>12052</v>
      </c>
      <c r="D2533" t="s">
        <v>2389</v>
      </c>
      <c r="E2533" t="s">
        <v>134</v>
      </c>
      <c r="F2533" t="s">
        <v>12053</v>
      </c>
      <c r="H2533" t="s">
        <v>443</v>
      </c>
      <c r="J2533" s="2">
        <v>10909</v>
      </c>
      <c r="K2533" s="2">
        <v>50</v>
      </c>
      <c r="L2533" s="2">
        <v>15</v>
      </c>
      <c r="M2533" s="2">
        <v>0</v>
      </c>
      <c r="N2533" t="s">
        <v>445</v>
      </c>
      <c r="O2533" t="s">
        <v>446</v>
      </c>
      <c r="P2533" t="s">
        <v>42</v>
      </c>
      <c r="Q2533" t="s">
        <v>43</v>
      </c>
      <c r="U2533" t="s">
        <v>45</v>
      </c>
      <c r="V2533" t="s">
        <v>46</v>
      </c>
      <c r="W2533" t="s">
        <v>445</v>
      </c>
      <c r="X2533" t="s">
        <v>446</v>
      </c>
      <c r="Y2533" t="s">
        <v>72</v>
      </c>
      <c r="Z2533" t="s">
        <v>68</v>
      </c>
      <c r="AA2533" t="s">
        <v>141</v>
      </c>
      <c r="AB2533" t="s">
        <v>142</v>
      </c>
      <c r="AC2533" s="2">
        <v>10909</v>
      </c>
      <c r="AD2533" t="s">
        <v>64</v>
      </c>
    </row>
    <row r="2534" spans="1:31" x14ac:dyDescent="0.25">
      <c r="A2534" t="s">
        <v>12054</v>
      </c>
      <c r="B2534" t="s">
        <v>12055</v>
      </c>
      <c r="C2534" t="s">
        <v>12055</v>
      </c>
      <c r="D2534" t="s">
        <v>35</v>
      </c>
      <c r="E2534" t="s">
        <v>36</v>
      </c>
      <c r="F2534" t="s">
        <v>12056</v>
      </c>
      <c r="G2534" t="s">
        <v>35</v>
      </c>
      <c r="H2534" t="s">
        <v>3396</v>
      </c>
      <c r="J2534" s="2">
        <v>1090850</v>
      </c>
      <c r="K2534" s="2">
        <v>5000</v>
      </c>
      <c r="L2534" s="2">
        <v>30</v>
      </c>
      <c r="M2534" s="2">
        <v>0</v>
      </c>
      <c r="N2534" t="s">
        <v>3398</v>
      </c>
      <c r="O2534" t="s">
        <v>3399</v>
      </c>
      <c r="P2534" t="s">
        <v>304</v>
      </c>
      <c r="Q2534" t="s">
        <v>72</v>
      </c>
      <c r="S2534" t="s">
        <v>12057</v>
      </c>
      <c r="U2534" t="s">
        <v>45</v>
      </c>
      <c r="V2534" t="s">
        <v>46</v>
      </c>
      <c r="W2534" t="s">
        <v>3398</v>
      </c>
      <c r="X2534" t="s">
        <v>3399</v>
      </c>
      <c r="Y2534" t="s">
        <v>72</v>
      </c>
      <c r="Z2534" t="s">
        <v>68</v>
      </c>
      <c r="AA2534" t="s">
        <v>49</v>
      </c>
      <c r="AB2534" t="s">
        <v>50</v>
      </c>
      <c r="AC2534" s="2">
        <v>1057813.17</v>
      </c>
      <c r="AD2534" t="s">
        <v>12058</v>
      </c>
      <c r="AE2534" t="s">
        <v>52</v>
      </c>
    </row>
    <row r="2535" spans="1:31" hidden="1" x14ac:dyDescent="0.25">
      <c r="I2535" t="s">
        <v>12059</v>
      </c>
      <c r="J2535" s="2">
        <v>218</v>
      </c>
      <c r="K2535" s="2">
        <v>1</v>
      </c>
      <c r="L2535" s="2">
        <v>1</v>
      </c>
      <c r="M2535" s="2">
        <v>0</v>
      </c>
      <c r="S2535" t="s">
        <v>12060</v>
      </c>
      <c r="U2535" t="s">
        <v>45</v>
      </c>
      <c r="V2535" t="s">
        <v>46</v>
      </c>
      <c r="W2535" t="s">
        <v>254</v>
      </c>
      <c r="X2535" t="s">
        <v>255</v>
      </c>
      <c r="Y2535" t="s">
        <v>258</v>
      </c>
      <c r="Z2535" t="s">
        <v>259</v>
      </c>
      <c r="AA2535" t="s">
        <v>49</v>
      </c>
      <c r="AC2535" s="2"/>
    </row>
    <row r="2536" spans="1:31" hidden="1" x14ac:dyDescent="0.25">
      <c r="I2536" t="s">
        <v>12061</v>
      </c>
      <c r="J2536" s="2">
        <v>109085</v>
      </c>
      <c r="K2536" s="2">
        <v>500</v>
      </c>
      <c r="L2536" s="2">
        <v>15</v>
      </c>
      <c r="M2536" s="2">
        <v>0</v>
      </c>
      <c r="S2536" t="s">
        <v>12062</v>
      </c>
      <c r="U2536" t="s">
        <v>45</v>
      </c>
      <c r="V2536" t="s">
        <v>46</v>
      </c>
      <c r="W2536" t="s">
        <v>254</v>
      </c>
      <c r="X2536" t="s">
        <v>255</v>
      </c>
      <c r="Y2536" t="s">
        <v>258</v>
      </c>
      <c r="Z2536" t="s">
        <v>259</v>
      </c>
      <c r="AA2536" t="s">
        <v>49</v>
      </c>
      <c r="AC2536" s="2"/>
    </row>
    <row r="2537" spans="1:31" hidden="1" x14ac:dyDescent="0.25">
      <c r="I2537" t="s">
        <v>12063</v>
      </c>
      <c r="J2537" s="2">
        <v>1000</v>
      </c>
      <c r="K2537" s="2">
        <v>0</v>
      </c>
      <c r="L2537" s="2">
        <v>1</v>
      </c>
      <c r="M2537" s="2">
        <v>0</v>
      </c>
      <c r="S2537" t="s">
        <v>12064</v>
      </c>
      <c r="U2537" t="s">
        <v>45</v>
      </c>
      <c r="V2537" t="s">
        <v>46</v>
      </c>
      <c r="W2537" t="s">
        <v>302</v>
      </c>
      <c r="X2537" t="s">
        <v>303</v>
      </c>
      <c r="Y2537" t="s">
        <v>72</v>
      </c>
      <c r="Z2537" t="s">
        <v>68</v>
      </c>
      <c r="AA2537" t="s">
        <v>49</v>
      </c>
      <c r="AC2537" s="2"/>
    </row>
    <row r="2538" spans="1:31" x14ac:dyDescent="0.25">
      <c r="A2538" t="s">
        <v>12065</v>
      </c>
      <c r="B2538" t="s">
        <v>12066</v>
      </c>
      <c r="C2538" t="s">
        <v>12066</v>
      </c>
      <c r="D2538" t="s">
        <v>178</v>
      </c>
      <c r="E2538" t="s">
        <v>179</v>
      </c>
      <c r="F2538" t="s">
        <v>12067</v>
      </c>
      <c r="G2538" t="s">
        <v>178</v>
      </c>
      <c r="H2538" t="s">
        <v>255</v>
      </c>
      <c r="I2538" t="s">
        <v>12068</v>
      </c>
      <c r="J2538" s="2">
        <v>327255</v>
      </c>
      <c r="K2538" s="2">
        <v>1500</v>
      </c>
      <c r="L2538" s="2">
        <v>21</v>
      </c>
      <c r="M2538" s="2">
        <v>0</v>
      </c>
      <c r="N2538" t="s">
        <v>254</v>
      </c>
      <c r="O2538" t="s">
        <v>255</v>
      </c>
      <c r="P2538" t="s">
        <v>256</v>
      </c>
      <c r="Q2538" t="s">
        <v>255</v>
      </c>
      <c r="S2538" t="s">
        <v>12069</v>
      </c>
      <c r="U2538" t="s">
        <v>45</v>
      </c>
      <c r="V2538" t="s">
        <v>46</v>
      </c>
      <c r="W2538" t="s">
        <v>254</v>
      </c>
      <c r="X2538" t="s">
        <v>255</v>
      </c>
      <c r="Y2538" t="s">
        <v>258</v>
      </c>
      <c r="Z2538" t="s">
        <v>259</v>
      </c>
      <c r="AA2538" t="s">
        <v>49</v>
      </c>
      <c r="AB2538" t="s">
        <v>50</v>
      </c>
      <c r="AC2538" s="2">
        <v>327255</v>
      </c>
      <c r="AD2538" t="s">
        <v>64</v>
      </c>
    </row>
    <row r="2539" spans="1:31" x14ac:dyDescent="0.25">
      <c r="A2539" t="s">
        <v>12070</v>
      </c>
      <c r="B2539" t="s">
        <v>12071</v>
      </c>
      <c r="C2539" t="s">
        <v>12071</v>
      </c>
      <c r="D2539" t="s">
        <v>153</v>
      </c>
      <c r="E2539" t="s">
        <v>272</v>
      </c>
      <c r="F2539" t="s">
        <v>12072</v>
      </c>
      <c r="G2539" t="s">
        <v>649</v>
      </c>
      <c r="H2539" t="s">
        <v>255</v>
      </c>
      <c r="I2539" t="s">
        <v>12073</v>
      </c>
      <c r="J2539" s="2">
        <v>218170</v>
      </c>
      <c r="K2539" s="2">
        <v>1000</v>
      </c>
      <c r="L2539" s="2">
        <v>21</v>
      </c>
      <c r="M2539" s="2">
        <v>0</v>
      </c>
      <c r="N2539" t="s">
        <v>254</v>
      </c>
      <c r="O2539" t="s">
        <v>255</v>
      </c>
      <c r="P2539" t="s">
        <v>256</v>
      </c>
      <c r="Q2539" t="s">
        <v>255</v>
      </c>
      <c r="S2539" t="s">
        <v>12074</v>
      </c>
      <c r="U2539" t="s">
        <v>45</v>
      </c>
      <c r="V2539" t="s">
        <v>46</v>
      </c>
      <c r="W2539" t="s">
        <v>254</v>
      </c>
      <c r="X2539" t="s">
        <v>255</v>
      </c>
      <c r="Y2539" t="s">
        <v>258</v>
      </c>
      <c r="Z2539" t="s">
        <v>259</v>
      </c>
      <c r="AA2539" t="s">
        <v>49</v>
      </c>
      <c r="AB2539" t="s">
        <v>50</v>
      </c>
      <c r="AC2539" s="2">
        <v>10228.629999999999</v>
      </c>
      <c r="AD2539" t="s">
        <v>12075</v>
      </c>
      <c r="AE2539" t="s">
        <v>115</v>
      </c>
    </row>
    <row r="2540" spans="1:31" x14ac:dyDescent="0.25">
      <c r="A2540" t="s">
        <v>12076</v>
      </c>
      <c r="B2540" t="s">
        <v>12077</v>
      </c>
      <c r="C2540" t="s">
        <v>12077</v>
      </c>
      <c r="D2540" t="s">
        <v>153</v>
      </c>
      <c r="E2540" t="s">
        <v>272</v>
      </c>
      <c r="F2540" t="s">
        <v>12078</v>
      </c>
      <c r="G2540" t="s">
        <v>6526</v>
      </c>
      <c r="H2540" t="s">
        <v>5009</v>
      </c>
      <c r="I2540" t="s">
        <v>12079</v>
      </c>
      <c r="J2540" s="2">
        <v>109085</v>
      </c>
      <c r="K2540" s="2">
        <v>500</v>
      </c>
      <c r="L2540" s="2">
        <v>21</v>
      </c>
      <c r="M2540" s="2">
        <v>0</v>
      </c>
      <c r="N2540" t="s">
        <v>11459</v>
      </c>
      <c r="O2540" t="s">
        <v>11440</v>
      </c>
      <c r="P2540" t="s">
        <v>8938</v>
      </c>
      <c r="Q2540" t="s">
        <v>8939</v>
      </c>
      <c r="S2540" t="s">
        <v>12080</v>
      </c>
      <c r="U2540" t="s">
        <v>45</v>
      </c>
      <c r="V2540" t="s">
        <v>46</v>
      </c>
      <c r="W2540" t="s">
        <v>11459</v>
      </c>
      <c r="X2540" t="s">
        <v>11440</v>
      </c>
      <c r="Y2540" t="s">
        <v>137</v>
      </c>
      <c r="Z2540" t="s">
        <v>717</v>
      </c>
      <c r="AA2540" t="s">
        <v>49</v>
      </c>
      <c r="AB2540" t="s">
        <v>50</v>
      </c>
      <c r="AC2540" s="2">
        <v>13558.93</v>
      </c>
      <c r="AD2540" t="s">
        <v>12081</v>
      </c>
      <c r="AE2540" t="s">
        <v>115</v>
      </c>
    </row>
    <row r="2541" spans="1:31" x14ac:dyDescent="0.25">
      <c r="A2541" t="s">
        <v>12082</v>
      </c>
      <c r="B2541" t="s">
        <v>12083</v>
      </c>
      <c r="C2541" t="s">
        <v>12083</v>
      </c>
      <c r="D2541" t="s">
        <v>1865</v>
      </c>
      <c r="E2541" t="s">
        <v>224</v>
      </c>
      <c r="F2541" t="s">
        <v>12084</v>
      </c>
      <c r="G2541" t="s">
        <v>1467</v>
      </c>
      <c r="H2541" t="s">
        <v>119</v>
      </c>
      <c r="I2541" t="s">
        <v>12085</v>
      </c>
      <c r="J2541" s="2">
        <v>24158</v>
      </c>
      <c r="K2541" s="2">
        <v>100</v>
      </c>
      <c r="L2541" s="2">
        <v>15</v>
      </c>
      <c r="M2541" s="2">
        <v>0</v>
      </c>
      <c r="N2541" t="s">
        <v>118</v>
      </c>
      <c r="O2541" t="s">
        <v>119</v>
      </c>
      <c r="P2541" t="s">
        <v>304</v>
      </c>
      <c r="Q2541" t="s">
        <v>72</v>
      </c>
      <c r="S2541" t="s">
        <v>12086</v>
      </c>
      <c r="U2541" t="s">
        <v>45</v>
      </c>
      <c r="V2541" t="s">
        <v>46</v>
      </c>
      <c r="W2541" t="s">
        <v>118</v>
      </c>
      <c r="X2541" t="s">
        <v>119</v>
      </c>
      <c r="Y2541" t="s">
        <v>121</v>
      </c>
      <c r="Z2541" t="s">
        <v>94</v>
      </c>
      <c r="AA2541" t="s">
        <v>49</v>
      </c>
      <c r="AB2541" t="s">
        <v>50</v>
      </c>
      <c r="AC2541" s="2">
        <v>-138805.98000000001</v>
      </c>
      <c r="AD2541" t="s">
        <v>12087</v>
      </c>
      <c r="AE2541" t="s">
        <v>115</v>
      </c>
    </row>
    <row r="2542" spans="1:31" x14ac:dyDescent="0.25">
      <c r="A2542" t="s">
        <v>12088</v>
      </c>
      <c r="B2542" t="s">
        <v>12089</v>
      </c>
      <c r="C2542" t="s">
        <v>12089</v>
      </c>
      <c r="D2542" t="s">
        <v>870</v>
      </c>
      <c r="E2542" t="s">
        <v>871</v>
      </c>
      <c r="F2542" t="s">
        <v>12090</v>
      </c>
      <c r="G2542" t="s">
        <v>1454</v>
      </c>
      <c r="H2542" t="s">
        <v>324</v>
      </c>
      <c r="J2542" s="2">
        <v>24158</v>
      </c>
      <c r="K2542" s="2">
        <v>100</v>
      </c>
      <c r="L2542" s="2">
        <v>15</v>
      </c>
      <c r="M2542" s="2">
        <v>0</v>
      </c>
      <c r="N2542" t="s">
        <v>326</v>
      </c>
      <c r="O2542" t="s">
        <v>327</v>
      </c>
      <c r="P2542" t="s">
        <v>304</v>
      </c>
      <c r="Q2542" t="s">
        <v>72</v>
      </c>
      <c r="S2542" t="s">
        <v>12091</v>
      </c>
      <c r="U2542" t="s">
        <v>45</v>
      </c>
      <c r="V2542" t="s">
        <v>46</v>
      </c>
      <c r="W2542" t="s">
        <v>326</v>
      </c>
      <c r="X2542" t="s">
        <v>327</v>
      </c>
      <c r="Y2542" t="s">
        <v>121</v>
      </c>
      <c r="Z2542" t="s">
        <v>94</v>
      </c>
      <c r="AA2542" t="s">
        <v>49</v>
      </c>
      <c r="AB2542" t="s">
        <v>50</v>
      </c>
      <c r="AC2542" s="2">
        <v>-139370.4</v>
      </c>
      <c r="AD2542" t="s">
        <v>12092</v>
      </c>
      <c r="AE2542" t="s">
        <v>115</v>
      </c>
    </row>
    <row r="2543" spans="1:31" x14ac:dyDescent="0.25">
      <c r="A2543" t="s">
        <v>12093</v>
      </c>
      <c r="B2543" t="s">
        <v>12094</v>
      </c>
      <c r="C2543" t="s">
        <v>12094</v>
      </c>
      <c r="D2543" t="s">
        <v>2687</v>
      </c>
      <c r="E2543" t="s">
        <v>190</v>
      </c>
      <c r="F2543" t="s">
        <v>12095</v>
      </c>
      <c r="G2543" t="s">
        <v>1467</v>
      </c>
      <c r="H2543" t="s">
        <v>4180</v>
      </c>
      <c r="I2543" t="s">
        <v>12096</v>
      </c>
      <c r="J2543" s="2">
        <v>24158</v>
      </c>
      <c r="K2543" s="2">
        <v>100</v>
      </c>
      <c r="L2543" s="2">
        <v>1</v>
      </c>
      <c r="M2543" s="2">
        <v>0</v>
      </c>
      <c r="N2543" t="s">
        <v>1398</v>
      </c>
      <c r="O2543" t="s">
        <v>1396</v>
      </c>
      <c r="P2543" t="s">
        <v>304</v>
      </c>
      <c r="Q2543" t="s">
        <v>72</v>
      </c>
      <c r="S2543" t="s">
        <v>12097</v>
      </c>
      <c r="U2543" t="s">
        <v>45</v>
      </c>
      <c r="V2543" t="s">
        <v>46</v>
      </c>
      <c r="W2543" t="s">
        <v>1398</v>
      </c>
      <c r="X2543" t="s">
        <v>1396</v>
      </c>
      <c r="Y2543" t="s">
        <v>121</v>
      </c>
      <c r="Z2543" t="s">
        <v>94</v>
      </c>
      <c r="AA2543" t="s">
        <v>49</v>
      </c>
      <c r="AB2543" t="s">
        <v>50</v>
      </c>
      <c r="AC2543" s="2">
        <v>-11903.93</v>
      </c>
      <c r="AD2543" t="s">
        <v>12098</v>
      </c>
      <c r="AE2543" t="s">
        <v>115</v>
      </c>
    </row>
    <row r="2544" spans="1:31" x14ac:dyDescent="0.25">
      <c r="A2544" t="s">
        <v>12099</v>
      </c>
      <c r="B2544" t="s">
        <v>12100</v>
      </c>
      <c r="C2544" t="s">
        <v>12100</v>
      </c>
      <c r="D2544" t="s">
        <v>125</v>
      </c>
      <c r="E2544" t="s">
        <v>126</v>
      </c>
      <c r="F2544" t="s">
        <v>12101</v>
      </c>
      <c r="G2544" t="s">
        <v>125</v>
      </c>
      <c r="H2544" t="s">
        <v>3622</v>
      </c>
      <c r="I2544" t="s">
        <v>12102</v>
      </c>
      <c r="J2544" s="2">
        <v>274120</v>
      </c>
      <c r="K2544" s="2">
        <v>1100</v>
      </c>
      <c r="L2544" s="2">
        <v>21</v>
      </c>
      <c r="M2544" s="2">
        <v>0</v>
      </c>
      <c r="N2544" t="s">
        <v>1730</v>
      </c>
      <c r="O2544" t="s">
        <v>1728</v>
      </c>
      <c r="P2544" t="s">
        <v>120</v>
      </c>
      <c r="Q2544" t="s">
        <v>121</v>
      </c>
      <c r="S2544" t="s">
        <v>12103</v>
      </c>
      <c r="U2544" t="s">
        <v>45</v>
      </c>
      <c r="V2544" t="s">
        <v>46</v>
      </c>
      <c r="W2544" t="s">
        <v>1730</v>
      </c>
      <c r="X2544" t="s">
        <v>1728</v>
      </c>
      <c r="Y2544" t="s">
        <v>121</v>
      </c>
      <c r="Z2544" t="s">
        <v>94</v>
      </c>
      <c r="AA2544" t="s">
        <v>49</v>
      </c>
      <c r="AB2544" t="s">
        <v>50</v>
      </c>
      <c r="AC2544" s="2">
        <v>110536.02</v>
      </c>
      <c r="AD2544" t="s">
        <v>12104</v>
      </c>
      <c r="AE2544" t="s">
        <v>52</v>
      </c>
    </row>
    <row r="2545" spans="1:31" x14ac:dyDescent="0.25">
      <c r="A2545" t="s">
        <v>12105</v>
      </c>
      <c r="B2545" t="s">
        <v>12106</v>
      </c>
      <c r="C2545" t="s">
        <v>12106</v>
      </c>
      <c r="D2545" t="s">
        <v>125</v>
      </c>
      <c r="E2545" t="s">
        <v>126</v>
      </c>
      <c r="F2545" t="s">
        <v>12107</v>
      </c>
      <c r="G2545" t="s">
        <v>125</v>
      </c>
      <c r="H2545" t="s">
        <v>3622</v>
      </c>
      <c r="I2545" t="s">
        <v>12102</v>
      </c>
      <c r="J2545" s="2">
        <v>408425</v>
      </c>
      <c r="K2545" s="2">
        <v>1680</v>
      </c>
      <c r="L2545" s="2">
        <v>21</v>
      </c>
      <c r="M2545" s="2">
        <v>0</v>
      </c>
      <c r="N2545" t="s">
        <v>1730</v>
      </c>
      <c r="O2545" t="s">
        <v>1728</v>
      </c>
      <c r="P2545" t="s">
        <v>120</v>
      </c>
      <c r="Q2545" t="s">
        <v>121</v>
      </c>
      <c r="S2545" t="s">
        <v>12108</v>
      </c>
      <c r="U2545" t="s">
        <v>45</v>
      </c>
      <c r="V2545" t="s">
        <v>46</v>
      </c>
      <c r="W2545" t="s">
        <v>1730</v>
      </c>
      <c r="X2545" t="s">
        <v>1728</v>
      </c>
      <c r="Y2545" t="s">
        <v>121</v>
      </c>
      <c r="Z2545" t="s">
        <v>94</v>
      </c>
      <c r="AA2545" t="s">
        <v>49</v>
      </c>
      <c r="AB2545" t="s">
        <v>50</v>
      </c>
      <c r="AC2545" s="2">
        <v>124604.47</v>
      </c>
      <c r="AD2545" t="s">
        <v>12109</v>
      </c>
      <c r="AE2545" t="s">
        <v>115</v>
      </c>
    </row>
    <row r="2546" spans="1:31" hidden="1" x14ac:dyDescent="0.25">
      <c r="A2546" t="s">
        <v>12110</v>
      </c>
      <c r="B2546" t="s">
        <v>12111</v>
      </c>
      <c r="C2546" t="s">
        <v>12111</v>
      </c>
      <c r="F2546" t="s">
        <v>12112</v>
      </c>
      <c r="H2546" t="s">
        <v>255</v>
      </c>
      <c r="I2546" t="s">
        <v>12113</v>
      </c>
      <c r="J2546" s="2">
        <v>196353</v>
      </c>
      <c r="K2546" s="2">
        <v>900</v>
      </c>
      <c r="L2546" s="2">
        <v>21</v>
      </c>
      <c r="M2546" s="2">
        <v>0</v>
      </c>
      <c r="N2546" t="s">
        <v>254</v>
      </c>
      <c r="O2546" t="s">
        <v>255</v>
      </c>
      <c r="P2546" t="s">
        <v>4374</v>
      </c>
      <c r="Q2546" t="s">
        <v>4375</v>
      </c>
      <c r="S2546" t="s">
        <v>12114</v>
      </c>
      <c r="U2546" t="s">
        <v>45</v>
      </c>
      <c r="V2546" t="s">
        <v>46</v>
      </c>
      <c r="W2546" t="s">
        <v>254</v>
      </c>
      <c r="X2546" t="s">
        <v>255</v>
      </c>
      <c r="Y2546" t="s">
        <v>258</v>
      </c>
      <c r="Z2546" t="s">
        <v>259</v>
      </c>
      <c r="AA2546" t="s">
        <v>49</v>
      </c>
      <c r="AB2546" t="s">
        <v>50</v>
      </c>
      <c r="AC2546" s="2">
        <v>196353</v>
      </c>
      <c r="AD2546" t="s">
        <v>64</v>
      </c>
    </row>
    <row r="2547" spans="1:31" x14ac:dyDescent="0.25">
      <c r="A2547" t="s">
        <v>12115</v>
      </c>
      <c r="B2547" t="s">
        <v>12116</v>
      </c>
      <c r="C2547" t="s">
        <v>12116</v>
      </c>
      <c r="D2547" t="s">
        <v>125</v>
      </c>
      <c r="E2547" t="s">
        <v>126</v>
      </c>
      <c r="F2547" t="s">
        <v>12117</v>
      </c>
      <c r="G2547" t="s">
        <v>125</v>
      </c>
      <c r="H2547" t="s">
        <v>12118</v>
      </c>
      <c r="I2547" t="s">
        <v>12119</v>
      </c>
      <c r="J2547" s="2">
        <v>700680</v>
      </c>
      <c r="K2547" s="2">
        <v>3000</v>
      </c>
      <c r="L2547" s="2">
        <v>15</v>
      </c>
      <c r="M2547" s="2">
        <v>0</v>
      </c>
      <c r="N2547" t="s">
        <v>80</v>
      </c>
      <c r="O2547" t="s">
        <v>81</v>
      </c>
      <c r="P2547" t="s">
        <v>557</v>
      </c>
      <c r="Q2547" t="s">
        <v>558</v>
      </c>
      <c r="S2547" t="s">
        <v>12120</v>
      </c>
      <c r="U2547" t="s">
        <v>45</v>
      </c>
      <c r="V2547" t="s">
        <v>46</v>
      </c>
      <c r="W2547" t="s">
        <v>80</v>
      </c>
      <c r="X2547" t="s">
        <v>81</v>
      </c>
      <c r="Y2547" t="s">
        <v>85</v>
      </c>
      <c r="Z2547" t="s">
        <v>86</v>
      </c>
      <c r="AA2547" t="s">
        <v>49</v>
      </c>
      <c r="AB2547" t="s">
        <v>50</v>
      </c>
      <c r="AC2547" s="2">
        <v>-6295.54</v>
      </c>
      <c r="AD2547" t="s">
        <v>12121</v>
      </c>
      <c r="AE2547" t="s">
        <v>115</v>
      </c>
    </row>
    <row r="2548" spans="1:31" x14ac:dyDescent="0.25">
      <c r="A2548" t="s">
        <v>12122</v>
      </c>
      <c r="B2548" t="s">
        <v>12123</v>
      </c>
      <c r="C2548" t="s">
        <v>12123</v>
      </c>
      <c r="D2548" t="s">
        <v>344</v>
      </c>
      <c r="E2548" t="s">
        <v>167</v>
      </c>
      <c r="F2548" t="s">
        <v>12124</v>
      </c>
      <c r="G2548" t="s">
        <v>1289</v>
      </c>
      <c r="H2548" t="s">
        <v>11694</v>
      </c>
      <c r="I2548" t="s">
        <v>12125</v>
      </c>
      <c r="J2548" s="2">
        <v>360480</v>
      </c>
      <c r="K2548" s="2">
        <v>1500</v>
      </c>
      <c r="L2548" s="2">
        <v>30</v>
      </c>
      <c r="M2548" s="2">
        <v>0</v>
      </c>
      <c r="N2548" t="s">
        <v>2571</v>
      </c>
      <c r="O2548" t="s">
        <v>2572</v>
      </c>
      <c r="P2548" t="s">
        <v>6987</v>
      </c>
      <c r="Q2548" t="s">
        <v>6988</v>
      </c>
      <c r="S2548" t="s">
        <v>12126</v>
      </c>
      <c r="U2548" t="s">
        <v>45</v>
      </c>
      <c r="V2548" t="s">
        <v>46</v>
      </c>
      <c r="W2548" t="s">
        <v>2571</v>
      </c>
      <c r="X2548" t="s">
        <v>2572</v>
      </c>
      <c r="Y2548" t="s">
        <v>2399</v>
      </c>
      <c r="Z2548" t="s">
        <v>2400</v>
      </c>
      <c r="AA2548" t="s">
        <v>49</v>
      </c>
      <c r="AB2548" t="s">
        <v>50</v>
      </c>
      <c r="AC2548" s="2">
        <v>360480</v>
      </c>
      <c r="AD2548" t="s">
        <v>64</v>
      </c>
    </row>
    <row r="2549" spans="1:31" x14ac:dyDescent="0.25">
      <c r="A2549" t="s">
        <v>12127</v>
      </c>
      <c r="B2549" t="s">
        <v>12128</v>
      </c>
      <c r="C2549" t="s">
        <v>12128</v>
      </c>
      <c r="D2549" t="s">
        <v>125</v>
      </c>
      <c r="E2549" t="s">
        <v>126</v>
      </c>
      <c r="F2549" t="s">
        <v>12129</v>
      </c>
      <c r="G2549" t="s">
        <v>125</v>
      </c>
      <c r="H2549" t="s">
        <v>7340</v>
      </c>
      <c r="I2549" t="s">
        <v>12130</v>
      </c>
      <c r="J2549" s="2">
        <v>3280950</v>
      </c>
      <c r="K2549" s="2">
        <v>13800</v>
      </c>
      <c r="L2549" s="2">
        <v>21</v>
      </c>
      <c r="M2549" s="2">
        <v>0</v>
      </c>
      <c r="N2549" t="s">
        <v>7341</v>
      </c>
      <c r="O2549" t="s">
        <v>7342</v>
      </c>
      <c r="P2549" t="s">
        <v>6987</v>
      </c>
      <c r="Q2549" t="s">
        <v>6988</v>
      </c>
      <c r="S2549" t="s">
        <v>12131</v>
      </c>
      <c r="U2549" t="s">
        <v>45</v>
      </c>
      <c r="V2549" t="s">
        <v>46</v>
      </c>
      <c r="W2549" t="s">
        <v>7341</v>
      </c>
      <c r="X2549" t="s">
        <v>7342</v>
      </c>
      <c r="Y2549" t="s">
        <v>2399</v>
      </c>
      <c r="Z2549" t="s">
        <v>2400</v>
      </c>
      <c r="AA2549" t="s">
        <v>49</v>
      </c>
      <c r="AB2549" t="s">
        <v>50</v>
      </c>
      <c r="AC2549" s="2">
        <v>1347758.39</v>
      </c>
      <c r="AD2549" t="s">
        <v>12132</v>
      </c>
      <c r="AE2549" t="s">
        <v>52</v>
      </c>
    </row>
    <row r="2550" spans="1:31" x14ac:dyDescent="0.25">
      <c r="A2550" t="s">
        <v>12133</v>
      </c>
      <c r="B2550" t="s">
        <v>12134</v>
      </c>
      <c r="C2550" t="s">
        <v>12134</v>
      </c>
      <c r="D2550" t="s">
        <v>297</v>
      </c>
      <c r="E2550" t="s">
        <v>167</v>
      </c>
      <c r="F2550" t="s">
        <v>12135</v>
      </c>
      <c r="G2550" t="s">
        <v>299</v>
      </c>
      <c r="H2550" t="s">
        <v>255</v>
      </c>
      <c r="I2550" t="s">
        <v>12136</v>
      </c>
      <c r="J2550" s="2">
        <v>479974</v>
      </c>
      <c r="K2550" s="2">
        <v>2200</v>
      </c>
      <c r="L2550" s="2">
        <v>21</v>
      </c>
      <c r="M2550" s="2">
        <v>0</v>
      </c>
      <c r="N2550" t="s">
        <v>254</v>
      </c>
      <c r="O2550" t="s">
        <v>255</v>
      </c>
      <c r="P2550" t="s">
        <v>256</v>
      </c>
      <c r="Q2550" t="s">
        <v>255</v>
      </c>
      <c r="S2550" t="s">
        <v>12137</v>
      </c>
      <c r="U2550" t="s">
        <v>45</v>
      </c>
      <c r="V2550" t="s">
        <v>46</v>
      </c>
      <c r="W2550" t="s">
        <v>254</v>
      </c>
      <c r="X2550" t="s">
        <v>255</v>
      </c>
      <c r="Y2550" t="s">
        <v>258</v>
      </c>
      <c r="Z2550" t="s">
        <v>259</v>
      </c>
      <c r="AA2550" t="s">
        <v>49</v>
      </c>
      <c r="AB2550" t="s">
        <v>50</v>
      </c>
      <c r="AC2550" s="2">
        <v>479974</v>
      </c>
      <c r="AD2550" t="s">
        <v>64</v>
      </c>
    </row>
    <row r="2551" spans="1:31" x14ac:dyDescent="0.25">
      <c r="A2551" t="s">
        <v>12138</v>
      </c>
      <c r="B2551" t="s">
        <v>12139</v>
      </c>
      <c r="C2551" t="s">
        <v>12139</v>
      </c>
      <c r="D2551" t="s">
        <v>35</v>
      </c>
      <c r="E2551" t="s">
        <v>36</v>
      </c>
      <c r="F2551" t="s">
        <v>12140</v>
      </c>
      <c r="G2551" t="s">
        <v>35</v>
      </c>
      <c r="H2551" t="s">
        <v>2831</v>
      </c>
      <c r="I2551" t="s">
        <v>12141</v>
      </c>
      <c r="J2551" s="2">
        <v>486220</v>
      </c>
      <c r="K2551" s="2">
        <v>2000</v>
      </c>
      <c r="L2551" s="2">
        <v>15</v>
      </c>
      <c r="M2551" s="2">
        <v>0</v>
      </c>
      <c r="N2551" t="s">
        <v>80</v>
      </c>
      <c r="O2551" t="s">
        <v>81</v>
      </c>
      <c r="P2551" t="s">
        <v>557</v>
      </c>
      <c r="Q2551" t="s">
        <v>558</v>
      </c>
      <c r="S2551" t="s">
        <v>12142</v>
      </c>
      <c r="U2551" t="s">
        <v>45</v>
      </c>
      <c r="V2551" t="s">
        <v>46</v>
      </c>
      <c r="W2551" t="s">
        <v>80</v>
      </c>
      <c r="X2551" t="s">
        <v>81</v>
      </c>
      <c r="Y2551" t="s">
        <v>85</v>
      </c>
      <c r="Z2551" t="s">
        <v>86</v>
      </c>
      <c r="AA2551" t="s">
        <v>49</v>
      </c>
      <c r="AB2551" t="s">
        <v>50</v>
      </c>
      <c r="AC2551" s="2">
        <v>246966.42</v>
      </c>
      <c r="AD2551" t="s">
        <v>12143</v>
      </c>
      <c r="AE2551" t="s">
        <v>115</v>
      </c>
    </row>
    <row r="2552" spans="1:31" x14ac:dyDescent="0.25">
      <c r="A2552" t="s">
        <v>12144</v>
      </c>
      <c r="B2552" t="s">
        <v>12145</v>
      </c>
      <c r="C2552" t="s">
        <v>12145</v>
      </c>
      <c r="D2552" t="s">
        <v>553</v>
      </c>
      <c r="E2552" t="s">
        <v>167</v>
      </c>
      <c r="F2552" t="s">
        <v>12146</v>
      </c>
      <c r="G2552" t="s">
        <v>1329</v>
      </c>
      <c r="H2552" t="s">
        <v>68</v>
      </c>
      <c r="I2552" t="s">
        <v>12147</v>
      </c>
      <c r="J2552" s="2">
        <v>43634</v>
      </c>
      <c r="K2552" s="2">
        <v>200</v>
      </c>
      <c r="L2552" s="2">
        <v>7</v>
      </c>
      <c r="M2552" s="2">
        <v>0</v>
      </c>
      <c r="N2552" t="s">
        <v>67</v>
      </c>
      <c r="O2552" t="s">
        <v>68</v>
      </c>
      <c r="P2552" t="s">
        <v>304</v>
      </c>
      <c r="Q2552" t="s">
        <v>72</v>
      </c>
      <c r="S2552" t="s">
        <v>12148</v>
      </c>
      <c r="U2552" t="s">
        <v>45</v>
      </c>
      <c r="V2552" t="s">
        <v>46</v>
      </c>
      <c r="W2552" t="s">
        <v>67</v>
      </c>
      <c r="X2552" t="s">
        <v>68</v>
      </c>
      <c r="Y2552" t="s">
        <v>72</v>
      </c>
      <c r="Z2552" t="s">
        <v>68</v>
      </c>
      <c r="AA2552" t="s">
        <v>49</v>
      </c>
      <c r="AB2552" t="s">
        <v>50</v>
      </c>
      <c r="AC2552" s="2">
        <v>43634</v>
      </c>
      <c r="AD2552" t="s">
        <v>64</v>
      </c>
    </row>
    <row r="2553" spans="1:31" hidden="1" x14ac:dyDescent="0.25">
      <c r="I2553" t="s">
        <v>12149</v>
      </c>
      <c r="J2553" s="2">
        <v>109085</v>
      </c>
      <c r="K2553" s="2">
        <v>500</v>
      </c>
      <c r="L2553" s="2">
        <v>21</v>
      </c>
      <c r="M2553" s="2">
        <v>0</v>
      </c>
      <c r="S2553" t="s">
        <v>12150</v>
      </c>
      <c r="U2553" t="s">
        <v>45</v>
      </c>
      <c r="V2553" t="s">
        <v>46</v>
      </c>
      <c r="W2553" t="s">
        <v>7740</v>
      </c>
      <c r="X2553" t="s">
        <v>7739</v>
      </c>
      <c r="Y2553" t="s">
        <v>79</v>
      </c>
      <c r="Z2553" t="s">
        <v>94</v>
      </c>
      <c r="AA2553" t="s">
        <v>49</v>
      </c>
      <c r="AC2553" s="2"/>
    </row>
    <row r="2554" spans="1:31" x14ac:dyDescent="0.25">
      <c r="A2554" t="s">
        <v>12151</v>
      </c>
      <c r="B2554" t="s">
        <v>12152</v>
      </c>
      <c r="C2554" t="s">
        <v>12152</v>
      </c>
      <c r="D2554" t="s">
        <v>125</v>
      </c>
      <c r="E2554" t="s">
        <v>126</v>
      </c>
      <c r="F2554" t="s">
        <v>12153</v>
      </c>
      <c r="G2554" t="s">
        <v>125</v>
      </c>
      <c r="H2554" t="s">
        <v>12154</v>
      </c>
      <c r="I2554" t="s">
        <v>12155</v>
      </c>
      <c r="J2554" s="2">
        <v>436340</v>
      </c>
      <c r="K2554" s="2">
        <v>2000</v>
      </c>
      <c r="L2554" s="2">
        <v>30</v>
      </c>
      <c r="M2554" s="2">
        <v>0</v>
      </c>
      <c r="N2554" t="s">
        <v>12156</v>
      </c>
      <c r="O2554" t="s">
        <v>12157</v>
      </c>
      <c r="P2554" t="s">
        <v>10093</v>
      </c>
      <c r="Q2554" t="s">
        <v>10094</v>
      </c>
      <c r="S2554" t="s">
        <v>12158</v>
      </c>
      <c r="U2554" t="s">
        <v>45</v>
      </c>
      <c r="V2554" t="s">
        <v>46</v>
      </c>
      <c r="W2554" t="s">
        <v>12156</v>
      </c>
      <c r="X2554" t="s">
        <v>12157</v>
      </c>
      <c r="Y2554" t="s">
        <v>9657</v>
      </c>
      <c r="Z2554" t="s">
        <v>9658</v>
      </c>
      <c r="AA2554" t="s">
        <v>49</v>
      </c>
      <c r="AB2554" t="s">
        <v>50</v>
      </c>
      <c r="AC2554" s="2">
        <v>80592.45</v>
      </c>
      <c r="AD2554" t="s">
        <v>12159</v>
      </c>
      <c r="AE2554" t="s">
        <v>52</v>
      </c>
    </row>
    <row r="2555" spans="1:31" x14ac:dyDescent="0.25">
      <c r="A2555" t="s">
        <v>12160</v>
      </c>
      <c r="B2555" t="s">
        <v>12161</v>
      </c>
      <c r="C2555" t="s">
        <v>12161</v>
      </c>
      <c r="D2555" t="s">
        <v>35</v>
      </c>
      <c r="E2555" t="s">
        <v>36</v>
      </c>
      <c r="F2555" t="s">
        <v>12162</v>
      </c>
      <c r="G2555" t="s">
        <v>35</v>
      </c>
      <c r="H2555" t="s">
        <v>1444</v>
      </c>
      <c r="I2555" t="s">
        <v>12163</v>
      </c>
      <c r="J2555" s="2">
        <v>507191</v>
      </c>
      <c r="K2555" s="2">
        <v>2050</v>
      </c>
      <c r="L2555" s="2">
        <v>30</v>
      </c>
      <c r="M2555" s="2">
        <v>0</v>
      </c>
      <c r="N2555" t="s">
        <v>1064</v>
      </c>
      <c r="O2555" t="s">
        <v>1062</v>
      </c>
      <c r="P2555" t="s">
        <v>304</v>
      </c>
      <c r="Q2555" t="s">
        <v>72</v>
      </c>
      <c r="S2555" t="s">
        <v>12164</v>
      </c>
      <c r="U2555" t="s">
        <v>45</v>
      </c>
      <c r="V2555" t="s">
        <v>46</v>
      </c>
      <c r="W2555" t="s">
        <v>1064</v>
      </c>
      <c r="X2555" t="s">
        <v>1062</v>
      </c>
      <c r="Y2555" t="s">
        <v>72</v>
      </c>
      <c r="Z2555" t="s">
        <v>68</v>
      </c>
      <c r="AA2555" t="s">
        <v>49</v>
      </c>
      <c r="AB2555" t="s">
        <v>50</v>
      </c>
      <c r="AC2555" s="2">
        <v>-89392.37</v>
      </c>
      <c r="AD2555" t="s">
        <v>12165</v>
      </c>
      <c r="AE2555" t="s">
        <v>52</v>
      </c>
    </row>
    <row r="2556" spans="1:31" x14ac:dyDescent="0.25">
      <c r="A2556" t="s">
        <v>12166</v>
      </c>
      <c r="B2556" t="s">
        <v>12167</v>
      </c>
      <c r="C2556" t="s">
        <v>12167</v>
      </c>
      <c r="D2556" t="s">
        <v>125</v>
      </c>
      <c r="E2556" t="s">
        <v>126</v>
      </c>
      <c r="F2556" t="s">
        <v>12168</v>
      </c>
      <c r="G2556" t="s">
        <v>553</v>
      </c>
      <c r="H2556" t="s">
        <v>391</v>
      </c>
      <c r="I2556" t="s">
        <v>12169</v>
      </c>
      <c r="J2556" s="2">
        <v>174536</v>
      </c>
      <c r="K2556" s="2">
        <v>800</v>
      </c>
      <c r="L2556" s="2">
        <v>15</v>
      </c>
      <c r="M2556" s="2">
        <v>0</v>
      </c>
      <c r="N2556" t="s">
        <v>393</v>
      </c>
      <c r="O2556" t="s">
        <v>394</v>
      </c>
      <c r="P2556" t="s">
        <v>61</v>
      </c>
      <c r="Q2556" t="s">
        <v>62</v>
      </c>
      <c r="S2556" t="s">
        <v>12170</v>
      </c>
      <c r="U2556" t="s">
        <v>45</v>
      </c>
      <c r="V2556" t="s">
        <v>46</v>
      </c>
      <c r="W2556" t="s">
        <v>393</v>
      </c>
      <c r="X2556" t="s">
        <v>394</v>
      </c>
      <c r="Y2556" t="s">
        <v>47</v>
      </c>
      <c r="Z2556" t="s">
        <v>48</v>
      </c>
      <c r="AA2556" t="s">
        <v>49</v>
      </c>
      <c r="AB2556" t="s">
        <v>50</v>
      </c>
      <c r="AC2556" s="2">
        <v>145723.99</v>
      </c>
      <c r="AD2556" t="s">
        <v>12171</v>
      </c>
      <c r="AE2556" t="s">
        <v>52</v>
      </c>
    </row>
    <row r="2557" spans="1:31" x14ac:dyDescent="0.25">
      <c r="A2557" t="s">
        <v>12172</v>
      </c>
      <c r="B2557" t="s">
        <v>12173</v>
      </c>
      <c r="C2557" t="s">
        <v>12173</v>
      </c>
      <c r="D2557" t="s">
        <v>2288</v>
      </c>
      <c r="E2557" t="s">
        <v>134</v>
      </c>
      <c r="F2557" t="s">
        <v>12174</v>
      </c>
      <c r="H2557" t="s">
        <v>1335</v>
      </c>
      <c r="I2557" t="s">
        <v>12175</v>
      </c>
      <c r="J2557" s="2">
        <v>218170</v>
      </c>
      <c r="K2557" s="2">
        <v>1000</v>
      </c>
      <c r="L2557" s="2">
        <v>15</v>
      </c>
      <c r="M2557" s="2">
        <v>0</v>
      </c>
      <c r="N2557" t="s">
        <v>254</v>
      </c>
      <c r="O2557" t="s">
        <v>255</v>
      </c>
      <c r="P2557" t="s">
        <v>3534</v>
      </c>
      <c r="Q2557" t="s">
        <v>3535</v>
      </c>
      <c r="S2557" t="s">
        <v>12176</v>
      </c>
      <c r="U2557" t="s">
        <v>45</v>
      </c>
      <c r="V2557" t="s">
        <v>46</v>
      </c>
      <c r="W2557" t="s">
        <v>254</v>
      </c>
      <c r="X2557" t="s">
        <v>255</v>
      </c>
      <c r="Y2557" t="s">
        <v>258</v>
      </c>
      <c r="Z2557" t="s">
        <v>259</v>
      </c>
      <c r="AA2557" t="s">
        <v>49</v>
      </c>
      <c r="AB2557" t="s">
        <v>50</v>
      </c>
      <c r="AC2557" s="2">
        <v>218170</v>
      </c>
      <c r="AD2557" t="s">
        <v>64</v>
      </c>
    </row>
    <row r="2558" spans="1:31" x14ac:dyDescent="0.25">
      <c r="A2558" t="s">
        <v>12177</v>
      </c>
      <c r="B2558" t="s">
        <v>12178</v>
      </c>
      <c r="C2558" t="s">
        <v>12178</v>
      </c>
      <c r="D2558" t="s">
        <v>12179</v>
      </c>
      <c r="E2558" t="s">
        <v>871</v>
      </c>
      <c r="F2558" t="s">
        <v>12180</v>
      </c>
      <c r="G2558" t="s">
        <v>1846</v>
      </c>
      <c r="H2558" t="s">
        <v>5578</v>
      </c>
      <c r="I2558" t="s">
        <v>12181</v>
      </c>
      <c r="J2558" s="2">
        <v>654510</v>
      </c>
      <c r="K2558" s="2">
        <v>3000</v>
      </c>
      <c r="L2558" s="2">
        <v>21</v>
      </c>
      <c r="M2558" s="2">
        <v>0</v>
      </c>
      <c r="N2558" t="s">
        <v>5580</v>
      </c>
      <c r="O2558" t="s">
        <v>5581</v>
      </c>
      <c r="P2558" t="s">
        <v>8938</v>
      </c>
      <c r="Q2558" t="s">
        <v>8939</v>
      </c>
      <c r="S2558" t="s">
        <v>12182</v>
      </c>
      <c r="U2558" t="s">
        <v>45</v>
      </c>
      <c r="V2558" t="s">
        <v>46</v>
      </c>
      <c r="W2558" t="s">
        <v>5580</v>
      </c>
      <c r="X2558" t="s">
        <v>5581</v>
      </c>
      <c r="Y2558" t="s">
        <v>137</v>
      </c>
      <c r="Z2558" t="s">
        <v>717</v>
      </c>
      <c r="AA2558" t="s">
        <v>49</v>
      </c>
      <c r="AB2558" t="s">
        <v>50</v>
      </c>
      <c r="AC2558" s="2">
        <v>654510</v>
      </c>
      <c r="AD2558" t="s">
        <v>64</v>
      </c>
    </row>
    <row r="2559" spans="1:31" x14ac:dyDescent="0.25">
      <c r="A2559" t="s">
        <v>12183</v>
      </c>
      <c r="B2559" t="s">
        <v>12184</v>
      </c>
      <c r="C2559" t="s">
        <v>12184</v>
      </c>
      <c r="D2559" t="s">
        <v>125</v>
      </c>
      <c r="E2559" t="s">
        <v>126</v>
      </c>
      <c r="F2559" t="s">
        <v>12185</v>
      </c>
      <c r="G2559" t="s">
        <v>125</v>
      </c>
      <c r="H2559" t="s">
        <v>10761</v>
      </c>
      <c r="I2559" t="s">
        <v>12186</v>
      </c>
      <c r="J2559" s="2">
        <v>439740</v>
      </c>
      <c r="K2559" s="2">
        <v>2000</v>
      </c>
      <c r="L2559" s="2">
        <v>30</v>
      </c>
      <c r="M2559" s="2">
        <v>0</v>
      </c>
      <c r="N2559" t="s">
        <v>10763</v>
      </c>
      <c r="O2559" t="s">
        <v>10764</v>
      </c>
      <c r="P2559" t="s">
        <v>10093</v>
      </c>
      <c r="Q2559" t="s">
        <v>10094</v>
      </c>
      <c r="S2559" t="s">
        <v>12187</v>
      </c>
      <c r="U2559" t="s">
        <v>45</v>
      </c>
      <c r="V2559" t="s">
        <v>46</v>
      </c>
      <c r="W2559" t="s">
        <v>10763</v>
      </c>
      <c r="X2559" t="s">
        <v>10764</v>
      </c>
      <c r="Y2559" t="s">
        <v>7938</v>
      </c>
      <c r="Z2559" t="s">
        <v>7939</v>
      </c>
      <c r="AA2559" t="s">
        <v>49</v>
      </c>
      <c r="AB2559" t="s">
        <v>50</v>
      </c>
      <c r="AC2559" s="2">
        <v>275651.33</v>
      </c>
      <c r="AD2559" t="s">
        <v>12188</v>
      </c>
      <c r="AE2559" t="s">
        <v>52</v>
      </c>
    </row>
    <row r="2560" spans="1:31" x14ac:dyDescent="0.25">
      <c r="A2560" t="s">
        <v>12189</v>
      </c>
      <c r="B2560" t="s">
        <v>12190</v>
      </c>
      <c r="C2560" t="s">
        <v>12190</v>
      </c>
      <c r="D2560" t="s">
        <v>125</v>
      </c>
      <c r="E2560" t="s">
        <v>126</v>
      </c>
      <c r="F2560" t="s">
        <v>12191</v>
      </c>
      <c r="G2560" t="s">
        <v>35</v>
      </c>
      <c r="H2560" t="s">
        <v>939</v>
      </c>
      <c r="J2560" s="2">
        <v>772688</v>
      </c>
      <c r="K2560" s="2">
        <v>3250</v>
      </c>
      <c r="L2560" s="2">
        <v>15</v>
      </c>
      <c r="M2560" s="2">
        <v>0</v>
      </c>
      <c r="N2560" t="s">
        <v>879</v>
      </c>
      <c r="O2560" t="s">
        <v>877</v>
      </c>
      <c r="P2560" t="s">
        <v>304</v>
      </c>
      <c r="Q2560" t="s">
        <v>72</v>
      </c>
      <c r="S2560" t="s">
        <v>12192</v>
      </c>
      <c r="U2560" t="s">
        <v>45</v>
      </c>
      <c r="V2560" t="s">
        <v>46</v>
      </c>
      <c r="W2560" t="s">
        <v>879</v>
      </c>
      <c r="X2560" t="s">
        <v>877</v>
      </c>
      <c r="Y2560" t="s">
        <v>72</v>
      </c>
      <c r="Z2560" t="s">
        <v>68</v>
      </c>
      <c r="AA2560" t="s">
        <v>49</v>
      </c>
      <c r="AB2560" t="s">
        <v>50</v>
      </c>
      <c r="AC2560" s="2">
        <v>180931.33</v>
      </c>
      <c r="AD2560" t="s">
        <v>12193</v>
      </c>
      <c r="AE2560" t="s">
        <v>52</v>
      </c>
    </row>
    <row r="2561" spans="1:31" x14ac:dyDescent="0.25">
      <c r="A2561" t="s">
        <v>12194</v>
      </c>
      <c r="B2561" t="s">
        <v>12195</v>
      </c>
      <c r="C2561" t="s">
        <v>12195</v>
      </c>
      <c r="D2561" t="s">
        <v>125</v>
      </c>
      <c r="E2561" t="s">
        <v>126</v>
      </c>
      <c r="F2561" t="s">
        <v>10221</v>
      </c>
      <c r="G2561" t="s">
        <v>297</v>
      </c>
      <c r="H2561" t="s">
        <v>10141</v>
      </c>
      <c r="I2561" t="s">
        <v>11344</v>
      </c>
      <c r="J2561" s="2">
        <v>266280</v>
      </c>
      <c r="K2561" s="2">
        <v>1120</v>
      </c>
      <c r="L2561" s="2">
        <v>30</v>
      </c>
      <c r="M2561" s="2">
        <v>0</v>
      </c>
      <c r="N2561" t="s">
        <v>7936</v>
      </c>
      <c r="O2561" t="s">
        <v>7935</v>
      </c>
      <c r="P2561" t="s">
        <v>10093</v>
      </c>
      <c r="Q2561" t="s">
        <v>10094</v>
      </c>
      <c r="S2561" t="s">
        <v>11341</v>
      </c>
      <c r="U2561" t="s">
        <v>45</v>
      </c>
      <c r="V2561" t="s">
        <v>46</v>
      </c>
      <c r="W2561" t="s">
        <v>7936</v>
      </c>
      <c r="X2561" t="s">
        <v>7935</v>
      </c>
      <c r="Y2561" t="s">
        <v>2399</v>
      </c>
      <c r="Z2561" t="s">
        <v>2400</v>
      </c>
      <c r="AA2561" t="s">
        <v>49</v>
      </c>
      <c r="AB2561" t="s">
        <v>50</v>
      </c>
      <c r="AC2561" s="2">
        <v>-2325.4499999999998</v>
      </c>
      <c r="AD2561" t="s">
        <v>12196</v>
      </c>
      <c r="AE2561" t="s">
        <v>115</v>
      </c>
    </row>
    <row r="2562" spans="1:31" x14ac:dyDescent="0.25">
      <c r="A2562" t="s">
        <v>12197</v>
      </c>
      <c r="B2562" t="s">
        <v>12198</v>
      </c>
      <c r="C2562" t="s">
        <v>12198</v>
      </c>
      <c r="D2562" t="s">
        <v>1633</v>
      </c>
      <c r="E2562" t="s">
        <v>1502</v>
      </c>
      <c r="F2562" t="s">
        <v>12199</v>
      </c>
      <c r="G2562" t="s">
        <v>1454</v>
      </c>
      <c r="H2562" t="s">
        <v>327</v>
      </c>
      <c r="J2562" s="2">
        <v>24158</v>
      </c>
      <c r="K2562" s="2">
        <v>100</v>
      </c>
      <c r="L2562" s="2">
        <v>15</v>
      </c>
      <c r="M2562" s="2">
        <v>0</v>
      </c>
      <c r="N2562" t="s">
        <v>326</v>
      </c>
      <c r="O2562" t="s">
        <v>327</v>
      </c>
      <c r="P2562" t="s">
        <v>304</v>
      </c>
      <c r="Q2562" t="s">
        <v>72</v>
      </c>
      <c r="S2562" t="s">
        <v>12200</v>
      </c>
      <c r="U2562" t="s">
        <v>45</v>
      </c>
      <c r="V2562" t="s">
        <v>46</v>
      </c>
      <c r="W2562" t="s">
        <v>326</v>
      </c>
      <c r="X2562" t="s">
        <v>327</v>
      </c>
      <c r="Y2562" t="s">
        <v>121</v>
      </c>
      <c r="Z2562" t="s">
        <v>94</v>
      </c>
      <c r="AA2562" t="s">
        <v>49</v>
      </c>
      <c r="AB2562" t="s">
        <v>50</v>
      </c>
      <c r="AC2562" s="2">
        <v>-143260.13</v>
      </c>
      <c r="AD2562" t="s">
        <v>12201</v>
      </c>
      <c r="AE2562" t="s">
        <v>115</v>
      </c>
    </row>
    <row r="2563" spans="1:31" x14ac:dyDescent="0.25">
      <c r="A2563" t="s">
        <v>12202</v>
      </c>
      <c r="B2563" t="s">
        <v>12203</v>
      </c>
      <c r="C2563" t="s">
        <v>12203</v>
      </c>
      <c r="D2563" t="s">
        <v>35</v>
      </c>
      <c r="E2563" t="s">
        <v>36</v>
      </c>
      <c r="F2563" t="s">
        <v>12204</v>
      </c>
      <c r="G2563" t="s">
        <v>847</v>
      </c>
      <c r="H2563" t="s">
        <v>10141</v>
      </c>
      <c r="I2563" t="s">
        <v>12205</v>
      </c>
      <c r="J2563" s="2">
        <v>2364600</v>
      </c>
      <c r="K2563" s="2">
        <v>10000</v>
      </c>
      <c r="L2563" s="2">
        <v>30</v>
      </c>
      <c r="M2563" s="2">
        <v>0</v>
      </c>
      <c r="N2563" t="s">
        <v>7936</v>
      </c>
      <c r="O2563" t="s">
        <v>7935</v>
      </c>
      <c r="P2563" t="s">
        <v>10093</v>
      </c>
      <c r="Q2563" t="s">
        <v>10094</v>
      </c>
      <c r="S2563" t="s">
        <v>12206</v>
      </c>
      <c r="U2563" t="s">
        <v>45</v>
      </c>
      <c r="V2563" t="s">
        <v>46</v>
      </c>
      <c r="W2563" t="s">
        <v>7936</v>
      </c>
      <c r="X2563" t="s">
        <v>7935</v>
      </c>
      <c r="Y2563" t="s">
        <v>7938</v>
      </c>
      <c r="Z2563" t="s">
        <v>7939</v>
      </c>
      <c r="AA2563" t="s">
        <v>49</v>
      </c>
      <c r="AB2563" t="s">
        <v>50</v>
      </c>
      <c r="AC2563" s="2">
        <v>388100.04</v>
      </c>
      <c r="AD2563" t="s">
        <v>12207</v>
      </c>
      <c r="AE2563" t="s">
        <v>52</v>
      </c>
    </row>
    <row r="2564" spans="1:31" x14ac:dyDescent="0.25">
      <c r="A2564" t="s">
        <v>12208</v>
      </c>
      <c r="B2564" t="s">
        <v>12209</v>
      </c>
      <c r="C2564" t="s">
        <v>12209</v>
      </c>
      <c r="D2564" t="s">
        <v>178</v>
      </c>
      <c r="E2564" t="s">
        <v>179</v>
      </c>
      <c r="F2564" t="s">
        <v>12210</v>
      </c>
      <c r="G2564" t="s">
        <v>555</v>
      </c>
      <c r="H2564" t="s">
        <v>10141</v>
      </c>
      <c r="I2564" t="s">
        <v>12211</v>
      </c>
      <c r="J2564" s="2">
        <v>239987</v>
      </c>
      <c r="K2564" s="2">
        <v>1100</v>
      </c>
      <c r="L2564" s="2">
        <v>30</v>
      </c>
      <c r="M2564" s="2">
        <v>0</v>
      </c>
      <c r="N2564" t="s">
        <v>7936</v>
      </c>
      <c r="O2564" t="s">
        <v>7935</v>
      </c>
      <c r="P2564" t="s">
        <v>10093</v>
      </c>
      <c r="Q2564" t="s">
        <v>10094</v>
      </c>
      <c r="S2564" t="s">
        <v>12212</v>
      </c>
      <c r="U2564" t="s">
        <v>45</v>
      </c>
      <c r="V2564" t="s">
        <v>46</v>
      </c>
      <c r="W2564" t="s">
        <v>7936</v>
      </c>
      <c r="X2564" t="s">
        <v>7935</v>
      </c>
      <c r="Y2564" t="s">
        <v>7938</v>
      </c>
      <c r="Z2564" t="s">
        <v>7939</v>
      </c>
      <c r="AA2564" t="s">
        <v>49</v>
      </c>
      <c r="AB2564" t="s">
        <v>50</v>
      </c>
      <c r="AC2564" s="2">
        <v>60948.97</v>
      </c>
      <c r="AD2564" t="s">
        <v>12213</v>
      </c>
      <c r="AE2564" t="s">
        <v>115</v>
      </c>
    </row>
    <row r="2565" spans="1:31" x14ac:dyDescent="0.25">
      <c r="A2565" t="s">
        <v>12214</v>
      </c>
      <c r="B2565" t="s">
        <v>12215</v>
      </c>
      <c r="C2565" t="s">
        <v>12215</v>
      </c>
      <c r="D2565" t="s">
        <v>323</v>
      </c>
      <c r="E2565" t="s">
        <v>77</v>
      </c>
      <c r="F2565" t="s">
        <v>12216</v>
      </c>
      <c r="G2565" t="s">
        <v>323</v>
      </c>
      <c r="H2565" t="s">
        <v>12217</v>
      </c>
      <c r="J2565" s="2">
        <v>218</v>
      </c>
      <c r="K2565" s="2">
        <v>1</v>
      </c>
      <c r="L2565" s="2">
        <v>1</v>
      </c>
      <c r="M2565" s="2">
        <v>0</v>
      </c>
      <c r="N2565" t="s">
        <v>11459</v>
      </c>
      <c r="O2565" t="s">
        <v>11440</v>
      </c>
      <c r="P2565" t="s">
        <v>557</v>
      </c>
      <c r="Q2565" t="s">
        <v>558</v>
      </c>
      <c r="S2565" t="s">
        <v>12218</v>
      </c>
      <c r="U2565" t="s">
        <v>45</v>
      </c>
      <c r="V2565" t="s">
        <v>46</v>
      </c>
      <c r="W2565" t="s">
        <v>11459</v>
      </c>
      <c r="X2565" t="s">
        <v>11440</v>
      </c>
      <c r="Y2565" t="s">
        <v>137</v>
      </c>
      <c r="Z2565" t="s">
        <v>717</v>
      </c>
      <c r="AA2565" t="s">
        <v>49</v>
      </c>
      <c r="AB2565" t="s">
        <v>50</v>
      </c>
      <c r="AC2565" s="2">
        <v>218</v>
      </c>
      <c r="AD2565" t="s">
        <v>64</v>
      </c>
    </row>
    <row r="2566" spans="1:31" x14ac:dyDescent="0.25">
      <c r="A2566" t="s">
        <v>12219</v>
      </c>
      <c r="B2566" t="s">
        <v>12220</v>
      </c>
      <c r="C2566" t="s">
        <v>12220</v>
      </c>
      <c r="D2566" t="s">
        <v>569</v>
      </c>
      <c r="E2566" t="s">
        <v>570</v>
      </c>
      <c r="F2566" t="s">
        <v>12221</v>
      </c>
      <c r="H2566" t="s">
        <v>41</v>
      </c>
      <c r="J2566" s="2">
        <v>21817</v>
      </c>
      <c r="K2566" s="2">
        <v>100</v>
      </c>
      <c r="L2566" s="2">
        <v>15</v>
      </c>
      <c r="M2566" s="2">
        <v>0</v>
      </c>
      <c r="N2566" t="s">
        <v>40</v>
      </c>
      <c r="O2566" t="s">
        <v>41</v>
      </c>
      <c r="P2566" t="s">
        <v>42</v>
      </c>
      <c r="Q2566" t="s">
        <v>43</v>
      </c>
      <c r="U2566" t="s">
        <v>45</v>
      </c>
      <c r="V2566" t="s">
        <v>46</v>
      </c>
      <c r="W2566" t="s">
        <v>40</v>
      </c>
      <c r="X2566" t="s">
        <v>41</v>
      </c>
      <c r="Y2566" t="s">
        <v>47</v>
      </c>
      <c r="Z2566" t="s">
        <v>48</v>
      </c>
      <c r="AA2566" t="s">
        <v>141</v>
      </c>
      <c r="AB2566" t="s">
        <v>50</v>
      </c>
      <c r="AC2566" s="2">
        <v>21817</v>
      </c>
      <c r="AD2566" t="s">
        <v>64</v>
      </c>
    </row>
    <row r="2567" spans="1:31" x14ac:dyDescent="0.25">
      <c r="A2567" t="s">
        <v>12222</v>
      </c>
      <c r="B2567" t="s">
        <v>12223</v>
      </c>
      <c r="C2567" t="s">
        <v>12223</v>
      </c>
      <c r="D2567" t="s">
        <v>4647</v>
      </c>
      <c r="E2567" t="s">
        <v>224</v>
      </c>
      <c r="F2567" t="s">
        <v>12224</v>
      </c>
      <c r="G2567" t="s">
        <v>2120</v>
      </c>
      <c r="H2567" t="s">
        <v>252</v>
      </c>
      <c r="I2567" t="s">
        <v>12225</v>
      </c>
      <c r="J2567" s="2">
        <v>327255</v>
      </c>
      <c r="K2567" s="2">
        <v>1500</v>
      </c>
      <c r="L2567" s="2">
        <v>21</v>
      </c>
      <c r="M2567" s="2">
        <v>0</v>
      </c>
      <c r="N2567" t="s">
        <v>254</v>
      </c>
      <c r="O2567" t="s">
        <v>255</v>
      </c>
      <c r="P2567" t="s">
        <v>4374</v>
      </c>
      <c r="Q2567" t="s">
        <v>4375</v>
      </c>
      <c r="S2567" t="s">
        <v>12226</v>
      </c>
      <c r="U2567" t="s">
        <v>45</v>
      </c>
      <c r="V2567" t="s">
        <v>46</v>
      </c>
      <c r="W2567" t="s">
        <v>254</v>
      </c>
      <c r="X2567" t="s">
        <v>255</v>
      </c>
      <c r="Y2567" t="s">
        <v>258</v>
      </c>
      <c r="Z2567" t="s">
        <v>259</v>
      </c>
      <c r="AA2567" t="s">
        <v>49</v>
      </c>
      <c r="AB2567" t="s">
        <v>50</v>
      </c>
      <c r="AC2567" s="2">
        <v>258320.8</v>
      </c>
      <c r="AD2567" t="s">
        <v>12227</v>
      </c>
      <c r="AE2567" t="s">
        <v>115</v>
      </c>
    </row>
    <row r="2568" spans="1:31" x14ac:dyDescent="0.25">
      <c r="A2568" t="s">
        <v>12228</v>
      </c>
      <c r="B2568" t="s">
        <v>12229</v>
      </c>
      <c r="C2568" t="s">
        <v>12229</v>
      </c>
      <c r="D2568" t="s">
        <v>35</v>
      </c>
      <c r="E2568" t="s">
        <v>36</v>
      </c>
      <c r="F2568" t="s">
        <v>12230</v>
      </c>
      <c r="G2568" t="s">
        <v>297</v>
      </c>
      <c r="H2568" t="s">
        <v>7340</v>
      </c>
      <c r="I2568" t="s">
        <v>12231</v>
      </c>
      <c r="J2568" s="2">
        <v>72096</v>
      </c>
      <c r="K2568" s="2">
        <v>300</v>
      </c>
      <c r="L2568" s="2">
        <v>7</v>
      </c>
      <c r="M2568" s="2">
        <v>0</v>
      </c>
      <c r="N2568" t="s">
        <v>7341</v>
      </c>
      <c r="O2568" t="s">
        <v>7342</v>
      </c>
      <c r="P2568" t="s">
        <v>6987</v>
      </c>
      <c r="Q2568" t="s">
        <v>6988</v>
      </c>
      <c r="S2568" t="s">
        <v>12232</v>
      </c>
      <c r="U2568" t="s">
        <v>45</v>
      </c>
      <c r="V2568" t="s">
        <v>46</v>
      </c>
      <c r="W2568" t="s">
        <v>7341</v>
      </c>
      <c r="X2568" t="s">
        <v>7342</v>
      </c>
      <c r="Y2568" t="s">
        <v>2399</v>
      </c>
      <c r="Z2568" t="s">
        <v>2400</v>
      </c>
      <c r="AA2568" t="s">
        <v>49</v>
      </c>
      <c r="AB2568" t="s">
        <v>50</v>
      </c>
      <c r="AC2568" s="2">
        <v>41068.120000000003</v>
      </c>
      <c r="AD2568" t="s">
        <v>12233</v>
      </c>
      <c r="AE2568" t="s">
        <v>115</v>
      </c>
    </row>
    <row r="2569" spans="1:31" x14ac:dyDescent="0.25">
      <c r="A2569" t="s">
        <v>12234</v>
      </c>
      <c r="B2569" t="s">
        <v>12235</v>
      </c>
      <c r="C2569" t="s">
        <v>12236</v>
      </c>
      <c r="D2569" t="s">
        <v>153</v>
      </c>
      <c r="E2569" t="s">
        <v>272</v>
      </c>
      <c r="F2569" t="s">
        <v>12237</v>
      </c>
      <c r="G2569" t="s">
        <v>153</v>
      </c>
      <c r="H2569" t="s">
        <v>402</v>
      </c>
      <c r="I2569" t="s">
        <v>12238</v>
      </c>
      <c r="J2569" s="2">
        <v>2181700</v>
      </c>
      <c r="K2569" s="2">
        <v>10000</v>
      </c>
      <c r="L2569" s="2">
        <v>15</v>
      </c>
      <c r="M2569" s="2">
        <v>0</v>
      </c>
      <c r="N2569" t="s">
        <v>403</v>
      </c>
      <c r="O2569" t="s">
        <v>404</v>
      </c>
      <c r="P2569" t="s">
        <v>158</v>
      </c>
      <c r="Q2569" t="s">
        <v>159</v>
      </c>
      <c r="S2569" t="s">
        <v>12239</v>
      </c>
      <c r="U2569" t="s">
        <v>45</v>
      </c>
      <c r="V2569" t="s">
        <v>46</v>
      </c>
      <c r="W2569" t="s">
        <v>403</v>
      </c>
      <c r="X2569" t="s">
        <v>404</v>
      </c>
      <c r="Y2569" t="s">
        <v>161</v>
      </c>
      <c r="Z2569" t="s">
        <v>162</v>
      </c>
      <c r="AA2569" t="s">
        <v>49</v>
      </c>
      <c r="AB2569" t="s">
        <v>50</v>
      </c>
      <c r="AC2569" s="2">
        <v>1891495.46</v>
      </c>
      <c r="AD2569" t="s">
        <v>12240</v>
      </c>
      <c r="AE2569" t="s">
        <v>52</v>
      </c>
    </row>
    <row r="2570" spans="1:31" x14ac:dyDescent="0.25">
      <c r="A2570" t="s">
        <v>12241</v>
      </c>
      <c r="B2570" t="s">
        <v>12242</v>
      </c>
      <c r="C2570" t="s">
        <v>12242</v>
      </c>
      <c r="D2570" t="s">
        <v>35</v>
      </c>
      <c r="E2570" t="s">
        <v>36</v>
      </c>
      <c r="F2570" t="s">
        <v>12243</v>
      </c>
      <c r="G2570" t="s">
        <v>153</v>
      </c>
      <c r="H2570" t="s">
        <v>404</v>
      </c>
      <c r="I2570" t="s">
        <v>12244</v>
      </c>
      <c r="J2570" s="2">
        <v>2181700</v>
      </c>
      <c r="K2570" s="2">
        <v>10000</v>
      </c>
      <c r="L2570" s="2">
        <v>21</v>
      </c>
      <c r="M2570" s="2">
        <v>0</v>
      </c>
      <c r="N2570" t="s">
        <v>403</v>
      </c>
      <c r="O2570" t="s">
        <v>404</v>
      </c>
      <c r="P2570" t="s">
        <v>205</v>
      </c>
      <c r="Q2570" t="s">
        <v>206</v>
      </c>
      <c r="S2570" t="s">
        <v>12245</v>
      </c>
      <c r="U2570" t="s">
        <v>45</v>
      </c>
      <c r="V2570" t="s">
        <v>46</v>
      </c>
      <c r="W2570" t="s">
        <v>403</v>
      </c>
      <c r="X2570" t="s">
        <v>404</v>
      </c>
      <c r="Y2570" t="s">
        <v>161</v>
      </c>
      <c r="Z2570" t="s">
        <v>162</v>
      </c>
      <c r="AA2570" t="s">
        <v>49</v>
      </c>
      <c r="AB2570" t="s">
        <v>50</v>
      </c>
      <c r="AC2570" s="2">
        <v>2164755.7999999998</v>
      </c>
      <c r="AD2570" t="s">
        <v>12246</v>
      </c>
      <c r="AE2570" t="s">
        <v>52</v>
      </c>
    </row>
    <row r="2571" spans="1:31" x14ac:dyDescent="0.25">
      <c r="A2571" t="s">
        <v>12247</v>
      </c>
      <c r="B2571" t="s">
        <v>12248</v>
      </c>
      <c r="C2571" t="s">
        <v>12248</v>
      </c>
      <c r="D2571" t="s">
        <v>125</v>
      </c>
      <c r="E2571" t="s">
        <v>126</v>
      </c>
      <c r="F2571" t="s">
        <v>12249</v>
      </c>
      <c r="G2571" t="s">
        <v>847</v>
      </c>
      <c r="H2571" t="s">
        <v>12250</v>
      </c>
      <c r="J2571" s="2">
        <v>218170</v>
      </c>
      <c r="K2571" s="2">
        <v>1000</v>
      </c>
      <c r="L2571" s="2">
        <v>21</v>
      </c>
      <c r="M2571" s="2">
        <v>0</v>
      </c>
      <c r="N2571" t="s">
        <v>826</v>
      </c>
      <c r="O2571" t="s">
        <v>827</v>
      </c>
      <c r="P2571" t="s">
        <v>4315</v>
      </c>
      <c r="Q2571" t="s">
        <v>4316</v>
      </c>
      <c r="S2571" t="s">
        <v>12251</v>
      </c>
      <c r="U2571" t="s">
        <v>45</v>
      </c>
      <c r="V2571" t="s">
        <v>46</v>
      </c>
      <c r="W2571" t="s">
        <v>826</v>
      </c>
      <c r="X2571" t="s">
        <v>827</v>
      </c>
      <c r="Y2571" t="s">
        <v>1215</v>
      </c>
      <c r="Z2571" t="s">
        <v>1216</v>
      </c>
      <c r="AA2571" t="s">
        <v>49</v>
      </c>
      <c r="AB2571" t="s">
        <v>50</v>
      </c>
      <c r="AC2571" s="2">
        <v>56923.7</v>
      </c>
      <c r="AD2571" t="s">
        <v>12252</v>
      </c>
      <c r="AE2571" t="s">
        <v>52</v>
      </c>
    </row>
    <row r="2572" spans="1:31" x14ac:dyDescent="0.25">
      <c r="A2572" t="s">
        <v>12253</v>
      </c>
      <c r="B2572" t="s">
        <v>12254</v>
      </c>
      <c r="C2572" t="s">
        <v>12254</v>
      </c>
      <c r="D2572" t="s">
        <v>125</v>
      </c>
      <c r="E2572" t="s">
        <v>126</v>
      </c>
      <c r="F2572" t="s">
        <v>12255</v>
      </c>
      <c r="G2572" t="s">
        <v>125</v>
      </c>
      <c r="H2572" t="s">
        <v>6670</v>
      </c>
      <c r="I2572" t="s">
        <v>12256</v>
      </c>
      <c r="J2572" s="2">
        <v>109085</v>
      </c>
      <c r="K2572" s="2">
        <v>500</v>
      </c>
      <c r="L2572" s="2">
        <v>15</v>
      </c>
      <c r="M2572" s="2">
        <v>0</v>
      </c>
      <c r="N2572" t="s">
        <v>5112</v>
      </c>
      <c r="O2572" t="s">
        <v>5110</v>
      </c>
      <c r="P2572" t="s">
        <v>256</v>
      </c>
      <c r="Q2572" t="s">
        <v>255</v>
      </c>
      <c r="S2572" t="s">
        <v>12257</v>
      </c>
      <c r="U2572" t="s">
        <v>45</v>
      </c>
      <c r="V2572" t="s">
        <v>46</v>
      </c>
      <c r="W2572" t="s">
        <v>5112</v>
      </c>
      <c r="X2572" t="s">
        <v>5110</v>
      </c>
      <c r="Y2572" t="s">
        <v>137</v>
      </c>
      <c r="Z2572" t="s">
        <v>717</v>
      </c>
      <c r="AA2572" t="s">
        <v>49</v>
      </c>
      <c r="AB2572" t="s">
        <v>50</v>
      </c>
      <c r="AC2572" s="2">
        <v>82685.87</v>
      </c>
      <c r="AD2572" t="s">
        <v>12258</v>
      </c>
      <c r="AE2572" t="s">
        <v>52</v>
      </c>
    </row>
    <row r="2573" spans="1:31" x14ac:dyDescent="0.25">
      <c r="A2573" t="s">
        <v>12259</v>
      </c>
      <c r="B2573" t="s">
        <v>12260</v>
      </c>
      <c r="C2573" t="s">
        <v>12260</v>
      </c>
      <c r="D2573" t="s">
        <v>2286</v>
      </c>
      <c r="E2573" t="s">
        <v>134</v>
      </c>
      <c r="F2573" t="s">
        <v>12261</v>
      </c>
      <c r="G2573" t="s">
        <v>577</v>
      </c>
      <c r="H2573" t="s">
        <v>1062</v>
      </c>
      <c r="I2573" t="s">
        <v>12262</v>
      </c>
      <c r="J2573" s="2">
        <v>130902</v>
      </c>
      <c r="K2573" s="2">
        <v>600</v>
      </c>
      <c r="L2573" s="2">
        <v>15</v>
      </c>
      <c r="M2573" s="2">
        <v>0</v>
      </c>
      <c r="N2573" t="s">
        <v>1064</v>
      </c>
      <c r="O2573" t="s">
        <v>1062</v>
      </c>
      <c r="P2573" t="s">
        <v>304</v>
      </c>
      <c r="Q2573" t="s">
        <v>72</v>
      </c>
      <c r="S2573" t="s">
        <v>12263</v>
      </c>
      <c r="U2573" t="s">
        <v>45</v>
      </c>
      <c r="V2573" t="s">
        <v>46</v>
      </c>
      <c r="W2573" t="s">
        <v>1064</v>
      </c>
      <c r="X2573" t="s">
        <v>1062</v>
      </c>
      <c r="Y2573" t="s">
        <v>72</v>
      </c>
      <c r="Z2573" t="s">
        <v>68</v>
      </c>
      <c r="AA2573" t="s">
        <v>49</v>
      </c>
      <c r="AB2573" t="s">
        <v>50</v>
      </c>
      <c r="AC2573" s="2">
        <v>130902</v>
      </c>
      <c r="AD2573" t="s">
        <v>64</v>
      </c>
    </row>
    <row r="2574" spans="1:31" x14ac:dyDescent="0.25">
      <c r="A2574" t="s">
        <v>12264</v>
      </c>
      <c r="B2574" t="s">
        <v>12265</v>
      </c>
      <c r="C2574" t="s">
        <v>12265</v>
      </c>
      <c r="D2574" t="s">
        <v>299</v>
      </c>
      <c r="E2574" t="s">
        <v>167</v>
      </c>
      <c r="F2574" t="s">
        <v>12266</v>
      </c>
      <c r="G2574" t="s">
        <v>299</v>
      </c>
      <c r="H2574" t="s">
        <v>12267</v>
      </c>
      <c r="I2574" t="s">
        <v>12268</v>
      </c>
      <c r="J2574" s="2">
        <v>7635950</v>
      </c>
      <c r="K2574" s="2">
        <v>35000</v>
      </c>
      <c r="L2574" s="2">
        <v>30</v>
      </c>
      <c r="M2574" s="2">
        <v>0</v>
      </c>
      <c r="N2574" t="s">
        <v>8208</v>
      </c>
      <c r="O2574" t="s">
        <v>8209</v>
      </c>
      <c r="P2574" t="s">
        <v>3487</v>
      </c>
      <c r="Q2574" t="s">
        <v>3488</v>
      </c>
      <c r="S2574" t="s">
        <v>12269</v>
      </c>
      <c r="U2574" t="s">
        <v>45</v>
      </c>
      <c r="V2574" t="s">
        <v>46</v>
      </c>
      <c r="W2574" t="s">
        <v>8208</v>
      </c>
      <c r="X2574" t="s">
        <v>8209</v>
      </c>
      <c r="Y2574" t="s">
        <v>79</v>
      </c>
      <c r="Z2574" t="s">
        <v>94</v>
      </c>
      <c r="AA2574" t="s">
        <v>49</v>
      </c>
      <c r="AB2574" t="s">
        <v>50</v>
      </c>
      <c r="AC2574" s="2">
        <v>797756.25</v>
      </c>
      <c r="AD2574" t="s">
        <v>12270</v>
      </c>
      <c r="AE2574" t="s">
        <v>52</v>
      </c>
    </row>
    <row r="2575" spans="1:31" x14ac:dyDescent="0.25">
      <c r="A2575" t="s">
        <v>12271</v>
      </c>
      <c r="B2575" t="s">
        <v>12272</v>
      </c>
      <c r="C2575" t="s">
        <v>12273</v>
      </c>
      <c r="D2575" t="s">
        <v>125</v>
      </c>
      <c r="E2575" t="s">
        <v>126</v>
      </c>
      <c r="F2575" t="s">
        <v>8421</v>
      </c>
      <c r="G2575" t="s">
        <v>125</v>
      </c>
      <c r="H2575" t="s">
        <v>11583</v>
      </c>
      <c r="J2575" s="2">
        <v>436340</v>
      </c>
      <c r="K2575" s="2">
        <v>2000</v>
      </c>
      <c r="L2575" s="2">
        <v>21</v>
      </c>
      <c r="M2575" s="2">
        <v>0</v>
      </c>
      <c r="N2575" t="s">
        <v>445</v>
      </c>
      <c r="O2575" t="s">
        <v>446</v>
      </c>
      <c r="P2575" t="s">
        <v>4315</v>
      </c>
      <c r="Q2575" t="s">
        <v>4316</v>
      </c>
      <c r="S2575" t="s">
        <v>12274</v>
      </c>
      <c r="U2575" t="s">
        <v>45</v>
      </c>
      <c r="V2575" t="s">
        <v>46</v>
      </c>
      <c r="W2575" t="s">
        <v>445</v>
      </c>
      <c r="X2575" t="s">
        <v>446</v>
      </c>
      <c r="Y2575" t="s">
        <v>72</v>
      </c>
      <c r="Z2575" t="s">
        <v>68</v>
      </c>
      <c r="AA2575" t="s">
        <v>49</v>
      </c>
      <c r="AB2575" t="s">
        <v>50</v>
      </c>
      <c r="AC2575" s="2">
        <v>50554.31</v>
      </c>
      <c r="AD2575" t="s">
        <v>12275</v>
      </c>
      <c r="AE2575" t="s">
        <v>52</v>
      </c>
    </row>
    <row r="2576" spans="1:31" x14ac:dyDescent="0.25">
      <c r="A2576" t="s">
        <v>12276</v>
      </c>
      <c r="B2576" t="s">
        <v>12277</v>
      </c>
      <c r="C2576" t="s">
        <v>12277</v>
      </c>
      <c r="D2576" t="s">
        <v>223</v>
      </c>
      <c r="E2576" t="s">
        <v>224</v>
      </c>
      <c r="F2576" t="s">
        <v>12278</v>
      </c>
      <c r="G2576" t="s">
        <v>5795</v>
      </c>
      <c r="H2576" t="s">
        <v>1335</v>
      </c>
      <c r="I2576" t="s">
        <v>12279</v>
      </c>
      <c r="J2576" s="2">
        <v>196353</v>
      </c>
      <c r="K2576" s="2">
        <v>900</v>
      </c>
      <c r="L2576" s="2">
        <v>15</v>
      </c>
      <c r="M2576" s="2">
        <v>0</v>
      </c>
      <c r="N2576" t="s">
        <v>254</v>
      </c>
      <c r="O2576" t="s">
        <v>255</v>
      </c>
      <c r="P2576" t="s">
        <v>4374</v>
      </c>
      <c r="Q2576" t="s">
        <v>4375</v>
      </c>
      <c r="S2576" t="s">
        <v>12280</v>
      </c>
      <c r="U2576" t="s">
        <v>45</v>
      </c>
      <c r="V2576" t="s">
        <v>46</v>
      </c>
      <c r="W2576" t="s">
        <v>254</v>
      </c>
      <c r="X2576" t="s">
        <v>255</v>
      </c>
      <c r="Y2576" t="s">
        <v>258</v>
      </c>
      <c r="Z2576" t="s">
        <v>259</v>
      </c>
      <c r="AA2576" t="s">
        <v>49</v>
      </c>
      <c r="AB2576" t="s">
        <v>50</v>
      </c>
      <c r="AC2576" s="2">
        <v>196353</v>
      </c>
      <c r="AD2576" t="s">
        <v>64</v>
      </c>
    </row>
    <row r="2577" spans="1:31" hidden="1" x14ac:dyDescent="0.25">
      <c r="A2577" t="s">
        <v>12281</v>
      </c>
      <c r="B2577" t="s">
        <v>12282</v>
      </c>
      <c r="C2577" t="s">
        <v>12282</v>
      </c>
      <c r="F2577" t="s">
        <v>12283</v>
      </c>
      <c r="H2577" t="s">
        <v>1211</v>
      </c>
      <c r="I2577" t="s">
        <v>12284</v>
      </c>
      <c r="J2577" s="2">
        <v>218170</v>
      </c>
      <c r="K2577" s="2">
        <v>1000</v>
      </c>
      <c r="L2577" s="2">
        <v>30</v>
      </c>
      <c r="M2577" s="2">
        <v>0</v>
      </c>
      <c r="N2577" t="s">
        <v>1210</v>
      </c>
      <c r="O2577" t="s">
        <v>1211</v>
      </c>
      <c r="P2577" t="s">
        <v>1212</v>
      </c>
      <c r="Q2577" t="s">
        <v>1213</v>
      </c>
      <c r="S2577" t="s">
        <v>12285</v>
      </c>
      <c r="U2577" t="s">
        <v>45</v>
      </c>
      <c r="V2577" t="s">
        <v>46</v>
      </c>
      <c r="W2577" t="s">
        <v>1210</v>
      </c>
      <c r="X2577" t="s">
        <v>1211</v>
      </c>
      <c r="Y2577" t="s">
        <v>1215</v>
      </c>
      <c r="Z2577" t="s">
        <v>1216</v>
      </c>
      <c r="AA2577" t="s">
        <v>49</v>
      </c>
      <c r="AB2577" t="s">
        <v>50</v>
      </c>
      <c r="AC2577" s="2">
        <v>218170</v>
      </c>
      <c r="AD2577" t="s">
        <v>64</v>
      </c>
    </row>
    <row r="2578" spans="1:31" x14ac:dyDescent="0.25">
      <c r="A2578" t="s">
        <v>12286</v>
      </c>
      <c r="B2578" t="s">
        <v>12287</v>
      </c>
      <c r="C2578" t="s">
        <v>12287</v>
      </c>
      <c r="D2578" t="s">
        <v>847</v>
      </c>
      <c r="E2578" t="s">
        <v>848</v>
      </c>
      <c r="F2578" t="s">
        <v>12288</v>
      </c>
      <c r="G2578" t="s">
        <v>847</v>
      </c>
      <c r="H2578" t="s">
        <v>1335</v>
      </c>
      <c r="I2578" t="s">
        <v>12289</v>
      </c>
      <c r="J2578" s="2">
        <v>43634</v>
      </c>
      <c r="K2578" s="2">
        <v>200</v>
      </c>
      <c r="L2578" s="2">
        <v>15</v>
      </c>
      <c r="M2578" s="2">
        <v>0</v>
      </c>
      <c r="N2578" t="s">
        <v>254</v>
      </c>
      <c r="O2578" t="s">
        <v>255</v>
      </c>
      <c r="P2578" t="s">
        <v>4374</v>
      </c>
      <c r="Q2578" t="s">
        <v>4375</v>
      </c>
      <c r="S2578" t="s">
        <v>12290</v>
      </c>
      <c r="U2578" t="s">
        <v>45</v>
      </c>
      <c r="V2578" t="s">
        <v>46</v>
      </c>
      <c r="W2578" t="s">
        <v>254</v>
      </c>
      <c r="X2578" t="s">
        <v>255</v>
      </c>
      <c r="Y2578" t="s">
        <v>258</v>
      </c>
      <c r="Z2578" t="s">
        <v>259</v>
      </c>
      <c r="AA2578" t="s">
        <v>49</v>
      </c>
      <c r="AB2578" t="s">
        <v>50</v>
      </c>
      <c r="AC2578" s="2">
        <v>14883.08</v>
      </c>
      <c r="AD2578" t="s">
        <v>12291</v>
      </c>
      <c r="AE2578" t="s">
        <v>52</v>
      </c>
    </row>
    <row r="2579" spans="1:31" hidden="1" x14ac:dyDescent="0.25">
      <c r="A2579" t="s">
        <v>12292</v>
      </c>
      <c r="B2579" t="s">
        <v>12293</v>
      </c>
      <c r="C2579" t="s">
        <v>12293</v>
      </c>
      <c r="F2579" t="s">
        <v>9170</v>
      </c>
      <c r="H2579" t="s">
        <v>12294</v>
      </c>
      <c r="J2579" s="2">
        <v>1000</v>
      </c>
      <c r="K2579" s="2">
        <v>0</v>
      </c>
      <c r="L2579" s="2">
        <v>1</v>
      </c>
      <c r="M2579" s="2">
        <v>0</v>
      </c>
      <c r="N2579" t="s">
        <v>7585</v>
      </c>
      <c r="O2579" t="s">
        <v>7586</v>
      </c>
      <c r="P2579" t="s">
        <v>5966</v>
      </c>
      <c r="Q2579" t="s">
        <v>5739</v>
      </c>
      <c r="S2579" t="s">
        <v>9172</v>
      </c>
      <c r="U2579" t="s">
        <v>45</v>
      </c>
      <c r="V2579" t="s">
        <v>46</v>
      </c>
      <c r="W2579" t="s">
        <v>7585</v>
      </c>
      <c r="X2579" t="s">
        <v>7588</v>
      </c>
      <c r="Y2579" t="s">
        <v>5743</v>
      </c>
      <c r="Z2579" t="s">
        <v>5744</v>
      </c>
      <c r="AA2579" t="s">
        <v>49</v>
      </c>
      <c r="AB2579" t="s">
        <v>50</v>
      </c>
      <c r="AC2579" s="2">
        <v>1000</v>
      </c>
      <c r="AD2579" t="s">
        <v>64</v>
      </c>
    </row>
    <row r="2580" spans="1:31" x14ac:dyDescent="0.25">
      <c r="A2580" t="s">
        <v>12295</v>
      </c>
      <c r="B2580" t="s">
        <v>12296</v>
      </c>
      <c r="C2580" t="s">
        <v>9169</v>
      </c>
      <c r="D2580" t="s">
        <v>35</v>
      </c>
      <c r="E2580" t="s">
        <v>36</v>
      </c>
      <c r="F2580" t="s">
        <v>9170</v>
      </c>
      <c r="G2580" t="s">
        <v>35</v>
      </c>
      <c r="H2580" t="s">
        <v>12294</v>
      </c>
      <c r="J2580" s="2">
        <v>49460</v>
      </c>
      <c r="K2580" s="2">
        <v>200</v>
      </c>
      <c r="L2580" s="2">
        <v>15</v>
      </c>
      <c r="M2580" s="2">
        <v>0</v>
      </c>
      <c r="N2580" t="s">
        <v>7585</v>
      </c>
      <c r="O2580" t="s">
        <v>7586</v>
      </c>
      <c r="P2580" t="s">
        <v>5966</v>
      </c>
      <c r="Q2580" t="s">
        <v>5739</v>
      </c>
      <c r="S2580" t="s">
        <v>9172</v>
      </c>
      <c r="U2580" t="s">
        <v>45</v>
      </c>
      <c r="V2580" t="s">
        <v>46</v>
      </c>
      <c r="W2580" t="s">
        <v>7585</v>
      </c>
      <c r="X2580" t="s">
        <v>7588</v>
      </c>
      <c r="Y2580" t="s">
        <v>5743</v>
      </c>
      <c r="Z2580" t="s">
        <v>5744</v>
      </c>
      <c r="AA2580" t="s">
        <v>49</v>
      </c>
      <c r="AB2580" t="s">
        <v>50</v>
      </c>
      <c r="AC2580" s="2">
        <v>20699.490000000002</v>
      </c>
      <c r="AD2580" t="s">
        <v>12297</v>
      </c>
      <c r="AE2580" t="s">
        <v>52</v>
      </c>
    </row>
    <row r="2581" spans="1:31" x14ac:dyDescent="0.25">
      <c r="A2581" t="s">
        <v>12298</v>
      </c>
      <c r="B2581" t="s">
        <v>12299</v>
      </c>
      <c r="C2581" t="s">
        <v>12299</v>
      </c>
      <c r="D2581" t="s">
        <v>35</v>
      </c>
      <c r="E2581" t="s">
        <v>36</v>
      </c>
      <c r="F2581" t="s">
        <v>4022</v>
      </c>
      <c r="G2581" t="s">
        <v>35</v>
      </c>
      <c r="H2581" t="s">
        <v>1581</v>
      </c>
      <c r="I2581" t="s">
        <v>12300</v>
      </c>
      <c r="J2581" s="2">
        <v>486220</v>
      </c>
      <c r="K2581" s="2">
        <v>2000</v>
      </c>
      <c r="L2581" s="2">
        <v>30</v>
      </c>
      <c r="M2581" s="2">
        <v>0</v>
      </c>
      <c r="N2581" t="s">
        <v>203</v>
      </c>
      <c r="O2581" t="s">
        <v>204</v>
      </c>
      <c r="P2581" t="s">
        <v>205</v>
      </c>
      <c r="Q2581" t="s">
        <v>206</v>
      </c>
      <c r="S2581" t="s">
        <v>10951</v>
      </c>
      <c r="U2581" t="s">
        <v>45</v>
      </c>
      <c r="V2581" t="s">
        <v>46</v>
      </c>
      <c r="W2581" t="s">
        <v>203</v>
      </c>
      <c r="X2581" t="s">
        <v>204</v>
      </c>
      <c r="Y2581" t="s">
        <v>161</v>
      </c>
      <c r="Z2581" t="s">
        <v>162</v>
      </c>
      <c r="AA2581" t="s">
        <v>49</v>
      </c>
      <c r="AB2581" t="s">
        <v>50</v>
      </c>
      <c r="AC2581" s="2">
        <v>67548.81</v>
      </c>
      <c r="AD2581" t="s">
        <v>12301</v>
      </c>
      <c r="AE2581" t="s">
        <v>115</v>
      </c>
    </row>
    <row r="2582" spans="1:31" x14ac:dyDescent="0.25">
      <c r="A2582" t="s">
        <v>12302</v>
      </c>
      <c r="B2582" t="s">
        <v>12303</v>
      </c>
      <c r="C2582" t="s">
        <v>12303</v>
      </c>
      <c r="D2582" t="s">
        <v>847</v>
      </c>
      <c r="E2582" t="s">
        <v>848</v>
      </c>
      <c r="F2582" t="s">
        <v>12304</v>
      </c>
      <c r="G2582" t="s">
        <v>178</v>
      </c>
      <c r="H2582" t="s">
        <v>12305</v>
      </c>
      <c r="I2582" t="s">
        <v>12306</v>
      </c>
      <c r="J2582" s="2">
        <v>109085</v>
      </c>
      <c r="K2582" s="2">
        <v>500</v>
      </c>
      <c r="L2582" s="2">
        <v>15</v>
      </c>
      <c r="M2582" s="2">
        <v>0</v>
      </c>
      <c r="N2582" t="s">
        <v>6458</v>
      </c>
      <c r="O2582" t="s">
        <v>6459</v>
      </c>
      <c r="P2582" t="s">
        <v>557</v>
      </c>
      <c r="Q2582" t="s">
        <v>558</v>
      </c>
      <c r="S2582" t="s">
        <v>12307</v>
      </c>
      <c r="U2582" t="s">
        <v>45</v>
      </c>
      <c r="V2582" t="s">
        <v>46</v>
      </c>
      <c r="W2582" t="s">
        <v>6458</v>
      </c>
      <c r="X2582" t="s">
        <v>6459</v>
      </c>
      <c r="Y2582" t="s">
        <v>85</v>
      </c>
      <c r="Z2582" t="s">
        <v>86</v>
      </c>
      <c r="AA2582" t="s">
        <v>49</v>
      </c>
      <c r="AB2582" t="s">
        <v>50</v>
      </c>
      <c r="AC2582" s="2">
        <v>87963.87</v>
      </c>
      <c r="AD2582" t="s">
        <v>12308</v>
      </c>
      <c r="AE2582" t="s">
        <v>52</v>
      </c>
    </row>
    <row r="2583" spans="1:31" x14ac:dyDescent="0.25">
      <c r="A2583" t="s">
        <v>12309</v>
      </c>
      <c r="B2583" t="s">
        <v>12310</v>
      </c>
      <c r="C2583" t="s">
        <v>12310</v>
      </c>
      <c r="D2583" t="s">
        <v>3192</v>
      </c>
      <c r="E2583" t="s">
        <v>224</v>
      </c>
      <c r="F2583" t="s">
        <v>12311</v>
      </c>
      <c r="G2583" t="s">
        <v>577</v>
      </c>
      <c r="H2583" t="s">
        <v>252</v>
      </c>
      <c r="I2583" t="s">
        <v>12312</v>
      </c>
      <c r="J2583" s="2">
        <v>109085</v>
      </c>
      <c r="K2583" s="2">
        <v>500</v>
      </c>
      <c r="L2583" s="2">
        <v>15</v>
      </c>
      <c r="M2583" s="2">
        <v>0</v>
      </c>
      <c r="N2583" t="s">
        <v>254</v>
      </c>
      <c r="O2583" t="s">
        <v>255</v>
      </c>
      <c r="P2583" t="s">
        <v>4374</v>
      </c>
      <c r="Q2583" t="s">
        <v>4375</v>
      </c>
      <c r="S2583" t="s">
        <v>12313</v>
      </c>
      <c r="U2583" t="s">
        <v>45</v>
      </c>
      <c r="V2583" t="s">
        <v>46</v>
      </c>
      <c r="W2583" t="s">
        <v>254</v>
      </c>
      <c r="X2583" t="s">
        <v>255</v>
      </c>
      <c r="Y2583" t="s">
        <v>258</v>
      </c>
      <c r="Z2583" t="s">
        <v>259</v>
      </c>
      <c r="AA2583" t="s">
        <v>49</v>
      </c>
      <c r="AB2583" t="s">
        <v>50</v>
      </c>
      <c r="AC2583" s="2">
        <v>96175.3</v>
      </c>
      <c r="AD2583" t="s">
        <v>12314</v>
      </c>
      <c r="AE2583" t="s">
        <v>115</v>
      </c>
    </row>
    <row r="2584" spans="1:31" x14ac:dyDescent="0.25">
      <c r="A2584" t="s">
        <v>12315</v>
      </c>
      <c r="B2584" t="s">
        <v>12316</v>
      </c>
      <c r="C2584" t="s">
        <v>12316</v>
      </c>
      <c r="D2584" t="s">
        <v>299</v>
      </c>
      <c r="E2584" t="s">
        <v>167</v>
      </c>
      <c r="F2584" t="s">
        <v>12317</v>
      </c>
      <c r="G2584" t="s">
        <v>478</v>
      </c>
      <c r="H2584" t="s">
        <v>139</v>
      </c>
      <c r="I2584" t="s">
        <v>12318</v>
      </c>
      <c r="J2584" s="2">
        <v>218170</v>
      </c>
      <c r="K2584" s="2">
        <v>1000</v>
      </c>
      <c r="L2584" s="2">
        <v>30</v>
      </c>
      <c r="M2584" s="2">
        <v>0</v>
      </c>
      <c r="N2584" t="s">
        <v>8853</v>
      </c>
      <c r="O2584" t="s">
        <v>139</v>
      </c>
      <c r="P2584" t="s">
        <v>941</v>
      </c>
      <c r="Q2584" t="s">
        <v>139</v>
      </c>
      <c r="S2584" t="s">
        <v>12319</v>
      </c>
      <c r="U2584" t="s">
        <v>45</v>
      </c>
      <c r="V2584" t="s">
        <v>46</v>
      </c>
      <c r="W2584" t="s">
        <v>8853</v>
      </c>
      <c r="X2584" t="s">
        <v>139</v>
      </c>
      <c r="Y2584" t="s">
        <v>139</v>
      </c>
      <c r="Z2584" t="s">
        <v>140</v>
      </c>
      <c r="AA2584" t="s">
        <v>49</v>
      </c>
      <c r="AB2584" t="s">
        <v>50</v>
      </c>
      <c r="AC2584" s="2">
        <v>218170</v>
      </c>
      <c r="AD2584" t="s">
        <v>64</v>
      </c>
    </row>
    <row r="2585" spans="1:31" x14ac:dyDescent="0.25">
      <c r="A2585" t="s">
        <v>12320</v>
      </c>
      <c r="B2585" t="s">
        <v>12321</v>
      </c>
      <c r="C2585" t="s">
        <v>12321</v>
      </c>
      <c r="D2585" t="s">
        <v>153</v>
      </c>
      <c r="E2585" t="s">
        <v>272</v>
      </c>
      <c r="F2585" t="s">
        <v>4931</v>
      </c>
      <c r="G2585" t="s">
        <v>847</v>
      </c>
      <c r="H2585" t="s">
        <v>2647</v>
      </c>
      <c r="I2585" t="s">
        <v>4939</v>
      </c>
      <c r="J2585" s="2">
        <v>720960</v>
      </c>
      <c r="K2585" s="2">
        <v>3000</v>
      </c>
      <c r="L2585" s="2">
        <v>15</v>
      </c>
      <c r="M2585" s="2">
        <v>0</v>
      </c>
      <c r="N2585" t="s">
        <v>1362</v>
      </c>
      <c r="O2585" t="s">
        <v>1360</v>
      </c>
      <c r="P2585" t="s">
        <v>1421</v>
      </c>
      <c r="Q2585" t="s">
        <v>1422</v>
      </c>
      <c r="S2585" t="s">
        <v>12322</v>
      </c>
      <c r="U2585" t="s">
        <v>45</v>
      </c>
      <c r="V2585" t="s">
        <v>46</v>
      </c>
      <c r="W2585" t="s">
        <v>3121</v>
      </c>
      <c r="X2585" t="s">
        <v>3124</v>
      </c>
      <c r="Y2585" t="s">
        <v>1215</v>
      </c>
      <c r="Z2585" t="s">
        <v>1216</v>
      </c>
      <c r="AA2585" t="s">
        <v>49</v>
      </c>
      <c r="AB2585" t="s">
        <v>50</v>
      </c>
      <c r="AC2585" s="2">
        <v>268401.26</v>
      </c>
      <c r="AD2585" t="s">
        <v>12323</v>
      </c>
      <c r="AE2585" t="s">
        <v>115</v>
      </c>
    </row>
    <row r="2586" spans="1:31" hidden="1" x14ac:dyDescent="0.25">
      <c r="A2586" t="s">
        <v>12324</v>
      </c>
      <c r="B2586" t="s">
        <v>12325</v>
      </c>
      <c r="C2586" t="s">
        <v>12325</v>
      </c>
      <c r="F2586" t="s">
        <v>12326</v>
      </c>
      <c r="H2586" t="s">
        <v>9937</v>
      </c>
      <c r="I2586" t="s">
        <v>12327</v>
      </c>
      <c r="J2586" s="2">
        <v>218170</v>
      </c>
      <c r="K2586" s="2">
        <v>1000</v>
      </c>
      <c r="L2586" s="2">
        <v>30</v>
      </c>
      <c r="M2586" s="2">
        <v>0</v>
      </c>
      <c r="N2586" t="s">
        <v>1362</v>
      </c>
      <c r="O2586" t="s">
        <v>1360</v>
      </c>
      <c r="P2586" t="s">
        <v>1212</v>
      </c>
      <c r="Q2586" t="s">
        <v>1213</v>
      </c>
      <c r="S2586" t="s">
        <v>12328</v>
      </c>
      <c r="U2586" t="s">
        <v>45</v>
      </c>
      <c r="V2586" t="s">
        <v>46</v>
      </c>
      <c r="W2586" t="s">
        <v>1362</v>
      </c>
      <c r="X2586" t="s">
        <v>1360</v>
      </c>
      <c r="Y2586" t="s">
        <v>1215</v>
      </c>
      <c r="Z2586" t="s">
        <v>1216</v>
      </c>
      <c r="AA2586" t="s">
        <v>49</v>
      </c>
      <c r="AB2586" t="s">
        <v>50</v>
      </c>
      <c r="AC2586" s="2">
        <v>218170</v>
      </c>
      <c r="AD2586" t="s">
        <v>64</v>
      </c>
    </row>
    <row r="2587" spans="1:31" x14ac:dyDescent="0.25">
      <c r="A2587" t="s">
        <v>12329</v>
      </c>
      <c r="B2587" t="s">
        <v>12330</v>
      </c>
      <c r="C2587" t="s">
        <v>12330</v>
      </c>
      <c r="D2587" t="s">
        <v>125</v>
      </c>
      <c r="E2587" t="s">
        <v>126</v>
      </c>
      <c r="F2587" t="s">
        <v>12331</v>
      </c>
      <c r="G2587" t="s">
        <v>125</v>
      </c>
      <c r="H2587" t="s">
        <v>3622</v>
      </c>
      <c r="I2587" t="s">
        <v>12332</v>
      </c>
      <c r="J2587" s="2">
        <v>95995</v>
      </c>
      <c r="K2587" s="2">
        <v>440</v>
      </c>
      <c r="L2587" s="2">
        <v>21</v>
      </c>
      <c r="M2587" s="2">
        <v>0</v>
      </c>
      <c r="N2587" t="s">
        <v>1730</v>
      </c>
      <c r="O2587" t="s">
        <v>1728</v>
      </c>
      <c r="P2587" t="s">
        <v>120</v>
      </c>
      <c r="Q2587" t="s">
        <v>121</v>
      </c>
      <c r="S2587" t="s">
        <v>12333</v>
      </c>
      <c r="U2587" t="s">
        <v>45</v>
      </c>
      <c r="V2587" t="s">
        <v>46</v>
      </c>
      <c r="W2587" t="s">
        <v>1730</v>
      </c>
      <c r="X2587" t="s">
        <v>1728</v>
      </c>
      <c r="Y2587" t="s">
        <v>121</v>
      </c>
      <c r="Z2587" t="s">
        <v>94</v>
      </c>
      <c r="AA2587" t="s">
        <v>49</v>
      </c>
      <c r="AB2587" t="s">
        <v>50</v>
      </c>
      <c r="AC2587" s="2">
        <v>59213.06</v>
      </c>
      <c r="AD2587" t="s">
        <v>12334</v>
      </c>
      <c r="AE2587" t="s">
        <v>52</v>
      </c>
    </row>
    <row r="2588" spans="1:31" x14ac:dyDescent="0.25">
      <c r="A2588" t="s">
        <v>12335</v>
      </c>
      <c r="B2588" t="s">
        <v>12336</v>
      </c>
      <c r="C2588" t="s">
        <v>12336</v>
      </c>
      <c r="D2588" t="s">
        <v>125</v>
      </c>
      <c r="E2588" t="s">
        <v>126</v>
      </c>
      <c r="F2588" t="s">
        <v>12337</v>
      </c>
      <c r="G2588" t="s">
        <v>125</v>
      </c>
      <c r="H2588" t="s">
        <v>10141</v>
      </c>
      <c r="I2588" t="s">
        <v>12338</v>
      </c>
      <c r="J2588" s="2">
        <v>54543</v>
      </c>
      <c r="K2588" s="2">
        <v>250</v>
      </c>
      <c r="L2588" s="2">
        <v>30</v>
      </c>
      <c r="M2588" s="2">
        <v>0</v>
      </c>
      <c r="N2588" t="s">
        <v>7936</v>
      </c>
      <c r="O2588" t="s">
        <v>7935</v>
      </c>
      <c r="P2588" t="s">
        <v>10093</v>
      </c>
      <c r="Q2588" t="s">
        <v>10094</v>
      </c>
      <c r="S2588" t="s">
        <v>12339</v>
      </c>
      <c r="U2588" t="s">
        <v>45</v>
      </c>
      <c r="V2588" t="s">
        <v>46</v>
      </c>
      <c r="W2588" t="s">
        <v>7936</v>
      </c>
      <c r="X2588" t="s">
        <v>7935</v>
      </c>
      <c r="Y2588" t="s">
        <v>7938</v>
      </c>
      <c r="Z2588" t="s">
        <v>7939</v>
      </c>
      <c r="AA2588" t="s">
        <v>49</v>
      </c>
      <c r="AB2588" t="s">
        <v>50</v>
      </c>
      <c r="AC2588" s="2">
        <v>23571.21</v>
      </c>
      <c r="AD2588" t="s">
        <v>12340</v>
      </c>
      <c r="AE2588" t="s">
        <v>52</v>
      </c>
    </row>
    <row r="2589" spans="1:31" x14ac:dyDescent="0.25">
      <c r="A2589" t="s">
        <v>12341</v>
      </c>
      <c r="B2589" t="s">
        <v>12342</v>
      </c>
      <c r="C2589" t="s">
        <v>12342</v>
      </c>
      <c r="D2589" t="s">
        <v>125</v>
      </c>
      <c r="E2589" t="s">
        <v>126</v>
      </c>
      <c r="F2589" t="s">
        <v>12343</v>
      </c>
      <c r="G2589" t="s">
        <v>35</v>
      </c>
      <c r="H2589" t="s">
        <v>65</v>
      </c>
      <c r="I2589" t="s">
        <v>12344</v>
      </c>
      <c r="J2589" s="2">
        <v>236460</v>
      </c>
      <c r="K2589" s="2">
        <v>1000</v>
      </c>
      <c r="L2589" s="2">
        <v>15</v>
      </c>
      <c r="M2589" s="2">
        <v>0</v>
      </c>
      <c r="N2589" t="s">
        <v>67</v>
      </c>
      <c r="O2589" t="s">
        <v>68</v>
      </c>
      <c r="P2589" t="s">
        <v>304</v>
      </c>
      <c r="Q2589" t="s">
        <v>72</v>
      </c>
      <c r="S2589" t="s">
        <v>12345</v>
      </c>
      <c r="U2589" t="s">
        <v>45</v>
      </c>
      <c r="V2589" t="s">
        <v>46</v>
      </c>
      <c r="W2589" t="s">
        <v>67</v>
      </c>
      <c r="X2589" t="s">
        <v>68</v>
      </c>
      <c r="Y2589" t="s">
        <v>72</v>
      </c>
      <c r="Z2589" t="s">
        <v>68</v>
      </c>
      <c r="AA2589" t="s">
        <v>49</v>
      </c>
      <c r="AB2589" t="s">
        <v>50</v>
      </c>
      <c r="AC2589" s="2">
        <v>90730.95</v>
      </c>
      <c r="AD2589" t="s">
        <v>12346</v>
      </c>
      <c r="AE2589" t="s">
        <v>52</v>
      </c>
    </row>
    <row r="2590" spans="1:31" x14ac:dyDescent="0.25">
      <c r="A2590" t="s">
        <v>12347</v>
      </c>
      <c r="B2590" t="s">
        <v>12348</v>
      </c>
      <c r="C2590" t="s">
        <v>12349</v>
      </c>
      <c r="D2590" t="s">
        <v>847</v>
      </c>
      <c r="E2590" t="s">
        <v>848</v>
      </c>
      <c r="F2590" t="s">
        <v>12350</v>
      </c>
      <c r="G2590" t="s">
        <v>478</v>
      </c>
      <c r="H2590" t="s">
        <v>252</v>
      </c>
      <c r="I2590" t="s">
        <v>12351</v>
      </c>
      <c r="J2590" s="2">
        <v>87268</v>
      </c>
      <c r="K2590" s="2">
        <v>400</v>
      </c>
      <c r="L2590" s="2">
        <v>21</v>
      </c>
      <c r="M2590" s="2">
        <v>0</v>
      </c>
      <c r="N2590" t="s">
        <v>254</v>
      </c>
      <c r="O2590" t="s">
        <v>255</v>
      </c>
      <c r="P2590" t="s">
        <v>4374</v>
      </c>
      <c r="Q2590" t="s">
        <v>4375</v>
      </c>
      <c r="S2590" t="s">
        <v>12352</v>
      </c>
      <c r="U2590" t="s">
        <v>45</v>
      </c>
      <c r="V2590" t="s">
        <v>46</v>
      </c>
      <c r="W2590" t="s">
        <v>254</v>
      </c>
      <c r="X2590" t="s">
        <v>255</v>
      </c>
      <c r="Y2590" t="s">
        <v>258</v>
      </c>
      <c r="Z2590" t="s">
        <v>259</v>
      </c>
      <c r="AA2590" t="s">
        <v>49</v>
      </c>
      <c r="AB2590" t="s">
        <v>50</v>
      </c>
      <c r="AC2590" s="2">
        <v>77794.52</v>
      </c>
      <c r="AD2590" t="s">
        <v>12353</v>
      </c>
    </row>
    <row r="2591" spans="1:31" x14ac:dyDescent="0.25">
      <c r="A2591" t="s">
        <v>12354</v>
      </c>
      <c r="B2591" t="s">
        <v>12355</v>
      </c>
      <c r="C2591" t="s">
        <v>12355</v>
      </c>
      <c r="D2591" t="s">
        <v>12356</v>
      </c>
      <c r="E2591" t="s">
        <v>167</v>
      </c>
      <c r="F2591" t="s">
        <v>12357</v>
      </c>
      <c r="G2591" t="s">
        <v>649</v>
      </c>
      <c r="H2591" t="s">
        <v>10141</v>
      </c>
      <c r="I2591" t="s">
        <v>12358</v>
      </c>
      <c r="J2591" s="2">
        <v>327255</v>
      </c>
      <c r="K2591" s="2">
        <v>1500</v>
      </c>
      <c r="L2591" s="2">
        <v>30</v>
      </c>
      <c r="M2591" s="2">
        <v>0</v>
      </c>
      <c r="N2591" t="s">
        <v>7936</v>
      </c>
      <c r="O2591" t="s">
        <v>7935</v>
      </c>
      <c r="P2591" t="s">
        <v>10093</v>
      </c>
      <c r="Q2591" t="s">
        <v>10094</v>
      </c>
      <c r="S2591" t="s">
        <v>12359</v>
      </c>
      <c r="U2591" t="s">
        <v>45</v>
      </c>
      <c r="V2591" t="s">
        <v>46</v>
      </c>
      <c r="W2591" t="s">
        <v>7936</v>
      </c>
      <c r="X2591" t="s">
        <v>7935</v>
      </c>
      <c r="Y2591" t="s">
        <v>7938</v>
      </c>
      <c r="Z2591" t="s">
        <v>7939</v>
      </c>
      <c r="AA2591" t="s">
        <v>49</v>
      </c>
      <c r="AB2591" t="s">
        <v>50</v>
      </c>
      <c r="AC2591" s="2">
        <v>160056.10999999999</v>
      </c>
      <c r="AD2591" t="s">
        <v>12360</v>
      </c>
      <c r="AE2591" t="s">
        <v>115</v>
      </c>
    </row>
    <row r="2592" spans="1:31" x14ac:dyDescent="0.25">
      <c r="A2592" t="s">
        <v>12361</v>
      </c>
      <c r="B2592" t="s">
        <v>12362</v>
      </c>
      <c r="C2592" t="s">
        <v>12362</v>
      </c>
      <c r="D2592" t="s">
        <v>299</v>
      </c>
      <c r="E2592" t="s">
        <v>167</v>
      </c>
      <c r="F2592" t="s">
        <v>12363</v>
      </c>
      <c r="G2592" t="s">
        <v>4391</v>
      </c>
      <c r="H2592" t="s">
        <v>1335</v>
      </c>
      <c r="I2592" t="s">
        <v>12364</v>
      </c>
      <c r="J2592" s="2">
        <v>174536</v>
      </c>
      <c r="K2592" s="2">
        <v>800</v>
      </c>
      <c r="L2592" s="2">
        <v>15</v>
      </c>
      <c r="M2592" s="2">
        <v>0</v>
      </c>
      <c r="N2592" t="s">
        <v>254</v>
      </c>
      <c r="O2592" t="s">
        <v>255</v>
      </c>
      <c r="P2592" t="s">
        <v>4374</v>
      </c>
      <c r="Q2592" t="s">
        <v>4375</v>
      </c>
      <c r="S2592" t="s">
        <v>12365</v>
      </c>
      <c r="U2592" t="s">
        <v>45</v>
      </c>
      <c r="V2592" t="s">
        <v>46</v>
      </c>
      <c r="W2592" t="s">
        <v>254</v>
      </c>
      <c r="X2592" t="s">
        <v>255</v>
      </c>
      <c r="Y2592" t="s">
        <v>258</v>
      </c>
      <c r="Z2592" t="s">
        <v>259</v>
      </c>
      <c r="AA2592" t="s">
        <v>49</v>
      </c>
      <c r="AB2592" t="s">
        <v>50</v>
      </c>
      <c r="AC2592" s="2">
        <v>167369.54999999999</v>
      </c>
      <c r="AD2592" t="s">
        <v>12366</v>
      </c>
    </row>
    <row r="2593" spans="1:31" x14ac:dyDescent="0.25">
      <c r="A2593" t="s">
        <v>12367</v>
      </c>
      <c r="B2593" t="s">
        <v>12368</v>
      </c>
      <c r="C2593" t="s">
        <v>12368</v>
      </c>
      <c r="D2593" t="s">
        <v>153</v>
      </c>
      <c r="E2593" t="s">
        <v>272</v>
      </c>
      <c r="F2593" t="s">
        <v>1131</v>
      </c>
      <c r="G2593" t="s">
        <v>299</v>
      </c>
      <c r="H2593" t="s">
        <v>300</v>
      </c>
      <c r="J2593" s="2">
        <v>218170</v>
      </c>
      <c r="K2593" s="2">
        <v>1000</v>
      </c>
      <c r="L2593" s="2">
        <v>21</v>
      </c>
      <c r="M2593" s="2">
        <v>0</v>
      </c>
      <c r="N2593" t="s">
        <v>302</v>
      </c>
      <c r="O2593" t="s">
        <v>303</v>
      </c>
      <c r="P2593" t="s">
        <v>304</v>
      </c>
      <c r="Q2593" t="s">
        <v>72</v>
      </c>
      <c r="S2593" t="s">
        <v>12369</v>
      </c>
      <c r="U2593" t="s">
        <v>45</v>
      </c>
      <c r="V2593" t="s">
        <v>46</v>
      </c>
      <c r="W2593" t="s">
        <v>302</v>
      </c>
      <c r="X2593" t="s">
        <v>303</v>
      </c>
      <c r="Y2593" t="s">
        <v>72</v>
      </c>
      <c r="Z2593" t="s">
        <v>68</v>
      </c>
      <c r="AA2593" t="s">
        <v>49</v>
      </c>
      <c r="AB2593" t="s">
        <v>50</v>
      </c>
      <c r="AC2593" s="2">
        <v>209193.45</v>
      </c>
      <c r="AD2593" t="s">
        <v>12370</v>
      </c>
      <c r="AE2593" t="s">
        <v>52</v>
      </c>
    </row>
    <row r="2594" spans="1:31" x14ac:dyDescent="0.25">
      <c r="A2594" t="s">
        <v>12371</v>
      </c>
      <c r="B2594" t="s">
        <v>12372</v>
      </c>
      <c r="C2594" t="s">
        <v>12372</v>
      </c>
      <c r="D2594" t="s">
        <v>2118</v>
      </c>
      <c r="E2594" t="s">
        <v>871</v>
      </c>
      <c r="F2594" t="s">
        <v>12373</v>
      </c>
      <c r="G2594" t="s">
        <v>2118</v>
      </c>
      <c r="H2594" t="s">
        <v>7147</v>
      </c>
      <c r="I2594" t="s">
        <v>12374</v>
      </c>
      <c r="J2594" s="2">
        <v>1090850</v>
      </c>
      <c r="K2594" s="2">
        <v>5000</v>
      </c>
      <c r="L2594" s="2">
        <v>25</v>
      </c>
      <c r="M2594" s="2">
        <v>0</v>
      </c>
      <c r="N2594" t="s">
        <v>6940</v>
      </c>
      <c r="O2594" t="s">
        <v>6939</v>
      </c>
      <c r="P2594" t="s">
        <v>3487</v>
      </c>
      <c r="Q2594" t="s">
        <v>3488</v>
      </c>
      <c r="S2594" t="s">
        <v>12375</v>
      </c>
      <c r="U2594" t="s">
        <v>45</v>
      </c>
      <c r="V2594" t="s">
        <v>46</v>
      </c>
      <c r="W2594" t="s">
        <v>6940</v>
      </c>
      <c r="X2594" t="s">
        <v>6939</v>
      </c>
      <c r="Y2594" t="s">
        <v>79</v>
      </c>
      <c r="Z2594" t="s">
        <v>94</v>
      </c>
      <c r="AA2594" t="s">
        <v>49</v>
      </c>
      <c r="AB2594" t="s">
        <v>50</v>
      </c>
      <c r="AC2594" s="2">
        <v>1061282.69</v>
      </c>
      <c r="AD2594" t="s">
        <v>12376</v>
      </c>
      <c r="AE2594" t="s">
        <v>52</v>
      </c>
    </row>
    <row r="2595" spans="1:31" x14ac:dyDescent="0.25">
      <c r="A2595" t="s">
        <v>12377</v>
      </c>
      <c r="B2595" t="s">
        <v>12378</v>
      </c>
      <c r="C2595" t="s">
        <v>12378</v>
      </c>
      <c r="D2595" t="s">
        <v>2339</v>
      </c>
      <c r="E2595" t="s">
        <v>134</v>
      </c>
      <c r="F2595" t="s">
        <v>12379</v>
      </c>
      <c r="G2595" t="s">
        <v>4494</v>
      </c>
      <c r="H2595" t="s">
        <v>12380</v>
      </c>
      <c r="I2595" t="s">
        <v>12381</v>
      </c>
      <c r="J2595" s="2">
        <v>436340</v>
      </c>
      <c r="K2595" s="2">
        <v>2000</v>
      </c>
      <c r="L2595" s="2">
        <v>25</v>
      </c>
      <c r="M2595" s="2">
        <v>0</v>
      </c>
      <c r="N2595" t="s">
        <v>6940</v>
      </c>
      <c r="O2595" t="s">
        <v>6939</v>
      </c>
      <c r="P2595" t="s">
        <v>3487</v>
      </c>
      <c r="Q2595" t="s">
        <v>3488</v>
      </c>
      <c r="S2595" t="s">
        <v>12382</v>
      </c>
      <c r="U2595" t="s">
        <v>45</v>
      </c>
      <c r="V2595" t="s">
        <v>46</v>
      </c>
      <c r="W2595" t="s">
        <v>6940</v>
      </c>
      <c r="X2595" t="s">
        <v>6939</v>
      </c>
      <c r="Y2595" t="s">
        <v>79</v>
      </c>
      <c r="Z2595" t="s">
        <v>94</v>
      </c>
      <c r="AA2595" t="s">
        <v>49</v>
      </c>
      <c r="AB2595" t="s">
        <v>50</v>
      </c>
      <c r="AC2595" s="2">
        <v>436340</v>
      </c>
      <c r="AD2595" t="s">
        <v>64</v>
      </c>
    </row>
    <row r="2596" spans="1:31" x14ac:dyDescent="0.25">
      <c r="A2596" t="s">
        <v>12383</v>
      </c>
      <c r="B2596" t="s">
        <v>12384</v>
      </c>
      <c r="C2596" t="s">
        <v>12384</v>
      </c>
      <c r="D2596" t="s">
        <v>125</v>
      </c>
      <c r="E2596" t="s">
        <v>126</v>
      </c>
      <c r="F2596" t="s">
        <v>12385</v>
      </c>
      <c r="G2596" t="s">
        <v>153</v>
      </c>
      <c r="H2596" t="s">
        <v>65</v>
      </c>
      <c r="I2596" t="s">
        <v>12386</v>
      </c>
      <c r="J2596" s="2">
        <v>218170</v>
      </c>
      <c r="K2596" s="2">
        <v>1000</v>
      </c>
      <c r="L2596" s="2">
        <v>15</v>
      </c>
      <c r="M2596" s="2">
        <v>0</v>
      </c>
      <c r="N2596" t="s">
        <v>67</v>
      </c>
      <c r="O2596" t="s">
        <v>68</v>
      </c>
      <c r="P2596" t="s">
        <v>304</v>
      </c>
      <c r="Q2596" t="s">
        <v>72</v>
      </c>
      <c r="S2596" t="s">
        <v>12387</v>
      </c>
      <c r="U2596" t="s">
        <v>45</v>
      </c>
      <c r="V2596" t="s">
        <v>46</v>
      </c>
      <c r="W2596" t="s">
        <v>67</v>
      </c>
      <c r="X2596" t="s">
        <v>68</v>
      </c>
      <c r="Y2596" t="s">
        <v>72</v>
      </c>
      <c r="Z2596" t="s">
        <v>68</v>
      </c>
      <c r="AA2596" t="s">
        <v>49</v>
      </c>
      <c r="AB2596" t="s">
        <v>50</v>
      </c>
      <c r="AC2596" s="2">
        <v>176468.22</v>
      </c>
      <c r="AD2596" t="s">
        <v>12388</v>
      </c>
      <c r="AE2596" t="s">
        <v>52</v>
      </c>
    </row>
    <row r="2597" spans="1:31" x14ac:dyDescent="0.25">
      <c r="A2597" t="s">
        <v>12389</v>
      </c>
      <c r="B2597" t="s">
        <v>12390</v>
      </c>
      <c r="C2597" t="s">
        <v>12390</v>
      </c>
      <c r="D2597" t="s">
        <v>3221</v>
      </c>
      <c r="E2597" t="s">
        <v>224</v>
      </c>
      <c r="F2597" t="s">
        <v>12391</v>
      </c>
      <c r="H2597" t="s">
        <v>12392</v>
      </c>
      <c r="I2597" t="s">
        <v>12393</v>
      </c>
      <c r="J2597" s="2">
        <v>218170</v>
      </c>
      <c r="K2597" s="2">
        <v>1000</v>
      </c>
      <c r="L2597" s="2">
        <v>30</v>
      </c>
      <c r="M2597" s="2">
        <v>0</v>
      </c>
      <c r="N2597" t="s">
        <v>12394</v>
      </c>
      <c r="O2597" t="s">
        <v>12395</v>
      </c>
      <c r="P2597" t="s">
        <v>941</v>
      </c>
      <c r="Q2597" t="s">
        <v>139</v>
      </c>
      <c r="S2597" t="s">
        <v>12396</v>
      </c>
      <c r="U2597" t="s">
        <v>45</v>
      </c>
      <c r="V2597" t="s">
        <v>46</v>
      </c>
      <c r="W2597" t="s">
        <v>12394</v>
      </c>
      <c r="X2597" t="s">
        <v>12395</v>
      </c>
      <c r="Y2597" t="s">
        <v>139</v>
      </c>
      <c r="Z2597" t="s">
        <v>140</v>
      </c>
      <c r="AA2597" t="s">
        <v>49</v>
      </c>
      <c r="AB2597" t="s">
        <v>50</v>
      </c>
      <c r="AC2597" s="2">
        <v>204539.38</v>
      </c>
      <c r="AD2597" t="s">
        <v>12397</v>
      </c>
    </row>
    <row r="2598" spans="1:31" x14ac:dyDescent="0.25">
      <c r="A2598" t="s">
        <v>12398</v>
      </c>
      <c r="B2598" t="s">
        <v>12399</v>
      </c>
      <c r="C2598" t="s">
        <v>12399</v>
      </c>
      <c r="D2598" t="s">
        <v>847</v>
      </c>
      <c r="E2598" t="s">
        <v>848</v>
      </c>
      <c r="F2598" t="s">
        <v>12400</v>
      </c>
      <c r="G2598" t="s">
        <v>2126</v>
      </c>
      <c r="H2598" t="s">
        <v>402</v>
      </c>
      <c r="I2598" t="s">
        <v>12401</v>
      </c>
      <c r="J2598" s="2">
        <v>174536</v>
      </c>
      <c r="K2598" s="2">
        <v>800</v>
      </c>
      <c r="L2598" s="2">
        <v>1</v>
      </c>
      <c r="M2598" s="2">
        <v>0</v>
      </c>
      <c r="N2598" t="s">
        <v>403</v>
      </c>
      <c r="O2598" t="s">
        <v>404</v>
      </c>
      <c r="P2598" t="s">
        <v>205</v>
      </c>
      <c r="Q2598" t="s">
        <v>206</v>
      </c>
      <c r="S2598" t="s">
        <v>12402</v>
      </c>
      <c r="U2598" t="s">
        <v>45</v>
      </c>
      <c r="V2598" t="s">
        <v>46</v>
      </c>
      <c r="W2598" t="s">
        <v>403</v>
      </c>
      <c r="X2598" t="s">
        <v>404</v>
      </c>
      <c r="Y2598" t="s">
        <v>161</v>
      </c>
      <c r="Z2598" t="s">
        <v>162</v>
      </c>
      <c r="AA2598" t="s">
        <v>49</v>
      </c>
      <c r="AB2598" t="s">
        <v>50</v>
      </c>
      <c r="AC2598" s="2">
        <v>174536</v>
      </c>
      <c r="AD2598" t="s">
        <v>64</v>
      </c>
    </row>
    <row r="2599" spans="1:31" x14ac:dyDescent="0.25">
      <c r="A2599" t="s">
        <v>12403</v>
      </c>
      <c r="B2599" t="s">
        <v>12404</v>
      </c>
      <c r="C2599" t="s">
        <v>12404</v>
      </c>
      <c r="D2599" t="s">
        <v>569</v>
      </c>
      <c r="E2599" t="s">
        <v>570</v>
      </c>
      <c r="F2599" t="s">
        <v>12405</v>
      </c>
      <c r="G2599" t="s">
        <v>1865</v>
      </c>
      <c r="H2599" t="s">
        <v>12406</v>
      </c>
      <c r="I2599" t="s">
        <v>12407</v>
      </c>
      <c r="J2599" s="2">
        <v>109085</v>
      </c>
      <c r="K2599" s="2">
        <v>500</v>
      </c>
      <c r="L2599" s="2">
        <v>21</v>
      </c>
      <c r="M2599" s="2">
        <v>0</v>
      </c>
      <c r="N2599" t="s">
        <v>9655</v>
      </c>
      <c r="O2599" t="s">
        <v>9654</v>
      </c>
      <c r="P2599" t="s">
        <v>6143</v>
      </c>
      <c r="Q2599" t="s">
        <v>6144</v>
      </c>
      <c r="S2599" t="s">
        <v>12408</v>
      </c>
      <c r="U2599" t="s">
        <v>45</v>
      </c>
      <c r="V2599" t="s">
        <v>46</v>
      </c>
      <c r="W2599" t="s">
        <v>9655</v>
      </c>
      <c r="X2599" t="s">
        <v>9654</v>
      </c>
      <c r="Y2599" t="s">
        <v>9657</v>
      </c>
      <c r="Z2599" t="s">
        <v>9658</v>
      </c>
      <c r="AA2599" t="s">
        <v>49</v>
      </c>
      <c r="AB2599" t="s">
        <v>50</v>
      </c>
      <c r="AC2599" s="2">
        <v>109085</v>
      </c>
      <c r="AD2599" t="s">
        <v>64</v>
      </c>
    </row>
    <row r="2600" spans="1:31" hidden="1" x14ac:dyDescent="0.25">
      <c r="I2600" t="s">
        <v>12409</v>
      </c>
      <c r="J2600" s="2">
        <v>43634</v>
      </c>
      <c r="K2600" s="2">
        <v>200</v>
      </c>
      <c r="L2600" s="2">
        <v>15</v>
      </c>
      <c r="M2600" s="2">
        <v>0</v>
      </c>
      <c r="S2600" t="s">
        <v>12410</v>
      </c>
      <c r="U2600" t="s">
        <v>45</v>
      </c>
      <c r="V2600" t="s">
        <v>46</v>
      </c>
      <c r="W2600" t="s">
        <v>254</v>
      </c>
      <c r="X2600" t="s">
        <v>255</v>
      </c>
      <c r="Y2600" t="s">
        <v>137</v>
      </c>
      <c r="Z2600" t="s">
        <v>717</v>
      </c>
      <c r="AA2600" t="s">
        <v>49</v>
      </c>
      <c r="AC2600" s="2"/>
    </row>
    <row r="2601" spans="1:31" x14ac:dyDescent="0.25">
      <c r="A2601" t="s">
        <v>12411</v>
      </c>
      <c r="B2601" t="s">
        <v>12412</v>
      </c>
      <c r="C2601" t="s">
        <v>12412</v>
      </c>
      <c r="D2601" t="s">
        <v>847</v>
      </c>
      <c r="E2601" t="s">
        <v>848</v>
      </c>
      <c r="F2601" t="s">
        <v>12413</v>
      </c>
      <c r="G2601" t="s">
        <v>847</v>
      </c>
      <c r="H2601" t="s">
        <v>10105</v>
      </c>
      <c r="I2601" t="s">
        <v>12414</v>
      </c>
      <c r="J2601" s="2">
        <v>218170</v>
      </c>
      <c r="K2601" s="2">
        <v>1000</v>
      </c>
      <c r="L2601" s="2">
        <v>21</v>
      </c>
      <c r="M2601" s="2">
        <v>0</v>
      </c>
      <c r="N2601" t="s">
        <v>10106</v>
      </c>
      <c r="O2601" t="s">
        <v>10105</v>
      </c>
      <c r="P2601" t="s">
        <v>4315</v>
      </c>
      <c r="Q2601" t="s">
        <v>4316</v>
      </c>
      <c r="S2601" t="s">
        <v>12415</v>
      </c>
      <c r="U2601" t="s">
        <v>45</v>
      </c>
      <c r="V2601" t="s">
        <v>46</v>
      </c>
      <c r="W2601" t="s">
        <v>10106</v>
      </c>
      <c r="X2601" t="s">
        <v>10105</v>
      </c>
      <c r="Y2601" t="s">
        <v>7938</v>
      </c>
      <c r="Z2601" t="s">
        <v>7939</v>
      </c>
      <c r="AA2601" t="s">
        <v>49</v>
      </c>
      <c r="AB2601" t="s">
        <v>50</v>
      </c>
      <c r="AC2601" s="2">
        <v>116612.81</v>
      </c>
      <c r="AD2601" t="s">
        <v>12416</v>
      </c>
      <c r="AE2601" t="s">
        <v>52</v>
      </c>
    </row>
    <row r="2602" spans="1:31" x14ac:dyDescent="0.25">
      <c r="A2602" t="s">
        <v>12417</v>
      </c>
      <c r="B2602" t="s">
        <v>12418</v>
      </c>
      <c r="C2602" t="s">
        <v>12418</v>
      </c>
      <c r="D2602" t="s">
        <v>35</v>
      </c>
      <c r="E2602" t="s">
        <v>36</v>
      </c>
      <c r="F2602" t="s">
        <v>12419</v>
      </c>
      <c r="G2602" t="s">
        <v>35</v>
      </c>
      <c r="H2602" t="s">
        <v>2394</v>
      </c>
      <c r="I2602" t="s">
        <v>12420</v>
      </c>
      <c r="J2602" s="2">
        <v>436340</v>
      </c>
      <c r="K2602" s="2">
        <v>2000</v>
      </c>
      <c r="L2602" s="2">
        <v>30</v>
      </c>
      <c r="M2602" s="2">
        <v>0</v>
      </c>
      <c r="N2602" t="s">
        <v>12421</v>
      </c>
      <c r="O2602" t="s">
        <v>12422</v>
      </c>
      <c r="P2602" t="s">
        <v>941</v>
      </c>
      <c r="Q2602" t="s">
        <v>139</v>
      </c>
      <c r="S2602" t="s">
        <v>12423</v>
      </c>
      <c r="U2602" t="s">
        <v>45</v>
      </c>
      <c r="V2602" t="s">
        <v>46</v>
      </c>
      <c r="W2602" t="s">
        <v>12421</v>
      </c>
      <c r="X2602" t="s">
        <v>12422</v>
      </c>
      <c r="Y2602" t="s">
        <v>9657</v>
      </c>
      <c r="Z2602" t="s">
        <v>9658</v>
      </c>
      <c r="AA2602" t="s">
        <v>49</v>
      </c>
      <c r="AB2602" t="s">
        <v>50</v>
      </c>
      <c r="AC2602" s="2">
        <v>435148.01</v>
      </c>
      <c r="AD2602" t="s">
        <v>12424</v>
      </c>
      <c r="AE2602" t="s">
        <v>52</v>
      </c>
    </row>
    <row r="2603" spans="1:31" x14ac:dyDescent="0.25">
      <c r="A2603" t="s">
        <v>12425</v>
      </c>
      <c r="B2603" t="s">
        <v>12426</v>
      </c>
      <c r="C2603" t="s">
        <v>12426</v>
      </c>
      <c r="D2603" t="s">
        <v>1734</v>
      </c>
      <c r="E2603" t="s">
        <v>224</v>
      </c>
      <c r="F2603" t="s">
        <v>12427</v>
      </c>
      <c r="G2603" t="s">
        <v>2120</v>
      </c>
      <c r="H2603" t="s">
        <v>404</v>
      </c>
      <c r="I2603" t="s">
        <v>12428</v>
      </c>
      <c r="J2603" s="2">
        <v>21372</v>
      </c>
      <c r="K2603" s="2">
        <v>97.96</v>
      </c>
      <c r="L2603" s="2">
        <v>3</v>
      </c>
      <c r="M2603" s="2">
        <v>0</v>
      </c>
      <c r="N2603" t="s">
        <v>403</v>
      </c>
      <c r="O2603" t="s">
        <v>404</v>
      </c>
      <c r="P2603" t="s">
        <v>205</v>
      </c>
      <c r="Q2603" t="s">
        <v>206</v>
      </c>
      <c r="S2603" t="s">
        <v>12429</v>
      </c>
      <c r="U2603" t="s">
        <v>45</v>
      </c>
      <c r="V2603" t="s">
        <v>46</v>
      </c>
      <c r="W2603" t="s">
        <v>403</v>
      </c>
      <c r="X2603" t="s">
        <v>404</v>
      </c>
      <c r="Y2603" t="s">
        <v>161</v>
      </c>
      <c r="Z2603" t="s">
        <v>162</v>
      </c>
      <c r="AA2603" t="s">
        <v>49</v>
      </c>
      <c r="AB2603" t="s">
        <v>50</v>
      </c>
      <c r="AC2603" s="2">
        <v>14828.77</v>
      </c>
      <c r="AD2603" t="s">
        <v>12430</v>
      </c>
    </row>
    <row r="2604" spans="1:31" x14ac:dyDescent="0.25">
      <c r="A2604" t="s">
        <v>12431</v>
      </c>
      <c r="B2604" t="s">
        <v>12432</v>
      </c>
      <c r="C2604" t="s">
        <v>12432</v>
      </c>
      <c r="D2604" t="s">
        <v>1467</v>
      </c>
      <c r="E2604" t="s">
        <v>224</v>
      </c>
      <c r="F2604" t="s">
        <v>12433</v>
      </c>
      <c r="G2604" t="s">
        <v>333</v>
      </c>
      <c r="H2604" t="s">
        <v>1335</v>
      </c>
      <c r="I2604" t="s">
        <v>12434</v>
      </c>
      <c r="J2604" s="2">
        <v>218170</v>
      </c>
      <c r="K2604" s="2">
        <v>1000</v>
      </c>
      <c r="L2604" s="2">
        <v>21</v>
      </c>
      <c r="M2604" s="2">
        <v>0</v>
      </c>
      <c r="N2604" t="s">
        <v>254</v>
      </c>
      <c r="O2604" t="s">
        <v>255</v>
      </c>
      <c r="P2604" t="s">
        <v>3534</v>
      </c>
      <c r="Q2604" t="s">
        <v>3535</v>
      </c>
      <c r="S2604" t="s">
        <v>12435</v>
      </c>
      <c r="U2604" t="s">
        <v>45</v>
      </c>
      <c r="V2604" t="s">
        <v>46</v>
      </c>
      <c r="W2604" t="s">
        <v>254</v>
      </c>
      <c r="X2604" t="s">
        <v>255</v>
      </c>
      <c r="Y2604" t="s">
        <v>258</v>
      </c>
      <c r="Z2604" t="s">
        <v>259</v>
      </c>
      <c r="AA2604" t="s">
        <v>49</v>
      </c>
      <c r="AB2604" t="s">
        <v>50</v>
      </c>
      <c r="AC2604" s="2">
        <v>172577.48</v>
      </c>
      <c r="AD2604" t="s">
        <v>12436</v>
      </c>
      <c r="AE2604" t="s">
        <v>115</v>
      </c>
    </row>
    <row r="2605" spans="1:31" hidden="1" x14ac:dyDescent="0.25">
      <c r="A2605" t="s">
        <v>12437</v>
      </c>
      <c r="B2605" t="s">
        <v>12438</v>
      </c>
      <c r="C2605" t="s">
        <v>12438</v>
      </c>
      <c r="F2605" t="s">
        <v>12439</v>
      </c>
      <c r="H2605" t="s">
        <v>402</v>
      </c>
      <c r="I2605" t="s">
        <v>12440</v>
      </c>
      <c r="J2605" s="2">
        <v>327255</v>
      </c>
      <c r="K2605" s="2">
        <v>1500</v>
      </c>
      <c r="L2605" s="2">
        <v>21</v>
      </c>
      <c r="M2605" s="2">
        <v>0</v>
      </c>
      <c r="N2605" t="s">
        <v>403</v>
      </c>
      <c r="O2605" t="s">
        <v>404</v>
      </c>
      <c r="P2605" t="s">
        <v>205</v>
      </c>
      <c r="Q2605" t="s">
        <v>206</v>
      </c>
      <c r="S2605" t="s">
        <v>12441</v>
      </c>
      <c r="U2605" t="s">
        <v>45</v>
      </c>
      <c r="V2605" t="s">
        <v>46</v>
      </c>
      <c r="W2605" t="s">
        <v>403</v>
      </c>
      <c r="X2605" t="s">
        <v>404</v>
      </c>
      <c r="Y2605" t="s">
        <v>161</v>
      </c>
      <c r="Z2605" t="s">
        <v>162</v>
      </c>
      <c r="AA2605" t="s">
        <v>49</v>
      </c>
      <c r="AB2605" t="s">
        <v>50</v>
      </c>
      <c r="AC2605" s="2">
        <v>327255</v>
      </c>
      <c r="AD2605" t="s">
        <v>64</v>
      </c>
    </row>
    <row r="2606" spans="1:31" x14ac:dyDescent="0.25">
      <c r="A2606" t="s">
        <v>12442</v>
      </c>
      <c r="B2606" t="s">
        <v>12443</v>
      </c>
      <c r="C2606" t="s">
        <v>12443</v>
      </c>
      <c r="D2606" t="s">
        <v>1633</v>
      </c>
      <c r="E2606" t="s">
        <v>1502</v>
      </c>
      <c r="F2606" t="s">
        <v>12444</v>
      </c>
      <c r="G2606" t="s">
        <v>485</v>
      </c>
      <c r="H2606" t="s">
        <v>6419</v>
      </c>
      <c r="I2606" t="s">
        <v>12445</v>
      </c>
      <c r="J2606" s="2">
        <v>632693</v>
      </c>
      <c r="K2606" s="2">
        <v>2900</v>
      </c>
      <c r="L2606" s="2">
        <v>15</v>
      </c>
      <c r="M2606" s="2">
        <v>0</v>
      </c>
      <c r="N2606" t="s">
        <v>6029</v>
      </c>
      <c r="O2606" t="s">
        <v>6030</v>
      </c>
      <c r="P2606" t="s">
        <v>82</v>
      </c>
      <c r="Q2606" t="s">
        <v>83</v>
      </c>
      <c r="S2606" t="s">
        <v>12446</v>
      </c>
      <c r="U2606" t="s">
        <v>45</v>
      </c>
      <c r="V2606" t="s">
        <v>46</v>
      </c>
      <c r="W2606" t="s">
        <v>6029</v>
      </c>
      <c r="X2606" t="s">
        <v>6030</v>
      </c>
      <c r="Y2606" t="s">
        <v>85</v>
      </c>
      <c r="Z2606" t="s">
        <v>86</v>
      </c>
      <c r="AA2606" t="s">
        <v>49</v>
      </c>
      <c r="AB2606" t="s">
        <v>50</v>
      </c>
      <c r="AC2606" s="2">
        <v>632693</v>
      </c>
      <c r="AD2606" t="s">
        <v>64</v>
      </c>
    </row>
    <row r="2607" spans="1:31" x14ac:dyDescent="0.25">
      <c r="A2607" t="s">
        <v>12447</v>
      </c>
      <c r="B2607" t="s">
        <v>12448</v>
      </c>
      <c r="C2607" t="s">
        <v>12448</v>
      </c>
      <c r="D2607" t="s">
        <v>1467</v>
      </c>
      <c r="E2607" t="s">
        <v>224</v>
      </c>
      <c r="F2607" t="s">
        <v>2871</v>
      </c>
      <c r="H2607" t="s">
        <v>1581</v>
      </c>
      <c r="I2607" t="s">
        <v>12449</v>
      </c>
      <c r="J2607" s="2">
        <v>436340</v>
      </c>
      <c r="K2607" s="2">
        <v>2000</v>
      </c>
      <c r="L2607" s="2">
        <v>30</v>
      </c>
      <c r="M2607" s="2">
        <v>0</v>
      </c>
      <c r="N2607" t="s">
        <v>203</v>
      </c>
      <c r="O2607" t="s">
        <v>204</v>
      </c>
      <c r="P2607" t="s">
        <v>205</v>
      </c>
      <c r="Q2607" t="s">
        <v>206</v>
      </c>
      <c r="S2607" t="s">
        <v>12450</v>
      </c>
      <c r="U2607" t="s">
        <v>45</v>
      </c>
      <c r="V2607" t="s">
        <v>46</v>
      </c>
      <c r="W2607" t="s">
        <v>203</v>
      </c>
      <c r="X2607" t="s">
        <v>204</v>
      </c>
      <c r="Y2607" t="s">
        <v>161</v>
      </c>
      <c r="Z2607" t="s">
        <v>162</v>
      </c>
      <c r="AA2607" t="s">
        <v>49</v>
      </c>
      <c r="AB2607" t="s">
        <v>50</v>
      </c>
      <c r="AC2607" s="2">
        <v>436340</v>
      </c>
      <c r="AD2607" t="s">
        <v>64</v>
      </c>
    </row>
    <row r="2608" spans="1:31" x14ac:dyDescent="0.25">
      <c r="A2608" t="s">
        <v>12451</v>
      </c>
      <c r="B2608" t="s">
        <v>12452</v>
      </c>
      <c r="C2608" t="s">
        <v>12452</v>
      </c>
      <c r="D2608" t="s">
        <v>331</v>
      </c>
      <c r="E2608" t="s">
        <v>224</v>
      </c>
      <c r="F2608" t="s">
        <v>12453</v>
      </c>
      <c r="G2608" t="s">
        <v>1289</v>
      </c>
      <c r="H2608" t="s">
        <v>12217</v>
      </c>
      <c r="I2608" t="s">
        <v>12454</v>
      </c>
      <c r="J2608" s="2">
        <v>981765</v>
      </c>
      <c r="K2608" s="2">
        <v>4500</v>
      </c>
      <c r="L2608" s="2">
        <v>15</v>
      </c>
      <c r="M2608" s="2">
        <v>0</v>
      </c>
      <c r="N2608" t="s">
        <v>11459</v>
      </c>
      <c r="O2608" t="s">
        <v>11440</v>
      </c>
      <c r="P2608" t="s">
        <v>8938</v>
      </c>
      <c r="Q2608" t="s">
        <v>8939</v>
      </c>
      <c r="S2608" t="s">
        <v>12455</v>
      </c>
      <c r="U2608" t="s">
        <v>45</v>
      </c>
      <c r="V2608" t="s">
        <v>46</v>
      </c>
      <c r="W2608" t="s">
        <v>11459</v>
      </c>
      <c r="X2608" t="s">
        <v>11440</v>
      </c>
      <c r="Y2608" t="s">
        <v>137</v>
      </c>
      <c r="Z2608" t="s">
        <v>717</v>
      </c>
      <c r="AA2608" t="s">
        <v>49</v>
      </c>
      <c r="AB2608" t="s">
        <v>50</v>
      </c>
      <c r="AC2608" s="2">
        <v>899375.29</v>
      </c>
      <c r="AD2608" t="s">
        <v>12456</v>
      </c>
      <c r="AE2608" t="s">
        <v>115</v>
      </c>
    </row>
    <row r="2609" spans="1:31" x14ac:dyDescent="0.25">
      <c r="A2609" t="s">
        <v>12457</v>
      </c>
      <c r="B2609" t="s">
        <v>12458</v>
      </c>
      <c r="C2609" t="s">
        <v>12458</v>
      </c>
      <c r="D2609" t="s">
        <v>1410</v>
      </c>
      <c r="E2609" t="s">
        <v>871</v>
      </c>
      <c r="F2609" t="s">
        <v>12459</v>
      </c>
      <c r="G2609" t="s">
        <v>1846</v>
      </c>
      <c r="H2609" t="s">
        <v>1335</v>
      </c>
      <c r="I2609" t="s">
        <v>12460</v>
      </c>
      <c r="J2609" s="2">
        <v>218</v>
      </c>
      <c r="K2609" s="2">
        <v>1</v>
      </c>
      <c r="L2609" s="2">
        <v>1</v>
      </c>
      <c r="M2609" s="2">
        <v>0</v>
      </c>
      <c r="N2609" t="s">
        <v>254</v>
      </c>
      <c r="O2609" t="s">
        <v>255</v>
      </c>
      <c r="P2609" t="s">
        <v>8938</v>
      </c>
      <c r="Q2609" t="s">
        <v>8939</v>
      </c>
      <c r="S2609" t="s">
        <v>12461</v>
      </c>
      <c r="U2609" t="s">
        <v>45</v>
      </c>
      <c r="V2609" t="s">
        <v>46</v>
      </c>
      <c r="W2609" t="s">
        <v>254</v>
      </c>
      <c r="X2609" t="s">
        <v>255</v>
      </c>
      <c r="Y2609" t="s">
        <v>258</v>
      </c>
      <c r="Z2609" t="s">
        <v>259</v>
      </c>
      <c r="AA2609" t="s">
        <v>49</v>
      </c>
      <c r="AB2609" t="s">
        <v>50</v>
      </c>
      <c r="AC2609" s="2">
        <v>218</v>
      </c>
      <c r="AD2609" t="s">
        <v>64</v>
      </c>
    </row>
    <row r="2610" spans="1:31" x14ac:dyDescent="0.25">
      <c r="A2610" t="s">
        <v>12462</v>
      </c>
      <c r="B2610" t="s">
        <v>12463</v>
      </c>
      <c r="C2610" t="s">
        <v>12463</v>
      </c>
      <c r="D2610" t="s">
        <v>262</v>
      </c>
      <c r="E2610" t="s">
        <v>134</v>
      </c>
      <c r="F2610" t="s">
        <v>12464</v>
      </c>
      <c r="H2610" t="s">
        <v>1335</v>
      </c>
      <c r="I2610" t="s">
        <v>12465</v>
      </c>
      <c r="J2610" s="2">
        <v>174536</v>
      </c>
      <c r="K2610" s="2">
        <v>800</v>
      </c>
      <c r="L2610" s="2">
        <v>15</v>
      </c>
      <c r="M2610" s="2">
        <v>0</v>
      </c>
      <c r="N2610" t="s">
        <v>254</v>
      </c>
      <c r="O2610" t="s">
        <v>255</v>
      </c>
      <c r="P2610" t="s">
        <v>4374</v>
      </c>
      <c r="Q2610" t="s">
        <v>4375</v>
      </c>
      <c r="S2610" t="s">
        <v>12466</v>
      </c>
      <c r="U2610" t="s">
        <v>45</v>
      </c>
      <c r="V2610" t="s">
        <v>46</v>
      </c>
      <c r="W2610" t="s">
        <v>254</v>
      </c>
      <c r="X2610" t="s">
        <v>255</v>
      </c>
      <c r="Y2610" t="s">
        <v>258</v>
      </c>
      <c r="Z2610" t="s">
        <v>259</v>
      </c>
      <c r="AA2610" t="s">
        <v>49</v>
      </c>
      <c r="AB2610" t="s">
        <v>50</v>
      </c>
      <c r="AC2610" s="2">
        <v>164177.94</v>
      </c>
      <c r="AD2610" t="s">
        <v>12467</v>
      </c>
    </row>
    <row r="2611" spans="1:31" x14ac:dyDescent="0.25">
      <c r="A2611" t="s">
        <v>12468</v>
      </c>
      <c r="B2611" t="s">
        <v>12469</v>
      </c>
      <c r="C2611" t="s">
        <v>12469</v>
      </c>
      <c r="D2611" t="s">
        <v>166</v>
      </c>
      <c r="E2611" t="s">
        <v>167</v>
      </c>
      <c r="F2611" t="s">
        <v>12470</v>
      </c>
      <c r="G2611" t="s">
        <v>166</v>
      </c>
      <c r="H2611" t="s">
        <v>2399</v>
      </c>
      <c r="I2611" t="s">
        <v>12471</v>
      </c>
      <c r="J2611" s="2">
        <v>218170</v>
      </c>
      <c r="K2611" s="2">
        <v>1000</v>
      </c>
      <c r="L2611" s="2">
        <v>21</v>
      </c>
      <c r="M2611" s="2">
        <v>0</v>
      </c>
      <c r="N2611" t="s">
        <v>11225</v>
      </c>
      <c r="O2611" t="s">
        <v>2399</v>
      </c>
      <c r="P2611" t="s">
        <v>6987</v>
      </c>
      <c r="Q2611" t="s">
        <v>6988</v>
      </c>
      <c r="S2611" t="s">
        <v>12472</v>
      </c>
      <c r="U2611" t="s">
        <v>45</v>
      </c>
      <c r="V2611" t="s">
        <v>46</v>
      </c>
      <c r="W2611" t="s">
        <v>11225</v>
      </c>
      <c r="X2611" t="s">
        <v>2399</v>
      </c>
      <c r="Y2611" t="s">
        <v>2399</v>
      </c>
      <c r="Z2611" t="s">
        <v>2400</v>
      </c>
      <c r="AA2611" t="s">
        <v>49</v>
      </c>
      <c r="AB2611" t="s">
        <v>50</v>
      </c>
      <c r="AC2611" s="2">
        <v>139852.71</v>
      </c>
      <c r="AD2611" t="s">
        <v>12473</v>
      </c>
      <c r="AE2611" t="s">
        <v>52</v>
      </c>
    </row>
    <row r="2612" spans="1:31" x14ac:dyDescent="0.25">
      <c r="A2612" t="s">
        <v>12474</v>
      </c>
      <c r="B2612" t="s">
        <v>12475</v>
      </c>
      <c r="C2612" t="s">
        <v>9242</v>
      </c>
      <c r="D2612" t="s">
        <v>153</v>
      </c>
      <c r="E2612" t="s">
        <v>272</v>
      </c>
      <c r="F2612" t="s">
        <v>9243</v>
      </c>
      <c r="G2612" t="s">
        <v>153</v>
      </c>
      <c r="H2612" t="s">
        <v>2981</v>
      </c>
      <c r="J2612" s="2">
        <v>1243569</v>
      </c>
      <c r="K2612" s="2">
        <v>5700</v>
      </c>
      <c r="L2612" s="2">
        <v>21</v>
      </c>
      <c r="M2612" s="2">
        <v>0</v>
      </c>
      <c r="N2612" t="s">
        <v>302</v>
      </c>
      <c r="O2612" t="s">
        <v>303</v>
      </c>
      <c r="P2612" t="s">
        <v>304</v>
      </c>
      <c r="Q2612" t="s">
        <v>72</v>
      </c>
      <c r="S2612" t="s">
        <v>12476</v>
      </c>
      <c r="U2612" t="s">
        <v>45</v>
      </c>
      <c r="V2612" t="s">
        <v>46</v>
      </c>
      <c r="W2612" t="s">
        <v>302</v>
      </c>
      <c r="X2612" t="s">
        <v>303</v>
      </c>
      <c r="Y2612" t="s">
        <v>72</v>
      </c>
      <c r="Z2612" t="s">
        <v>68</v>
      </c>
      <c r="AA2612" t="s">
        <v>49</v>
      </c>
      <c r="AB2612" t="s">
        <v>50</v>
      </c>
      <c r="AC2612" s="2">
        <v>358681.16</v>
      </c>
      <c r="AD2612" t="s">
        <v>12477</v>
      </c>
      <c r="AE2612" t="s">
        <v>52</v>
      </c>
    </row>
    <row r="2613" spans="1:31" x14ac:dyDescent="0.25">
      <c r="A2613" t="s">
        <v>12478</v>
      </c>
      <c r="B2613" t="s">
        <v>12479</v>
      </c>
      <c r="C2613" t="s">
        <v>9242</v>
      </c>
      <c r="D2613" t="s">
        <v>178</v>
      </c>
      <c r="E2613" t="s">
        <v>179</v>
      </c>
      <c r="F2613" t="s">
        <v>9243</v>
      </c>
      <c r="G2613" t="s">
        <v>178</v>
      </c>
      <c r="H2613" t="s">
        <v>1095</v>
      </c>
      <c r="J2613" s="2">
        <v>1090850</v>
      </c>
      <c r="K2613" s="2">
        <v>5000</v>
      </c>
      <c r="L2613" s="2">
        <v>21</v>
      </c>
      <c r="M2613" s="2">
        <v>0</v>
      </c>
      <c r="N2613" t="s">
        <v>1038</v>
      </c>
      <c r="O2613" t="s">
        <v>1039</v>
      </c>
      <c r="P2613" t="s">
        <v>304</v>
      </c>
      <c r="Q2613" t="s">
        <v>72</v>
      </c>
      <c r="S2613" t="s">
        <v>12480</v>
      </c>
      <c r="U2613" t="s">
        <v>45</v>
      </c>
      <c r="V2613" t="s">
        <v>46</v>
      </c>
      <c r="W2613" t="s">
        <v>1038</v>
      </c>
      <c r="X2613" t="s">
        <v>1039</v>
      </c>
      <c r="Y2613" t="s">
        <v>72</v>
      </c>
      <c r="Z2613" t="s">
        <v>68</v>
      </c>
      <c r="AA2613" t="s">
        <v>49</v>
      </c>
      <c r="AB2613" t="s">
        <v>50</v>
      </c>
      <c r="AC2613" s="2">
        <v>955358.68</v>
      </c>
      <c r="AD2613" t="s">
        <v>12481</v>
      </c>
      <c r="AE2613" t="s">
        <v>52</v>
      </c>
    </row>
    <row r="2614" spans="1:31" x14ac:dyDescent="0.25">
      <c r="A2614" t="s">
        <v>12482</v>
      </c>
      <c r="B2614" t="s">
        <v>12483</v>
      </c>
      <c r="C2614" t="s">
        <v>9242</v>
      </c>
      <c r="D2614" t="s">
        <v>178</v>
      </c>
      <c r="E2614" t="s">
        <v>179</v>
      </c>
      <c r="F2614" t="s">
        <v>9243</v>
      </c>
      <c r="G2614" t="s">
        <v>178</v>
      </c>
      <c r="H2614" t="s">
        <v>1444</v>
      </c>
      <c r="J2614" s="2">
        <v>1090850</v>
      </c>
      <c r="K2614" s="2">
        <v>5000</v>
      </c>
      <c r="L2614" s="2">
        <v>21</v>
      </c>
      <c r="M2614" s="2">
        <v>0</v>
      </c>
      <c r="N2614" t="s">
        <v>1064</v>
      </c>
      <c r="O2614" t="s">
        <v>1062</v>
      </c>
      <c r="P2614" t="s">
        <v>304</v>
      </c>
      <c r="Q2614" t="s">
        <v>72</v>
      </c>
      <c r="S2614" t="s">
        <v>12484</v>
      </c>
      <c r="U2614" t="s">
        <v>45</v>
      </c>
      <c r="V2614" t="s">
        <v>46</v>
      </c>
      <c r="W2614" t="s">
        <v>1064</v>
      </c>
      <c r="X2614" t="s">
        <v>1062</v>
      </c>
      <c r="Y2614" t="s">
        <v>72</v>
      </c>
      <c r="Z2614" t="s">
        <v>68</v>
      </c>
      <c r="AA2614" t="s">
        <v>49</v>
      </c>
      <c r="AB2614" t="s">
        <v>50</v>
      </c>
      <c r="AC2614" s="2">
        <v>939905.15</v>
      </c>
      <c r="AD2614" t="s">
        <v>12485</v>
      </c>
      <c r="AE2614" t="s">
        <v>52</v>
      </c>
    </row>
    <row r="2615" spans="1:31" x14ac:dyDescent="0.25">
      <c r="A2615" t="s">
        <v>12486</v>
      </c>
      <c r="B2615" t="s">
        <v>12487</v>
      </c>
      <c r="C2615" t="s">
        <v>9242</v>
      </c>
      <c r="D2615" t="s">
        <v>2687</v>
      </c>
      <c r="E2615" t="s">
        <v>190</v>
      </c>
      <c r="F2615" t="s">
        <v>9243</v>
      </c>
      <c r="G2615" t="s">
        <v>498</v>
      </c>
      <c r="H2615" t="s">
        <v>1039</v>
      </c>
      <c r="J2615" s="2">
        <v>1090850</v>
      </c>
      <c r="K2615" s="2">
        <v>5000</v>
      </c>
      <c r="L2615" s="2">
        <v>21</v>
      </c>
      <c r="M2615" s="2">
        <v>0</v>
      </c>
      <c r="N2615" t="s">
        <v>1038</v>
      </c>
      <c r="O2615" t="s">
        <v>1039</v>
      </c>
      <c r="P2615" t="s">
        <v>304</v>
      </c>
      <c r="Q2615" t="s">
        <v>72</v>
      </c>
      <c r="S2615" t="s">
        <v>12484</v>
      </c>
      <c r="U2615" t="s">
        <v>45</v>
      </c>
      <c r="V2615" t="s">
        <v>46</v>
      </c>
      <c r="W2615" t="s">
        <v>1038</v>
      </c>
      <c r="X2615" t="s">
        <v>1039</v>
      </c>
      <c r="Y2615" t="s">
        <v>72</v>
      </c>
      <c r="Z2615" t="s">
        <v>68</v>
      </c>
      <c r="AA2615" t="s">
        <v>49</v>
      </c>
      <c r="AB2615" t="s">
        <v>50</v>
      </c>
      <c r="AC2615" s="2">
        <v>1028299.8</v>
      </c>
      <c r="AD2615" t="s">
        <v>12488</v>
      </c>
      <c r="AE2615" t="s">
        <v>52</v>
      </c>
    </row>
    <row r="2616" spans="1:31" x14ac:dyDescent="0.25">
      <c r="A2616" t="s">
        <v>12489</v>
      </c>
      <c r="B2616" t="s">
        <v>12490</v>
      </c>
      <c r="C2616" t="s">
        <v>9242</v>
      </c>
      <c r="D2616" t="s">
        <v>299</v>
      </c>
      <c r="E2616" t="s">
        <v>167</v>
      </c>
      <c r="F2616" t="s">
        <v>9243</v>
      </c>
      <c r="G2616" t="s">
        <v>299</v>
      </c>
      <c r="H2616" t="s">
        <v>1444</v>
      </c>
      <c r="J2616" s="2">
        <v>218170</v>
      </c>
      <c r="K2616" s="2">
        <v>1000</v>
      </c>
      <c r="L2616" s="2">
        <v>21</v>
      </c>
      <c r="M2616" s="2">
        <v>0</v>
      </c>
      <c r="N2616" t="s">
        <v>67</v>
      </c>
      <c r="O2616" t="s">
        <v>68</v>
      </c>
      <c r="P2616" t="s">
        <v>304</v>
      </c>
      <c r="Q2616" t="s">
        <v>72</v>
      </c>
      <c r="S2616" t="s">
        <v>12484</v>
      </c>
      <c r="U2616" t="s">
        <v>45</v>
      </c>
      <c r="V2616" t="s">
        <v>46</v>
      </c>
      <c r="W2616" t="s">
        <v>67</v>
      </c>
      <c r="X2616" t="s">
        <v>68</v>
      </c>
      <c r="Y2616" t="s">
        <v>72</v>
      </c>
      <c r="Z2616" t="s">
        <v>68</v>
      </c>
      <c r="AA2616" t="s">
        <v>49</v>
      </c>
      <c r="AB2616" t="s">
        <v>50</v>
      </c>
      <c r="AC2616" s="2">
        <v>179317.92</v>
      </c>
      <c r="AD2616" t="s">
        <v>12491</v>
      </c>
      <c r="AE2616" t="s">
        <v>52</v>
      </c>
    </row>
    <row r="2617" spans="1:31" x14ac:dyDescent="0.25">
      <c r="A2617" t="s">
        <v>12492</v>
      </c>
      <c r="B2617" t="s">
        <v>12493</v>
      </c>
      <c r="C2617" t="s">
        <v>9242</v>
      </c>
      <c r="D2617" t="s">
        <v>888</v>
      </c>
      <c r="E2617" t="s">
        <v>167</v>
      </c>
      <c r="F2617" t="s">
        <v>9243</v>
      </c>
      <c r="G2617" t="s">
        <v>888</v>
      </c>
      <c r="H2617" t="s">
        <v>1444</v>
      </c>
      <c r="J2617" s="2">
        <v>1090850</v>
      </c>
      <c r="K2617" s="2">
        <v>5000</v>
      </c>
      <c r="L2617" s="2">
        <v>21</v>
      </c>
      <c r="M2617" s="2">
        <v>0</v>
      </c>
      <c r="N2617" t="s">
        <v>1064</v>
      </c>
      <c r="O2617" t="s">
        <v>1062</v>
      </c>
      <c r="P2617" t="s">
        <v>304</v>
      </c>
      <c r="Q2617" t="s">
        <v>72</v>
      </c>
      <c r="S2617" t="s">
        <v>12484</v>
      </c>
      <c r="U2617" t="s">
        <v>45</v>
      </c>
      <c r="V2617" t="s">
        <v>46</v>
      </c>
      <c r="W2617" t="s">
        <v>1064</v>
      </c>
      <c r="X2617" t="s">
        <v>1062</v>
      </c>
      <c r="Y2617" t="s">
        <v>72</v>
      </c>
      <c r="Z2617" t="s">
        <v>68</v>
      </c>
      <c r="AA2617" t="s">
        <v>49</v>
      </c>
      <c r="AB2617" t="s">
        <v>50</v>
      </c>
      <c r="AC2617" s="2">
        <v>961915.14</v>
      </c>
      <c r="AD2617" t="s">
        <v>12494</v>
      </c>
      <c r="AE2617" t="s">
        <v>52</v>
      </c>
    </row>
    <row r="2618" spans="1:31" x14ac:dyDescent="0.25">
      <c r="A2618" t="s">
        <v>12495</v>
      </c>
      <c r="B2618" t="s">
        <v>12496</v>
      </c>
      <c r="C2618" t="s">
        <v>9242</v>
      </c>
      <c r="D2618" t="s">
        <v>297</v>
      </c>
      <c r="E2618" t="s">
        <v>167</v>
      </c>
      <c r="F2618" t="s">
        <v>9243</v>
      </c>
      <c r="G2618" t="s">
        <v>297</v>
      </c>
      <c r="H2618" t="s">
        <v>87</v>
      </c>
      <c r="J2618" s="2">
        <v>1090850</v>
      </c>
      <c r="K2618" s="2">
        <v>5000</v>
      </c>
      <c r="L2618" s="2">
        <v>21</v>
      </c>
      <c r="M2618" s="2">
        <v>0</v>
      </c>
      <c r="N2618" t="s">
        <v>89</v>
      </c>
      <c r="O2618" t="s">
        <v>90</v>
      </c>
      <c r="P2618" t="s">
        <v>304</v>
      </c>
      <c r="Q2618" t="s">
        <v>72</v>
      </c>
      <c r="S2618" t="s">
        <v>12484</v>
      </c>
      <c r="U2618" t="s">
        <v>45</v>
      </c>
      <c r="V2618" t="s">
        <v>46</v>
      </c>
      <c r="W2618" t="s">
        <v>89</v>
      </c>
      <c r="X2618" t="s">
        <v>90</v>
      </c>
      <c r="Y2618" t="s">
        <v>92</v>
      </c>
      <c r="Z2618" t="s">
        <v>94</v>
      </c>
      <c r="AA2618" t="s">
        <v>49</v>
      </c>
      <c r="AB2618" t="s">
        <v>50</v>
      </c>
      <c r="AC2618" s="2">
        <v>1037437.5</v>
      </c>
      <c r="AD2618" t="s">
        <v>12497</v>
      </c>
      <c r="AE2618" t="s">
        <v>115</v>
      </c>
    </row>
    <row r="2619" spans="1:31" hidden="1" x14ac:dyDescent="0.25">
      <c r="I2619" t="s">
        <v>12499</v>
      </c>
      <c r="J2619" s="2">
        <v>174536</v>
      </c>
      <c r="K2619" s="2">
        <v>800</v>
      </c>
      <c r="L2619" s="2">
        <v>15</v>
      </c>
      <c r="M2619" s="2">
        <v>0</v>
      </c>
      <c r="S2619" t="s">
        <v>10317</v>
      </c>
      <c r="U2619" t="s">
        <v>45</v>
      </c>
      <c r="V2619" t="s">
        <v>46</v>
      </c>
      <c r="W2619" t="s">
        <v>5938</v>
      </c>
      <c r="X2619" t="s">
        <v>5939</v>
      </c>
      <c r="Y2619" t="s">
        <v>85</v>
      </c>
      <c r="Z2619" t="s">
        <v>86</v>
      </c>
      <c r="AA2619" t="s">
        <v>49</v>
      </c>
      <c r="AC2619" s="2"/>
    </row>
    <row r="2620" spans="1:31" x14ac:dyDescent="0.25">
      <c r="A2620" t="s">
        <v>12500</v>
      </c>
      <c r="B2620" t="s">
        <v>12501</v>
      </c>
      <c r="C2620" t="s">
        <v>9242</v>
      </c>
      <c r="D2620" t="s">
        <v>299</v>
      </c>
      <c r="E2620" t="s">
        <v>167</v>
      </c>
      <c r="F2620" t="s">
        <v>9243</v>
      </c>
      <c r="G2620" t="s">
        <v>344</v>
      </c>
      <c r="H2620" t="s">
        <v>87</v>
      </c>
      <c r="J2620" s="2">
        <v>1090850</v>
      </c>
      <c r="K2620" s="2">
        <v>5000</v>
      </c>
      <c r="L2620" s="2">
        <v>21</v>
      </c>
      <c r="M2620" s="2">
        <v>0</v>
      </c>
      <c r="N2620" t="s">
        <v>89</v>
      </c>
      <c r="O2620" t="s">
        <v>90</v>
      </c>
      <c r="P2620" t="s">
        <v>304</v>
      </c>
      <c r="Q2620" t="s">
        <v>72</v>
      </c>
      <c r="S2620" t="s">
        <v>12484</v>
      </c>
      <c r="U2620" t="s">
        <v>45</v>
      </c>
      <c r="V2620" t="s">
        <v>46</v>
      </c>
      <c r="W2620" t="s">
        <v>89</v>
      </c>
      <c r="X2620" t="s">
        <v>90</v>
      </c>
      <c r="Y2620" t="s">
        <v>92</v>
      </c>
      <c r="Z2620" t="s">
        <v>94</v>
      </c>
      <c r="AA2620" t="s">
        <v>49</v>
      </c>
      <c r="AB2620" t="s">
        <v>50</v>
      </c>
      <c r="AC2620" s="2">
        <v>978709.56</v>
      </c>
      <c r="AD2620" t="s">
        <v>12502</v>
      </c>
      <c r="AE2620" t="s">
        <v>52</v>
      </c>
    </row>
    <row r="2621" spans="1:31" x14ac:dyDescent="0.25">
      <c r="A2621" t="s">
        <v>12503</v>
      </c>
      <c r="B2621" t="s">
        <v>12504</v>
      </c>
      <c r="C2621" t="s">
        <v>12504</v>
      </c>
      <c r="D2621" t="s">
        <v>35</v>
      </c>
      <c r="E2621" t="s">
        <v>36</v>
      </c>
      <c r="F2621" t="s">
        <v>12505</v>
      </c>
      <c r="G2621" t="s">
        <v>847</v>
      </c>
      <c r="H2621" t="s">
        <v>10141</v>
      </c>
      <c r="I2621" t="s">
        <v>12506</v>
      </c>
      <c r="J2621" s="2">
        <v>763595</v>
      </c>
      <c r="K2621" s="2">
        <v>3500</v>
      </c>
      <c r="L2621" s="2">
        <v>30</v>
      </c>
      <c r="M2621" s="2">
        <v>0</v>
      </c>
      <c r="N2621" t="s">
        <v>7936</v>
      </c>
      <c r="O2621" t="s">
        <v>7935</v>
      </c>
      <c r="P2621" t="s">
        <v>10093</v>
      </c>
      <c r="Q2621" t="s">
        <v>10094</v>
      </c>
      <c r="S2621" t="s">
        <v>12507</v>
      </c>
      <c r="U2621" t="s">
        <v>45</v>
      </c>
      <c r="V2621" t="s">
        <v>46</v>
      </c>
      <c r="W2621" t="s">
        <v>7936</v>
      </c>
      <c r="X2621" t="s">
        <v>7935</v>
      </c>
      <c r="Y2621" t="s">
        <v>7938</v>
      </c>
      <c r="Z2621" t="s">
        <v>7939</v>
      </c>
      <c r="AA2621" t="s">
        <v>49</v>
      </c>
      <c r="AB2621" t="s">
        <v>50</v>
      </c>
      <c r="AC2621" s="2">
        <v>761248.59</v>
      </c>
      <c r="AD2621" t="s">
        <v>12508</v>
      </c>
      <c r="AE2621" t="s">
        <v>52</v>
      </c>
    </row>
    <row r="2622" spans="1:31" hidden="1" x14ac:dyDescent="0.25">
      <c r="A2622" t="s">
        <v>12509</v>
      </c>
      <c r="B2622" t="s">
        <v>12510</v>
      </c>
      <c r="C2622" t="s">
        <v>12510</v>
      </c>
      <c r="F2622" t="s">
        <v>10564</v>
      </c>
      <c r="H2622" t="s">
        <v>10576</v>
      </c>
      <c r="I2622" t="s">
        <v>10566</v>
      </c>
      <c r="J2622" s="2">
        <v>218170</v>
      </c>
      <c r="K2622" s="2">
        <v>1000</v>
      </c>
      <c r="L2622" s="2">
        <v>30</v>
      </c>
      <c r="M2622" s="2">
        <v>0</v>
      </c>
      <c r="N2622" t="s">
        <v>10572</v>
      </c>
      <c r="O2622" t="s">
        <v>10571</v>
      </c>
      <c r="P2622" t="s">
        <v>10093</v>
      </c>
      <c r="Q2622" t="s">
        <v>10094</v>
      </c>
      <c r="S2622" t="s">
        <v>10568</v>
      </c>
      <c r="U2622" t="s">
        <v>45</v>
      </c>
      <c r="V2622" t="s">
        <v>46</v>
      </c>
      <c r="W2622" t="s">
        <v>10572</v>
      </c>
      <c r="X2622" t="s">
        <v>10571</v>
      </c>
      <c r="Y2622" t="s">
        <v>10167</v>
      </c>
      <c r="Z2622" t="s">
        <v>10168</v>
      </c>
      <c r="AA2622" t="s">
        <v>49</v>
      </c>
      <c r="AB2622" t="s">
        <v>50</v>
      </c>
      <c r="AC2622" s="2">
        <v>218170</v>
      </c>
      <c r="AD2622" t="s">
        <v>64</v>
      </c>
    </row>
    <row r="2623" spans="1:31" hidden="1" x14ac:dyDescent="0.25">
      <c r="A2623" t="s">
        <v>12511</v>
      </c>
      <c r="B2623" t="s">
        <v>12512</v>
      </c>
      <c r="C2623" t="s">
        <v>12512</v>
      </c>
      <c r="F2623" t="s">
        <v>10316</v>
      </c>
      <c r="H2623" t="s">
        <v>81</v>
      </c>
      <c r="J2623" s="2">
        <v>1000</v>
      </c>
      <c r="K2623" s="2">
        <v>0</v>
      </c>
      <c r="L2623" s="2">
        <v>1</v>
      </c>
      <c r="M2623" s="2">
        <v>0</v>
      </c>
      <c r="N2623" t="s">
        <v>80</v>
      </c>
      <c r="O2623" t="s">
        <v>81</v>
      </c>
      <c r="P2623" t="s">
        <v>557</v>
      </c>
      <c r="Q2623" t="s">
        <v>558</v>
      </c>
      <c r="U2623" t="s">
        <v>45</v>
      </c>
      <c r="V2623" t="s">
        <v>46</v>
      </c>
      <c r="W2623" t="s">
        <v>5938</v>
      </c>
      <c r="X2623" t="s">
        <v>5939</v>
      </c>
      <c r="Y2623" t="s">
        <v>85</v>
      </c>
      <c r="Z2623" t="s">
        <v>86</v>
      </c>
      <c r="AA2623" t="s">
        <v>49</v>
      </c>
      <c r="AB2623" t="s">
        <v>50</v>
      </c>
      <c r="AC2623" s="2">
        <v>1000</v>
      </c>
      <c r="AD2623" t="s">
        <v>64</v>
      </c>
    </row>
    <row r="2624" spans="1:31" x14ac:dyDescent="0.25">
      <c r="A2624" t="s">
        <v>12513</v>
      </c>
      <c r="B2624" t="s">
        <v>12514</v>
      </c>
      <c r="C2624" t="s">
        <v>9242</v>
      </c>
      <c r="D2624" t="s">
        <v>299</v>
      </c>
      <c r="E2624" t="s">
        <v>167</v>
      </c>
      <c r="F2624" t="s">
        <v>9243</v>
      </c>
      <c r="G2624" t="s">
        <v>888</v>
      </c>
      <c r="H2624" t="s">
        <v>1062</v>
      </c>
      <c r="J2624" s="2">
        <v>1174350</v>
      </c>
      <c r="K2624" s="2">
        <v>5000</v>
      </c>
      <c r="L2624" s="2">
        <v>21</v>
      </c>
      <c r="M2624" s="2">
        <v>0</v>
      </c>
      <c r="N2624" t="s">
        <v>1064</v>
      </c>
      <c r="O2624" t="s">
        <v>1062</v>
      </c>
      <c r="P2624" t="s">
        <v>304</v>
      </c>
      <c r="Q2624" t="s">
        <v>72</v>
      </c>
      <c r="S2624" t="s">
        <v>12484</v>
      </c>
      <c r="U2624" t="s">
        <v>45</v>
      </c>
      <c r="V2624" t="s">
        <v>46</v>
      </c>
      <c r="W2624" t="s">
        <v>1064</v>
      </c>
      <c r="X2624" t="s">
        <v>1062</v>
      </c>
      <c r="Y2624" t="s">
        <v>72</v>
      </c>
      <c r="Z2624" t="s">
        <v>68</v>
      </c>
      <c r="AA2624" t="s">
        <v>49</v>
      </c>
      <c r="AB2624" t="s">
        <v>50</v>
      </c>
      <c r="AC2624" s="2">
        <v>1136748.75</v>
      </c>
      <c r="AD2624" t="s">
        <v>12515</v>
      </c>
      <c r="AE2624" t="s">
        <v>52</v>
      </c>
    </row>
    <row r="2625" spans="1:31" x14ac:dyDescent="0.25">
      <c r="A2625" t="s">
        <v>12516</v>
      </c>
      <c r="B2625" t="s">
        <v>12517</v>
      </c>
      <c r="C2625" t="s">
        <v>9242</v>
      </c>
      <c r="D2625" t="s">
        <v>569</v>
      </c>
      <c r="E2625" t="s">
        <v>570</v>
      </c>
      <c r="F2625" t="s">
        <v>9243</v>
      </c>
      <c r="G2625" t="s">
        <v>569</v>
      </c>
      <c r="H2625" t="s">
        <v>10888</v>
      </c>
      <c r="J2625" s="2">
        <v>1090850</v>
      </c>
      <c r="K2625" s="2">
        <v>5000</v>
      </c>
      <c r="L2625" s="2">
        <v>21</v>
      </c>
      <c r="M2625" s="2">
        <v>0</v>
      </c>
      <c r="N2625" t="s">
        <v>302</v>
      </c>
      <c r="O2625" t="s">
        <v>303</v>
      </c>
      <c r="P2625" t="s">
        <v>304</v>
      </c>
      <c r="Q2625" t="s">
        <v>72</v>
      </c>
      <c r="S2625" t="s">
        <v>12484</v>
      </c>
      <c r="U2625" t="s">
        <v>45</v>
      </c>
      <c r="V2625" t="s">
        <v>46</v>
      </c>
      <c r="W2625" t="s">
        <v>302</v>
      </c>
      <c r="X2625" t="s">
        <v>303</v>
      </c>
      <c r="Y2625" t="s">
        <v>72</v>
      </c>
      <c r="Z2625" t="s">
        <v>68</v>
      </c>
      <c r="AA2625" t="s">
        <v>49</v>
      </c>
      <c r="AB2625" t="s">
        <v>50</v>
      </c>
      <c r="AC2625" s="2">
        <v>1042290.37</v>
      </c>
      <c r="AD2625" t="s">
        <v>12518</v>
      </c>
      <c r="AE2625" t="s">
        <v>52</v>
      </c>
    </row>
    <row r="2626" spans="1:31" x14ac:dyDescent="0.25">
      <c r="A2626" t="s">
        <v>12519</v>
      </c>
      <c r="B2626" t="s">
        <v>12520</v>
      </c>
      <c r="C2626" t="s">
        <v>9242</v>
      </c>
      <c r="D2626" t="s">
        <v>299</v>
      </c>
      <c r="E2626" t="s">
        <v>167</v>
      </c>
      <c r="F2626" t="s">
        <v>9243</v>
      </c>
      <c r="G2626" t="s">
        <v>189</v>
      </c>
      <c r="H2626" t="s">
        <v>1095</v>
      </c>
      <c r="J2626" s="2">
        <v>1090850</v>
      </c>
      <c r="K2626" s="2">
        <v>5000</v>
      </c>
      <c r="L2626" s="2">
        <v>21</v>
      </c>
      <c r="M2626" s="2">
        <v>0</v>
      </c>
      <c r="N2626" t="s">
        <v>1038</v>
      </c>
      <c r="O2626" t="s">
        <v>1039</v>
      </c>
      <c r="P2626" t="s">
        <v>304</v>
      </c>
      <c r="Q2626" t="s">
        <v>72</v>
      </c>
      <c r="S2626" t="s">
        <v>12484</v>
      </c>
      <c r="U2626" t="s">
        <v>45</v>
      </c>
      <c r="V2626" t="s">
        <v>46</v>
      </c>
      <c r="W2626" t="s">
        <v>1038</v>
      </c>
      <c r="X2626" t="s">
        <v>1039</v>
      </c>
      <c r="Y2626" t="s">
        <v>72</v>
      </c>
      <c r="Z2626" t="s">
        <v>68</v>
      </c>
      <c r="AA2626" t="s">
        <v>49</v>
      </c>
      <c r="AB2626" t="s">
        <v>50</v>
      </c>
      <c r="AC2626" s="2">
        <v>1063897.75</v>
      </c>
      <c r="AD2626" t="s">
        <v>12521</v>
      </c>
      <c r="AE2626" t="s">
        <v>52</v>
      </c>
    </row>
    <row r="2627" spans="1:31" x14ac:dyDescent="0.25">
      <c r="A2627" t="s">
        <v>12522</v>
      </c>
      <c r="B2627" t="s">
        <v>12523</v>
      </c>
      <c r="C2627" t="s">
        <v>9242</v>
      </c>
      <c r="D2627" t="s">
        <v>299</v>
      </c>
      <c r="E2627" t="s">
        <v>167</v>
      </c>
      <c r="F2627" t="s">
        <v>9243</v>
      </c>
      <c r="G2627" t="s">
        <v>649</v>
      </c>
      <c r="H2627" t="s">
        <v>443</v>
      </c>
      <c r="J2627" s="2">
        <v>174536</v>
      </c>
      <c r="K2627" s="2">
        <v>800</v>
      </c>
      <c r="L2627" s="2">
        <v>21</v>
      </c>
      <c r="M2627" s="2">
        <v>0</v>
      </c>
      <c r="N2627" t="s">
        <v>445</v>
      </c>
      <c r="O2627" t="s">
        <v>446</v>
      </c>
      <c r="P2627" t="s">
        <v>304</v>
      </c>
      <c r="Q2627" t="s">
        <v>72</v>
      </c>
      <c r="S2627" t="s">
        <v>12484</v>
      </c>
      <c r="U2627" t="s">
        <v>45</v>
      </c>
      <c r="V2627" t="s">
        <v>46</v>
      </c>
      <c r="W2627" t="s">
        <v>445</v>
      </c>
      <c r="X2627" t="s">
        <v>446</v>
      </c>
      <c r="Y2627" t="s">
        <v>72</v>
      </c>
      <c r="Z2627" t="s">
        <v>68</v>
      </c>
      <c r="AA2627" t="s">
        <v>49</v>
      </c>
      <c r="AB2627" t="s">
        <v>50</v>
      </c>
      <c r="AC2627" s="2">
        <v>108137.25</v>
      </c>
      <c r="AD2627" t="s">
        <v>12524</v>
      </c>
      <c r="AE2627" t="s">
        <v>52</v>
      </c>
    </row>
    <row r="2628" spans="1:31" x14ac:dyDescent="0.25">
      <c r="A2628" t="s">
        <v>12525</v>
      </c>
      <c r="B2628" t="s">
        <v>12526</v>
      </c>
      <c r="C2628" t="s">
        <v>9242</v>
      </c>
      <c r="D2628" t="s">
        <v>299</v>
      </c>
      <c r="E2628" t="s">
        <v>167</v>
      </c>
      <c r="F2628" t="s">
        <v>9243</v>
      </c>
      <c r="G2628" t="s">
        <v>1633</v>
      </c>
      <c r="H2628" t="s">
        <v>443</v>
      </c>
      <c r="J2628" s="2">
        <v>218170</v>
      </c>
      <c r="K2628" s="2">
        <v>1000</v>
      </c>
      <c r="L2628" s="2">
        <v>21</v>
      </c>
      <c r="M2628" s="2">
        <v>0</v>
      </c>
      <c r="N2628" t="s">
        <v>445</v>
      </c>
      <c r="O2628" t="s">
        <v>446</v>
      </c>
      <c r="P2628" t="s">
        <v>304</v>
      </c>
      <c r="Q2628" t="s">
        <v>72</v>
      </c>
      <c r="S2628" t="s">
        <v>12484</v>
      </c>
      <c r="U2628" t="s">
        <v>45</v>
      </c>
      <c r="V2628" t="s">
        <v>46</v>
      </c>
      <c r="W2628" t="s">
        <v>445</v>
      </c>
      <c r="X2628" t="s">
        <v>446</v>
      </c>
      <c r="Y2628" t="s">
        <v>72</v>
      </c>
      <c r="Z2628" t="s">
        <v>68</v>
      </c>
      <c r="AA2628" t="s">
        <v>49</v>
      </c>
      <c r="AB2628" t="s">
        <v>50</v>
      </c>
      <c r="AC2628" s="2">
        <v>218170</v>
      </c>
      <c r="AD2628" t="s">
        <v>64</v>
      </c>
    </row>
    <row r="2629" spans="1:31" x14ac:dyDescent="0.25">
      <c r="A2629" t="s">
        <v>12527</v>
      </c>
      <c r="B2629" t="s">
        <v>12528</v>
      </c>
      <c r="C2629" t="s">
        <v>9242</v>
      </c>
      <c r="D2629" t="s">
        <v>569</v>
      </c>
      <c r="E2629" t="s">
        <v>570</v>
      </c>
      <c r="F2629" t="s">
        <v>9243</v>
      </c>
      <c r="G2629" t="s">
        <v>569</v>
      </c>
      <c r="H2629" t="s">
        <v>1095</v>
      </c>
      <c r="J2629" s="2">
        <v>436340</v>
      </c>
      <c r="K2629" s="2">
        <v>2000</v>
      </c>
      <c r="L2629" s="2">
        <v>21</v>
      </c>
      <c r="M2629" s="2">
        <v>0</v>
      </c>
      <c r="N2629" t="s">
        <v>1038</v>
      </c>
      <c r="O2629" t="s">
        <v>1039</v>
      </c>
      <c r="P2629" t="s">
        <v>304</v>
      </c>
      <c r="Q2629" t="s">
        <v>72</v>
      </c>
      <c r="S2629" t="s">
        <v>12484</v>
      </c>
      <c r="U2629" t="s">
        <v>45</v>
      </c>
      <c r="V2629" t="s">
        <v>46</v>
      </c>
      <c r="W2629" t="s">
        <v>1038</v>
      </c>
      <c r="X2629" t="s">
        <v>1039</v>
      </c>
      <c r="Y2629" t="s">
        <v>72</v>
      </c>
      <c r="Z2629" t="s">
        <v>68</v>
      </c>
      <c r="AA2629" t="s">
        <v>49</v>
      </c>
      <c r="AB2629" t="s">
        <v>50</v>
      </c>
      <c r="AC2629" s="2">
        <v>285288.15000000002</v>
      </c>
      <c r="AD2629" t="s">
        <v>12529</v>
      </c>
      <c r="AE2629" t="s">
        <v>52</v>
      </c>
    </row>
    <row r="2630" spans="1:31" x14ac:dyDescent="0.25">
      <c r="A2630" t="s">
        <v>12530</v>
      </c>
      <c r="B2630" t="s">
        <v>12531</v>
      </c>
      <c r="C2630" t="s">
        <v>9242</v>
      </c>
      <c r="D2630" t="s">
        <v>569</v>
      </c>
      <c r="E2630" t="s">
        <v>570</v>
      </c>
      <c r="F2630" t="s">
        <v>9243</v>
      </c>
      <c r="G2630" t="s">
        <v>297</v>
      </c>
      <c r="H2630" t="s">
        <v>5003</v>
      </c>
      <c r="J2630" s="2">
        <v>1090850</v>
      </c>
      <c r="K2630" s="2">
        <v>5000</v>
      </c>
      <c r="L2630" s="2">
        <v>21</v>
      </c>
      <c r="M2630" s="2">
        <v>0</v>
      </c>
      <c r="N2630" t="s">
        <v>5005</v>
      </c>
      <c r="O2630" t="s">
        <v>5006</v>
      </c>
      <c r="P2630" t="s">
        <v>304</v>
      </c>
      <c r="Q2630" t="s">
        <v>72</v>
      </c>
      <c r="S2630" t="s">
        <v>12484</v>
      </c>
      <c r="U2630" t="s">
        <v>45</v>
      </c>
      <c r="V2630" t="s">
        <v>46</v>
      </c>
      <c r="W2630" t="s">
        <v>5005</v>
      </c>
      <c r="X2630" t="s">
        <v>5006</v>
      </c>
      <c r="Y2630" t="s">
        <v>137</v>
      </c>
      <c r="Z2630" t="s">
        <v>717</v>
      </c>
      <c r="AA2630" t="s">
        <v>49</v>
      </c>
      <c r="AB2630" t="s">
        <v>50</v>
      </c>
      <c r="AC2630" s="2">
        <v>996533.31</v>
      </c>
      <c r="AD2630" t="s">
        <v>12532</v>
      </c>
      <c r="AE2630" t="s">
        <v>52</v>
      </c>
    </row>
    <row r="2631" spans="1:31" x14ac:dyDescent="0.25">
      <c r="A2631" t="s">
        <v>12533</v>
      </c>
      <c r="B2631" t="s">
        <v>12534</v>
      </c>
      <c r="C2631" t="s">
        <v>12534</v>
      </c>
      <c r="D2631" t="s">
        <v>35</v>
      </c>
      <c r="E2631" t="s">
        <v>36</v>
      </c>
      <c r="F2631" t="s">
        <v>12535</v>
      </c>
      <c r="G2631" t="s">
        <v>35</v>
      </c>
      <c r="H2631" t="s">
        <v>8479</v>
      </c>
      <c r="I2631" t="s">
        <v>12536</v>
      </c>
      <c r="J2631" s="2">
        <v>218170</v>
      </c>
      <c r="K2631" s="2">
        <v>1000</v>
      </c>
      <c r="L2631" s="2">
        <v>21</v>
      </c>
      <c r="M2631" s="2">
        <v>0</v>
      </c>
      <c r="N2631" t="s">
        <v>1119</v>
      </c>
      <c r="O2631" t="s">
        <v>1120</v>
      </c>
      <c r="P2631" t="s">
        <v>256</v>
      </c>
      <c r="Q2631" t="s">
        <v>255</v>
      </c>
      <c r="S2631" t="s">
        <v>12537</v>
      </c>
      <c r="U2631" t="s">
        <v>45</v>
      </c>
      <c r="V2631" t="s">
        <v>46</v>
      </c>
      <c r="W2631" t="s">
        <v>254</v>
      </c>
      <c r="X2631" t="s">
        <v>255</v>
      </c>
      <c r="Y2631" t="s">
        <v>137</v>
      </c>
      <c r="Z2631" t="s">
        <v>717</v>
      </c>
      <c r="AA2631" t="s">
        <v>49</v>
      </c>
      <c r="AB2631" t="s">
        <v>50</v>
      </c>
      <c r="AC2631" s="2">
        <v>133120.87</v>
      </c>
      <c r="AD2631" t="s">
        <v>12538</v>
      </c>
      <c r="AE2631" t="s">
        <v>52</v>
      </c>
    </row>
    <row r="2632" spans="1:31" x14ac:dyDescent="0.25">
      <c r="A2632" t="s">
        <v>12539</v>
      </c>
      <c r="B2632" t="s">
        <v>12540</v>
      </c>
      <c r="C2632" t="s">
        <v>12540</v>
      </c>
      <c r="D2632" t="s">
        <v>847</v>
      </c>
      <c r="E2632" t="s">
        <v>848</v>
      </c>
      <c r="F2632" t="s">
        <v>12541</v>
      </c>
      <c r="G2632" t="s">
        <v>847</v>
      </c>
      <c r="H2632" t="s">
        <v>12542</v>
      </c>
      <c r="I2632" t="s">
        <v>12543</v>
      </c>
      <c r="J2632" s="2">
        <v>218170</v>
      </c>
      <c r="K2632" s="2">
        <v>1000</v>
      </c>
      <c r="L2632" s="2">
        <v>30</v>
      </c>
      <c r="M2632" s="2">
        <v>0</v>
      </c>
      <c r="N2632" t="s">
        <v>2571</v>
      </c>
      <c r="O2632" t="s">
        <v>2572</v>
      </c>
      <c r="P2632" t="s">
        <v>6987</v>
      </c>
      <c r="Q2632" t="s">
        <v>6988</v>
      </c>
      <c r="S2632" t="s">
        <v>12544</v>
      </c>
      <c r="U2632" t="s">
        <v>45</v>
      </c>
      <c r="V2632" t="s">
        <v>46</v>
      </c>
      <c r="W2632" t="s">
        <v>2571</v>
      </c>
      <c r="X2632" t="s">
        <v>2572</v>
      </c>
      <c r="Y2632" t="s">
        <v>2399</v>
      </c>
      <c r="Z2632" t="s">
        <v>2400</v>
      </c>
      <c r="AA2632" t="s">
        <v>49</v>
      </c>
      <c r="AB2632" t="s">
        <v>50</v>
      </c>
      <c r="AC2632" s="2">
        <v>164771.91</v>
      </c>
      <c r="AD2632" t="s">
        <v>12545</v>
      </c>
      <c r="AE2632" t="s">
        <v>115</v>
      </c>
    </row>
    <row r="2633" spans="1:31" x14ac:dyDescent="0.25">
      <c r="A2633" t="s">
        <v>12546</v>
      </c>
      <c r="B2633" t="s">
        <v>12547</v>
      </c>
      <c r="C2633" t="s">
        <v>12547</v>
      </c>
      <c r="D2633" t="s">
        <v>76</v>
      </c>
      <c r="E2633" t="s">
        <v>77</v>
      </c>
      <c r="F2633" t="s">
        <v>12548</v>
      </c>
      <c r="G2633" t="s">
        <v>2754</v>
      </c>
      <c r="H2633" t="s">
        <v>1335</v>
      </c>
      <c r="I2633" t="s">
        <v>12549</v>
      </c>
      <c r="J2633" s="2">
        <v>174536</v>
      </c>
      <c r="K2633" s="2">
        <v>800</v>
      </c>
      <c r="L2633" s="2">
        <v>15</v>
      </c>
      <c r="M2633" s="2">
        <v>0</v>
      </c>
      <c r="N2633" t="s">
        <v>254</v>
      </c>
      <c r="O2633" t="s">
        <v>255</v>
      </c>
      <c r="P2633" t="s">
        <v>4374</v>
      </c>
      <c r="Q2633" t="s">
        <v>4375</v>
      </c>
      <c r="S2633" t="s">
        <v>12550</v>
      </c>
      <c r="U2633" t="s">
        <v>45</v>
      </c>
      <c r="V2633" t="s">
        <v>46</v>
      </c>
      <c r="W2633" t="s">
        <v>254</v>
      </c>
      <c r="X2633" t="s">
        <v>255</v>
      </c>
      <c r="Y2633" t="s">
        <v>258</v>
      </c>
      <c r="Z2633" t="s">
        <v>259</v>
      </c>
      <c r="AA2633" t="s">
        <v>49</v>
      </c>
      <c r="AB2633" t="s">
        <v>50</v>
      </c>
      <c r="AC2633" s="2">
        <v>174536</v>
      </c>
      <c r="AD2633" t="s">
        <v>64</v>
      </c>
    </row>
    <row r="2634" spans="1:31" x14ac:dyDescent="0.25">
      <c r="A2634" t="s">
        <v>12551</v>
      </c>
      <c r="B2634" t="s">
        <v>12552</v>
      </c>
      <c r="C2634" t="s">
        <v>12552</v>
      </c>
      <c r="D2634" t="s">
        <v>125</v>
      </c>
      <c r="E2634" t="s">
        <v>126</v>
      </c>
      <c r="F2634" t="s">
        <v>12553</v>
      </c>
      <c r="G2634" t="s">
        <v>125</v>
      </c>
      <c r="H2634" t="s">
        <v>79</v>
      </c>
      <c r="I2634" t="s">
        <v>12554</v>
      </c>
      <c r="J2634" s="2">
        <v>1854445</v>
      </c>
      <c r="K2634" s="2">
        <v>8500</v>
      </c>
      <c r="L2634" s="2">
        <v>25</v>
      </c>
      <c r="M2634" s="2">
        <v>0</v>
      </c>
      <c r="N2634" t="s">
        <v>495</v>
      </c>
      <c r="O2634" t="s">
        <v>79</v>
      </c>
      <c r="P2634" t="s">
        <v>3487</v>
      </c>
      <c r="Q2634" t="s">
        <v>3488</v>
      </c>
      <c r="S2634" t="s">
        <v>12555</v>
      </c>
      <c r="U2634" t="s">
        <v>45</v>
      </c>
      <c r="V2634" t="s">
        <v>46</v>
      </c>
      <c r="W2634" t="s">
        <v>12556</v>
      </c>
      <c r="X2634" t="s">
        <v>12557</v>
      </c>
      <c r="Y2634" t="s">
        <v>79</v>
      </c>
      <c r="Z2634" t="s">
        <v>94</v>
      </c>
      <c r="AA2634" t="s">
        <v>49</v>
      </c>
      <c r="AB2634" t="s">
        <v>50</v>
      </c>
      <c r="AC2634" s="2">
        <v>938852.57</v>
      </c>
      <c r="AD2634" t="s">
        <v>12558</v>
      </c>
      <c r="AE2634" t="s">
        <v>52</v>
      </c>
    </row>
    <row r="2635" spans="1:31" x14ac:dyDescent="0.25">
      <c r="A2635" t="s">
        <v>12559</v>
      </c>
      <c r="B2635" t="s">
        <v>12560</v>
      </c>
      <c r="C2635" t="s">
        <v>12560</v>
      </c>
      <c r="D2635" t="s">
        <v>35</v>
      </c>
      <c r="E2635" t="s">
        <v>36</v>
      </c>
      <c r="F2635" t="s">
        <v>12561</v>
      </c>
      <c r="G2635" t="s">
        <v>35</v>
      </c>
      <c r="H2635" t="s">
        <v>12562</v>
      </c>
      <c r="I2635" t="s">
        <v>12563</v>
      </c>
      <c r="J2635" s="2">
        <v>123650</v>
      </c>
      <c r="K2635" s="2">
        <v>500</v>
      </c>
      <c r="L2635" s="2">
        <v>7</v>
      </c>
      <c r="M2635" s="2">
        <v>0</v>
      </c>
      <c r="N2635" t="s">
        <v>5938</v>
      </c>
      <c r="O2635" t="s">
        <v>5939</v>
      </c>
      <c r="P2635" t="s">
        <v>1363</v>
      </c>
      <c r="Q2635" t="s">
        <v>1364</v>
      </c>
      <c r="S2635" t="s">
        <v>12564</v>
      </c>
      <c r="U2635" t="s">
        <v>45</v>
      </c>
      <c r="V2635" t="s">
        <v>46</v>
      </c>
      <c r="W2635" t="s">
        <v>5938</v>
      </c>
      <c r="X2635" t="s">
        <v>5939</v>
      </c>
      <c r="Y2635" t="s">
        <v>85</v>
      </c>
      <c r="Z2635" t="s">
        <v>86</v>
      </c>
      <c r="AA2635" t="s">
        <v>49</v>
      </c>
      <c r="AB2635" t="s">
        <v>50</v>
      </c>
      <c r="AC2635" s="2">
        <v>40699.51</v>
      </c>
      <c r="AD2635" t="s">
        <v>12565</v>
      </c>
      <c r="AE2635" t="s">
        <v>52</v>
      </c>
    </row>
    <row r="2636" spans="1:31" x14ac:dyDescent="0.25">
      <c r="A2636" t="s">
        <v>12566</v>
      </c>
      <c r="B2636" t="s">
        <v>12567</v>
      </c>
      <c r="C2636" t="s">
        <v>12567</v>
      </c>
      <c r="D2636" t="s">
        <v>125</v>
      </c>
      <c r="E2636" t="s">
        <v>126</v>
      </c>
      <c r="F2636" t="s">
        <v>12568</v>
      </c>
      <c r="G2636" t="s">
        <v>847</v>
      </c>
      <c r="H2636" t="s">
        <v>139</v>
      </c>
      <c r="I2636" t="s">
        <v>12569</v>
      </c>
      <c r="J2636" s="2">
        <v>218170</v>
      </c>
      <c r="K2636" s="2">
        <v>1000</v>
      </c>
      <c r="L2636" s="2">
        <v>30</v>
      </c>
      <c r="M2636" s="2">
        <v>0</v>
      </c>
      <c r="N2636" t="s">
        <v>8853</v>
      </c>
      <c r="O2636" t="s">
        <v>139</v>
      </c>
      <c r="P2636" t="s">
        <v>941</v>
      </c>
      <c r="Q2636" t="s">
        <v>139</v>
      </c>
      <c r="S2636" t="s">
        <v>12570</v>
      </c>
      <c r="U2636" t="s">
        <v>45</v>
      </c>
      <c r="V2636" t="s">
        <v>46</v>
      </c>
      <c r="W2636" t="s">
        <v>8853</v>
      </c>
      <c r="X2636" t="s">
        <v>139</v>
      </c>
      <c r="Y2636" t="s">
        <v>139</v>
      </c>
      <c r="Z2636" t="s">
        <v>140</v>
      </c>
      <c r="AA2636" t="s">
        <v>49</v>
      </c>
      <c r="AB2636" t="s">
        <v>50</v>
      </c>
      <c r="AC2636" s="2">
        <v>116485.28</v>
      </c>
      <c r="AD2636" t="s">
        <v>12571</v>
      </c>
      <c r="AE2636" t="s">
        <v>52</v>
      </c>
    </row>
    <row r="2637" spans="1:31" x14ac:dyDescent="0.25">
      <c r="A2637" t="s">
        <v>12572</v>
      </c>
      <c r="B2637" t="s">
        <v>12573</v>
      </c>
      <c r="C2637" t="s">
        <v>12573</v>
      </c>
      <c r="D2637" t="s">
        <v>35</v>
      </c>
      <c r="E2637" t="s">
        <v>36</v>
      </c>
      <c r="F2637" t="s">
        <v>12574</v>
      </c>
      <c r="G2637" t="s">
        <v>847</v>
      </c>
      <c r="H2637" t="s">
        <v>9937</v>
      </c>
      <c r="I2637" t="s">
        <v>12575</v>
      </c>
      <c r="J2637" s="2">
        <v>1222843</v>
      </c>
      <c r="K2637" s="2">
        <v>5030</v>
      </c>
      <c r="L2637" s="2">
        <v>30</v>
      </c>
      <c r="M2637" s="2">
        <v>0</v>
      </c>
      <c r="N2637" t="s">
        <v>1362</v>
      </c>
      <c r="O2637" t="s">
        <v>1360</v>
      </c>
      <c r="P2637" t="s">
        <v>1212</v>
      </c>
      <c r="Q2637" t="s">
        <v>1213</v>
      </c>
      <c r="S2637" t="s">
        <v>12576</v>
      </c>
      <c r="U2637" t="s">
        <v>45</v>
      </c>
      <c r="V2637" t="s">
        <v>46</v>
      </c>
      <c r="W2637" t="s">
        <v>1362</v>
      </c>
      <c r="X2637" t="s">
        <v>1360</v>
      </c>
      <c r="Y2637" t="s">
        <v>1215</v>
      </c>
      <c r="Z2637" t="s">
        <v>1216</v>
      </c>
      <c r="AA2637" t="s">
        <v>49</v>
      </c>
      <c r="AB2637" t="s">
        <v>50</v>
      </c>
      <c r="AC2637" s="2">
        <v>728566.45</v>
      </c>
      <c r="AD2637" t="s">
        <v>12577</v>
      </c>
      <c r="AE2637" t="s">
        <v>52</v>
      </c>
    </row>
    <row r="2638" spans="1:31" x14ac:dyDescent="0.25">
      <c r="A2638" t="s">
        <v>12578</v>
      </c>
      <c r="B2638" t="s">
        <v>12579</v>
      </c>
      <c r="C2638" t="s">
        <v>12579</v>
      </c>
      <c r="D2638" t="s">
        <v>178</v>
      </c>
      <c r="E2638" t="s">
        <v>179</v>
      </c>
      <c r="F2638" t="s">
        <v>12580</v>
      </c>
      <c r="G2638" t="s">
        <v>1467</v>
      </c>
      <c r="H2638" t="s">
        <v>139</v>
      </c>
      <c r="I2638" t="s">
        <v>12581</v>
      </c>
      <c r="J2638" s="2">
        <v>479974</v>
      </c>
      <c r="K2638" s="2">
        <v>2200</v>
      </c>
      <c r="L2638" s="2">
        <v>30</v>
      </c>
      <c r="M2638" s="2">
        <v>0</v>
      </c>
      <c r="N2638" t="s">
        <v>8853</v>
      </c>
      <c r="O2638" t="s">
        <v>139</v>
      </c>
      <c r="P2638" t="s">
        <v>941</v>
      </c>
      <c r="Q2638" t="s">
        <v>139</v>
      </c>
      <c r="S2638" t="s">
        <v>12582</v>
      </c>
      <c r="U2638" t="s">
        <v>45</v>
      </c>
      <c r="V2638" t="s">
        <v>46</v>
      </c>
      <c r="W2638" t="s">
        <v>8853</v>
      </c>
      <c r="X2638" t="s">
        <v>139</v>
      </c>
      <c r="Y2638" t="s">
        <v>139</v>
      </c>
      <c r="Z2638" t="s">
        <v>140</v>
      </c>
      <c r="AA2638" t="s">
        <v>49</v>
      </c>
      <c r="AB2638" t="s">
        <v>50</v>
      </c>
      <c r="AC2638" s="2">
        <v>247029.01</v>
      </c>
      <c r="AD2638" t="s">
        <v>12583</v>
      </c>
      <c r="AE2638" t="s">
        <v>115</v>
      </c>
    </row>
    <row r="2639" spans="1:31" x14ac:dyDescent="0.25">
      <c r="A2639" t="s">
        <v>12584</v>
      </c>
      <c r="B2639" t="s">
        <v>12585</v>
      </c>
      <c r="C2639" t="s">
        <v>12585</v>
      </c>
      <c r="D2639" t="s">
        <v>649</v>
      </c>
      <c r="E2639" t="s">
        <v>871</v>
      </c>
      <c r="F2639" t="s">
        <v>12586</v>
      </c>
      <c r="G2639" t="s">
        <v>819</v>
      </c>
      <c r="H2639" t="s">
        <v>12587</v>
      </c>
      <c r="I2639" t="s">
        <v>12588</v>
      </c>
      <c r="J2639" s="2">
        <v>335940</v>
      </c>
      <c r="K2639" s="2">
        <v>1500</v>
      </c>
      <c r="L2639" s="2">
        <v>15</v>
      </c>
      <c r="M2639" s="2">
        <v>0</v>
      </c>
      <c r="N2639" t="s">
        <v>6239</v>
      </c>
      <c r="O2639" t="s">
        <v>6240</v>
      </c>
      <c r="P2639" t="s">
        <v>82</v>
      </c>
      <c r="Q2639" t="s">
        <v>83</v>
      </c>
      <c r="S2639" t="s">
        <v>12589</v>
      </c>
      <c r="U2639" t="s">
        <v>45</v>
      </c>
      <c r="V2639" t="s">
        <v>46</v>
      </c>
      <c r="W2639" t="s">
        <v>6239</v>
      </c>
      <c r="X2639" t="s">
        <v>6240</v>
      </c>
      <c r="Y2639" t="s">
        <v>85</v>
      </c>
      <c r="Z2639" t="s">
        <v>86</v>
      </c>
      <c r="AA2639" t="s">
        <v>49</v>
      </c>
      <c r="AB2639" t="s">
        <v>50</v>
      </c>
      <c r="AC2639" s="2">
        <v>314289.46000000002</v>
      </c>
      <c r="AD2639" t="s">
        <v>12590</v>
      </c>
    </row>
    <row r="2640" spans="1:31" hidden="1" x14ac:dyDescent="0.25">
      <c r="A2640" t="s">
        <v>12591</v>
      </c>
      <c r="B2640" t="s">
        <v>12592</v>
      </c>
      <c r="C2640" t="s">
        <v>12592</v>
      </c>
      <c r="F2640" t="s">
        <v>12593</v>
      </c>
      <c r="H2640" t="s">
        <v>12594</v>
      </c>
      <c r="I2640" t="s">
        <v>12595</v>
      </c>
      <c r="J2640" s="2">
        <v>1000</v>
      </c>
      <c r="K2640" s="2">
        <v>0</v>
      </c>
      <c r="L2640" s="2">
        <v>1</v>
      </c>
      <c r="M2640" s="2">
        <v>0</v>
      </c>
      <c r="N2640" t="s">
        <v>445</v>
      </c>
      <c r="O2640" t="s">
        <v>446</v>
      </c>
      <c r="P2640" t="s">
        <v>304</v>
      </c>
      <c r="Q2640" t="s">
        <v>72</v>
      </c>
      <c r="S2640" t="s">
        <v>12596</v>
      </c>
      <c r="U2640" t="s">
        <v>45</v>
      </c>
      <c r="V2640" t="s">
        <v>46</v>
      </c>
      <c r="W2640" t="s">
        <v>445</v>
      </c>
      <c r="X2640" t="s">
        <v>446</v>
      </c>
      <c r="Y2640" t="s">
        <v>72</v>
      </c>
      <c r="Z2640" t="s">
        <v>68</v>
      </c>
      <c r="AA2640" t="s">
        <v>49</v>
      </c>
      <c r="AB2640" t="s">
        <v>50</v>
      </c>
      <c r="AC2640" s="2">
        <v>1000</v>
      </c>
      <c r="AD2640" t="s">
        <v>64</v>
      </c>
    </row>
    <row r="2641" spans="1:31" x14ac:dyDescent="0.25">
      <c r="A2641" t="s">
        <v>12597</v>
      </c>
      <c r="B2641" t="s">
        <v>12598</v>
      </c>
      <c r="C2641" t="s">
        <v>12598</v>
      </c>
      <c r="D2641" t="s">
        <v>125</v>
      </c>
      <c r="E2641" t="s">
        <v>126</v>
      </c>
      <c r="F2641" t="s">
        <v>12599</v>
      </c>
      <c r="G2641" t="s">
        <v>125</v>
      </c>
      <c r="H2641" t="s">
        <v>1335</v>
      </c>
      <c r="I2641" t="s">
        <v>12600</v>
      </c>
      <c r="J2641" s="2">
        <v>2181700</v>
      </c>
      <c r="K2641" s="2">
        <v>10000</v>
      </c>
      <c r="L2641" s="2">
        <v>30</v>
      </c>
      <c r="M2641" s="2">
        <v>0</v>
      </c>
      <c r="N2641" t="s">
        <v>254</v>
      </c>
      <c r="O2641" t="s">
        <v>255</v>
      </c>
      <c r="P2641" t="s">
        <v>256</v>
      </c>
      <c r="Q2641" t="s">
        <v>255</v>
      </c>
      <c r="S2641" t="s">
        <v>12601</v>
      </c>
      <c r="U2641" t="s">
        <v>45</v>
      </c>
      <c r="V2641" t="s">
        <v>46</v>
      </c>
      <c r="W2641" t="s">
        <v>254</v>
      </c>
      <c r="X2641" t="s">
        <v>255</v>
      </c>
      <c r="Y2641" t="s">
        <v>258</v>
      </c>
      <c r="Z2641" t="s">
        <v>259</v>
      </c>
      <c r="AA2641" t="s">
        <v>49</v>
      </c>
      <c r="AB2641" t="s">
        <v>50</v>
      </c>
      <c r="AC2641" s="2">
        <v>1455879.02</v>
      </c>
      <c r="AD2641" t="s">
        <v>12602</v>
      </c>
      <c r="AE2641" t="s">
        <v>52</v>
      </c>
    </row>
    <row r="2642" spans="1:31" x14ac:dyDescent="0.25">
      <c r="A2642" t="s">
        <v>12603</v>
      </c>
      <c r="B2642" t="s">
        <v>12604</v>
      </c>
      <c r="C2642" t="s">
        <v>12604</v>
      </c>
      <c r="D2642" t="s">
        <v>498</v>
      </c>
      <c r="E2642" t="s">
        <v>190</v>
      </c>
      <c r="F2642" t="s">
        <v>12605</v>
      </c>
      <c r="G2642" t="s">
        <v>555</v>
      </c>
      <c r="H2642" t="s">
        <v>12606</v>
      </c>
      <c r="I2642" t="s">
        <v>12607</v>
      </c>
      <c r="J2642" s="2">
        <v>109085</v>
      </c>
      <c r="K2642" s="2">
        <v>500</v>
      </c>
      <c r="L2642" s="2">
        <v>2</v>
      </c>
      <c r="M2642" s="2">
        <v>0</v>
      </c>
      <c r="N2642" t="s">
        <v>7423</v>
      </c>
      <c r="O2642" t="s">
        <v>7424</v>
      </c>
      <c r="P2642" t="s">
        <v>3487</v>
      </c>
      <c r="Q2642" t="s">
        <v>3488</v>
      </c>
      <c r="S2642" t="s">
        <v>12608</v>
      </c>
      <c r="U2642" t="s">
        <v>45</v>
      </c>
      <c r="V2642" t="s">
        <v>46</v>
      </c>
      <c r="W2642" t="s">
        <v>7423</v>
      </c>
      <c r="X2642" t="s">
        <v>7424</v>
      </c>
      <c r="Y2642" t="s">
        <v>79</v>
      </c>
      <c r="Z2642" t="s">
        <v>94</v>
      </c>
      <c r="AA2642" t="s">
        <v>49</v>
      </c>
      <c r="AB2642" t="s">
        <v>50</v>
      </c>
      <c r="AC2642" s="2">
        <v>109085</v>
      </c>
      <c r="AD2642" t="s">
        <v>64</v>
      </c>
    </row>
    <row r="2643" spans="1:31" x14ac:dyDescent="0.25">
      <c r="A2643" t="s">
        <v>12609</v>
      </c>
      <c r="B2643" t="s">
        <v>12610</v>
      </c>
      <c r="C2643" t="s">
        <v>12610</v>
      </c>
      <c r="D2643" t="s">
        <v>125</v>
      </c>
      <c r="E2643" t="s">
        <v>126</v>
      </c>
      <c r="F2643" t="s">
        <v>12611</v>
      </c>
      <c r="G2643" t="s">
        <v>125</v>
      </c>
      <c r="H2643" t="s">
        <v>9937</v>
      </c>
      <c r="I2643" t="s">
        <v>12612</v>
      </c>
      <c r="J2643" s="2">
        <v>458157</v>
      </c>
      <c r="K2643" s="2">
        <v>2100</v>
      </c>
      <c r="L2643" s="2">
        <v>21</v>
      </c>
      <c r="M2643" s="2">
        <v>0</v>
      </c>
      <c r="N2643" t="s">
        <v>1362</v>
      </c>
      <c r="O2643" t="s">
        <v>1360</v>
      </c>
      <c r="P2643" t="s">
        <v>1212</v>
      </c>
      <c r="Q2643" t="s">
        <v>1213</v>
      </c>
      <c r="S2643" t="s">
        <v>12613</v>
      </c>
      <c r="U2643" t="s">
        <v>45</v>
      </c>
      <c r="V2643" t="s">
        <v>46</v>
      </c>
      <c r="W2643" t="s">
        <v>1362</v>
      </c>
      <c r="X2643" t="s">
        <v>1360</v>
      </c>
      <c r="Y2643" t="s">
        <v>1215</v>
      </c>
      <c r="Z2643" t="s">
        <v>1216</v>
      </c>
      <c r="AA2643" t="s">
        <v>49</v>
      </c>
      <c r="AB2643" t="s">
        <v>50</v>
      </c>
      <c r="AC2643" s="2">
        <v>35638.959999999999</v>
      </c>
      <c r="AD2643" t="s">
        <v>12614</v>
      </c>
      <c r="AE2643" t="s">
        <v>52</v>
      </c>
    </row>
    <row r="2644" spans="1:31" x14ac:dyDescent="0.25">
      <c r="A2644" t="s">
        <v>12615</v>
      </c>
      <c r="B2644" t="s">
        <v>12616</v>
      </c>
      <c r="C2644" t="s">
        <v>12616</v>
      </c>
      <c r="D2644" t="s">
        <v>153</v>
      </c>
      <c r="E2644" t="s">
        <v>272</v>
      </c>
      <c r="F2644" t="s">
        <v>12617</v>
      </c>
      <c r="G2644" t="s">
        <v>555</v>
      </c>
      <c r="H2644" t="s">
        <v>139</v>
      </c>
      <c r="I2644" t="s">
        <v>12618</v>
      </c>
      <c r="J2644" s="2">
        <v>218170</v>
      </c>
      <c r="K2644" s="2">
        <v>1000</v>
      </c>
      <c r="L2644" s="2">
        <v>30</v>
      </c>
      <c r="M2644" s="2">
        <v>0</v>
      </c>
      <c r="N2644" t="s">
        <v>8853</v>
      </c>
      <c r="O2644" t="s">
        <v>139</v>
      </c>
      <c r="P2644" t="s">
        <v>941</v>
      </c>
      <c r="Q2644" t="s">
        <v>139</v>
      </c>
      <c r="S2644" t="s">
        <v>12619</v>
      </c>
      <c r="U2644" t="s">
        <v>45</v>
      </c>
      <c r="V2644" t="s">
        <v>46</v>
      </c>
      <c r="W2644" t="s">
        <v>8853</v>
      </c>
      <c r="X2644" t="s">
        <v>139</v>
      </c>
      <c r="Y2644" t="s">
        <v>139</v>
      </c>
      <c r="Z2644" t="s">
        <v>140</v>
      </c>
      <c r="AA2644" t="s">
        <v>49</v>
      </c>
      <c r="AB2644" t="s">
        <v>50</v>
      </c>
      <c r="AC2644" s="2">
        <v>170817.3</v>
      </c>
      <c r="AD2644" t="s">
        <v>12620</v>
      </c>
      <c r="AE2644" t="s">
        <v>52</v>
      </c>
    </row>
    <row r="2645" spans="1:31" x14ac:dyDescent="0.25">
      <c r="A2645" t="s">
        <v>12621</v>
      </c>
      <c r="B2645" t="s">
        <v>12622</v>
      </c>
      <c r="C2645" t="s">
        <v>12622</v>
      </c>
      <c r="D2645" t="s">
        <v>5597</v>
      </c>
      <c r="E2645" t="s">
        <v>224</v>
      </c>
      <c r="F2645" t="s">
        <v>12623</v>
      </c>
      <c r="H2645" t="s">
        <v>1335</v>
      </c>
      <c r="I2645" t="s">
        <v>12624</v>
      </c>
      <c r="J2645" s="2">
        <v>174536</v>
      </c>
      <c r="K2645" s="2">
        <v>800</v>
      </c>
      <c r="L2645" s="2">
        <v>21</v>
      </c>
      <c r="M2645" s="2">
        <v>0</v>
      </c>
      <c r="N2645" t="s">
        <v>254</v>
      </c>
      <c r="O2645" t="s">
        <v>255</v>
      </c>
      <c r="P2645" t="s">
        <v>4374</v>
      </c>
      <c r="Q2645" t="s">
        <v>4375</v>
      </c>
      <c r="S2645" t="s">
        <v>12625</v>
      </c>
      <c r="U2645" t="s">
        <v>45</v>
      </c>
      <c r="V2645" t="s">
        <v>46</v>
      </c>
      <c r="W2645" t="s">
        <v>254</v>
      </c>
      <c r="X2645" t="s">
        <v>255</v>
      </c>
      <c r="Y2645" t="s">
        <v>258</v>
      </c>
      <c r="Z2645" t="s">
        <v>259</v>
      </c>
      <c r="AA2645" t="s">
        <v>49</v>
      </c>
      <c r="AB2645" t="s">
        <v>50</v>
      </c>
      <c r="AC2645" s="2">
        <v>152269.59</v>
      </c>
      <c r="AD2645" t="s">
        <v>12626</v>
      </c>
      <c r="AE2645" t="s">
        <v>115</v>
      </c>
    </row>
    <row r="2646" spans="1:31" x14ac:dyDescent="0.25">
      <c r="A2646" t="s">
        <v>12627</v>
      </c>
      <c r="B2646" t="s">
        <v>12628</v>
      </c>
      <c r="C2646" t="s">
        <v>12628</v>
      </c>
      <c r="D2646" t="s">
        <v>125</v>
      </c>
      <c r="E2646" t="s">
        <v>126</v>
      </c>
      <c r="F2646" t="s">
        <v>12629</v>
      </c>
      <c r="G2646" t="s">
        <v>125</v>
      </c>
      <c r="H2646" t="s">
        <v>5202</v>
      </c>
      <c r="I2646" t="s">
        <v>12630</v>
      </c>
      <c r="J2646" s="2">
        <v>568543</v>
      </c>
      <c r="K2646" s="2">
        <v>2299</v>
      </c>
      <c r="L2646" s="2">
        <v>21</v>
      </c>
      <c r="M2646" s="2">
        <v>0</v>
      </c>
      <c r="N2646" t="s">
        <v>5201</v>
      </c>
      <c r="O2646" t="s">
        <v>5202</v>
      </c>
      <c r="P2646" t="s">
        <v>1212</v>
      </c>
      <c r="Q2646" t="s">
        <v>1213</v>
      </c>
      <c r="S2646" t="s">
        <v>12631</v>
      </c>
      <c r="U2646" t="s">
        <v>45</v>
      </c>
      <c r="V2646" t="s">
        <v>46</v>
      </c>
      <c r="W2646" t="s">
        <v>5201</v>
      </c>
      <c r="X2646" t="s">
        <v>5202</v>
      </c>
      <c r="Y2646" t="s">
        <v>4854</v>
      </c>
      <c r="Z2646" t="s">
        <v>72</v>
      </c>
      <c r="AA2646" t="s">
        <v>49</v>
      </c>
      <c r="AB2646" t="s">
        <v>50</v>
      </c>
      <c r="AC2646" s="2">
        <v>-85580.69</v>
      </c>
      <c r="AD2646" t="s">
        <v>12632</v>
      </c>
      <c r="AE2646" t="s">
        <v>52</v>
      </c>
    </row>
    <row r="2647" spans="1:31" x14ac:dyDescent="0.25">
      <c r="A2647" t="s">
        <v>12633</v>
      </c>
      <c r="B2647" t="s">
        <v>12634</v>
      </c>
      <c r="C2647" t="s">
        <v>12634</v>
      </c>
      <c r="D2647" t="s">
        <v>125</v>
      </c>
      <c r="E2647" t="s">
        <v>126</v>
      </c>
      <c r="F2647" t="s">
        <v>12635</v>
      </c>
      <c r="G2647" t="s">
        <v>125</v>
      </c>
      <c r="H2647" t="s">
        <v>11588</v>
      </c>
      <c r="I2647" t="s">
        <v>12636</v>
      </c>
      <c r="J2647" s="2">
        <v>436340</v>
      </c>
      <c r="K2647" s="2">
        <v>2000</v>
      </c>
      <c r="L2647" s="2">
        <v>21</v>
      </c>
      <c r="M2647" s="2">
        <v>0</v>
      </c>
      <c r="N2647" t="s">
        <v>11590</v>
      </c>
      <c r="O2647" t="s">
        <v>11588</v>
      </c>
      <c r="P2647" t="s">
        <v>1212</v>
      </c>
      <c r="Q2647" t="s">
        <v>1213</v>
      </c>
      <c r="S2647" t="s">
        <v>12637</v>
      </c>
      <c r="U2647" t="s">
        <v>45</v>
      </c>
      <c r="V2647" t="s">
        <v>46</v>
      </c>
      <c r="W2647" t="s">
        <v>11590</v>
      </c>
      <c r="X2647" t="s">
        <v>11588</v>
      </c>
      <c r="Y2647" t="s">
        <v>1215</v>
      </c>
      <c r="Z2647" t="s">
        <v>1216</v>
      </c>
      <c r="AA2647" t="s">
        <v>49</v>
      </c>
      <c r="AB2647" t="s">
        <v>50</v>
      </c>
      <c r="AC2647" s="2">
        <v>64060.22</v>
      </c>
      <c r="AD2647" t="s">
        <v>12638</v>
      </c>
      <c r="AE2647" t="s">
        <v>115</v>
      </c>
    </row>
    <row r="2648" spans="1:31" x14ac:dyDescent="0.25">
      <c r="A2648" t="s">
        <v>12639</v>
      </c>
      <c r="B2648" t="s">
        <v>12640</v>
      </c>
      <c r="C2648" t="s">
        <v>12640</v>
      </c>
      <c r="D2648" t="s">
        <v>35</v>
      </c>
      <c r="E2648" t="s">
        <v>36</v>
      </c>
      <c r="F2648" t="s">
        <v>12641</v>
      </c>
      <c r="G2648" t="s">
        <v>35</v>
      </c>
      <c r="H2648" t="s">
        <v>2002</v>
      </c>
      <c r="I2648" t="s">
        <v>12642</v>
      </c>
      <c r="J2648" s="2">
        <v>618250</v>
      </c>
      <c r="K2648" s="2">
        <v>2500</v>
      </c>
      <c r="L2648" s="2">
        <v>15</v>
      </c>
      <c r="M2648" s="2">
        <v>0</v>
      </c>
      <c r="N2648" t="s">
        <v>101</v>
      </c>
      <c r="O2648" t="s">
        <v>102</v>
      </c>
      <c r="P2648" t="s">
        <v>103</v>
      </c>
      <c r="Q2648" t="s">
        <v>104</v>
      </c>
      <c r="S2648" t="s">
        <v>12643</v>
      </c>
      <c r="U2648" t="s">
        <v>45</v>
      </c>
      <c r="V2648" t="s">
        <v>46</v>
      </c>
      <c r="W2648" t="s">
        <v>101</v>
      </c>
      <c r="X2648" t="s">
        <v>102</v>
      </c>
      <c r="Y2648" t="s">
        <v>106</v>
      </c>
      <c r="Z2648" t="s">
        <v>107</v>
      </c>
      <c r="AA2648" t="s">
        <v>49</v>
      </c>
      <c r="AB2648" t="s">
        <v>50</v>
      </c>
      <c r="AC2648" s="2">
        <v>124582.39</v>
      </c>
      <c r="AD2648" t="s">
        <v>12644</v>
      </c>
      <c r="AE2648" t="s">
        <v>52</v>
      </c>
    </row>
    <row r="2649" spans="1:31" x14ac:dyDescent="0.25">
      <c r="A2649" t="s">
        <v>12645</v>
      </c>
      <c r="B2649" t="s">
        <v>12646</v>
      </c>
      <c r="C2649" t="s">
        <v>12418</v>
      </c>
      <c r="D2649" t="s">
        <v>35</v>
      </c>
      <c r="E2649" t="s">
        <v>36</v>
      </c>
      <c r="F2649" t="s">
        <v>12419</v>
      </c>
      <c r="G2649" t="s">
        <v>35</v>
      </c>
      <c r="H2649" t="s">
        <v>2394</v>
      </c>
      <c r="I2649" t="s">
        <v>12647</v>
      </c>
      <c r="J2649" s="2">
        <v>218170</v>
      </c>
      <c r="K2649" s="2">
        <v>1000</v>
      </c>
      <c r="L2649" s="2">
        <v>30</v>
      </c>
      <c r="M2649" s="2">
        <v>0</v>
      </c>
      <c r="N2649" t="s">
        <v>12421</v>
      </c>
      <c r="O2649" t="s">
        <v>12422</v>
      </c>
      <c r="P2649" t="s">
        <v>941</v>
      </c>
      <c r="Q2649" t="s">
        <v>139</v>
      </c>
      <c r="S2649" t="s">
        <v>12648</v>
      </c>
      <c r="U2649" t="s">
        <v>45</v>
      </c>
      <c r="V2649" t="s">
        <v>46</v>
      </c>
      <c r="W2649" t="s">
        <v>12421</v>
      </c>
      <c r="X2649" t="s">
        <v>12422</v>
      </c>
      <c r="Y2649" t="s">
        <v>9657</v>
      </c>
      <c r="Z2649" t="s">
        <v>9658</v>
      </c>
      <c r="AA2649" t="s">
        <v>49</v>
      </c>
      <c r="AB2649" t="s">
        <v>50</v>
      </c>
      <c r="AC2649" s="2">
        <v>206248.1</v>
      </c>
      <c r="AD2649" t="s">
        <v>12649</v>
      </c>
      <c r="AE2649" t="s">
        <v>52</v>
      </c>
    </row>
    <row r="2650" spans="1:31" x14ac:dyDescent="0.25">
      <c r="A2650" t="s">
        <v>12650</v>
      </c>
      <c r="B2650" t="s">
        <v>12651</v>
      </c>
      <c r="C2650" t="s">
        <v>12651</v>
      </c>
      <c r="D2650" t="s">
        <v>35</v>
      </c>
      <c r="E2650" t="s">
        <v>36</v>
      </c>
      <c r="F2650" t="s">
        <v>12652</v>
      </c>
      <c r="G2650" t="s">
        <v>153</v>
      </c>
      <c r="H2650" t="s">
        <v>2394</v>
      </c>
      <c r="I2650" t="s">
        <v>12420</v>
      </c>
      <c r="J2650" s="2">
        <v>218170</v>
      </c>
      <c r="K2650" s="2">
        <v>1000</v>
      </c>
      <c r="L2650" s="2">
        <v>30</v>
      </c>
      <c r="M2650" s="2">
        <v>0</v>
      </c>
      <c r="N2650" t="s">
        <v>12421</v>
      </c>
      <c r="O2650" t="s">
        <v>12422</v>
      </c>
      <c r="P2650" t="s">
        <v>941</v>
      </c>
      <c r="Q2650" t="s">
        <v>139</v>
      </c>
      <c r="S2650" t="s">
        <v>12653</v>
      </c>
      <c r="U2650" t="s">
        <v>45</v>
      </c>
      <c r="V2650" t="s">
        <v>46</v>
      </c>
      <c r="W2650" t="s">
        <v>12421</v>
      </c>
      <c r="X2650" t="s">
        <v>12422</v>
      </c>
      <c r="Y2650" t="s">
        <v>9657</v>
      </c>
      <c r="Z2650" t="s">
        <v>9658</v>
      </c>
      <c r="AA2650" t="s">
        <v>49</v>
      </c>
      <c r="AB2650" t="s">
        <v>50</v>
      </c>
      <c r="AC2650" s="2">
        <v>207740.43</v>
      </c>
      <c r="AD2650" t="s">
        <v>12654</v>
      </c>
      <c r="AE2650" t="s">
        <v>52</v>
      </c>
    </row>
    <row r="2651" spans="1:31" x14ac:dyDescent="0.25">
      <c r="A2651" t="s">
        <v>12655</v>
      </c>
      <c r="B2651" t="s">
        <v>12656</v>
      </c>
      <c r="C2651" t="s">
        <v>12656</v>
      </c>
      <c r="D2651" t="s">
        <v>35</v>
      </c>
      <c r="E2651" t="s">
        <v>36</v>
      </c>
      <c r="F2651" t="s">
        <v>12657</v>
      </c>
      <c r="G2651" t="s">
        <v>847</v>
      </c>
      <c r="H2651" t="s">
        <v>11588</v>
      </c>
      <c r="I2651" t="s">
        <v>12658</v>
      </c>
      <c r="J2651" s="2">
        <v>436340</v>
      </c>
      <c r="K2651" s="2">
        <v>2000</v>
      </c>
      <c r="L2651" s="2">
        <v>21</v>
      </c>
      <c r="M2651" s="2">
        <v>0</v>
      </c>
      <c r="N2651" t="s">
        <v>11590</v>
      </c>
      <c r="O2651" t="s">
        <v>11588</v>
      </c>
      <c r="P2651" t="s">
        <v>1212</v>
      </c>
      <c r="Q2651" t="s">
        <v>1213</v>
      </c>
      <c r="S2651" t="s">
        <v>12659</v>
      </c>
      <c r="U2651" t="s">
        <v>45</v>
      </c>
      <c r="V2651" t="s">
        <v>46</v>
      </c>
      <c r="W2651" t="s">
        <v>11590</v>
      </c>
      <c r="X2651" t="s">
        <v>11588</v>
      </c>
      <c r="Y2651" t="s">
        <v>1215</v>
      </c>
      <c r="Z2651" t="s">
        <v>1216</v>
      </c>
      <c r="AA2651" t="s">
        <v>49</v>
      </c>
      <c r="AB2651" t="s">
        <v>50</v>
      </c>
      <c r="AC2651" s="2">
        <v>292819.62</v>
      </c>
      <c r="AD2651" t="s">
        <v>12660</v>
      </c>
      <c r="AE2651" t="s">
        <v>115</v>
      </c>
    </row>
    <row r="2652" spans="1:31" x14ac:dyDescent="0.25">
      <c r="A2652" t="s">
        <v>12661</v>
      </c>
      <c r="B2652" t="s">
        <v>12662</v>
      </c>
      <c r="C2652" t="s">
        <v>12662</v>
      </c>
      <c r="D2652" t="s">
        <v>125</v>
      </c>
      <c r="E2652" t="s">
        <v>126</v>
      </c>
      <c r="F2652" t="s">
        <v>12663</v>
      </c>
      <c r="G2652" t="s">
        <v>125</v>
      </c>
      <c r="H2652" t="s">
        <v>12664</v>
      </c>
      <c r="I2652" t="s">
        <v>12665</v>
      </c>
      <c r="J2652" s="2">
        <v>636303</v>
      </c>
      <c r="K2652" s="2">
        <v>2573</v>
      </c>
      <c r="L2652" s="2">
        <v>21</v>
      </c>
      <c r="M2652" s="2">
        <v>0</v>
      </c>
      <c r="N2652" t="s">
        <v>11590</v>
      </c>
      <c r="O2652" t="s">
        <v>11588</v>
      </c>
      <c r="P2652" t="s">
        <v>1212</v>
      </c>
      <c r="Q2652" t="s">
        <v>1213</v>
      </c>
      <c r="S2652" t="s">
        <v>12666</v>
      </c>
      <c r="U2652" t="s">
        <v>45</v>
      </c>
      <c r="V2652" t="s">
        <v>46</v>
      </c>
      <c r="W2652" t="s">
        <v>11590</v>
      </c>
      <c r="X2652" t="s">
        <v>11588</v>
      </c>
      <c r="Y2652" t="s">
        <v>1215</v>
      </c>
      <c r="Z2652" t="s">
        <v>1216</v>
      </c>
      <c r="AA2652" t="s">
        <v>49</v>
      </c>
      <c r="AB2652" t="s">
        <v>50</v>
      </c>
      <c r="AC2652" s="2">
        <v>248832.24</v>
      </c>
      <c r="AD2652" t="s">
        <v>12667</v>
      </c>
      <c r="AE2652" t="s">
        <v>115</v>
      </c>
    </row>
    <row r="2653" spans="1:31" hidden="1" x14ac:dyDescent="0.25">
      <c r="A2653" t="s">
        <v>12668</v>
      </c>
      <c r="B2653" t="s">
        <v>12669</v>
      </c>
      <c r="C2653" t="s">
        <v>12670</v>
      </c>
      <c r="F2653" t="s">
        <v>12671</v>
      </c>
      <c r="H2653" t="s">
        <v>1444</v>
      </c>
      <c r="J2653" s="2">
        <v>0</v>
      </c>
      <c r="K2653" s="2">
        <v>0</v>
      </c>
      <c r="L2653" s="2">
        <v>30</v>
      </c>
      <c r="M2653" s="2">
        <v>0</v>
      </c>
      <c r="N2653" t="s">
        <v>1064</v>
      </c>
      <c r="O2653" t="s">
        <v>1062</v>
      </c>
      <c r="P2653" t="s">
        <v>304</v>
      </c>
      <c r="Q2653" t="s">
        <v>72</v>
      </c>
      <c r="S2653" t="s">
        <v>12672</v>
      </c>
      <c r="U2653" t="s">
        <v>45</v>
      </c>
      <c r="V2653" t="s">
        <v>46</v>
      </c>
      <c r="W2653" t="s">
        <v>1064</v>
      </c>
      <c r="X2653" t="s">
        <v>1062</v>
      </c>
      <c r="Y2653" t="s">
        <v>72</v>
      </c>
      <c r="Z2653" t="s">
        <v>68</v>
      </c>
      <c r="AA2653" t="s">
        <v>49</v>
      </c>
      <c r="AB2653" t="s">
        <v>50</v>
      </c>
      <c r="AC2653" s="2">
        <v>0</v>
      </c>
      <c r="AD2653" t="s">
        <v>64</v>
      </c>
    </row>
    <row r="2654" spans="1:31" x14ac:dyDescent="0.25">
      <c r="A2654" t="s">
        <v>12673</v>
      </c>
      <c r="B2654" t="s">
        <v>12674</v>
      </c>
      <c r="C2654" t="s">
        <v>12674</v>
      </c>
      <c r="D2654" t="s">
        <v>35</v>
      </c>
      <c r="E2654" t="s">
        <v>36</v>
      </c>
      <c r="F2654" t="s">
        <v>12675</v>
      </c>
      <c r="G2654" t="s">
        <v>35</v>
      </c>
      <c r="H2654" t="s">
        <v>1335</v>
      </c>
      <c r="I2654" t="s">
        <v>12676</v>
      </c>
      <c r="J2654" s="2">
        <v>174536</v>
      </c>
      <c r="K2654" s="2">
        <v>800</v>
      </c>
      <c r="L2654" s="2">
        <v>15</v>
      </c>
      <c r="M2654" s="2">
        <v>0</v>
      </c>
      <c r="N2654" t="s">
        <v>254</v>
      </c>
      <c r="O2654" t="s">
        <v>255</v>
      </c>
      <c r="P2654" t="s">
        <v>256</v>
      </c>
      <c r="Q2654" t="s">
        <v>255</v>
      </c>
      <c r="S2654" t="s">
        <v>12677</v>
      </c>
      <c r="U2654" t="s">
        <v>45</v>
      </c>
      <c r="V2654" t="s">
        <v>46</v>
      </c>
      <c r="W2654" t="s">
        <v>254</v>
      </c>
      <c r="X2654" t="s">
        <v>255</v>
      </c>
      <c r="Y2654" t="s">
        <v>258</v>
      </c>
      <c r="Z2654" t="s">
        <v>259</v>
      </c>
      <c r="AA2654" t="s">
        <v>49</v>
      </c>
      <c r="AB2654" t="s">
        <v>50</v>
      </c>
      <c r="AC2654" s="2">
        <v>136998.53</v>
      </c>
      <c r="AD2654" t="s">
        <v>12678</v>
      </c>
      <c r="AE2654" t="s">
        <v>52</v>
      </c>
    </row>
    <row r="2655" spans="1:31" x14ac:dyDescent="0.25">
      <c r="A2655" t="s">
        <v>12679</v>
      </c>
      <c r="B2655" t="s">
        <v>12680</v>
      </c>
      <c r="C2655" t="s">
        <v>12680</v>
      </c>
      <c r="D2655" t="s">
        <v>1734</v>
      </c>
      <c r="E2655" t="s">
        <v>224</v>
      </c>
      <c r="F2655" t="s">
        <v>12681</v>
      </c>
      <c r="G2655" t="s">
        <v>4891</v>
      </c>
      <c r="H2655" t="s">
        <v>11440</v>
      </c>
      <c r="I2655" t="s">
        <v>12682</v>
      </c>
      <c r="J2655" s="2">
        <v>109085</v>
      </c>
      <c r="K2655" s="2">
        <v>500</v>
      </c>
      <c r="L2655" s="2">
        <v>15</v>
      </c>
      <c r="M2655" s="2">
        <v>0</v>
      </c>
      <c r="N2655" t="s">
        <v>11459</v>
      </c>
      <c r="O2655" t="s">
        <v>11440</v>
      </c>
      <c r="P2655" t="s">
        <v>8938</v>
      </c>
      <c r="Q2655" t="s">
        <v>8939</v>
      </c>
      <c r="S2655" t="s">
        <v>12683</v>
      </c>
      <c r="U2655" t="s">
        <v>45</v>
      </c>
      <c r="V2655" t="s">
        <v>46</v>
      </c>
      <c r="W2655" t="s">
        <v>11459</v>
      </c>
      <c r="X2655" t="s">
        <v>11440</v>
      </c>
      <c r="Y2655" t="s">
        <v>137</v>
      </c>
      <c r="Z2655" t="s">
        <v>717</v>
      </c>
      <c r="AA2655" t="s">
        <v>49</v>
      </c>
      <c r="AB2655" t="s">
        <v>50</v>
      </c>
      <c r="AC2655" s="2">
        <v>103989.85</v>
      </c>
      <c r="AD2655" t="s">
        <v>12684</v>
      </c>
    </row>
    <row r="2656" spans="1:31" x14ac:dyDescent="0.25">
      <c r="A2656" t="s">
        <v>12685</v>
      </c>
      <c r="B2656" t="s">
        <v>12686</v>
      </c>
      <c r="C2656" t="s">
        <v>12686</v>
      </c>
      <c r="D2656" t="s">
        <v>498</v>
      </c>
      <c r="E2656" t="s">
        <v>190</v>
      </c>
      <c r="F2656" t="s">
        <v>12687</v>
      </c>
      <c r="G2656" t="s">
        <v>1289</v>
      </c>
      <c r="H2656" t="s">
        <v>11440</v>
      </c>
      <c r="J2656" s="2">
        <v>141811</v>
      </c>
      <c r="K2656" s="2">
        <v>650</v>
      </c>
      <c r="L2656" s="2">
        <v>15</v>
      </c>
      <c r="M2656" s="2">
        <v>0</v>
      </c>
      <c r="N2656" t="s">
        <v>11459</v>
      </c>
      <c r="O2656" t="s">
        <v>11440</v>
      </c>
      <c r="P2656" t="s">
        <v>8938</v>
      </c>
      <c r="Q2656" t="s">
        <v>8939</v>
      </c>
      <c r="S2656" t="s">
        <v>12688</v>
      </c>
      <c r="U2656" t="s">
        <v>45</v>
      </c>
      <c r="V2656" t="s">
        <v>46</v>
      </c>
      <c r="W2656" t="s">
        <v>11459</v>
      </c>
      <c r="X2656" t="s">
        <v>11440</v>
      </c>
      <c r="Y2656" t="s">
        <v>137</v>
      </c>
      <c r="Z2656" t="s">
        <v>717</v>
      </c>
      <c r="AA2656" t="s">
        <v>49</v>
      </c>
      <c r="AB2656" t="s">
        <v>50</v>
      </c>
      <c r="AC2656" s="2">
        <v>58796</v>
      </c>
      <c r="AD2656" t="s">
        <v>12689</v>
      </c>
    </row>
    <row r="2657" spans="1:31" hidden="1" x14ac:dyDescent="0.25">
      <c r="A2657" t="s">
        <v>12690</v>
      </c>
      <c r="B2657" t="s">
        <v>12691</v>
      </c>
      <c r="C2657" t="s">
        <v>12691</v>
      </c>
      <c r="F2657" t="s">
        <v>12692</v>
      </c>
      <c r="H2657" t="s">
        <v>6986</v>
      </c>
      <c r="I2657" t="s">
        <v>12693</v>
      </c>
      <c r="J2657" s="2">
        <v>32726</v>
      </c>
      <c r="K2657" s="2">
        <v>150</v>
      </c>
      <c r="L2657" s="2">
        <v>21</v>
      </c>
      <c r="M2657" s="2">
        <v>0</v>
      </c>
      <c r="N2657" t="s">
        <v>6985</v>
      </c>
      <c r="O2657" t="s">
        <v>6986</v>
      </c>
      <c r="P2657" t="s">
        <v>6987</v>
      </c>
      <c r="Q2657" t="s">
        <v>6988</v>
      </c>
      <c r="S2657" t="s">
        <v>12694</v>
      </c>
      <c r="U2657" t="s">
        <v>45</v>
      </c>
      <c r="V2657" t="s">
        <v>46</v>
      </c>
      <c r="W2657" t="s">
        <v>6985</v>
      </c>
      <c r="X2657" t="s">
        <v>6986</v>
      </c>
      <c r="Y2657" t="s">
        <v>2399</v>
      </c>
      <c r="Z2657" t="s">
        <v>2400</v>
      </c>
      <c r="AA2657" t="s">
        <v>49</v>
      </c>
      <c r="AB2657" t="s">
        <v>50</v>
      </c>
      <c r="AC2657" s="2">
        <v>32726</v>
      </c>
      <c r="AD2657" t="s">
        <v>64</v>
      </c>
    </row>
    <row r="2658" spans="1:31" x14ac:dyDescent="0.25">
      <c r="A2658" t="s">
        <v>12695</v>
      </c>
      <c r="B2658" t="s">
        <v>12696</v>
      </c>
      <c r="C2658" t="s">
        <v>12696</v>
      </c>
      <c r="D2658" t="s">
        <v>1865</v>
      </c>
      <c r="E2658" t="s">
        <v>224</v>
      </c>
      <c r="F2658" t="s">
        <v>12697</v>
      </c>
      <c r="G2658" t="s">
        <v>1467</v>
      </c>
      <c r="H2658" t="s">
        <v>139</v>
      </c>
      <c r="I2658" t="s">
        <v>12698</v>
      </c>
      <c r="J2658" s="2">
        <v>327255</v>
      </c>
      <c r="K2658" s="2">
        <v>1500</v>
      </c>
      <c r="L2658" s="2">
        <v>30</v>
      </c>
      <c r="M2658" s="2">
        <v>0</v>
      </c>
      <c r="N2658" t="s">
        <v>8853</v>
      </c>
      <c r="O2658" t="s">
        <v>139</v>
      </c>
      <c r="P2658" t="s">
        <v>941</v>
      </c>
      <c r="Q2658" t="s">
        <v>139</v>
      </c>
      <c r="S2658" t="s">
        <v>12699</v>
      </c>
      <c r="U2658" t="s">
        <v>45</v>
      </c>
      <c r="V2658" t="s">
        <v>46</v>
      </c>
      <c r="W2658" t="s">
        <v>8853</v>
      </c>
      <c r="X2658" t="s">
        <v>139</v>
      </c>
      <c r="Y2658" t="s">
        <v>139</v>
      </c>
      <c r="Z2658" t="s">
        <v>140</v>
      </c>
      <c r="AA2658" t="s">
        <v>49</v>
      </c>
      <c r="AB2658" t="s">
        <v>50</v>
      </c>
      <c r="AC2658" s="2">
        <v>327254.99</v>
      </c>
      <c r="AD2658" t="s">
        <v>9029</v>
      </c>
    </row>
    <row r="2659" spans="1:31" hidden="1" x14ac:dyDescent="0.25">
      <c r="A2659" t="s">
        <v>12700</v>
      </c>
      <c r="B2659" t="s">
        <v>12701</v>
      </c>
      <c r="C2659" t="s">
        <v>12701</v>
      </c>
      <c r="F2659" t="s">
        <v>12702</v>
      </c>
      <c r="H2659" t="s">
        <v>1117</v>
      </c>
      <c r="I2659" t="s">
        <v>12703</v>
      </c>
      <c r="J2659" s="2">
        <v>218170</v>
      </c>
      <c r="K2659" s="2">
        <v>1000</v>
      </c>
      <c r="L2659" s="2">
        <v>15</v>
      </c>
      <c r="M2659" s="2">
        <v>0</v>
      </c>
      <c r="N2659" t="s">
        <v>1119</v>
      </c>
      <c r="O2659" t="s">
        <v>1120</v>
      </c>
      <c r="P2659" t="s">
        <v>4374</v>
      </c>
      <c r="Q2659" t="s">
        <v>4375</v>
      </c>
      <c r="S2659" t="s">
        <v>12704</v>
      </c>
      <c r="U2659" t="s">
        <v>45</v>
      </c>
      <c r="V2659" t="s">
        <v>46</v>
      </c>
      <c r="W2659" t="s">
        <v>1119</v>
      </c>
      <c r="X2659" t="s">
        <v>1120</v>
      </c>
      <c r="Y2659" t="s">
        <v>5743</v>
      </c>
      <c r="Z2659" t="s">
        <v>5744</v>
      </c>
      <c r="AA2659" t="s">
        <v>49</v>
      </c>
      <c r="AB2659" t="s">
        <v>50</v>
      </c>
      <c r="AC2659" s="2">
        <v>218170</v>
      </c>
      <c r="AD2659" t="s">
        <v>64</v>
      </c>
    </row>
    <row r="2660" spans="1:31" x14ac:dyDescent="0.25">
      <c r="A2660" t="s">
        <v>12705</v>
      </c>
      <c r="B2660" t="s">
        <v>12706</v>
      </c>
      <c r="C2660" t="s">
        <v>12706</v>
      </c>
      <c r="D2660" t="s">
        <v>35</v>
      </c>
      <c r="E2660" t="s">
        <v>36</v>
      </c>
      <c r="F2660" t="s">
        <v>12707</v>
      </c>
      <c r="G2660" t="s">
        <v>35</v>
      </c>
      <c r="H2660" t="s">
        <v>6986</v>
      </c>
      <c r="I2660" t="s">
        <v>12708</v>
      </c>
      <c r="J2660" s="2">
        <v>2181700</v>
      </c>
      <c r="K2660" s="2">
        <v>10000</v>
      </c>
      <c r="L2660" s="2">
        <v>30</v>
      </c>
      <c r="M2660" s="2">
        <v>0</v>
      </c>
      <c r="N2660" t="s">
        <v>6985</v>
      </c>
      <c r="O2660" t="s">
        <v>6986</v>
      </c>
      <c r="P2660" t="s">
        <v>6987</v>
      </c>
      <c r="Q2660" t="s">
        <v>6988</v>
      </c>
      <c r="S2660" t="s">
        <v>12709</v>
      </c>
      <c r="U2660" t="s">
        <v>45</v>
      </c>
      <c r="V2660" t="s">
        <v>46</v>
      </c>
      <c r="W2660" t="s">
        <v>6985</v>
      </c>
      <c r="X2660" t="s">
        <v>6986</v>
      </c>
      <c r="Y2660" t="s">
        <v>2399</v>
      </c>
      <c r="Z2660" t="s">
        <v>2400</v>
      </c>
      <c r="AA2660" t="s">
        <v>49</v>
      </c>
      <c r="AB2660" t="s">
        <v>50</v>
      </c>
      <c r="AC2660" s="2">
        <v>1880128.11</v>
      </c>
      <c r="AD2660" t="s">
        <v>12710</v>
      </c>
      <c r="AE2660" t="s">
        <v>115</v>
      </c>
    </row>
    <row r="2661" spans="1:31" x14ac:dyDescent="0.25">
      <c r="A2661" t="s">
        <v>12711</v>
      </c>
      <c r="B2661" t="s">
        <v>12712</v>
      </c>
      <c r="C2661" t="s">
        <v>12712</v>
      </c>
      <c r="D2661" t="s">
        <v>569</v>
      </c>
      <c r="E2661" t="s">
        <v>570</v>
      </c>
      <c r="F2661" t="s">
        <v>12713</v>
      </c>
      <c r="G2661" t="s">
        <v>297</v>
      </c>
      <c r="H2661" t="s">
        <v>90</v>
      </c>
      <c r="I2661" t="s">
        <v>12714</v>
      </c>
      <c r="J2661" s="2">
        <v>436340</v>
      </c>
      <c r="K2661" s="2">
        <v>2000</v>
      </c>
      <c r="L2661" s="2">
        <v>21</v>
      </c>
      <c r="M2661" s="2">
        <v>0</v>
      </c>
      <c r="N2661" t="s">
        <v>89</v>
      </c>
      <c r="O2661" t="s">
        <v>90</v>
      </c>
      <c r="P2661" t="s">
        <v>91</v>
      </c>
      <c r="Q2661" t="s">
        <v>92</v>
      </c>
      <c r="S2661" t="s">
        <v>12715</v>
      </c>
      <c r="U2661" t="s">
        <v>45</v>
      </c>
      <c r="V2661" t="s">
        <v>46</v>
      </c>
      <c r="W2661" t="s">
        <v>89</v>
      </c>
      <c r="X2661" t="s">
        <v>90</v>
      </c>
      <c r="Y2661" t="s">
        <v>92</v>
      </c>
      <c r="Z2661" t="s">
        <v>94</v>
      </c>
      <c r="AA2661" t="s">
        <v>49</v>
      </c>
      <c r="AB2661" t="s">
        <v>50</v>
      </c>
      <c r="AC2661" s="2">
        <v>394676.06</v>
      </c>
      <c r="AD2661" t="s">
        <v>12716</v>
      </c>
      <c r="AE2661" t="s">
        <v>52</v>
      </c>
    </row>
    <row r="2662" spans="1:31" x14ac:dyDescent="0.25">
      <c r="A2662" t="s">
        <v>12717</v>
      </c>
      <c r="B2662" t="s">
        <v>12718</v>
      </c>
      <c r="C2662" t="s">
        <v>12718</v>
      </c>
      <c r="D2662" t="s">
        <v>125</v>
      </c>
      <c r="E2662" t="s">
        <v>126</v>
      </c>
      <c r="F2662" t="s">
        <v>12719</v>
      </c>
      <c r="G2662" t="s">
        <v>125</v>
      </c>
      <c r="H2662" t="s">
        <v>12720</v>
      </c>
      <c r="I2662" t="s">
        <v>12721</v>
      </c>
      <c r="J2662" s="2">
        <v>747600</v>
      </c>
      <c r="K2662" s="2">
        <v>3000</v>
      </c>
      <c r="L2662" s="2">
        <v>30</v>
      </c>
      <c r="M2662" s="2">
        <v>0</v>
      </c>
      <c r="N2662" t="s">
        <v>8792</v>
      </c>
      <c r="O2662" t="s">
        <v>8790</v>
      </c>
      <c r="P2662" t="s">
        <v>10093</v>
      </c>
      <c r="Q2662" t="s">
        <v>10094</v>
      </c>
      <c r="S2662" t="s">
        <v>12722</v>
      </c>
      <c r="U2662" t="s">
        <v>45</v>
      </c>
      <c r="V2662" t="s">
        <v>46</v>
      </c>
      <c r="W2662" t="s">
        <v>8792</v>
      </c>
      <c r="X2662" t="s">
        <v>8790</v>
      </c>
      <c r="Y2662" t="s">
        <v>7938</v>
      </c>
      <c r="Z2662" t="s">
        <v>7939</v>
      </c>
      <c r="AA2662" t="s">
        <v>49</v>
      </c>
      <c r="AB2662" t="s">
        <v>50</v>
      </c>
      <c r="AC2662" s="2">
        <v>97529.27</v>
      </c>
      <c r="AD2662" t="s">
        <v>12723</v>
      </c>
      <c r="AE2662" t="s">
        <v>52</v>
      </c>
    </row>
    <row r="2663" spans="1:31" x14ac:dyDescent="0.25">
      <c r="A2663" t="s">
        <v>12724</v>
      </c>
      <c r="B2663" t="s">
        <v>12725</v>
      </c>
      <c r="C2663" t="s">
        <v>12725</v>
      </c>
      <c r="D2663" t="s">
        <v>35</v>
      </c>
      <c r="E2663" t="s">
        <v>36</v>
      </c>
      <c r="F2663" t="s">
        <v>12726</v>
      </c>
      <c r="G2663" t="s">
        <v>35</v>
      </c>
      <c r="H2663" t="s">
        <v>9129</v>
      </c>
      <c r="I2663" t="s">
        <v>12727</v>
      </c>
      <c r="J2663" s="2">
        <v>294530</v>
      </c>
      <c r="K2663" s="2">
        <v>1350</v>
      </c>
      <c r="L2663" s="2">
        <v>21</v>
      </c>
      <c r="M2663" s="2">
        <v>0</v>
      </c>
      <c r="N2663" t="s">
        <v>9130</v>
      </c>
      <c r="O2663" t="s">
        <v>9129</v>
      </c>
      <c r="P2663" t="s">
        <v>256</v>
      </c>
      <c r="Q2663" t="s">
        <v>255</v>
      </c>
      <c r="S2663" t="s">
        <v>12728</v>
      </c>
      <c r="U2663" t="s">
        <v>45</v>
      </c>
      <c r="V2663" t="s">
        <v>46</v>
      </c>
      <c r="W2663" t="s">
        <v>9130</v>
      </c>
      <c r="X2663" t="s">
        <v>9129</v>
      </c>
      <c r="Y2663" t="s">
        <v>137</v>
      </c>
      <c r="Z2663" t="s">
        <v>717</v>
      </c>
      <c r="AA2663" t="s">
        <v>49</v>
      </c>
      <c r="AB2663" t="s">
        <v>50</v>
      </c>
      <c r="AC2663" s="2">
        <v>-4912.8599999999997</v>
      </c>
      <c r="AD2663" t="s">
        <v>12729</v>
      </c>
      <c r="AE2663" t="s">
        <v>52</v>
      </c>
    </row>
    <row r="2664" spans="1:31" x14ac:dyDescent="0.25">
      <c r="A2664" t="s">
        <v>12730</v>
      </c>
      <c r="B2664" t="s">
        <v>12731</v>
      </c>
      <c r="C2664" t="s">
        <v>12731</v>
      </c>
      <c r="D2664" t="s">
        <v>153</v>
      </c>
      <c r="E2664" t="s">
        <v>272</v>
      </c>
      <c r="F2664" t="s">
        <v>12732</v>
      </c>
      <c r="G2664" t="s">
        <v>153</v>
      </c>
      <c r="H2664" t="s">
        <v>79</v>
      </c>
      <c r="I2664" t="s">
        <v>12733</v>
      </c>
      <c r="J2664" s="2">
        <v>218170</v>
      </c>
      <c r="K2664" s="2">
        <v>1000</v>
      </c>
      <c r="L2664" s="2">
        <v>30</v>
      </c>
      <c r="M2664" s="2">
        <v>0</v>
      </c>
      <c r="N2664" t="s">
        <v>495</v>
      </c>
      <c r="O2664" t="s">
        <v>79</v>
      </c>
      <c r="P2664" t="s">
        <v>3487</v>
      </c>
      <c r="Q2664" t="s">
        <v>3488</v>
      </c>
      <c r="S2664" t="s">
        <v>12734</v>
      </c>
      <c r="U2664" t="s">
        <v>45</v>
      </c>
      <c r="V2664" t="s">
        <v>46</v>
      </c>
      <c r="W2664" t="s">
        <v>495</v>
      </c>
      <c r="X2664" t="s">
        <v>79</v>
      </c>
      <c r="Y2664" t="s">
        <v>79</v>
      </c>
      <c r="Z2664" t="s">
        <v>94</v>
      </c>
      <c r="AA2664" t="s">
        <v>49</v>
      </c>
      <c r="AB2664" t="s">
        <v>50</v>
      </c>
      <c r="AC2664" s="2">
        <v>202590.1</v>
      </c>
      <c r="AD2664" t="s">
        <v>12735</v>
      </c>
      <c r="AE2664" t="s">
        <v>52</v>
      </c>
    </row>
    <row r="2665" spans="1:31" x14ac:dyDescent="0.25">
      <c r="A2665" t="s">
        <v>12736</v>
      </c>
      <c r="B2665" t="s">
        <v>12737</v>
      </c>
      <c r="C2665" t="s">
        <v>12737</v>
      </c>
      <c r="D2665" t="s">
        <v>125</v>
      </c>
      <c r="E2665" t="s">
        <v>126</v>
      </c>
      <c r="F2665" t="s">
        <v>12738</v>
      </c>
      <c r="G2665" t="s">
        <v>125</v>
      </c>
      <c r="H2665" t="s">
        <v>8790</v>
      </c>
      <c r="I2665" t="s">
        <v>12739</v>
      </c>
      <c r="J2665" s="2">
        <v>2181700</v>
      </c>
      <c r="K2665" s="2">
        <v>10000</v>
      </c>
      <c r="L2665" s="2">
        <v>30</v>
      </c>
      <c r="M2665" s="2">
        <v>0</v>
      </c>
      <c r="N2665" t="s">
        <v>8792</v>
      </c>
      <c r="O2665" t="s">
        <v>8790</v>
      </c>
      <c r="P2665" t="s">
        <v>10093</v>
      </c>
      <c r="Q2665" t="s">
        <v>10094</v>
      </c>
      <c r="S2665" t="s">
        <v>12740</v>
      </c>
      <c r="U2665" t="s">
        <v>45</v>
      </c>
      <c r="V2665" t="s">
        <v>46</v>
      </c>
      <c r="W2665" t="s">
        <v>8792</v>
      </c>
      <c r="X2665" t="s">
        <v>8790</v>
      </c>
      <c r="Y2665" t="s">
        <v>7938</v>
      </c>
      <c r="Z2665" t="s">
        <v>7939</v>
      </c>
      <c r="AA2665" t="s">
        <v>49</v>
      </c>
      <c r="AB2665" t="s">
        <v>50</v>
      </c>
      <c r="AC2665" s="2">
        <v>2012191.96</v>
      </c>
      <c r="AD2665" t="s">
        <v>12741</v>
      </c>
      <c r="AE2665" t="s">
        <v>52</v>
      </c>
    </row>
    <row r="2666" spans="1:31" x14ac:dyDescent="0.25">
      <c r="A2666" t="s">
        <v>12742</v>
      </c>
      <c r="B2666" t="s">
        <v>12743</v>
      </c>
      <c r="C2666" t="s">
        <v>12743</v>
      </c>
      <c r="D2666" t="s">
        <v>125</v>
      </c>
      <c r="E2666" t="s">
        <v>126</v>
      </c>
      <c r="F2666" t="s">
        <v>12744</v>
      </c>
      <c r="G2666" t="s">
        <v>125</v>
      </c>
      <c r="H2666" t="s">
        <v>139</v>
      </c>
      <c r="I2666" t="s">
        <v>12745</v>
      </c>
      <c r="J2666" s="2">
        <v>545425</v>
      </c>
      <c r="K2666" s="2">
        <v>2500</v>
      </c>
      <c r="L2666" s="2">
        <v>30</v>
      </c>
      <c r="M2666" s="2">
        <v>0</v>
      </c>
      <c r="N2666" t="s">
        <v>8853</v>
      </c>
      <c r="O2666" t="s">
        <v>139</v>
      </c>
      <c r="P2666" t="s">
        <v>941</v>
      </c>
      <c r="Q2666" t="s">
        <v>139</v>
      </c>
      <c r="S2666" t="s">
        <v>12746</v>
      </c>
      <c r="U2666" t="s">
        <v>45</v>
      </c>
      <c r="V2666" t="s">
        <v>46</v>
      </c>
      <c r="W2666" t="s">
        <v>8853</v>
      </c>
      <c r="X2666" t="s">
        <v>139</v>
      </c>
      <c r="Y2666" t="s">
        <v>139</v>
      </c>
      <c r="Z2666" t="s">
        <v>140</v>
      </c>
      <c r="AA2666" t="s">
        <v>49</v>
      </c>
      <c r="AB2666" t="s">
        <v>50</v>
      </c>
      <c r="AC2666" s="2">
        <v>260447.83</v>
      </c>
      <c r="AD2666" t="s">
        <v>12747</v>
      </c>
      <c r="AE2666" t="s">
        <v>52</v>
      </c>
    </row>
    <row r="2667" spans="1:31" x14ac:dyDescent="0.25">
      <c r="A2667" t="s">
        <v>12748</v>
      </c>
      <c r="B2667" t="s">
        <v>12749</v>
      </c>
      <c r="C2667" t="s">
        <v>12749</v>
      </c>
      <c r="D2667" t="s">
        <v>4221</v>
      </c>
      <c r="E2667" t="s">
        <v>77</v>
      </c>
      <c r="F2667" t="s">
        <v>12750</v>
      </c>
      <c r="H2667" t="s">
        <v>7706</v>
      </c>
      <c r="I2667" t="s">
        <v>12751</v>
      </c>
      <c r="J2667" s="2">
        <v>218170</v>
      </c>
      <c r="K2667" s="2">
        <v>1000</v>
      </c>
      <c r="L2667" s="2">
        <v>30</v>
      </c>
      <c r="M2667" s="2">
        <v>0</v>
      </c>
      <c r="N2667" t="s">
        <v>7705</v>
      </c>
      <c r="O2667" t="s">
        <v>7706</v>
      </c>
      <c r="P2667" t="s">
        <v>4374</v>
      </c>
      <c r="Q2667" t="s">
        <v>4375</v>
      </c>
      <c r="S2667" t="s">
        <v>12752</v>
      </c>
      <c r="U2667" t="s">
        <v>45</v>
      </c>
      <c r="V2667" t="s">
        <v>46</v>
      </c>
      <c r="W2667" t="s">
        <v>7705</v>
      </c>
      <c r="X2667" t="s">
        <v>7706</v>
      </c>
      <c r="Y2667" t="s">
        <v>258</v>
      </c>
      <c r="Z2667" t="s">
        <v>259</v>
      </c>
      <c r="AA2667" t="s">
        <v>49</v>
      </c>
      <c r="AB2667" t="s">
        <v>50</v>
      </c>
      <c r="AC2667" s="2">
        <v>218170</v>
      </c>
      <c r="AD2667" t="s">
        <v>64</v>
      </c>
    </row>
    <row r="2668" spans="1:31" hidden="1" x14ac:dyDescent="0.25">
      <c r="A2668" t="s">
        <v>12753</v>
      </c>
      <c r="B2668" t="s">
        <v>12754</v>
      </c>
      <c r="C2668" t="s">
        <v>12754</v>
      </c>
      <c r="F2668" t="s">
        <v>12755</v>
      </c>
      <c r="H2668" t="s">
        <v>139</v>
      </c>
      <c r="I2668" t="s">
        <v>12756</v>
      </c>
      <c r="J2668" s="2">
        <v>218170</v>
      </c>
      <c r="K2668" s="2">
        <v>1000</v>
      </c>
      <c r="L2668" s="2">
        <v>30</v>
      </c>
      <c r="M2668" s="2">
        <v>0</v>
      </c>
      <c r="N2668" t="s">
        <v>8853</v>
      </c>
      <c r="O2668" t="s">
        <v>139</v>
      </c>
      <c r="P2668" t="s">
        <v>941</v>
      </c>
      <c r="Q2668" t="s">
        <v>139</v>
      </c>
      <c r="S2668" t="s">
        <v>12757</v>
      </c>
      <c r="U2668" t="s">
        <v>45</v>
      </c>
      <c r="V2668" t="s">
        <v>46</v>
      </c>
      <c r="W2668" t="s">
        <v>8853</v>
      </c>
      <c r="X2668" t="s">
        <v>139</v>
      </c>
      <c r="Y2668" t="s">
        <v>139</v>
      </c>
      <c r="Z2668" t="s">
        <v>140</v>
      </c>
      <c r="AA2668" t="s">
        <v>49</v>
      </c>
      <c r="AB2668" t="s">
        <v>50</v>
      </c>
      <c r="AC2668" s="2">
        <v>218170</v>
      </c>
      <c r="AD2668" t="s">
        <v>64</v>
      </c>
    </row>
    <row r="2669" spans="1:31" x14ac:dyDescent="0.25">
      <c r="A2669" t="s">
        <v>12758</v>
      </c>
      <c r="B2669" t="s">
        <v>12759</v>
      </c>
      <c r="C2669" t="s">
        <v>12760</v>
      </c>
      <c r="D2669" t="s">
        <v>153</v>
      </c>
      <c r="E2669" t="s">
        <v>272</v>
      </c>
      <c r="F2669" t="s">
        <v>12761</v>
      </c>
      <c r="G2669" t="s">
        <v>847</v>
      </c>
      <c r="H2669" t="s">
        <v>139</v>
      </c>
      <c r="I2669" t="s">
        <v>12762</v>
      </c>
      <c r="J2669" s="2">
        <v>239987</v>
      </c>
      <c r="K2669" s="2">
        <v>1100</v>
      </c>
      <c r="L2669" s="2">
        <v>30</v>
      </c>
      <c r="M2669" s="2">
        <v>0</v>
      </c>
      <c r="N2669" t="s">
        <v>8853</v>
      </c>
      <c r="O2669" t="s">
        <v>139</v>
      </c>
      <c r="P2669" t="s">
        <v>941</v>
      </c>
      <c r="Q2669" t="s">
        <v>139</v>
      </c>
      <c r="S2669" t="s">
        <v>12763</v>
      </c>
      <c r="U2669" t="s">
        <v>45</v>
      </c>
      <c r="V2669" t="s">
        <v>46</v>
      </c>
      <c r="W2669" t="s">
        <v>8853</v>
      </c>
      <c r="X2669" t="s">
        <v>139</v>
      </c>
      <c r="Y2669" t="s">
        <v>139</v>
      </c>
      <c r="Z2669" t="s">
        <v>140</v>
      </c>
      <c r="AA2669" t="s">
        <v>49</v>
      </c>
      <c r="AB2669" t="s">
        <v>50</v>
      </c>
      <c r="AC2669" s="2">
        <v>217521.86</v>
      </c>
      <c r="AD2669" t="s">
        <v>12764</v>
      </c>
      <c r="AE2669" t="s">
        <v>52</v>
      </c>
    </row>
    <row r="2670" spans="1:31" x14ac:dyDescent="0.25">
      <c r="A2670" t="s">
        <v>12765</v>
      </c>
      <c r="B2670" t="s">
        <v>12766</v>
      </c>
      <c r="C2670" t="s">
        <v>12766</v>
      </c>
      <c r="D2670" t="s">
        <v>125</v>
      </c>
      <c r="E2670" t="s">
        <v>126</v>
      </c>
      <c r="F2670" t="s">
        <v>12767</v>
      </c>
      <c r="G2670" t="s">
        <v>125</v>
      </c>
      <c r="H2670" t="s">
        <v>11440</v>
      </c>
      <c r="I2670" t="s">
        <v>12768</v>
      </c>
      <c r="J2670" s="2">
        <v>439740</v>
      </c>
      <c r="K2670" s="2">
        <v>2000</v>
      </c>
      <c r="L2670" s="2">
        <v>15</v>
      </c>
      <c r="M2670" s="2">
        <v>0</v>
      </c>
      <c r="N2670" t="s">
        <v>11459</v>
      </c>
      <c r="O2670" t="s">
        <v>11440</v>
      </c>
      <c r="P2670" t="s">
        <v>256</v>
      </c>
      <c r="Q2670" t="s">
        <v>255</v>
      </c>
      <c r="S2670" t="s">
        <v>12769</v>
      </c>
      <c r="U2670" t="s">
        <v>45</v>
      </c>
      <c r="V2670" t="s">
        <v>46</v>
      </c>
      <c r="W2670" t="s">
        <v>11459</v>
      </c>
      <c r="X2670" t="s">
        <v>11440</v>
      </c>
      <c r="Y2670" t="s">
        <v>137</v>
      </c>
      <c r="Z2670" t="s">
        <v>717</v>
      </c>
      <c r="AA2670" t="s">
        <v>49</v>
      </c>
      <c r="AB2670" t="s">
        <v>50</v>
      </c>
      <c r="AC2670" s="2">
        <v>366309.18</v>
      </c>
      <c r="AD2670" t="s">
        <v>12770</v>
      </c>
      <c r="AE2670" t="s">
        <v>115</v>
      </c>
    </row>
    <row r="2671" spans="1:31" x14ac:dyDescent="0.25">
      <c r="A2671" s="15" t="s">
        <v>12771</v>
      </c>
      <c r="B2671" s="15" t="s">
        <v>12772</v>
      </c>
      <c r="C2671" s="15" t="s">
        <v>12772</v>
      </c>
      <c r="D2671" s="15" t="s">
        <v>55</v>
      </c>
      <c r="E2671" s="15" t="s">
        <v>56</v>
      </c>
      <c r="F2671" s="15" t="s">
        <v>12773</v>
      </c>
      <c r="H2671" s="15" t="s">
        <v>41</v>
      </c>
      <c r="I2671" t="s">
        <v>12774</v>
      </c>
      <c r="J2671" s="2">
        <v>218170</v>
      </c>
      <c r="K2671" s="2">
        <v>1000</v>
      </c>
      <c r="L2671" s="2">
        <v>1</v>
      </c>
      <c r="M2671" s="2">
        <v>0</v>
      </c>
      <c r="N2671" s="15" t="s">
        <v>40</v>
      </c>
      <c r="O2671" s="15" t="s">
        <v>41</v>
      </c>
      <c r="P2671" s="15" t="s">
        <v>61</v>
      </c>
      <c r="Q2671" s="15" t="s">
        <v>62</v>
      </c>
      <c r="S2671" t="s">
        <v>12775</v>
      </c>
      <c r="U2671" t="s">
        <v>45</v>
      </c>
      <c r="V2671" t="s">
        <v>46</v>
      </c>
      <c r="W2671" t="s">
        <v>40</v>
      </c>
      <c r="X2671" t="s">
        <v>41</v>
      </c>
      <c r="Y2671" t="s">
        <v>47</v>
      </c>
      <c r="Z2671" t="s">
        <v>48</v>
      </c>
      <c r="AA2671" t="s">
        <v>49</v>
      </c>
      <c r="AB2671" s="15" t="s">
        <v>50</v>
      </c>
      <c r="AC2671" s="16">
        <v>218168.22</v>
      </c>
      <c r="AD2671" s="15" t="s">
        <v>12776</v>
      </c>
      <c r="AE2671" s="15" t="s">
        <v>115</v>
      </c>
    </row>
    <row r="2672" spans="1:31" x14ac:dyDescent="0.25">
      <c r="A2672" t="s">
        <v>12777</v>
      </c>
      <c r="B2672" t="s">
        <v>12778</v>
      </c>
      <c r="C2672" t="s">
        <v>8492</v>
      </c>
      <c r="D2672" t="s">
        <v>2288</v>
      </c>
      <c r="E2672" t="s">
        <v>134</v>
      </c>
      <c r="F2672" t="s">
        <v>8493</v>
      </c>
      <c r="G2672" t="s">
        <v>1846</v>
      </c>
      <c r="H2672" t="s">
        <v>7263</v>
      </c>
      <c r="I2672" t="s">
        <v>8494</v>
      </c>
      <c r="J2672" s="2">
        <v>218170</v>
      </c>
      <c r="K2672" s="2">
        <v>1000</v>
      </c>
      <c r="L2672" s="2">
        <v>21</v>
      </c>
      <c r="M2672" s="2">
        <v>0</v>
      </c>
      <c r="N2672" t="s">
        <v>2571</v>
      </c>
      <c r="O2672" t="s">
        <v>2572</v>
      </c>
      <c r="P2672" t="s">
        <v>6987</v>
      </c>
      <c r="Q2672" t="s">
        <v>6988</v>
      </c>
      <c r="S2672" t="s">
        <v>12779</v>
      </c>
      <c r="U2672" t="s">
        <v>45</v>
      </c>
      <c r="V2672" t="s">
        <v>46</v>
      </c>
      <c r="W2672" t="s">
        <v>2571</v>
      </c>
      <c r="X2672" t="s">
        <v>2572</v>
      </c>
      <c r="Y2672" t="s">
        <v>2399</v>
      </c>
      <c r="Z2672" t="s">
        <v>2400</v>
      </c>
      <c r="AA2672" t="s">
        <v>49</v>
      </c>
      <c r="AB2672" t="s">
        <v>50</v>
      </c>
      <c r="AC2672" s="2">
        <v>218169.59</v>
      </c>
      <c r="AD2672" t="s">
        <v>12780</v>
      </c>
    </row>
    <row r="2673" spans="1:31" x14ac:dyDescent="0.25">
      <c r="A2673" t="s">
        <v>12781</v>
      </c>
      <c r="B2673" t="s">
        <v>12782</v>
      </c>
      <c r="C2673" t="s">
        <v>12782</v>
      </c>
      <c r="D2673" t="s">
        <v>847</v>
      </c>
      <c r="E2673" t="s">
        <v>848</v>
      </c>
      <c r="F2673" t="s">
        <v>12783</v>
      </c>
      <c r="H2673" t="s">
        <v>41</v>
      </c>
      <c r="I2673" t="s">
        <v>12784</v>
      </c>
      <c r="J2673" s="2">
        <v>10909</v>
      </c>
      <c r="K2673" s="2">
        <v>50</v>
      </c>
      <c r="L2673" s="2">
        <v>15</v>
      </c>
      <c r="M2673" s="2">
        <v>0</v>
      </c>
      <c r="N2673" t="s">
        <v>40</v>
      </c>
      <c r="O2673" t="s">
        <v>41</v>
      </c>
      <c r="P2673" t="s">
        <v>42</v>
      </c>
      <c r="Q2673" t="s">
        <v>43</v>
      </c>
      <c r="S2673" t="s">
        <v>12785</v>
      </c>
      <c r="U2673" t="s">
        <v>45</v>
      </c>
      <c r="V2673" t="s">
        <v>46</v>
      </c>
      <c r="W2673" t="s">
        <v>40</v>
      </c>
      <c r="X2673" t="s">
        <v>41</v>
      </c>
      <c r="Y2673" t="s">
        <v>47</v>
      </c>
      <c r="Z2673" t="s">
        <v>48</v>
      </c>
      <c r="AA2673" t="s">
        <v>141</v>
      </c>
      <c r="AB2673" t="s">
        <v>50</v>
      </c>
      <c r="AC2673" s="2">
        <v>10909</v>
      </c>
      <c r="AD2673" t="s">
        <v>64</v>
      </c>
    </row>
    <row r="2674" spans="1:31" x14ac:dyDescent="0.25">
      <c r="A2674" t="s">
        <v>12786</v>
      </c>
      <c r="B2674" t="s">
        <v>12787</v>
      </c>
      <c r="C2674" t="s">
        <v>12787</v>
      </c>
      <c r="D2674" t="s">
        <v>847</v>
      </c>
      <c r="E2674" t="s">
        <v>848</v>
      </c>
      <c r="F2674" t="s">
        <v>12788</v>
      </c>
      <c r="H2674" t="s">
        <v>41</v>
      </c>
      <c r="I2674" t="s">
        <v>12789</v>
      </c>
      <c r="J2674" s="2">
        <v>218170</v>
      </c>
      <c r="K2674" s="2">
        <v>1000</v>
      </c>
      <c r="L2674" s="2">
        <v>30</v>
      </c>
      <c r="M2674" s="2">
        <v>0</v>
      </c>
      <c r="N2674" t="s">
        <v>40</v>
      </c>
      <c r="O2674" t="s">
        <v>41</v>
      </c>
      <c r="P2674" t="s">
        <v>42</v>
      </c>
      <c r="Q2674" t="s">
        <v>43</v>
      </c>
      <c r="S2674" t="s">
        <v>12785</v>
      </c>
      <c r="U2674" t="s">
        <v>45</v>
      </c>
      <c r="V2674" t="s">
        <v>46</v>
      </c>
      <c r="W2674" t="s">
        <v>40</v>
      </c>
      <c r="X2674" t="s">
        <v>41</v>
      </c>
      <c r="Y2674" t="s">
        <v>47</v>
      </c>
      <c r="Z2674" t="s">
        <v>48</v>
      </c>
      <c r="AA2674" t="s">
        <v>141</v>
      </c>
      <c r="AB2674" t="s">
        <v>50</v>
      </c>
      <c r="AC2674" s="2">
        <v>218170</v>
      </c>
      <c r="AD2674" t="s">
        <v>64</v>
      </c>
    </row>
    <row r="2675" spans="1:31" x14ac:dyDescent="0.25">
      <c r="A2675" t="s">
        <v>12790</v>
      </c>
      <c r="B2675" t="s">
        <v>12791</v>
      </c>
      <c r="C2675" t="s">
        <v>12791</v>
      </c>
      <c r="D2675" t="s">
        <v>4402</v>
      </c>
      <c r="E2675" t="s">
        <v>134</v>
      </c>
      <c r="F2675" t="s">
        <v>12792</v>
      </c>
      <c r="H2675" t="s">
        <v>41</v>
      </c>
      <c r="I2675" t="s">
        <v>12793</v>
      </c>
      <c r="J2675" s="2">
        <v>10909</v>
      </c>
      <c r="K2675" s="2">
        <v>50</v>
      </c>
      <c r="L2675" s="2">
        <v>15</v>
      </c>
      <c r="M2675" s="2">
        <v>0</v>
      </c>
      <c r="N2675" t="s">
        <v>40</v>
      </c>
      <c r="O2675" t="s">
        <v>41</v>
      </c>
      <c r="P2675" t="s">
        <v>42</v>
      </c>
      <c r="Q2675" t="s">
        <v>43</v>
      </c>
      <c r="S2675" t="s">
        <v>12785</v>
      </c>
      <c r="U2675" t="s">
        <v>45</v>
      </c>
      <c r="V2675" t="s">
        <v>46</v>
      </c>
      <c r="W2675" t="s">
        <v>40</v>
      </c>
      <c r="X2675" t="s">
        <v>41</v>
      </c>
      <c r="Y2675" t="s">
        <v>47</v>
      </c>
      <c r="Z2675" t="s">
        <v>48</v>
      </c>
      <c r="AA2675" t="s">
        <v>141</v>
      </c>
      <c r="AB2675" t="s">
        <v>50</v>
      </c>
      <c r="AC2675" s="2">
        <v>10909</v>
      </c>
      <c r="AD2675" t="s">
        <v>64</v>
      </c>
    </row>
    <row r="2676" spans="1:31" x14ac:dyDescent="0.25">
      <c r="A2676" t="s">
        <v>12794</v>
      </c>
      <c r="B2676" t="s">
        <v>12795</v>
      </c>
      <c r="C2676" t="s">
        <v>12795</v>
      </c>
      <c r="D2676" t="s">
        <v>153</v>
      </c>
      <c r="E2676" t="s">
        <v>272</v>
      </c>
      <c r="F2676" t="s">
        <v>12796</v>
      </c>
      <c r="G2676" t="s">
        <v>153</v>
      </c>
      <c r="H2676" t="s">
        <v>1448</v>
      </c>
      <c r="I2676" t="s">
        <v>12797</v>
      </c>
      <c r="J2676" s="2">
        <v>501791</v>
      </c>
      <c r="K2676" s="2">
        <v>2300</v>
      </c>
      <c r="L2676" s="2">
        <v>21</v>
      </c>
      <c r="M2676" s="2">
        <v>0</v>
      </c>
      <c r="N2676" t="s">
        <v>1450</v>
      </c>
      <c r="O2676" t="s">
        <v>1448</v>
      </c>
      <c r="P2676" t="s">
        <v>2320</v>
      </c>
      <c r="Q2676" t="s">
        <v>2321</v>
      </c>
      <c r="S2676" t="s">
        <v>12798</v>
      </c>
      <c r="T2676" t="s">
        <v>7622</v>
      </c>
      <c r="U2676" t="s">
        <v>45</v>
      </c>
      <c r="V2676" t="s">
        <v>46</v>
      </c>
      <c r="W2676" t="s">
        <v>1450</v>
      </c>
      <c r="X2676" t="s">
        <v>1448</v>
      </c>
      <c r="Y2676" t="s">
        <v>121</v>
      </c>
      <c r="Z2676" t="s">
        <v>94</v>
      </c>
      <c r="AA2676" t="s">
        <v>49</v>
      </c>
      <c r="AB2676" t="s">
        <v>50</v>
      </c>
      <c r="AC2676" s="2">
        <v>17807.5</v>
      </c>
      <c r="AD2676" t="s">
        <v>12799</v>
      </c>
      <c r="AE2676" t="s">
        <v>52</v>
      </c>
    </row>
    <row r="2677" spans="1:31" x14ac:dyDescent="0.25">
      <c r="A2677" t="s">
        <v>12800</v>
      </c>
      <c r="B2677" t="s">
        <v>12801</v>
      </c>
      <c r="C2677" t="s">
        <v>12801</v>
      </c>
      <c r="D2677" t="s">
        <v>478</v>
      </c>
      <c r="E2677" t="s">
        <v>190</v>
      </c>
      <c r="F2677" t="s">
        <v>12802</v>
      </c>
      <c r="G2677" t="s">
        <v>478</v>
      </c>
      <c r="H2677" t="s">
        <v>139</v>
      </c>
      <c r="I2677" t="s">
        <v>12803</v>
      </c>
      <c r="J2677" s="2">
        <v>95100</v>
      </c>
      <c r="K2677" s="2">
        <v>400</v>
      </c>
      <c r="L2677" s="2">
        <v>1</v>
      </c>
      <c r="M2677" s="2">
        <v>0</v>
      </c>
      <c r="N2677" t="s">
        <v>8853</v>
      </c>
      <c r="O2677" t="s">
        <v>139</v>
      </c>
      <c r="P2677" t="s">
        <v>941</v>
      </c>
      <c r="Q2677" t="s">
        <v>139</v>
      </c>
      <c r="S2677" t="s">
        <v>12804</v>
      </c>
      <c r="T2677" t="s">
        <v>1569</v>
      </c>
      <c r="U2677" t="s">
        <v>45</v>
      </c>
      <c r="V2677" t="s">
        <v>46</v>
      </c>
      <c r="W2677" t="s">
        <v>8853</v>
      </c>
      <c r="X2677" t="s">
        <v>139</v>
      </c>
      <c r="Y2677" t="s">
        <v>139</v>
      </c>
      <c r="Z2677" t="s">
        <v>140</v>
      </c>
      <c r="AA2677" t="s">
        <v>49</v>
      </c>
      <c r="AB2677" t="s">
        <v>50</v>
      </c>
      <c r="AC2677" s="2">
        <v>61604.89</v>
      </c>
      <c r="AD2677" t="s">
        <v>12805</v>
      </c>
    </row>
    <row r="2678" spans="1:31" hidden="1" x14ac:dyDescent="0.25">
      <c r="A2678" t="s">
        <v>12806</v>
      </c>
      <c r="B2678" t="s">
        <v>12807</v>
      </c>
      <c r="C2678" t="s">
        <v>12807</v>
      </c>
      <c r="F2678" t="s">
        <v>12808</v>
      </c>
      <c r="H2678" t="s">
        <v>1222</v>
      </c>
      <c r="I2678" t="s">
        <v>12809</v>
      </c>
      <c r="J2678" s="2">
        <v>218170</v>
      </c>
      <c r="K2678" s="2">
        <v>1000</v>
      </c>
      <c r="L2678" s="2">
        <v>30</v>
      </c>
      <c r="M2678" s="2">
        <v>0</v>
      </c>
      <c r="N2678" t="s">
        <v>1221</v>
      </c>
      <c r="O2678" t="s">
        <v>1222</v>
      </c>
      <c r="P2678" t="s">
        <v>205</v>
      </c>
      <c r="Q2678" t="s">
        <v>206</v>
      </c>
      <c r="S2678" t="s">
        <v>12810</v>
      </c>
      <c r="T2678" t="s">
        <v>1569</v>
      </c>
      <c r="U2678" t="s">
        <v>45</v>
      </c>
      <c r="V2678" t="s">
        <v>46</v>
      </c>
      <c r="W2678" t="s">
        <v>1221</v>
      </c>
      <c r="X2678" t="s">
        <v>1222</v>
      </c>
      <c r="Y2678" t="s">
        <v>161</v>
      </c>
      <c r="Z2678" t="s">
        <v>162</v>
      </c>
      <c r="AA2678" t="s">
        <v>49</v>
      </c>
      <c r="AB2678" t="s">
        <v>50</v>
      </c>
      <c r="AC2678" s="2">
        <v>218170</v>
      </c>
      <c r="AD2678" t="s">
        <v>64</v>
      </c>
    </row>
    <row r="2679" spans="1:31" x14ac:dyDescent="0.25">
      <c r="A2679" t="s">
        <v>12811</v>
      </c>
      <c r="B2679" t="s">
        <v>12812</v>
      </c>
      <c r="C2679" t="s">
        <v>12812</v>
      </c>
      <c r="D2679" t="s">
        <v>297</v>
      </c>
      <c r="E2679" t="s">
        <v>167</v>
      </c>
      <c r="F2679" t="s">
        <v>12813</v>
      </c>
      <c r="G2679" t="s">
        <v>344</v>
      </c>
      <c r="H2679" t="s">
        <v>437</v>
      </c>
      <c r="I2679" t="s">
        <v>12814</v>
      </c>
      <c r="J2679" s="2">
        <v>218170</v>
      </c>
      <c r="K2679" s="2">
        <v>1000</v>
      </c>
      <c r="L2679" s="2">
        <v>15</v>
      </c>
      <c r="M2679" s="2">
        <v>0</v>
      </c>
      <c r="N2679" t="s">
        <v>436</v>
      </c>
      <c r="O2679" t="s">
        <v>437</v>
      </c>
      <c r="P2679" t="s">
        <v>316</v>
      </c>
      <c r="Q2679" t="s">
        <v>317</v>
      </c>
      <c r="S2679" t="s">
        <v>12815</v>
      </c>
      <c r="T2679" t="s">
        <v>1569</v>
      </c>
      <c r="U2679" t="s">
        <v>45</v>
      </c>
      <c r="V2679" t="s">
        <v>46</v>
      </c>
      <c r="W2679" t="s">
        <v>436</v>
      </c>
      <c r="X2679" t="s">
        <v>437</v>
      </c>
      <c r="Y2679" t="s">
        <v>47</v>
      </c>
      <c r="Z2679" t="s">
        <v>48</v>
      </c>
      <c r="AA2679" t="s">
        <v>49</v>
      </c>
      <c r="AB2679" t="s">
        <v>50</v>
      </c>
      <c r="AC2679" s="2">
        <v>191097.33</v>
      </c>
      <c r="AD2679" t="s">
        <v>12816</v>
      </c>
      <c r="AE2679" t="s">
        <v>52</v>
      </c>
    </row>
    <row r="2680" spans="1:31" hidden="1" x14ac:dyDescent="0.25">
      <c r="A2680" t="s">
        <v>12817</v>
      </c>
      <c r="B2680" t="s">
        <v>12818</v>
      </c>
      <c r="C2680" t="s">
        <v>12818</v>
      </c>
      <c r="F2680" t="s">
        <v>12819</v>
      </c>
      <c r="H2680" t="s">
        <v>1095</v>
      </c>
      <c r="J2680" s="2">
        <v>218170</v>
      </c>
      <c r="K2680" s="2">
        <v>1000</v>
      </c>
      <c r="L2680" s="2">
        <v>30</v>
      </c>
      <c r="M2680" s="2">
        <v>0</v>
      </c>
      <c r="N2680" t="s">
        <v>1038</v>
      </c>
      <c r="O2680" t="s">
        <v>1039</v>
      </c>
      <c r="P2680" t="s">
        <v>304</v>
      </c>
      <c r="Q2680" t="s">
        <v>72</v>
      </c>
      <c r="S2680" t="s">
        <v>12820</v>
      </c>
      <c r="T2680" t="s">
        <v>1569</v>
      </c>
      <c r="U2680" t="s">
        <v>45</v>
      </c>
      <c r="V2680" t="s">
        <v>46</v>
      </c>
      <c r="W2680" t="s">
        <v>1038</v>
      </c>
      <c r="X2680" t="s">
        <v>1039</v>
      </c>
      <c r="Y2680" t="s">
        <v>72</v>
      </c>
      <c r="Z2680" t="s">
        <v>68</v>
      </c>
      <c r="AA2680" t="s">
        <v>49</v>
      </c>
      <c r="AB2680" t="s">
        <v>50</v>
      </c>
      <c r="AC2680" s="2">
        <v>218170</v>
      </c>
      <c r="AD2680" t="s">
        <v>64</v>
      </c>
    </row>
    <row r="2681" spans="1:31" x14ac:dyDescent="0.25">
      <c r="A2681" t="s">
        <v>12821</v>
      </c>
      <c r="B2681" t="s">
        <v>12822</v>
      </c>
      <c r="C2681" t="s">
        <v>12818</v>
      </c>
      <c r="D2681" t="s">
        <v>299</v>
      </c>
      <c r="E2681" t="s">
        <v>167</v>
      </c>
      <c r="F2681" t="s">
        <v>12819</v>
      </c>
      <c r="G2681" t="s">
        <v>299</v>
      </c>
      <c r="H2681" t="s">
        <v>65</v>
      </c>
      <c r="J2681" s="2">
        <v>243110</v>
      </c>
      <c r="K2681" s="2">
        <v>1000</v>
      </c>
      <c r="L2681" s="2">
        <v>30</v>
      </c>
      <c r="M2681" s="2">
        <v>0</v>
      </c>
      <c r="N2681" t="s">
        <v>67</v>
      </c>
      <c r="O2681" t="s">
        <v>68</v>
      </c>
      <c r="P2681" t="s">
        <v>304</v>
      </c>
      <c r="Q2681" t="s">
        <v>72</v>
      </c>
      <c r="S2681" t="s">
        <v>12820</v>
      </c>
      <c r="T2681" t="s">
        <v>1569</v>
      </c>
      <c r="U2681" t="s">
        <v>45</v>
      </c>
      <c r="V2681" t="s">
        <v>46</v>
      </c>
      <c r="W2681" t="s">
        <v>67</v>
      </c>
      <c r="X2681" t="s">
        <v>68</v>
      </c>
      <c r="Y2681" t="s">
        <v>72</v>
      </c>
      <c r="Z2681" t="s">
        <v>68</v>
      </c>
      <c r="AA2681" t="s">
        <v>49</v>
      </c>
      <c r="AB2681" t="s">
        <v>50</v>
      </c>
      <c r="AC2681" s="2">
        <v>184732.18</v>
      </c>
      <c r="AD2681" t="s">
        <v>12823</v>
      </c>
      <c r="AE2681" t="s">
        <v>52</v>
      </c>
    </row>
    <row r="2682" spans="1:31" x14ac:dyDescent="0.25">
      <c r="A2682" t="s">
        <v>12824</v>
      </c>
      <c r="B2682" t="s">
        <v>12825</v>
      </c>
      <c r="C2682" t="s">
        <v>12818</v>
      </c>
      <c r="D2682" t="s">
        <v>35</v>
      </c>
      <c r="E2682" t="s">
        <v>36</v>
      </c>
      <c r="F2682" t="s">
        <v>12819</v>
      </c>
      <c r="G2682" t="s">
        <v>35</v>
      </c>
      <c r="H2682" t="s">
        <v>446</v>
      </c>
      <c r="J2682" s="2">
        <v>235158</v>
      </c>
      <c r="K2682" s="2">
        <v>1050</v>
      </c>
      <c r="L2682" s="2">
        <v>30</v>
      </c>
      <c r="M2682" s="2">
        <v>0</v>
      </c>
      <c r="N2682" t="s">
        <v>445</v>
      </c>
      <c r="O2682" t="s">
        <v>446</v>
      </c>
      <c r="P2682" t="s">
        <v>304</v>
      </c>
      <c r="Q2682" t="s">
        <v>72</v>
      </c>
      <c r="S2682" t="s">
        <v>12820</v>
      </c>
      <c r="T2682" t="s">
        <v>1569</v>
      </c>
      <c r="U2682" t="s">
        <v>45</v>
      </c>
      <c r="V2682" t="s">
        <v>46</v>
      </c>
      <c r="W2682" t="s">
        <v>445</v>
      </c>
      <c r="X2682" t="s">
        <v>446</v>
      </c>
      <c r="Y2682" t="s">
        <v>72</v>
      </c>
      <c r="Z2682" t="s">
        <v>68</v>
      </c>
      <c r="AA2682" t="s">
        <v>49</v>
      </c>
      <c r="AB2682" t="s">
        <v>50</v>
      </c>
      <c r="AC2682" s="2">
        <v>136861.01999999999</v>
      </c>
      <c r="AD2682" t="s">
        <v>12826</v>
      </c>
      <c r="AE2682" t="s">
        <v>52</v>
      </c>
    </row>
    <row r="2683" spans="1:31" hidden="1" x14ac:dyDescent="0.25">
      <c r="A2683" t="s">
        <v>12827</v>
      </c>
      <c r="B2683" t="s">
        <v>12828</v>
      </c>
      <c r="C2683" t="s">
        <v>12828</v>
      </c>
      <c r="F2683" t="s">
        <v>12829</v>
      </c>
      <c r="H2683" t="s">
        <v>10695</v>
      </c>
      <c r="I2683" t="s">
        <v>12830</v>
      </c>
      <c r="J2683" s="2">
        <v>218170</v>
      </c>
      <c r="K2683" s="2">
        <v>1000</v>
      </c>
      <c r="L2683" s="2">
        <v>30</v>
      </c>
      <c r="M2683" s="2">
        <v>0</v>
      </c>
      <c r="N2683" t="s">
        <v>80</v>
      </c>
      <c r="O2683" t="s">
        <v>81</v>
      </c>
      <c r="P2683" t="s">
        <v>557</v>
      </c>
      <c r="Q2683" t="s">
        <v>558</v>
      </c>
      <c r="S2683" t="s">
        <v>12831</v>
      </c>
      <c r="T2683" t="s">
        <v>3962</v>
      </c>
      <c r="U2683" t="s">
        <v>45</v>
      </c>
      <c r="V2683" t="s">
        <v>46</v>
      </c>
      <c r="W2683" t="s">
        <v>80</v>
      </c>
      <c r="X2683" t="s">
        <v>81</v>
      </c>
      <c r="Y2683" t="s">
        <v>85</v>
      </c>
      <c r="Z2683" t="s">
        <v>86</v>
      </c>
      <c r="AA2683" t="s">
        <v>49</v>
      </c>
      <c r="AB2683" t="s">
        <v>50</v>
      </c>
      <c r="AC2683" s="2">
        <v>218170</v>
      </c>
      <c r="AD2683" t="s">
        <v>64</v>
      </c>
    </row>
    <row r="2684" spans="1:31" x14ac:dyDescent="0.25">
      <c r="A2684" t="s">
        <v>12832</v>
      </c>
      <c r="B2684" t="s">
        <v>12833</v>
      </c>
      <c r="C2684" t="s">
        <v>12833</v>
      </c>
      <c r="D2684" t="s">
        <v>125</v>
      </c>
      <c r="E2684" t="s">
        <v>126</v>
      </c>
      <c r="F2684" t="s">
        <v>12834</v>
      </c>
      <c r="G2684" t="s">
        <v>125</v>
      </c>
      <c r="H2684" t="s">
        <v>139</v>
      </c>
      <c r="I2684" t="s">
        <v>12835</v>
      </c>
      <c r="J2684" s="2">
        <v>544302</v>
      </c>
      <c r="K2684" s="2">
        <v>2200</v>
      </c>
      <c r="L2684" s="2">
        <v>30</v>
      </c>
      <c r="M2684" s="2">
        <v>0</v>
      </c>
      <c r="N2684" t="s">
        <v>8853</v>
      </c>
      <c r="O2684" t="s">
        <v>139</v>
      </c>
      <c r="P2684" t="s">
        <v>941</v>
      </c>
      <c r="Q2684" t="s">
        <v>139</v>
      </c>
      <c r="S2684" t="s">
        <v>12836</v>
      </c>
      <c r="T2684" t="s">
        <v>3962</v>
      </c>
      <c r="U2684" t="s">
        <v>45</v>
      </c>
      <c r="V2684" t="s">
        <v>46</v>
      </c>
      <c r="W2684" t="s">
        <v>8853</v>
      </c>
      <c r="X2684" t="s">
        <v>139</v>
      </c>
      <c r="Y2684" t="s">
        <v>139</v>
      </c>
      <c r="Z2684" t="s">
        <v>140</v>
      </c>
      <c r="AA2684" t="s">
        <v>49</v>
      </c>
      <c r="AB2684" t="s">
        <v>50</v>
      </c>
      <c r="AC2684" s="2">
        <v>65065.9</v>
      </c>
      <c r="AD2684" t="s">
        <v>12837</v>
      </c>
      <c r="AE2684" t="s">
        <v>52</v>
      </c>
    </row>
    <row r="2685" spans="1:31" x14ac:dyDescent="0.25">
      <c r="A2685" t="s">
        <v>12838</v>
      </c>
      <c r="B2685" t="s">
        <v>12839</v>
      </c>
      <c r="C2685" t="s">
        <v>12839</v>
      </c>
      <c r="D2685" t="s">
        <v>153</v>
      </c>
      <c r="E2685" t="s">
        <v>272</v>
      </c>
      <c r="F2685" t="s">
        <v>12840</v>
      </c>
      <c r="G2685" t="s">
        <v>178</v>
      </c>
      <c r="H2685" t="s">
        <v>137</v>
      </c>
      <c r="I2685" t="s">
        <v>12841</v>
      </c>
      <c r="J2685" s="2">
        <v>436340</v>
      </c>
      <c r="K2685" s="2">
        <v>2000</v>
      </c>
      <c r="L2685" s="2">
        <v>15</v>
      </c>
      <c r="M2685" s="2">
        <v>0</v>
      </c>
      <c r="N2685" t="s">
        <v>136</v>
      </c>
      <c r="O2685" t="s">
        <v>137</v>
      </c>
      <c r="P2685" t="s">
        <v>256</v>
      </c>
      <c r="Q2685" t="s">
        <v>255</v>
      </c>
      <c r="S2685" t="s">
        <v>12842</v>
      </c>
      <c r="T2685" t="s">
        <v>3962</v>
      </c>
      <c r="U2685" t="s">
        <v>45</v>
      </c>
      <c r="V2685" t="s">
        <v>46</v>
      </c>
      <c r="W2685" t="s">
        <v>136</v>
      </c>
      <c r="X2685" t="s">
        <v>137</v>
      </c>
      <c r="Y2685" t="s">
        <v>137</v>
      </c>
      <c r="Z2685" t="s">
        <v>717</v>
      </c>
      <c r="AA2685" t="s">
        <v>49</v>
      </c>
      <c r="AB2685" t="s">
        <v>50</v>
      </c>
      <c r="AC2685" s="2">
        <v>396838.98</v>
      </c>
      <c r="AD2685" t="s">
        <v>12843</v>
      </c>
      <c r="AE2685" t="s">
        <v>52</v>
      </c>
    </row>
    <row r="2686" spans="1:31" x14ac:dyDescent="0.25">
      <c r="A2686" t="s">
        <v>12844</v>
      </c>
      <c r="B2686" t="s">
        <v>12845</v>
      </c>
      <c r="C2686" t="s">
        <v>12845</v>
      </c>
      <c r="D2686" t="s">
        <v>35</v>
      </c>
      <c r="E2686" t="s">
        <v>36</v>
      </c>
      <c r="F2686" t="s">
        <v>12846</v>
      </c>
      <c r="G2686" t="s">
        <v>166</v>
      </c>
      <c r="H2686" t="s">
        <v>252</v>
      </c>
      <c r="J2686" s="2">
        <v>218170</v>
      </c>
      <c r="K2686" s="2">
        <v>1000</v>
      </c>
      <c r="L2686" s="2">
        <v>15</v>
      </c>
      <c r="M2686" s="2">
        <v>0</v>
      </c>
      <c r="N2686" t="s">
        <v>254</v>
      </c>
      <c r="O2686" t="s">
        <v>255</v>
      </c>
      <c r="P2686" t="s">
        <v>3534</v>
      </c>
      <c r="Q2686" t="s">
        <v>3535</v>
      </c>
      <c r="S2686" t="s">
        <v>12847</v>
      </c>
      <c r="T2686" t="s">
        <v>3962</v>
      </c>
      <c r="U2686" t="s">
        <v>45</v>
      </c>
      <c r="V2686" t="s">
        <v>46</v>
      </c>
      <c r="W2686" t="s">
        <v>254</v>
      </c>
      <c r="X2686" t="s">
        <v>255</v>
      </c>
      <c r="Y2686" t="s">
        <v>258</v>
      </c>
      <c r="Z2686" t="s">
        <v>259</v>
      </c>
      <c r="AA2686" t="s">
        <v>49</v>
      </c>
      <c r="AB2686" t="s">
        <v>50</v>
      </c>
      <c r="AC2686" s="2">
        <v>127536.77</v>
      </c>
      <c r="AD2686" t="s">
        <v>12848</v>
      </c>
      <c r="AE2686" t="s">
        <v>52</v>
      </c>
    </row>
    <row r="2687" spans="1:31" x14ac:dyDescent="0.25">
      <c r="A2687" t="s">
        <v>12849</v>
      </c>
      <c r="B2687" t="s">
        <v>12850</v>
      </c>
      <c r="C2687" t="s">
        <v>12850</v>
      </c>
      <c r="D2687" t="s">
        <v>577</v>
      </c>
      <c r="E2687" t="s">
        <v>134</v>
      </c>
      <c r="F2687" t="s">
        <v>12851</v>
      </c>
      <c r="G2687" t="s">
        <v>4907</v>
      </c>
      <c r="H2687" t="s">
        <v>137</v>
      </c>
      <c r="I2687" t="s">
        <v>12852</v>
      </c>
      <c r="J2687" s="2">
        <v>283621</v>
      </c>
      <c r="K2687" s="2">
        <v>1300</v>
      </c>
      <c r="L2687" s="2">
        <v>15</v>
      </c>
      <c r="M2687" s="2">
        <v>0</v>
      </c>
      <c r="N2687" t="s">
        <v>136</v>
      </c>
      <c r="O2687" t="s">
        <v>137</v>
      </c>
      <c r="P2687" t="s">
        <v>8938</v>
      </c>
      <c r="Q2687" t="s">
        <v>8939</v>
      </c>
      <c r="S2687" t="s">
        <v>12853</v>
      </c>
      <c r="T2687" t="s">
        <v>3962</v>
      </c>
      <c r="U2687" t="s">
        <v>45</v>
      </c>
      <c r="V2687" t="s">
        <v>46</v>
      </c>
      <c r="W2687" t="s">
        <v>136</v>
      </c>
      <c r="X2687" t="s">
        <v>137</v>
      </c>
      <c r="Y2687" t="s">
        <v>137</v>
      </c>
      <c r="Z2687" t="s">
        <v>717</v>
      </c>
      <c r="AA2687" t="s">
        <v>49</v>
      </c>
      <c r="AB2687" t="s">
        <v>50</v>
      </c>
      <c r="AC2687" s="2">
        <v>276637.78000000003</v>
      </c>
      <c r="AD2687" t="s">
        <v>12854</v>
      </c>
    </row>
    <row r="2688" spans="1:31" x14ac:dyDescent="0.25">
      <c r="A2688" t="s">
        <v>12855</v>
      </c>
      <c r="B2688" t="s">
        <v>12856</v>
      </c>
      <c r="C2688" t="s">
        <v>12856</v>
      </c>
      <c r="D2688" t="s">
        <v>569</v>
      </c>
      <c r="E2688" t="s">
        <v>570</v>
      </c>
      <c r="F2688" t="s">
        <v>12857</v>
      </c>
      <c r="G2688" t="s">
        <v>299</v>
      </c>
      <c r="H2688" t="s">
        <v>12118</v>
      </c>
      <c r="J2688" s="2">
        <v>1090850</v>
      </c>
      <c r="K2688" s="2">
        <v>5000</v>
      </c>
      <c r="L2688" s="2">
        <v>21</v>
      </c>
      <c r="M2688" s="2">
        <v>0</v>
      </c>
      <c r="N2688" t="s">
        <v>80</v>
      </c>
      <c r="O2688" t="s">
        <v>81</v>
      </c>
      <c r="P2688" t="s">
        <v>304</v>
      </c>
      <c r="Q2688" t="s">
        <v>72</v>
      </c>
      <c r="S2688" t="s">
        <v>12858</v>
      </c>
      <c r="T2688" t="s">
        <v>3962</v>
      </c>
      <c r="U2688" t="s">
        <v>45</v>
      </c>
      <c r="V2688" t="s">
        <v>46</v>
      </c>
      <c r="W2688" t="s">
        <v>80</v>
      </c>
      <c r="X2688" t="s">
        <v>81</v>
      </c>
      <c r="Y2688" t="s">
        <v>85</v>
      </c>
      <c r="Z2688" t="s">
        <v>86</v>
      </c>
      <c r="AA2688" t="s">
        <v>49</v>
      </c>
      <c r="AB2688" t="s">
        <v>50</v>
      </c>
      <c r="AC2688" s="2">
        <v>1039668.91</v>
      </c>
      <c r="AD2688" t="s">
        <v>12859</v>
      </c>
      <c r="AE2688" t="s">
        <v>52</v>
      </c>
    </row>
    <row r="2689" spans="1:31" x14ac:dyDescent="0.25">
      <c r="A2689" t="s">
        <v>12860</v>
      </c>
      <c r="B2689" t="s">
        <v>12861</v>
      </c>
      <c r="C2689" t="s">
        <v>12861</v>
      </c>
      <c r="D2689" t="s">
        <v>1243</v>
      </c>
      <c r="E2689" t="s">
        <v>871</v>
      </c>
      <c r="F2689" t="s">
        <v>12862</v>
      </c>
      <c r="G2689" t="s">
        <v>1289</v>
      </c>
      <c r="H2689" t="s">
        <v>12118</v>
      </c>
      <c r="J2689" s="2">
        <v>1090850</v>
      </c>
      <c r="K2689" s="2">
        <v>5000</v>
      </c>
      <c r="L2689" s="2">
        <v>21</v>
      </c>
      <c r="M2689" s="2">
        <v>0</v>
      </c>
      <c r="N2689" t="s">
        <v>80</v>
      </c>
      <c r="O2689" t="s">
        <v>81</v>
      </c>
      <c r="P2689" t="s">
        <v>304</v>
      </c>
      <c r="Q2689" t="s">
        <v>72</v>
      </c>
      <c r="S2689" t="s">
        <v>12858</v>
      </c>
      <c r="T2689" t="s">
        <v>3962</v>
      </c>
      <c r="U2689" t="s">
        <v>45</v>
      </c>
      <c r="V2689" t="s">
        <v>46</v>
      </c>
      <c r="W2689" t="s">
        <v>80</v>
      </c>
      <c r="X2689" t="s">
        <v>81</v>
      </c>
      <c r="Y2689" t="s">
        <v>85</v>
      </c>
      <c r="Z2689" t="s">
        <v>86</v>
      </c>
      <c r="AA2689" t="s">
        <v>49</v>
      </c>
      <c r="AB2689" t="s">
        <v>50</v>
      </c>
      <c r="AC2689" s="2">
        <v>1090850</v>
      </c>
      <c r="AD2689" t="s">
        <v>64</v>
      </c>
    </row>
    <row r="2690" spans="1:31" x14ac:dyDescent="0.25">
      <c r="A2690" t="s">
        <v>12863</v>
      </c>
      <c r="B2690" t="s">
        <v>12864</v>
      </c>
      <c r="C2690" t="s">
        <v>12864</v>
      </c>
      <c r="D2690" t="s">
        <v>192</v>
      </c>
      <c r="E2690" t="s">
        <v>224</v>
      </c>
      <c r="F2690" t="s">
        <v>12865</v>
      </c>
      <c r="G2690" t="s">
        <v>3192</v>
      </c>
      <c r="H2690" t="s">
        <v>41</v>
      </c>
      <c r="I2690" t="s">
        <v>12866</v>
      </c>
      <c r="J2690" s="2">
        <v>209443</v>
      </c>
      <c r="K2690" s="2">
        <v>960</v>
      </c>
      <c r="L2690" s="2">
        <v>21</v>
      </c>
      <c r="M2690" s="2">
        <v>0</v>
      </c>
      <c r="N2690" t="s">
        <v>40</v>
      </c>
      <c r="O2690" t="s">
        <v>41</v>
      </c>
      <c r="P2690" t="s">
        <v>42</v>
      </c>
      <c r="Q2690" t="s">
        <v>43</v>
      </c>
      <c r="S2690" t="s">
        <v>12867</v>
      </c>
      <c r="T2690" t="s">
        <v>3962</v>
      </c>
      <c r="U2690" t="s">
        <v>45</v>
      </c>
      <c r="V2690" t="s">
        <v>46</v>
      </c>
      <c r="W2690" t="s">
        <v>40</v>
      </c>
      <c r="X2690" t="s">
        <v>41</v>
      </c>
      <c r="Y2690" t="s">
        <v>47</v>
      </c>
      <c r="Z2690" t="s">
        <v>48</v>
      </c>
      <c r="AA2690" t="s">
        <v>49</v>
      </c>
      <c r="AB2690" t="s">
        <v>50</v>
      </c>
      <c r="AC2690" s="2">
        <v>209443</v>
      </c>
      <c r="AD2690" t="s">
        <v>64</v>
      </c>
    </row>
    <row r="2691" spans="1:31" x14ac:dyDescent="0.25">
      <c r="A2691" t="s">
        <v>12868</v>
      </c>
      <c r="B2691" t="s">
        <v>12869</v>
      </c>
      <c r="C2691" t="s">
        <v>12869</v>
      </c>
      <c r="D2691" t="s">
        <v>847</v>
      </c>
      <c r="E2691" t="s">
        <v>848</v>
      </c>
      <c r="F2691" t="s">
        <v>12870</v>
      </c>
      <c r="G2691" t="s">
        <v>847</v>
      </c>
      <c r="H2691" t="s">
        <v>139</v>
      </c>
      <c r="I2691" t="s">
        <v>12871</v>
      </c>
      <c r="J2691" s="2">
        <v>737010</v>
      </c>
      <c r="K2691" s="2">
        <v>3000</v>
      </c>
      <c r="L2691" s="2">
        <v>30</v>
      </c>
      <c r="M2691" s="2">
        <v>0</v>
      </c>
      <c r="N2691" t="s">
        <v>8853</v>
      </c>
      <c r="O2691" t="s">
        <v>139</v>
      </c>
      <c r="P2691" t="s">
        <v>941</v>
      </c>
      <c r="Q2691" t="s">
        <v>139</v>
      </c>
      <c r="S2691" t="s">
        <v>12872</v>
      </c>
      <c r="T2691" t="s">
        <v>3962</v>
      </c>
      <c r="U2691" t="s">
        <v>45</v>
      </c>
      <c r="V2691" t="s">
        <v>46</v>
      </c>
      <c r="W2691" t="s">
        <v>8853</v>
      </c>
      <c r="X2691" t="s">
        <v>139</v>
      </c>
      <c r="Y2691" t="s">
        <v>139</v>
      </c>
      <c r="Z2691" t="s">
        <v>140</v>
      </c>
      <c r="AA2691" t="s">
        <v>49</v>
      </c>
      <c r="AB2691" t="s">
        <v>50</v>
      </c>
      <c r="AC2691" s="2">
        <v>361560.91</v>
      </c>
      <c r="AD2691" t="s">
        <v>12873</v>
      </c>
      <c r="AE2691" t="s">
        <v>52</v>
      </c>
    </row>
    <row r="2692" spans="1:31" x14ac:dyDescent="0.25">
      <c r="A2692" t="s">
        <v>12874</v>
      </c>
      <c r="B2692" t="s">
        <v>12875</v>
      </c>
      <c r="C2692" t="s">
        <v>12875</v>
      </c>
      <c r="D2692" t="s">
        <v>125</v>
      </c>
      <c r="E2692" t="s">
        <v>126</v>
      </c>
      <c r="F2692" t="s">
        <v>12876</v>
      </c>
      <c r="G2692" t="s">
        <v>125</v>
      </c>
      <c r="H2692" t="s">
        <v>139</v>
      </c>
      <c r="I2692" t="s">
        <v>12877</v>
      </c>
      <c r="J2692" s="2">
        <v>545425</v>
      </c>
      <c r="K2692" s="2">
        <v>2500</v>
      </c>
      <c r="L2692" s="2">
        <v>30</v>
      </c>
      <c r="M2692" s="2">
        <v>0</v>
      </c>
      <c r="N2692" t="s">
        <v>8853</v>
      </c>
      <c r="O2692" t="s">
        <v>139</v>
      </c>
      <c r="P2692" t="s">
        <v>941</v>
      </c>
      <c r="Q2692" t="s">
        <v>139</v>
      </c>
      <c r="S2692" t="s">
        <v>12878</v>
      </c>
      <c r="T2692" t="s">
        <v>4891</v>
      </c>
      <c r="U2692" t="s">
        <v>45</v>
      </c>
      <c r="V2692" t="s">
        <v>46</v>
      </c>
      <c r="W2692" t="s">
        <v>8853</v>
      </c>
      <c r="X2692" t="s">
        <v>139</v>
      </c>
      <c r="Y2692" t="s">
        <v>139</v>
      </c>
      <c r="Z2692" t="s">
        <v>140</v>
      </c>
      <c r="AA2692" t="s">
        <v>49</v>
      </c>
      <c r="AB2692" t="s">
        <v>50</v>
      </c>
      <c r="AC2692" s="2">
        <v>437967.14</v>
      </c>
      <c r="AD2692" t="s">
        <v>12879</v>
      </c>
      <c r="AE2692" t="s">
        <v>52</v>
      </c>
    </row>
    <row r="2693" spans="1:31" x14ac:dyDescent="0.25">
      <c r="A2693" t="s">
        <v>12880</v>
      </c>
      <c r="B2693" t="s">
        <v>12881</v>
      </c>
      <c r="C2693" t="s">
        <v>12881</v>
      </c>
      <c r="D2693" t="s">
        <v>569</v>
      </c>
      <c r="E2693" t="s">
        <v>570</v>
      </c>
      <c r="F2693" t="s">
        <v>12882</v>
      </c>
      <c r="G2693" t="s">
        <v>569</v>
      </c>
      <c r="H2693" t="s">
        <v>324</v>
      </c>
      <c r="I2693" t="s">
        <v>12883</v>
      </c>
      <c r="J2693" s="2">
        <v>436340</v>
      </c>
      <c r="K2693" s="2">
        <v>2000</v>
      </c>
      <c r="L2693" s="2">
        <v>15</v>
      </c>
      <c r="M2693" s="2">
        <v>0</v>
      </c>
      <c r="N2693" t="s">
        <v>326</v>
      </c>
      <c r="O2693" t="s">
        <v>327</v>
      </c>
      <c r="P2693" t="s">
        <v>120</v>
      </c>
      <c r="Q2693" t="s">
        <v>121</v>
      </c>
      <c r="S2693" t="s">
        <v>12884</v>
      </c>
      <c r="T2693" t="s">
        <v>4891</v>
      </c>
      <c r="U2693" t="s">
        <v>45</v>
      </c>
      <c r="V2693" t="s">
        <v>46</v>
      </c>
      <c r="W2693" t="s">
        <v>326</v>
      </c>
      <c r="X2693" t="s">
        <v>327</v>
      </c>
      <c r="Y2693" t="s">
        <v>121</v>
      </c>
      <c r="Z2693" t="s">
        <v>94</v>
      </c>
      <c r="AA2693" t="s">
        <v>49</v>
      </c>
      <c r="AB2693" t="s">
        <v>50</v>
      </c>
      <c r="AC2693" s="2">
        <v>354824.23</v>
      </c>
      <c r="AD2693" t="s">
        <v>12885</v>
      </c>
      <c r="AE2693" t="s">
        <v>52</v>
      </c>
    </row>
    <row r="2694" spans="1:31" x14ac:dyDescent="0.25">
      <c r="A2694" t="s">
        <v>12886</v>
      </c>
      <c r="B2694" t="s">
        <v>12887</v>
      </c>
      <c r="C2694" t="s">
        <v>12888</v>
      </c>
      <c r="D2694" t="s">
        <v>153</v>
      </c>
      <c r="E2694" t="s">
        <v>272</v>
      </c>
      <c r="F2694" t="s">
        <v>12889</v>
      </c>
      <c r="G2694" t="s">
        <v>153</v>
      </c>
      <c r="H2694" t="s">
        <v>12422</v>
      </c>
      <c r="J2694" s="2">
        <v>218170</v>
      </c>
      <c r="K2694" s="2">
        <v>1000</v>
      </c>
      <c r="L2694" s="2">
        <v>30</v>
      </c>
      <c r="M2694" s="2">
        <v>0</v>
      </c>
      <c r="N2694" t="s">
        <v>12421</v>
      </c>
      <c r="O2694" t="s">
        <v>12422</v>
      </c>
      <c r="P2694" t="s">
        <v>941</v>
      </c>
      <c r="Q2694" t="s">
        <v>139</v>
      </c>
      <c r="S2694" t="s">
        <v>12890</v>
      </c>
      <c r="T2694" t="s">
        <v>4891</v>
      </c>
      <c r="U2694" t="s">
        <v>45</v>
      </c>
      <c r="V2694" t="s">
        <v>46</v>
      </c>
      <c r="W2694" t="s">
        <v>2393</v>
      </c>
      <c r="X2694" t="s">
        <v>2394</v>
      </c>
      <c r="Y2694" t="s">
        <v>9657</v>
      </c>
      <c r="Z2694" t="s">
        <v>9658</v>
      </c>
      <c r="AA2694" t="s">
        <v>49</v>
      </c>
      <c r="AB2694" t="s">
        <v>50</v>
      </c>
      <c r="AC2694" s="2">
        <v>86983.43</v>
      </c>
      <c r="AD2694" t="s">
        <v>12891</v>
      </c>
      <c r="AE2694" t="s">
        <v>52</v>
      </c>
    </row>
    <row r="2695" spans="1:31" hidden="1" x14ac:dyDescent="0.25">
      <c r="A2695" t="s">
        <v>12892</v>
      </c>
      <c r="B2695" t="s">
        <v>12893</v>
      </c>
      <c r="C2695" t="s">
        <v>12893</v>
      </c>
      <c r="F2695" t="s">
        <v>12894</v>
      </c>
      <c r="H2695" t="s">
        <v>139</v>
      </c>
      <c r="I2695" t="s">
        <v>12895</v>
      </c>
      <c r="J2695" s="2">
        <v>218170</v>
      </c>
      <c r="K2695" s="2">
        <v>1000</v>
      </c>
      <c r="L2695" s="2">
        <v>30</v>
      </c>
      <c r="M2695" s="2">
        <v>0</v>
      </c>
      <c r="N2695" t="s">
        <v>8853</v>
      </c>
      <c r="O2695" t="s">
        <v>139</v>
      </c>
      <c r="P2695" t="s">
        <v>941</v>
      </c>
      <c r="Q2695" t="s">
        <v>139</v>
      </c>
      <c r="S2695" t="s">
        <v>12896</v>
      </c>
      <c r="T2695" t="s">
        <v>4891</v>
      </c>
      <c r="U2695" t="s">
        <v>45</v>
      </c>
      <c r="V2695" t="s">
        <v>46</v>
      </c>
      <c r="W2695" t="s">
        <v>8853</v>
      </c>
      <c r="X2695" t="s">
        <v>139</v>
      </c>
      <c r="Y2695" t="s">
        <v>139</v>
      </c>
      <c r="Z2695" t="s">
        <v>140</v>
      </c>
      <c r="AA2695" t="s">
        <v>49</v>
      </c>
      <c r="AB2695" t="s">
        <v>50</v>
      </c>
      <c r="AC2695" s="2">
        <v>218170</v>
      </c>
      <c r="AD2695" t="s">
        <v>64</v>
      </c>
    </row>
    <row r="2696" spans="1:31" x14ac:dyDescent="0.25">
      <c r="A2696" t="s">
        <v>12897</v>
      </c>
      <c r="B2696" t="s">
        <v>12898</v>
      </c>
      <c r="C2696" t="s">
        <v>12898</v>
      </c>
      <c r="D2696" t="s">
        <v>299</v>
      </c>
      <c r="E2696" t="s">
        <v>167</v>
      </c>
      <c r="F2696" t="s">
        <v>12899</v>
      </c>
      <c r="G2696" t="s">
        <v>1243</v>
      </c>
      <c r="H2696" t="s">
        <v>300</v>
      </c>
      <c r="J2696" s="2">
        <v>1090850</v>
      </c>
      <c r="K2696" s="2">
        <v>5000</v>
      </c>
      <c r="L2696" s="2">
        <v>30</v>
      </c>
      <c r="M2696" s="2">
        <v>0</v>
      </c>
      <c r="N2696" t="s">
        <v>302</v>
      </c>
      <c r="O2696" t="s">
        <v>303</v>
      </c>
      <c r="P2696" t="s">
        <v>304</v>
      </c>
      <c r="Q2696" t="s">
        <v>72</v>
      </c>
      <c r="S2696" t="s">
        <v>12900</v>
      </c>
      <c r="T2696" t="s">
        <v>4891</v>
      </c>
      <c r="U2696" t="s">
        <v>45</v>
      </c>
      <c r="V2696" t="s">
        <v>46</v>
      </c>
      <c r="W2696" t="s">
        <v>302</v>
      </c>
      <c r="X2696" t="s">
        <v>303</v>
      </c>
      <c r="Y2696" t="s">
        <v>72</v>
      </c>
      <c r="Z2696" t="s">
        <v>68</v>
      </c>
      <c r="AA2696" t="s">
        <v>49</v>
      </c>
      <c r="AB2696" t="s">
        <v>50</v>
      </c>
      <c r="AC2696" s="2">
        <v>1082404.54</v>
      </c>
      <c r="AD2696" t="s">
        <v>12901</v>
      </c>
    </row>
    <row r="2697" spans="1:31" hidden="1" x14ac:dyDescent="0.25">
      <c r="A2697" t="s">
        <v>12902</v>
      </c>
      <c r="B2697" t="s">
        <v>12903</v>
      </c>
      <c r="C2697" t="s">
        <v>12903</v>
      </c>
      <c r="F2697" t="s">
        <v>12904</v>
      </c>
      <c r="H2697" t="s">
        <v>238</v>
      </c>
      <c r="I2697" t="s">
        <v>12905</v>
      </c>
      <c r="J2697" s="2">
        <v>43634</v>
      </c>
      <c r="K2697" s="2">
        <v>200</v>
      </c>
      <c r="L2697" s="2">
        <v>15</v>
      </c>
      <c r="M2697" s="2">
        <v>0</v>
      </c>
      <c r="N2697" t="s">
        <v>118</v>
      </c>
      <c r="O2697" t="s">
        <v>119</v>
      </c>
      <c r="P2697" t="s">
        <v>120</v>
      </c>
      <c r="Q2697" t="s">
        <v>121</v>
      </c>
      <c r="S2697" t="s">
        <v>12906</v>
      </c>
      <c r="T2697" t="s">
        <v>4891</v>
      </c>
      <c r="U2697" t="s">
        <v>45</v>
      </c>
      <c r="V2697" t="s">
        <v>46</v>
      </c>
      <c r="W2697" t="s">
        <v>118</v>
      </c>
      <c r="X2697" t="s">
        <v>119</v>
      </c>
      <c r="Y2697" t="s">
        <v>121</v>
      </c>
      <c r="Z2697" t="s">
        <v>94</v>
      </c>
      <c r="AA2697" t="s">
        <v>49</v>
      </c>
      <c r="AB2697" t="s">
        <v>50</v>
      </c>
      <c r="AC2697" s="2">
        <v>43634</v>
      </c>
      <c r="AD2697" t="s">
        <v>64</v>
      </c>
    </row>
    <row r="2698" spans="1:31" x14ac:dyDescent="0.25">
      <c r="A2698" t="s">
        <v>12907</v>
      </c>
      <c r="B2698" t="s">
        <v>12908</v>
      </c>
      <c r="C2698" t="s">
        <v>12908</v>
      </c>
      <c r="D2698" t="s">
        <v>125</v>
      </c>
      <c r="E2698" t="s">
        <v>126</v>
      </c>
      <c r="F2698" t="s">
        <v>12909</v>
      </c>
      <c r="G2698" t="s">
        <v>153</v>
      </c>
      <c r="H2698" t="s">
        <v>12910</v>
      </c>
      <c r="I2698" t="s">
        <v>12911</v>
      </c>
      <c r="J2698" s="2">
        <v>654510</v>
      </c>
      <c r="K2698" s="2">
        <v>3000</v>
      </c>
      <c r="L2698" s="2">
        <v>30</v>
      </c>
      <c r="M2698" s="2">
        <v>0</v>
      </c>
      <c r="N2698" t="s">
        <v>10374</v>
      </c>
      <c r="O2698" t="s">
        <v>10375</v>
      </c>
      <c r="P2698" t="s">
        <v>10093</v>
      </c>
      <c r="Q2698" t="s">
        <v>10094</v>
      </c>
      <c r="S2698" t="s">
        <v>12912</v>
      </c>
      <c r="T2698" t="s">
        <v>4891</v>
      </c>
      <c r="U2698" t="s">
        <v>45</v>
      </c>
      <c r="V2698" t="s">
        <v>46</v>
      </c>
      <c r="W2698" t="s">
        <v>10374</v>
      </c>
      <c r="X2698" t="s">
        <v>10375</v>
      </c>
      <c r="Y2698" t="s">
        <v>7938</v>
      </c>
      <c r="Z2698" t="s">
        <v>7939</v>
      </c>
      <c r="AA2698" t="s">
        <v>49</v>
      </c>
      <c r="AB2698" t="s">
        <v>50</v>
      </c>
      <c r="AC2698" s="2">
        <v>545875.84</v>
      </c>
      <c r="AD2698" t="s">
        <v>12913</v>
      </c>
      <c r="AE2698" t="s">
        <v>52</v>
      </c>
    </row>
    <row r="2699" spans="1:31" x14ac:dyDescent="0.25">
      <c r="A2699" t="s">
        <v>12914</v>
      </c>
      <c r="B2699" t="s">
        <v>12915</v>
      </c>
      <c r="C2699" t="s">
        <v>12916</v>
      </c>
      <c r="D2699" t="s">
        <v>1467</v>
      </c>
      <c r="E2699" t="s">
        <v>224</v>
      </c>
      <c r="F2699" t="s">
        <v>5352</v>
      </c>
      <c r="G2699" t="s">
        <v>76</v>
      </c>
      <c r="H2699" t="s">
        <v>87</v>
      </c>
      <c r="I2699" t="s">
        <v>5353</v>
      </c>
      <c r="J2699" s="2">
        <v>218170</v>
      </c>
      <c r="K2699" s="2">
        <v>1000</v>
      </c>
      <c r="L2699" s="2">
        <v>30</v>
      </c>
      <c r="M2699" s="2">
        <v>0</v>
      </c>
      <c r="N2699" t="s">
        <v>89</v>
      </c>
      <c r="O2699" t="s">
        <v>90</v>
      </c>
      <c r="P2699" t="s">
        <v>91</v>
      </c>
      <c r="Q2699" t="s">
        <v>92</v>
      </c>
      <c r="S2699" t="s">
        <v>5354</v>
      </c>
      <c r="T2699" t="s">
        <v>1754</v>
      </c>
      <c r="U2699" t="s">
        <v>45</v>
      </c>
      <c r="V2699" t="s">
        <v>46</v>
      </c>
      <c r="W2699" t="s">
        <v>89</v>
      </c>
      <c r="X2699" t="s">
        <v>90</v>
      </c>
      <c r="Y2699" t="s">
        <v>92</v>
      </c>
      <c r="Z2699" t="s">
        <v>94</v>
      </c>
      <c r="AA2699" t="s">
        <v>49</v>
      </c>
      <c r="AB2699" t="s">
        <v>50</v>
      </c>
      <c r="AC2699" s="2">
        <v>218170</v>
      </c>
      <c r="AD2699" t="s">
        <v>64</v>
      </c>
    </row>
    <row r="2700" spans="1:31" x14ac:dyDescent="0.25">
      <c r="A2700" t="s">
        <v>12917</v>
      </c>
      <c r="B2700" t="s">
        <v>12918</v>
      </c>
      <c r="C2700" t="s">
        <v>12919</v>
      </c>
      <c r="D2700" t="s">
        <v>1467</v>
      </c>
      <c r="E2700" t="s">
        <v>224</v>
      </c>
      <c r="F2700" t="s">
        <v>5352</v>
      </c>
      <c r="G2700" t="s">
        <v>76</v>
      </c>
      <c r="H2700" t="s">
        <v>87</v>
      </c>
      <c r="I2700" t="s">
        <v>5353</v>
      </c>
      <c r="J2700" s="2">
        <v>218170</v>
      </c>
      <c r="K2700" s="2">
        <v>1000</v>
      </c>
      <c r="L2700" s="2">
        <v>30</v>
      </c>
      <c r="M2700" s="2">
        <v>0</v>
      </c>
      <c r="N2700" t="s">
        <v>640</v>
      </c>
      <c r="O2700" t="s">
        <v>641</v>
      </c>
      <c r="P2700" t="s">
        <v>91</v>
      </c>
      <c r="Q2700" t="s">
        <v>92</v>
      </c>
      <c r="S2700" t="s">
        <v>5354</v>
      </c>
      <c r="T2700" t="s">
        <v>1754</v>
      </c>
      <c r="U2700" t="s">
        <v>45</v>
      </c>
      <c r="V2700" t="s">
        <v>46</v>
      </c>
      <c r="W2700" t="s">
        <v>640</v>
      </c>
      <c r="X2700" t="s">
        <v>641</v>
      </c>
      <c r="Y2700" t="s">
        <v>92</v>
      </c>
      <c r="Z2700" t="s">
        <v>94</v>
      </c>
      <c r="AA2700" t="s">
        <v>49</v>
      </c>
      <c r="AB2700" t="s">
        <v>50</v>
      </c>
      <c r="AC2700" s="2">
        <v>218170</v>
      </c>
      <c r="AD2700" t="s">
        <v>64</v>
      </c>
    </row>
    <row r="2701" spans="1:31" x14ac:dyDescent="0.25">
      <c r="A2701" t="s">
        <v>12920</v>
      </c>
      <c r="B2701" t="s">
        <v>12921</v>
      </c>
      <c r="C2701" t="s">
        <v>12921</v>
      </c>
      <c r="D2701" t="s">
        <v>35</v>
      </c>
      <c r="E2701" t="s">
        <v>36</v>
      </c>
      <c r="F2701" t="s">
        <v>12922</v>
      </c>
      <c r="G2701" t="s">
        <v>2754</v>
      </c>
      <c r="H2701" t="s">
        <v>1335</v>
      </c>
      <c r="I2701" t="s">
        <v>12923</v>
      </c>
      <c r="J2701" s="2">
        <v>218170</v>
      </c>
      <c r="K2701" s="2">
        <v>1000</v>
      </c>
      <c r="L2701" s="2">
        <v>15</v>
      </c>
      <c r="M2701" s="2">
        <v>0</v>
      </c>
      <c r="N2701" t="s">
        <v>254</v>
      </c>
      <c r="O2701" t="s">
        <v>255</v>
      </c>
      <c r="P2701" t="s">
        <v>4374</v>
      </c>
      <c r="Q2701" t="s">
        <v>4375</v>
      </c>
      <c r="S2701" t="s">
        <v>12924</v>
      </c>
      <c r="T2701" t="s">
        <v>519</v>
      </c>
      <c r="U2701" t="s">
        <v>45</v>
      </c>
      <c r="V2701" t="s">
        <v>46</v>
      </c>
      <c r="W2701" t="s">
        <v>254</v>
      </c>
      <c r="X2701" t="s">
        <v>255</v>
      </c>
      <c r="Y2701" t="s">
        <v>258</v>
      </c>
      <c r="Z2701" t="s">
        <v>259</v>
      </c>
      <c r="AA2701" t="s">
        <v>49</v>
      </c>
      <c r="AB2701" t="s">
        <v>50</v>
      </c>
      <c r="AC2701" s="2">
        <v>218132.73</v>
      </c>
      <c r="AD2701" t="s">
        <v>12925</v>
      </c>
      <c r="AE2701" t="s">
        <v>115</v>
      </c>
    </row>
    <row r="2702" spans="1:31" x14ac:dyDescent="0.25">
      <c r="A2702" t="s">
        <v>12926</v>
      </c>
      <c r="B2702" t="s">
        <v>12927</v>
      </c>
      <c r="C2702" t="s">
        <v>12927</v>
      </c>
      <c r="D2702" t="s">
        <v>35</v>
      </c>
      <c r="E2702" t="s">
        <v>36</v>
      </c>
      <c r="F2702" t="s">
        <v>12928</v>
      </c>
      <c r="G2702" t="s">
        <v>35</v>
      </c>
      <c r="H2702" t="s">
        <v>79</v>
      </c>
      <c r="I2702" t="s">
        <v>8506</v>
      </c>
      <c r="J2702" s="2">
        <v>218170</v>
      </c>
      <c r="K2702" s="2">
        <v>1000</v>
      </c>
      <c r="L2702" s="2">
        <v>21</v>
      </c>
      <c r="M2702" s="2">
        <v>0</v>
      </c>
      <c r="N2702" t="s">
        <v>495</v>
      </c>
      <c r="O2702" t="s">
        <v>79</v>
      </c>
      <c r="P2702" t="s">
        <v>3487</v>
      </c>
      <c r="Q2702" t="s">
        <v>3488</v>
      </c>
      <c r="S2702" t="s">
        <v>12929</v>
      </c>
      <c r="T2702" t="s">
        <v>519</v>
      </c>
      <c r="U2702" t="s">
        <v>45</v>
      </c>
      <c r="V2702" t="s">
        <v>46</v>
      </c>
      <c r="W2702" t="s">
        <v>495</v>
      </c>
      <c r="X2702" t="s">
        <v>79</v>
      </c>
      <c r="Y2702" t="s">
        <v>79</v>
      </c>
      <c r="Z2702" t="s">
        <v>94</v>
      </c>
      <c r="AA2702" t="s">
        <v>49</v>
      </c>
      <c r="AB2702" t="s">
        <v>50</v>
      </c>
      <c r="AC2702" s="2">
        <v>143178.99</v>
      </c>
      <c r="AD2702" t="s">
        <v>12930</v>
      </c>
      <c r="AE2702" t="s">
        <v>52</v>
      </c>
    </row>
    <row r="2703" spans="1:31" x14ac:dyDescent="0.25">
      <c r="A2703" t="s">
        <v>12931</v>
      </c>
      <c r="B2703" t="s">
        <v>12932</v>
      </c>
      <c r="C2703" t="s">
        <v>12932</v>
      </c>
      <c r="D2703" t="s">
        <v>35</v>
      </c>
      <c r="E2703" t="s">
        <v>36</v>
      </c>
      <c r="F2703" t="s">
        <v>12933</v>
      </c>
      <c r="G2703" t="s">
        <v>35</v>
      </c>
      <c r="H2703" t="s">
        <v>12934</v>
      </c>
      <c r="I2703" t="s">
        <v>12935</v>
      </c>
      <c r="J2703" s="2">
        <v>1603550</v>
      </c>
      <c r="K2703" s="2">
        <v>7350</v>
      </c>
      <c r="L2703" s="2">
        <v>21</v>
      </c>
      <c r="M2703" s="2">
        <v>0</v>
      </c>
      <c r="N2703" t="s">
        <v>12556</v>
      </c>
      <c r="O2703" t="s">
        <v>12557</v>
      </c>
      <c r="P2703" t="s">
        <v>3487</v>
      </c>
      <c r="Q2703" t="s">
        <v>3488</v>
      </c>
      <c r="S2703" t="s">
        <v>12936</v>
      </c>
      <c r="T2703" t="s">
        <v>519</v>
      </c>
      <c r="U2703" t="s">
        <v>45</v>
      </c>
      <c r="V2703" t="s">
        <v>46</v>
      </c>
      <c r="W2703" t="s">
        <v>12556</v>
      </c>
      <c r="X2703" t="s">
        <v>12557</v>
      </c>
      <c r="Y2703" t="s">
        <v>79</v>
      </c>
      <c r="Z2703" t="s">
        <v>94</v>
      </c>
      <c r="AA2703" t="s">
        <v>49</v>
      </c>
      <c r="AB2703" t="s">
        <v>50</v>
      </c>
      <c r="AC2703" s="2">
        <v>923785.44</v>
      </c>
      <c r="AD2703" t="s">
        <v>12937</v>
      </c>
      <c r="AE2703" t="s">
        <v>52</v>
      </c>
    </row>
    <row r="2704" spans="1:31" x14ac:dyDescent="0.25">
      <c r="A2704" t="s">
        <v>12938</v>
      </c>
      <c r="B2704" t="s">
        <v>12939</v>
      </c>
      <c r="C2704" t="s">
        <v>12939</v>
      </c>
      <c r="D2704" t="s">
        <v>125</v>
      </c>
      <c r="E2704" t="s">
        <v>126</v>
      </c>
      <c r="F2704" t="s">
        <v>12940</v>
      </c>
      <c r="G2704" t="s">
        <v>125</v>
      </c>
      <c r="H2704" t="s">
        <v>3119</v>
      </c>
      <c r="I2704" t="s">
        <v>12941</v>
      </c>
      <c r="J2704" s="2">
        <v>327255</v>
      </c>
      <c r="K2704" s="2">
        <v>1500</v>
      </c>
      <c r="L2704" s="2">
        <v>30</v>
      </c>
      <c r="M2704" s="2">
        <v>0</v>
      </c>
      <c r="N2704" t="s">
        <v>3121</v>
      </c>
      <c r="O2704" t="s">
        <v>3122</v>
      </c>
      <c r="P2704" t="s">
        <v>1212</v>
      </c>
      <c r="Q2704" t="s">
        <v>1213</v>
      </c>
      <c r="S2704" t="s">
        <v>12942</v>
      </c>
      <c r="T2704" t="s">
        <v>519</v>
      </c>
      <c r="U2704" t="s">
        <v>45</v>
      </c>
      <c r="V2704" t="s">
        <v>46</v>
      </c>
      <c r="W2704" t="s">
        <v>3121</v>
      </c>
      <c r="X2704" t="s">
        <v>3124</v>
      </c>
      <c r="Y2704" t="s">
        <v>1215</v>
      </c>
      <c r="Z2704" t="s">
        <v>1216</v>
      </c>
      <c r="AA2704" t="s">
        <v>49</v>
      </c>
      <c r="AB2704" t="s">
        <v>50</v>
      </c>
      <c r="AC2704" s="2">
        <v>218334.76</v>
      </c>
      <c r="AD2704" t="s">
        <v>12943</v>
      </c>
      <c r="AE2704" t="s">
        <v>52</v>
      </c>
    </row>
    <row r="2705" spans="1:31" hidden="1" x14ac:dyDescent="0.25">
      <c r="A2705" t="s">
        <v>12944</v>
      </c>
      <c r="B2705" t="s">
        <v>12945</v>
      </c>
      <c r="C2705" t="s">
        <v>12945</v>
      </c>
      <c r="F2705" t="s">
        <v>12946</v>
      </c>
      <c r="H2705" t="s">
        <v>2831</v>
      </c>
      <c r="I2705" t="s">
        <v>12947</v>
      </c>
      <c r="J2705" s="2">
        <v>218170</v>
      </c>
      <c r="K2705" s="2">
        <v>1000</v>
      </c>
      <c r="L2705" s="2">
        <v>15</v>
      </c>
      <c r="M2705" s="2">
        <v>0</v>
      </c>
      <c r="N2705" t="s">
        <v>80</v>
      </c>
      <c r="O2705" t="s">
        <v>81</v>
      </c>
      <c r="P2705" t="s">
        <v>557</v>
      </c>
      <c r="Q2705" t="s">
        <v>558</v>
      </c>
      <c r="S2705" t="s">
        <v>12948</v>
      </c>
      <c r="T2705" t="s">
        <v>1142</v>
      </c>
      <c r="U2705" t="s">
        <v>45</v>
      </c>
      <c r="V2705" t="s">
        <v>46</v>
      </c>
      <c r="W2705" t="s">
        <v>80</v>
      </c>
      <c r="X2705" t="s">
        <v>81</v>
      </c>
      <c r="Y2705" t="s">
        <v>85</v>
      </c>
      <c r="Z2705" t="s">
        <v>86</v>
      </c>
      <c r="AA2705" t="s">
        <v>49</v>
      </c>
      <c r="AB2705" t="s">
        <v>50</v>
      </c>
      <c r="AC2705" s="2">
        <v>218170</v>
      </c>
      <c r="AD2705" t="s">
        <v>64</v>
      </c>
    </row>
    <row r="2706" spans="1:31" x14ac:dyDescent="0.25">
      <c r="A2706" t="s">
        <v>12949</v>
      </c>
      <c r="B2706" t="s">
        <v>12950</v>
      </c>
      <c r="C2706" t="s">
        <v>12950</v>
      </c>
      <c r="D2706" t="s">
        <v>984</v>
      </c>
      <c r="E2706" t="s">
        <v>985</v>
      </c>
      <c r="F2706" t="s">
        <v>12951</v>
      </c>
      <c r="G2706" t="s">
        <v>5795</v>
      </c>
      <c r="H2706" t="s">
        <v>12498</v>
      </c>
      <c r="I2706" t="s">
        <v>12952</v>
      </c>
      <c r="J2706" s="2">
        <v>218170</v>
      </c>
      <c r="K2706" s="2">
        <v>1000</v>
      </c>
      <c r="L2706" s="2">
        <v>15</v>
      </c>
      <c r="M2706" s="2">
        <v>0</v>
      </c>
      <c r="N2706" t="s">
        <v>80</v>
      </c>
      <c r="O2706" t="s">
        <v>81</v>
      </c>
      <c r="P2706" t="s">
        <v>557</v>
      </c>
      <c r="Q2706" t="s">
        <v>558</v>
      </c>
      <c r="S2706" t="s">
        <v>12953</v>
      </c>
      <c r="T2706" t="s">
        <v>1142</v>
      </c>
      <c r="U2706" t="s">
        <v>45</v>
      </c>
      <c r="V2706" t="s">
        <v>46</v>
      </c>
      <c r="W2706" t="s">
        <v>80</v>
      </c>
      <c r="X2706" t="s">
        <v>81</v>
      </c>
      <c r="Y2706" t="s">
        <v>85</v>
      </c>
      <c r="Z2706" t="s">
        <v>86</v>
      </c>
      <c r="AA2706" t="s">
        <v>49</v>
      </c>
      <c r="AB2706" t="s">
        <v>50</v>
      </c>
      <c r="AC2706" s="2">
        <v>190166.78</v>
      </c>
      <c r="AD2706" t="s">
        <v>12954</v>
      </c>
      <c r="AE2706" t="s">
        <v>115</v>
      </c>
    </row>
    <row r="2707" spans="1:31" x14ac:dyDescent="0.25">
      <c r="A2707" t="s">
        <v>12955</v>
      </c>
      <c r="B2707" t="s">
        <v>12956</v>
      </c>
      <c r="C2707" t="s">
        <v>12956</v>
      </c>
      <c r="D2707" t="s">
        <v>153</v>
      </c>
      <c r="E2707" t="s">
        <v>272</v>
      </c>
      <c r="F2707" t="s">
        <v>12957</v>
      </c>
      <c r="G2707" t="s">
        <v>297</v>
      </c>
      <c r="H2707" t="s">
        <v>2399</v>
      </c>
      <c r="I2707" t="s">
        <v>12958</v>
      </c>
      <c r="J2707" s="2">
        <v>122835</v>
      </c>
      <c r="K2707" s="2">
        <v>500</v>
      </c>
      <c r="L2707" s="2">
        <v>21</v>
      </c>
      <c r="M2707" s="2">
        <v>0</v>
      </c>
      <c r="N2707" t="s">
        <v>11225</v>
      </c>
      <c r="O2707" t="s">
        <v>2399</v>
      </c>
      <c r="P2707" t="s">
        <v>6987</v>
      </c>
      <c r="Q2707" t="s">
        <v>6988</v>
      </c>
      <c r="S2707" t="s">
        <v>12959</v>
      </c>
      <c r="T2707" t="s">
        <v>1142</v>
      </c>
      <c r="U2707" t="s">
        <v>45</v>
      </c>
      <c r="V2707" t="s">
        <v>46</v>
      </c>
      <c r="W2707" t="s">
        <v>2571</v>
      </c>
      <c r="X2707" t="s">
        <v>2572</v>
      </c>
      <c r="Y2707" t="s">
        <v>2399</v>
      </c>
      <c r="Z2707" t="s">
        <v>2400</v>
      </c>
      <c r="AA2707" t="s">
        <v>49</v>
      </c>
      <c r="AB2707" t="s">
        <v>50</v>
      </c>
      <c r="AC2707" s="2">
        <v>-93237.25</v>
      </c>
      <c r="AD2707" t="s">
        <v>12960</v>
      </c>
      <c r="AE2707" t="s">
        <v>115</v>
      </c>
    </row>
    <row r="2708" spans="1:31" hidden="1" x14ac:dyDescent="0.25">
      <c r="A2708" t="s">
        <v>12961</v>
      </c>
      <c r="B2708" t="s">
        <v>12962</v>
      </c>
      <c r="C2708" t="s">
        <v>12962</v>
      </c>
      <c r="F2708" t="s">
        <v>12963</v>
      </c>
      <c r="H2708" t="s">
        <v>79</v>
      </c>
      <c r="I2708" t="s">
        <v>12964</v>
      </c>
      <c r="J2708" s="2">
        <v>218170</v>
      </c>
      <c r="K2708" s="2">
        <v>1000</v>
      </c>
      <c r="L2708" s="2">
        <v>21</v>
      </c>
      <c r="M2708" s="2">
        <v>0</v>
      </c>
      <c r="N2708" t="s">
        <v>495</v>
      </c>
      <c r="O2708" t="s">
        <v>79</v>
      </c>
      <c r="P2708" t="s">
        <v>3487</v>
      </c>
      <c r="Q2708" t="s">
        <v>3488</v>
      </c>
      <c r="S2708" t="s">
        <v>12965</v>
      </c>
      <c r="T2708" t="s">
        <v>1142</v>
      </c>
      <c r="U2708" t="s">
        <v>45</v>
      </c>
      <c r="V2708" t="s">
        <v>46</v>
      </c>
      <c r="W2708" t="s">
        <v>495</v>
      </c>
      <c r="X2708" t="s">
        <v>79</v>
      </c>
      <c r="Y2708" t="s">
        <v>79</v>
      </c>
      <c r="Z2708" t="s">
        <v>94</v>
      </c>
      <c r="AA2708" t="s">
        <v>49</v>
      </c>
      <c r="AB2708" t="s">
        <v>50</v>
      </c>
      <c r="AC2708" s="2">
        <v>218170</v>
      </c>
      <c r="AD2708" t="s">
        <v>64</v>
      </c>
    </row>
    <row r="2709" spans="1:31" x14ac:dyDescent="0.25">
      <c r="A2709" t="s">
        <v>12966</v>
      </c>
      <c r="B2709" t="s">
        <v>12967</v>
      </c>
      <c r="C2709" t="s">
        <v>12967</v>
      </c>
      <c r="D2709" t="s">
        <v>35</v>
      </c>
      <c r="E2709" t="s">
        <v>36</v>
      </c>
      <c r="F2709" t="s">
        <v>12968</v>
      </c>
      <c r="G2709" t="s">
        <v>35</v>
      </c>
      <c r="H2709" t="s">
        <v>238</v>
      </c>
      <c r="I2709" t="s">
        <v>12969</v>
      </c>
      <c r="J2709" s="2">
        <v>218170</v>
      </c>
      <c r="K2709" s="2">
        <v>1000</v>
      </c>
      <c r="L2709" s="2">
        <v>21</v>
      </c>
      <c r="M2709" s="2">
        <v>0</v>
      </c>
      <c r="N2709" t="s">
        <v>118</v>
      </c>
      <c r="O2709" t="s">
        <v>119</v>
      </c>
      <c r="P2709" t="s">
        <v>120</v>
      </c>
      <c r="Q2709" t="s">
        <v>121</v>
      </c>
      <c r="S2709" t="s">
        <v>12970</v>
      </c>
      <c r="T2709" t="s">
        <v>2126</v>
      </c>
      <c r="U2709" t="s">
        <v>45</v>
      </c>
      <c r="V2709" t="s">
        <v>46</v>
      </c>
      <c r="W2709" t="s">
        <v>118</v>
      </c>
      <c r="X2709" t="s">
        <v>119</v>
      </c>
      <c r="Y2709" t="s">
        <v>121</v>
      </c>
      <c r="Z2709" t="s">
        <v>94</v>
      </c>
      <c r="AA2709" t="s">
        <v>49</v>
      </c>
      <c r="AB2709" t="s">
        <v>50</v>
      </c>
      <c r="AC2709" s="2">
        <v>153701.81</v>
      </c>
      <c r="AD2709" t="s">
        <v>12971</v>
      </c>
      <c r="AE2709" t="s">
        <v>52</v>
      </c>
    </row>
    <row r="2710" spans="1:31" x14ac:dyDescent="0.25">
      <c r="A2710" t="s">
        <v>12972</v>
      </c>
      <c r="B2710" t="s">
        <v>12973</v>
      </c>
      <c r="C2710" t="s">
        <v>12973</v>
      </c>
      <c r="D2710" t="s">
        <v>35</v>
      </c>
      <c r="E2710" t="s">
        <v>36</v>
      </c>
      <c r="F2710" t="s">
        <v>12974</v>
      </c>
      <c r="G2710" t="s">
        <v>847</v>
      </c>
      <c r="H2710" t="s">
        <v>7668</v>
      </c>
      <c r="I2710" t="s">
        <v>12975</v>
      </c>
      <c r="J2710" s="2">
        <v>218170</v>
      </c>
      <c r="K2710" s="2">
        <v>1000</v>
      </c>
      <c r="L2710" s="2">
        <v>21</v>
      </c>
      <c r="M2710" s="2">
        <v>0</v>
      </c>
      <c r="N2710" t="s">
        <v>7669</v>
      </c>
      <c r="O2710" t="s">
        <v>7670</v>
      </c>
      <c r="P2710" t="s">
        <v>5966</v>
      </c>
      <c r="Q2710" t="s">
        <v>5739</v>
      </c>
      <c r="S2710" t="s">
        <v>12976</v>
      </c>
      <c r="T2710" t="s">
        <v>2126</v>
      </c>
      <c r="U2710" t="s">
        <v>45</v>
      </c>
      <c r="V2710" t="s">
        <v>46</v>
      </c>
      <c r="W2710" t="s">
        <v>7669</v>
      </c>
      <c r="X2710" t="s">
        <v>7670</v>
      </c>
      <c r="Y2710" t="s">
        <v>5743</v>
      </c>
      <c r="Z2710" t="s">
        <v>5744</v>
      </c>
      <c r="AA2710" t="s">
        <v>49</v>
      </c>
      <c r="AB2710" t="s">
        <v>50</v>
      </c>
      <c r="AC2710" s="2">
        <v>218170</v>
      </c>
      <c r="AD2710" t="s">
        <v>64</v>
      </c>
    </row>
    <row r="2711" spans="1:31" hidden="1" x14ac:dyDescent="0.25">
      <c r="A2711" t="s">
        <v>12977</v>
      </c>
      <c r="B2711" t="s">
        <v>12978</v>
      </c>
      <c r="C2711" t="s">
        <v>12978</v>
      </c>
      <c r="F2711" t="s">
        <v>12979</v>
      </c>
      <c r="H2711" t="s">
        <v>79</v>
      </c>
      <c r="I2711" t="s">
        <v>12980</v>
      </c>
      <c r="J2711" s="2">
        <v>218170</v>
      </c>
      <c r="K2711" s="2">
        <v>1000</v>
      </c>
      <c r="L2711" s="2">
        <v>30</v>
      </c>
      <c r="M2711" s="2">
        <v>0</v>
      </c>
      <c r="N2711" t="s">
        <v>495</v>
      </c>
      <c r="O2711" t="s">
        <v>79</v>
      </c>
      <c r="P2711" t="s">
        <v>4853</v>
      </c>
      <c r="Q2711" t="s">
        <v>4854</v>
      </c>
      <c r="S2711" t="s">
        <v>12981</v>
      </c>
      <c r="T2711" t="s">
        <v>2126</v>
      </c>
      <c r="U2711" t="s">
        <v>45</v>
      </c>
      <c r="V2711" t="s">
        <v>46</v>
      </c>
      <c r="W2711" t="s">
        <v>495</v>
      </c>
      <c r="X2711" t="s">
        <v>79</v>
      </c>
      <c r="Y2711" t="s">
        <v>79</v>
      </c>
      <c r="Z2711" t="s">
        <v>94</v>
      </c>
      <c r="AA2711" t="s">
        <v>49</v>
      </c>
      <c r="AB2711" t="s">
        <v>50</v>
      </c>
      <c r="AC2711" s="2">
        <v>218170</v>
      </c>
      <c r="AD2711" t="s">
        <v>64</v>
      </c>
    </row>
    <row r="2712" spans="1:31" x14ac:dyDescent="0.25">
      <c r="A2712" t="s">
        <v>12982</v>
      </c>
      <c r="B2712" t="s">
        <v>12983</v>
      </c>
      <c r="C2712" t="s">
        <v>12983</v>
      </c>
      <c r="D2712" t="s">
        <v>847</v>
      </c>
      <c r="E2712" t="s">
        <v>848</v>
      </c>
      <c r="F2712" t="s">
        <v>12984</v>
      </c>
      <c r="G2712" t="s">
        <v>847</v>
      </c>
      <c r="H2712" t="s">
        <v>7935</v>
      </c>
      <c r="I2712" t="s">
        <v>12985</v>
      </c>
      <c r="J2712" s="2">
        <v>218170</v>
      </c>
      <c r="K2712" s="2">
        <v>1000</v>
      </c>
      <c r="L2712" s="2">
        <v>30</v>
      </c>
      <c r="M2712" s="2">
        <v>0</v>
      </c>
      <c r="N2712" t="s">
        <v>7936</v>
      </c>
      <c r="O2712" t="s">
        <v>7935</v>
      </c>
      <c r="P2712" t="s">
        <v>10093</v>
      </c>
      <c r="Q2712" t="s">
        <v>10094</v>
      </c>
      <c r="S2712" t="s">
        <v>12986</v>
      </c>
      <c r="T2712" t="s">
        <v>4221</v>
      </c>
      <c r="U2712" t="s">
        <v>45</v>
      </c>
      <c r="V2712" t="s">
        <v>46</v>
      </c>
      <c r="W2712" t="s">
        <v>7936</v>
      </c>
      <c r="X2712" t="s">
        <v>7935</v>
      </c>
      <c r="Y2712" t="s">
        <v>7938</v>
      </c>
      <c r="Z2712" t="s">
        <v>7939</v>
      </c>
      <c r="AA2712" t="s">
        <v>49</v>
      </c>
      <c r="AB2712" t="s">
        <v>50</v>
      </c>
      <c r="AC2712" s="2">
        <v>107465.32</v>
      </c>
      <c r="AD2712" t="s">
        <v>12987</v>
      </c>
      <c r="AE2712" t="s">
        <v>52</v>
      </c>
    </row>
    <row r="2713" spans="1:31" x14ac:dyDescent="0.25">
      <c r="A2713" t="s">
        <v>12988</v>
      </c>
      <c r="B2713" t="s">
        <v>12989</v>
      </c>
      <c r="C2713" t="s">
        <v>12990</v>
      </c>
      <c r="D2713" t="s">
        <v>649</v>
      </c>
      <c r="E2713" t="s">
        <v>871</v>
      </c>
      <c r="F2713" t="s">
        <v>12991</v>
      </c>
      <c r="G2713" t="s">
        <v>649</v>
      </c>
      <c r="H2713" t="s">
        <v>139</v>
      </c>
      <c r="I2713" t="s">
        <v>12992</v>
      </c>
      <c r="J2713" s="2">
        <v>218170</v>
      </c>
      <c r="K2713" s="2">
        <v>1000</v>
      </c>
      <c r="L2713" s="2">
        <v>30</v>
      </c>
      <c r="M2713" s="2">
        <v>0</v>
      </c>
      <c r="N2713" t="s">
        <v>8853</v>
      </c>
      <c r="O2713" t="s">
        <v>139</v>
      </c>
      <c r="P2713" t="s">
        <v>941</v>
      </c>
      <c r="Q2713" t="s">
        <v>139</v>
      </c>
      <c r="S2713" t="s">
        <v>12993</v>
      </c>
      <c r="T2713" t="s">
        <v>4221</v>
      </c>
      <c r="U2713" t="s">
        <v>45</v>
      </c>
      <c r="V2713" t="s">
        <v>46</v>
      </c>
      <c r="W2713" t="s">
        <v>8853</v>
      </c>
      <c r="X2713" t="s">
        <v>139</v>
      </c>
      <c r="Y2713" t="s">
        <v>139</v>
      </c>
      <c r="Z2713" t="s">
        <v>140</v>
      </c>
      <c r="AA2713" t="s">
        <v>49</v>
      </c>
      <c r="AB2713" t="s">
        <v>50</v>
      </c>
      <c r="AC2713" s="2">
        <v>177792</v>
      </c>
      <c r="AD2713" t="s">
        <v>12994</v>
      </c>
      <c r="AE2713" t="s">
        <v>52</v>
      </c>
    </row>
    <row r="2714" spans="1:31" x14ac:dyDescent="0.25">
      <c r="A2714" t="s">
        <v>12995</v>
      </c>
      <c r="B2714" t="s">
        <v>12996</v>
      </c>
      <c r="C2714" t="s">
        <v>12996</v>
      </c>
      <c r="D2714" t="s">
        <v>485</v>
      </c>
      <c r="E2714" t="s">
        <v>224</v>
      </c>
      <c r="F2714" t="s">
        <v>12991</v>
      </c>
      <c r="G2714" t="s">
        <v>264</v>
      </c>
      <c r="H2714" t="s">
        <v>139</v>
      </c>
      <c r="I2714" t="s">
        <v>12992</v>
      </c>
      <c r="J2714" s="2">
        <v>218170</v>
      </c>
      <c r="K2714" s="2">
        <v>1000</v>
      </c>
      <c r="L2714" s="2">
        <v>30</v>
      </c>
      <c r="M2714" s="2">
        <v>0</v>
      </c>
      <c r="N2714" t="s">
        <v>8853</v>
      </c>
      <c r="O2714" t="s">
        <v>139</v>
      </c>
      <c r="P2714" t="s">
        <v>941</v>
      </c>
      <c r="Q2714" t="s">
        <v>139</v>
      </c>
      <c r="S2714" t="s">
        <v>12993</v>
      </c>
      <c r="T2714" t="s">
        <v>4221</v>
      </c>
      <c r="U2714" t="s">
        <v>45</v>
      </c>
      <c r="V2714" t="s">
        <v>46</v>
      </c>
      <c r="W2714" t="s">
        <v>8853</v>
      </c>
      <c r="X2714" t="s">
        <v>139</v>
      </c>
      <c r="Y2714" t="s">
        <v>139</v>
      </c>
      <c r="Z2714" t="s">
        <v>140</v>
      </c>
      <c r="AA2714" t="s">
        <v>49</v>
      </c>
      <c r="AB2714" t="s">
        <v>50</v>
      </c>
      <c r="AC2714" s="2">
        <v>218170</v>
      </c>
      <c r="AD2714" t="s">
        <v>64</v>
      </c>
    </row>
    <row r="2715" spans="1:31" x14ac:dyDescent="0.25">
      <c r="A2715" t="s">
        <v>12997</v>
      </c>
      <c r="B2715" t="s">
        <v>12998</v>
      </c>
      <c r="C2715" t="s">
        <v>12998</v>
      </c>
      <c r="D2715" t="s">
        <v>847</v>
      </c>
      <c r="E2715" t="s">
        <v>848</v>
      </c>
      <c r="F2715" t="s">
        <v>9578</v>
      </c>
      <c r="G2715" t="s">
        <v>1410</v>
      </c>
      <c r="H2715" t="s">
        <v>6058</v>
      </c>
      <c r="I2715" t="s">
        <v>9582</v>
      </c>
      <c r="J2715" s="2">
        <v>224380</v>
      </c>
      <c r="K2715" s="2">
        <v>1000</v>
      </c>
      <c r="L2715" s="2">
        <v>30</v>
      </c>
      <c r="M2715" s="2">
        <v>0</v>
      </c>
      <c r="N2715" t="s">
        <v>5741</v>
      </c>
      <c r="O2715" t="s">
        <v>5739</v>
      </c>
      <c r="P2715" t="s">
        <v>5966</v>
      </c>
      <c r="Q2715" t="s">
        <v>5739</v>
      </c>
      <c r="S2715" t="s">
        <v>12999</v>
      </c>
      <c r="T2715" t="s">
        <v>4221</v>
      </c>
      <c r="U2715" t="s">
        <v>45</v>
      </c>
      <c r="V2715" t="s">
        <v>46</v>
      </c>
      <c r="W2715" t="s">
        <v>5741</v>
      </c>
      <c r="X2715" t="s">
        <v>5739</v>
      </c>
      <c r="Y2715" t="s">
        <v>5743</v>
      </c>
      <c r="Z2715" t="s">
        <v>5744</v>
      </c>
      <c r="AA2715" t="s">
        <v>49</v>
      </c>
      <c r="AB2715" t="s">
        <v>50</v>
      </c>
      <c r="AC2715" s="2">
        <v>197451.59</v>
      </c>
      <c r="AD2715" t="s">
        <v>13000</v>
      </c>
      <c r="AE2715" t="s">
        <v>115</v>
      </c>
    </row>
    <row r="2716" spans="1:31" x14ac:dyDescent="0.25">
      <c r="A2716" t="s">
        <v>13001</v>
      </c>
      <c r="B2716" t="s">
        <v>13002</v>
      </c>
      <c r="C2716" t="s">
        <v>13002</v>
      </c>
      <c r="D2716" t="s">
        <v>125</v>
      </c>
      <c r="E2716" t="s">
        <v>126</v>
      </c>
      <c r="F2716" t="s">
        <v>13003</v>
      </c>
      <c r="G2716" t="s">
        <v>125</v>
      </c>
      <c r="H2716" t="s">
        <v>137</v>
      </c>
      <c r="I2716" t="s">
        <v>12841</v>
      </c>
      <c r="J2716" s="2">
        <v>305438</v>
      </c>
      <c r="K2716" s="2">
        <v>1400</v>
      </c>
      <c r="L2716" s="2">
        <v>15</v>
      </c>
      <c r="M2716" s="2">
        <v>0</v>
      </c>
      <c r="N2716" t="s">
        <v>136</v>
      </c>
      <c r="O2716" t="s">
        <v>137</v>
      </c>
      <c r="P2716" t="s">
        <v>256</v>
      </c>
      <c r="Q2716" t="s">
        <v>255</v>
      </c>
      <c r="S2716" t="s">
        <v>13004</v>
      </c>
      <c r="T2716" t="s">
        <v>4221</v>
      </c>
      <c r="U2716" t="s">
        <v>45</v>
      </c>
      <c r="V2716" t="s">
        <v>46</v>
      </c>
      <c r="W2716" t="s">
        <v>136</v>
      </c>
      <c r="X2716" t="s">
        <v>137</v>
      </c>
      <c r="Y2716" t="s">
        <v>137</v>
      </c>
      <c r="Z2716" t="s">
        <v>717</v>
      </c>
      <c r="AA2716" t="s">
        <v>49</v>
      </c>
      <c r="AB2716" t="s">
        <v>50</v>
      </c>
      <c r="AC2716" s="2">
        <v>273303.86</v>
      </c>
      <c r="AD2716" t="s">
        <v>13005</v>
      </c>
      <c r="AE2716" t="s">
        <v>52</v>
      </c>
    </row>
    <row r="2717" spans="1:31" x14ac:dyDescent="0.25">
      <c r="A2717" t="s">
        <v>13006</v>
      </c>
      <c r="B2717" t="s">
        <v>13007</v>
      </c>
      <c r="C2717" t="s">
        <v>13007</v>
      </c>
      <c r="D2717" t="s">
        <v>1939</v>
      </c>
      <c r="E2717" t="s">
        <v>224</v>
      </c>
      <c r="F2717" t="s">
        <v>13008</v>
      </c>
      <c r="G2717" t="s">
        <v>331</v>
      </c>
      <c r="H2717" t="s">
        <v>11860</v>
      </c>
      <c r="I2717" t="s">
        <v>13009</v>
      </c>
      <c r="J2717" s="2">
        <v>218170</v>
      </c>
      <c r="K2717" s="2">
        <v>1000</v>
      </c>
      <c r="L2717" s="2">
        <v>15</v>
      </c>
      <c r="M2717" s="2">
        <v>0</v>
      </c>
      <c r="N2717" t="s">
        <v>1362</v>
      </c>
      <c r="O2717" t="s">
        <v>1360</v>
      </c>
      <c r="P2717" t="s">
        <v>1421</v>
      </c>
      <c r="Q2717" t="s">
        <v>1422</v>
      </c>
      <c r="S2717" t="s">
        <v>13010</v>
      </c>
      <c r="T2717" t="s">
        <v>323</v>
      </c>
      <c r="U2717" t="s">
        <v>45</v>
      </c>
      <c r="V2717" t="s">
        <v>46</v>
      </c>
      <c r="W2717" t="s">
        <v>1362</v>
      </c>
      <c r="X2717" t="s">
        <v>1360</v>
      </c>
      <c r="Y2717" t="s">
        <v>1215</v>
      </c>
      <c r="Z2717" t="s">
        <v>1216</v>
      </c>
      <c r="AA2717" t="s">
        <v>49</v>
      </c>
      <c r="AB2717" t="s">
        <v>50</v>
      </c>
      <c r="AC2717" s="2">
        <v>218170</v>
      </c>
      <c r="AD2717" t="s">
        <v>64</v>
      </c>
    </row>
    <row r="2718" spans="1:31" x14ac:dyDescent="0.25">
      <c r="A2718" t="s">
        <v>13011</v>
      </c>
      <c r="B2718" t="s">
        <v>13012</v>
      </c>
      <c r="C2718" t="s">
        <v>13012</v>
      </c>
      <c r="D2718" t="s">
        <v>166</v>
      </c>
      <c r="E2718" t="s">
        <v>167</v>
      </c>
      <c r="F2718" t="s">
        <v>13013</v>
      </c>
      <c r="G2718" t="s">
        <v>166</v>
      </c>
      <c r="H2718" t="s">
        <v>139</v>
      </c>
      <c r="I2718" t="s">
        <v>13014</v>
      </c>
      <c r="J2718" s="2">
        <v>436340</v>
      </c>
      <c r="K2718" s="2">
        <v>2000</v>
      </c>
      <c r="L2718" s="2">
        <v>2</v>
      </c>
      <c r="M2718" s="2">
        <v>0</v>
      </c>
      <c r="N2718" t="s">
        <v>8853</v>
      </c>
      <c r="O2718" t="s">
        <v>139</v>
      </c>
      <c r="P2718" t="s">
        <v>10093</v>
      </c>
      <c r="Q2718" t="s">
        <v>10094</v>
      </c>
      <c r="S2718" t="s">
        <v>13015</v>
      </c>
      <c r="T2718" t="s">
        <v>323</v>
      </c>
      <c r="U2718" t="s">
        <v>45</v>
      </c>
      <c r="V2718" t="s">
        <v>46</v>
      </c>
      <c r="W2718" t="s">
        <v>8853</v>
      </c>
      <c r="X2718" t="s">
        <v>139</v>
      </c>
      <c r="Y2718" t="s">
        <v>139</v>
      </c>
      <c r="Z2718" t="s">
        <v>140</v>
      </c>
      <c r="AA2718" t="s">
        <v>49</v>
      </c>
      <c r="AB2718" t="s">
        <v>50</v>
      </c>
      <c r="AC2718" s="2">
        <v>354878.69</v>
      </c>
      <c r="AD2718" t="s">
        <v>13016</v>
      </c>
      <c r="AE2718" t="s">
        <v>115</v>
      </c>
    </row>
    <row r="2719" spans="1:31" hidden="1" x14ac:dyDescent="0.25">
      <c r="A2719" t="s">
        <v>13017</v>
      </c>
      <c r="B2719" t="s">
        <v>13018</v>
      </c>
      <c r="C2719" t="s">
        <v>13018</v>
      </c>
      <c r="F2719" t="s">
        <v>13019</v>
      </c>
      <c r="H2719" t="s">
        <v>5009</v>
      </c>
      <c r="I2719" t="s">
        <v>13020</v>
      </c>
      <c r="J2719" s="2">
        <v>218170</v>
      </c>
      <c r="K2719" s="2">
        <v>1000</v>
      </c>
      <c r="L2719" s="2">
        <v>15</v>
      </c>
      <c r="M2719" s="2">
        <v>0</v>
      </c>
      <c r="N2719" t="s">
        <v>11459</v>
      </c>
      <c r="O2719" t="s">
        <v>11440</v>
      </c>
      <c r="P2719" t="s">
        <v>256</v>
      </c>
      <c r="Q2719" t="s">
        <v>255</v>
      </c>
      <c r="S2719" t="s">
        <v>13021</v>
      </c>
      <c r="T2719" t="s">
        <v>323</v>
      </c>
      <c r="U2719" t="s">
        <v>45</v>
      </c>
      <c r="V2719" t="s">
        <v>46</v>
      </c>
      <c r="W2719" t="s">
        <v>11459</v>
      </c>
      <c r="X2719" t="s">
        <v>11440</v>
      </c>
      <c r="Y2719" t="s">
        <v>137</v>
      </c>
      <c r="Z2719" t="s">
        <v>717</v>
      </c>
      <c r="AA2719" t="s">
        <v>49</v>
      </c>
      <c r="AB2719" t="s">
        <v>50</v>
      </c>
      <c r="AC2719" s="2">
        <v>218170</v>
      </c>
      <c r="AD2719" t="s">
        <v>64</v>
      </c>
    </row>
    <row r="2720" spans="1:31" x14ac:dyDescent="0.25">
      <c r="A2720" t="s">
        <v>13022</v>
      </c>
      <c r="B2720" t="s">
        <v>13023</v>
      </c>
      <c r="C2720" t="s">
        <v>13023</v>
      </c>
      <c r="D2720" t="s">
        <v>35</v>
      </c>
      <c r="E2720" t="s">
        <v>36</v>
      </c>
      <c r="F2720" t="s">
        <v>13024</v>
      </c>
      <c r="G2720" t="s">
        <v>166</v>
      </c>
      <c r="H2720" t="s">
        <v>2396</v>
      </c>
      <c r="I2720" t="s">
        <v>13025</v>
      </c>
      <c r="J2720" s="2">
        <v>844318</v>
      </c>
      <c r="K2720" s="2">
        <v>3870</v>
      </c>
      <c r="L2720" s="2">
        <v>21</v>
      </c>
      <c r="M2720" s="2">
        <v>0</v>
      </c>
      <c r="N2720" t="s">
        <v>6985</v>
      </c>
      <c r="O2720" t="s">
        <v>6986</v>
      </c>
      <c r="P2720" t="s">
        <v>6987</v>
      </c>
      <c r="Q2720" t="s">
        <v>6988</v>
      </c>
      <c r="S2720" t="s">
        <v>13026</v>
      </c>
      <c r="T2720" t="s">
        <v>323</v>
      </c>
      <c r="U2720" t="s">
        <v>45</v>
      </c>
      <c r="V2720" t="s">
        <v>46</v>
      </c>
      <c r="W2720" t="s">
        <v>6985</v>
      </c>
      <c r="X2720" t="s">
        <v>6986</v>
      </c>
      <c r="Y2720" t="s">
        <v>2399</v>
      </c>
      <c r="Z2720" t="s">
        <v>2400</v>
      </c>
      <c r="AA2720" t="s">
        <v>49</v>
      </c>
      <c r="AB2720" t="s">
        <v>50</v>
      </c>
      <c r="AC2720" s="2">
        <v>432839.66</v>
      </c>
      <c r="AD2720" t="s">
        <v>13027</v>
      </c>
      <c r="AE2720" t="s">
        <v>52</v>
      </c>
    </row>
    <row r="2721" spans="1:31" x14ac:dyDescent="0.25">
      <c r="A2721" t="s">
        <v>13028</v>
      </c>
      <c r="B2721" t="s">
        <v>13029</v>
      </c>
      <c r="C2721" t="s">
        <v>13029</v>
      </c>
      <c r="D2721" t="s">
        <v>619</v>
      </c>
      <c r="E2721" t="s">
        <v>77</v>
      </c>
      <c r="F2721" t="s">
        <v>13030</v>
      </c>
      <c r="G2721" t="s">
        <v>323</v>
      </c>
      <c r="H2721" t="s">
        <v>5009</v>
      </c>
      <c r="I2721" t="s">
        <v>13031</v>
      </c>
      <c r="J2721" s="2">
        <v>218170</v>
      </c>
      <c r="K2721" s="2">
        <v>1000</v>
      </c>
      <c r="L2721" s="2">
        <v>15</v>
      </c>
      <c r="M2721" s="2">
        <v>0</v>
      </c>
      <c r="N2721" t="s">
        <v>11459</v>
      </c>
      <c r="O2721" t="s">
        <v>11440</v>
      </c>
      <c r="P2721" t="s">
        <v>8938</v>
      </c>
      <c r="Q2721" t="s">
        <v>8939</v>
      </c>
      <c r="S2721" t="s">
        <v>13032</v>
      </c>
      <c r="T2721" t="s">
        <v>323</v>
      </c>
      <c r="U2721" t="s">
        <v>45</v>
      </c>
      <c r="V2721" t="s">
        <v>46</v>
      </c>
      <c r="W2721" t="s">
        <v>11459</v>
      </c>
      <c r="X2721" t="s">
        <v>11440</v>
      </c>
      <c r="Y2721" t="s">
        <v>137</v>
      </c>
      <c r="Z2721" t="s">
        <v>717</v>
      </c>
      <c r="AA2721" t="s">
        <v>49</v>
      </c>
      <c r="AB2721" t="s">
        <v>50</v>
      </c>
      <c r="AC2721" s="2">
        <v>218170</v>
      </c>
      <c r="AD2721" t="s">
        <v>64</v>
      </c>
    </row>
    <row r="2722" spans="1:31" x14ac:dyDescent="0.25">
      <c r="A2722" t="s">
        <v>13033</v>
      </c>
      <c r="B2722" t="s">
        <v>13034</v>
      </c>
      <c r="C2722" t="s">
        <v>13034</v>
      </c>
      <c r="D2722" t="s">
        <v>125</v>
      </c>
      <c r="E2722" t="s">
        <v>126</v>
      </c>
      <c r="F2722" t="s">
        <v>13035</v>
      </c>
      <c r="G2722" t="s">
        <v>125</v>
      </c>
      <c r="H2722" t="s">
        <v>10141</v>
      </c>
      <c r="I2722" t="s">
        <v>13036</v>
      </c>
      <c r="J2722" s="2">
        <v>305813</v>
      </c>
      <c r="K2722" s="2">
        <v>1250</v>
      </c>
      <c r="L2722" s="2">
        <v>30</v>
      </c>
      <c r="M2722" s="2">
        <v>0</v>
      </c>
      <c r="N2722" t="s">
        <v>7936</v>
      </c>
      <c r="O2722" t="s">
        <v>7935</v>
      </c>
      <c r="P2722" t="s">
        <v>10093</v>
      </c>
      <c r="Q2722" t="s">
        <v>10094</v>
      </c>
      <c r="S2722" t="s">
        <v>13037</v>
      </c>
      <c r="T2722" t="s">
        <v>323</v>
      </c>
      <c r="U2722" t="s">
        <v>45</v>
      </c>
      <c r="V2722" t="s">
        <v>46</v>
      </c>
      <c r="W2722" t="s">
        <v>7936</v>
      </c>
      <c r="X2722" t="s">
        <v>7935</v>
      </c>
      <c r="Y2722" t="s">
        <v>7938</v>
      </c>
      <c r="Z2722" t="s">
        <v>7939</v>
      </c>
      <c r="AA2722" t="s">
        <v>49</v>
      </c>
      <c r="AB2722" t="s">
        <v>50</v>
      </c>
      <c r="AC2722" s="2">
        <v>1081.1300000000001</v>
      </c>
      <c r="AD2722" t="s">
        <v>13038</v>
      </c>
      <c r="AE2722" t="s">
        <v>52</v>
      </c>
    </row>
    <row r="2723" spans="1:31" x14ac:dyDescent="0.25">
      <c r="A2723" t="s">
        <v>13039</v>
      </c>
      <c r="B2723" t="s">
        <v>13040</v>
      </c>
      <c r="C2723" t="s">
        <v>13040</v>
      </c>
      <c r="D2723" t="s">
        <v>125</v>
      </c>
      <c r="E2723" t="s">
        <v>126</v>
      </c>
      <c r="F2723" t="s">
        <v>13041</v>
      </c>
      <c r="G2723" t="s">
        <v>125</v>
      </c>
      <c r="H2723" t="s">
        <v>139</v>
      </c>
      <c r="I2723" t="s">
        <v>13042</v>
      </c>
      <c r="J2723" s="2">
        <v>218170</v>
      </c>
      <c r="K2723" s="2">
        <v>1000</v>
      </c>
      <c r="L2723" s="2">
        <v>30</v>
      </c>
      <c r="M2723" s="2">
        <v>0</v>
      </c>
      <c r="N2723" t="s">
        <v>8853</v>
      </c>
      <c r="O2723" t="s">
        <v>139</v>
      </c>
      <c r="P2723" t="s">
        <v>941</v>
      </c>
      <c r="Q2723" t="s">
        <v>139</v>
      </c>
      <c r="S2723" t="s">
        <v>13043</v>
      </c>
      <c r="T2723" t="s">
        <v>323</v>
      </c>
      <c r="U2723" t="s">
        <v>45</v>
      </c>
      <c r="V2723" t="s">
        <v>46</v>
      </c>
      <c r="W2723" t="s">
        <v>8853</v>
      </c>
      <c r="X2723" t="s">
        <v>139</v>
      </c>
      <c r="Y2723" t="s">
        <v>139</v>
      </c>
      <c r="Z2723" t="s">
        <v>140</v>
      </c>
      <c r="AA2723" t="s">
        <v>49</v>
      </c>
      <c r="AB2723" t="s">
        <v>50</v>
      </c>
      <c r="AC2723" s="2">
        <v>140307.14000000001</v>
      </c>
      <c r="AD2723" t="s">
        <v>13044</v>
      </c>
      <c r="AE2723" t="s">
        <v>52</v>
      </c>
    </row>
    <row r="2724" spans="1:31" x14ac:dyDescent="0.25">
      <c r="A2724" t="s">
        <v>13045</v>
      </c>
      <c r="B2724" t="s">
        <v>13046</v>
      </c>
      <c r="C2724" t="s">
        <v>13046</v>
      </c>
      <c r="D2724" t="s">
        <v>153</v>
      </c>
      <c r="E2724" t="s">
        <v>272</v>
      </c>
      <c r="F2724" t="s">
        <v>13047</v>
      </c>
      <c r="G2724" t="s">
        <v>178</v>
      </c>
      <c r="H2724" t="s">
        <v>5009</v>
      </c>
      <c r="I2724" t="s">
        <v>12768</v>
      </c>
      <c r="J2724" s="2">
        <v>327255</v>
      </c>
      <c r="K2724" s="2">
        <v>1500</v>
      </c>
      <c r="L2724" s="2">
        <v>30</v>
      </c>
      <c r="M2724" s="2">
        <v>0</v>
      </c>
      <c r="N2724" t="s">
        <v>11459</v>
      </c>
      <c r="O2724" t="s">
        <v>11440</v>
      </c>
      <c r="P2724" t="s">
        <v>256</v>
      </c>
      <c r="Q2724" t="s">
        <v>255</v>
      </c>
      <c r="S2724" t="s">
        <v>13048</v>
      </c>
      <c r="T2724" t="s">
        <v>323</v>
      </c>
      <c r="U2724" t="s">
        <v>45</v>
      </c>
      <c r="V2724" t="s">
        <v>46</v>
      </c>
      <c r="W2724" t="s">
        <v>11459</v>
      </c>
      <c r="X2724" t="s">
        <v>11440</v>
      </c>
      <c r="Y2724" t="s">
        <v>137</v>
      </c>
      <c r="Z2724" t="s">
        <v>717</v>
      </c>
      <c r="AA2724" t="s">
        <v>49</v>
      </c>
      <c r="AB2724" t="s">
        <v>50</v>
      </c>
      <c r="AC2724" s="2">
        <v>242114.26</v>
      </c>
      <c r="AD2724" t="s">
        <v>13049</v>
      </c>
      <c r="AE2724" t="s">
        <v>52</v>
      </c>
    </row>
    <row r="2725" spans="1:31" x14ac:dyDescent="0.25">
      <c r="A2725" t="s">
        <v>13050</v>
      </c>
      <c r="B2725" t="s">
        <v>13051</v>
      </c>
      <c r="C2725" t="s">
        <v>13051</v>
      </c>
      <c r="D2725" t="s">
        <v>35</v>
      </c>
      <c r="E2725" t="s">
        <v>36</v>
      </c>
      <c r="F2725" t="s">
        <v>13052</v>
      </c>
      <c r="G2725" t="s">
        <v>35</v>
      </c>
      <c r="H2725" t="s">
        <v>10950</v>
      </c>
      <c r="I2725" t="s">
        <v>12238</v>
      </c>
      <c r="J2725" s="2">
        <v>2181700</v>
      </c>
      <c r="K2725" s="2">
        <v>10000</v>
      </c>
      <c r="L2725" s="2">
        <v>15</v>
      </c>
      <c r="M2725" s="2">
        <v>0</v>
      </c>
      <c r="N2725" t="s">
        <v>403</v>
      </c>
      <c r="O2725" t="s">
        <v>404</v>
      </c>
      <c r="P2725" t="s">
        <v>158</v>
      </c>
      <c r="Q2725" t="s">
        <v>159</v>
      </c>
      <c r="S2725" t="s">
        <v>13053</v>
      </c>
      <c r="T2725" t="s">
        <v>1169</v>
      </c>
      <c r="U2725" t="s">
        <v>45</v>
      </c>
      <c r="V2725" t="s">
        <v>46</v>
      </c>
      <c r="W2725" t="s">
        <v>403</v>
      </c>
      <c r="X2725" t="s">
        <v>404</v>
      </c>
      <c r="Y2725" t="s">
        <v>161</v>
      </c>
      <c r="Z2725" t="s">
        <v>162</v>
      </c>
      <c r="AA2725" t="s">
        <v>49</v>
      </c>
      <c r="AB2725" t="s">
        <v>50</v>
      </c>
      <c r="AC2725" s="2">
        <v>1999895.54</v>
      </c>
      <c r="AD2725" t="s">
        <v>13054</v>
      </c>
      <c r="AE2725" t="s">
        <v>52</v>
      </c>
    </row>
    <row r="2726" spans="1:31" x14ac:dyDescent="0.25">
      <c r="A2726" t="s">
        <v>13055</v>
      </c>
      <c r="B2726" t="s">
        <v>13056</v>
      </c>
      <c r="C2726" t="s">
        <v>13056</v>
      </c>
      <c r="D2726" t="s">
        <v>35</v>
      </c>
      <c r="E2726" t="s">
        <v>36</v>
      </c>
      <c r="F2726" t="s">
        <v>13057</v>
      </c>
      <c r="G2726" t="s">
        <v>35</v>
      </c>
      <c r="H2726" t="s">
        <v>116</v>
      </c>
      <c r="I2726" t="s">
        <v>13058</v>
      </c>
      <c r="J2726" s="2">
        <v>699150</v>
      </c>
      <c r="K2726" s="2">
        <v>3000</v>
      </c>
      <c r="L2726" s="2">
        <v>21</v>
      </c>
      <c r="M2726" s="2">
        <v>0</v>
      </c>
      <c r="N2726" t="s">
        <v>118</v>
      </c>
      <c r="O2726" t="s">
        <v>119</v>
      </c>
      <c r="P2726" t="s">
        <v>120</v>
      </c>
      <c r="Q2726" t="s">
        <v>121</v>
      </c>
      <c r="S2726" t="s">
        <v>13059</v>
      </c>
      <c r="T2726" t="s">
        <v>1169</v>
      </c>
      <c r="U2726" t="s">
        <v>45</v>
      </c>
      <c r="V2726" t="s">
        <v>46</v>
      </c>
      <c r="W2726" t="s">
        <v>118</v>
      </c>
      <c r="X2726" t="s">
        <v>119</v>
      </c>
      <c r="Y2726" t="s">
        <v>121</v>
      </c>
      <c r="Z2726" t="s">
        <v>94</v>
      </c>
      <c r="AA2726" t="s">
        <v>49</v>
      </c>
      <c r="AB2726" t="s">
        <v>50</v>
      </c>
      <c r="AC2726" s="2">
        <v>434908.24</v>
      </c>
      <c r="AD2726" t="s">
        <v>13060</v>
      </c>
      <c r="AE2726" t="s">
        <v>52</v>
      </c>
    </row>
    <row r="2727" spans="1:31" x14ac:dyDescent="0.25">
      <c r="A2727" t="s">
        <v>13061</v>
      </c>
      <c r="B2727" t="s">
        <v>13062</v>
      </c>
      <c r="C2727" t="s">
        <v>13062</v>
      </c>
      <c r="D2727" t="s">
        <v>153</v>
      </c>
      <c r="E2727" t="s">
        <v>272</v>
      </c>
      <c r="F2727" t="s">
        <v>13063</v>
      </c>
      <c r="G2727" t="s">
        <v>153</v>
      </c>
      <c r="H2727" t="s">
        <v>238</v>
      </c>
      <c r="I2727" t="s">
        <v>13064</v>
      </c>
      <c r="J2727" s="2">
        <v>218170</v>
      </c>
      <c r="K2727" s="2">
        <v>1000</v>
      </c>
      <c r="L2727" s="2">
        <v>21</v>
      </c>
      <c r="M2727" s="2">
        <v>0</v>
      </c>
      <c r="N2727" t="s">
        <v>118</v>
      </c>
      <c r="O2727" t="s">
        <v>119</v>
      </c>
      <c r="P2727" t="s">
        <v>120</v>
      </c>
      <c r="Q2727" t="s">
        <v>121</v>
      </c>
      <c r="S2727" t="s">
        <v>13065</v>
      </c>
      <c r="T2727" t="s">
        <v>1169</v>
      </c>
      <c r="U2727" t="s">
        <v>45</v>
      </c>
      <c r="V2727" t="s">
        <v>46</v>
      </c>
      <c r="W2727" t="s">
        <v>118</v>
      </c>
      <c r="X2727" t="s">
        <v>119</v>
      </c>
      <c r="Y2727" t="s">
        <v>121</v>
      </c>
      <c r="Z2727" t="s">
        <v>94</v>
      </c>
      <c r="AA2727" t="s">
        <v>49</v>
      </c>
      <c r="AB2727" t="s">
        <v>50</v>
      </c>
      <c r="AC2727" s="2">
        <v>163219.53</v>
      </c>
      <c r="AD2727" t="s">
        <v>13066</v>
      </c>
      <c r="AE2727" t="s">
        <v>52</v>
      </c>
    </row>
    <row r="2728" spans="1:31" x14ac:dyDescent="0.25">
      <c r="A2728" t="s">
        <v>13067</v>
      </c>
      <c r="B2728" t="s">
        <v>13068</v>
      </c>
      <c r="C2728" t="s">
        <v>13068</v>
      </c>
      <c r="D2728" t="s">
        <v>35</v>
      </c>
      <c r="E2728" t="s">
        <v>36</v>
      </c>
      <c r="F2728" t="s">
        <v>13069</v>
      </c>
      <c r="G2728" t="s">
        <v>35</v>
      </c>
      <c r="H2728" t="s">
        <v>5009</v>
      </c>
      <c r="I2728" t="s">
        <v>13070</v>
      </c>
      <c r="J2728" s="2">
        <v>218170</v>
      </c>
      <c r="K2728" s="2">
        <v>1000</v>
      </c>
      <c r="L2728" s="2">
        <v>15</v>
      </c>
      <c r="M2728" s="2">
        <v>0</v>
      </c>
      <c r="N2728" t="s">
        <v>7568</v>
      </c>
      <c r="O2728" t="s">
        <v>7569</v>
      </c>
      <c r="P2728" t="s">
        <v>256</v>
      </c>
      <c r="Q2728" t="s">
        <v>255</v>
      </c>
      <c r="S2728" t="s">
        <v>13071</v>
      </c>
      <c r="T2728" t="s">
        <v>1169</v>
      </c>
      <c r="U2728" t="s">
        <v>45</v>
      </c>
      <c r="V2728" t="s">
        <v>46</v>
      </c>
      <c r="W2728" t="s">
        <v>7568</v>
      </c>
      <c r="X2728" t="s">
        <v>7569</v>
      </c>
      <c r="Y2728" t="s">
        <v>137</v>
      </c>
      <c r="Z2728" t="s">
        <v>717</v>
      </c>
      <c r="AA2728" t="s">
        <v>49</v>
      </c>
      <c r="AB2728" t="s">
        <v>50</v>
      </c>
      <c r="AC2728" s="2">
        <v>-21949.32</v>
      </c>
      <c r="AD2728" t="s">
        <v>13072</v>
      </c>
      <c r="AE2728" t="s">
        <v>115</v>
      </c>
    </row>
    <row r="2729" spans="1:31" x14ac:dyDescent="0.25">
      <c r="A2729" t="s">
        <v>13073</v>
      </c>
      <c r="B2729" t="s">
        <v>13074</v>
      </c>
      <c r="C2729" t="s">
        <v>13074</v>
      </c>
      <c r="D2729" t="s">
        <v>125</v>
      </c>
      <c r="E2729" t="s">
        <v>126</v>
      </c>
      <c r="F2729" t="s">
        <v>13075</v>
      </c>
      <c r="G2729" t="s">
        <v>125</v>
      </c>
      <c r="H2729" t="s">
        <v>5009</v>
      </c>
      <c r="I2729" t="s">
        <v>13076</v>
      </c>
      <c r="J2729" s="2">
        <v>447249</v>
      </c>
      <c r="K2729" s="2">
        <v>2050</v>
      </c>
      <c r="L2729" s="2">
        <v>30</v>
      </c>
      <c r="M2729" s="2">
        <v>0</v>
      </c>
      <c r="N2729" t="s">
        <v>11459</v>
      </c>
      <c r="O2729" t="s">
        <v>11440</v>
      </c>
      <c r="P2729" t="s">
        <v>2320</v>
      </c>
      <c r="Q2729" t="s">
        <v>2321</v>
      </c>
      <c r="S2729" t="s">
        <v>13077</v>
      </c>
      <c r="T2729" t="s">
        <v>10039</v>
      </c>
      <c r="U2729" t="s">
        <v>45</v>
      </c>
      <c r="V2729" t="s">
        <v>46</v>
      </c>
      <c r="W2729" t="s">
        <v>11459</v>
      </c>
      <c r="X2729" t="s">
        <v>11440</v>
      </c>
      <c r="Y2729" t="s">
        <v>137</v>
      </c>
      <c r="Z2729" t="s">
        <v>717</v>
      </c>
      <c r="AA2729" t="s">
        <v>49</v>
      </c>
      <c r="AB2729" t="s">
        <v>50</v>
      </c>
      <c r="AC2729" s="2">
        <v>35779.65</v>
      </c>
      <c r="AD2729" t="s">
        <v>13078</v>
      </c>
      <c r="AE2729" t="s">
        <v>52</v>
      </c>
    </row>
    <row r="2730" spans="1:31" hidden="1" x14ac:dyDescent="0.25">
      <c r="A2730" t="s">
        <v>13079</v>
      </c>
      <c r="B2730" t="s">
        <v>13080</v>
      </c>
      <c r="C2730" t="s">
        <v>13080</v>
      </c>
      <c r="F2730" t="s">
        <v>13081</v>
      </c>
      <c r="H2730" t="s">
        <v>6670</v>
      </c>
      <c r="I2730" t="s">
        <v>13082</v>
      </c>
      <c r="J2730" s="2">
        <v>218170</v>
      </c>
      <c r="K2730" s="2">
        <v>1000</v>
      </c>
      <c r="L2730" s="2">
        <v>15</v>
      </c>
      <c r="M2730" s="2">
        <v>0</v>
      </c>
      <c r="N2730" t="s">
        <v>5112</v>
      </c>
      <c r="O2730" t="s">
        <v>5110</v>
      </c>
      <c r="P2730" t="s">
        <v>4374</v>
      </c>
      <c r="Q2730" t="s">
        <v>4375</v>
      </c>
      <c r="S2730" t="s">
        <v>13083</v>
      </c>
      <c r="T2730" t="s">
        <v>10039</v>
      </c>
      <c r="U2730" t="s">
        <v>45</v>
      </c>
      <c r="V2730" t="s">
        <v>46</v>
      </c>
      <c r="W2730" t="s">
        <v>5112</v>
      </c>
      <c r="X2730" t="s">
        <v>5110</v>
      </c>
      <c r="Y2730" t="s">
        <v>137</v>
      </c>
      <c r="Z2730" t="s">
        <v>717</v>
      </c>
      <c r="AA2730" t="s">
        <v>49</v>
      </c>
      <c r="AB2730" t="s">
        <v>50</v>
      </c>
      <c r="AC2730" s="2">
        <v>218170</v>
      </c>
      <c r="AD2730" t="s">
        <v>64</v>
      </c>
    </row>
    <row r="2731" spans="1:31" x14ac:dyDescent="0.25">
      <c r="A2731" t="s">
        <v>13084</v>
      </c>
      <c r="B2731" t="s">
        <v>13085</v>
      </c>
      <c r="C2731" t="s">
        <v>13085</v>
      </c>
      <c r="D2731" t="s">
        <v>125</v>
      </c>
      <c r="E2731" t="s">
        <v>126</v>
      </c>
      <c r="F2731" t="s">
        <v>13086</v>
      </c>
      <c r="G2731" t="s">
        <v>125</v>
      </c>
      <c r="H2731" t="s">
        <v>11860</v>
      </c>
      <c r="I2731" t="s">
        <v>13087</v>
      </c>
      <c r="J2731" s="2">
        <v>621632</v>
      </c>
      <c r="K2731" s="2">
        <v>2557</v>
      </c>
      <c r="L2731" s="2">
        <v>15</v>
      </c>
      <c r="M2731" s="2">
        <v>0</v>
      </c>
      <c r="N2731" t="s">
        <v>1362</v>
      </c>
      <c r="O2731" t="s">
        <v>1360</v>
      </c>
      <c r="P2731" t="s">
        <v>1421</v>
      </c>
      <c r="Q2731" t="s">
        <v>1422</v>
      </c>
      <c r="S2731" t="s">
        <v>13088</v>
      </c>
      <c r="T2731" t="s">
        <v>6721</v>
      </c>
      <c r="U2731" t="s">
        <v>45</v>
      </c>
      <c r="V2731" t="s">
        <v>46</v>
      </c>
      <c r="W2731" t="s">
        <v>1362</v>
      </c>
      <c r="X2731" t="s">
        <v>1360</v>
      </c>
      <c r="Y2731" t="s">
        <v>1215</v>
      </c>
      <c r="Z2731" t="s">
        <v>1216</v>
      </c>
      <c r="AA2731" t="s">
        <v>49</v>
      </c>
      <c r="AB2731" t="s">
        <v>50</v>
      </c>
      <c r="AC2731" s="2">
        <v>122670.15</v>
      </c>
      <c r="AD2731" t="s">
        <v>13089</v>
      </c>
      <c r="AE2731" t="s">
        <v>52</v>
      </c>
    </row>
    <row r="2732" spans="1:31" hidden="1" x14ac:dyDescent="0.25">
      <c r="A2732" t="s">
        <v>13090</v>
      </c>
      <c r="B2732" t="s">
        <v>13091</v>
      </c>
      <c r="C2732" t="s">
        <v>13092</v>
      </c>
      <c r="F2732" t="s">
        <v>13093</v>
      </c>
      <c r="H2732" t="s">
        <v>10141</v>
      </c>
      <c r="I2732" t="s">
        <v>13094</v>
      </c>
      <c r="J2732" s="2">
        <v>218170</v>
      </c>
      <c r="K2732" s="2">
        <v>1000</v>
      </c>
      <c r="L2732" s="2">
        <v>30</v>
      </c>
      <c r="M2732" s="2">
        <v>0</v>
      </c>
      <c r="N2732" t="s">
        <v>7936</v>
      </c>
      <c r="O2732" t="s">
        <v>7935</v>
      </c>
      <c r="P2732" t="s">
        <v>10093</v>
      </c>
      <c r="Q2732" t="s">
        <v>10094</v>
      </c>
      <c r="S2732" t="s">
        <v>13095</v>
      </c>
      <c r="T2732" t="s">
        <v>6721</v>
      </c>
      <c r="U2732" t="s">
        <v>45</v>
      </c>
      <c r="V2732" t="s">
        <v>46</v>
      </c>
      <c r="W2732" t="s">
        <v>7936</v>
      </c>
      <c r="X2732" t="s">
        <v>7935</v>
      </c>
      <c r="Y2732" t="s">
        <v>7938</v>
      </c>
      <c r="Z2732" t="s">
        <v>7939</v>
      </c>
      <c r="AA2732" t="s">
        <v>49</v>
      </c>
      <c r="AB2732" t="s">
        <v>50</v>
      </c>
      <c r="AC2732" s="2">
        <v>218170</v>
      </c>
      <c r="AD2732" t="s">
        <v>64</v>
      </c>
    </row>
    <row r="2733" spans="1:31" x14ac:dyDescent="0.25">
      <c r="A2733" t="s">
        <v>13096</v>
      </c>
      <c r="B2733" t="s">
        <v>13097</v>
      </c>
      <c r="C2733" t="s">
        <v>13097</v>
      </c>
      <c r="D2733" t="s">
        <v>847</v>
      </c>
      <c r="E2733" t="s">
        <v>848</v>
      </c>
      <c r="F2733" t="s">
        <v>13098</v>
      </c>
      <c r="G2733" t="s">
        <v>847</v>
      </c>
      <c r="H2733" t="s">
        <v>5009</v>
      </c>
      <c r="I2733" t="s">
        <v>13099</v>
      </c>
      <c r="J2733" s="2">
        <v>349072</v>
      </c>
      <c r="K2733" s="2">
        <v>1600</v>
      </c>
      <c r="L2733" s="2">
        <v>30</v>
      </c>
      <c r="M2733" s="2">
        <v>0</v>
      </c>
      <c r="N2733" t="s">
        <v>11459</v>
      </c>
      <c r="O2733" t="s">
        <v>11440</v>
      </c>
      <c r="P2733" t="s">
        <v>2320</v>
      </c>
      <c r="Q2733" t="s">
        <v>2321</v>
      </c>
      <c r="S2733" t="s">
        <v>13100</v>
      </c>
      <c r="T2733" t="s">
        <v>6721</v>
      </c>
      <c r="U2733" t="s">
        <v>45</v>
      </c>
      <c r="V2733" t="s">
        <v>46</v>
      </c>
      <c r="W2733" t="s">
        <v>11459</v>
      </c>
      <c r="X2733" t="s">
        <v>11440</v>
      </c>
      <c r="Y2733" t="s">
        <v>137</v>
      </c>
      <c r="Z2733" t="s">
        <v>717</v>
      </c>
      <c r="AA2733" t="s">
        <v>49</v>
      </c>
      <c r="AB2733" t="s">
        <v>50</v>
      </c>
      <c r="AC2733" s="2">
        <v>28945.95</v>
      </c>
      <c r="AD2733" t="s">
        <v>13101</v>
      </c>
      <c r="AE2733" t="s">
        <v>52</v>
      </c>
    </row>
    <row r="2734" spans="1:31" hidden="1" x14ac:dyDescent="0.25">
      <c r="A2734" t="s">
        <v>13102</v>
      </c>
      <c r="B2734" t="s">
        <v>13103</v>
      </c>
      <c r="C2734" t="s">
        <v>9197</v>
      </c>
      <c r="F2734" t="s">
        <v>9198</v>
      </c>
      <c r="H2734" t="s">
        <v>7424</v>
      </c>
      <c r="I2734" t="s">
        <v>9199</v>
      </c>
      <c r="J2734" s="2">
        <v>327255</v>
      </c>
      <c r="K2734" s="2">
        <v>1500</v>
      </c>
      <c r="L2734" s="2">
        <v>25</v>
      </c>
      <c r="M2734" s="2">
        <v>0</v>
      </c>
      <c r="N2734" t="s">
        <v>7423</v>
      </c>
      <c r="O2734" t="s">
        <v>7424</v>
      </c>
      <c r="P2734" t="s">
        <v>3487</v>
      </c>
      <c r="Q2734" t="s">
        <v>3488</v>
      </c>
      <c r="S2734" t="s">
        <v>13104</v>
      </c>
      <c r="T2734" t="s">
        <v>6721</v>
      </c>
      <c r="U2734" t="s">
        <v>45</v>
      </c>
      <c r="V2734" t="s">
        <v>46</v>
      </c>
      <c r="W2734" t="s">
        <v>7423</v>
      </c>
      <c r="X2734" t="s">
        <v>7424</v>
      </c>
      <c r="Y2734" t="s">
        <v>79</v>
      </c>
      <c r="Z2734" t="s">
        <v>94</v>
      </c>
      <c r="AA2734" t="s">
        <v>49</v>
      </c>
      <c r="AB2734" t="s">
        <v>50</v>
      </c>
      <c r="AC2734" s="2">
        <v>327255</v>
      </c>
      <c r="AD2734" t="s">
        <v>64</v>
      </c>
    </row>
    <row r="2735" spans="1:31" x14ac:dyDescent="0.25">
      <c r="A2735" t="s">
        <v>13105</v>
      </c>
      <c r="B2735" t="s">
        <v>13106</v>
      </c>
      <c r="C2735" t="s">
        <v>13106</v>
      </c>
      <c r="D2735" t="s">
        <v>35</v>
      </c>
      <c r="E2735" t="s">
        <v>36</v>
      </c>
      <c r="F2735" t="s">
        <v>13107</v>
      </c>
      <c r="G2735" t="s">
        <v>35</v>
      </c>
      <c r="H2735" t="s">
        <v>139</v>
      </c>
      <c r="I2735" t="s">
        <v>13108</v>
      </c>
      <c r="J2735" s="2">
        <v>663309</v>
      </c>
      <c r="K2735" s="2">
        <v>2700</v>
      </c>
      <c r="L2735" s="2">
        <v>30</v>
      </c>
      <c r="M2735" s="2">
        <v>0</v>
      </c>
      <c r="N2735" t="s">
        <v>8853</v>
      </c>
      <c r="O2735" t="s">
        <v>139</v>
      </c>
      <c r="P2735" t="s">
        <v>6987</v>
      </c>
      <c r="Q2735" t="s">
        <v>6988</v>
      </c>
      <c r="S2735" t="s">
        <v>13109</v>
      </c>
      <c r="T2735" t="s">
        <v>6721</v>
      </c>
      <c r="U2735" t="s">
        <v>45</v>
      </c>
      <c r="V2735" t="s">
        <v>46</v>
      </c>
      <c r="W2735" t="s">
        <v>8853</v>
      </c>
      <c r="X2735" t="s">
        <v>139</v>
      </c>
      <c r="Y2735" t="s">
        <v>139</v>
      </c>
      <c r="Z2735" t="s">
        <v>140</v>
      </c>
      <c r="AA2735" t="s">
        <v>49</v>
      </c>
      <c r="AB2735" t="s">
        <v>50</v>
      </c>
      <c r="AC2735" s="2">
        <v>26057.99</v>
      </c>
      <c r="AD2735" t="s">
        <v>13110</v>
      </c>
      <c r="AE2735" t="s">
        <v>115</v>
      </c>
    </row>
    <row r="2736" spans="1:31" x14ac:dyDescent="0.25">
      <c r="A2736" t="s">
        <v>13111</v>
      </c>
      <c r="B2736" t="s">
        <v>13112</v>
      </c>
      <c r="C2736" t="s">
        <v>13112</v>
      </c>
      <c r="D2736" t="s">
        <v>125</v>
      </c>
      <c r="E2736" t="s">
        <v>126</v>
      </c>
      <c r="F2736" t="s">
        <v>13113</v>
      </c>
      <c r="G2736" t="s">
        <v>125</v>
      </c>
      <c r="H2736" t="s">
        <v>11860</v>
      </c>
      <c r="I2736" t="s">
        <v>13114</v>
      </c>
      <c r="J2736" s="2">
        <v>872680</v>
      </c>
      <c r="K2736" s="2">
        <v>4000</v>
      </c>
      <c r="L2736" s="2">
        <v>30</v>
      </c>
      <c r="M2736" s="2">
        <v>0</v>
      </c>
      <c r="N2736" t="s">
        <v>1362</v>
      </c>
      <c r="O2736" t="s">
        <v>1360</v>
      </c>
      <c r="P2736" t="s">
        <v>1212</v>
      </c>
      <c r="Q2736" t="s">
        <v>1213</v>
      </c>
      <c r="S2736" t="s">
        <v>13115</v>
      </c>
      <c r="T2736" t="s">
        <v>1504</v>
      </c>
      <c r="U2736" t="s">
        <v>45</v>
      </c>
      <c r="V2736" t="s">
        <v>46</v>
      </c>
      <c r="W2736" t="s">
        <v>1362</v>
      </c>
      <c r="X2736" t="s">
        <v>1360</v>
      </c>
      <c r="Y2736" t="s">
        <v>1215</v>
      </c>
      <c r="Z2736" t="s">
        <v>1216</v>
      </c>
      <c r="AA2736" t="s">
        <v>49</v>
      </c>
      <c r="AB2736" t="s">
        <v>50</v>
      </c>
      <c r="AC2736" s="2">
        <v>240749.32</v>
      </c>
      <c r="AD2736" t="s">
        <v>13116</v>
      </c>
      <c r="AE2736" t="s">
        <v>115</v>
      </c>
    </row>
    <row r="2737" spans="1:31" x14ac:dyDescent="0.25">
      <c r="A2737" t="s">
        <v>13117</v>
      </c>
      <c r="B2737" t="s">
        <v>13118</v>
      </c>
      <c r="C2737" t="s">
        <v>13118</v>
      </c>
      <c r="D2737" t="s">
        <v>125</v>
      </c>
      <c r="E2737" t="s">
        <v>126</v>
      </c>
      <c r="F2737" t="s">
        <v>13119</v>
      </c>
      <c r="G2737" t="s">
        <v>125</v>
      </c>
      <c r="H2737" t="s">
        <v>7210</v>
      </c>
      <c r="I2737" t="s">
        <v>13114</v>
      </c>
      <c r="J2737" s="2">
        <v>1935123</v>
      </c>
      <c r="K2737" s="2">
        <v>7825</v>
      </c>
      <c r="L2737" s="2">
        <v>30</v>
      </c>
      <c r="M2737" s="2">
        <v>0</v>
      </c>
      <c r="N2737" t="s">
        <v>4996</v>
      </c>
      <c r="O2737" t="s">
        <v>4997</v>
      </c>
      <c r="P2737" t="s">
        <v>1212</v>
      </c>
      <c r="Q2737" t="s">
        <v>1213</v>
      </c>
      <c r="S2737" t="s">
        <v>13120</v>
      </c>
      <c r="T2737" t="s">
        <v>1504</v>
      </c>
      <c r="U2737" t="s">
        <v>45</v>
      </c>
      <c r="V2737" t="s">
        <v>46</v>
      </c>
      <c r="W2737" t="s">
        <v>4996</v>
      </c>
      <c r="X2737" t="s">
        <v>4997</v>
      </c>
      <c r="Y2737" t="s">
        <v>1215</v>
      </c>
      <c r="Z2737" t="s">
        <v>1216</v>
      </c>
      <c r="AA2737" t="s">
        <v>49</v>
      </c>
      <c r="AB2737" t="s">
        <v>50</v>
      </c>
      <c r="AC2737" s="2">
        <v>30739.51</v>
      </c>
      <c r="AD2737" t="s">
        <v>13121</v>
      </c>
      <c r="AE2737" t="s">
        <v>52</v>
      </c>
    </row>
    <row r="2738" spans="1:31" x14ac:dyDescent="0.25">
      <c r="A2738" t="s">
        <v>13122</v>
      </c>
      <c r="B2738" t="s">
        <v>13123</v>
      </c>
      <c r="C2738" t="s">
        <v>13123</v>
      </c>
      <c r="D2738" t="s">
        <v>2139</v>
      </c>
      <c r="E2738" t="s">
        <v>134</v>
      </c>
      <c r="F2738" t="s">
        <v>13124</v>
      </c>
      <c r="G2738" t="s">
        <v>2754</v>
      </c>
      <c r="H2738" t="s">
        <v>7515</v>
      </c>
      <c r="I2738" t="s">
        <v>13125</v>
      </c>
      <c r="J2738" s="2">
        <v>218170</v>
      </c>
      <c r="K2738" s="2">
        <v>1000</v>
      </c>
      <c r="L2738" s="2">
        <v>21</v>
      </c>
      <c r="M2738" s="2">
        <v>0</v>
      </c>
      <c r="N2738" t="s">
        <v>7517</v>
      </c>
      <c r="O2738" t="s">
        <v>7518</v>
      </c>
      <c r="P2738" t="s">
        <v>1212</v>
      </c>
      <c r="Q2738" t="s">
        <v>1213</v>
      </c>
      <c r="S2738" t="s">
        <v>13126</v>
      </c>
      <c r="T2738" t="s">
        <v>1504</v>
      </c>
      <c r="U2738" t="s">
        <v>45</v>
      </c>
      <c r="V2738" t="s">
        <v>46</v>
      </c>
      <c r="W2738" t="s">
        <v>7517</v>
      </c>
      <c r="X2738" t="s">
        <v>7518</v>
      </c>
      <c r="Y2738" t="s">
        <v>1215</v>
      </c>
      <c r="Z2738" t="s">
        <v>1216</v>
      </c>
      <c r="AA2738" t="s">
        <v>49</v>
      </c>
      <c r="AB2738" t="s">
        <v>50</v>
      </c>
      <c r="AC2738" s="2">
        <v>218170</v>
      </c>
      <c r="AD2738" t="s">
        <v>64</v>
      </c>
    </row>
    <row r="2739" spans="1:31" x14ac:dyDescent="0.25">
      <c r="A2739" t="s">
        <v>13127</v>
      </c>
      <c r="B2739" t="s">
        <v>13128</v>
      </c>
      <c r="C2739" t="s">
        <v>9242</v>
      </c>
      <c r="D2739" t="s">
        <v>297</v>
      </c>
      <c r="E2739" t="s">
        <v>167</v>
      </c>
      <c r="F2739" t="s">
        <v>9243</v>
      </c>
      <c r="G2739" t="s">
        <v>297</v>
      </c>
      <c r="H2739" t="s">
        <v>90</v>
      </c>
      <c r="J2739" s="2">
        <v>1090850</v>
      </c>
      <c r="K2739" s="2">
        <v>5000</v>
      </c>
      <c r="L2739" s="2">
        <v>21</v>
      </c>
      <c r="M2739" s="2">
        <v>0</v>
      </c>
      <c r="N2739" t="s">
        <v>89</v>
      </c>
      <c r="O2739" t="s">
        <v>90</v>
      </c>
      <c r="P2739" t="s">
        <v>304</v>
      </c>
      <c r="Q2739" t="s">
        <v>72</v>
      </c>
      <c r="S2739" t="s">
        <v>12484</v>
      </c>
      <c r="T2739" t="s">
        <v>1504</v>
      </c>
      <c r="U2739" t="s">
        <v>45</v>
      </c>
      <c r="V2739" t="s">
        <v>46</v>
      </c>
      <c r="W2739" t="s">
        <v>89</v>
      </c>
      <c r="X2739" t="s">
        <v>90</v>
      </c>
      <c r="Y2739" t="s">
        <v>92</v>
      </c>
      <c r="Z2739" t="s">
        <v>94</v>
      </c>
      <c r="AA2739" t="s">
        <v>49</v>
      </c>
      <c r="AB2739" t="s">
        <v>50</v>
      </c>
      <c r="AC2739" s="2">
        <v>963764.58</v>
      </c>
      <c r="AD2739" t="s">
        <v>13129</v>
      </c>
      <c r="AE2739" t="s">
        <v>52</v>
      </c>
    </row>
    <row r="2740" spans="1:31" x14ac:dyDescent="0.25">
      <c r="A2740" t="s">
        <v>13130</v>
      </c>
      <c r="B2740" t="s">
        <v>13131</v>
      </c>
      <c r="C2740" t="s">
        <v>13131</v>
      </c>
      <c r="D2740" t="s">
        <v>153</v>
      </c>
      <c r="E2740" t="s">
        <v>272</v>
      </c>
      <c r="F2740" t="s">
        <v>13132</v>
      </c>
      <c r="G2740" t="s">
        <v>847</v>
      </c>
      <c r="H2740" t="s">
        <v>10141</v>
      </c>
      <c r="I2740" t="s">
        <v>13133</v>
      </c>
      <c r="J2740" s="2">
        <v>219870</v>
      </c>
      <c r="K2740" s="2">
        <v>1000</v>
      </c>
      <c r="L2740" s="2">
        <v>30</v>
      </c>
      <c r="M2740" s="2">
        <v>0</v>
      </c>
      <c r="N2740" t="s">
        <v>7936</v>
      </c>
      <c r="O2740" t="s">
        <v>7935</v>
      </c>
      <c r="P2740" t="s">
        <v>10093</v>
      </c>
      <c r="Q2740" t="s">
        <v>10094</v>
      </c>
      <c r="S2740" t="s">
        <v>13134</v>
      </c>
      <c r="T2740" t="s">
        <v>1504</v>
      </c>
      <c r="U2740" t="s">
        <v>45</v>
      </c>
      <c r="V2740" t="s">
        <v>46</v>
      </c>
      <c r="W2740" t="s">
        <v>7936</v>
      </c>
      <c r="X2740" t="s">
        <v>7935</v>
      </c>
      <c r="Y2740" t="s">
        <v>7938</v>
      </c>
      <c r="Z2740" t="s">
        <v>7939</v>
      </c>
      <c r="AA2740" t="s">
        <v>49</v>
      </c>
      <c r="AB2740" t="s">
        <v>50</v>
      </c>
      <c r="AC2740" s="2">
        <v>88707.42</v>
      </c>
      <c r="AD2740" t="s">
        <v>13135</v>
      </c>
      <c r="AE2740" t="s">
        <v>52</v>
      </c>
    </row>
    <row r="2741" spans="1:31" x14ac:dyDescent="0.25">
      <c r="A2741" t="s">
        <v>13136</v>
      </c>
      <c r="B2741" t="s">
        <v>13137</v>
      </c>
      <c r="C2741" t="s">
        <v>13137</v>
      </c>
      <c r="D2741" t="s">
        <v>321</v>
      </c>
      <c r="E2741" t="s">
        <v>224</v>
      </c>
      <c r="F2741" t="s">
        <v>13138</v>
      </c>
      <c r="G2741" t="s">
        <v>5597</v>
      </c>
      <c r="H2741" t="s">
        <v>139</v>
      </c>
      <c r="I2741" t="s">
        <v>13139</v>
      </c>
      <c r="J2741" s="2">
        <v>218170</v>
      </c>
      <c r="K2741" s="2">
        <v>1000</v>
      </c>
      <c r="L2741" s="2">
        <v>30</v>
      </c>
      <c r="M2741" s="2">
        <v>0</v>
      </c>
      <c r="N2741" t="s">
        <v>8853</v>
      </c>
      <c r="O2741" t="s">
        <v>139</v>
      </c>
      <c r="P2741" t="s">
        <v>941</v>
      </c>
      <c r="Q2741" t="s">
        <v>139</v>
      </c>
      <c r="S2741" t="s">
        <v>13140</v>
      </c>
      <c r="T2741" t="s">
        <v>1504</v>
      </c>
      <c r="U2741" t="s">
        <v>45</v>
      </c>
      <c r="V2741" t="s">
        <v>46</v>
      </c>
      <c r="W2741" t="s">
        <v>8853</v>
      </c>
      <c r="X2741" t="s">
        <v>139</v>
      </c>
      <c r="Y2741" t="s">
        <v>139</v>
      </c>
      <c r="Z2741" t="s">
        <v>140</v>
      </c>
      <c r="AA2741" t="s">
        <v>49</v>
      </c>
      <c r="AB2741" t="s">
        <v>50</v>
      </c>
      <c r="AC2741" s="2">
        <v>218170</v>
      </c>
      <c r="AD2741" t="s">
        <v>64</v>
      </c>
    </row>
    <row r="2742" spans="1:31" x14ac:dyDescent="0.25">
      <c r="A2742" t="s">
        <v>13141</v>
      </c>
      <c r="B2742" t="s">
        <v>13142</v>
      </c>
      <c r="C2742" t="s">
        <v>13142</v>
      </c>
      <c r="D2742" t="s">
        <v>35</v>
      </c>
      <c r="E2742" t="s">
        <v>36</v>
      </c>
      <c r="F2742" t="s">
        <v>1281</v>
      </c>
      <c r="G2742" t="s">
        <v>35</v>
      </c>
      <c r="H2742" t="s">
        <v>404</v>
      </c>
      <c r="J2742" s="2">
        <v>1731100</v>
      </c>
      <c r="K2742" s="2">
        <v>7000</v>
      </c>
      <c r="L2742" s="2">
        <v>30</v>
      </c>
      <c r="M2742" s="2">
        <v>0</v>
      </c>
      <c r="N2742" t="s">
        <v>403</v>
      </c>
      <c r="O2742" t="s">
        <v>404</v>
      </c>
      <c r="P2742" t="s">
        <v>205</v>
      </c>
      <c r="Q2742" t="s">
        <v>206</v>
      </c>
      <c r="S2742" t="s">
        <v>13143</v>
      </c>
      <c r="T2742" t="s">
        <v>1504</v>
      </c>
      <c r="U2742" t="s">
        <v>45</v>
      </c>
      <c r="V2742" t="s">
        <v>46</v>
      </c>
      <c r="W2742" t="s">
        <v>403</v>
      </c>
      <c r="X2742" t="s">
        <v>404</v>
      </c>
      <c r="Y2742" t="s">
        <v>161</v>
      </c>
      <c r="Z2742" t="s">
        <v>162</v>
      </c>
      <c r="AA2742" t="s">
        <v>49</v>
      </c>
      <c r="AB2742" t="s">
        <v>50</v>
      </c>
      <c r="AC2742" s="2">
        <v>634851.81000000006</v>
      </c>
      <c r="AD2742" t="s">
        <v>13144</v>
      </c>
      <c r="AE2742" t="s">
        <v>115</v>
      </c>
    </row>
    <row r="2743" spans="1:31" x14ac:dyDescent="0.25">
      <c r="A2743" t="s">
        <v>13145</v>
      </c>
      <c r="B2743" t="s">
        <v>13146</v>
      </c>
      <c r="C2743" t="s">
        <v>13146</v>
      </c>
      <c r="D2743" t="s">
        <v>153</v>
      </c>
      <c r="E2743" t="s">
        <v>272</v>
      </c>
      <c r="F2743" t="s">
        <v>13147</v>
      </c>
      <c r="G2743" t="s">
        <v>555</v>
      </c>
      <c r="H2743" t="s">
        <v>8775</v>
      </c>
      <c r="I2743" t="s">
        <v>13148</v>
      </c>
      <c r="J2743" s="2">
        <v>229079</v>
      </c>
      <c r="K2743" s="2">
        <v>1050</v>
      </c>
      <c r="L2743" s="2">
        <v>15</v>
      </c>
      <c r="M2743" s="2">
        <v>0</v>
      </c>
      <c r="N2743" t="s">
        <v>8777</v>
      </c>
      <c r="O2743" t="s">
        <v>8778</v>
      </c>
      <c r="P2743" t="s">
        <v>1421</v>
      </c>
      <c r="Q2743" t="s">
        <v>1422</v>
      </c>
      <c r="S2743" t="s">
        <v>13149</v>
      </c>
      <c r="T2743" t="s">
        <v>1504</v>
      </c>
      <c r="U2743" t="s">
        <v>45</v>
      </c>
      <c r="V2743" t="s">
        <v>46</v>
      </c>
      <c r="W2743" t="s">
        <v>8777</v>
      </c>
      <c r="X2743" t="s">
        <v>8778</v>
      </c>
      <c r="Y2743" t="s">
        <v>1215</v>
      </c>
      <c r="Z2743" t="s">
        <v>1216</v>
      </c>
      <c r="AA2743" t="s">
        <v>49</v>
      </c>
      <c r="AB2743" t="s">
        <v>50</v>
      </c>
      <c r="AC2743" s="2">
        <v>107012.51</v>
      </c>
      <c r="AD2743" t="s">
        <v>13150</v>
      </c>
      <c r="AE2743" t="s">
        <v>115</v>
      </c>
    </row>
    <row r="2744" spans="1:31" x14ac:dyDescent="0.25">
      <c r="A2744" t="s">
        <v>13151</v>
      </c>
      <c r="B2744" t="s">
        <v>13152</v>
      </c>
      <c r="C2744" t="s">
        <v>13152</v>
      </c>
      <c r="D2744" t="s">
        <v>1865</v>
      </c>
      <c r="E2744" t="s">
        <v>224</v>
      </c>
      <c r="F2744" t="s">
        <v>13153</v>
      </c>
      <c r="G2744" t="s">
        <v>1941</v>
      </c>
      <c r="H2744" t="s">
        <v>1072</v>
      </c>
      <c r="I2744" t="s">
        <v>13154</v>
      </c>
      <c r="J2744" s="2">
        <v>32726</v>
      </c>
      <c r="K2744" s="2">
        <v>150</v>
      </c>
      <c r="L2744" s="2">
        <v>1</v>
      </c>
      <c r="M2744" s="2">
        <v>0</v>
      </c>
      <c r="N2744" t="s">
        <v>13155</v>
      </c>
      <c r="O2744" t="s">
        <v>13156</v>
      </c>
      <c r="P2744" t="s">
        <v>120</v>
      </c>
      <c r="Q2744" t="s">
        <v>121</v>
      </c>
      <c r="S2744" t="s">
        <v>13157</v>
      </c>
      <c r="T2744" t="s">
        <v>1504</v>
      </c>
      <c r="U2744" t="s">
        <v>45</v>
      </c>
      <c r="V2744" t="s">
        <v>46</v>
      </c>
      <c r="W2744" t="s">
        <v>13155</v>
      </c>
      <c r="X2744" t="s">
        <v>13156</v>
      </c>
      <c r="Y2744" t="s">
        <v>121</v>
      </c>
      <c r="Z2744" t="s">
        <v>94</v>
      </c>
      <c r="AA2744" t="s">
        <v>49</v>
      </c>
      <c r="AB2744" t="s">
        <v>50</v>
      </c>
      <c r="AC2744" s="2">
        <v>32726</v>
      </c>
      <c r="AD2744" t="s">
        <v>64</v>
      </c>
    </row>
    <row r="2745" spans="1:31" x14ac:dyDescent="0.25">
      <c r="A2745" t="s">
        <v>13158</v>
      </c>
      <c r="B2745" t="s">
        <v>13159</v>
      </c>
      <c r="C2745" t="s">
        <v>13160</v>
      </c>
      <c r="D2745" t="s">
        <v>125</v>
      </c>
      <c r="E2745" t="s">
        <v>126</v>
      </c>
      <c r="F2745" t="s">
        <v>13161</v>
      </c>
      <c r="G2745" t="s">
        <v>125</v>
      </c>
      <c r="H2745" t="s">
        <v>12217</v>
      </c>
      <c r="I2745" t="s">
        <v>13162</v>
      </c>
      <c r="J2745" s="2">
        <v>650688</v>
      </c>
      <c r="K2745" s="2">
        <v>2630</v>
      </c>
      <c r="L2745" s="2">
        <v>30</v>
      </c>
      <c r="M2745" s="2">
        <v>0</v>
      </c>
      <c r="N2745" t="s">
        <v>11459</v>
      </c>
      <c r="O2745" t="s">
        <v>11440</v>
      </c>
      <c r="P2745" t="s">
        <v>2320</v>
      </c>
      <c r="Q2745" t="s">
        <v>2321</v>
      </c>
      <c r="S2745" t="s">
        <v>13163</v>
      </c>
      <c r="T2745" t="s">
        <v>1504</v>
      </c>
      <c r="U2745" t="s">
        <v>45</v>
      </c>
      <c r="V2745" t="s">
        <v>46</v>
      </c>
      <c r="W2745" t="s">
        <v>11459</v>
      </c>
      <c r="X2745" t="s">
        <v>11440</v>
      </c>
      <c r="Y2745" t="s">
        <v>137</v>
      </c>
      <c r="Z2745" t="s">
        <v>717</v>
      </c>
      <c r="AA2745" t="s">
        <v>49</v>
      </c>
      <c r="AB2745" t="s">
        <v>50</v>
      </c>
      <c r="AC2745" s="2">
        <v>11259.25</v>
      </c>
      <c r="AD2745" t="s">
        <v>13164</v>
      </c>
      <c r="AE2745" t="s">
        <v>52</v>
      </c>
    </row>
    <row r="2746" spans="1:31" x14ac:dyDescent="0.25">
      <c r="A2746" t="s">
        <v>13165</v>
      </c>
      <c r="B2746" t="s">
        <v>13166</v>
      </c>
      <c r="C2746" t="s">
        <v>13166</v>
      </c>
      <c r="D2746" t="s">
        <v>125</v>
      </c>
      <c r="E2746" t="s">
        <v>126</v>
      </c>
      <c r="F2746" t="s">
        <v>13167</v>
      </c>
      <c r="G2746" t="s">
        <v>125</v>
      </c>
      <c r="H2746" t="s">
        <v>10155</v>
      </c>
      <c r="I2746" t="s">
        <v>13168</v>
      </c>
      <c r="J2746" s="2">
        <v>321633</v>
      </c>
      <c r="K2746" s="2">
        <v>1300</v>
      </c>
      <c r="L2746" s="2">
        <v>30</v>
      </c>
      <c r="M2746" s="2">
        <v>0</v>
      </c>
      <c r="N2746" t="s">
        <v>10157</v>
      </c>
      <c r="O2746" t="s">
        <v>10155</v>
      </c>
      <c r="P2746" t="s">
        <v>10093</v>
      </c>
      <c r="Q2746" t="s">
        <v>10094</v>
      </c>
      <c r="S2746" t="s">
        <v>13169</v>
      </c>
      <c r="T2746" t="s">
        <v>764</v>
      </c>
      <c r="U2746" t="s">
        <v>45</v>
      </c>
      <c r="V2746" t="s">
        <v>46</v>
      </c>
      <c r="W2746" t="s">
        <v>10157</v>
      </c>
      <c r="X2746" t="s">
        <v>10155</v>
      </c>
      <c r="Y2746" t="s">
        <v>7938</v>
      </c>
      <c r="Z2746" t="s">
        <v>7939</v>
      </c>
      <c r="AA2746" t="s">
        <v>49</v>
      </c>
      <c r="AB2746" t="s">
        <v>50</v>
      </c>
      <c r="AC2746" s="2">
        <v>18224.439999999999</v>
      </c>
      <c r="AD2746" t="s">
        <v>13170</v>
      </c>
      <c r="AE2746" t="s">
        <v>52</v>
      </c>
    </row>
    <row r="2747" spans="1:31" x14ac:dyDescent="0.25">
      <c r="A2747" t="s">
        <v>13171</v>
      </c>
      <c r="B2747" t="s">
        <v>13172</v>
      </c>
      <c r="C2747" t="s">
        <v>13172</v>
      </c>
      <c r="D2747" t="s">
        <v>35</v>
      </c>
      <c r="E2747" t="s">
        <v>36</v>
      </c>
      <c r="F2747" t="s">
        <v>13173</v>
      </c>
      <c r="G2747" t="s">
        <v>847</v>
      </c>
      <c r="H2747" t="s">
        <v>5009</v>
      </c>
      <c r="I2747" t="s">
        <v>13174</v>
      </c>
      <c r="J2747" s="2">
        <v>218170</v>
      </c>
      <c r="K2747" s="2">
        <v>1000</v>
      </c>
      <c r="L2747" s="2">
        <v>15</v>
      </c>
      <c r="M2747" s="2">
        <v>0</v>
      </c>
      <c r="N2747" t="s">
        <v>11459</v>
      </c>
      <c r="O2747" t="s">
        <v>11440</v>
      </c>
      <c r="P2747" t="s">
        <v>256</v>
      </c>
      <c r="Q2747" t="s">
        <v>255</v>
      </c>
      <c r="S2747" t="s">
        <v>13175</v>
      </c>
      <c r="T2747" t="s">
        <v>764</v>
      </c>
      <c r="U2747" t="s">
        <v>45</v>
      </c>
      <c r="V2747" t="s">
        <v>46</v>
      </c>
      <c r="W2747" t="s">
        <v>11459</v>
      </c>
      <c r="X2747" t="s">
        <v>11440</v>
      </c>
      <c r="Y2747" t="s">
        <v>137</v>
      </c>
      <c r="Z2747" t="s">
        <v>717</v>
      </c>
      <c r="AA2747" t="s">
        <v>49</v>
      </c>
      <c r="AB2747" t="s">
        <v>50</v>
      </c>
      <c r="AC2747" s="2">
        <v>171400.63</v>
      </c>
      <c r="AD2747" t="s">
        <v>13176</v>
      </c>
      <c r="AE2747" t="s">
        <v>52</v>
      </c>
    </row>
    <row r="2748" spans="1:31" x14ac:dyDescent="0.25">
      <c r="A2748" t="s">
        <v>13177</v>
      </c>
      <c r="B2748" t="s">
        <v>13178</v>
      </c>
      <c r="C2748" t="s">
        <v>13178</v>
      </c>
      <c r="D2748" t="s">
        <v>773</v>
      </c>
      <c r="E2748" t="s">
        <v>224</v>
      </c>
      <c r="F2748" t="s">
        <v>13179</v>
      </c>
      <c r="G2748" t="s">
        <v>2120</v>
      </c>
      <c r="H2748" t="s">
        <v>2275</v>
      </c>
      <c r="I2748" t="s">
        <v>13180</v>
      </c>
      <c r="J2748" s="2">
        <v>218170</v>
      </c>
      <c r="K2748" s="2">
        <v>1000</v>
      </c>
      <c r="L2748" s="2">
        <v>21</v>
      </c>
      <c r="M2748" s="2">
        <v>0</v>
      </c>
      <c r="N2748" t="s">
        <v>2277</v>
      </c>
      <c r="O2748" t="s">
        <v>2278</v>
      </c>
      <c r="P2748" t="s">
        <v>3534</v>
      </c>
      <c r="Q2748" t="s">
        <v>3535</v>
      </c>
      <c r="S2748" t="s">
        <v>13181</v>
      </c>
      <c r="T2748" t="s">
        <v>764</v>
      </c>
      <c r="U2748" t="s">
        <v>45</v>
      </c>
      <c r="V2748" t="s">
        <v>46</v>
      </c>
      <c r="W2748" t="s">
        <v>2277</v>
      </c>
      <c r="X2748" t="s">
        <v>2278</v>
      </c>
      <c r="Y2748" t="s">
        <v>137</v>
      </c>
      <c r="Z2748" t="s">
        <v>717</v>
      </c>
      <c r="AA2748" t="s">
        <v>49</v>
      </c>
      <c r="AB2748" t="s">
        <v>50</v>
      </c>
      <c r="AC2748" s="2">
        <v>218170</v>
      </c>
      <c r="AD2748" t="s">
        <v>64</v>
      </c>
    </row>
    <row r="2749" spans="1:31" x14ac:dyDescent="0.25">
      <c r="A2749" t="s">
        <v>13182</v>
      </c>
      <c r="B2749" t="s">
        <v>13183</v>
      </c>
      <c r="C2749" t="s">
        <v>13183</v>
      </c>
      <c r="D2749" t="s">
        <v>5795</v>
      </c>
      <c r="E2749" t="s">
        <v>134</v>
      </c>
      <c r="F2749" t="s">
        <v>13184</v>
      </c>
      <c r="G2749" t="s">
        <v>1094</v>
      </c>
      <c r="H2749" t="s">
        <v>324</v>
      </c>
      <c r="I2749" t="s">
        <v>13185</v>
      </c>
      <c r="J2749" s="2">
        <v>1309020</v>
      </c>
      <c r="K2749" s="2">
        <v>6000</v>
      </c>
      <c r="L2749" s="2">
        <v>30</v>
      </c>
      <c r="M2749" s="2">
        <v>0</v>
      </c>
      <c r="N2749" t="s">
        <v>326</v>
      </c>
      <c r="O2749" t="s">
        <v>327</v>
      </c>
      <c r="P2749" t="s">
        <v>304</v>
      </c>
      <c r="Q2749" t="s">
        <v>72</v>
      </c>
      <c r="S2749" t="s">
        <v>13186</v>
      </c>
      <c r="T2749" t="s">
        <v>2754</v>
      </c>
      <c r="U2749" t="s">
        <v>45</v>
      </c>
      <c r="V2749" t="s">
        <v>46</v>
      </c>
      <c r="W2749" t="s">
        <v>326</v>
      </c>
      <c r="X2749" t="s">
        <v>327</v>
      </c>
      <c r="Y2749" t="s">
        <v>121</v>
      </c>
      <c r="Z2749" t="s">
        <v>94</v>
      </c>
      <c r="AA2749" t="s">
        <v>49</v>
      </c>
      <c r="AB2749" t="s">
        <v>50</v>
      </c>
      <c r="AC2749" s="2">
        <v>1309020</v>
      </c>
      <c r="AD2749" t="s">
        <v>64</v>
      </c>
    </row>
    <row r="2750" spans="1:31" x14ac:dyDescent="0.25">
      <c r="A2750" t="s">
        <v>13187</v>
      </c>
      <c r="B2750" t="s">
        <v>13188</v>
      </c>
      <c r="C2750" t="s">
        <v>13188</v>
      </c>
      <c r="D2750" t="s">
        <v>35</v>
      </c>
      <c r="E2750" t="s">
        <v>36</v>
      </c>
      <c r="F2750" t="s">
        <v>13189</v>
      </c>
      <c r="G2750" t="s">
        <v>35</v>
      </c>
      <c r="H2750" t="s">
        <v>3254</v>
      </c>
      <c r="I2750" t="s">
        <v>13190</v>
      </c>
      <c r="J2750" s="2">
        <v>296760</v>
      </c>
      <c r="K2750" s="2">
        <v>1200</v>
      </c>
      <c r="L2750" s="2">
        <v>21</v>
      </c>
      <c r="M2750" s="2">
        <v>0</v>
      </c>
      <c r="N2750" t="s">
        <v>3256</v>
      </c>
      <c r="O2750" t="s">
        <v>3257</v>
      </c>
      <c r="P2750" t="s">
        <v>4315</v>
      </c>
      <c r="Q2750" t="s">
        <v>4316</v>
      </c>
      <c r="S2750" t="s">
        <v>13191</v>
      </c>
      <c r="T2750" t="s">
        <v>2754</v>
      </c>
      <c r="U2750" t="s">
        <v>45</v>
      </c>
      <c r="V2750" t="s">
        <v>46</v>
      </c>
      <c r="W2750" t="s">
        <v>3256</v>
      </c>
      <c r="X2750" t="s">
        <v>3257</v>
      </c>
      <c r="Y2750" t="s">
        <v>1122</v>
      </c>
      <c r="Z2750" t="s">
        <v>1122</v>
      </c>
      <c r="AA2750" t="s">
        <v>49</v>
      </c>
      <c r="AB2750" t="s">
        <v>50</v>
      </c>
      <c r="AC2750" s="2">
        <v>34199.24</v>
      </c>
      <c r="AD2750" t="s">
        <v>13192</v>
      </c>
      <c r="AE2750" t="s">
        <v>52</v>
      </c>
    </row>
    <row r="2751" spans="1:31" x14ac:dyDescent="0.25">
      <c r="A2751" t="s">
        <v>13193</v>
      </c>
      <c r="B2751" t="s">
        <v>13194</v>
      </c>
      <c r="C2751" t="s">
        <v>13195</v>
      </c>
      <c r="D2751" t="s">
        <v>498</v>
      </c>
      <c r="E2751" t="s">
        <v>190</v>
      </c>
      <c r="F2751" t="s">
        <v>9243</v>
      </c>
      <c r="G2751" t="s">
        <v>498</v>
      </c>
      <c r="H2751" t="s">
        <v>922</v>
      </c>
      <c r="J2751" s="2">
        <v>1090850</v>
      </c>
      <c r="K2751" s="2">
        <v>5000</v>
      </c>
      <c r="L2751" s="2">
        <v>21</v>
      </c>
      <c r="M2751" s="2">
        <v>0</v>
      </c>
      <c r="N2751" t="s">
        <v>822</v>
      </c>
      <c r="O2751" t="s">
        <v>820</v>
      </c>
      <c r="P2751" t="s">
        <v>304</v>
      </c>
      <c r="Q2751" t="s">
        <v>72</v>
      </c>
      <c r="S2751" t="s">
        <v>13196</v>
      </c>
      <c r="T2751" t="s">
        <v>2754</v>
      </c>
      <c r="U2751" t="s">
        <v>45</v>
      </c>
      <c r="V2751" t="s">
        <v>46</v>
      </c>
      <c r="W2751" t="s">
        <v>822</v>
      </c>
      <c r="X2751" t="s">
        <v>820</v>
      </c>
      <c r="Y2751" t="s">
        <v>92</v>
      </c>
      <c r="Z2751" t="s">
        <v>94</v>
      </c>
      <c r="AA2751" t="s">
        <v>49</v>
      </c>
      <c r="AB2751" t="s">
        <v>50</v>
      </c>
      <c r="AC2751" s="2">
        <v>1029406.9</v>
      </c>
      <c r="AD2751" t="s">
        <v>13197</v>
      </c>
      <c r="AE2751" t="s">
        <v>52</v>
      </c>
    </row>
    <row r="2752" spans="1:31" x14ac:dyDescent="0.25">
      <c r="A2752" t="s">
        <v>13198</v>
      </c>
      <c r="B2752" t="s">
        <v>13199</v>
      </c>
      <c r="C2752" t="s">
        <v>13199</v>
      </c>
      <c r="D2752" t="s">
        <v>2687</v>
      </c>
      <c r="E2752" t="s">
        <v>190</v>
      </c>
      <c r="F2752" t="s">
        <v>13200</v>
      </c>
      <c r="G2752" t="s">
        <v>192</v>
      </c>
      <c r="H2752" t="s">
        <v>4130</v>
      </c>
      <c r="I2752" t="s">
        <v>13201</v>
      </c>
      <c r="J2752" s="2">
        <v>414523</v>
      </c>
      <c r="K2752" s="2">
        <v>1900</v>
      </c>
      <c r="L2752" s="2">
        <v>15</v>
      </c>
      <c r="M2752" s="2">
        <v>0</v>
      </c>
      <c r="N2752" t="s">
        <v>9130</v>
      </c>
      <c r="O2752" t="s">
        <v>9129</v>
      </c>
      <c r="P2752" t="s">
        <v>3534</v>
      </c>
      <c r="Q2752" t="s">
        <v>3535</v>
      </c>
      <c r="S2752" t="s">
        <v>13202</v>
      </c>
      <c r="T2752" t="s">
        <v>2754</v>
      </c>
      <c r="U2752" t="s">
        <v>45</v>
      </c>
      <c r="V2752" t="s">
        <v>46</v>
      </c>
      <c r="W2752" t="s">
        <v>9130</v>
      </c>
      <c r="X2752" t="s">
        <v>9129</v>
      </c>
      <c r="Y2752" t="s">
        <v>137</v>
      </c>
      <c r="Z2752" t="s">
        <v>717</v>
      </c>
      <c r="AA2752" t="s">
        <v>49</v>
      </c>
      <c r="AB2752" t="s">
        <v>50</v>
      </c>
      <c r="AC2752" s="2">
        <v>356556.07</v>
      </c>
      <c r="AD2752" t="s">
        <v>13203</v>
      </c>
      <c r="AE2752" t="s">
        <v>115</v>
      </c>
    </row>
    <row r="2753" spans="1:31" x14ac:dyDescent="0.25">
      <c r="A2753" t="s">
        <v>13204</v>
      </c>
      <c r="B2753" t="s">
        <v>13205</v>
      </c>
      <c r="C2753" t="s">
        <v>13205</v>
      </c>
      <c r="D2753" t="s">
        <v>125</v>
      </c>
      <c r="E2753" t="s">
        <v>126</v>
      </c>
      <c r="F2753" t="s">
        <v>13206</v>
      </c>
      <c r="G2753" t="s">
        <v>125</v>
      </c>
      <c r="H2753" t="s">
        <v>12562</v>
      </c>
      <c r="I2753" t="s">
        <v>13207</v>
      </c>
      <c r="J2753" s="2">
        <v>218170</v>
      </c>
      <c r="K2753" s="2">
        <v>1000</v>
      </c>
      <c r="L2753" s="2">
        <v>15</v>
      </c>
      <c r="M2753" s="2">
        <v>0</v>
      </c>
      <c r="N2753" t="s">
        <v>5938</v>
      </c>
      <c r="O2753" t="s">
        <v>5939</v>
      </c>
      <c r="P2753" t="s">
        <v>557</v>
      </c>
      <c r="Q2753" t="s">
        <v>558</v>
      </c>
      <c r="S2753" t="s">
        <v>13208</v>
      </c>
      <c r="T2753" t="s">
        <v>2754</v>
      </c>
      <c r="U2753" t="s">
        <v>45</v>
      </c>
      <c r="V2753" t="s">
        <v>46</v>
      </c>
      <c r="W2753" t="s">
        <v>5938</v>
      </c>
      <c r="X2753" t="s">
        <v>5939</v>
      </c>
      <c r="Y2753" t="s">
        <v>85</v>
      </c>
      <c r="Z2753" t="s">
        <v>86</v>
      </c>
      <c r="AA2753" t="s">
        <v>49</v>
      </c>
      <c r="AB2753" t="s">
        <v>50</v>
      </c>
      <c r="AC2753" s="2">
        <v>93993.22</v>
      </c>
      <c r="AD2753" t="s">
        <v>13209</v>
      </c>
      <c r="AE2753" t="s">
        <v>52</v>
      </c>
    </row>
    <row r="2754" spans="1:31" x14ac:dyDescent="0.25">
      <c r="A2754" t="s">
        <v>13210</v>
      </c>
      <c r="B2754" t="s">
        <v>13211</v>
      </c>
      <c r="C2754" t="s">
        <v>13212</v>
      </c>
      <c r="D2754" t="s">
        <v>125</v>
      </c>
      <c r="E2754" t="s">
        <v>126</v>
      </c>
      <c r="F2754" t="s">
        <v>11904</v>
      </c>
      <c r="G2754" t="s">
        <v>125</v>
      </c>
      <c r="H2754" t="s">
        <v>12118</v>
      </c>
      <c r="I2754" t="s">
        <v>13207</v>
      </c>
      <c r="J2754" s="2">
        <v>218170</v>
      </c>
      <c r="K2754" s="2">
        <v>1000</v>
      </c>
      <c r="L2754" s="2">
        <v>15</v>
      </c>
      <c r="M2754" s="2">
        <v>0</v>
      </c>
      <c r="N2754" t="s">
        <v>80</v>
      </c>
      <c r="O2754" t="s">
        <v>81</v>
      </c>
      <c r="P2754" t="s">
        <v>557</v>
      </c>
      <c r="Q2754" t="s">
        <v>558</v>
      </c>
      <c r="S2754" t="s">
        <v>13213</v>
      </c>
      <c r="T2754" t="s">
        <v>2754</v>
      </c>
      <c r="U2754" t="s">
        <v>45</v>
      </c>
      <c r="V2754" t="s">
        <v>46</v>
      </c>
      <c r="W2754" t="s">
        <v>80</v>
      </c>
      <c r="X2754" t="s">
        <v>81</v>
      </c>
      <c r="Y2754" t="s">
        <v>85</v>
      </c>
      <c r="Z2754" t="s">
        <v>86</v>
      </c>
      <c r="AA2754" t="s">
        <v>49</v>
      </c>
      <c r="AB2754" t="s">
        <v>50</v>
      </c>
      <c r="AC2754" s="2">
        <v>55258.05</v>
      </c>
      <c r="AD2754" t="s">
        <v>13214</v>
      </c>
      <c r="AE2754" t="s">
        <v>115</v>
      </c>
    </row>
    <row r="2755" spans="1:31" x14ac:dyDescent="0.25">
      <c r="A2755" t="s">
        <v>13215</v>
      </c>
      <c r="B2755" t="s">
        <v>13216</v>
      </c>
      <c r="C2755" t="s">
        <v>13216</v>
      </c>
      <c r="D2755" t="s">
        <v>125</v>
      </c>
      <c r="E2755" t="s">
        <v>126</v>
      </c>
      <c r="F2755" t="s">
        <v>13217</v>
      </c>
      <c r="G2755" t="s">
        <v>125</v>
      </c>
      <c r="H2755" t="s">
        <v>13218</v>
      </c>
      <c r="I2755" t="s">
        <v>13219</v>
      </c>
      <c r="J2755" s="2">
        <v>1099350</v>
      </c>
      <c r="K2755" s="2">
        <v>5000</v>
      </c>
      <c r="L2755" s="2">
        <v>30</v>
      </c>
      <c r="M2755" s="2">
        <v>0</v>
      </c>
      <c r="N2755" t="s">
        <v>10256</v>
      </c>
      <c r="O2755" t="s">
        <v>10257</v>
      </c>
      <c r="P2755" t="s">
        <v>10093</v>
      </c>
      <c r="Q2755" t="s">
        <v>10094</v>
      </c>
      <c r="S2755" t="s">
        <v>13220</v>
      </c>
      <c r="T2755" t="s">
        <v>1960</v>
      </c>
      <c r="U2755" t="s">
        <v>45</v>
      </c>
      <c r="V2755" t="s">
        <v>46</v>
      </c>
      <c r="W2755" t="s">
        <v>10256</v>
      </c>
      <c r="X2755" t="s">
        <v>10257</v>
      </c>
      <c r="Y2755" t="s">
        <v>7938</v>
      </c>
      <c r="Z2755" t="s">
        <v>7939</v>
      </c>
      <c r="AA2755" t="s">
        <v>49</v>
      </c>
      <c r="AB2755" t="s">
        <v>50</v>
      </c>
      <c r="AC2755" s="2">
        <v>652713.76</v>
      </c>
      <c r="AD2755" t="s">
        <v>13221</v>
      </c>
      <c r="AE2755" t="s">
        <v>52</v>
      </c>
    </row>
    <row r="2756" spans="1:31" x14ac:dyDescent="0.25">
      <c r="A2756" t="s">
        <v>13222</v>
      </c>
      <c r="B2756" t="s">
        <v>13223</v>
      </c>
      <c r="C2756" t="s">
        <v>13224</v>
      </c>
      <c r="D2756" t="s">
        <v>569</v>
      </c>
      <c r="E2756" t="s">
        <v>570</v>
      </c>
      <c r="F2756" t="s">
        <v>13225</v>
      </c>
      <c r="G2756" t="s">
        <v>166</v>
      </c>
      <c r="H2756" t="s">
        <v>5261</v>
      </c>
      <c r="I2756" t="s">
        <v>13226</v>
      </c>
      <c r="J2756" s="2">
        <v>245670</v>
      </c>
      <c r="K2756" s="2">
        <v>1000</v>
      </c>
      <c r="L2756" s="2">
        <v>30</v>
      </c>
      <c r="M2756" s="2">
        <v>0</v>
      </c>
      <c r="N2756" t="s">
        <v>5263</v>
      </c>
      <c r="O2756" t="s">
        <v>5264</v>
      </c>
      <c r="P2756" t="s">
        <v>941</v>
      </c>
      <c r="Q2756" t="s">
        <v>139</v>
      </c>
      <c r="S2756" t="s">
        <v>13227</v>
      </c>
      <c r="T2756" t="s">
        <v>1960</v>
      </c>
      <c r="U2756" t="s">
        <v>45</v>
      </c>
      <c r="V2756" t="s">
        <v>46</v>
      </c>
      <c r="W2756" t="s">
        <v>5263</v>
      </c>
      <c r="X2756" t="s">
        <v>5264</v>
      </c>
      <c r="Y2756" t="s">
        <v>139</v>
      </c>
      <c r="Z2756" t="s">
        <v>140</v>
      </c>
      <c r="AA2756" t="s">
        <v>49</v>
      </c>
      <c r="AB2756" t="s">
        <v>50</v>
      </c>
      <c r="AC2756" s="2">
        <v>245670</v>
      </c>
      <c r="AD2756" t="s">
        <v>64</v>
      </c>
    </row>
    <row r="2757" spans="1:31" x14ac:dyDescent="0.25">
      <c r="A2757" t="s">
        <v>13228</v>
      </c>
      <c r="B2757" t="s">
        <v>13229</v>
      </c>
      <c r="C2757" t="s">
        <v>13230</v>
      </c>
      <c r="D2757" t="s">
        <v>35</v>
      </c>
      <c r="E2757" t="s">
        <v>36</v>
      </c>
      <c r="F2757" t="s">
        <v>13231</v>
      </c>
      <c r="G2757" t="s">
        <v>35</v>
      </c>
      <c r="H2757" t="s">
        <v>79</v>
      </c>
      <c r="I2757" t="s">
        <v>13232</v>
      </c>
      <c r="J2757" s="2">
        <v>218170</v>
      </c>
      <c r="K2757" s="2">
        <v>1000</v>
      </c>
      <c r="L2757" s="2">
        <v>21</v>
      </c>
      <c r="M2757" s="2">
        <v>0</v>
      </c>
      <c r="N2757" t="s">
        <v>495</v>
      </c>
      <c r="O2757" t="s">
        <v>79</v>
      </c>
      <c r="P2757" t="s">
        <v>3487</v>
      </c>
      <c r="Q2757" t="s">
        <v>3488</v>
      </c>
      <c r="S2757" t="s">
        <v>13233</v>
      </c>
      <c r="T2757" t="s">
        <v>1960</v>
      </c>
      <c r="U2757" t="s">
        <v>45</v>
      </c>
      <c r="V2757" t="s">
        <v>46</v>
      </c>
      <c r="W2757" t="s">
        <v>495</v>
      </c>
      <c r="X2757" t="s">
        <v>79</v>
      </c>
      <c r="Y2757" t="s">
        <v>79</v>
      </c>
      <c r="Z2757" t="s">
        <v>94</v>
      </c>
      <c r="AA2757" t="s">
        <v>49</v>
      </c>
      <c r="AB2757" t="s">
        <v>50</v>
      </c>
      <c r="AC2757" s="2">
        <v>-3371.49</v>
      </c>
      <c r="AD2757" t="s">
        <v>13234</v>
      </c>
      <c r="AE2757" t="s">
        <v>52</v>
      </c>
    </row>
    <row r="2758" spans="1:31" hidden="1" x14ac:dyDescent="0.25">
      <c r="A2758" t="s">
        <v>13235</v>
      </c>
      <c r="B2758" t="s">
        <v>13236</v>
      </c>
      <c r="C2758" t="s">
        <v>13237</v>
      </c>
      <c r="F2758" t="s">
        <v>13238</v>
      </c>
      <c r="H2758" t="s">
        <v>10565</v>
      </c>
      <c r="I2758" t="s">
        <v>13239</v>
      </c>
      <c r="J2758" s="2">
        <v>43634</v>
      </c>
      <c r="K2758" s="2">
        <v>200</v>
      </c>
      <c r="L2758" s="2">
        <v>21</v>
      </c>
      <c r="M2758" s="2">
        <v>0</v>
      </c>
      <c r="N2758" t="s">
        <v>10567</v>
      </c>
      <c r="O2758" t="s">
        <v>10565</v>
      </c>
      <c r="P2758" t="s">
        <v>6143</v>
      </c>
      <c r="Q2758" t="s">
        <v>6144</v>
      </c>
      <c r="S2758" t="s">
        <v>13240</v>
      </c>
      <c r="T2758" t="s">
        <v>1960</v>
      </c>
      <c r="U2758" t="s">
        <v>45</v>
      </c>
      <c r="V2758" t="s">
        <v>46</v>
      </c>
      <c r="W2758" t="s">
        <v>10567</v>
      </c>
      <c r="X2758" t="s">
        <v>10565</v>
      </c>
      <c r="Y2758" t="s">
        <v>10167</v>
      </c>
      <c r="Z2758" t="s">
        <v>10168</v>
      </c>
      <c r="AA2758" t="s">
        <v>49</v>
      </c>
      <c r="AB2758" t="s">
        <v>50</v>
      </c>
      <c r="AC2758" s="2">
        <v>43634</v>
      </c>
      <c r="AD2758" t="s">
        <v>64</v>
      </c>
    </row>
    <row r="2759" spans="1:31" x14ac:dyDescent="0.25">
      <c r="A2759" t="s">
        <v>13241</v>
      </c>
      <c r="B2759" t="s">
        <v>13242</v>
      </c>
      <c r="C2759" t="s">
        <v>13243</v>
      </c>
      <c r="D2759" t="s">
        <v>35</v>
      </c>
      <c r="E2759" t="s">
        <v>36</v>
      </c>
      <c r="F2759" t="s">
        <v>13244</v>
      </c>
      <c r="G2759" t="s">
        <v>178</v>
      </c>
      <c r="H2759" t="s">
        <v>2002</v>
      </c>
      <c r="I2759" t="s">
        <v>13245</v>
      </c>
      <c r="J2759" s="2">
        <v>109085</v>
      </c>
      <c r="K2759" s="2">
        <v>500</v>
      </c>
      <c r="L2759" s="2">
        <v>21</v>
      </c>
      <c r="M2759" s="2">
        <v>0</v>
      </c>
      <c r="N2759" t="s">
        <v>101</v>
      </c>
      <c r="O2759" t="s">
        <v>102</v>
      </c>
      <c r="P2759" t="s">
        <v>103</v>
      </c>
      <c r="Q2759" t="s">
        <v>104</v>
      </c>
      <c r="S2759" t="s">
        <v>13246</v>
      </c>
      <c r="T2759" t="s">
        <v>1960</v>
      </c>
      <c r="U2759" t="s">
        <v>45</v>
      </c>
      <c r="V2759" t="s">
        <v>46</v>
      </c>
      <c r="W2759" t="s">
        <v>101</v>
      </c>
      <c r="X2759" t="s">
        <v>102</v>
      </c>
      <c r="Y2759" t="s">
        <v>106</v>
      </c>
      <c r="Z2759" t="s">
        <v>107</v>
      </c>
      <c r="AA2759" t="s">
        <v>49</v>
      </c>
      <c r="AB2759" t="s">
        <v>50</v>
      </c>
      <c r="AC2759" s="2">
        <v>10101.81</v>
      </c>
      <c r="AD2759" t="s">
        <v>13247</v>
      </c>
      <c r="AE2759" t="s">
        <v>52</v>
      </c>
    </row>
    <row r="2760" spans="1:31" x14ac:dyDescent="0.25">
      <c r="A2760" t="s">
        <v>13248</v>
      </c>
      <c r="B2760" t="s">
        <v>13249</v>
      </c>
      <c r="C2760" t="s">
        <v>13249</v>
      </c>
      <c r="D2760" t="s">
        <v>35</v>
      </c>
      <c r="E2760" t="s">
        <v>36</v>
      </c>
      <c r="F2760" t="s">
        <v>13250</v>
      </c>
      <c r="G2760" t="s">
        <v>35</v>
      </c>
      <c r="H2760" t="s">
        <v>252</v>
      </c>
      <c r="J2760" s="2">
        <v>218170</v>
      </c>
      <c r="K2760" s="2">
        <v>1000</v>
      </c>
      <c r="L2760" s="2">
        <v>15</v>
      </c>
      <c r="M2760" s="2">
        <v>0</v>
      </c>
      <c r="N2760" t="s">
        <v>254</v>
      </c>
      <c r="O2760" t="s">
        <v>255</v>
      </c>
      <c r="P2760" t="s">
        <v>256</v>
      </c>
      <c r="Q2760" t="s">
        <v>255</v>
      </c>
      <c r="S2760" t="s">
        <v>13251</v>
      </c>
      <c r="T2760" t="s">
        <v>1960</v>
      </c>
      <c r="U2760" t="s">
        <v>45</v>
      </c>
      <c r="V2760" t="s">
        <v>46</v>
      </c>
      <c r="W2760" t="s">
        <v>254</v>
      </c>
      <c r="X2760" t="s">
        <v>255</v>
      </c>
      <c r="Y2760" t="s">
        <v>258</v>
      </c>
      <c r="Z2760" t="s">
        <v>259</v>
      </c>
      <c r="AA2760" t="s">
        <v>49</v>
      </c>
      <c r="AB2760" t="s">
        <v>50</v>
      </c>
      <c r="AC2760" s="2">
        <v>168347.19</v>
      </c>
      <c r="AD2760" t="s">
        <v>13252</v>
      </c>
      <c r="AE2760" t="s">
        <v>52</v>
      </c>
    </row>
    <row r="2761" spans="1:31" x14ac:dyDescent="0.25">
      <c r="A2761" t="s">
        <v>13253</v>
      </c>
      <c r="B2761" t="s">
        <v>13254</v>
      </c>
      <c r="C2761" t="s">
        <v>13255</v>
      </c>
      <c r="D2761" t="s">
        <v>847</v>
      </c>
      <c r="E2761" t="s">
        <v>848</v>
      </c>
      <c r="F2761" t="s">
        <v>13256</v>
      </c>
      <c r="G2761" t="s">
        <v>847</v>
      </c>
      <c r="H2761" t="s">
        <v>4130</v>
      </c>
      <c r="J2761" s="2">
        <v>281439</v>
      </c>
      <c r="K2761" s="2">
        <v>1290</v>
      </c>
      <c r="L2761" s="2">
        <v>15</v>
      </c>
      <c r="M2761" s="2">
        <v>0</v>
      </c>
      <c r="N2761" t="s">
        <v>9130</v>
      </c>
      <c r="O2761" t="s">
        <v>9129</v>
      </c>
      <c r="P2761" t="s">
        <v>256</v>
      </c>
      <c r="Q2761" t="s">
        <v>255</v>
      </c>
      <c r="S2761" t="s">
        <v>13257</v>
      </c>
      <c r="T2761" t="s">
        <v>1960</v>
      </c>
      <c r="U2761" t="s">
        <v>45</v>
      </c>
      <c r="V2761" t="s">
        <v>46</v>
      </c>
      <c r="W2761" t="s">
        <v>9130</v>
      </c>
      <c r="X2761" t="s">
        <v>9129</v>
      </c>
      <c r="Y2761" t="s">
        <v>137</v>
      </c>
      <c r="Z2761" t="s">
        <v>717</v>
      </c>
      <c r="AA2761" t="s">
        <v>49</v>
      </c>
      <c r="AB2761" t="s">
        <v>50</v>
      </c>
      <c r="AC2761" s="2">
        <v>11127.59</v>
      </c>
      <c r="AD2761" t="s">
        <v>13258</v>
      </c>
      <c r="AE2761" t="s">
        <v>115</v>
      </c>
    </row>
    <row r="2762" spans="1:31" x14ac:dyDescent="0.25">
      <c r="A2762" t="s">
        <v>13259</v>
      </c>
      <c r="B2762" t="s">
        <v>13260</v>
      </c>
      <c r="C2762" t="s">
        <v>13260</v>
      </c>
      <c r="D2762" t="s">
        <v>35</v>
      </c>
      <c r="E2762" t="s">
        <v>36</v>
      </c>
      <c r="F2762" t="s">
        <v>13261</v>
      </c>
      <c r="G2762" t="s">
        <v>847</v>
      </c>
      <c r="H2762" t="s">
        <v>10155</v>
      </c>
      <c r="I2762" t="s">
        <v>13262</v>
      </c>
      <c r="J2762" s="2">
        <v>218170</v>
      </c>
      <c r="K2762" s="2">
        <v>1000</v>
      </c>
      <c r="L2762" s="2">
        <v>30</v>
      </c>
      <c r="M2762" s="2">
        <v>0</v>
      </c>
      <c r="N2762" t="s">
        <v>10157</v>
      </c>
      <c r="O2762" t="s">
        <v>10155</v>
      </c>
      <c r="P2762" t="s">
        <v>10093</v>
      </c>
      <c r="Q2762" t="s">
        <v>10094</v>
      </c>
      <c r="S2762" t="s">
        <v>13263</v>
      </c>
      <c r="T2762" t="s">
        <v>1960</v>
      </c>
      <c r="U2762" t="s">
        <v>45</v>
      </c>
      <c r="V2762" t="s">
        <v>46</v>
      </c>
      <c r="W2762" t="s">
        <v>10157</v>
      </c>
      <c r="X2762" t="s">
        <v>10155</v>
      </c>
      <c r="Y2762" t="s">
        <v>7938</v>
      </c>
      <c r="Z2762" t="s">
        <v>7939</v>
      </c>
      <c r="AA2762" t="s">
        <v>49</v>
      </c>
      <c r="AB2762" t="s">
        <v>50</v>
      </c>
      <c r="AC2762" s="2">
        <v>191612.81</v>
      </c>
      <c r="AD2762" t="s">
        <v>13264</v>
      </c>
      <c r="AE2762" t="s">
        <v>52</v>
      </c>
    </row>
    <row r="2763" spans="1:31" x14ac:dyDescent="0.25">
      <c r="A2763" t="s">
        <v>13265</v>
      </c>
      <c r="B2763" t="s">
        <v>13266</v>
      </c>
      <c r="C2763" t="s">
        <v>13266</v>
      </c>
      <c r="D2763" t="s">
        <v>125</v>
      </c>
      <c r="E2763" t="s">
        <v>126</v>
      </c>
      <c r="F2763" t="s">
        <v>13267</v>
      </c>
      <c r="G2763" t="s">
        <v>125</v>
      </c>
      <c r="H2763" t="s">
        <v>5261</v>
      </c>
      <c r="I2763" t="s">
        <v>13268</v>
      </c>
      <c r="J2763" s="2">
        <v>321633</v>
      </c>
      <c r="K2763" s="2">
        <v>1300</v>
      </c>
      <c r="L2763" s="2">
        <v>30</v>
      </c>
      <c r="M2763" s="2">
        <v>0</v>
      </c>
      <c r="N2763" t="s">
        <v>5263</v>
      </c>
      <c r="O2763" t="s">
        <v>5264</v>
      </c>
      <c r="P2763" t="s">
        <v>941</v>
      </c>
      <c r="Q2763" t="s">
        <v>139</v>
      </c>
      <c r="S2763" t="s">
        <v>13269</v>
      </c>
      <c r="T2763" t="s">
        <v>1960</v>
      </c>
      <c r="U2763" t="s">
        <v>45</v>
      </c>
      <c r="V2763" t="s">
        <v>46</v>
      </c>
      <c r="W2763" t="s">
        <v>5263</v>
      </c>
      <c r="X2763" t="s">
        <v>5264</v>
      </c>
      <c r="Y2763" t="s">
        <v>139</v>
      </c>
      <c r="Z2763" t="s">
        <v>140</v>
      </c>
      <c r="AA2763" t="s">
        <v>49</v>
      </c>
      <c r="AB2763" t="s">
        <v>50</v>
      </c>
      <c r="AC2763" s="2">
        <v>2546.63</v>
      </c>
      <c r="AD2763" t="s">
        <v>13270</v>
      </c>
      <c r="AE2763" t="s">
        <v>52</v>
      </c>
    </row>
    <row r="2764" spans="1:31" x14ac:dyDescent="0.25">
      <c r="A2764" t="s">
        <v>13271</v>
      </c>
      <c r="B2764" t="s">
        <v>13272</v>
      </c>
      <c r="C2764" t="s">
        <v>13272</v>
      </c>
      <c r="D2764" t="s">
        <v>297</v>
      </c>
      <c r="E2764" t="s">
        <v>167</v>
      </c>
      <c r="F2764" t="s">
        <v>13273</v>
      </c>
      <c r="G2764" t="s">
        <v>166</v>
      </c>
      <c r="H2764" t="s">
        <v>1335</v>
      </c>
      <c r="I2764" t="s">
        <v>13274</v>
      </c>
      <c r="J2764" s="2">
        <v>436340</v>
      </c>
      <c r="K2764" s="2">
        <v>2000</v>
      </c>
      <c r="L2764" s="2">
        <v>15</v>
      </c>
      <c r="M2764" s="2">
        <v>0</v>
      </c>
      <c r="N2764" t="s">
        <v>254</v>
      </c>
      <c r="O2764" t="s">
        <v>255</v>
      </c>
      <c r="P2764" t="s">
        <v>256</v>
      </c>
      <c r="Q2764" t="s">
        <v>255</v>
      </c>
      <c r="S2764" t="s">
        <v>13275</v>
      </c>
      <c r="T2764" t="s">
        <v>621</v>
      </c>
      <c r="U2764" t="s">
        <v>45</v>
      </c>
      <c r="V2764" t="s">
        <v>46</v>
      </c>
      <c r="W2764" t="s">
        <v>254</v>
      </c>
      <c r="X2764" t="s">
        <v>255</v>
      </c>
      <c r="Y2764" t="s">
        <v>258</v>
      </c>
      <c r="Z2764" t="s">
        <v>259</v>
      </c>
      <c r="AA2764" t="s">
        <v>49</v>
      </c>
      <c r="AB2764" t="s">
        <v>50</v>
      </c>
      <c r="AC2764" s="2">
        <v>436340</v>
      </c>
      <c r="AD2764" t="s">
        <v>64</v>
      </c>
    </row>
    <row r="2765" spans="1:31" x14ac:dyDescent="0.25">
      <c r="A2765" t="s">
        <v>13276</v>
      </c>
      <c r="B2765" t="s">
        <v>13277</v>
      </c>
      <c r="C2765" t="s">
        <v>13277</v>
      </c>
      <c r="D2765" t="s">
        <v>297</v>
      </c>
      <c r="E2765" t="s">
        <v>167</v>
      </c>
      <c r="F2765" t="s">
        <v>13278</v>
      </c>
      <c r="G2765" t="s">
        <v>4647</v>
      </c>
      <c r="H2765" t="s">
        <v>9937</v>
      </c>
      <c r="I2765" t="s">
        <v>8518</v>
      </c>
      <c r="J2765" s="2">
        <v>370889</v>
      </c>
      <c r="K2765" s="2">
        <v>1700</v>
      </c>
      <c r="L2765" s="2">
        <v>15</v>
      </c>
      <c r="M2765" s="2">
        <v>0</v>
      </c>
      <c r="N2765" t="s">
        <v>1362</v>
      </c>
      <c r="O2765" t="s">
        <v>1360</v>
      </c>
      <c r="P2765" t="s">
        <v>1421</v>
      </c>
      <c r="Q2765" t="s">
        <v>1422</v>
      </c>
      <c r="S2765" t="s">
        <v>13279</v>
      </c>
      <c r="T2765" t="s">
        <v>621</v>
      </c>
      <c r="U2765" t="s">
        <v>45</v>
      </c>
      <c r="V2765" t="s">
        <v>46</v>
      </c>
      <c r="W2765" t="s">
        <v>1362</v>
      </c>
      <c r="X2765" t="s">
        <v>1360</v>
      </c>
      <c r="Y2765" t="s">
        <v>1215</v>
      </c>
      <c r="Z2765" t="s">
        <v>1216</v>
      </c>
      <c r="AA2765" t="s">
        <v>49</v>
      </c>
      <c r="AB2765" t="s">
        <v>50</v>
      </c>
      <c r="AC2765" s="2">
        <v>370889</v>
      </c>
      <c r="AD2765" t="s">
        <v>64</v>
      </c>
    </row>
    <row r="2766" spans="1:31" x14ac:dyDescent="0.25">
      <c r="A2766" t="s">
        <v>13280</v>
      </c>
      <c r="B2766" t="s">
        <v>13281</v>
      </c>
      <c r="C2766" t="s">
        <v>13281</v>
      </c>
      <c r="D2766" t="s">
        <v>35</v>
      </c>
      <c r="E2766" t="s">
        <v>36</v>
      </c>
      <c r="F2766" t="s">
        <v>13282</v>
      </c>
      <c r="G2766" t="s">
        <v>847</v>
      </c>
      <c r="H2766" t="s">
        <v>79</v>
      </c>
      <c r="I2766" t="s">
        <v>13283</v>
      </c>
      <c r="J2766" s="2">
        <v>1309020</v>
      </c>
      <c r="K2766" s="2">
        <v>6000</v>
      </c>
      <c r="L2766" s="2">
        <v>21</v>
      </c>
      <c r="M2766" s="2">
        <v>0</v>
      </c>
      <c r="N2766" t="s">
        <v>495</v>
      </c>
      <c r="O2766" t="s">
        <v>79</v>
      </c>
      <c r="P2766" t="s">
        <v>3487</v>
      </c>
      <c r="Q2766" t="s">
        <v>3488</v>
      </c>
      <c r="S2766" t="s">
        <v>13284</v>
      </c>
      <c r="T2766" t="s">
        <v>621</v>
      </c>
      <c r="U2766" t="s">
        <v>45</v>
      </c>
      <c r="V2766" t="s">
        <v>46</v>
      </c>
      <c r="W2766" t="s">
        <v>495</v>
      </c>
      <c r="X2766" t="s">
        <v>79</v>
      </c>
      <c r="Y2766" t="s">
        <v>79</v>
      </c>
      <c r="Z2766" t="s">
        <v>94</v>
      </c>
      <c r="AA2766" t="s">
        <v>49</v>
      </c>
      <c r="AB2766" t="s">
        <v>50</v>
      </c>
      <c r="AC2766" s="2">
        <v>1127417.27</v>
      </c>
      <c r="AD2766" t="s">
        <v>13285</v>
      </c>
      <c r="AE2766" t="s">
        <v>52</v>
      </c>
    </row>
    <row r="2767" spans="1:31" x14ac:dyDescent="0.25">
      <c r="A2767" t="s">
        <v>13286</v>
      </c>
      <c r="B2767" t="s">
        <v>13287</v>
      </c>
      <c r="C2767" t="s">
        <v>13287</v>
      </c>
      <c r="D2767" t="s">
        <v>2120</v>
      </c>
      <c r="E2767" t="s">
        <v>224</v>
      </c>
      <c r="F2767" t="s">
        <v>13288</v>
      </c>
      <c r="G2767" t="s">
        <v>1094</v>
      </c>
      <c r="H2767" t="s">
        <v>2045</v>
      </c>
      <c r="I2767" t="s">
        <v>13289</v>
      </c>
      <c r="J2767" s="2">
        <v>218170</v>
      </c>
      <c r="K2767" s="2">
        <v>1000</v>
      </c>
      <c r="L2767" s="2">
        <v>15</v>
      </c>
      <c r="M2767" s="2">
        <v>0</v>
      </c>
      <c r="N2767" t="s">
        <v>67</v>
      </c>
      <c r="O2767" t="s">
        <v>68</v>
      </c>
      <c r="P2767" t="s">
        <v>304</v>
      </c>
      <c r="Q2767" t="s">
        <v>72</v>
      </c>
      <c r="S2767" t="s">
        <v>13290</v>
      </c>
      <c r="T2767" t="s">
        <v>621</v>
      </c>
      <c r="U2767" t="s">
        <v>45</v>
      </c>
      <c r="V2767" t="s">
        <v>46</v>
      </c>
      <c r="W2767" t="s">
        <v>67</v>
      </c>
      <c r="X2767" t="s">
        <v>68</v>
      </c>
      <c r="Y2767" t="s">
        <v>72</v>
      </c>
      <c r="Z2767" t="s">
        <v>68</v>
      </c>
      <c r="AA2767" t="s">
        <v>49</v>
      </c>
      <c r="AB2767" t="s">
        <v>50</v>
      </c>
      <c r="AC2767" s="2">
        <v>215140.12</v>
      </c>
      <c r="AD2767" t="s">
        <v>13291</v>
      </c>
    </row>
    <row r="2768" spans="1:31" x14ac:dyDescent="0.25">
      <c r="A2768" t="s">
        <v>13292</v>
      </c>
      <c r="B2768" t="s">
        <v>13293</v>
      </c>
      <c r="C2768" t="s">
        <v>13293</v>
      </c>
      <c r="D2768" t="s">
        <v>35</v>
      </c>
      <c r="E2768" t="s">
        <v>36</v>
      </c>
      <c r="F2768" t="s">
        <v>13294</v>
      </c>
      <c r="G2768" t="s">
        <v>153</v>
      </c>
      <c r="H2768" t="s">
        <v>13295</v>
      </c>
      <c r="I2768" t="s">
        <v>13296</v>
      </c>
      <c r="J2768" s="2">
        <v>549675</v>
      </c>
      <c r="K2768" s="2">
        <v>2500</v>
      </c>
      <c r="L2768" s="2">
        <v>30</v>
      </c>
      <c r="M2768" s="2">
        <v>0</v>
      </c>
      <c r="N2768" t="s">
        <v>13297</v>
      </c>
      <c r="O2768" t="s">
        <v>13295</v>
      </c>
      <c r="P2768" t="s">
        <v>10093</v>
      </c>
      <c r="Q2768" t="s">
        <v>10094</v>
      </c>
      <c r="S2768" t="s">
        <v>13298</v>
      </c>
      <c r="T2768" t="s">
        <v>621</v>
      </c>
      <c r="U2768" t="s">
        <v>45</v>
      </c>
      <c r="V2768" t="s">
        <v>46</v>
      </c>
      <c r="W2768" t="s">
        <v>13297</v>
      </c>
      <c r="X2768" t="s">
        <v>13295</v>
      </c>
      <c r="Y2768" t="s">
        <v>7938</v>
      </c>
      <c r="Z2768" t="s">
        <v>7939</v>
      </c>
      <c r="AA2768" t="s">
        <v>49</v>
      </c>
      <c r="AB2768" t="s">
        <v>50</v>
      </c>
      <c r="AC2768" s="2">
        <v>498611.64</v>
      </c>
      <c r="AD2768" t="s">
        <v>13299</v>
      </c>
      <c r="AE2768" t="s">
        <v>52</v>
      </c>
    </row>
    <row r="2769" spans="1:31" x14ac:dyDescent="0.25">
      <c r="A2769" t="s">
        <v>13300</v>
      </c>
      <c r="B2769" t="s">
        <v>13301</v>
      </c>
      <c r="C2769" t="s">
        <v>13301</v>
      </c>
      <c r="D2769" t="s">
        <v>125</v>
      </c>
      <c r="E2769" t="s">
        <v>126</v>
      </c>
      <c r="F2769" t="s">
        <v>13302</v>
      </c>
      <c r="G2769" t="s">
        <v>125</v>
      </c>
      <c r="H2769" t="s">
        <v>13295</v>
      </c>
      <c r="I2769" t="s">
        <v>13303</v>
      </c>
      <c r="J2769" s="2">
        <v>2618040</v>
      </c>
      <c r="K2769" s="2">
        <v>12000</v>
      </c>
      <c r="L2769" s="2">
        <v>30</v>
      </c>
      <c r="M2769" s="2">
        <v>0</v>
      </c>
      <c r="N2769" t="s">
        <v>13297</v>
      </c>
      <c r="O2769" t="s">
        <v>13295</v>
      </c>
      <c r="P2769" t="s">
        <v>10093</v>
      </c>
      <c r="Q2769" t="s">
        <v>10094</v>
      </c>
      <c r="S2769" t="s">
        <v>13304</v>
      </c>
      <c r="T2769" t="s">
        <v>621</v>
      </c>
      <c r="U2769" t="s">
        <v>45</v>
      </c>
      <c r="V2769" t="s">
        <v>46</v>
      </c>
      <c r="W2769" t="s">
        <v>13297</v>
      </c>
      <c r="X2769" t="s">
        <v>13295</v>
      </c>
      <c r="Y2769" t="s">
        <v>7938</v>
      </c>
      <c r="Z2769" t="s">
        <v>7939</v>
      </c>
      <c r="AA2769" t="s">
        <v>49</v>
      </c>
      <c r="AB2769" t="s">
        <v>50</v>
      </c>
      <c r="AC2769" s="2">
        <v>1308295.1499999999</v>
      </c>
      <c r="AD2769" t="s">
        <v>13305</v>
      </c>
      <c r="AE2769" t="s">
        <v>52</v>
      </c>
    </row>
    <row r="2770" spans="1:31" x14ac:dyDescent="0.25">
      <c r="A2770" t="s">
        <v>13306</v>
      </c>
      <c r="B2770" t="s">
        <v>13307</v>
      </c>
      <c r="C2770" t="s">
        <v>13308</v>
      </c>
      <c r="D2770" t="s">
        <v>125</v>
      </c>
      <c r="E2770" t="s">
        <v>126</v>
      </c>
      <c r="F2770" t="s">
        <v>13309</v>
      </c>
      <c r="G2770" t="s">
        <v>125</v>
      </c>
      <c r="H2770" t="s">
        <v>13295</v>
      </c>
      <c r="I2770" t="s">
        <v>13310</v>
      </c>
      <c r="J2770" s="2">
        <v>1418105</v>
      </c>
      <c r="K2770" s="2">
        <v>6500</v>
      </c>
      <c r="L2770" s="2">
        <v>30</v>
      </c>
      <c r="M2770" s="2">
        <v>0</v>
      </c>
      <c r="N2770" t="s">
        <v>13297</v>
      </c>
      <c r="O2770" t="s">
        <v>13295</v>
      </c>
      <c r="P2770" t="s">
        <v>10093</v>
      </c>
      <c r="Q2770" t="s">
        <v>10094</v>
      </c>
      <c r="S2770" t="s">
        <v>13311</v>
      </c>
      <c r="T2770" t="s">
        <v>621</v>
      </c>
      <c r="U2770" t="s">
        <v>45</v>
      </c>
      <c r="V2770" t="s">
        <v>46</v>
      </c>
      <c r="W2770" t="s">
        <v>13297</v>
      </c>
      <c r="X2770" t="s">
        <v>13295</v>
      </c>
      <c r="Y2770" t="s">
        <v>7938</v>
      </c>
      <c r="Z2770" t="s">
        <v>7939</v>
      </c>
      <c r="AA2770" t="s">
        <v>49</v>
      </c>
      <c r="AB2770" t="s">
        <v>50</v>
      </c>
      <c r="AC2770" s="2">
        <v>506196.32</v>
      </c>
      <c r="AD2770" t="s">
        <v>13312</v>
      </c>
      <c r="AE2770" t="s">
        <v>52</v>
      </c>
    </row>
    <row r="2771" spans="1:31" x14ac:dyDescent="0.25">
      <c r="A2771" t="s">
        <v>13313</v>
      </c>
      <c r="B2771" t="s">
        <v>13314</v>
      </c>
      <c r="C2771" t="s">
        <v>13314</v>
      </c>
      <c r="D2771" t="s">
        <v>153</v>
      </c>
      <c r="E2771" t="s">
        <v>272</v>
      </c>
      <c r="F2771" t="s">
        <v>13315</v>
      </c>
      <c r="G2771" t="s">
        <v>819</v>
      </c>
      <c r="H2771" t="s">
        <v>6685</v>
      </c>
      <c r="I2771" t="s">
        <v>13316</v>
      </c>
      <c r="J2771" s="2">
        <v>218170</v>
      </c>
      <c r="K2771" s="2">
        <v>1000</v>
      </c>
      <c r="L2771" s="2">
        <v>15</v>
      </c>
      <c r="M2771" s="2">
        <v>0</v>
      </c>
      <c r="N2771" t="s">
        <v>254</v>
      </c>
      <c r="O2771" t="s">
        <v>255</v>
      </c>
      <c r="P2771" t="s">
        <v>3534</v>
      </c>
      <c r="Q2771" t="s">
        <v>3535</v>
      </c>
      <c r="S2771" t="s">
        <v>13317</v>
      </c>
      <c r="T2771" t="s">
        <v>621</v>
      </c>
      <c r="U2771" t="s">
        <v>45</v>
      </c>
      <c r="V2771" t="s">
        <v>46</v>
      </c>
      <c r="W2771" t="s">
        <v>254</v>
      </c>
      <c r="X2771" t="s">
        <v>255</v>
      </c>
      <c r="Y2771" t="s">
        <v>137</v>
      </c>
      <c r="Z2771" t="s">
        <v>717</v>
      </c>
      <c r="AA2771" t="s">
        <v>49</v>
      </c>
      <c r="AB2771" t="s">
        <v>50</v>
      </c>
      <c r="AC2771" s="2">
        <v>180180.82</v>
      </c>
      <c r="AD2771" t="s">
        <v>13318</v>
      </c>
      <c r="AE2771" t="s">
        <v>115</v>
      </c>
    </row>
    <row r="2772" spans="1:31" x14ac:dyDescent="0.25">
      <c r="A2772" t="s">
        <v>13319</v>
      </c>
      <c r="B2772" t="s">
        <v>13320</v>
      </c>
      <c r="C2772" t="s">
        <v>13320</v>
      </c>
      <c r="D2772" t="s">
        <v>35</v>
      </c>
      <c r="E2772" t="s">
        <v>36</v>
      </c>
      <c r="F2772" t="s">
        <v>13321</v>
      </c>
      <c r="G2772" t="s">
        <v>35</v>
      </c>
      <c r="H2772" t="s">
        <v>139</v>
      </c>
      <c r="I2772" t="s">
        <v>13322</v>
      </c>
      <c r="J2772" s="2">
        <v>272030</v>
      </c>
      <c r="K2772" s="2">
        <v>1100</v>
      </c>
      <c r="L2772" s="2">
        <v>30</v>
      </c>
      <c r="M2772" s="2">
        <v>0</v>
      </c>
      <c r="N2772" t="s">
        <v>8853</v>
      </c>
      <c r="O2772" t="s">
        <v>139</v>
      </c>
      <c r="P2772" t="s">
        <v>941</v>
      </c>
      <c r="Q2772" t="s">
        <v>139</v>
      </c>
      <c r="S2772" t="s">
        <v>13323</v>
      </c>
      <c r="T2772" t="s">
        <v>621</v>
      </c>
      <c r="U2772" t="s">
        <v>45</v>
      </c>
      <c r="V2772" t="s">
        <v>46</v>
      </c>
      <c r="W2772" t="s">
        <v>8853</v>
      </c>
      <c r="X2772" t="s">
        <v>139</v>
      </c>
      <c r="Y2772" t="s">
        <v>139</v>
      </c>
      <c r="Z2772" t="s">
        <v>140</v>
      </c>
      <c r="AA2772" t="s">
        <v>49</v>
      </c>
      <c r="AB2772" t="s">
        <v>50</v>
      </c>
      <c r="AC2772" s="2">
        <v>33846.99</v>
      </c>
      <c r="AD2772" t="s">
        <v>13324</v>
      </c>
      <c r="AE2772" t="s">
        <v>52</v>
      </c>
    </row>
    <row r="2773" spans="1:31" x14ac:dyDescent="0.25">
      <c r="A2773" t="s">
        <v>13325</v>
      </c>
      <c r="B2773" t="s">
        <v>13326</v>
      </c>
      <c r="C2773" t="s">
        <v>13327</v>
      </c>
      <c r="D2773" t="s">
        <v>35</v>
      </c>
      <c r="E2773" t="s">
        <v>36</v>
      </c>
      <c r="F2773" t="s">
        <v>7834</v>
      </c>
      <c r="G2773" t="s">
        <v>1939</v>
      </c>
      <c r="H2773" t="s">
        <v>8673</v>
      </c>
      <c r="I2773" t="s">
        <v>7836</v>
      </c>
      <c r="J2773" s="2">
        <v>6545100</v>
      </c>
      <c r="K2773" s="2">
        <v>30000</v>
      </c>
      <c r="L2773" s="2">
        <v>30</v>
      </c>
      <c r="M2773" s="2">
        <v>0</v>
      </c>
      <c r="N2773" t="s">
        <v>8675</v>
      </c>
      <c r="O2773" t="s">
        <v>8673</v>
      </c>
      <c r="P2773" t="s">
        <v>3487</v>
      </c>
      <c r="Q2773" t="s">
        <v>3488</v>
      </c>
      <c r="S2773" t="s">
        <v>13328</v>
      </c>
      <c r="T2773" t="s">
        <v>621</v>
      </c>
      <c r="U2773" t="s">
        <v>45</v>
      </c>
      <c r="V2773" t="s">
        <v>46</v>
      </c>
      <c r="W2773" t="s">
        <v>8675</v>
      </c>
      <c r="X2773" t="s">
        <v>8673</v>
      </c>
      <c r="Y2773" t="s">
        <v>79</v>
      </c>
      <c r="Z2773" t="s">
        <v>94</v>
      </c>
      <c r="AA2773" t="s">
        <v>49</v>
      </c>
      <c r="AB2773" t="s">
        <v>50</v>
      </c>
      <c r="AC2773" s="2">
        <v>5882786.0700000003</v>
      </c>
      <c r="AD2773" t="s">
        <v>13329</v>
      </c>
      <c r="AE2773" t="s">
        <v>115</v>
      </c>
    </row>
    <row r="2774" spans="1:31" x14ac:dyDescent="0.25">
      <c r="A2774" t="s">
        <v>13330</v>
      </c>
      <c r="B2774" t="s">
        <v>13331</v>
      </c>
      <c r="C2774" t="s">
        <v>13332</v>
      </c>
      <c r="D2774" t="s">
        <v>847</v>
      </c>
      <c r="E2774" t="s">
        <v>848</v>
      </c>
      <c r="F2774" t="s">
        <v>13333</v>
      </c>
      <c r="G2774" t="s">
        <v>847</v>
      </c>
      <c r="H2774" t="s">
        <v>12422</v>
      </c>
      <c r="I2774" t="s">
        <v>13334</v>
      </c>
      <c r="J2774" s="2">
        <v>611625</v>
      </c>
      <c r="K2774" s="2">
        <v>2500</v>
      </c>
      <c r="L2774" s="2">
        <v>30</v>
      </c>
      <c r="M2774" s="2">
        <v>0</v>
      </c>
      <c r="N2774" t="s">
        <v>12421</v>
      </c>
      <c r="O2774" t="s">
        <v>12422</v>
      </c>
      <c r="P2774" t="s">
        <v>941</v>
      </c>
      <c r="Q2774" t="s">
        <v>139</v>
      </c>
      <c r="S2774" t="s">
        <v>13335</v>
      </c>
      <c r="T2774" t="s">
        <v>7666</v>
      </c>
      <c r="U2774" t="s">
        <v>45</v>
      </c>
      <c r="V2774" t="s">
        <v>46</v>
      </c>
      <c r="W2774" t="s">
        <v>12421</v>
      </c>
      <c r="X2774" t="s">
        <v>12422</v>
      </c>
      <c r="Y2774" t="s">
        <v>9657</v>
      </c>
      <c r="Z2774" t="s">
        <v>9658</v>
      </c>
      <c r="AA2774" t="s">
        <v>49</v>
      </c>
      <c r="AB2774" t="s">
        <v>50</v>
      </c>
      <c r="AC2774" s="2">
        <v>115447.59</v>
      </c>
      <c r="AD2774" t="s">
        <v>13336</v>
      </c>
      <c r="AE2774" t="s">
        <v>52</v>
      </c>
    </row>
    <row r="2775" spans="1:31" x14ac:dyDescent="0.25">
      <c r="A2775" t="s">
        <v>13337</v>
      </c>
      <c r="B2775" t="s">
        <v>13338</v>
      </c>
      <c r="C2775" t="s">
        <v>13338</v>
      </c>
      <c r="D2775" t="s">
        <v>819</v>
      </c>
      <c r="E2775" t="s">
        <v>224</v>
      </c>
      <c r="F2775" t="s">
        <v>13339</v>
      </c>
      <c r="G2775" t="s">
        <v>3194</v>
      </c>
      <c r="H2775" t="s">
        <v>139</v>
      </c>
      <c r="I2775" t="s">
        <v>13322</v>
      </c>
      <c r="J2775" s="2">
        <v>218170</v>
      </c>
      <c r="K2775" s="2">
        <v>1000</v>
      </c>
      <c r="L2775" s="2">
        <v>30</v>
      </c>
      <c r="M2775" s="2">
        <v>0</v>
      </c>
      <c r="N2775" t="s">
        <v>8853</v>
      </c>
      <c r="O2775" t="s">
        <v>139</v>
      </c>
      <c r="P2775" t="s">
        <v>941</v>
      </c>
      <c r="Q2775" t="s">
        <v>139</v>
      </c>
      <c r="S2775" t="s">
        <v>13340</v>
      </c>
      <c r="T2775" t="s">
        <v>7666</v>
      </c>
      <c r="U2775" t="s">
        <v>45</v>
      </c>
      <c r="V2775" t="s">
        <v>46</v>
      </c>
      <c r="W2775" t="s">
        <v>8853</v>
      </c>
      <c r="X2775" t="s">
        <v>139</v>
      </c>
      <c r="Y2775" t="s">
        <v>139</v>
      </c>
      <c r="Z2775" t="s">
        <v>140</v>
      </c>
      <c r="AA2775" t="s">
        <v>49</v>
      </c>
      <c r="AB2775" t="s">
        <v>50</v>
      </c>
      <c r="AC2775" s="2">
        <v>218170</v>
      </c>
      <c r="AD2775" t="s">
        <v>64</v>
      </c>
    </row>
    <row r="2776" spans="1:31" x14ac:dyDescent="0.25">
      <c r="A2776" t="s">
        <v>13341</v>
      </c>
      <c r="B2776" t="s">
        <v>13342</v>
      </c>
      <c r="C2776" t="s">
        <v>13342</v>
      </c>
      <c r="D2776" t="s">
        <v>125</v>
      </c>
      <c r="E2776" t="s">
        <v>126</v>
      </c>
      <c r="F2776" t="s">
        <v>13343</v>
      </c>
      <c r="G2776" t="s">
        <v>125</v>
      </c>
      <c r="H2776" t="s">
        <v>139</v>
      </c>
      <c r="I2776" t="s">
        <v>13344</v>
      </c>
      <c r="J2776" s="2">
        <v>611625</v>
      </c>
      <c r="K2776" s="2">
        <v>2500</v>
      </c>
      <c r="L2776" s="2">
        <v>30</v>
      </c>
      <c r="M2776" s="2">
        <v>0</v>
      </c>
      <c r="N2776" t="s">
        <v>8853</v>
      </c>
      <c r="O2776" t="s">
        <v>139</v>
      </c>
      <c r="P2776" t="s">
        <v>941</v>
      </c>
      <c r="Q2776" t="s">
        <v>139</v>
      </c>
      <c r="S2776" t="s">
        <v>13345</v>
      </c>
      <c r="T2776" t="s">
        <v>7666</v>
      </c>
      <c r="U2776" t="s">
        <v>45</v>
      </c>
      <c r="V2776" t="s">
        <v>46</v>
      </c>
      <c r="W2776" t="s">
        <v>8853</v>
      </c>
      <c r="X2776" t="s">
        <v>139</v>
      </c>
      <c r="Y2776" t="s">
        <v>139</v>
      </c>
      <c r="Z2776" t="s">
        <v>140</v>
      </c>
      <c r="AA2776" t="s">
        <v>49</v>
      </c>
      <c r="AB2776" t="s">
        <v>50</v>
      </c>
      <c r="AC2776" s="2">
        <v>78427.19</v>
      </c>
      <c r="AD2776" t="s">
        <v>13346</v>
      </c>
      <c r="AE2776" t="s">
        <v>52</v>
      </c>
    </row>
    <row r="2777" spans="1:31" x14ac:dyDescent="0.25">
      <c r="A2777" t="s">
        <v>13347</v>
      </c>
      <c r="B2777" t="s">
        <v>13348</v>
      </c>
      <c r="C2777" t="s">
        <v>13349</v>
      </c>
      <c r="D2777" t="s">
        <v>35</v>
      </c>
      <c r="E2777" t="s">
        <v>36</v>
      </c>
      <c r="F2777" t="s">
        <v>13256</v>
      </c>
      <c r="G2777" t="s">
        <v>35</v>
      </c>
      <c r="H2777" t="s">
        <v>1335</v>
      </c>
      <c r="I2777" t="s">
        <v>13350</v>
      </c>
      <c r="J2777" s="2">
        <v>346374</v>
      </c>
      <c r="K2777" s="2">
        <v>1400</v>
      </c>
      <c r="L2777" s="2">
        <v>15</v>
      </c>
      <c r="M2777" s="2">
        <v>0</v>
      </c>
      <c r="N2777" t="s">
        <v>254</v>
      </c>
      <c r="O2777" t="s">
        <v>255</v>
      </c>
      <c r="P2777" t="s">
        <v>256</v>
      </c>
      <c r="Q2777" t="s">
        <v>255</v>
      </c>
      <c r="S2777" t="s">
        <v>13351</v>
      </c>
      <c r="T2777" t="s">
        <v>7666</v>
      </c>
      <c r="U2777" t="s">
        <v>45</v>
      </c>
      <c r="V2777" t="s">
        <v>46</v>
      </c>
      <c r="W2777" t="s">
        <v>254</v>
      </c>
      <c r="X2777" t="s">
        <v>255</v>
      </c>
      <c r="Y2777" t="s">
        <v>258</v>
      </c>
      <c r="Z2777" t="s">
        <v>259</v>
      </c>
      <c r="AA2777" t="s">
        <v>49</v>
      </c>
      <c r="AB2777" t="s">
        <v>50</v>
      </c>
      <c r="AC2777" s="2">
        <v>-94077.89</v>
      </c>
      <c r="AD2777" t="s">
        <v>13352</v>
      </c>
      <c r="AE2777" t="s">
        <v>115</v>
      </c>
    </row>
    <row r="2778" spans="1:31" x14ac:dyDescent="0.25">
      <c r="A2778" t="s">
        <v>13353</v>
      </c>
      <c r="B2778" t="s">
        <v>13354</v>
      </c>
      <c r="C2778" t="s">
        <v>13354</v>
      </c>
      <c r="D2778" t="s">
        <v>125</v>
      </c>
      <c r="E2778" t="s">
        <v>126</v>
      </c>
      <c r="F2778" t="s">
        <v>13355</v>
      </c>
      <c r="G2778" t="s">
        <v>153</v>
      </c>
      <c r="H2778" t="s">
        <v>10672</v>
      </c>
      <c r="I2778" t="s">
        <v>13356</v>
      </c>
      <c r="J2778" s="2">
        <v>218170</v>
      </c>
      <c r="K2778" s="2">
        <v>1000</v>
      </c>
      <c r="L2778" s="2">
        <v>21</v>
      </c>
      <c r="M2778" s="2">
        <v>0</v>
      </c>
      <c r="N2778" t="s">
        <v>8208</v>
      </c>
      <c r="O2778" t="s">
        <v>8209</v>
      </c>
      <c r="P2778" t="s">
        <v>2320</v>
      </c>
      <c r="Q2778" t="s">
        <v>2321</v>
      </c>
      <c r="S2778" t="s">
        <v>13357</v>
      </c>
      <c r="T2778" t="s">
        <v>76</v>
      </c>
      <c r="U2778" t="s">
        <v>45</v>
      </c>
      <c r="V2778" t="s">
        <v>46</v>
      </c>
      <c r="W2778" t="s">
        <v>8208</v>
      </c>
      <c r="X2778" t="s">
        <v>8209</v>
      </c>
      <c r="Y2778" t="s">
        <v>79</v>
      </c>
      <c r="Z2778" t="s">
        <v>94</v>
      </c>
      <c r="AA2778" t="s">
        <v>49</v>
      </c>
      <c r="AB2778" t="s">
        <v>50</v>
      </c>
      <c r="AC2778" s="2">
        <v>160080.87</v>
      </c>
      <c r="AD2778" t="s">
        <v>13358</v>
      </c>
      <c r="AE2778" t="s">
        <v>115</v>
      </c>
    </row>
    <row r="2779" spans="1:31" x14ac:dyDescent="0.25">
      <c r="A2779" t="s">
        <v>13359</v>
      </c>
      <c r="B2779" t="s">
        <v>13360</v>
      </c>
      <c r="C2779" t="s">
        <v>5351</v>
      </c>
      <c r="D2779" t="s">
        <v>1467</v>
      </c>
      <c r="E2779" t="s">
        <v>224</v>
      </c>
      <c r="F2779" t="s">
        <v>5352</v>
      </c>
      <c r="G2779" t="s">
        <v>76</v>
      </c>
      <c r="H2779" t="s">
        <v>11671</v>
      </c>
      <c r="I2779" t="s">
        <v>5353</v>
      </c>
      <c r="J2779" s="2">
        <v>218170</v>
      </c>
      <c r="K2779" s="2">
        <v>1000</v>
      </c>
      <c r="L2779" s="2">
        <v>30</v>
      </c>
      <c r="M2779" s="2">
        <v>0</v>
      </c>
      <c r="N2779" t="s">
        <v>89</v>
      </c>
      <c r="O2779" t="s">
        <v>90</v>
      </c>
      <c r="P2779" t="s">
        <v>91</v>
      </c>
      <c r="Q2779" t="s">
        <v>92</v>
      </c>
      <c r="S2779" t="s">
        <v>13361</v>
      </c>
      <c r="T2779" t="s">
        <v>76</v>
      </c>
      <c r="U2779" t="s">
        <v>45</v>
      </c>
      <c r="V2779" t="s">
        <v>46</v>
      </c>
      <c r="W2779" t="s">
        <v>89</v>
      </c>
      <c r="X2779" t="s">
        <v>90</v>
      </c>
      <c r="Y2779" t="s">
        <v>92</v>
      </c>
      <c r="Z2779" t="s">
        <v>94</v>
      </c>
      <c r="AA2779" t="s">
        <v>49</v>
      </c>
      <c r="AB2779" t="s">
        <v>50</v>
      </c>
      <c r="AC2779" s="2">
        <v>218170</v>
      </c>
      <c r="AD2779" t="s">
        <v>64</v>
      </c>
    </row>
    <row r="2780" spans="1:31" x14ac:dyDescent="0.25">
      <c r="A2780" t="s">
        <v>13362</v>
      </c>
      <c r="B2780" t="s">
        <v>13363</v>
      </c>
      <c r="C2780" t="s">
        <v>13363</v>
      </c>
      <c r="D2780" t="s">
        <v>619</v>
      </c>
      <c r="E2780" t="s">
        <v>77</v>
      </c>
      <c r="F2780" t="s">
        <v>13364</v>
      </c>
      <c r="G2780" t="s">
        <v>76</v>
      </c>
      <c r="H2780" t="s">
        <v>13365</v>
      </c>
      <c r="J2780" s="2">
        <v>65451</v>
      </c>
      <c r="K2780" s="2">
        <v>300</v>
      </c>
      <c r="L2780" s="2">
        <v>1</v>
      </c>
      <c r="M2780" s="2">
        <v>0</v>
      </c>
      <c r="N2780" t="s">
        <v>13366</v>
      </c>
      <c r="O2780" t="s">
        <v>13365</v>
      </c>
      <c r="P2780" t="s">
        <v>91</v>
      </c>
      <c r="Q2780" t="s">
        <v>92</v>
      </c>
      <c r="S2780" t="s">
        <v>13367</v>
      </c>
      <c r="T2780" t="s">
        <v>76</v>
      </c>
      <c r="U2780" t="s">
        <v>45</v>
      </c>
      <c r="V2780" t="s">
        <v>46</v>
      </c>
      <c r="W2780" t="s">
        <v>13366</v>
      </c>
      <c r="X2780" t="s">
        <v>13365</v>
      </c>
      <c r="Y2780" t="s">
        <v>92</v>
      </c>
      <c r="Z2780" t="s">
        <v>94</v>
      </c>
      <c r="AA2780" t="s">
        <v>49</v>
      </c>
      <c r="AB2780" t="s">
        <v>50</v>
      </c>
      <c r="AC2780" s="2">
        <v>65451</v>
      </c>
      <c r="AD2780" t="s">
        <v>64</v>
      </c>
    </row>
    <row r="2781" spans="1:31" x14ac:dyDescent="0.25">
      <c r="A2781" t="s">
        <v>13368</v>
      </c>
      <c r="B2781" t="s">
        <v>13369</v>
      </c>
      <c r="C2781" t="s">
        <v>13369</v>
      </c>
      <c r="D2781" t="s">
        <v>819</v>
      </c>
      <c r="E2781" t="s">
        <v>224</v>
      </c>
      <c r="F2781" t="s">
        <v>13370</v>
      </c>
      <c r="G2781" t="s">
        <v>819</v>
      </c>
      <c r="H2781" t="s">
        <v>1222</v>
      </c>
      <c r="I2781" t="s">
        <v>13371</v>
      </c>
      <c r="J2781" s="2">
        <v>109085</v>
      </c>
      <c r="K2781" s="2">
        <v>500</v>
      </c>
      <c r="L2781" s="2">
        <v>7</v>
      </c>
      <c r="M2781" s="2">
        <v>0</v>
      </c>
      <c r="N2781" t="s">
        <v>1221</v>
      </c>
      <c r="O2781" t="s">
        <v>1222</v>
      </c>
      <c r="P2781" t="s">
        <v>205</v>
      </c>
      <c r="Q2781" t="s">
        <v>206</v>
      </c>
      <c r="S2781" t="s">
        <v>13372</v>
      </c>
      <c r="T2781" t="s">
        <v>76</v>
      </c>
      <c r="U2781" t="s">
        <v>45</v>
      </c>
      <c r="V2781" t="s">
        <v>46</v>
      </c>
      <c r="W2781" t="s">
        <v>1221</v>
      </c>
      <c r="X2781" t="s">
        <v>1222</v>
      </c>
      <c r="Y2781" t="s">
        <v>161</v>
      </c>
      <c r="Z2781" t="s">
        <v>162</v>
      </c>
      <c r="AA2781" t="s">
        <v>49</v>
      </c>
      <c r="AB2781" t="s">
        <v>50</v>
      </c>
      <c r="AC2781" s="2">
        <v>109085</v>
      </c>
      <c r="AD2781" t="s">
        <v>64</v>
      </c>
    </row>
    <row r="2782" spans="1:31" x14ac:dyDescent="0.25">
      <c r="A2782" t="s">
        <v>13373</v>
      </c>
      <c r="B2782" t="s">
        <v>13374</v>
      </c>
      <c r="C2782" t="s">
        <v>5351</v>
      </c>
      <c r="D2782" t="s">
        <v>1467</v>
      </c>
      <c r="E2782" t="s">
        <v>224</v>
      </c>
      <c r="F2782" t="s">
        <v>5352</v>
      </c>
      <c r="G2782" t="s">
        <v>76</v>
      </c>
      <c r="H2782" t="s">
        <v>11671</v>
      </c>
      <c r="I2782" t="s">
        <v>5353</v>
      </c>
      <c r="J2782" s="2">
        <v>218170</v>
      </c>
      <c r="K2782" s="2">
        <v>1000</v>
      </c>
      <c r="L2782" s="2">
        <v>30</v>
      </c>
      <c r="M2782" s="2">
        <v>0</v>
      </c>
      <c r="N2782" t="s">
        <v>89</v>
      </c>
      <c r="O2782" t="s">
        <v>90</v>
      </c>
      <c r="P2782" t="s">
        <v>91</v>
      </c>
      <c r="Q2782" t="s">
        <v>92</v>
      </c>
      <c r="S2782" t="s">
        <v>13375</v>
      </c>
      <c r="T2782" t="s">
        <v>76</v>
      </c>
      <c r="U2782" t="s">
        <v>45</v>
      </c>
      <c r="V2782" t="s">
        <v>46</v>
      </c>
      <c r="W2782" t="s">
        <v>89</v>
      </c>
      <c r="X2782" t="s">
        <v>90</v>
      </c>
      <c r="Y2782" t="s">
        <v>92</v>
      </c>
      <c r="Z2782" t="s">
        <v>94</v>
      </c>
      <c r="AA2782" t="s">
        <v>49</v>
      </c>
      <c r="AB2782" t="s">
        <v>50</v>
      </c>
      <c r="AC2782" s="2">
        <v>218170</v>
      </c>
      <c r="AD2782" t="s">
        <v>64</v>
      </c>
    </row>
    <row r="2783" spans="1:31" x14ac:dyDescent="0.25">
      <c r="A2783" t="s">
        <v>13376</v>
      </c>
      <c r="B2783" t="s">
        <v>13377</v>
      </c>
      <c r="C2783" t="s">
        <v>13377</v>
      </c>
      <c r="D2783" t="s">
        <v>153</v>
      </c>
      <c r="E2783" t="s">
        <v>272</v>
      </c>
      <c r="F2783" t="s">
        <v>13256</v>
      </c>
      <c r="G2783" t="s">
        <v>299</v>
      </c>
      <c r="H2783" t="s">
        <v>1335</v>
      </c>
      <c r="I2783" t="s">
        <v>13350</v>
      </c>
      <c r="J2783" s="2">
        <v>254199</v>
      </c>
      <c r="K2783" s="2">
        <v>1100</v>
      </c>
      <c r="L2783" s="2">
        <v>15</v>
      </c>
      <c r="M2783" s="2">
        <v>0</v>
      </c>
      <c r="N2783" t="s">
        <v>254</v>
      </c>
      <c r="O2783" t="s">
        <v>255</v>
      </c>
      <c r="P2783" t="s">
        <v>256</v>
      </c>
      <c r="Q2783" t="s">
        <v>255</v>
      </c>
      <c r="S2783" t="s">
        <v>13378</v>
      </c>
      <c r="T2783" t="s">
        <v>619</v>
      </c>
      <c r="U2783" t="s">
        <v>45</v>
      </c>
      <c r="V2783" t="s">
        <v>46</v>
      </c>
      <c r="W2783" t="s">
        <v>254</v>
      </c>
      <c r="X2783" t="s">
        <v>255</v>
      </c>
      <c r="Y2783" t="s">
        <v>258</v>
      </c>
      <c r="Z2783" t="s">
        <v>259</v>
      </c>
      <c r="AA2783" t="s">
        <v>49</v>
      </c>
      <c r="AB2783" t="s">
        <v>50</v>
      </c>
      <c r="AC2783" s="2">
        <v>116377.99</v>
      </c>
      <c r="AD2783" t="s">
        <v>13379</v>
      </c>
      <c r="AE2783" t="s">
        <v>115</v>
      </c>
    </row>
    <row r="2784" spans="1:31" x14ac:dyDescent="0.25">
      <c r="A2784" t="s">
        <v>13380</v>
      </c>
      <c r="B2784" t="s">
        <v>13381</v>
      </c>
      <c r="C2784" t="s">
        <v>13381</v>
      </c>
      <c r="D2784" t="s">
        <v>1865</v>
      </c>
      <c r="E2784" t="s">
        <v>224</v>
      </c>
      <c r="F2784" t="s">
        <v>13382</v>
      </c>
      <c r="G2784" t="s">
        <v>1289</v>
      </c>
      <c r="H2784" t="s">
        <v>1335</v>
      </c>
      <c r="I2784" t="s">
        <v>13383</v>
      </c>
      <c r="J2784" s="2">
        <v>218170</v>
      </c>
      <c r="K2784" s="2">
        <v>1000</v>
      </c>
      <c r="L2784" s="2">
        <v>15</v>
      </c>
      <c r="M2784" s="2">
        <v>0</v>
      </c>
      <c r="N2784" t="s">
        <v>254</v>
      </c>
      <c r="O2784" t="s">
        <v>255</v>
      </c>
      <c r="P2784" t="s">
        <v>3534</v>
      </c>
      <c r="Q2784" t="s">
        <v>3535</v>
      </c>
      <c r="S2784" t="s">
        <v>13384</v>
      </c>
      <c r="T2784" t="s">
        <v>619</v>
      </c>
      <c r="U2784" t="s">
        <v>45</v>
      </c>
      <c r="V2784" t="s">
        <v>46</v>
      </c>
      <c r="W2784" t="s">
        <v>254</v>
      </c>
      <c r="X2784" t="s">
        <v>255</v>
      </c>
      <c r="Y2784" t="s">
        <v>258</v>
      </c>
      <c r="Z2784" t="s">
        <v>259</v>
      </c>
      <c r="AA2784" t="s">
        <v>49</v>
      </c>
      <c r="AB2784" t="s">
        <v>50</v>
      </c>
      <c r="AC2784" s="2">
        <v>218170</v>
      </c>
      <c r="AD2784" t="s">
        <v>64</v>
      </c>
    </row>
    <row r="2785" spans="1:31" hidden="1" x14ac:dyDescent="0.25">
      <c r="A2785" t="s">
        <v>13385</v>
      </c>
      <c r="B2785" t="s">
        <v>13386</v>
      </c>
      <c r="C2785" t="s">
        <v>13386</v>
      </c>
      <c r="F2785" t="s">
        <v>13387</v>
      </c>
      <c r="H2785" t="s">
        <v>1335</v>
      </c>
      <c r="I2785" t="s">
        <v>13388</v>
      </c>
      <c r="J2785" s="2">
        <v>218170</v>
      </c>
      <c r="K2785" s="2">
        <v>1000</v>
      </c>
      <c r="L2785" s="2">
        <v>15</v>
      </c>
      <c r="M2785" s="2">
        <v>0</v>
      </c>
      <c r="N2785" t="s">
        <v>254</v>
      </c>
      <c r="O2785" t="s">
        <v>255</v>
      </c>
      <c r="P2785" t="s">
        <v>3534</v>
      </c>
      <c r="Q2785" t="s">
        <v>3535</v>
      </c>
      <c r="S2785" t="s">
        <v>13389</v>
      </c>
      <c r="T2785" t="s">
        <v>619</v>
      </c>
      <c r="U2785" t="s">
        <v>45</v>
      </c>
      <c r="V2785" t="s">
        <v>46</v>
      </c>
      <c r="W2785" t="s">
        <v>254</v>
      </c>
      <c r="X2785" t="s">
        <v>255</v>
      </c>
      <c r="Y2785" t="s">
        <v>258</v>
      </c>
      <c r="Z2785" t="s">
        <v>259</v>
      </c>
      <c r="AA2785" t="s">
        <v>49</v>
      </c>
      <c r="AB2785" t="s">
        <v>50</v>
      </c>
      <c r="AC2785" s="2">
        <v>218170</v>
      </c>
      <c r="AD2785" t="s">
        <v>64</v>
      </c>
    </row>
    <row r="2786" spans="1:31" x14ac:dyDescent="0.25">
      <c r="A2786" t="s">
        <v>13390</v>
      </c>
      <c r="B2786" t="s">
        <v>13391</v>
      </c>
      <c r="C2786" t="s">
        <v>13391</v>
      </c>
      <c r="D2786" t="s">
        <v>847</v>
      </c>
      <c r="E2786" t="s">
        <v>848</v>
      </c>
      <c r="F2786" t="s">
        <v>13392</v>
      </c>
      <c r="G2786" t="s">
        <v>2118</v>
      </c>
      <c r="H2786" t="s">
        <v>8775</v>
      </c>
      <c r="I2786" t="s">
        <v>13393</v>
      </c>
      <c r="J2786" s="2">
        <v>218170</v>
      </c>
      <c r="K2786" s="2">
        <v>1000</v>
      </c>
      <c r="L2786" s="2">
        <v>15</v>
      </c>
      <c r="M2786" s="2">
        <v>0</v>
      </c>
      <c r="N2786" t="s">
        <v>8777</v>
      </c>
      <c r="O2786" t="s">
        <v>8778</v>
      </c>
      <c r="P2786" t="s">
        <v>1421</v>
      </c>
      <c r="Q2786" t="s">
        <v>1422</v>
      </c>
      <c r="S2786" t="s">
        <v>13394</v>
      </c>
      <c r="T2786" t="s">
        <v>619</v>
      </c>
      <c r="U2786" t="s">
        <v>45</v>
      </c>
      <c r="V2786" t="s">
        <v>46</v>
      </c>
      <c r="W2786" t="s">
        <v>8777</v>
      </c>
      <c r="X2786" t="s">
        <v>8778</v>
      </c>
      <c r="Y2786" t="s">
        <v>1215</v>
      </c>
      <c r="Z2786" t="s">
        <v>1216</v>
      </c>
      <c r="AA2786" t="s">
        <v>49</v>
      </c>
      <c r="AB2786" t="s">
        <v>50</v>
      </c>
      <c r="AC2786" s="2">
        <v>218170</v>
      </c>
      <c r="AD2786" t="s">
        <v>64</v>
      </c>
    </row>
    <row r="2787" spans="1:31" x14ac:dyDescent="0.25">
      <c r="A2787" t="s">
        <v>13395</v>
      </c>
      <c r="B2787" t="s">
        <v>13396</v>
      </c>
      <c r="C2787" t="s">
        <v>13396</v>
      </c>
      <c r="D2787" t="s">
        <v>125</v>
      </c>
      <c r="E2787" t="s">
        <v>126</v>
      </c>
      <c r="F2787" t="s">
        <v>13397</v>
      </c>
      <c r="G2787" t="s">
        <v>125</v>
      </c>
      <c r="H2787" t="s">
        <v>6419</v>
      </c>
      <c r="I2787" t="s">
        <v>13398</v>
      </c>
      <c r="J2787" s="2">
        <v>223960</v>
      </c>
      <c r="K2787" s="2">
        <v>1000</v>
      </c>
      <c r="L2787" s="2">
        <v>15</v>
      </c>
      <c r="M2787" s="2">
        <v>0</v>
      </c>
      <c r="N2787" t="s">
        <v>6029</v>
      </c>
      <c r="O2787" t="s">
        <v>6030</v>
      </c>
      <c r="P2787" t="s">
        <v>82</v>
      </c>
      <c r="Q2787" t="s">
        <v>83</v>
      </c>
      <c r="S2787" t="s">
        <v>13399</v>
      </c>
      <c r="T2787" t="s">
        <v>3857</v>
      </c>
      <c r="U2787" t="s">
        <v>45</v>
      </c>
      <c r="V2787" t="s">
        <v>46</v>
      </c>
      <c r="W2787" t="s">
        <v>6029</v>
      </c>
      <c r="X2787" t="s">
        <v>6030</v>
      </c>
      <c r="Y2787" t="s">
        <v>85</v>
      </c>
      <c r="Z2787" t="s">
        <v>86</v>
      </c>
      <c r="AA2787" t="s">
        <v>49</v>
      </c>
      <c r="AB2787" t="s">
        <v>50</v>
      </c>
      <c r="AC2787" s="2">
        <v>69409.02</v>
      </c>
      <c r="AD2787" t="s">
        <v>13400</v>
      </c>
      <c r="AE2787" t="s">
        <v>52</v>
      </c>
    </row>
    <row r="2788" spans="1:31" x14ac:dyDescent="0.25">
      <c r="A2788" t="s">
        <v>13401</v>
      </c>
      <c r="B2788" t="s">
        <v>3897</v>
      </c>
      <c r="C2788" t="s">
        <v>3897</v>
      </c>
      <c r="D2788" t="s">
        <v>555</v>
      </c>
      <c r="E2788" t="s">
        <v>1502</v>
      </c>
      <c r="F2788" t="s">
        <v>13402</v>
      </c>
      <c r="G2788" t="s">
        <v>3194</v>
      </c>
      <c r="H2788" t="s">
        <v>6288</v>
      </c>
      <c r="I2788" t="s">
        <v>13403</v>
      </c>
      <c r="J2788" s="2">
        <v>218170</v>
      </c>
      <c r="K2788" s="2">
        <v>1000</v>
      </c>
      <c r="L2788" s="2">
        <v>15</v>
      </c>
      <c r="M2788" s="2">
        <v>0</v>
      </c>
      <c r="N2788" t="s">
        <v>2767</v>
      </c>
      <c r="O2788" t="s">
        <v>2768</v>
      </c>
      <c r="P2788" t="s">
        <v>82</v>
      </c>
      <c r="Q2788" t="s">
        <v>83</v>
      </c>
      <c r="S2788" t="s">
        <v>13404</v>
      </c>
      <c r="T2788" t="s">
        <v>3857</v>
      </c>
      <c r="U2788" t="s">
        <v>45</v>
      </c>
      <c r="V2788" t="s">
        <v>46</v>
      </c>
      <c r="W2788" t="s">
        <v>2767</v>
      </c>
      <c r="X2788" t="s">
        <v>2768</v>
      </c>
      <c r="Y2788" t="s">
        <v>85</v>
      </c>
      <c r="Z2788" t="s">
        <v>86</v>
      </c>
      <c r="AA2788" t="s">
        <v>49</v>
      </c>
      <c r="AB2788" t="s">
        <v>50</v>
      </c>
      <c r="AC2788" s="2">
        <v>193359.53</v>
      </c>
      <c r="AD2788" t="s">
        <v>13405</v>
      </c>
    </row>
    <row r="2789" spans="1:31" x14ac:dyDescent="0.25">
      <c r="A2789" t="s">
        <v>13406</v>
      </c>
      <c r="B2789" t="s">
        <v>13407</v>
      </c>
      <c r="C2789" t="s">
        <v>13407</v>
      </c>
      <c r="D2789" t="s">
        <v>299</v>
      </c>
      <c r="E2789" t="s">
        <v>167</v>
      </c>
      <c r="F2789" t="s">
        <v>13408</v>
      </c>
      <c r="G2789" t="s">
        <v>299</v>
      </c>
      <c r="H2789" t="s">
        <v>9937</v>
      </c>
      <c r="I2789" t="s">
        <v>13409</v>
      </c>
      <c r="J2789" s="2">
        <v>218170</v>
      </c>
      <c r="K2789" s="2">
        <v>1000</v>
      </c>
      <c r="L2789" s="2">
        <v>21</v>
      </c>
      <c r="M2789" s="2">
        <v>0</v>
      </c>
      <c r="N2789" t="s">
        <v>1362</v>
      </c>
      <c r="O2789" t="s">
        <v>1360</v>
      </c>
      <c r="P2789" t="s">
        <v>1212</v>
      </c>
      <c r="Q2789" t="s">
        <v>1213</v>
      </c>
      <c r="S2789" t="s">
        <v>13410</v>
      </c>
      <c r="T2789" t="s">
        <v>3857</v>
      </c>
      <c r="U2789" t="s">
        <v>45</v>
      </c>
      <c r="V2789" t="s">
        <v>46</v>
      </c>
      <c r="W2789" t="s">
        <v>1362</v>
      </c>
      <c r="X2789" t="s">
        <v>1360</v>
      </c>
      <c r="Y2789" t="s">
        <v>1215</v>
      </c>
      <c r="Z2789" t="s">
        <v>1216</v>
      </c>
      <c r="AA2789" t="s">
        <v>49</v>
      </c>
      <c r="AB2789" t="s">
        <v>50</v>
      </c>
      <c r="AC2789" s="2">
        <v>197268.52</v>
      </c>
      <c r="AD2789" t="s">
        <v>13411</v>
      </c>
      <c r="AE2789" t="s">
        <v>52</v>
      </c>
    </row>
    <row r="2790" spans="1:31" hidden="1" x14ac:dyDescent="0.25">
      <c r="A2790" t="s">
        <v>13412</v>
      </c>
      <c r="B2790" t="s">
        <v>13413</v>
      </c>
      <c r="C2790" t="s">
        <v>13413</v>
      </c>
      <c r="F2790" t="s">
        <v>13414</v>
      </c>
      <c r="H2790" t="s">
        <v>10727</v>
      </c>
      <c r="J2790" s="2">
        <v>218170</v>
      </c>
      <c r="K2790" s="2">
        <v>1000</v>
      </c>
      <c r="L2790" s="2">
        <v>21</v>
      </c>
      <c r="M2790" s="2">
        <v>0</v>
      </c>
      <c r="N2790" t="s">
        <v>1210</v>
      </c>
      <c r="O2790" t="s">
        <v>1211</v>
      </c>
      <c r="P2790" t="s">
        <v>1212</v>
      </c>
      <c r="Q2790" t="s">
        <v>1213</v>
      </c>
      <c r="S2790" t="s">
        <v>13415</v>
      </c>
      <c r="T2790" t="s">
        <v>3857</v>
      </c>
      <c r="U2790" t="s">
        <v>45</v>
      </c>
      <c r="V2790" t="s">
        <v>46</v>
      </c>
      <c r="W2790" t="s">
        <v>1210</v>
      </c>
      <c r="X2790" t="s">
        <v>1211</v>
      </c>
      <c r="Y2790" t="s">
        <v>1215</v>
      </c>
      <c r="Z2790" t="s">
        <v>1216</v>
      </c>
      <c r="AA2790" t="s">
        <v>49</v>
      </c>
      <c r="AB2790" t="s">
        <v>50</v>
      </c>
      <c r="AC2790" s="2">
        <v>218170</v>
      </c>
      <c r="AD2790" t="s">
        <v>64</v>
      </c>
    </row>
    <row r="2791" spans="1:31" x14ac:dyDescent="0.25">
      <c r="A2791" t="s">
        <v>13416</v>
      </c>
      <c r="B2791" t="s">
        <v>13417</v>
      </c>
      <c r="C2791" t="s">
        <v>13417</v>
      </c>
      <c r="D2791" t="s">
        <v>297</v>
      </c>
      <c r="E2791" t="s">
        <v>167</v>
      </c>
      <c r="F2791" t="s">
        <v>13418</v>
      </c>
      <c r="G2791" t="s">
        <v>478</v>
      </c>
      <c r="H2791" t="s">
        <v>922</v>
      </c>
      <c r="I2791" t="s">
        <v>13419</v>
      </c>
      <c r="J2791" s="2">
        <v>65451</v>
      </c>
      <c r="K2791" s="2">
        <v>300</v>
      </c>
      <c r="L2791" s="2">
        <v>7</v>
      </c>
      <c r="M2791" s="2">
        <v>0</v>
      </c>
      <c r="N2791" t="s">
        <v>822</v>
      </c>
      <c r="O2791" t="s">
        <v>820</v>
      </c>
      <c r="P2791" t="s">
        <v>91</v>
      </c>
      <c r="Q2791" t="s">
        <v>92</v>
      </c>
      <c r="S2791" t="s">
        <v>13420</v>
      </c>
      <c r="T2791" t="s">
        <v>3857</v>
      </c>
      <c r="U2791" t="s">
        <v>45</v>
      </c>
      <c r="V2791" t="s">
        <v>46</v>
      </c>
      <c r="W2791" t="s">
        <v>822</v>
      </c>
      <c r="X2791" t="s">
        <v>820</v>
      </c>
      <c r="Y2791" t="s">
        <v>92</v>
      </c>
      <c r="Z2791" t="s">
        <v>94</v>
      </c>
      <c r="AA2791" t="s">
        <v>49</v>
      </c>
      <c r="AB2791" t="s">
        <v>50</v>
      </c>
      <c r="AC2791" s="2">
        <v>65451</v>
      </c>
      <c r="AD2791" t="s">
        <v>64</v>
      </c>
    </row>
    <row r="2792" spans="1:31" x14ac:dyDescent="0.25">
      <c r="A2792" t="s">
        <v>13421</v>
      </c>
      <c r="B2792" t="s">
        <v>13422</v>
      </c>
      <c r="C2792" t="s">
        <v>13422</v>
      </c>
      <c r="D2792" t="s">
        <v>847</v>
      </c>
      <c r="E2792" t="s">
        <v>848</v>
      </c>
      <c r="F2792" t="s">
        <v>13423</v>
      </c>
      <c r="G2792" t="s">
        <v>847</v>
      </c>
      <c r="H2792" t="s">
        <v>6419</v>
      </c>
      <c r="J2792" s="2">
        <v>370889</v>
      </c>
      <c r="K2792" s="2">
        <v>1700</v>
      </c>
      <c r="L2792" s="2">
        <v>15</v>
      </c>
      <c r="M2792" s="2">
        <v>0</v>
      </c>
      <c r="N2792" t="s">
        <v>6029</v>
      </c>
      <c r="O2792" t="s">
        <v>6030</v>
      </c>
      <c r="P2792" t="s">
        <v>82</v>
      </c>
      <c r="Q2792" t="s">
        <v>83</v>
      </c>
      <c r="S2792" t="s">
        <v>13424</v>
      </c>
      <c r="T2792" t="s">
        <v>3857</v>
      </c>
      <c r="U2792" t="s">
        <v>45</v>
      </c>
      <c r="V2792" t="s">
        <v>46</v>
      </c>
      <c r="W2792" t="s">
        <v>6029</v>
      </c>
      <c r="X2792" t="s">
        <v>6030</v>
      </c>
      <c r="Y2792" t="s">
        <v>85</v>
      </c>
      <c r="Z2792" t="s">
        <v>86</v>
      </c>
      <c r="AA2792" t="s">
        <v>49</v>
      </c>
      <c r="AB2792" t="s">
        <v>50</v>
      </c>
      <c r="AC2792" s="2">
        <v>270590.40999999997</v>
      </c>
      <c r="AD2792" t="s">
        <v>13425</v>
      </c>
      <c r="AE2792" t="s">
        <v>52</v>
      </c>
    </row>
    <row r="2793" spans="1:31" x14ac:dyDescent="0.25">
      <c r="A2793" t="s">
        <v>13426</v>
      </c>
      <c r="B2793" t="s">
        <v>13427</v>
      </c>
      <c r="C2793" t="s">
        <v>13427</v>
      </c>
      <c r="D2793" t="s">
        <v>1410</v>
      </c>
      <c r="E2793" t="s">
        <v>871</v>
      </c>
      <c r="F2793" t="s">
        <v>13428</v>
      </c>
      <c r="G2793" t="s">
        <v>4907</v>
      </c>
      <c r="H2793" t="s">
        <v>10395</v>
      </c>
      <c r="I2793" t="s">
        <v>13429</v>
      </c>
      <c r="J2793" s="2">
        <v>130902</v>
      </c>
      <c r="K2793" s="2">
        <v>600</v>
      </c>
      <c r="L2793" s="2">
        <v>21</v>
      </c>
      <c r="M2793" s="2">
        <v>0</v>
      </c>
      <c r="N2793" t="s">
        <v>6940</v>
      </c>
      <c r="O2793" t="s">
        <v>6939</v>
      </c>
      <c r="P2793" t="s">
        <v>3487</v>
      </c>
      <c r="Q2793" t="s">
        <v>3488</v>
      </c>
      <c r="S2793" t="s">
        <v>13430</v>
      </c>
      <c r="T2793" t="s">
        <v>3857</v>
      </c>
      <c r="U2793" t="s">
        <v>45</v>
      </c>
      <c r="V2793" t="s">
        <v>46</v>
      </c>
      <c r="W2793" t="s">
        <v>6940</v>
      </c>
      <c r="X2793" t="s">
        <v>6939</v>
      </c>
      <c r="Y2793" t="s">
        <v>79</v>
      </c>
      <c r="Z2793" t="s">
        <v>94</v>
      </c>
      <c r="AA2793" t="s">
        <v>49</v>
      </c>
      <c r="AB2793" t="s">
        <v>50</v>
      </c>
      <c r="AC2793" s="2">
        <v>130902</v>
      </c>
      <c r="AD2793" t="s">
        <v>64</v>
      </c>
    </row>
    <row r="2794" spans="1:31" x14ac:dyDescent="0.25">
      <c r="A2794" t="s">
        <v>13431</v>
      </c>
      <c r="B2794" t="s">
        <v>13432</v>
      </c>
      <c r="C2794" t="s">
        <v>13432</v>
      </c>
      <c r="D2794" t="s">
        <v>153</v>
      </c>
      <c r="E2794" t="s">
        <v>272</v>
      </c>
      <c r="F2794" t="s">
        <v>13433</v>
      </c>
      <c r="G2794" t="s">
        <v>297</v>
      </c>
      <c r="H2794" t="s">
        <v>79</v>
      </c>
      <c r="I2794" t="s">
        <v>13434</v>
      </c>
      <c r="J2794" s="2">
        <v>803781</v>
      </c>
      <c r="K2794" s="2">
        <v>3300</v>
      </c>
      <c r="L2794" s="2">
        <v>30</v>
      </c>
      <c r="M2794" s="2">
        <v>0</v>
      </c>
      <c r="N2794" t="s">
        <v>8100</v>
      </c>
      <c r="O2794" t="s">
        <v>8101</v>
      </c>
      <c r="P2794" t="s">
        <v>4853</v>
      </c>
      <c r="Q2794" t="s">
        <v>4854</v>
      </c>
      <c r="S2794" t="s">
        <v>13435</v>
      </c>
      <c r="T2794" t="s">
        <v>3857</v>
      </c>
      <c r="U2794" t="s">
        <v>45</v>
      </c>
      <c r="V2794" t="s">
        <v>46</v>
      </c>
      <c r="W2794" t="s">
        <v>8100</v>
      </c>
      <c r="X2794" t="s">
        <v>8101</v>
      </c>
      <c r="Y2794" t="s">
        <v>4854</v>
      </c>
      <c r="Z2794" t="s">
        <v>72</v>
      </c>
      <c r="AA2794" t="s">
        <v>49</v>
      </c>
      <c r="AB2794" t="s">
        <v>50</v>
      </c>
      <c r="AC2794" s="2">
        <v>339656.35</v>
      </c>
      <c r="AD2794" t="s">
        <v>13436</v>
      </c>
      <c r="AE2794" t="s">
        <v>52</v>
      </c>
    </row>
    <row r="2795" spans="1:31" x14ac:dyDescent="0.25">
      <c r="A2795" t="s">
        <v>13437</v>
      </c>
      <c r="B2795" t="s">
        <v>13438</v>
      </c>
      <c r="C2795" t="s">
        <v>13438</v>
      </c>
      <c r="D2795" t="s">
        <v>125</v>
      </c>
      <c r="E2795" t="s">
        <v>126</v>
      </c>
      <c r="F2795" t="s">
        <v>13439</v>
      </c>
      <c r="G2795" t="s">
        <v>125</v>
      </c>
      <c r="H2795" t="s">
        <v>5261</v>
      </c>
      <c r="I2795" t="s">
        <v>13440</v>
      </c>
      <c r="J2795" s="2">
        <v>635460</v>
      </c>
      <c r="K2795" s="2">
        <v>2550</v>
      </c>
      <c r="L2795" s="2">
        <v>30</v>
      </c>
      <c r="M2795" s="2">
        <v>0</v>
      </c>
      <c r="N2795" t="s">
        <v>5263</v>
      </c>
      <c r="O2795" t="s">
        <v>5264</v>
      </c>
      <c r="P2795" t="s">
        <v>941</v>
      </c>
      <c r="Q2795" t="s">
        <v>139</v>
      </c>
      <c r="S2795" t="s">
        <v>13441</v>
      </c>
      <c r="T2795" t="s">
        <v>138</v>
      </c>
      <c r="U2795" t="s">
        <v>45</v>
      </c>
      <c r="V2795" t="s">
        <v>46</v>
      </c>
      <c r="W2795" t="s">
        <v>5263</v>
      </c>
      <c r="X2795" t="s">
        <v>5264</v>
      </c>
      <c r="Y2795" t="s">
        <v>139</v>
      </c>
      <c r="Z2795" t="s">
        <v>140</v>
      </c>
      <c r="AA2795" t="s">
        <v>49</v>
      </c>
      <c r="AB2795" t="s">
        <v>50</v>
      </c>
      <c r="AC2795" s="2">
        <v>47707.95</v>
      </c>
      <c r="AD2795" t="s">
        <v>13442</v>
      </c>
      <c r="AE2795" t="s">
        <v>52</v>
      </c>
    </row>
    <row r="2796" spans="1:31" hidden="1" x14ac:dyDescent="0.25">
      <c r="A2796" t="s">
        <v>13443</v>
      </c>
      <c r="B2796" t="s">
        <v>13444</v>
      </c>
      <c r="C2796" t="s">
        <v>13444</v>
      </c>
      <c r="F2796" t="s">
        <v>13445</v>
      </c>
      <c r="H2796" t="s">
        <v>2837</v>
      </c>
      <c r="I2796" t="s">
        <v>13446</v>
      </c>
      <c r="J2796" s="2">
        <v>218</v>
      </c>
      <c r="K2796" s="2">
        <v>1</v>
      </c>
      <c r="L2796" s="2">
        <v>1</v>
      </c>
      <c r="M2796" s="2">
        <v>0</v>
      </c>
      <c r="N2796" t="s">
        <v>966</v>
      </c>
      <c r="O2796" t="s">
        <v>964</v>
      </c>
      <c r="P2796" t="s">
        <v>304</v>
      </c>
      <c r="Q2796" t="s">
        <v>72</v>
      </c>
      <c r="S2796" t="s">
        <v>13447</v>
      </c>
      <c r="T2796" t="s">
        <v>138</v>
      </c>
      <c r="U2796" t="s">
        <v>45</v>
      </c>
      <c r="V2796" t="s">
        <v>46</v>
      </c>
      <c r="W2796" t="s">
        <v>966</v>
      </c>
      <c r="X2796" t="s">
        <v>964</v>
      </c>
      <c r="Y2796" t="s">
        <v>72</v>
      </c>
      <c r="Z2796" t="s">
        <v>68</v>
      </c>
      <c r="AA2796" t="s">
        <v>49</v>
      </c>
      <c r="AB2796" t="s">
        <v>50</v>
      </c>
      <c r="AC2796" s="2">
        <v>218</v>
      </c>
      <c r="AD2796" t="s">
        <v>64</v>
      </c>
    </row>
    <row r="2797" spans="1:31" x14ac:dyDescent="0.25">
      <c r="A2797" t="s">
        <v>13448</v>
      </c>
      <c r="B2797" t="s">
        <v>13449</v>
      </c>
      <c r="C2797" t="s">
        <v>13449</v>
      </c>
      <c r="D2797" t="s">
        <v>792</v>
      </c>
      <c r="E2797" t="s">
        <v>190</v>
      </c>
      <c r="F2797" t="s">
        <v>13450</v>
      </c>
      <c r="G2797" t="s">
        <v>792</v>
      </c>
      <c r="H2797" t="s">
        <v>10141</v>
      </c>
      <c r="I2797" t="s">
        <v>13451</v>
      </c>
      <c r="J2797" s="2">
        <v>218170</v>
      </c>
      <c r="K2797" s="2">
        <v>1000</v>
      </c>
      <c r="L2797" s="2">
        <v>30</v>
      </c>
      <c r="M2797" s="2">
        <v>0</v>
      </c>
      <c r="N2797" t="s">
        <v>7936</v>
      </c>
      <c r="O2797" t="s">
        <v>7935</v>
      </c>
      <c r="P2797" t="s">
        <v>10093</v>
      </c>
      <c r="Q2797" t="s">
        <v>10094</v>
      </c>
      <c r="S2797" t="s">
        <v>13452</v>
      </c>
      <c r="T2797" t="s">
        <v>138</v>
      </c>
      <c r="U2797" t="s">
        <v>45</v>
      </c>
      <c r="V2797" t="s">
        <v>46</v>
      </c>
      <c r="W2797" t="s">
        <v>7936</v>
      </c>
      <c r="X2797" t="s">
        <v>7935</v>
      </c>
      <c r="Y2797" t="s">
        <v>7938</v>
      </c>
      <c r="Z2797" t="s">
        <v>7939</v>
      </c>
      <c r="AA2797" t="s">
        <v>49</v>
      </c>
      <c r="AB2797" t="s">
        <v>50</v>
      </c>
      <c r="AC2797" s="2">
        <v>195667.56</v>
      </c>
      <c r="AD2797" t="s">
        <v>13453</v>
      </c>
      <c r="AE2797" t="s">
        <v>52</v>
      </c>
    </row>
    <row r="2798" spans="1:31" x14ac:dyDescent="0.25">
      <c r="A2798" t="s">
        <v>13454</v>
      </c>
      <c r="B2798" t="s">
        <v>13455</v>
      </c>
      <c r="C2798" t="s">
        <v>13455</v>
      </c>
      <c r="D2798" t="s">
        <v>153</v>
      </c>
      <c r="E2798" t="s">
        <v>272</v>
      </c>
      <c r="F2798" t="s">
        <v>13456</v>
      </c>
      <c r="G2798" t="s">
        <v>847</v>
      </c>
      <c r="H2798" t="s">
        <v>10695</v>
      </c>
      <c r="J2798" s="2">
        <v>218170</v>
      </c>
      <c r="K2798" s="2">
        <v>1000</v>
      </c>
      <c r="L2798" s="2">
        <v>15</v>
      </c>
      <c r="M2798" s="2">
        <v>0</v>
      </c>
      <c r="N2798" t="s">
        <v>80</v>
      </c>
      <c r="O2798" t="s">
        <v>81</v>
      </c>
      <c r="P2798" t="s">
        <v>557</v>
      </c>
      <c r="Q2798" t="s">
        <v>558</v>
      </c>
      <c r="S2798" t="s">
        <v>13457</v>
      </c>
      <c r="T2798" t="s">
        <v>138</v>
      </c>
      <c r="U2798" t="s">
        <v>45</v>
      </c>
      <c r="V2798" t="s">
        <v>46</v>
      </c>
      <c r="W2798" t="s">
        <v>80</v>
      </c>
      <c r="X2798" t="s">
        <v>81</v>
      </c>
      <c r="Y2798" t="s">
        <v>85</v>
      </c>
      <c r="Z2798" t="s">
        <v>86</v>
      </c>
      <c r="AA2798" t="s">
        <v>49</v>
      </c>
      <c r="AB2798" t="s">
        <v>50</v>
      </c>
      <c r="AC2798" s="2">
        <v>187703.62</v>
      </c>
      <c r="AD2798" t="s">
        <v>13458</v>
      </c>
      <c r="AE2798" t="s">
        <v>115</v>
      </c>
    </row>
    <row r="2799" spans="1:31" x14ac:dyDescent="0.25">
      <c r="A2799" t="s">
        <v>13459</v>
      </c>
      <c r="B2799" t="s">
        <v>13460</v>
      </c>
      <c r="C2799" t="s">
        <v>13461</v>
      </c>
      <c r="D2799" t="s">
        <v>847</v>
      </c>
      <c r="E2799" t="s">
        <v>848</v>
      </c>
      <c r="F2799" t="s">
        <v>8203</v>
      </c>
      <c r="G2799" t="s">
        <v>792</v>
      </c>
      <c r="H2799" t="s">
        <v>1335</v>
      </c>
      <c r="I2799" t="s">
        <v>13462</v>
      </c>
      <c r="J2799" s="2">
        <v>117435</v>
      </c>
      <c r="K2799" s="2">
        <v>500</v>
      </c>
      <c r="L2799" s="2">
        <v>15</v>
      </c>
      <c r="M2799" s="2">
        <v>0</v>
      </c>
      <c r="N2799" t="s">
        <v>254</v>
      </c>
      <c r="O2799" t="s">
        <v>255</v>
      </c>
      <c r="P2799" t="s">
        <v>256</v>
      </c>
      <c r="Q2799" t="s">
        <v>255</v>
      </c>
      <c r="S2799" t="s">
        <v>13463</v>
      </c>
      <c r="T2799" t="s">
        <v>138</v>
      </c>
      <c r="U2799" t="s">
        <v>45</v>
      </c>
      <c r="V2799" t="s">
        <v>46</v>
      </c>
      <c r="W2799" t="s">
        <v>254</v>
      </c>
      <c r="X2799" t="s">
        <v>255</v>
      </c>
      <c r="Y2799" t="s">
        <v>258</v>
      </c>
      <c r="Z2799" t="s">
        <v>259</v>
      </c>
      <c r="AA2799" t="s">
        <v>49</v>
      </c>
      <c r="AB2799" t="s">
        <v>50</v>
      </c>
      <c r="AC2799" s="2">
        <v>37030.120000000003</v>
      </c>
      <c r="AD2799" t="s">
        <v>13464</v>
      </c>
    </row>
    <row r="2800" spans="1:31" x14ac:dyDescent="0.25">
      <c r="A2800" t="s">
        <v>13465</v>
      </c>
      <c r="B2800" t="s">
        <v>13466</v>
      </c>
      <c r="C2800" t="s">
        <v>13466</v>
      </c>
      <c r="D2800" t="s">
        <v>297</v>
      </c>
      <c r="E2800" t="s">
        <v>167</v>
      </c>
      <c r="F2800" t="s">
        <v>13467</v>
      </c>
      <c r="G2800" t="s">
        <v>555</v>
      </c>
      <c r="H2800" t="s">
        <v>1072</v>
      </c>
      <c r="I2800" t="s">
        <v>1369</v>
      </c>
      <c r="J2800" s="2">
        <v>436340</v>
      </c>
      <c r="K2800" s="2">
        <v>2000</v>
      </c>
      <c r="L2800" s="2">
        <v>21</v>
      </c>
      <c r="M2800" s="2">
        <v>0</v>
      </c>
      <c r="N2800" t="s">
        <v>1074</v>
      </c>
      <c r="O2800" t="s">
        <v>1075</v>
      </c>
      <c r="P2800" t="s">
        <v>304</v>
      </c>
      <c r="Q2800" t="s">
        <v>72</v>
      </c>
      <c r="S2800" t="s">
        <v>13468</v>
      </c>
      <c r="T2800" t="s">
        <v>138</v>
      </c>
      <c r="U2800" t="s">
        <v>45</v>
      </c>
      <c r="V2800" t="s">
        <v>46</v>
      </c>
      <c r="W2800" t="s">
        <v>1074</v>
      </c>
      <c r="X2800" t="s">
        <v>1075</v>
      </c>
      <c r="Y2800" t="s">
        <v>72</v>
      </c>
      <c r="Z2800" t="s">
        <v>68</v>
      </c>
      <c r="AA2800" t="s">
        <v>49</v>
      </c>
      <c r="AB2800" t="s">
        <v>50</v>
      </c>
      <c r="AC2800" s="2">
        <v>405695.16</v>
      </c>
      <c r="AD2800" t="s">
        <v>13469</v>
      </c>
    </row>
    <row r="2801" spans="1:31" x14ac:dyDescent="0.25">
      <c r="A2801" t="s">
        <v>13470</v>
      </c>
      <c r="B2801" t="s">
        <v>13471</v>
      </c>
      <c r="C2801" t="s">
        <v>13471</v>
      </c>
      <c r="D2801" t="s">
        <v>125</v>
      </c>
      <c r="E2801" t="s">
        <v>126</v>
      </c>
      <c r="F2801" t="s">
        <v>13472</v>
      </c>
      <c r="G2801" t="s">
        <v>125</v>
      </c>
      <c r="H2801" t="s">
        <v>10141</v>
      </c>
      <c r="I2801" t="s">
        <v>13473</v>
      </c>
      <c r="J2801" s="2">
        <v>567242</v>
      </c>
      <c r="K2801" s="2">
        <v>2600</v>
      </c>
      <c r="L2801" s="2">
        <v>30</v>
      </c>
      <c r="M2801" s="2">
        <v>0</v>
      </c>
      <c r="N2801" t="s">
        <v>7936</v>
      </c>
      <c r="O2801" t="s">
        <v>7935</v>
      </c>
      <c r="P2801" t="s">
        <v>10093</v>
      </c>
      <c r="Q2801" t="s">
        <v>10094</v>
      </c>
      <c r="S2801" t="s">
        <v>13474</v>
      </c>
      <c r="T2801" t="s">
        <v>13475</v>
      </c>
      <c r="U2801" t="s">
        <v>45</v>
      </c>
      <c r="V2801" t="s">
        <v>46</v>
      </c>
      <c r="W2801" t="s">
        <v>7936</v>
      </c>
      <c r="X2801" t="s">
        <v>7935</v>
      </c>
      <c r="Y2801" t="s">
        <v>7938</v>
      </c>
      <c r="Z2801" t="s">
        <v>7939</v>
      </c>
      <c r="AA2801" t="s">
        <v>49</v>
      </c>
      <c r="AB2801" t="s">
        <v>50</v>
      </c>
      <c r="AC2801" s="2">
        <v>519757.03</v>
      </c>
      <c r="AD2801" t="s">
        <v>13476</v>
      </c>
      <c r="AE2801" t="s">
        <v>52</v>
      </c>
    </row>
    <row r="2802" spans="1:31" x14ac:dyDescent="0.25">
      <c r="A2802" t="s">
        <v>13477</v>
      </c>
      <c r="B2802" t="s">
        <v>13478</v>
      </c>
      <c r="C2802" t="s">
        <v>13478</v>
      </c>
      <c r="D2802" t="s">
        <v>153</v>
      </c>
      <c r="E2802" t="s">
        <v>272</v>
      </c>
      <c r="F2802" t="s">
        <v>13479</v>
      </c>
      <c r="G2802" t="s">
        <v>792</v>
      </c>
      <c r="H2802" t="s">
        <v>10141</v>
      </c>
      <c r="I2802" t="s">
        <v>13480</v>
      </c>
      <c r="J2802" s="2">
        <v>1028160</v>
      </c>
      <c r="K2802" s="2">
        <v>4500</v>
      </c>
      <c r="L2802" s="2">
        <v>30</v>
      </c>
      <c r="M2802" s="2">
        <v>0</v>
      </c>
      <c r="N2802" t="s">
        <v>7936</v>
      </c>
      <c r="O2802" t="s">
        <v>7935</v>
      </c>
      <c r="P2802" t="s">
        <v>10093</v>
      </c>
      <c r="Q2802" t="s">
        <v>10094</v>
      </c>
      <c r="S2802" t="s">
        <v>13481</v>
      </c>
      <c r="T2802" t="s">
        <v>13475</v>
      </c>
      <c r="U2802" t="s">
        <v>45</v>
      </c>
      <c r="V2802" t="s">
        <v>46</v>
      </c>
      <c r="W2802" t="s">
        <v>7936</v>
      </c>
      <c r="X2802" t="s">
        <v>7935</v>
      </c>
      <c r="Y2802" t="s">
        <v>7938</v>
      </c>
      <c r="Z2802" t="s">
        <v>7939</v>
      </c>
      <c r="AA2802" t="s">
        <v>49</v>
      </c>
      <c r="AB2802" t="s">
        <v>50</v>
      </c>
      <c r="AC2802" s="2">
        <v>740576.57</v>
      </c>
      <c r="AD2802" t="s">
        <v>13482</v>
      </c>
      <c r="AE2802" t="s">
        <v>52</v>
      </c>
    </row>
    <row r="2803" spans="1:31" x14ac:dyDescent="0.25">
      <c r="A2803" t="s">
        <v>13483</v>
      </c>
      <c r="B2803" t="s">
        <v>13484</v>
      </c>
      <c r="C2803" t="s">
        <v>13485</v>
      </c>
      <c r="D2803" t="s">
        <v>297</v>
      </c>
      <c r="E2803" t="s">
        <v>167</v>
      </c>
      <c r="F2803" t="s">
        <v>13486</v>
      </c>
      <c r="G2803" t="s">
        <v>297</v>
      </c>
      <c r="H2803" t="s">
        <v>2508</v>
      </c>
      <c r="I2803" t="s">
        <v>13487</v>
      </c>
      <c r="J2803" s="2">
        <v>218170</v>
      </c>
      <c r="K2803" s="2">
        <v>1000</v>
      </c>
      <c r="L2803" s="2">
        <v>1</v>
      </c>
      <c r="M2803" s="2">
        <v>0</v>
      </c>
      <c r="N2803" t="s">
        <v>700</v>
      </c>
      <c r="O2803" t="s">
        <v>699</v>
      </c>
      <c r="P2803" t="s">
        <v>69</v>
      </c>
      <c r="Q2803" t="s">
        <v>70</v>
      </c>
      <c r="S2803" t="s">
        <v>13488</v>
      </c>
      <c r="T2803" t="s">
        <v>13475</v>
      </c>
      <c r="U2803" t="s">
        <v>45</v>
      </c>
      <c r="V2803" t="s">
        <v>46</v>
      </c>
      <c r="W2803" t="s">
        <v>700</v>
      </c>
      <c r="X2803" t="s">
        <v>699</v>
      </c>
      <c r="Y2803" t="s">
        <v>72</v>
      </c>
      <c r="Z2803" t="s">
        <v>68</v>
      </c>
      <c r="AA2803" t="s">
        <v>49</v>
      </c>
      <c r="AB2803" t="s">
        <v>50</v>
      </c>
      <c r="AC2803" s="2">
        <v>218170</v>
      </c>
      <c r="AD2803" t="s">
        <v>64</v>
      </c>
    </row>
    <row r="2804" spans="1:31" hidden="1" x14ac:dyDescent="0.25">
      <c r="A2804" t="s">
        <v>13489</v>
      </c>
      <c r="B2804" t="s">
        <v>13490</v>
      </c>
      <c r="C2804" t="s">
        <v>13490</v>
      </c>
      <c r="F2804" t="s">
        <v>13491</v>
      </c>
      <c r="H2804" t="s">
        <v>12118</v>
      </c>
      <c r="I2804" t="s">
        <v>13492</v>
      </c>
      <c r="J2804" s="2">
        <v>218170</v>
      </c>
      <c r="K2804" s="2">
        <v>1000</v>
      </c>
      <c r="L2804" s="2">
        <v>40</v>
      </c>
      <c r="M2804" s="2">
        <v>0</v>
      </c>
      <c r="N2804" t="s">
        <v>80</v>
      </c>
      <c r="O2804" t="s">
        <v>81</v>
      </c>
      <c r="P2804" t="s">
        <v>82</v>
      </c>
      <c r="Q2804" t="s">
        <v>83</v>
      </c>
      <c r="S2804" t="s">
        <v>13493</v>
      </c>
      <c r="T2804" t="s">
        <v>1958</v>
      </c>
      <c r="U2804" t="s">
        <v>45</v>
      </c>
      <c r="V2804" t="s">
        <v>46</v>
      </c>
      <c r="W2804" t="s">
        <v>80</v>
      </c>
      <c r="X2804" t="s">
        <v>81</v>
      </c>
      <c r="Y2804" t="s">
        <v>85</v>
      </c>
      <c r="Z2804" t="s">
        <v>86</v>
      </c>
      <c r="AA2804" t="s">
        <v>49</v>
      </c>
      <c r="AB2804" t="s">
        <v>50</v>
      </c>
      <c r="AC2804" s="2">
        <v>218170</v>
      </c>
      <c r="AD2804" t="s">
        <v>64</v>
      </c>
    </row>
    <row r="2805" spans="1:31" x14ac:dyDescent="0.25">
      <c r="A2805" t="s">
        <v>13494</v>
      </c>
      <c r="B2805" t="s">
        <v>13495</v>
      </c>
      <c r="C2805" t="s">
        <v>13495</v>
      </c>
      <c r="D2805" t="s">
        <v>847</v>
      </c>
      <c r="E2805" t="s">
        <v>848</v>
      </c>
      <c r="F2805" t="s">
        <v>13496</v>
      </c>
      <c r="G2805" t="s">
        <v>847</v>
      </c>
      <c r="H2805" t="s">
        <v>8192</v>
      </c>
      <c r="J2805" s="2">
        <v>4621000</v>
      </c>
      <c r="K2805" s="2">
        <v>20000</v>
      </c>
      <c r="L2805" s="2">
        <v>30</v>
      </c>
      <c r="M2805" s="2">
        <v>0</v>
      </c>
      <c r="N2805" t="s">
        <v>8191</v>
      </c>
      <c r="O2805" t="s">
        <v>8192</v>
      </c>
      <c r="P2805" t="s">
        <v>2320</v>
      </c>
      <c r="Q2805" t="s">
        <v>2321</v>
      </c>
      <c r="S2805" t="s">
        <v>13497</v>
      </c>
      <c r="T2805" t="s">
        <v>1958</v>
      </c>
      <c r="U2805" t="s">
        <v>45</v>
      </c>
      <c r="V2805" t="s">
        <v>46</v>
      </c>
      <c r="W2805" t="s">
        <v>8191</v>
      </c>
      <c r="X2805" t="s">
        <v>8192</v>
      </c>
      <c r="Y2805" t="s">
        <v>2399</v>
      </c>
      <c r="Z2805" t="s">
        <v>2400</v>
      </c>
      <c r="AA2805" t="s">
        <v>49</v>
      </c>
      <c r="AB2805" t="s">
        <v>50</v>
      </c>
      <c r="AC2805" s="2">
        <v>1917403.54</v>
      </c>
      <c r="AD2805" t="s">
        <v>13498</v>
      </c>
      <c r="AE2805" t="s">
        <v>115</v>
      </c>
    </row>
    <row r="2806" spans="1:31" x14ac:dyDescent="0.25">
      <c r="A2806" t="s">
        <v>13499</v>
      </c>
      <c r="B2806" t="s">
        <v>13500</v>
      </c>
      <c r="C2806" t="s">
        <v>13085</v>
      </c>
      <c r="D2806" t="s">
        <v>153</v>
      </c>
      <c r="E2806" t="s">
        <v>272</v>
      </c>
      <c r="F2806" t="s">
        <v>2744</v>
      </c>
      <c r="G2806" t="s">
        <v>153</v>
      </c>
      <c r="H2806" t="s">
        <v>2981</v>
      </c>
      <c r="I2806" t="s">
        <v>2745</v>
      </c>
      <c r="J2806" s="2">
        <v>479974</v>
      </c>
      <c r="K2806" s="2">
        <v>2200</v>
      </c>
      <c r="L2806" s="2">
        <v>30</v>
      </c>
      <c r="M2806" s="2">
        <v>0</v>
      </c>
      <c r="N2806" t="s">
        <v>1064</v>
      </c>
      <c r="O2806" t="s">
        <v>1062</v>
      </c>
      <c r="P2806" t="s">
        <v>103</v>
      </c>
      <c r="Q2806" t="s">
        <v>104</v>
      </c>
      <c r="S2806" t="s">
        <v>13501</v>
      </c>
      <c r="T2806" t="s">
        <v>1958</v>
      </c>
      <c r="U2806" t="s">
        <v>45</v>
      </c>
      <c r="V2806" t="s">
        <v>46</v>
      </c>
      <c r="W2806" t="s">
        <v>1064</v>
      </c>
      <c r="X2806" t="s">
        <v>1062</v>
      </c>
      <c r="Y2806" t="s">
        <v>72</v>
      </c>
      <c r="Z2806" t="s">
        <v>68</v>
      </c>
      <c r="AA2806" t="s">
        <v>49</v>
      </c>
      <c r="AB2806" t="s">
        <v>50</v>
      </c>
      <c r="AC2806" s="2">
        <v>224796.7</v>
      </c>
      <c r="AD2806" t="s">
        <v>13502</v>
      </c>
      <c r="AE2806" t="s">
        <v>52</v>
      </c>
    </row>
    <row r="2807" spans="1:31" x14ac:dyDescent="0.25">
      <c r="A2807" t="s">
        <v>13503</v>
      </c>
      <c r="B2807" t="s">
        <v>13504</v>
      </c>
      <c r="C2807" t="s">
        <v>13504</v>
      </c>
      <c r="D2807" t="s">
        <v>125</v>
      </c>
      <c r="E2807" t="s">
        <v>126</v>
      </c>
      <c r="F2807" t="s">
        <v>13505</v>
      </c>
      <c r="G2807" t="s">
        <v>125</v>
      </c>
      <c r="H2807" t="s">
        <v>9937</v>
      </c>
      <c r="I2807" t="s">
        <v>13506</v>
      </c>
      <c r="J2807" s="2">
        <v>707728</v>
      </c>
      <c r="K2807" s="2">
        <v>2840</v>
      </c>
      <c r="L2807" s="2">
        <v>30</v>
      </c>
      <c r="M2807" s="2">
        <v>0</v>
      </c>
      <c r="N2807" t="s">
        <v>1362</v>
      </c>
      <c r="O2807" t="s">
        <v>1360</v>
      </c>
      <c r="P2807" t="s">
        <v>1212</v>
      </c>
      <c r="Q2807" t="s">
        <v>1213</v>
      </c>
      <c r="S2807" t="s">
        <v>13507</v>
      </c>
      <c r="T2807" t="s">
        <v>1995</v>
      </c>
      <c r="U2807" t="s">
        <v>45</v>
      </c>
      <c r="V2807" t="s">
        <v>46</v>
      </c>
      <c r="W2807" t="s">
        <v>1362</v>
      </c>
      <c r="X2807" t="s">
        <v>1360</v>
      </c>
      <c r="Y2807" t="s">
        <v>1215</v>
      </c>
      <c r="Z2807" t="s">
        <v>1216</v>
      </c>
      <c r="AA2807" t="s">
        <v>49</v>
      </c>
      <c r="AB2807" t="s">
        <v>50</v>
      </c>
      <c r="AC2807" s="2">
        <v>87872.72</v>
      </c>
      <c r="AD2807" t="s">
        <v>13508</v>
      </c>
      <c r="AE2807" t="s">
        <v>52</v>
      </c>
    </row>
    <row r="2808" spans="1:31" x14ac:dyDescent="0.25">
      <c r="A2808" t="s">
        <v>13509</v>
      </c>
      <c r="B2808" t="s">
        <v>13510</v>
      </c>
      <c r="C2808" t="s">
        <v>13510</v>
      </c>
      <c r="D2808" t="s">
        <v>13511</v>
      </c>
      <c r="E2808" t="s">
        <v>134</v>
      </c>
      <c r="F2808" t="s">
        <v>13512</v>
      </c>
      <c r="G2808" t="s">
        <v>1995</v>
      </c>
      <c r="H2808" t="s">
        <v>5003</v>
      </c>
      <c r="I2808" t="s">
        <v>13513</v>
      </c>
      <c r="J2808" s="2">
        <v>218170</v>
      </c>
      <c r="K2808" s="2">
        <v>1000</v>
      </c>
      <c r="L2808" s="2">
        <v>15</v>
      </c>
      <c r="M2808" s="2">
        <v>0</v>
      </c>
      <c r="N2808" t="s">
        <v>5005</v>
      </c>
      <c r="O2808" t="s">
        <v>5006</v>
      </c>
      <c r="P2808" t="s">
        <v>8938</v>
      </c>
      <c r="Q2808" t="s">
        <v>8939</v>
      </c>
      <c r="S2808" t="s">
        <v>13514</v>
      </c>
      <c r="T2808" t="s">
        <v>1995</v>
      </c>
      <c r="U2808" t="s">
        <v>45</v>
      </c>
      <c r="V2808" t="s">
        <v>46</v>
      </c>
      <c r="W2808" t="s">
        <v>5005</v>
      </c>
      <c r="X2808" t="s">
        <v>5006</v>
      </c>
      <c r="Y2808" t="s">
        <v>137</v>
      </c>
      <c r="Z2808" t="s">
        <v>717</v>
      </c>
      <c r="AA2808" t="s">
        <v>49</v>
      </c>
      <c r="AB2808" t="s">
        <v>50</v>
      </c>
      <c r="AC2808" s="2">
        <v>218170</v>
      </c>
      <c r="AD2808" t="s">
        <v>64</v>
      </c>
    </row>
    <row r="2809" spans="1:31" hidden="1" x14ac:dyDescent="0.25">
      <c r="A2809" t="s">
        <v>13515</v>
      </c>
      <c r="B2809" t="s">
        <v>13516</v>
      </c>
      <c r="C2809" t="s">
        <v>13516</v>
      </c>
      <c r="F2809" t="s">
        <v>13517</v>
      </c>
      <c r="H2809" t="s">
        <v>650</v>
      </c>
      <c r="I2809" t="s">
        <v>13518</v>
      </c>
      <c r="J2809" s="2">
        <v>218170</v>
      </c>
      <c r="K2809" s="2">
        <v>1000</v>
      </c>
      <c r="L2809" s="2">
        <v>1</v>
      </c>
      <c r="M2809" s="2">
        <v>0</v>
      </c>
      <c r="N2809" t="s">
        <v>652</v>
      </c>
      <c r="O2809" t="s">
        <v>653</v>
      </c>
      <c r="P2809" t="s">
        <v>69</v>
      </c>
      <c r="Q2809" t="s">
        <v>70</v>
      </c>
      <c r="S2809" t="s">
        <v>13519</v>
      </c>
      <c r="T2809" t="s">
        <v>8256</v>
      </c>
      <c r="U2809" t="s">
        <v>45</v>
      </c>
      <c r="V2809" t="s">
        <v>46</v>
      </c>
      <c r="W2809" t="s">
        <v>652</v>
      </c>
      <c r="X2809" t="s">
        <v>653</v>
      </c>
      <c r="Y2809" t="s">
        <v>72</v>
      </c>
      <c r="Z2809" t="s">
        <v>68</v>
      </c>
      <c r="AA2809" t="s">
        <v>49</v>
      </c>
      <c r="AB2809" t="s">
        <v>50</v>
      </c>
      <c r="AC2809" s="2">
        <v>218170</v>
      </c>
      <c r="AD2809" t="s">
        <v>64</v>
      </c>
    </row>
    <row r="2810" spans="1:31" x14ac:dyDescent="0.25">
      <c r="A2810" t="s">
        <v>13520</v>
      </c>
      <c r="B2810" t="s">
        <v>13521</v>
      </c>
      <c r="C2810" t="s">
        <v>13521</v>
      </c>
      <c r="D2810" t="s">
        <v>569</v>
      </c>
      <c r="E2810" t="s">
        <v>570</v>
      </c>
      <c r="F2810" t="s">
        <v>13522</v>
      </c>
      <c r="G2810" t="s">
        <v>569</v>
      </c>
      <c r="H2810" t="s">
        <v>13523</v>
      </c>
      <c r="I2810" t="s">
        <v>13524</v>
      </c>
      <c r="J2810" s="2">
        <v>245670</v>
      </c>
      <c r="K2810" s="2">
        <v>1000</v>
      </c>
      <c r="L2810" s="2">
        <v>15</v>
      </c>
      <c r="M2810" s="2">
        <v>0</v>
      </c>
      <c r="N2810" t="s">
        <v>13525</v>
      </c>
      <c r="O2810" t="s">
        <v>13526</v>
      </c>
      <c r="P2810" t="s">
        <v>6341</v>
      </c>
      <c r="Q2810" t="s">
        <v>6342</v>
      </c>
      <c r="S2810" t="s">
        <v>13527</v>
      </c>
      <c r="T2810" t="s">
        <v>8256</v>
      </c>
      <c r="U2810" t="s">
        <v>45</v>
      </c>
      <c r="V2810" t="s">
        <v>46</v>
      </c>
      <c r="W2810" t="s">
        <v>13525</v>
      </c>
      <c r="X2810" t="s">
        <v>13526</v>
      </c>
      <c r="Y2810" t="s">
        <v>137</v>
      </c>
      <c r="Z2810" t="s">
        <v>717</v>
      </c>
      <c r="AA2810" t="s">
        <v>49</v>
      </c>
      <c r="AB2810" t="s">
        <v>50</v>
      </c>
      <c r="AC2810" s="2">
        <v>245670</v>
      </c>
      <c r="AD2810" t="s">
        <v>64</v>
      </c>
    </row>
    <row r="2811" spans="1:31" x14ac:dyDescent="0.25">
      <c r="A2811" t="s">
        <v>13528</v>
      </c>
      <c r="B2811" t="s">
        <v>13529</v>
      </c>
      <c r="C2811" t="s">
        <v>13529</v>
      </c>
      <c r="D2811" t="s">
        <v>125</v>
      </c>
      <c r="E2811" t="s">
        <v>126</v>
      </c>
      <c r="F2811" t="s">
        <v>13530</v>
      </c>
      <c r="G2811" t="s">
        <v>153</v>
      </c>
      <c r="H2811" t="s">
        <v>10141</v>
      </c>
      <c r="I2811" t="s">
        <v>13531</v>
      </c>
      <c r="J2811" s="2">
        <v>1174350</v>
      </c>
      <c r="K2811" s="2">
        <v>5000</v>
      </c>
      <c r="L2811" s="2">
        <v>30</v>
      </c>
      <c r="M2811" s="2">
        <v>0</v>
      </c>
      <c r="N2811" t="s">
        <v>7936</v>
      </c>
      <c r="O2811" t="s">
        <v>7935</v>
      </c>
      <c r="P2811" t="s">
        <v>10093</v>
      </c>
      <c r="Q2811" t="s">
        <v>10094</v>
      </c>
      <c r="S2811" t="s">
        <v>13532</v>
      </c>
      <c r="T2811" t="s">
        <v>8256</v>
      </c>
      <c r="U2811" t="s">
        <v>45</v>
      </c>
      <c r="V2811" t="s">
        <v>46</v>
      </c>
      <c r="W2811" t="s">
        <v>7936</v>
      </c>
      <c r="X2811" t="s">
        <v>7935</v>
      </c>
      <c r="Y2811" t="s">
        <v>7938</v>
      </c>
      <c r="Z2811" t="s">
        <v>7939</v>
      </c>
      <c r="AA2811" t="s">
        <v>49</v>
      </c>
      <c r="AB2811" t="s">
        <v>50</v>
      </c>
      <c r="AC2811" s="2">
        <v>873459.21</v>
      </c>
      <c r="AD2811" t="s">
        <v>13533</v>
      </c>
      <c r="AE2811" t="s">
        <v>52</v>
      </c>
    </row>
    <row r="2812" spans="1:31" x14ac:dyDescent="0.25">
      <c r="A2812" t="s">
        <v>13534</v>
      </c>
      <c r="B2812" t="s">
        <v>13535</v>
      </c>
      <c r="C2812" t="s">
        <v>13529</v>
      </c>
      <c r="D2812" t="s">
        <v>125</v>
      </c>
      <c r="E2812" t="s">
        <v>126</v>
      </c>
      <c r="F2812" t="s">
        <v>13530</v>
      </c>
      <c r="G2812" t="s">
        <v>153</v>
      </c>
      <c r="H2812" t="s">
        <v>10141</v>
      </c>
      <c r="I2812" t="s">
        <v>13531</v>
      </c>
      <c r="J2812" s="2">
        <v>1174350</v>
      </c>
      <c r="K2812" s="2">
        <v>5000</v>
      </c>
      <c r="L2812" s="2">
        <v>30</v>
      </c>
      <c r="M2812" s="2">
        <v>0</v>
      </c>
      <c r="N2812" t="s">
        <v>7936</v>
      </c>
      <c r="O2812" t="s">
        <v>7935</v>
      </c>
      <c r="P2812" t="s">
        <v>10093</v>
      </c>
      <c r="Q2812" t="s">
        <v>10094</v>
      </c>
      <c r="S2812" t="s">
        <v>13536</v>
      </c>
      <c r="T2812" t="s">
        <v>8256</v>
      </c>
      <c r="U2812" t="s">
        <v>45</v>
      </c>
      <c r="V2812" t="s">
        <v>46</v>
      </c>
      <c r="W2812" t="s">
        <v>7936</v>
      </c>
      <c r="X2812" t="s">
        <v>7935</v>
      </c>
      <c r="Y2812" t="s">
        <v>7938</v>
      </c>
      <c r="Z2812" t="s">
        <v>7939</v>
      </c>
      <c r="AA2812" t="s">
        <v>49</v>
      </c>
      <c r="AB2812" t="s">
        <v>50</v>
      </c>
      <c r="AC2812" s="2">
        <v>826688.92</v>
      </c>
      <c r="AD2812" t="s">
        <v>13537</v>
      </c>
      <c r="AE2812" t="s">
        <v>52</v>
      </c>
    </row>
    <row r="2813" spans="1:31" x14ac:dyDescent="0.25">
      <c r="A2813" t="s">
        <v>13538</v>
      </c>
      <c r="B2813" t="s">
        <v>13539</v>
      </c>
      <c r="C2813" t="s">
        <v>13539</v>
      </c>
      <c r="D2813" t="s">
        <v>847</v>
      </c>
      <c r="E2813" t="s">
        <v>848</v>
      </c>
      <c r="F2813" t="s">
        <v>13540</v>
      </c>
      <c r="G2813" t="s">
        <v>847</v>
      </c>
      <c r="H2813" t="s">
        <v>10571</v>
      </c>
      <c r="I2813" t="s">
        <v>13541</v>
      </c>
      <c r="J2813" s="2">
        <v>327255</v>
      </c>
      <c r="K2813" s="2">
        <v>1500</v>
      </c>
      <c r="L2813" s="2">
        <v>15</v>
      </c>
      <c r="M2813" s="2">
        <v>0</v>
      </c>
      <c r="N2813" t="s">
        <v>10572</v>
      </c>
      <c r="O2813" t="s">
        <v>10571</v>
      </c>
      <c r="P2813" t="s">
        <v>557</v>
      </c>
      <c r="Q2813" t="s">
        <v>558</v>
      </c>
      <c r="S2813" t="s">
        <v>13542</v>
      </c>
      <c r="T2813" t="s">
        <v>8256</v>
      </c>
      <c r="U2813" t="s">
        <v>45</v>
      </c>
      <c r="V2813" t="s">
        <v>46</v>
      </c>
      <c r="W2813" t="s">
        <v>10572</v>
      </c>
      <c r="X2813" t="s">
        <v>10571</v>
      </c>
      <c r="Y2813" t="s">
        <v>10167</v>
      </c>
      <c r="Z2813" t="s">
        <v>10168</v>
      </c>
      <c r="AA2813" t="s">
        <v>49</v>
      </c>
      <c r="AB2813" t="s">
        <v>50</v>
      </c>
      <c r="AC2813" s="2">
        <v>248189.63</v>
      </c>
      <c r="AD2813" t="s">
        <v>13543</v>
      </c>
      <c r="AE2813" t="s">
        <v>52</v>
      </c>
    </row>
    <row r="2814" spans="1:31" hidden="1" x14ac:dyDescent="0.25">
      <c r="A2814" t="s">
        <v>13544</v>
      </c>
      <c r="B2814" t="s">
        <v>13545</v>
      </c>
      <c r="C2814" t="s">
        <v>13545</v>
      </c>
      <c r="F2814" t="s">
        <v>13546</v>
      </c>
      <c r="H2814" t="s">
        <v>13547</v>
      </c>
      <c r="J2814" s="2">
        <v>0</v>
      </c>
      <c r="K2814" s="2">
        <v>0</v>
      </c>
      <c r="L2814" s="2">
        <v>0</v>
      </c>
      <c r="M2814" s="2">
        <v>0</v>
      </c>
      <c r="N2814" t="s">
        <v>13548</v>
      </c>
      <c r="O2814" t="s">
        <v>13549</v>
      </c>
      <c r="P2814" t="s">
        <v>4315</v>
      </c>
      <c r="Q2814" t="s">
        <v>4316</v>
      </c>
      <c r="S2814" t="s">
        <v>13550</v>
      </c>
      <c r="T2814" t="s">
        <v>6526</v>
      </c>
      <c r="U2814" t="s">
        <v>45</v>
      </c>
      <c r="V2814" t="s">
        <v>46</v>
      </c>
      <c r="W2814" t="s">
        <v>13548</v>
      </c>
      <c r="X2814" t="s">
        <v>13549</v>
      </c>
      <c r="Y2814" t="s">
        <v>2157</v>
      </c>
      <c r="Z2814" t="s">
        <v>48</v>
      </c>
      <c r="AA2814" t="s">
        <v>49</v>
      </c>
      <c r="AB2814" t="s">
        <v>50</v>
      </c>
      <c r="AC2814" s="2">
        <v>0</v>
      </c>
      <c r="AD2814" t="s">
        <v>64</v>
      </c>
    </row>
    <row r="2815" spans="1:31" x14ac:dyDescent="0.25">
      <c r="A2815" t="s">
        <v>13551</v>
      </c>
      <c r="B2815" t="s">
        <v>13552</v>
      </c>
      <c r="C2815" t="s">
        <v>13553</v>
      </c>
      <c r="D2815" t="s">
        <v>2286</v>
      </c>
      <c r="E2815" t="s">
        <v>134</v>
      </c>
      <c r="F2815" t="s">
        <v>13554</v>
      </c>
      <c r="H2815" t="s">
        <v>41</v>
      </c>
      <c r="J2815" s="2">
        <v>1090850</v>
      </c>
      <c r="K2815" s="2">
        <v>5000</v>
      </c>
      <c r="L2815" s="2">
        <v>60</v>
      </c>
      <c r="M2815" s="2">
        <v>0</v>
      </c>
      <c r="N2815" t="s">
        <v>40</v>
      </c>
      <c r="O2815" t="s">
        <v>41</v>
      </c>
      <c r="T2815" t="s">
        <v>6526</v>
      </c>
      <c r="U2815" t="s">
        <v>45</v>
      </c>
      <c r="V2815" t="s">
        <v>46</v>
      </c>
      <c r="Y2815" t="s">
        <v>47</v>
      </c>
      <c r="Z2815" t="s">
        <v>48</v>
      </c>
      <c r="AA2815" t="s">
        <v>141</v>
      </c>
      <c r="AB2815" t="s">
        <v>50</v>
      </c>
      <c r="AC2815" s="2">
        <v>1090850</v>
      </c>
      <c r="AD2815" t="s">
        <v>64</v>
      </c>
    </row>
    <row r="2816" spans="1:31" hidden="1" x14ac:dyDescent="0.25">
      <c r="A2816" t="s">
        <v>13555</v>
      </c>
      <c r="B2816" t="s">
        <v>13556</v>
      </c>
      <c r="C2816" t="s">
        <v>12785</v>
      </c>
      <c r="F2816" t="s">
        <v>13557</v>
      </c>
      <c r="H2816" t="s">
        <v>41</v>
      </c>
      <c r="J2816" s="2">
        <v>1090850</v>
      </c>
      <c r="K2816" s="2">
        <v>5000</v>
      </c>
      <c r="L2816" s="2">
        <v>60</v>
      </c>
      <c r="M2816" s="2">
        <v>0</v>
      </c>
      <c r="N2816" t="s">
        <v>40</v>
      </c>
      <c r="O2816" t="s">
        <v>41</v>
      </c>
      <c r="T2816" t="s">
        <v>6526</v>
      </c>
      <c r="U2816" t="s">
        <v>45</v>
      </c>
      <c r="V2816" t="s">
        <v>46</v>
      </c>
      <c r="Y2816" t="s">
        <v>47</v>
      </c>
      <c r="Z2816" t="s">
        <v>48</v>
      </c>
      <c r="AA2816" t="s">
        <v>141</v>
      </c>
      <c r="AB2816" t="s">
        <v>50</v>
      </c>
      <c r="AC2816" s="2">
        <v>1090850</v>
      </c>
      <c r="AD2816" t="s">
        <v>64</v>
      </c>
    </row>
    <row r="2817" spans="1:31" x14ac:dyDescent="0.25">
      <c r="A2817" t="s">
        <v>13558</v>
      </c>
      <c r="B2817" t="s">
        <v>13559</v>
      </c>
      <c r="C2817" t="s">
        <v>13559</v>
      </c>
      <c r="D2817" t="s">
        <v>847</v>
      </c>
      <c r="E2817" t="s">
        <v>848</v>
      </c>
      <c r="F2817" t="s">
        <v>13560</v>
      </c>
      <c r="G2817" t="s">
        <v>847</v>
      </c>
      <c r="H2817" t="s">
        <v>11588</v>
      </c>
      <c r="I2817" t="s">
        <v>13561</v>
      </c>
      <c r="J2817" s="2">
        <v>218170</v>
      </c>
      <c r="K2817" s="2">
        <v>1000</v>
      </c>
      <c r="L2817" s="2">
        <v>15</v>
      </c>
      <c r="M2817" s="2">
        <v>0</v>
      </c>
      <c r="N2817" t="s">
        <v>11590</v>
      </c>
      <c r="O2817" t="s">
        <v>11588</v>
      </c>
      <c r="P2817" t="s">
        <v>1212</v>
      </c>
      <c r="Q2817" t="s">
        <v>1213</v>
      </c>
      <c r="S2817" t="s">
        <v>13562</v>
      </c>
      <c r="T2817" t="s">
        <v>6526</v>
      </c>
      <c r="U2817" t="s">
        <v>45</v>
      </c>
      <c r="V2817" t="s">
        <v>46</v>
      </c>
      <c r="W2817" t="s">
        <v>11590</v>
      </c>
      <c r="X2817" t="s">
        <v>11588</v>
      </c>
      <c r="Y2817" t="s">
        <v>1215</v>
      </c>
      <c r="Z2817" t="s">
        <v>1216</v>
      </c>
      <c r="AA2817" t="s">
        <v>49</v>
      </c>
      <c r="AB2817" t="s">
        <v>50</v>
      </c>
      <c r="AC2817" s="2">
        <v>35506.239999999998</v>
      </c>
      <c r="AD2817" t="s">
        <v>13563</v>
      </c>
      <c r="AE2817" t="s">
        <v>115</v>
      </c>
    </row>
    <row r="2818" spans="1:31" x14ac:dyDescent="0.25">
      <c r="A2818" t="s">
        <v>13564</v>
      </c>
      <c r="B2818" t="s">
        <v>13565</v>
      </c>
      <c r="C2818" t="s">
        <v>12785</v>
      </c>
      <c r="D2818" t="s">
        <v>98</v>
      </c>
      <c r="E2818" t="s">
        <v>77</v>
      </c>
      <c r="F2818" t="s">
        <v>13566</v>
      </c>
      <c r="H2818" t="s">
        <v>41</v>
      </c>
      <c r="J2818" s="2">
        <v>1090850</v>
      </c>
      <c r="K2818" s="2">
        <v>5000</v>
      </c>
      <c r="L2818" s="2">
        <v>60</v>
      </c>
      <c r="M2818" s="2">
        <v>0</v>
      </c>
      <c r="N2818" t="s">
        <v>40</v>
      </c>
      <c r="O2818" t="s">
        <v>41</v>
      </c>
      <c r="T2818" t="s">
        <v>6526</v>
      </c>
      <c r="U2818" t="s">
        <v>45</v>
      </c>
      <c r="V2818" t="s">
        <v>46</v>
      </c>
      <c r="Y2818" t="s">
        <v>47</v>
      </c>
      <c r="Z2818" t="s">
        <v>48</v>
      </c>
      <c r="AA2818" t="s">
        <v>141</v>
      </c>
      <c r="AB2818" t="s">
        <v>50</v>
      </c>
      <c r="AC2818" s="2">
        <v>1084853.96</v>
      </c>
      <c r="AD2818" t="s">
        <v>13567</v>
      </c>
    </row>
    <row r="2819" spans="1:31" x14ac:dyDescent="0.25">
      <c r="A2819" t="s">
        <v>13568</v>
      </c>
      <c r="B2819" t="s">
        <v>13569</v>
      </c>
      <c r="C2819" t="s">
        <v>13569</v>
      </c>
      <c r="D2819" t="s">
        <v>792</v>
      </c>
      <c r="E2819" t="s">
        <v>190</v>
      </c>
      <c r="F2819" t="s">
        <v>13570</v>
      </c>
      <c r="G2819" t="s">
        <v>792</v>
      </c>
      <c r="H2819" t="s">
        <v>6104</v>
      </c>
      <c r="I2819" t="s">
        <v>13571</v>
      </c>
      <c r="J2819" s="2">
        <v>174536</v>
      </c>
      <c r="K2819" s="2">
        <v>800</v>
      </c>
      <c r="L2819" s="2">
        <v>21</v>
      </c>
      <c r="M2819" s="2">
        <v>0</v>
      </c>
      <c r="N2819" t="s">
        <v>6106</v>
      </c>
      <c r="O2819" t="s">
        <v>6107</v>
      </c>
      <c r="P2819" t="s">
        <v>4315</v>
      </c>
      <c r="Q2819" t="s">
        <v>4316</v>
      </c>
      <c r="S2819" t="s">
        <v>13572</v>
      </c>
      <c r="T2819" t="s">
        <v>6526</v>
      </c>
      <c r="U2819" t="s">
        <v>45</v>
      </c>
      <c r="V2819" t="s">
        <v>46</v>
      </c>
      <c r="W2819" t="s">
        <v>6106</v>
      </c>
      <c r="X2819" t="s">
        <v>6107</v>
      </c>
      <c r="Y2819" t="s">
        <v>2157</v>
      </c>
      <c r="Z2819" t="s">
        <v>48</v>
      </c>
      <c r="AA2819" t="s">
        <v>49</v>
      </c>
      <c r="AB2819" t="s">
        <v>50</v>
      </c>
      <c r="AC2819" s="2">
        <v>68199.839999999997</v>
      </c>
      <c r="AD2819" t="s">
        <v>13573</v>
      </c>
      <c r="AE2819" t="s">
        <v>52</v>
      </c>
    </row>
    <row r="2820" spans="1:31" x14ac:dyDescent="0.25">
      <c r="A2820" t="s">
        <v>13574</v>
      </c>
      <c r="B2820" t="s">
        <v>13575</v>
      </c>
      <c r="C2820" t="s">
        <v>13575</v>
      </c>
      <c r="D2820" t="s">
        <v>847</v>
      </c>
      <c r="E2820" t="s">
        <v>848</v>
      </c>
      <c r="F2820" t="s">
        <v>13576</v>
      </c>
      <c r="G2820" t="s">
        <v>2485</v>
      </c>
      <c r="H2820" t="s">
        <v>10695</v>
      </c>
      <c r="J2820" s="2">
        <v>247300</v>
      </c>
      <c r="K2820" s="2">
        <v>1000</v>
      </c>
      <c r="L2820" s="2">
        <v>1</v>
      </c>
      <c r="M2820" s="2">
        <v>0</v>
      </c>
      <c r="N2820" t="s">
        <v>80</v>
      </c>
      <c r="O2820" t="s">
        <v>81</v>
      </c>
      <c r="P2820" t="s">
        <v>557</v>
      </c>
      <c r="Q2820" t="s">
        <v>558</v>
      </c>
      <c r="S2820" t="s">
        <v>13577</v>
      </c>
      <c r="T2820" t="s">
        <v>6526</v>
      </c>
      <c r="U2820" t="s">
        <v>45</v>
      </c>
      <c r="V2820" t="s">
        <v>46</v>
      </c>
      <c r="W2820" t="s">
        <v>80</v>
      </c>
      <c r="X2820" t="s">
        <v>81</v>
      </c>
      <c r="Y2820" t="s">
        <v>85</v>
      </c>
      <c r="Z2820" t="s">
        <v>86</v>
      </c>
      <c r="AA2820" t="s">
        <v>49</v>
      </c>
      <c r="AB2820" t="s">
        <v>50</v>
      </c>
      <c r="AC2820" s="2">
        <v>216018.76</v>
      </c>
      <c r="AD2820" t="s">
        <v>13578</v>
      </c>
    </row>
    <row r="2821" spans="1:31" x14ac:dyDescent="0.25">
      <c r="A2821" t="s">
        <v>13579</v>
      </c>
      <c r="B2821" t="s">
        <v>13580</v>
      </c>
      <c r="C2821" t="s">
        <v>13580</v>
      </c>
      <c r="D2821" t="s">
        <v>125</v>
      </c>
      <c r="E2821" t="s">
        <v>126</v>
      </c>
      <c r="F2821" t="s">
        <v>13581</v>
      </c>
      <c r="G2821" t="s">
        <v>125</v>
      </c>
      <c r="H2821" t="s">
        <v>13582</v>
      </c>
      <c r="I2821" t="s">
        <v>13583</v>
      </c>
      <c r="J2821" s="2">
        <v>436340</v>
      </c>
      <c r="K2821" s="2">
        <v>2000</v>
      </c>
      <c r="L2821" s="2">
        <v>30</v>
      </c>
      <c r="M2821" s="2">
        <v>0</v>
      </c>
      <c r="N2821" t="s">
        <v>13584</v>
      </c>
      <c r="O2821" t="s">
        <v>13585</v>
      </c>
      <c r="P2821" t="s">
        <v>10093</v>
      </c>
      <c r="Q2821" t="s">
        <v>10094</v>
      </c>
      <c r="S2821" t="s">
        <v>13586</v>
      </c>
      <c r="T2821" t="s">
        <v>6526</v>
      </c>
      <c r="U2821" t="s">
        <v>45</v>
      </c>
      <c r="V2821" t="s">
        <v>46</v>
      </c>
      <c r="W2821" t="s">
        <v>13584</v>
      </c>
      <c r="X2821" t="s">
        <v>13585</v>
      </c>
      <c r="Y2821" t="s">
        <v>7938</v>
      </c>
      <c r="Z2821" t="s">
        <v>7939</v>
      </c>
      <c r="AA2821" t="s">
        <v>49</v>
      </c>
      <c r="AB2821" t="s">
        <v>50</v>
      </c>
      <c r="AC2821" s="2">
        <v>90248.79</v>
      </c>
      <c r="AD2821" t="s">
        <v>13587</v>
      </c>
      <c r="AE2821" t="s">
        <v>52</v>
      </c>
    </row>
    <row r="2822" spans="1:31" x14ac:dyDescent="0.25">
      <c r="A2822" t="s">
        <v>13588</v>
      </c>
      <c r="B2822" t="s">
        <v>13589</v>
      </c>
      <c r="C2822" t="s">
        <v>13589</v>
      </c>
      <c r="D2822" t="s">
        <v>3402</v>
      </c>
      <c r="E2822" t="s">
        <v>134</v>
      </c>
      <c r="F2822" t="s">
        <v>13590</v>
      </c>
      <c r="G2822" t="s">
        <v>98</v>
      </c>
      <c r="H2822" t="s">
        <v>12118</v>
      </c>
      <c r="I2822" t="s">
        <v>13591</v>
      </c>
      <c r="J2822" s="2">
        <v>109085</v>
      </c>
      <c r="K2822" s="2">
        <v>500</v>
      </c>
      <c r="L2822" s="2">
        <v>10</v>
      </c>
      <c r="M2822" s="2">
        <v>0</v>
      </c>
      <c r="N2822" t="s">
        <v>80</v>
      </c>
      <c r="O2822" t="s">
        <v>81</v>
      </c>
      <c r="P2822" t="s">
        <v>557</v>
      </c>
      <c r="Q2822" t="s">
        <v>558</v>
      </c>
      <c r="S2822" t="s">
        <v>13592</v>
      </c>
      <c r="T2822" t="s">
        <v>6526</v>
      </c>
      <c r="U2822" t="s">
        <v>45</v>
      </c>
      <c r="V2822" t="s">
        <v>46</v>
      </c>
      <c r="W2822" t="s">
        <v>80</v>
      </c>
      <c r="X2822" t="s">
        <v>81</v>
      </c>
      <c r="Y2822" t="s">
        <v>85</v>
      </c>
      <c r="Z2822" t="s">
        <v>86</v>
      </c>
      <c r="AA2822" t="s">
        <v>49</v>
      </c>
      <c r="AB2822" t="s">
        <v>50</v>
      </c>
      <c r="AC2822" s="2">
        <v>109085</v>
      </c>
      <c r="AD2822" t="s">
        <v>64</v>
      </c>
    </row>
    <row r="2823" spans="1:31" x14ac:dyDescent="0.25">
      <c r="A2823" t="s">
        <v>13593</v>
      </c>
      <c r="B2823" t="s">
        <v>13594</v>
      </c>
      <c r="C2823" t="s">
        <v>3352</v>
      </c>
      <c r="D2823" t="s">
        <v>331</v>
      </c>
      <c r="E2823" t="s">
        <v>224</v>
      </c>
      <c r="F2823" t="s">
        <v>3353</v>
      </c>
      <c r="G2823" t="s">
        <v>2286</v>
      </c>
      <c r="H2823" t="s">
        <v>41</v>
      </c>
      <c r="I2823" t="s">
        <v>3354</v>
      </c>
      <c r="J2823" s="2">
        <v>13090200</v>
      </c>
      <c r="K2823" s="2">
        <v>60000</v>
      </c>
      <c r="L2823" s="2">
        <v>30</v>
      </c>
      <c r="M2823" s="2">
        <v>0</v>
      </c>
      <c r="N2823" t="s">
        <v>40</v>
      </c>
      <c r="O2823" t="s">
        <v>41</v>
      </c>
      <c r="P2823" t="s">
        <v>61</v>
      </c>
      <c r="Q2823" t="s">
        <v>62</v>
      </c>
      <c r="S2823" t="s">
        <v>3355</v>
      </c>
      <c r="T2823" t="s">
        <v>98</v>
      </c>
      <c r="U2823" t="s">
        <v>45</v>
      </c>
      <c r="V2823" t="s">
        <v>46</v>
      </c>
      <c r="W2823" t="s">
        <v>40</v>
      </c>
      <c r="X2823" t="s">
        <v>41</v>
      </c>
      <c r="Y2823" t="s">
        <v>47</v>
      </c>
      <c r="Z2823" t="s">
        <v>48</v>
      </c>
      <c r="AA2823" t="s">
        <v>49</v>
      </c>
      <c r="AB2823" t="s">
        <v>50</v>
      </c>
      <c r="AC2823" s="2">
        <v>13090200</v>
      </c>
      <c r="AD2823" t="s">
        <v>64</v>
      </c>
    </row>
    <row r="2824" spans="1:31" x14ac:dyDescent="0.25">
      <c r="A2824" t="s">
        <v>13595</v>
      </c>
      <c r="B2824" t="s">
        <v>13596</v>
      </c>
      <c r="C2824" t="s">
        <v>3352</v>
      </c>
      <c r="D2824" t="s">
        <v>331</v>
      </c>
      <c r="E2824" t="s">
        <v>224</v>
      </c>
      <c r="F2824" t="s">
        <v>3353</v>
      </c>
      <c r="G2824" t="s">
        <v>2286</v>
      </c>
      <c r="H2824" t="s">
        <v>41</v>
      </c>
      <c r="I2824" t="s">
        <v>3354</v>
      </c>
      <c r="J2824" s="2">
        <v>13090200</v>
      </c>
      <c r="K2824" s="2">
        <v>60000</v>
      </c>
      <c r="L2824" s="2">
        <v>30</v>
      </c>
      <c r="M2824" s="2">
        <v>0</v>
      </c>
      <c r="N2824" t="s">
        <v>40</v>
      </c>
      <c r="O2824" t="s">
        <v>41</v>
      </c>
      <c r="P2824" t="s">
        <v>61</v>
      </c>
      <c r="Q2824" t="s">
        <v>62</v>
      </c>
      <c r="S2824" t="s">
        <v>3355</v>
      </c>
      <c r="T2824" t="s">
        <v>98</v>
      </c>
      <c r="U2824" t="s">
        <v>45</v>
      </c>
      <c r="V2824" t="s">
        <v>46</v>
      </c>
      <c r="W2824" t="s">
        <v>40</v>
      </c>
      <c r="X2824" t="s">
        <v>41</v>
      </c>
      <c r="Y2824" t="s">
        <v>47</v>
      </c>
      <c r="Z2824" t="s">
        <v>48</v>
      </c>
      <c r="AA2824" t="s">
        <v>49</v>
      </c>
      <c r="AB2824" t="s">
        <v>50</v>
      </c>
      <c r="AC2824" s="2">
        <v>13090200</v>
      </c>
      <c r="AD2824" t="s">
        <v>64</v>
      </c>
    </row>
    <row r="2825" spans="1:31" x14ac:dyDescent="0.25">
      <c r="A2825" t="s">
        <v>13597</v>
      </c>
      <c r="B2825" t="s">
        <v>13598</v>
      </c>
      <c r="C2825" t="s">
        <v>13599</v>
      </c>
      <c r="D2825" t="s">
        <v>3221</v>
      </c>
      <c r="E2825" t="s">
        <v>224</v>
      </c>
      <c r="F2825" t="s">
        <v>3353</v>
      </c>
      <c r="G2825" t="s">
        <v>1854</v>
      </c>
      <c r="H2825" t="s">
        <v>41</v>
      </c>
      <c r="J2825" s="2">
        <v>13090200</v>
      </c>
      <c r="K2825" s="2">
        <v>60000</v>
      </c>
      <c r="L2825" s="2">
        <v>30</v>
      </c>
      <c r="M2825" s="2">
        <v>0</v>
      </c>
      <c r="N2825" t="s">
        <v>40</v>
      </c>
      <c r="O2825" t="s">
        <v>41</v>
      </c>
      <c r="P2825" t="s">
        <v>61</v>
      </c>
      <c r="Q2825" t="s">
        <v>62</v>
      </c>
      <c r="S2825" t="s">
        <v>3355</v>
      </c>
      <c r="T2825" t="s">
        <v>98</v>
      </c>
      <c r="U2825" t="s">
        <v>45</v>
      </c>
      <c r="V2825" t="s">
        <v>46</v>
      </c>
      <c r="W2825" t="s">
        <v>40</v>
      </c>
      <c r="X2825" t="s">
        <v>41</v>
      </c>
      <c r="Y2825" t="s">
        <v>47</v>
      </c>
      <c r="Z2825" t="s">
        <v>48</v>
      </c>
      <c r="AA2825" t="s">
        <v>49</v>
      </c>
      <c r="AB2825" t="s">
        <v>50</v>
      </c>
      <c r="AC2825" s="2">
        <v>13090200</v>
      </c>
      <c r="AD2825" t="s">
        <v>64</v>
      </c>
    </row>
    <row r="2826" spans="1:31" x14ac:dyDescent="0.25">
      <c r="A2826" t="s">
        <v>13600</v>
      </c>
      <c r="B2826" t="s">
        <v>13601</v>
      </c>
      <c r="C2826" t="s">
        <v>3352</v>
      </c>
      <c r="D2826" t="s">
        <v>264</v>
      </c>
      <c r="E2826" t="s">
        <v>134</v>
      </c>
      <c r="F2826" t="s">
        <v>3353</v>
      </c>
      <c r="G2826" t="s">
        <v>13511</v>
      </c>
      <c r="H2826" t="s">
        <v>41</v>
      </c>
      <c r="J2826" s="2">
        <v>13090200</v>
      </c>
      <c r="K2826" s="2">
        <v>60000</v>
      </c>
      <c r="L2826" s="2">
        <v>30</v>
      </c>
      <c r="M2826" s="2">
        <v>0</v>
      </c>
      <c r="N2826" t="s">
        <v>40</v>
      </c>
      <c r="O2826" t="s">
        <v>41</v>
      </c>
      <c r="P2826" t="s">
        <v>61</v>
      </c>
      <c r="Q2826" t="s">
        <v>62</v>
      </c>
      <c r="S2826" t="s">
        <v>3355</v>
      </c>
      <c r="T2826" t="s">
        <v>98</v>
      </c>
      <c r="U2826" t="s">
        <v>45</v>
      </c>
      <c r="V2826" t="s">
        <v>46</v>
      </c>
      <c r="W2826" t="s">
        <v>40</v>
      </c>
      <c r="X2826" t="s">
        <v>41</v>
      </c>
      <c r="Y2826" t="s">
        <v>47</v>
      </c>
      <c r="Z2826" t="s">
        <v>48</v>
      </c>
      <c r="AA2826" t="s">
        <v>49</v>
      </c>
      <c r="AB2826" t="s">
        <v>50</v>
      </c>
      <c r="AC2826" s="2">
        <v>13090200</v>
      </c>
      <c r="AD2826" t="s">
        <v>64</v>
      </c>
    </row>
    <row r="2827" spans="1:31" x14ac:dyDescent="0.25">
      <c r="A2827" t="s">
        <v>13602</v>
      </c>
      <c r="B2827" t="s">
        <v>13603</v>
      </c>
      <c r="C2827" t="s">
        <v>3352</v>
      </c>
      <c r="D2827" t="s">
        <v>331</v>
      </c>
      <c r="E2827" t="s">
        <v>224</v>
      </c>
      <c r="F2827" t="s">
        <v>3353</v>
      </c>
      <c r="G2827" t="s">
        <v>2286</v>
      </c>
      <c r="H2827" t="s">
        <v>41</v>
      </c>
      <c r="I2827" t="s">
        <v>3354</v>
      </c>
      <c r="J2827" s="2">
        <v>13090200</v>
      </c>
      <c r="K2827" s="2">
        <v>60000</v>
      </c>
      <c r="L2827" s="2">
        <v>30</v>
      </c>
      <c r="M2827" s="2">
        <v>0</v>
      </c>
      <c r="N2827" t="s">
        <v>40</v>
      </c>
      <c r="O2827" t="s">
        <v>41</v>
      </c>
      <c r="P2827" t="s">
        <v>61</v>
      </c>
      <c r="Q2827" t="s">
        <v>62</v>
      </c>
      <c r="S2827" t="s">
        <v>3355</v>
      </c>
      <c r="T2827" t="s">
        <v>98</v>
      </c>
      <c r="U2827" t="s">
        <v>45</v>
      </c>
      <c r="V2827" t="s">
        <v>46</v>
      </c>
      <c r="W2827" t="s">
        <v>40</v>
      </c>
      <c r="X2827" t="s">
        <v>41</v>
      </c>
      <c r="Y2827" t="s">
        <v>47</v>
      </c>
      <c r="Z2827" t="s">
        <v>48</v>
      </c>
      <c r="AA2827" t="s">
        <v>49</v>
      </c>
      <c r="AB2827" t="s">
        <v>50</v>
      </c>
      <c r="AC2827" s="2">
        <v>13090200</v>
      </c>
      <c r="AD2827" t="s">
        <v>64</v>
      </c>
    </row>
    <row r="2828" spans="1:31" x14ac:dyDescent="0.25">
      <c r="A2828" t="s">
        <v>13604</v>
      </c>
      <c r="B2828" t="s">
        <v>13605</v>
      </c>
      <c r="C2828" t="s">
        <v>3352</v>
      </c>
      <c r="D2828" t="s">
        <v>331</v>
      </c>
      <c r="E2828" t="s">
        <v>224</v>
      </c>
      <c r="F2828" t="s">
        <v>3353</v>
      </c>
      <c r="G2828" t="s">
        <v>2286</v>
      </c>
      <c r="H2828" t="s">
        <v>41</v>
      </c>
      <c r="J2828" s="2">
        <v>13090200</v>
      </c>
      <c r="K2828" s="2">
        <v>60000</v>
      </c>
      <c r="L2828" s="2">
        <v>30</v>
      </c>
      <c r="M2828" s="2">
        <v>0</v>
      </c>
      <c r="N2828" t="s">
        <v>40</v>
      </c>
      <c r="O2828" t="s">
        <v>41</v>
      </c>
      <c r="P2828" t="s">
        <v>61</v>
      </c>
      <c r="Q2828" t="s">
        <v>62</v>
      </c>
      <c r="S2828" t="s">
        <v>3355</v>
      </c>
      <c r="T2828" t="s">
        <v>98</v>
      </c>
      <c r="U2828" t="s">
        <v>45</v>
      </c>
      <c r="V2828" t="s">
        <v>46</v>
      </c>
      <c r="W2828" t="s">
        <v>40</v>
      </c>
      <c r="X2828" t="s">
        <v>41</v>
      </c>
      <c r="Y2828" t="s">
        <v>47</v>
      </c>
      <c r="Z2828" t="s">
        <v>48</v>
      </c>
      <c r="AA2828" t="s">
        <v>49</v>
      </c>
      <c r="AB2828" t="s">
        <v>50</v>
      </c>
      <c r="AC2828" s="2">
        <v>13090200</v>
      </c>
      <c r="AD2828" t="s">
        <v>64</v>
      </c>
    </row>
    <row r="2829" spans="1:31" hidden="1" x14ac:dyDescent="0.25">
      <c r="A2829" t="s">
        <v>13606</v>
      </c>
      <c r="B2829" t="s">
        <v>13607</v>
      </c>
      <c r="C2829" t="s">
        <v>3352</v>
      </c>
      <c r="F2829" t="s">
        <v>3353</v>
      </c>
      <c r="H2829" t="s">
        <v>41</v>
      </c>
      <c r="I2829" t="s">
        <v>3354</v>
      </c>
      <c r="J2829" s="2">
        <v>13090200</v>
      </c>
      <c r="K2829" s="2">
        <v>60000</v>
      </c>
      <c r="L2829" s="2">
        <v>30</v>
      </c>
      <c r="M2829" s="2">
        <v>0</v>
      </c>
      <c r="N2829" t="s">
        <v>40</v>
      </c>
      <c r="O2829" t="s">
        <v>41</v>
      </c>
      <c r="P2829" t="s">
        <v>61</v>
      </c>
      <c r="Q2829" t="s">
        <v>62</v>
      </c>
      <c r="S2829" t="s">
        <v>3355</v>
      </c>
      <c r="T2829" t="s">
        <v>98</v>
      </c>
      <c r="U2829" t="s">
        <v>45</v>
      </c>
      <c r="V2829" t="s">
        <v>46</v>
      </c>
      <c r="W2829" t="s">
        <v>40</v>
      </c>
      <c r="X2829" t="s">
        <v>41</v>
      </c>
      <c r="Y2829" t="s">
        <v>47</v>
      </c>
      <c r="Z2829" t="s">
        <v>48</v>
      </c>
      <c r="AA2829" t="s">
        <v>49</v>
      </c>
      <c r="AB2829" t="s">
        <v>50</v>
      </c>
      <c r="AC2829" s="2">
        <v>13090200</v>
      </c>
      <c r="AD2829" t="s">
        <v>64</v>
      </c>
    </row>
    <row r="2830" spans="1:31" x14ac:dyDescent="0.25">
      <c r="A2830" t="s">
        <v>13608</v>
      </c>
      <c r="B2830" t="s">
        <v>13609</v>
      </c>
      <c r="C2830" t="s">
        <v>3352</v>
      </c>
      <c r="D2830" t="s">
        <v>223</v>
      </c>
      <c r="E2830" t="s">
        <v>224</v>
      </c>
      <c r="F2830" t="s">
        <v>3353</v>
      </c>
      <c r="G2830" t="s">
        <v>262</v>
      </c>
      <c r="H2830" t="s">
        <v>41</v>
      </c>
      <c r="I2830" t="s">
        <v>3354</v>
      </c>
      <c r="J2830" s="2">
        <v>13090200</v>
      </c>
      <c r="K2830" s="2">
        <v>60000</v>
      </c>
      <c r="L2830" s="2">
        <v>30</v>
      </c>
      <c r="M2830" s="2">
        <v>0</v>
      </c>
      <c r="N2830" t="s">
        <v>40</v>
      </c>
      <c r="O2830" t="s">
        <v>41</v>
      </c>
      <c r="P2830" t="s">
        <v>61</v>
      </c>
      <c r="Q2830" t="s">
        <v>62</v>
      </c>
      <c r="S2830" t="s">
        <v>3355</v>
      </c>
      <c r="T2830" t="s">
        <v>98</v>
      </c>
      <c r="U2830" t="s">
        <v>45</v>
      </c>
      <c r="V2830" t="s">
        <v>46</v>
      </c>
      <c r="W2830" t="s">
        <v>40</v>
      </c>
      <c r="X2830" t="s">
        <v>41</v>
      </c>
      <c r="Y2830" t="s">
        <v>47</v>
      </c>
      <c r="Z2830" t="s">
        <v>48</v>
      </c>
      <c r="AA2830" t="s">
        <v>49</v>
      </c>
      <c r="AB2830" t="s">
        <v>50</v>
      </c>
      <c r="AC2830" s="2">
        <v>13090200</v>
      </c>
      <c r="AD2830" t="s">
        <v>64</v>
      </c>
    </row>
    <row r="2831" spans="1:31" x14ac:dyDescent="0.25">
      <c r="A2831" t="s">
        <v>13610</v>
      </c>
      <c r="B2831" t="s">
        <v>13611</v>
      </c>
      <c r="C2831" t="s">
        <v>3352</v>
      </c>
      <c r="D2831" t="s">
        <v>331</v>
      </c>
      <c r="E2831" t="s">
        <v>224</v>
      </c>
      <c r="F2831" t="s">
        <v>3353</v>
      </c>
      <c r="G2831" t="s">
        <v>264</v>
      </c>
      <c r="H2831" t="s">
        <v>41</v>
      </c>
      <c r="J2831" s="2">
        <v>13090200</v>
      </c>
      <c r="K2831" s="2">
        <v>60000</v>
      </c>
      <c r="L2831" s="2">
        <v>30</v>
      </c>
      <c r="M2831" s="2">
        <v>0</v>
      </c>
      <c r="N2831" t="s">
        <v>40</v>
      </c>
      <c r="O2831" t="s">
        <v>41</v>
      </c>
      <c r="P2831" t="s">
        <v>61</v>
      </c>
      <c r="Q2831" t="s">
        <v>62</v>
      </c>
      <c r="S2831" t="s">
        <v>3355</v>
      </c>
      <c r="T2831" t="s">
        <v>98</v>
      </c>
      <c r="U2831" t="s">
        <v>45</v>
      </c>
      <c r="V2831" t="s">
        <v>46</v>
      </c>
      <c r="W2831" t="s">
        <v>40</v>
      </c>
      <c r="X2831" t="s">
        <v>41</v>
      </c>
      <c r="Y2831" t="s">
        <v>47</v>
      </c>
      <c r="Z2831" t="s">
        <v>48</v>
      </c>
      <c r="AA2831" t="s">
        <v>49</v>
      </c>
      <c r="AB2831" t="s">
        <v>50</v>
      </c>
      <c r="AC2831" s="2">
        <v>13090200</v>
      </c>
      <c r="AD2831" t="s">
        <v>64</v>
      </c>
    </row>
    <row r="2832" spans="1:31" x14ac:dyDescent="0.25">
      <c r="A2832" t="s">
        <v>13612</v>
      </c>
      <c r="B2832" t="s">
        <v>13613</v>
      </c>
      <c r="C2832" t="s">
        <v>3352</v>
      </c>
      <c r="D2832" t="s">
        <v>331</v>
      </c>
      <c r="E2832" t="s">
        <v>224</v>
      </c>
      <c r="F2832" t="s">
        <v>3353</v>
      </c>
      <c r="G2832" t="s">
        <v>2286</v>
      </c>
      <c r="H2832" t="s">
        <v>41</v>
      </c>
      <c r="I2832" t="s">
        <v>3354</v>
      </c>
      <c r="J2832" s="2">
        <v>13090200</v>
      </c>
      <c r="K2832" s="2">
        <v>60000</v>
      </c>
      <c r="L2832" s="2">
        <v>30</v>
      </c>
      <c r="M2832" s="2">
        <v>0</v>
      </c>
      <c r="N2832" t="s">
        <v>40</v>
      </c>
      <c r="O2832" t="s">
        <v>41</v>
      </c>
      <c r="P2832" t="s">
        <v>61</v>
      </c>
      <c r="Q2832" t="s">
        <v>62</v>
      </c>
      <c r="S2832" t="s">
        <v>3355</v>
      </c>
      <c r="T2832" t="s">
        <v>98</v>
      </c>
      <c r="U2832" t="s">
        <v>45</v>
      </c>
      <c r="V2832" t="s">
        <v>46</v>
      </c>
      <c r="W2832" t="s">
        <v>40</v>
      </c>
      <c r="X2832" t="s">
        <v>41</v>
      </c>
      <c r="Y2832" t="s">
        <v>47</v>
      </c>
      <c r="Z2832" t="s">
        <v>48</v>
      </c>
      <c r="AA2832" t="s">
        <v>49</v>
      </c>
      <c r="AB2832" t="s">
        <v>50</v>
      </c>
      <c r="AC2832" s="2">
        <v>13090200</v>
      </c>
      <c r="AD2832" t="s">
        <v>64</v>
      </c>
    </row>
    <row r="2833" spans="1:31" x14ac:dyDescent="0.25">
      <c r="A2833" t="s">
        <v>13614</v>
      </c>
      <c r="B2833" t="s">
        <v>13615</v>
      </c>
      <c r="C2833" t="s">
        <v>3352</v>
      </c>
      <c r="D2833" t="s">
        <v>331</v>
      </c>
      <c r="E2833" t="s">
        <v>224</v>
      </c>
      <c r="F2833" t="s">
        <v>3353</v>
      </c>
      <c r="G2833" t="s">
        <v>2286</v>
      </c>
      <c r="H2833" t="s">
        <v>41</v>
      </c>
      <c r="J2833" s="2">
        <v>13090200</v>
      </c>
      <c r="K2833" s="2">
        <v>60000</v>
      </c>
      <c r="L2833" s="2">
        <v>30</v>
      </c>
      <c r="M2833" s="2">
        <v>0</v>
      </c>
      <c r="N2833" t="s">
        <v>40</v>
      </c>
      <c r="O2833" t="s">
        <v>41</v>
      </c>
      <c r="P2833" t="s">
        <v>61</v>
      </c>
      <c r="Q2833" t="s">
        <v>62</v>
      </c>
      <c r="S2833" t="s">
        <v>3355</v>
      </c>
      <c r="T2833" t="s">
        <v>98</v>
      </c>
      <c r="U2833" t="s">
        <v>45</v>
      </c>
      <c r="V2833" t="s">
        <v>46</v>
      </c>
      <c r="W2833" t="s">
        <v>40</v>
      </c>
      <c r="X2833" t="s">
        <v>41</v>
      </c>
      <c r="Y2833" t="s">
        <v>47</v>
      </c>
      <c r="Z2833" t="s">
        <v>48</v>
      </c>
      <c r="AA2833" t="s">
        <v>49</v>
      </c>
      <c r="AB2833" t="s">
        <v>50</v>
      </c>
      <c r="AC2833" s="2">
        <v>13090200</v>
      </c>
      <c r="AD2833" t="s">
        <v>64</v>
      </c>
    </row>
    <row r="2834" spans="1:31" x14ac:dyDescent="0.25">
      <c r="A2834" t="s">
        <v>13616</v>
      </c>
      <c r="B2834" t="s">
        <v>13617</v>
      </c>
      <c r="C2834" t="s">
        <v>3352</v>
      </c>
      <c r="D2834" t="s">
        <v>223</v>
      </c>
      <c r="E2834" t="s">
        <v>224</v>
      </c>
      <c r="F2834" t="s">
        <v>3353</v>
      </c>
      <c r="G2834" t="s">
        <v>262</v>
      </c>
      <c r="H2834" t="s">
        <v>41</v>
      </c>
      <c r="J2834" s="2">
        <v>13090200</v>
      </c>
      <c r="K2834" s="2">
        <v>60000</v>
      </c>
      <c r="L2834" s="2">
        <v>30</v>
      </c>
      <c r="M2834" s="2">
        <v>0</v>
      </c>
      <c r="N2834" t="s">
        <v>40</v>
      </c>
      <c r="O2834" t="s">
        <v>41</v>
      </c>
      <c r="P2834" t="s">
        <v>61</v>
      </c>
      <c r="Q2834" t="s">
        <v>62</v>
      </c>
      <c r="S2834" t="s">
        <v>3355</v>
      </c>
      <c r="T2834" t="s">
        <v>98</v>
      </c>
      <c r="U2834" t="s">
        <v>45</v>
      </c>
      <c r="V2834" t="s">
        <v>46</v>
      </c>
      <c r="W2834" t="s">
        <v>40</v>
      </c>
      <c r="X2834" t="s">
        <v>41</v>
      </c>
      <c r="Y2834" t="s">
        <v>47</v>
      </c>
      <c r="Z2834" t="s">
        <v>48</v>
      </c>
      <c r="AA2834" t="s">
        <v>49</v>
      </c>
      <c r="AB2834" t="s">
        <v>50</v>
      </c>
      <c r="AC2834" s="2">
        <v>13090200</v>
      </c>
      <c r="AD2834" t="s">
        <v>64</v>
      </c>
    </row>
    <row r="2835" spans="1:31" x14ac:dyDescent="0.25">
      <c r="A2835" t="s">
        <v>13618</v>
      </c>
      <c r="B2835" t="s">
        <v>13619</v>
      </c>
      <c r="C2835" t="s">
        <v>3352</v>
      </c>
      <c r="D2835" t="s">
        <v>3221</v>
      </c>
      <c r="E2835" t="s">
        <v>224</v>
      </c>
      <c r="F2835" t="s">
        <v>3353</v>
      </c>
      <c r="G2835" t="s">
        <v>1854</v>
      </c>
      <c r="H2835" t="s">
        <v>41</v>
      </c>
      <c r="I2835" t="s">
        <v>3354</v>
      </c>
      <c r="J2835" s="2">
        <v>13090200</v>
      </c>
      <c r="K2835" s="2">
        <v>60000</v>
      </c>
      <c r="L2835" s="2">
        <v>30</v>
      </c>
      <c r="M2835" s="2">
        <v>0</v>
      </c>
      <c r="N2835" t="s">
        <v>40</v>
      </c>
      <c r="O2835" t="s">
        <v>41</v>
      </c>
      <c r="P2835" t="s">
        <v>61</v>
      </c>
      <c r="Q2835" t="s">
        <v>62</v>
      </c>
      <c r="S2835" t="s">
        <v>3355</v>
      </c>
      <c r="T2835" t="s">
        <v>98</v>
      </c>
      <c r="U2835" t="s">
        <v>45</v>
      </c>
      <c r="V2835" t="s">
        <v>46</v>
      </c>
      <c r="W2835" t="s">
        <v>40</v>
      </c>
      <c r="X2835" t="s">
        <v>41</v>
      </c>
      <c r="Y2835" t="s">
        <v>47</v>
      </c>
      <c r="Z2835" t="s">
        <v>48</v>
      </c>
      <c r="AA2835" t="s">
        <v>49</v>
      </c>
      <c r="AB2835" t="s">
        <v>50</v>
      </c>
      <c r="AC2835" s="2">
        <v>13090200</v>
      </c>
      <c r="AD2835" t="s">
        <v>64</v>
      </c>
    </row>
    <row r="2836" spans="1:31" x14ac:dyDescent="0.25">
      <c r="A2836" t="s">
        <v>13620</v>
      </c>
      <c r="B2836" t="s">
        <v>13621</v>
      </c>
      <c r="C2836" t="s">
        <v>3352</v>
      </c>
      <c r="D2836" t="s">
        <v>1865</v>
      </c>
      <c r="E2836" t="s">
        <v>224</v>
      </c>
      <c r="F2836" t="s">
        <v>3353</v>
      </c>
      <c r="G2836" t="s">
        <v>1289</v>
      </c>
      <c r="H2836" t="s">
        <v>41</v>
      </c>
      <c r="I2836" t="s">
        <v>3354</v>
      </c>
      <c r="J2836" s="2">
        <v>13090200</v>
      </c>
      <c r="K2836" s="2">
        <v>60000</v>
      </c>
      <c r="L2836" s="2">
        <v>30</v>
      </c>
      <c r="M2836" s="2">
        <v>0</v>
      </c>
      <c r="N2836" t="s">
        <v>40</v>
      </c>
      <c r="O2836" t="s">
        <v>41</v>
      </c>
      <c r="P2836" t="s">
        <v>61</v>
      </c>
      <c r="Q2836" t="s">
        <v>62</v>
      </c>
      <c r="S2836" t="s">
        <v>3355</v>
      </c>
      <c r="T2836" t="s">
        <v>98</v>
      </c>
      <c r="U2836" t="s">
        <v>45</v>
      </c>
      <c r="V2836" t="s">
        <v>46</v>
      </c>
      <c r="W2836" t="s">
        <v>40</v>
      </c>
      <c r="X2836" t="s">
        <v>41</v>
      </c>
      <c r="Y2836" t="s">
        <v>47</v>
      </c>
      <c r="Z2836" t="s">
        <v>48</v>
      </c>
      <c r="AA2836" t="s">
        <v>49</v>
      </c>
      <c r="AB2836" t="s">
        <v>50</v>
      </c>
      <c r="AC2836" s="2">
        <v>13090200</v>
      </c>
      <c r="AD2836" t="s">
        <v>64</v>
      </c>
    </row>
    <row r="2837" spans="1:31" x14ac:dyDescent="0.25">
      <c r="A2837" t="s">
        <v>13622</v>
      </c>
      <c r="B2837" t="s">
        <v>13623</v>
      </c>
      <c r="C2837" t="s">
        <v>13623</v>
      </c>
      <c r="D2837" t="s">
        <v>299</v>
      </c>
      <c r="E2837" t="s">
        <v>167</v>
      </c>
      <c r="F2837" t="s">
        <v>13624</v>
      </c>
      <c r="G2837" t="s">
        <v>1939</v>
      </c>
      <c r="H2837" t="s">
        <v>10395</v>
      </c>
      <c r="I2837" t="s">
        <v>13625</v>
      </c>
      <c r="J2837" s="2">
        <v>218170</v>
      </c>
      <c r="K2837" s="2">
        <v>1000</v>
      </c>
      <c r="L2837" s="2">
        <v>21</v>
      </c>
      <c r="M2837" s="2">
        <v>0</v>
      </c>
      <c r="N2837" t="s">
        <v>6940</v>
      </c>
      <c r="O2837" t="s">
        <v>6939</v>
      </c>
      <c r="P2837" t="s">
        <v>3487</v>
      </c>
      <c r="Q2837" t="s">
        <v>3488</v>
      </c>
      <c r="S2837" t="s">
        <v>13626</v>
      </c>
      <c r="T2837" t="s">
        <v>98</v>
      </c>
      <c r="U2837" t="s">
        <v>45</v>
      </c>
      <c r="V2837" t="s">
        <v>46</v>
      </c>
      <c r="W2837" t="s">
        <v>6940</v>
      </c>
      <c r="X2837" t="s">
        <v>6939</v>
      </c>
      <c r="Y2837" t="s">
        <v>79</v>
      </c>
      <c r="Z2837" t="s">
        <v>94</v>
      </c>
      <c r="AA2837" t="s">
        <v>49</v>
      </c>
      <c r="AB2837" t="s">
        <v>50</v>
      </c>
      <c r="AC2837" s="2">
        <v>186022.78</v>
      </c>
      <c r="AD2837" t="s">
        <v>13627</v>
      </c>
    </row>
    <row r="2838" spans="1:31" x14ac:dyDescent="0.25">
      <c r="A2838" t="s">
        <v>13628</v>
      </c>
      <c r="B2838" t="s">
        <v>13629</v>
      </c>
      <c r="C2838" t="s">
        <v>3352</v>
      </c>
      <c r="D2838" t="s">
        <v>331</v>
      </c>
      <c r="E2838" t="s">
        <v>224</v>
      </c>
      <c r="F2838" t="s">
        <v>3353</v>
      </c>
      <c r="G2838" t="s">
        <v>2286</v>
      </c>
      <c r="H2838" t="s">
        <v>41</v>
      </c>
      <c r="I2838" t="s">
        <v>3354</v>
      </c>
      <c r="J2838" s="2">
        <v>13090200</v>
      </c>
      <c r="K2838" s="2">
        <v>60000</v>
      </c>
      <c r="L2838" s="2">
        <v>30</v>
      </c>
      <c r="M2838" s="2">
        <v>0</v>
      </c>
      <c r="N2838" t="s">
        <v>40</v>
      </c>
      <c r="O2838" t="s">
        <v>41</v>
      </c>
      <c r="P2838" t="s">
        <v>61</v>
      </c>
      <c r="Q2838" t="s">
        <v>62</v>
      </c>
      <c r="S2838" t="s">
        <v>3355</v>
      </c>
      <c r="T2838" t="s">
        <v>98</v>
      </c>
      <c r="U2838" t="s">
        <v>45</v>
      </c>
      <c r="V2838" t="s">
        <v>46</v>
      </c>
      <c r="W2838" t="s">
        <v>40</v>
      </c>
      <c r="X2838" t="s">
        <v>41</v>
      </c>
      <c r="Y2838" t="s">
        <v>47</v>
      </c>
      <c r="Z2838" t="s">
        <v>48</v>
      </c>
      <c r="AA2838" t="s">
        <v>49</v>
      </c>
      <c r="AB2838" t="s">
        <v>50</v>
      </c>
      <c r="AC2838" s="2">
        <v>13090200</v>
      </c>
      <c r="AD2838" t="s">
        <v>64</v>
      </c>
    </row>
    <row r="2839" spans="1:31" x14ac:dyDescent="0.25">
      <c r="A2839" t="s">
        <v>13630</v>
      </c>
      <c r="B2839" t="s">
        <v>13631</v>
      </c>
      <c r="C2839" t="s">
        <v>3352</v>
      </c>
      <c r="D2839" t="s">
        <v>331</v>
      </c>
      <c r="E2839" t="s">
        <v>224</v>
      </c>
      <c r="F2839" t="s">
        <v>3353</v>
      </c>
      <c r="G2839" t="s">
        <v>2286</v>
      </c>
      <c r="H2839" t="s">
        <v>41</v>
      </c>
      <c r="I2839" t="s">
        <v>3354</v>
      </c>
      <c r="J2839" s="2">
        <v>13090200</v>
      </c>
      <c r="K2839" s="2">
        <v>60000</v>
      </c>
      <c r="L2839" s="2">
        <v>30</v>
      </c>
      <c r="M2839" s="2">
        <v>0</v>
      </c>
      <c r="N2839" t="s">
        <v>40</v>
      </c>
      <c r="O2839" t="s">
        <v>41</v>
      </c>
      <c r="P2839" t="s">
        <v>61</v>
      </c>
      <c r="Q2839" t="s">
        <v>62</v>
      </c>
      <c r="S2839" t="s">
        <v>3355</v>
      </c>
      <c r="T2839" t="s">
        <v>98</v>
      </c>
      <c r="U2839" t="s">
        <v>45</v>
      </c>
      <c r="V2839" t="s">
        <v>46</v>
      </c>
      <c r="W2839" t="s">
        <v>40</v>
      </c>
      <c r="X2839" t="s">
        <v>41</v>
      </c>
      <c r="Y2839" t="s">
        <v>47</v>
      </c>
      <c r="Z2839" t="s">
        <v>48</v>
      </c>
      <c r="AA2839" t="s">
        <v>49</v>
      </c>
      <c r="AB2839" t="s">
        <v>50</v>
      </c>
      <c r="AC2839" s="2">
        <v>13090200</v>
      </c>
      <c r="AD2839" t="s">
        <v>64</v>
      </c>
    </row>
    <row r="2840" spans="1:31" x14ac:dyDescent="0.25">
      <c r="A2840" t="s">
        <v>13632</v>
      </c>
      <c r="B2840" t="s">
        <v>13633</v>
      </c>
      <c r="C2840" t="s">
        <v>13599</v>
      </c>
      <c r="D2840" t="s">
        <v>1865</v>
      </c>
      <c r="E2840" t="s">
        <v>224</v>
      </c>
      <c r="F2840" t="s">
        <v>3353</v>
      </c>
      <c r="G2840" t="s">
        <v>1289</v>
      </c>
      <c r="H2840" t="s">
        <v>41</v>
      </c>
      <c r="I2840" t="s">
        <v>3354</v>
      </c>
      <c r="J2840" s="2">
        <v>13090200</v>
      </c>
      <c r="K2840" s="2">
        <v>60000</v>
      </c>
      <c r="L2840" s="2">
        <v>30</v>
      </c>
      <c r="M2840" s="2">
        <v>0</v>
      </c>
      <c r="N2840" t="s">
        <v>40</v>
      </c>
      <c r="O2840" t="s">
        <v>41</v>
      </c>
      <c r="P2840" t="s">
        <v>61</v>
      </c>
      <c r="Q2840" t="s">
        <v>62</v>
      </c>
      <c r="S2840" t="s">
        <v>3355</v>
      </c>
      <c r="T2840" t="s">
        <v>98</v>
      </c>
      <c r="U2840" t="s">
        <v>45</v>
      </c>
      <c r="V2840" t="s">
        <v>46</v>
      </c>
      <c r="W2840" t="s">
        <v>40</v>
      </c>
      <c r="X2840" t="s">
        <v>41</v>
      </c>
      <c r="Y2840" t="s">
        <v>47</v>
      </c>
      <c r="Z2840" t="s">
        <v>48</v>
      </c>
      <c r="AA2840" t="s">
        <v>49</v>
      </c>
      <c r="AB2840" t="s">
        <v>50</v>
      </c>
      <c r="AC2840" s="2">
        <v>12959704.640000001</v>
      </c>
      <c r="AD2840" t="s">
        <v>13634</v>
      </c>
    </row>
    <row r="2841" spans="1:31" x14ac:dyDescent="0.25">
      <c r="A2841" t="s">
        <v>13635</v>
      </c>
      <c r="B2841" t="s">
        <v>13636</v>
      </c>
      <c r="C2841" t="s">
        <v>3352</v>
      </c>
      <c r="D2841" t="s">
        <v>331</v>
      </c>
      <c r="E2841" t="s">
        <v>224</v>
      </c>
      <c r="F2841" t="s">
        <v>3353</v>
      </c>
      <c r="G2841" t="s">
        <v>264</v>
      </c>
      <c r="H2841" t="s">
        <v>41</v>
      </c>
      <c r="I2841" t="s">
        <v>3354</v>
      </c>
      <c r="J2841" s="2">
        <v>13090200</v>
      </c>
      <c r="K2841" s="2">
        <v>60000</v>
      </c>
      <c r="L2841" s="2">
        <v>30</v>
      </c>
      <c r="M2841" s="2">
        <v>0</v>
      </c>
      <c r="N2841" t="s">
        <v>40</v>
      </c>
      <c r="O2841" t="s">
        <v>41</v>
      </c>
      <c r="P2841" t="s">
        <v>61</v>
      </c>
      <c r="Q2841" t="s">
        <v>62</v>
      </c>
      <c r="S2841" t="s">
        <v>3355</v>
      </c>
      <c r="T2841" t="s">
        <v>98</v>
      </c>
      <c r="U2841" t="s">
        <v>45</v>
      </c>
      <c r="V2841" t="s">
        <v>46</v>
      </c>
      <c r="W2841" t="s">
        <v>40</v>
      </c>
      <c r="X2841" t="s">
        <v>41</v>
      </c>
      <c r="Y2841" t="s">
        <v>47</v>
      </c>
      <c r="Z2841" t="s">
        <v>48</v>
      </c>
      <c r="AA2841" t="s">
        <v>49</v>
      </c>
      <c r="AB2841" t="s">
        <v>50</v>
      </c>
      <c r="AC2841" s="2">
        <v>13090200</v>
      </c>
      <c r="AD2841" t="s">
        <v>64</v>
      </c>
    </row>
    <row r="2842" spans="1:31" x14ac:dyDescent="0.25">
      <c r="A2842" t="s">
        <v>13637</v>
      </c>
      <c r="B2842" t="s">
        <v>13638</v>
      </c>
      <c r="C2842" t="s">
        <v>3352</v>
      </c>
      <c r="D2842" t="s">
        <v>1865</v>
      </c>
      <c r="E2842" t="s">
        <v>224</v>
      </c>
      <c r="F2842" t="s">
        <v>3353</v>
      </c>
      <c r="G2842" t="s">
        <v>1289</v>
      </c>
      <c r="H2842" t="s">
        <v>41</v>
      </c>
      <c r="I2842" t="s">
        <v>3354</v>
      </c>
      <c r="J2842" s="2">
        <v>13090200</v>
      </c>
      <c r="K2842" s="2">
        <v>60000</v>
      </c>
      <c r="L2842" s="2">
        <v>30</v>
      </c>
      <c r="M2842" s="2">
        <v>0</v>
      </c>
      <c r="N2842" t="s">
        <v>40</v>
      </c>
      <c r="O2842" t="s">
        <v>41</v>
      </c>
      <c r="P2842" t="s">
        <v>61</v>
      </c>
      <c r="Q2842" t="s">
        <v>62</v>
      </c>
      <c r="S2842" t="s">
        <v>3355</v>
      </c>
      <c r="T2842" t="s">
        <v>98</v>
      </c>
      <c r="U2842" t="s">
        <v>45</v>
      </c>
      <c r="V2842" t="s">
        <v>46</v>
      </c>
      <c r="W2842" t="s">
        <v>40</v>
      </c>
      <c r="X2842" t="s">
        <v>41</v>
      </c>
      <c r="Y2842" t="s">
        <v>47</v>
      </c>
      <c r="Z2842" t="s">
        <v>48</v>
      </c>
      <c r="AA2842" t="s">
        <v>49</v>
      </c>
      <c r="AB2842" t="s">
        <v>50</v>
      </c>
      <c r="AC2842" s="2">
        <v>13090200</v>
      </c>
      <c r="AD2842" t="s">
        <v>64</v>
      </c>
    </row>
    <row r="2843" spans="1:31" x14ac:dyDescent="0.25">
      <c r="A2843" t="s">
        <v>13639</v>
      </c>
      <c r="B2843" t="s">
        <v>13640</v>
      </c>
      <c r="C2843" t="s">
        <v>3352</v>
      </c>
      <c r="D2843" t="s">
        <v>1865</v>
      </c>
      <c r="E2843" t="s">
        <v>224</v>
      </c>
      <c r="F2843" t="s">
        <v>3353</v>
      </c>
      <c r="G2843" t="s">
        <v>1289</v>
      </c>
      <c r="H2843" t="s">
        <v>41</v>
      </c>
      <c r="I2843" t="s">
        <v>3354</v>
      </c>
      <c r="J2843" s="2">
        <v>13090200</v>
      </c>
      <c r="K2843" s="2">
        <v>60000</v>
      </c>
      <c r="L2843" s="2">
        <v>30</v>
      </c>
      <c r="M2843" s="2">
        <v>0</v>
      </c>
      <c r="N2843" t="s">
        <v>40</v>
      </c>
      <c r="O2843" t="s">
        <v>41</v>
      </c>
      <c r="P2843" t="s">
        <v>61</v>
      </c>
      <c r="Q2843" t="s">
        <v>62</v>
      </c>
      <c r="S2843" t="s">
        <v>3355</v>
      </c>
      <c r="T2843" t="s">
        <v>98</v>
      </c>
      <c r="U2843" t="s">
        <v>45</v>
      </c>
      <c r="V2843" t="s">
        <v>46</v>
      </c>
      <c r="W2843" t="s">
        <v>40</v>
      </c>
      <c r="X2843" t="s">
        <v>41</v>
      </c>
      <c r="Y2843" t="s">
        <v>47</v>
      </c>
      <c r="Z2843" t="s">
        <v>48</v>
      </c>
      <c r="AA2843" t="s">
        <v>49</v>
      </c>
      <c r="AB2843" t="s">
        <v>50</v>
      </c>
      <c r="AC2843" s="2">
        <v>13090200</v>
      </c>
      <c r="AD2843" t="s">
        <v>64</v>
      </c>
    </row>
    <row r="2844" spans="1:31" x14ac:dyDescent="0.25">
      <c r="A2844" t="s">
        <v>13641</v>
      </c>
      <c r="B2844" t="s">
        <v>13642</v>
      </c>
      <c r="C2844" t="s">
        <v>3352</v>
      </c>
      <c r="D2844" t="s">
        <v>1865</v>
      </c>
      <c r="E2844" t="s">
        <v>224</v>
      </c>
      <c r="F2844" t="s">
        <v>3353</v>
      </c>
      <c r="G2844" t="s">
        <v>1289</v>
      </c>
      <c r="H2844" t="s">
        <v>41</v>
      </c>
      <c r="I2844" t="s">
        <v>3354</v>
      </c>
      <c r="J2844" s="2">
        <v>13090200</v>
      </c>
      <c r="K2844" s="2">
        <v>60000</v>
      </c>
      <c r="L2844" s="2">
        <v>30</v>
      </c>
      <c r="M2844" s="2">
        <v>0</v>
      </c>
      <c r="N2844" t="s">
        <v>40</v>
      </c>
      <c r="O2844" t="s">
        <v>41</v>
      </c>
      <c r="P2844" t="s">
        <v>61</v>
      </c>
      <c r="Q2844" t="s">
        <v>62</v>
      </c>
      <c r="S2844" t="s">
        <v>3355</v>
      </c>
      <c r="T2844" t="s">
        <v>98</v>
      </c>
      <c r="U2844" t="s">
        <v>45</v>
      </c>
      <c r="V2844" t="s">
        <v>46</v>
      </c>
      <c r="W2844" t="s">
        <v>40</v>
      </c>
      <c r="X2844" t="s">
        <v>41</v>
      </c>
      <c r="Y2844" t="s">
        <v>47</v>
      </c>
      <c r="Z2844" t="s">
        <v>48</v>
      </c>
      <c r="AA2844" t="s">
        <v>49</v>
      </c>
      <c r="AB2844" t="s">
        <v>50</v>
      </c>
      <c r="AC2844" s="2">
        <v>13090200</v>
      </c>
      <c r="AD2844" t="s">
        <v>64</v>
      </c>
    </row>
    <row r="2845" spans="1:31" x14ac:dyDescent="0.25">
      <c r="A2845" t="s">
        <v>13643</v>
      </c>
      <c r="B2845" t="s">
        <v>13644</v>
      </c>
      <c r="C2845" t="s">
        <v>13644</v>
      </c>
      <c r="D2845" t="s">
        <v>125</v>
      </c>
      <c r="E2845" t="s">
        <v>126</v>
      </c>
      <c r="F2845" t="s">
        <v>13645</v>
      </c>
      <c r="G2845" t="s">
        <v>4494</v>
      </c>
      <c r="H2845" t="s">
        <v>10141</v>
      </c>
      <c r="I2845" t="s">
        <v>13646</v>
      </c>
      <c r="J2845" s="2">
        <v>218170</v>
      </c>
      <c r="K2845" s="2">
        <v>1000</v>
      </c>
      <c r="L2845" s="2">
        <v>30</v>
      </c>
      <c r="M2845" s="2">
        <v>0</v>
      </c>
      <c r="N2845" t="s">
        <v>7936</v>
      </c>
      <c r="O2845" t="s">
        <v>7935</v>
      </c>
      <c r="P2845" t="s">
        <v>10093</v>
      </c>
      <c r="Q2845" t="s">
        <v>10094</v>
      </c>
      <c r="S2845" t="s">
        <v>13647</v>
      </c>
      <c r="T2845" t="s">
        <v>98</v>
      </c>
      <c r="U2845" t="s">
        <v>45</v>
      </c>
      <c r="V2845" t="s">
        <v>46</v>
      </c>
      <c r="W2845" t="s">
        <v>7936</v>
      </c>
      <c r="X2845" t="s">
        <v>7935</v>
      </c>
      <c r="Y2845" t="s">
        <v>7938</v>
      </c>
      <c r="Z2845" t="s">
        <v>7939</v>
      </c>
      <c r="AA2845" t="s">
        <v>49</v>
      </c>
      <c r="AB2845" t="s">
        <v>50</v>
      </c>
      <c r="AC2845" s="2">
        <v>183338.67</v>
      </c>
      <c r="AD2845" t="s">
        <v>13648</v>
      </c>
      <c r="AE2845" t="s">
        <v>115</v>
      </c>
    </row>
    <row r="2846" spans="1:31" x14ac:dyDescent="0.25">
      <c r="A2846" t="s">
        <v>13649</v>
      </c>
      <c r="B2846" t="s">
        <v>13650</v>
      </c>
      <c r="C2846" t="s">
        <v>13650</v>
      </c>
      <c r="D2846" t="s">
        <v>125</v>
      </c>
      <c r="E2846" t="s">
        <v>126</v>
      </c>
      <c r="F2846" t="s">
        <v>13651</v>
      </c>
      <c r="G2846" t="s">
        <v>153</v>
      </c>
      <c r="H2846" t="s">
        <v>13652</v>
      </c>
      <c r="I2846" t="s">
        <v>13653</v>
      </c>
      <c r="J2846" s="2">
        <v>676327</v>
      </c>
      <c r="K2846" s="2">
        <v>3100</v>
      </c>
      <c r="L2846" s="2">
        <v>30</v>
      </c>
      <c r="M2846" s="2">
        <v>0</v>
      </c>
      <c r="N2846" t="s">
        <v>13654</v>
      </c>
      <c r="O2846" t="s">
        <v>13655</v>
      </c>
      <c r="P2846" t="s">
        <v>10093</v>
      </c>
      <c r="Q2846" t="s">
        <v>10094</v>
      </c>
      <c r="S2846" t="s">
        <v>13656</v>
      </c>
      <c r="T2846" t="s">
        <v>98</v>
      </c>
      <c r="U2846" t="s">
        <v>45</v>
      </c>
      <c r="V2846" t="s">
        <v>46</v>
      </c>
      <c r="W2846" t="s">
        <v>13654</v>
      </c>
      <c r="X2846" t="s">
        <v>13655</v>
      </c>
      <c r="Y2846" t="s">
        <v>7938</v>
      </c>
      <c r="Z2846" t="s">
        <v>7939</v>
      </c>
      <c r="AA2846" t="s">
        <v>49</v>
      </c>
      <c r="AB2846" t="s">
        <v>50</v>
      </c>
      <c r="AC2846" s="2">
        <v>316505.36</v>
      </c>
      <c r="AD2846" t="s">
        <v>13657</v>
      </c>
      <c r="AE2846" t="s">
        <v>52</v>
      </c>
    </row>
    <row r="2847" spans="1:31" x14ac:dyDescent="0.25">
      <c r="A2847" t="s">
        <v>13658</v>
      </c>
      <c r="B2847" t="s">
        <v>13659</v>
      </c>
      <c r="C2847" t="s">
        <v>13659</v>
      </c>
      <c r="D2847" t="s">
        <v>35</v>
      </c>
      <c r="E2847" t="s">
        <v>36</v>
      </c>
      <c r="F2847" t="s">
        <v>13660</v>
      </c>
      <c r="G2847" t="s">
        <v>847</v>
      </c>
      <c r="H2847" t="s">
        <v>10631</v>
      </c>
      <c r="I2847" t="s">
        <v>13661</v>
      </c>
      <c r="J2847" s="2">
        <v>219870</v>
      </c>
      <c r="K2847" s="2">
        <v>1000</v>
      </c>
      <c r="L2847" s="2">
        <v>30</v>
      </c>
      <c r="M2847" s="2">
        <v>0</v>
      </c>
      <c r="N2847" t="s">
        <v>10343</v>
      </c>
      <c r="O2847" t="s">
        <v>10344</v>
      </c>
      <c r="P2847" t="s">
        <v>10093</v>
      </c>
      <c r="Q2847" t="s">
        <v>10094</v>
      </c>
      <c r="S2847" t="s">
        <v>13662</v>
      </c>
      <c r="T2847" t="s">
        <v>98</v>
      </c>
      <c r="U2847" t="s">
        <v>45</v>
      </c>
      <c r="V2847" t="s">
        <v>46</v>
      </c>
      <c r="W2847" t="s">
        <v>10343</v>
      </c>
      <c r="X2847" t="s">
        <v>10344</v>
      </c>
      <c r="Y2847" t="s">
        <v>7938</v>
      </c>
      <c r="Z2847" t="s">
        <v>7939</v>
      </c>
      <c r="AA2847" t="s">
        <v>49</v>
      </c>
      <c r="AB2847" t="s">
        <v>50</v>
      </c>
      <c r="AC2847" s="2">
        <v>185725.68</v>
      </c>
      <c r="AD2847" t="s">
        <v>13663</v>
      </c>
      <c r="AE2847" t="s">
        <v>52</v>
      </c>
    </row>
    <row r="2848" spans="1:31" hidden="1" x14ac:dyDescent="0.25">
      <c r="A2848" t="s">
        <v>13664</v>
      </c>
      <c r="B2848" t="s">
        <v>13665</v>
      </c>
      <c r="C2848" t="s">
        <v>13665</v>
      </c>
      <c r="F2848" t="s">
        <v>13666</v>
      </c>
      <c r="H2848" t="s">
        <v>4943</v>
      </c>
      <c r="I2848" t="s">
        <v>13667</v>
      </c>
      <c r="J2848" s="2">
        <v>218</v>
      </c>
      <c r="K2848" s="2">
        <v>1</v>
      </c>
      <c r="L2848" s="2">
        <v>1</v>
      </c>
      <c r="M2848" s="2">
        <v>0</v>
      </c>
      <c r="N2848" t="s">
        <v>3121</v>
      </c>
      <c r="O2848" t="s">
        <v>3122</v>
      </c>
      <c r="P2848" t="s">
        <v>1363</v>
      </c>
      <c r="Q2848" t="s">
        <v>1364</v>
      </c>
      <c r="S2848" t="s">
        <v>13668</v>
      </c>
      <c r="T2848" t="s">
        <v>98</v>
      </c>
      <c r="U2848" t="s">
        <v>45</v>
      </c>
      <c r="V2848" t="s">
        <v>46</v>
      </c>
      <c r="W2848" t="s">
        <v>3121</v>
      </c>
      <c r="X2848" t="s">
        <v>3124</v>
      </c>
      <c r="Y2848" t="s">
        <v>1215</v>
      </c>
      <c r="Z2848" t="s">
        <v>1216</v>
      </c>
      <c r="AA2848" t="s">
        <v>49</v>
      </c>
      <c r="AB2848" t="s">
        <v>50</v>
      </c>
      <c r="AC2848" s="2">
        <v>218</v>
      </c>
      <c r="AD2848" t="s">
        <v>64</v>
      </c>
    </row>
    <row r="2849" spans="1:31" x14ac:dyDescent="0.25">
      <c r="A2849" t="s">
        <v>13669</v>
      </c>
      <c r="B2849" t="s">
        <v>13670</v>
      </c>
      <c r="C2849" t="s">
        <v>13670</v>
      </c>
      <c r="D2849" t="s">
        <v>299</v>
      </c>
      <c r="E2849" t="s">
        <v>167</v>
      </c>
      <c r="F2849" t="s">
        <v>13671</v>
      </c>
      <c r="G2849" t="s">
        <v>299</v>
      </c>
      <c r="H2849" t="s">
        <v>2508</v>
      </c>
      <c r="I2849" t="s">
        <v>993</v>
      </c>
      <c r="J2849" s="2">
        <v>4862200</v>
      </c>
      <c r="K2849" s="2">
        <v>20000</v>
      </c>
      <c r="L2849" s="2">
        <v>30</v>
      </c>
      <c r="M2849" s="2">
        <v>0</v>
      </c>
      <c r="N2849" t="s">
        <v>700</v>
      </c>
      <c r="O2849" t="s">
        <v>699</v>
      </c>
      <c r="P2849" t="s">
        <v>69</v>
      </c>
      <c r="Q2849" t="s">
        <v>70</v>
      </c>
      <c r="S2849" t="s">
        <v>13672</v>
      </c>
      <c r="T2849" t="s">
        <v>98</v>
      </c>
      <c r="U2849" t="s">
        <v>45</v>
      </c>
      <c r="V2849" t="s">
        <v>46</v>
      </c>
      <c r="W2849" t="s">
        <v>700</v>
      </c>
      <c r="X2849" t="s">
        <v>699</v>
      </c>
      <c r="Y2849" t="s">
        <v>72</v>
      </c>
      <c r="Z2849" t="s">
        <v>68</v>
      </c>
      <c r="AA2849" t="s">
        <v>49</v>
      </c>
      <c r="AB2849" t="s">
        <v>50</v>
      </c>
      <c r="AC2849" s="2">
        <v>3228724.95</v>
      </c>
      <c r="AD2849" t="s">
        <v>13673</v>
      </c>
      <c r="AE2849" t="s">
        <v>115</v>
      </c>
    </row>
    <row r="2850" spans="1:31" hidden="1" x14ac:dyDescent="0.25">
      <c r="A2850" t="s">
        <v>13674</v>
      </c>
      <c r="B2850" t="s">
        <v>13675</v>
      </c>
      <c r="C2850" t="s">
        <v>13675</v>
      </c>
      <c r="F2850" t="s">
        <v>13676</v>
      </c>
      <c r="H2850" t="s">
        <v>12587</v>
      </c>
      <c r="I2850" t="s">
        <v>13677</v>
      </c>
      <c r="J2850" s="2">
        <v>218170</v>
      </c>
      <c r="K2850" s="2">
        <v>1000</v>
      </c>
      <c r="L2850" s="2">
        <v>15</v>
      </c>
      <c r="M2850" s="2">
        <v>0</v>
      </c>
      <c r="N2850" t="s">
        <v>6239</v>
      </c>
      <c r="O2850" t="s">
        <v>6240</v>
      </c>
      <c r="P2850" t="s">
        <v>82</v>
      </c>
      <c r="Q2850" t="s">
        <v>83</v>
      </c>
      <c r="S2850" t="s">
        <v>13678</v>
      </c>
      <c r="T2850" t="s">
        <v>3855</v>
      </c>
      <c r="U2850" t="s">
        <v>45</v>
      </c>
      <c r="V2850" t="s">
        <v>46</v>
      </c>
      <c r="W2850" t="s">
        <v>6239</v>
      </c>
      <c r="X2850" t="s">
        <v>6240</v>
      </c>
      <c r="Y2850" t="s">
        <v>85</v>
      </c>
      <c r="Z2850" t="s">
        <v>86</v>
      </c>
      <c r="AA2850" t="s">
        <v>49</v>
      </c>
      <c r="AB2850" t="s">
        <v>50</v>
      </c>
      <c r="AC2850" s="2">
        <v>218170</v>
      </c>
      <c r="AD2850" t="s">
        <v>64</v>
      </c>
    </row>
    <row r="2851" spans="1:31" hidden="1" x14ac:dyDescent="0.25">
      <c r="A2851" t="s">
        <v>13679</v>
      </c>
      <c r="B2851" t="s">
        <v>13680</v>
      </c>
      <c r="C2851" t="s">
        <v>13680</v>
      </c>
      <c r="F2851" t="s">
        <v>13681</v>
      </c>
      <c r="H2851" t="s">
        <v>13682</v>
      </c>
      <c r="I2851" t="s">
        <v>13683</v>
      </c>
      <c r="J2851" s="2">
        <v>218170</v>
      </c>
      <c r="K2851" s="2">
        <v>1000</v>
      </c>
      <c r="L2851" s="2">
        <v>15</v>
      </c>
      <c r="M2851" s="2">
        <v>0</v>
      </c>
      <c r="N2851" t="s">
        <v>5119</v>
      </c>
      <c r="O2851" t="s">
        <v>1216</v>
      </c>
      <c r="P2851" t="s">
        <v>1421</v>
      </c>
      <c r="Q2851" t="s">
        <v>1422</v>
      </c>
      <c r="S2851" t="s">
        <v>13684</v>
      </c>
      <c r="T2851" t="s">
        <v>3855</v>
      </c>
      <c r="U2851" t="s">
        <v>45</v>
      </c>
      <c r="V2851" t="s">
        <v>46</v>
      </c>
      <c r="W2851" t="s">
        <v>5119</v>
      </c>
      <c r="X2851" t="s">
        <v>1216</v>
      </c>
      <c r="Y2851" t="s">
        <v>1215</v>
      </c>
      <c r="Z2851" t="s">
        <v>1216</v>
      </c>
      <c r="AA2851" t="s">
        <v>49</v>
      </c>
      <c r="AB2851" t="s">
        <v>50</v>
      </c>
      <c r="AC2851" s="2">
        <v>218170</v>
      </c>
      <c r="AD2851" t="s">
        <v>64</v>
      </c>
    </row>
    <row r="2852" spans="1:31" hidden="1" x14ac:dyDescent="0.25">
      <c r="A2852" t="s">
        <v>13685</v>
      </c>
      <c r="B2852" t="s">
        <v>13686</v>
      </c>
      <c r="C2852" t="s">
        <v>13686</v>
      </c>
      <c r="F2852" t="s">
        <v>13687</v>
      </c>
      <c r="H2852" t="s">
        <v>13682</v>
      </c>
      <c r="I2852" t="s">
        <v>13688</v>
      </c>
      <c r="J2852" s="2">
        <v>218170</v>
      </c>
      <c r="K2852" s="2">
        <v>1000</v>
      </c>
      <c r="L2852" s="2">
        <v>15</v>
      </c>
      <c r="M2852" s="2">
        <v>0</v>
      </c>
      <c r="N2852" t="s">
        <v>5119</v>
      </c>
      <c r="O2852" t="s">
        <v>1216</v>
      </c>
      <c r="P2852" t="s">
        <v>1421</v>
      </c>
      <c r="Q2852" t="s">
        <v>1422</v>
      </c>
      <c r="S2852" t="s">
        <v>13689</v>
      </c>
      <c r="T2852" t="s">
        <v>3855</v>
      </c>
      <c r="U2852" t="s">
        <v>45</v>
      </c>
      <c r="V2852" t="s">
        <v>46</v>
      </c>
      <c r="W2852" t="s">
        <v>5119</v>
      </c>
      <c r="X2852" t="s">
        <v>1216</v>
      </c>
      <c r="Y2852" t="s">
        <v>1215</v>
      </c>
      <c r="Z2852" t="s">
        <v>1216</v>
      </c>
      <c r="AA2852" t="s">
        <v>49</v>
      </c>
      <c r="AB2852" t="s">
        <v>50</v>
      </c>
      <c r="AC2852" s="2">
        <v>218170</v>
      </c>
      <c r="AD2852" t="s">
        <v>64</v>
      </c>
    </row>
    <row r="2853" spans="1:31" x14ac:dyDescent="0.25">
      <c r="A2853" t="s">
        <v>13690</v>
      </c>
      <c r="B2853" t="s">
        <v>13691</v>
      </c>
      <c r="C2853" t="s">
        <v>13691</v>
      </c>
      <c r="D2853" t="s">
        <v>847</v>
      </c>
      <c r="E2853" t="s">
        <v>848</v>
      </c>
      <c r="F2853" t="s">
        <v>13692</v>
      </c>
      <c r="G2853" t="s">
        <v>847</v>
      </c>
      <c r="H2853" t="s">
        <v>8524</v>
      </c>
      <c r="I2853" t="s">
        <v>13693</v>
      </c>
      <c r="J2853" s="2">
        <v>4621000</v>
      </c>
      <c r="K2853" s="2">
        <v>20000</v>
      </c>
      <c r="L2853" s="2">
        <v>30</v>
      </c>
      <c r="M2853" s="2">
        <v>0</v>
      </c>
      <c r="N2853" t="s">
        <v>2571</v>
      </c>
      <c r="O2853" t="s">
        <v>2572</v>
      </c>
      <c r="P2853" t="s">
        <v>2320</v>
      </c>
      <c r="Q2853" t="s">
        <v>2321</v>
      </c>
      <c r="S2853" t="s">
        <v>13694</v>
      </c>
      <c r="T2853" t="s">
        <v>3855</v>
      </c>
      <c r="U2853" t="s">
        <v>45</v>
      </c>
      <c r="V2853" t="s">
        <v>46</v>
      </c>
      <c r="W2853" t="s">
        <v>2571</v>
      </c>
      <c r="X2853" t="s">
        <v>2572</v>
      </c>
      <c r="Y2853" t="s">
        <v>2399</v>
      </c>
      <c r="Z2853" t="s">
        <v>2400</v>
      </c>
      <c r="AA2853" t="s">
        <v>49</v>
      </c>
      <c r="AB2853" t="s">
        <v>50</v>
      </c>
      <c r="AC2853" s="2">
        <v>1757870.63</v>
      </c>
      <c r="AD2853" t="s">
        <v>13695</v>
      </c>
      <c r="AE2853" t="s">
        <v>115</v>
      </c>
    </row>
    <row r="2854" spans="1:31" x14ac:dyDescent="0.25">
      <c r="A2854" t="s">
        <v>13696</v>
      </c>
      <c r="B2854" t="s">
        <v>13697</v>
      </c>
      <c r="C2854" t="s">
        <v>13697</v>
      </c>
      <c r="D2854" t="s">
        <v>577</v>
      </c>
      <c r="E2854" t="s">
        <v>134</v>
      </c>
      <c r="F2854" t="s">
        <v>13698</v>
      </c>
      <c r="H2854" t="s">
        <v>358</v>
      </c>
      <c r="J2854" s="2">
        <v>65451</v>
      </c>
      <c r="K2854" s="2">
        <v>300</v>
      </c>
      <c r="L2854" s="2">
        <v>1</v>
      </c>
      <c r="M2854" s="2">
        <v>0</v>
      </c>
      <c r="N2854" t="s">
        <v>360</v>
      </c>
      <c r="O2854" t="s">
        <v>361</v>
      </c>
      <c r="P2854" t="s">
        <v>42</v>
      </c>
      <c r="Q2854" t="s">
        <v>43</v>
      </c>
      <c r="S2854" t="s">
        <v>13699</v>
      </c>
      <c r="T2854" t="s">
        <v>3855</v>
      </c>
      <c r="U2854" t="s">
        <v>45</v>
      </c>
      <c r="V2854" t="s">
        <v>46</v>
      </c>
      <c r="W2854" t="s">
        <v>360</v>
      </c>
      <c r="X2854" t="s">
        <v>361</v>
      </c>
      <c r="Y2854" t="s">
        <v>47</v>
      </c>
      <c r="Z2854" t="s">
        <v>48</v>
      </c>
      <c r="AA2854" t="s">
        <v>49</v>
      </c>
      <c r="AB2854" t="s">
        <v>50</v>
      </c>
      <c r="AC2854" s="2">
        <v>65451</v>
      </c>
      <c r="AD2854" t="s">
        <v>64</v>
      </c>
    </row>
    <row r="2855" spans="1:31" x14ac:dyDescent="0.25">
      <c r="A2855" t="s">
        <v>13700</v>
      </c>
      <c r="B2855" t="s">
        <v>13701</v>
      </c>
      <c r="C2855" t="s">
        <v>13701</v>
      </c>
      <c r="D2855" t="s">
        <v>569</v>
      </c>
      <c r="E2855" t="s">
        <v>570</v>
      </c>
      <c r="F2855" t="s">
        <v>13702</v>
      </c>
      <c r="G2855" t="s">
        <v>569</v>
      </c>
      <c r="H2855" t="s">
        <v>238</v>
      </c>
      <c r="I2855" t="s">
        <v>13703</v>
      </c>
      <c r="J2855" s="2">
        <v>654510</v>
      </c>
      <c r="K2855" s="2">
        <v>3000</v>
      </c>
      <c r="L2855" s="2">
        <v>21</v>
      </c>
      <c r="M2855" s="2">
        <v>0</v>
      </c>
      <c r="N2855" t="s">
        <v>118</v>
      </c>
      <c r="O2855" t="s">
        <v>119</v>
      </c>
      <c r="P2855" t="s">
        <v>120</v>
      </c>
      <c r="Q2855" t="s">
        <v>121</v>
      </c>
      <c r="S2855" t="s">
        <v>13704</v>
      </c>
      <c r="T2855" t="s">
        <v>4494</v>
      </c>
      <c r="U2855" t="s">
        <v>45</v>
      </c>
      <c r="V2855" t="s">
        <v>46</v>
      </c>
      <c r="W2855" t="s">
        <v>118</v>
      </c>
      <c r="X2855" t="s">
        <v>119</v>
      </c>
      <c r="Y2855" t="s">
        <v>121</v>
      </c>
      <c r="Z2855" t="s">
        <v>94</v>
      </c>
      <c r="AA2855" t="s">
        <v>49</v>
      </c>
      <c r="AB2855" t="s">
        <v>50</v>
      </c>
      <c r="AC2855" s="2">
        <v>604050.53</v>
      </c>
      <c r="AD2855" t="s">
        <v>13705</v>
      </c>
      <c r="AE2855" t="s">
        <v>115</v>
      </c>
    </row>
    <row r="2856" spans="1:31" x14ac:dyDescent="0.25">
      <c r="A2856" t="s">
        <v>13706</v>
      </c>
      <c r="B2856" t="s">
        <v>13707</v>
      </c>
      <c r="C2856" t="s">
        <v>13707</v>
      </c>
      <c r="D2856" t="s">
        <v>125</v>
      </c>
      <c r="E2856" t="s">
        <v>126</v>
      </c>
      <c r="F2856" t="s">
        <v>13708</v>
      </c>
      <c r="G2856" t="s">
        <v>847</v>
      </c>
      <c r="H2856" t="s">
        <v>10361</v>
      </c>
      <c r="I2856" t="s">
        <v>13709</v>
      </c>
      <c r="J2856" s="2">
        <v>2198700</v>
      </c>
      <c r="K2856" s="2">
        <v>10000</v>
      </c>
      <c r="L2856" s="2">
        <v>30</v>
      </c>
      <c r="M2856" s="2">
        <v>0</v>
      </c>
      <c r="N2856" t="s">
        <v>10362</v>
      </c>
      <c r="O2856" t="s">
        <v>10361</v>
      </c>
      <c r="P2856" t="s">
        <v>10093</v>
      </c>
      <c r="Q2856" t="s">
        <v>10094</v>
      </c>
      <c r="S2856" t="s">
        <v>13710</v>
      </c>
      <c r="T2856" t="s">
        <v>2661</v>
      </c>
      <c r="U2856" t="s">
        <v>45</v>
      </c>
      <c r="V2856" t="s">
        <v>46</v>
      </c>
      <c r="W2856" t="s">
        <v>10362</v>
      </c>
      <c r="X2856" t="s">
        <v>10361</v>
      </c>
      <c r="Y2856" t="s">
        <v>279</v>
      </c>
      <c r="Z2856" t="s">
        <v>280</v>
      </c>
      <c r="AA2856" t="s">
        <v>49</v>
      </c>
      <c r="AB2856" t="s">
        <v>50</v>
      </c>
      <c r="AC2856" s="2">
        <v>1728249.74</v>
      </c>
      <c r="AD2856" t="s">
        <v>13711</v>
      </c>
      <c r="AE2856" t="s">
        <v>52</v>
      </c>
    </row>
    <row r="2857" spans="1:31" x14ac:dyDescent="0.25">
      <c r="A2857" t="s">
        <v>13712</v>
      </c>
      <c r="B2857" t="s">
        <v>13713</v>
      </c>
      <c r="C2857" t="s">
        <v>13713</v>
      </c>
      <c r="D2857" t="s">
        <v>178</v>
      </c>
      <c r="E2857" t="s">
        <v>179</v>
      </c>
      <c r="F2857" t="s">
        <v>13714</v>
      </c>
      <c r="G2857" t="s">
        <v>178</v>
      </c>
      <c r="H2857" t="s">
        <v>1211</v>
      </c>
      <c r="I2857" t="s">
        <v>13715</v>
      </c>
      <c r="J2857" s="2">
        <v>218170</v>
      </c>
      <c r="K2857" s="2">
        <v>1000</v>
      </c>
      <c r="L2857" s="2">
        <v>15</v>
      </c>
      <c r="M2857" s="2">
        <v>0</v>
      </c>
      <c r="N2857" t="s">
        <v>1210</v>
      </c>
      <c r="O2857" t="s">
        <v>1211</v>
      </c>
      <c r="P2857" t="s">
        <v>1421</v>
      </c>
      <c r="Q2857" t="s">
        <v>1422</v>
      </c>
      <c r="S2857" t="s">
        <v>13716</v>
      </c>
      <c r="T2857" t="s">
        <v>2661</v>
      </c>
      <c r="U2857" t="s">
        <v>45</v>
      </c>
      <c r="V2857" t="s">
        <v>46</v>
      </c>
      <c r="W2857" t="s">
        <v>1210</v>
      </c>
      <c r="X2857" t="s">
        <v>1211</v>
      </c>
      <c r="Y2857" t="s">
        <v>1215</v>
      </c>
      <c r="Z2857" t="s">
        <v>1216</v>
      </c>
      <c r="AA2857" t="s">
        <v>49</v>
      </c>
      <c r="AB2857" t="s">
        <v>50</v>
      </c>
      <c r="AC2857" s="2">
        <v>62214.8</v>
      </c>
      <c r="AD2857" t="s">
        <v>13717</v>
      </c>
      <c r="AE2857" t="s">
        <v>52</v>
      </c>
    </row>
    <row r="2858" spans="1:31" x14ac:dyDescent="0.25">
      <c r="A2858" t="s">
        <v>13718</v>
      </c>
      <c r="B2858" t="s">
        <v>13719</v>
      </c>
      <c r="C2858" t="s">
        <v>8700</v>
      </c>
      <c r="D2858" t="s">
        <v>153</v>
      </c>
      <c r="E2858" t="s">
        <v>272</v>
      </c>
      <c r="F2858" t="s">
        <v>8701</v>
      </c>
      <c r="G2858" t="s">
        <v>153</v>
      </c>
      <c r="H2858" t="s">
        <v>7828</v>
      </c>
      <c r="I2858" t="s">
        <v>8702</v>
      </c>
      <c r="J2858" s="2">
        <v>218170</v>
      </c>
      <c r="K2858" s="2">
        <v>1000</v>
      </c>
      <c r="L2858" s="2">
        <v>30</v>
      </c>
      <c r="M2858" s="2">
        <v>0</v>
      </c>
      <c r="N2858" t="s">
        <v>664</v>
      </c>
      <c r="O2858" t="s">
        <v>665</v>
      </c>
      <c r="P2858" t="s">
        <v>103</v>
      </c>
      <c r="Q2858" t="s">
        <v>104</v>
      </c>
      <c r="S2858" t="s">
        <v>13720</v>
      </c>
      <c r="T2858" t="s">
        <v>2661</v>
      </c>
      <c r="U2858" t="s">
        <v>45</v>
      </c>
      <c r="V2858" t="s">
        <v>46</v>
      </c>
      <c r="W2858" t="s">
        <v>664</v>
      </c>
      <c r="X2858" t="s">
        <v>665</v>
      </c>
      <c r="Y2858" t="s">
        <v>106</v>
      </c>
      <c r="Z2858" t="s">
        <v>107</v>
      </c>
      <c r="AA2858" t="s">
        <v>49</v>
      </c>
      <c r="AB2858" t="s">
        <v>50</v>
      </c>
      <c r="AC2858" s="2">
        <v>114102.59</v>
      </c>
      <c r="AD2858" t="s">
        <v>13721</v>
      </c>
      <c r="AE2858" t="s">
        <v>52</v>
      </c>
    </row>
    <row r="2859" spans="1:31" x14ac:dyDescent="0.25">
      <c r="A2859" t="s">
        <v>13722</v>
      </c>
      <c r="B2859" t="s">
        <v>13723</v>
      </c>
      <c r="C2859" t="s">
        <v>13723</v>
      </c>
      <c r="D2859" t="s">
        <v>178</v>
      </c>
      <c r="E2859" t="s">
        <v>179</v>
      </c>
      <c r="F2859" t="s">
        <v>13724</v>
      </c>
      <c r="G2859" t="s">
        <v>178</v>
      </c>
      <c r="H2859" t="s">
        <v>12118</v>
      </c>
      <c r="I2859" t="s">
        <v>13725</v>
      </c>
      <c r="J2859" s="2">
        <v>218170</v>
      </c>
      <c r="K2859" s="2">
        <v>1000</v>
      </c>
      <c r="L2859" s="2">
        <v>15</v>
      </c>
      <c r="M2859" s="2">
        <v>0</v>
      </c>
      <c r="N2859" t="s">
        <v>80</v>
      </c>
      <c r="O2859" t="s">
        <v>81</v>
      </c>
      <c r="P2859" t="s">
        <v>557</v>
      </c>
      <c r="Q2859" t="s">
        <v>558</v>
      </c>
      <c r="S2859" t="s">
        <v>13726</v>
      </c>
      <c r="T2859" t="s">
        <v>2661</v>
      </c>
      <c r="U2859" t="s">
        <v>45</v>
      </c>
      <c r="V2859" t="s">
        <v>46</v>
      </c>
      <c r="W2859" t="s">
        <v>80</v>
      </c>
      <c r="X2859" t="s">
        <v>81</v>
      </c>
      <c r="Y2859" t="s">
        <v>85</v>
      </c>
      <c r="Z2859" t="s">
        <v>86</v>
      </c>
      <c r="AA2859" t="s">
        <v>49</v>
      </c>
      <c r="AB2859" t="s">
        <v>50</v>
      </c>
      <c r="AC2859" s="2">
        <v>187119.63</v>
      </c>
      <c r="AD2859" t="s">
        <v>13727</v>
      </c>
      <c r="AE2859" t="s">
        <v>52</v>
      </c>
    </row>
    <row r="2860" spans="1:31" x14ac:dyDescent="0.25">
      <c r="A2860" t="s">
        <v>13728</v>
      </c>
      <c r="B2860" t="s">
        <v>13729</v>
      </c>
      <c r="C2860" t="s">
        <v>13729</v>
      </c>
      <c r="D2860" t="s">
        <v>1289</v>
      </c>
      <c r="E2860" t="s">
        <v>224</v>
      </c>
      <c r="F2860" t="s">
        <v>13730</v>
      </c>
      <c r="G2860" t="s">
        <v>333</v>
      </c>
      <c r="H2860" t="s">
        <v>4761</v>
      </c>
      <c r="I2860" t="s">
        <v>13731</v>
      </c>
      <c r="J2860" s="2">
        <v>218170</v>
      </c>
      <c r="K2860" s="2">
        <v>1000</v>
      </c>
      <c r="L2860" s="2">
        <v>15</v>
      </c>
      <c r="M2860" s="2">
        <v>0</v>
      </c>
      <c r="N2860" t="s">
        <v>4763</v>
      </c>
      <c r="O2860" t="s">
        <v>4764</v>
      </c>
      <c r="P2860" t="s">
        <v>1421</v>
      </c>
      <c r="Q2860" t="s">
        <v>1422</v>
      </c>
      <c r="S2860" t="s">
        <v>13732</v>
      </c>
      <c r="T2860" t="s">
        <v>133</v>
      </c>
      <c r="U2860" t="s">
        <v>45</v>
      </c>
      <c r="V2860" t="s">
        <v>46</v>
      </c>
      <c r="W2860" t="s">
        <v>4763</v>
      </c>
      <c r="X2860" t="s">
        <v>4764</v>
      </c>
      <c r="Y2860" t="s">
        <v>1215</v>
      </c>
      <c r="Z2860" t="s">
        <v>1216</v>
      </c>
      <c r="AA2860" t="s">
        <v>49</v>
      </c>
      <c r="AB2860" t="s">
        <v>50</v>
      </c>
      <c r="AC2860" s="2">
        <v>218170</v>
      </c>
      <c r="AD2860" t="s">
        <v>64</v>
      </c>
    </row>
    <row r="2861" spans="1:31" x14ac:dyDescent="0.25">
      <c r="A2861" t="s">
        <v>13733</v>
      </c>
      <c r="B2861" t="s">
        <v>13734</v>
      </c>
      <c r="C2861" t="s">
        <v>13734</v>
      </c>
      <c r="D2861" t="s">
        <v>178</v>
      </c>
      <c r="E2861" t="s">
        <v>179</v>
      </c>
      <c r="F2861" t="s">
        <v>13735</v>
      </c>
      <c r="G2861" t="s">
        <v>299</v>
      </c>
      <c r="H2861" t="s">
        <v>9783</v>
      </c>
      <c r="I2861" t="s">
        <v>13736</v>
      </c>
      <c r="J2861" s="2">
        <v>218170</v>
      </c>
      <c r="K2861" s="2">
        <v>1000</v>
      </c>
      <c r="L2861" s="2">
        <v>15</v>
      </c>
      <c r="M2861" s="2">
        <v>0</v>
      </c>
      <c r="N2861" t="s">
        <v>1427</v>
      </c>
      <c r="O2861" t="s">
        <v>1428</v>
      </c>
      <c r="P2861" t="s">
        <v>82</v>
      </c>
      <c r="Q2861" t="s">
        <v>83</v>
      </c>
      <c r="S2861" t="s">
        <v>13737</v>
      </c>
      <c r="T2861" t="s">
        <v>1846</v>
      </c>
      <c r="U2861" t="s">
        <v>45</v>
      </c>
      <c r="V2861" t="s">
        <v>46</v>
      </c>
      <c r="W2861" t="s">
        <v>1427</v>
      </c>
      <c r="X2861" t="s">
        <v>1430</v>
      </c>
      <c r="Y2861" t="s">
        <v>85</v>
      </c>
      <c r="Z2861" t="s">
        <v>86</v>
      </c>
      <c r="AA2861" t="s">
        <v>49</v>
      </c>
      <c r="AB2861" t="s">
        <v>50</v>
      </c>
      <c r="AC2861" s="2">
        <v>218170</v>
      </c>
      <c r="AD2861" t="s">
        <v>64</v>
      </c>
    </row>
    <row r="2862" spans="1:31" hidden="1" x14ac:dyDescent="0.25">
      <c r="A2862" t="s">
        <v>13738</v>
      </c>
      <c r="B2862" t="s">
        <v>13739</v>
      </c>
      <c r="C2862" t="s">
        <v>13739</v>
      </c>
      <c r="F2862" t="s">
        <v>13740</v>
      </c>
      <c r="H2862" t="s">
        <v>3230</v>
      </c>
      <c r="I2862" t="s">
        <v>13741</v>
      </c>
      <c r="J2862" s="2">
        <v>218170</v>
      </c>
      <c r="K2862" s="2">
        <v>1000</v>
      </c>
      <c r="L2862" s="2">
        <v>15</v>
      </c>
      <c r="M2862" s="2">
        <v>0</v>
      </c>
      <c r="N2862" t="s">
        <v>3232</v>
      </c>
      <c r="O2862" t="s">
        <v>3233</v>
      </c>
      <c r="P2862" t="s">
        <v>1363</v>
      </c>
      <c r="Q2862" t="s">
        <v>1364</v>
      </c>
      <c r="S2862" t="s">
        <v>13742</v>
      </c>
      <c r="T2862" t="s">
        <v>1846</v>
      </c>
      <c r="U2862" t="s">
        <v>45</v>
      </c>
      <c r="V2862" t="s">
        <v>46</v>
      </c>
      <c r="W2862" t="s">
        <v>3232</v>
      </c>
      <c r="X2862" t="s">
        <v>3233</v>
      </c>
      <c r="Y2862" t="s">
        <v>1215</v>
      </c>
      <c r="Z2862" t="s">
        <v>1216</v>
      </c>
      <c r="AA2862" t="s">
        <v>49</v>
      </c>
      <c r="AB2862" t="s">
        <v>50</v>
      </c>
      <c r="AC2862" s="2">
        <v>218170</v>
      </c>
      <c r="AD2862" t="s">
        <v>64</v>
      </c>
    </row>
    <row r="2863" spans="1:31" hidden="1" x14ac:dyDescent="0.25">
      <c r="A2863" t="s">
        <v>13743</v>
      </c>
      <c r="B2863" t="s">
        <v>13744</v>
      </c>
      <c r="C2863" t="s">
        <v>13744</v>
      </c>
      <c r="F2863" t="s">
        <v>13745</v>
      </c>
      <c r="H2863" t="s">
        <v>11652</v>
      </c>
      <c r="I2863" t="s">
        <v>13746</v>
      </c>
      <c r="J2863" s="2">
        <v>218170</v>
      </c>
      <c r="K2863" s="2">
        <v>1000</v>
      </c>
      <c r="L2863" s="2">
        <v>15</v>
      </c>
      <c r="M2863" s="2">
        <v>0</v>
      </c>
      <c r="N2863" t="s">
        <v>11654</v>
      </c>
      <c r="O2863" t="s">
        <v>11652</v>
      </c>
      <c r="P2863" t="s">
        <v>3534</v>
      </c>
      <c r="Q2863" t="s">
        <v>3535</v>
      </c>
      <c r="S2863" t="s">
        <v>13747</v>
      </c>
      <c r="T2863" t="s">
        <v>1846</v>
      </c>
      <c r="U2863" t="s">
        <v>45</v>
      </c>
      <c r="V2863" t="s">
        <v>46</v>
      </c>
      <c r="W2863" t="s">
        <v>11654</v>
      </c>
      <c r="X2863" t="s">
        <v>11652</v>
      </c>
      <c r="Y2863" t="s">
        <v>137</v>
      </c>
      <c r="Z2863" t="s">
        <v>717</v>
      </c>
      <c r="AA2863" t="s">
        <v>49</v>
      </c>
      <c r="AB2863" t="s">
        <v>50</v>
      </c>
      <c r="AC2863" s="2">
        <v>218170</v>
      </c>
      <c r="AD2863" t="s">
        <v>64</v>
      </c>
    </row>
    <row r="2864" spans="1:31" x14ac:dyDescent="0.25">
      <c r="A2864" t="s">
        <v>13748</v>
      </c>
      <c r="B2864" t="s">
        <v>13749</v>
      </c>
      <c r="C2864" t="s">
        <v>13749</v>
      </c>
      <c r="D2864" t="s">
        <v>125</v>
      </c>
      <c r="E2864" t="s">
        <v>126</v>
      </c>
      <c r="F2864" t="s">
        <v>13750</v>
      </c>
      <c r="G2864" t="s">
        <v>125</v>
      </c>
      <c r="H2864" t="s">
        <v>13751</v>
      </c>
      <c r="I2864" t="s">
        <v>7385</v>
      </c>
      <c r="J2864" s="2">
        <v>13090200</v>
      </c>
      <c r="K2864" s="2">
        <v>60000</v>
      </c>
      <c r="L2864" s="2">
        <v>45</v>
      </c>
      <c r="M2864" s="2">
        <v>0</v>
      </c>
      <c r="N2864" t="s">
        <v>13752</v>
      </c>
      <c r="O2864" t="s">
        <v>13753</v>
      </c>
      <c r="P2864" t="s">
        <v>2320</v>
      </c>
      <c r="Q2864" t="s">
        <v>2321</v>
      </c>
      <c r="S2864" t="s">
        <v>13754</v>
      </c>
      <c r="T2864" t="s">
        <v>1846</v>
      </c>
      <c r="U2864" t="s">
        <v>45</v>
      </c>
      <c r="V2864" t="s">
        <v>46</v>
      </c>
      <c r="W2864" t="s">
        <v>13752</v>
      </c>
      <c r="X2864" t="s">
        <v>13755</v>
      </c>
      <c r="Y2864" t="s">
        <v>5743</v>
      </c>
      <c r="Z2864" t="s">
        <v>5744</v>
      </c>
      <c r="AA2864" t="s">
        <v>49</v>
      </c>
      <c r="AB2864" t="s">
        <v>50</v>
      </c>
      <c r="AC2864" s="2">
        <v>11331680.550000001</v>
      </c>
      <c r="AD2864" t="s">
        <v>13756</v>
      </c>
      <c r="AE2864" t="s">
        <v>115</v>
      </c>
    </row>
    <row r="2865" spans="1:31" x14ac:dyDescent="0.25">
      <c r="A2865" t="s">
        <v>13757</v>
      </c>
      <c r="B2865" t="s">
        <v>13758</v>
      </c>
      <c r="C2865" t="s">
        <v>13758</v>
      </c>
      <c r="D2865" t="s">
        <v>1865</v>
      </c>
      <c r="E2865" t="s">
        <v>224</v>
      </c>
      <c r="F2865" t="s">
        <v>13759</v>
      </c>
      <c r="G2865" t="s">
        <v>1846</v>
      </c>
      <c r="H2865" t="s">
        <v>2831</v>
      </c>
      <c r="I2865" t="s">
        <v>13760</v>
      </c>
      <c r="J2865" s="2">
        <v>218170</v>
      </c>
      <c r="K2865" s="2">
        <v>1000</v>
      </c>
      <c r="L2865" s="2">
        <v>15</v>
      </c>
      <c r="M2865" s="2">
        <v>0</v>
      </c>
      <c r="N2865" t="s">
        <v>80</v>
      </c>
      <c r="O2865" t="s">
        <v>81</v>
      </c>
      <c r="P2865" t="s">
        <v>557</v>
      </c>
      <c r="Q2865" t="s">
        <v>558</v>
      </c>
      <c r="S2865" t="s">
        <v>13761</v>
      </c>
      <c r="T2865" t="s">
        <v>1846</v>
      </c>
      <c r="U2865" t="s">
        <v>45</v>
      </c>
      <c r="V2865" t="s">
        <v>46</v>
      </c>
      <c r="W2865" t="s">
        <v>80</v>
      </c>
      <c r="X2865" t="s">
        <v>81</v>
      </c>
      <c r="Y2865" t="s">
        <v>85</v>
      </c>
      <c r="Z2865" t="s">
        <v>86</v>
      </c>
      <c r="AA2865" t="s">
        <v>49</v>
      </c>
      <c r="AB2865" t="s">
        <v>50</v>
      </c>
      <c r="AC2865" s="2">
        <v>218170</v>
      </c>
      <c r="AD2865" t="s">
        <v>64</v>
      </c>
    </row>
    <row r="2866" spans="1:31" x14ac:dyDescent="0.25">
      <c r="A2866" t="s">
        <v>13762</v>
      </c>
      <c r="B2866" t="s">
        <v>13763</v>
      </c>
      <c r="C2866" t="s">
        <v>13763</v>
      </c>
      <c r="D2866" t="s">
        <v>125</v>
      </c>
      <c r="E2866" t="s">
        <v>126</v>
      </c>
      <c r="F2866" t="s">
        <v>13764</v>
      </c>
      <c r="G2866" t="s">
        <v>125</v>
      </c>
      <c r="H2866" t="s">
        <v>10105</v>
      </c>
      <c r="I2866" t="s">
        <v>13765</v>
      </c>
      <c r="J2866" s="2">
        <v>469740</v>
      </c>
      <c r="K2866" s="2">
        <v>2000</v>
      </c>
      <c r="L2866" s="2">
        <v>30</v>
      </c>
      <c r="M2866" s="2">
        <v>0</v>
      </c>
      <c r="N2866" t="s">
        <v>10106</v>
      </c>
      <c r="O2866" t="s">
        <v>10105</v>
      </c>
      <c r="P2866" t="s">
        <v>10093</v>
      </c>
      <c r="Q2866" t="s">
        <v>10094</v>
      </c>
      <c r="S2866" t="s">
        <v>13766</v>
      </c>
      <c r="T2866" t="s">
        <v>3402</v>
      </c>
      <c r="U2866" t="s">
        <v>45</v>
      </c>
      <c r="V2866" t="s">
        <v>46</v>
      </c>
      <c r="W2866" t="s">
        <v>10106</v>
      </c>
      <c r="X2866" t="s">
        <v>10105</v>
      </c>
      <c r="Y2866" t="s">
        <v>7938</v>
      </c>
      <c r="Z2866" t="s">
        <v>7939</v>
      </c>
      <c r="AA2866" t="s">
        <v>49</v>
      </c>
      <c r="AB2866" t="s">
        <v>50</v>
      </c>
      <c r="AC2866" s="2">
        <v>382395.73</v>
      </c>
      <c r="AD2866" t="s">
        <v>13767</v>
      </c>
      <c r="AE2866" t="s">
        <v>52</v>
      </c>
    </row>
    <row r="2867" spans="1:31" x14ac:dyDescent="0.25">
      <c r="A2867" t="s">
        <v>13768</v>
      </c>
      <c r="B2867" t="s">
        <v>13769</v>
      </c>
      <c r="C2867" t="s">
        <v>13769</v>
      </c>
      <c r="D2867" t="s">
        <v>553</v>
      </c>
      <c r="E2867" t="s">
        <v>167</v>
      </c>
      <c r="F2867" t="s">
        <v>13770</v>
      </c>
      <c r="G2867" t="s">
        <v>553</v>
      </c>
      <c r="H2867" t="s">
        <v>10695</v>
      </c>
      <c r="I2867" t="s">
        <v>13771</v>
      </c>
      <c r="J2867" s="2">
        <v>218170</v>
      </c>
      <c r="K2867" s="2">
        <v>1000</v>
      </c>
      <c r="L2867" s="2">
        <v>15</v>
      </c>
      <c r="M2867" s="2">
        <v>0</v>
      </c>
      <c r="N2867" t="s">
        <v>80</v>
      </c>
      <c r="O2867" t="s">
        <v>81</v>
      </c>
      <c r="P2867" t="s">
        <v>82</v>
      </c>
      <c r="Q2867" t="s">
        <v>83</v>
      </c>
      <c r="S2867" t="s">
        <v>13772</v>
      </c>
      <c r="T2867" t="s">
        <v>4391</v>
      </c>
      <c r="U2867" t="s">
        <v>45</v>
      </c>
      <c r="V2867" t="s">
        <v>46</v>
      </c>
      <c r="W2867" t="s">
        <v>80</v>
      </c>
      <c r="X2867" t="s">
        <v>81</v>
      </c>
      <c r="Y2867" t="s">
        <v>85</v>
      </c>
      <c r="Z2867" t="s">
        <v>86</v>
      </c>
      <c r="AA2867" t="s">
        <v>49</v>
      </c>
      <c r="AB2867" t="s">
        <v>50</v>
      </c>
      <c r="AC2867" s="2">
        <v>181959.04000000001</v>
      </c>
      <c r="AD2867" t="s">
        <v>13773</v>
      </c>
      <c r="AE2867" t="s">
        <v>52</v>
      </c>
    </row>
    <row r="2868" spans="1:31" hidden="1" x14ac:dyDescent="0.25">
      <c r="A2868" t="s">
        <v>13774</v>
      </c>
      <c r="B2868" t="s">
        <v>13775</v>
      </c>
      <c r="C2868" t="s">
        <v>13775</v>
      </c>
      <c r="F2868" t="s">
        <v>13776</v>
      </c>
      <c r="H2868" t="s">
        <v>13777</v>
      </c>
      <c r="I2868" t="s">
        <v>13778</v>
      </c>
      <c r="J2868" s="2">
        <v>218170</v>
      </c>
      <c r="K2868" s="2">
        <v>1000</v>
      </c>
      <c r="L2868" s="2">
        <v>15</v>
      </c>
      <c r="M2868" s="2">
        <v>0</v>
      </c>
      <c r="N2868" t="s">
        <v>254</v>
      </c>
      <c r="O2868" t="s">
        <v>255</v>
      </c>
      <c r="P2868" t="s">
        <v>3534</v>
      </c>
      <c r="Q2868" t="s">
        <v>3535</v>
      </c>
      <c r="S2868" t="s">
        <v>13779</v>
      </c>
      <c r="T2868" t="s">
        <v>4391</v>
      </c>
      <c r="U2868" t="s">
        <v>45</v>
      </c>
      <c r="V2868" t="s">
        <v>46</v>
      </c>
      <c r="W2868" t="s">
        <v>254</v>
      </c>
      <c r="X2868" t="s">
        <v>255</v>
      </c>
      <c r="Y2868" t="s">
        <v>137</v>
      </c>
      <c r="Z2868" t="s">
        <v>717</v>
      </c>
      <c r="AA2868" t="s">
        <v>49</v>
      </c>
      <c r="AB2868" t="s">
        <v>50</v>
      </c>
      <c r="AC2868" s="2">
        <v>218170</v>
      </c>
      <c r="AD2868" t="s">
        <v>64</v>
      </c>
    </row>
    <row r="2869" spans="1:31" x14ac:dyDescent="0.25">
      <c r="A2869" t="s">
        <v>13780</v>
      </c>
      <c r="B2869" t="s">
        <v>13781</v>
      </c>
      <c r="C2869" t="s">
        <v>13781</v>
      </c>
      <c r="D2869" t="s">
        <v>166</v>
      </c>
      <c r="E2869" t="s">
        <v>167</v>
      </c>
      <c r="F2869" t="s">
        <v>13782</v>
      </c>
      <c r="G2869" t="s">
        <v>166</v>
      </c>
      <c r="H2869" t="s">
        <v>1901</v>
      </c>
      <c r="I2869" t="s">
        <v>13783</v>
      </c>
      <c r="J2869" s="2">
        <v>218170</v>
      </c>
      <c r="K2869" s="2">
        <v>1000</v>
      </c>
      <c r="L2869" s="2">
        <v>7</v>
      </c>
      <c r="M2869" s="2">
        <v>0</v>
      </c>
      <c r="N2869" t="s">
        <v>1900</v>
      </c>
      <c r="O2869" t="s">
        <v>1901</v>
      </c>
      <c r="P2869" t="s">
        <v>158</v>
      </c>
      <c r="Q2869" t="s">
        <v>159</v>
      </c>
      <c r="S2869" t="s">
        <v>13784</v>
      </c>
      <c r="T2869" t="s">
        <v>4907</v>
      </c>
      <c r="U2869" t="s">
        <v>45</v>
      </c>
      <c r="V2869" t="s">
        <v>46</v>
      </c>
      <c r="W2869" t="s">
        <v>1900</v>
      </c>
      <c r="X2869" t="s">
        <v>1901</v>
      </c>
      <c r="Y2869" t="s">
        <v>161</v>
      </c>
      <c r="Z2869" t="s">
        <v>162</v>
      </c>
      <c r="AA2869" t="s">
        <v>49</v>
      </c>
      <c r="AB2869" t="s">
        <v>50</v>
      </c>
      <c r="AC2869" s="2">
        <v>218170</v>
      </c>
      <c r="AD2869" t="s">
        <v>64</v>
      </c>
    </row>
    <row r="2870" spans="1:31" x14ac:dyDescent="0.25">
      <c r="A2870" t="s">
        <v>13785</v>
      </c>
      <c r="B2870" t="s">
        <v>13786</v>
      </c>
      <c r="C2870" t="s">
        <v>13786</v>
      </c>
      <c r="D2870" t="s">
        <v>9774</v>
      </c>
      <c r="E2870" t="s">
        <v>134</v>
      </c>
      <c r="F2870" t="s">
        <v>13787</v>
      </c>
      <c r="G2870" t="s">
        <v>1094</v>
      </c>
      <c r="H2870" t="s">
        <v>8479</v>
      </c>
      <c r="I2870" t="s">
        <v>13788</v>
      </c>
      <c r="J2870" s="2">
        <v>218170</v>
      </c>
      <c r="K2870" s="2">
        <v>1000</v>
      </c>
      <c r="L2870" s="2">
        <v>7</v>
      </c>
      <c r="M2870" s="2">
        <v>0</v>
      </c>
      <c r="N2870" t="s">
        <v>1119</v>
      </c>
      <c r="O2870" t="s">
        <v>1120</v>
      </c>
      <c r="P2870" t="s">
        <v>256</v>
      </c>
      <c r="Q2870" t="s">
        <v>255</v>
      </c>
      <c r="S2870" t="s">
        <v>13789</v>
      </c>
      <c r="T2870" t="s">
        <v>4907</v>
      </c>
      <c r="U2870" t="s">
        <v>45</v>
      </c>
      <c r="V2870" t="s">
        <v>46</v>
      </c>
      <c r="W2870" t="s">
        <v>1119</v>
      </c>
      <c r="X2870" t="s">
        <v>1120</v>
      </c>
      <c r="Y2870" t="s">
        <v>1122</v>
      </c>
      <c r="Z2870" t="s">
        <v>1122</v>
      </c>
      <c r="AA2870" t="s">
        <v>49</v>
      </c>
      <c r="AB2870" t="s">
        <v>50</v>
      </c>
      <c r="AC2870" s="2">
        <v>218170</v>
      </c>
      <c r="AD2870" t="s">
        <v>64</v>
      </c>
    </row>
    <row r="2871" spans="1:31" x14ac:dyDescent="0.25">
      <c r="A2871" t="s">
        <v>13790</v>
      </c>
      <c r="B2871" t="s">
        <v>13791</v>
      </c>
      <c r="C2871" t="s">
        <v>13791</v>
      </c>
      <c r="D2871" t="s">
        <v>847</v>
      </c>
      <c r="E2871" t="s">
        <v>848</v>
      </c>
      <c r="F2871" t="s">
        <v>13792</v>
      </c>
      <c r="G2871" t="s">
        <v>847</v>
      </c>
      <c r="H2871" t="s">
        <v>10695</v>
      </c>
      <c r="I2871" t="s">
        <v>13793</v>
      </c>
      <c r="J2871" s="2">
        <v>1090850</v>
      </c>
      <c r="K2871" s="2">
        <v>5000</v>
      </c>
      <c r="L2871" s="2">
        <v>15</v>
      </c>
      <c r="M2871" s="2">
        <v>0</v>
      </c>
      <c r="N2871" t="s">
        <v>80</v>
      </c>
      <c r="O2871" t="s">
        <v>81</v>
      </c>
      <c r="P2871" t="s">
        <v>557</v>
      </c>
      <c r="Q2871" t="s">
        <v>558</v>
      </c>
      <c r="S2871" t="s">
        <v>13794</v>
      </c>
      <c r="T2871" t="s">
        <v>4907</v>
      </c>
      <c r="U2871" t="s">
        <v>45</v>
      </c>
      <c r="V2871" t="s">
        <v>46</v>
      </c>
      <c r="W2871" t="s">
        <v>80</v>
      </c>
      <c r="X2871" t="s">
        <v>81</v>
      </c>
      <c r="Y2871" t="s">
        <v>85</v>
      </c>
      <c r="Z2871" t="s">
        <v>86</v>
      </c>
      <c r="AA2871" t="s">
        <v>49</v>
      </c>
      <c r="AB2871" t="s">
        <v>50</v>
      </c>
      <c r="AC2871" s="2">
        <v>942134.81</v>
      </c>
      <c r="AD2871" t="s">
        <v>13795</v>
      </c>
      <c r="AE2871" t="s">
        <v>115</v>
      </c>
    </row>
    <row r="2872" spans="1:31" x14ac:dyDescent="0.25">
      <c r="A2872" t="s">
        <v>13796</v>
      </c>
      <c r="B2872" t="s">
        <v>10771</v>
      </c>
      <c r="C2872" t="s">
        <v>10771</v>
      </c>
      <c r="D2872" t="s">
        <v>1854</v>
      </c>
      <c r="E2872" t="s">
        <v>224</v>
      </c>
      <c r="F2872" t="s">
        <v>13797</v>
      </c>
      <c r="G2872" t="s">
        <v>2389</v>
      </c>
      <c r="H2872" t="s">
        <v>7090</v>
      </c>
      <c r="I2872" t="s">
        <v>13798</v>
      </c>
      <c r="J2872" s="2">
        <v>218170</v>
      </c>
      <c r="K2872" s="2">
        <v>1000</v>
      </c>
      <c r="L2872" s="2">
        <v>15</v>
      </c>
      <c r="M2872" s="2">
        <v>0</v>
      </c>
      <c r="N2872" t="s">
        <v>7089</v>
      </c>
      <c r="O2872" t="s">
        <v>7090</v>
      </c>
      <c r="P2872" t="s">
        <v>557</v>
      </c>
      <c r="Q2872" t="s">
        <v>558</v>
      </c>
      <c r="S2872" t="s">
        <v>13799</v>
      </c>
      <c r="T2872" t="s">
        <v>4907</v>
      </c>
      <c r="U2872" t="s">
        <v>45</v>
      </c>
      <c r="V2872" t="s">
        <v>46</v>
      </c>
      <c r="W2872" t="s">
        <v>7089</v>
      </c>
      <c r="X2872" t="s">
        <v>7090</v>
      </c>
      <c r="Y2872" t="s">
        <v>85</v>
      </c>
      <c r="Z2872" t="s">
        <v>86</v>
      </c>
      <c r="AA2872" t="s">
        <v>49</v>
      </c>
      <c r="AB2872" t="s">
        <v>50</v>
      </c>
      <c r="AC2872" s="2">
        <v>218170</v>
      </c>
      <c r="AD2872" t="s">
        <v>64</v>
      </c>
    </row>
    <row r="2873" spans="1:31" x14ac:dyDescent="0.25">
      <c r="A2873" t="s">
        <v>13800</v>
      </c>
      <c r="B2873" t="s">
        <v>13801</v>
      </c>
      <c r="C2873" t="s">
        <v>13801</v>
      </c>
      <c r="D2873" t="s">
        <v>847</v>
      </c>
      <c r="E2873" t="s">
        <v>848</v>
      </c>
      <c r="F2873" t="s">
        <v>13802</v>
      </c>
      <c r="G2873" t="s">
        <v>178</v>
      </c>
      <c r="H2873" t="s">
        <v>4943</v>
      </c>
      <c r="I2873" t="s">
        <v>13803</v>
      </c>
      <c r="J2873" s="2">
        <v>218170</v>
      </c>
      <c r="K2873" s="2">
        <v>1000</v>
      </c>
      <c r="L2873" s="2">
        <v>21</v>
      </c>
      <c r="M2873" s="2">
        <v>0</v>
      </c>
      <c r="N2873" t="s">
        <v>3121</v>
      </c>
      <c r="O2873" t="s">
        <v>3122</v>
      </c>
      <c r="P2873" t="s">
        <v>1212</v>
      </c>
      <c r="Q2873" t="s">
        <v>1213</v>
      </c>
      <c r="S2873" t="s">
        <v>13804</v>
      </c>
      <c r="T2873" t="s">
        <v>1329</v>
      </c>
      <c r="U2873" t="s">
        <v>45</v>
      </c>
      <c r="V2873" t="s">
        <v>46</v>
      </c>
      <c r="W2873" t="s">
        <v>3121</v>
      </c>
      <c r="X2873" t="s">
        <v>3124</v>
      </c>
      <c r="Y2873" t="s">
        <v>1215</v>
      </c>
      <c r="Z2873" t="s">
        <v>1216</v>
      </c>
      <c r="AA2873" t="s">
        <v>49</v>
      </c>
      <c r="AB2873" t="s">
        <v>50</v>
      </c>
      <c r="AC2873" s="2">
        <v>201398.67</v>
      </c>
      <c r="AD2873" t="s">
        <v>13805</v>
      </c>
      <c r="AE2873" t="s">
        <v>52</v>
      </c>
    </row>
    <row r="2874" spans="1:31" x14ac:dyDescent="0.25">
      <c r="A2874" t="s">
        <v>13806</v>
      </c>
      <c r="B2874" t="s">
        <v>13807</v>
      </c>
      <c r="C2874" t="s">
        <v>12534</v>
      </c>
      <c r="D2874" t="s">
        <v>1854</v>
      </c>
      <c r="E2874" t="s">
        <v>224</v>
      </c>
      <c r="F2874" t="s">
        <v>12535</v>
      </c>
      <c r="G2874" t="s">
        <v>1329</v>
      </c>
      <c r="H2874" t="s">
        <v>828</v>
      </c>
      <c r="I2874" t="s">
        <v>12536</v>
      </c>
      <c r="J2874" s="2">
        <v>2618040</v>
      </c>
      <c r="K2874" s="2">
        <v>12000</v>
      </c>
      <c r="L2874" s="2">
        <v>21</v>
      </c>
      <c r="M2874" s="2">
        <v>0</v>
      </c>
      <c r="N2874" t="s">
        <v>254</v>
      </c>
      <c r="O2874" t="s">
        <v>255</v>
      </c>
      <c r="P2874" t="s">
        <v>256</v>
      </c>
      <c r="Q2874" t="s">
        <v>255</v>
      </c>
      <c r="S2874" t="s">
        <v>13808</v>
      </c>
      <c r="T2874" t="s">
        <v>1329</v>
      </c>
      <c r="U2874" t="s">
        <v>45</v>
      </c>
      <c r="V2874" t="s">
        <v>46</v>
      </c>
      <c r="W2874" t="s">
        <v>254</v>
      </c>
      <c r="X2874" t="s">
        <v>255</v>
      </c>
      <c r="Y2874" t="s">
        <v>137</v>
      </c>
      <c r="Z2874" t="s">
        <v>717</v>
      </c>
      <c r="AA2874" t="s">
        <v>49</v>
      </c>
      <c r="AB2874" t="s">
        <v>50</v>
      </c>
      <c r="AC2874" s="2">
        <v>2618040</v>
      </c>
      <c r="AD2874" t="s">
        <v>64</v>
      </c>
    </row>
    <row r="2875" spans="1:31" x14ac:dyDescent="0.25">
      <c r="A2875" t="s">
        <v>13809</v>
      </c>
      <c r="B2875" t="s">
        <v>13810</v>
      </c>
      <c r="C2875" t="s">
        <v>13810</v>
      </c>
      <c r="D2875" t="s">
        <v>1633</v>
      </c>
      <c r="E2875" t="s">
        <v>1502</v>
      </c>
      <c r="F2875" t="s">
        <v>13811</v>
      </c>
      <c r="G2875" t="s">
        <v>819</v>
      </c>
      <c r="H2875" t="s">
        <v>13777</v>
      </c>
      <c r="I2875" t="s">
        <v>13812</v>
      </c>
      <c r="J2875" s="2">
        <v>1199935</v>
      </c>
      <c r="K2875" s="2">
        <v>5500</v>
      </c>
      <c r="L2875" s="2">
        <v>15</v>
      </c>
      <c r="M2875" s="2">
        <v>0</v>
      </c>
      <c r="N2875" t="s">
        <v>254</v>
      </c>
      <c r="O2875" t="s">
        <v>255</v>
      </c>
      <c r="P2875" t="s">
        <v>3534</v>
      </c>
      <c r="Q2875" t="s">
        <v>3535</v>
      </c>
      <c r="S2875" t="s">
        <v>13813</v>
      </c>
      <c r="T2875" t="s">
        <v>1329</v>
      </c>
      <c r="U2875" t="s">
        <v>45</v>
      </c>
      <c r="V2875" t="s">
        <v>46</v>
      </c>
      <c r="W2875" t="s">
        <v>254</v>
      </c>
      <c r="X2875" t="s">
        <v>255</v>
      </c>
      <c r="Y2875" t="s">
        <v>137</v>
      </c>
      <c r="Z2875" t="s">
        <v>717</v>
      </c>
      <c r="AA2875" t="s">
        <v>49</v>
      </c>
      <c r="AB2875" t="s">
        <v>50</v>
      </c>
      <c r="AC2875" s="2">
        <v>1173720</v>
      </c>
      <c r="AD2875" t="s">
        <v>13814</v>
      </c>
    </row>
    <row r="2876" spans="1:31" x14ac:dyDescent="0.25">
      <c r="A2876" t="s">
        <v>13815</v>
      </c>
      <c r="B2876" t="s">
        <v>13816</v>
      </c>
      <c r="C2876" t="s">
        <v>13816</v>
      </c>
      <c r="D2876" t="s">
        <v>178</v>
      </c>
      <c r="E2876" t="s">
        <v>179</v>
      </c>
      <c r="F2876" t="s">
        <v>13817</v>
      </c>
      <c r="G2876" t="s">
        <v>178</v>
      </c>
      <c r="H2876" t="s">
        <v>6419</v>
      </c>
      <c r="I2876" t="s">
        <v>13798</v>
      </c>
      <c r="J2876" s="2">
        <v>250896</v>
      </c>
      <c r="K2876" s="2">
        <v>1150</v>
      </c>
      <c r="L2876" s="2">
        <v>15</v>
      </c>
      <c r="M2876" s="2">
        <v>0</v>
      </c>
      <c r="N2876" t="s">
        <v>6029</v>
      </c>
      <c r="O2876" t="s">
        <v>6030</v>
      </c>
      <c r="P2876" t="s">
        <v>82</v>
      </c>
      <c r="Q2876" t="s">
        <v>83</v>
      </c>
      <c r="S2876" t="s">
        <v>13818</v>
      </c>
      <c r="T2876" t="s">
        <v>1329</v>
      </c>
      <c r="U2876" t="s">
        <v>45</v>
      </c>
      <c r="V2876" t="s">
        <v>46</v>
      </c>
      <c r="W2876" t="s">
        <v>6029</v>
      </c>
      <c r="X2876" t="s">
        <v>6030</v>
      </c>
      <c r="Y2876" t="s">
        <v>85</v>
      </c>
      <c r="Z2876" t="s">
        <v>86</v>
      </c>
      <c r="AA2876" t="s">
        <v>49</v>
      </c>
      <c r="AB2876" t="s">
        <v>50</v>
      </c>
      <c r="AC2876" s="2">
        <v>233314.62</v>
      </c>
      <c r="AD2876" t="s">
        <v>13819</v>
      </c>
      <c r="AE2876" t="s">
        <v>52</v>
      </c>
    </row>
    <row r="2877" spans="1:31" hidden="1" x14ac:dyDescent="0.25">
      <c r="A2877" t="s">
        <v>13820</v>
      </c>
      <c r="B2877" t="s">
        <v>13821</v>
      </c>
      <c r="C2877" t="s">
        <v>13821</v>
      </c>
      <c r="F2877" t="s">
        <v>13822</v>
      </c>
      <c r="H2877" t="s">
        <v>324</v>
      </c>
      <c r="I2877" t="s">
        <v>13823</v>
      </c>
      <c r="J2877" s="2">
        <v>218170</v>
      </c>
      <c r="K2877" s="2">
        <v>1000</v>
      </c>
      <c r="L2877" s="2">
        <v>21</v>
      </c>
      <c r="M2877" s="2">
        <v>0</v>
      </c>
      <c r="N2877" t="s">
        <v>326</v>
      </c>
      <c r="O2877" t="s">
        <v>327</v>
      </c>
      <c r="P2877" t="s">
        <v>120</v>
      </c>
      <c r="Q2877" t="s">
        <v>121</v>
      </c>
      <c r="S2877" t="s">
        <v>13824</v>
      </c>
      <c r="T2877" t="s">
        <v>13825</v>
      </c>
      <c r="U2877" t="s">
        <v>45</v>
      </c>
      <c r="V2877" t="s">
        <v>46</v>
      </c>
      <c r="W2877" t="s">
        <v>326</v>
      </c>
      <c r="X2877" t="s">
        <v>327</v>
      </c>
      <c r="Y2877" t="s">
        <v>121</v>
      </c>
      <c r="Z2877" t="s">
        <v>94</v>
      </c>
      <c r="AA2877" t="s">
        <v>49</v>
      </c>
      <c r="AB2877" t="s">
        <v>50</v>
      </c>
      <c r="AC2877" s="2">
        <v>218170</v>
      </c>
      <c r="AD2877" t="s">
        <v>64</v>
      </c>
    </row>
    <row r="2878" spans="1:31" hidden="1" x14ac:dyDescent="0.25">
      <c r="A2878" t="s">
        <v>13826</v>
      </c>
      <c r="B2878" t="s">
        <v>13827</v>
      </c>
      <c r="C2878" t="s">
        <v>13827</v>
      </c>
      <c r="F2878" t="s">
        <v>13828</v>
      </c>
      <c r="H2878" t="s">
        <v>1095</v>
      </c>
      <c r="I2878" t="s">
        <v>13829</v>
      </c>
      <c r="J2878" s="2">
        <v>218170</v>
      </c>
      <c r="K2878" s="2">
        <v>1000</v>
      </c>
      <c r="L2878" s="2">
        <v>15</v>
      </c>
      <c r="M2878" s="2">
        <v>0</v>
      </c>
      <c r="N2878" t="s">
        <v>1038</v>
      </c>
      <c r="O2878" t="s">
        <v>1039</v>
      </c>
      <c r="P2878" t="s">
        <v>304</v>
      </c>
      <c r="Q2878" t="s">
        <v>72</v>
      </c>
      <c r="S2878" t="s">
        <v>13830</v>
      </c>
      <c r="T2878" t="s">
        <v>13825</v>
      </c>
      <c r="U2878" t="s">
        <v>45</v>
      </c>
      <c r="V2878" t="s">
        <v>46</v>
      </c>
      <c r="W2878" t="s">
        <v>1038</v>
      </c>
      <c r="X2878" t="s">
        <v>1039</v>
      </c>
      <c r="Y2878" t="s">
        <v>72</v>
      </c>
      <c r="Z2878" t="s">
        <v>68</v>
      </c>
      <c r="AA2878" t="s">
        <v>49</v>
      </c>
      <c r="AB2878" t="s">
        <v>50</v>
      </c>
      <c r="AC2878" s="2">
        <v>218170</v>
      </c>
      <c r="AD2878" t="s">
        <v>64</v>
      </c>
    </row>
    <row r="2879" spans="1:31" hidden="1" x14ac:dyDescent="0.25">
      <c r="A2879" t="s">
        <v>13831</v>
      </c>
      <c r="B2879" t="s">
        <v>13832</v>
      </c>
      <c r="C2879" t="s">
        <v>13832</v>
      </c>
      <c r="F2879" t="s">
        <v>13833</v>
      </c>
      <c r="H2879" t="s">
        <v>7515</v>
      </c>
      <c r="I2879" t="s">
        <v>13834</v>
      </c>
      <c r="J2879" s="2">
        <v>218170</v>
      </c>
      <c r="K2879" s="2">
        <v>1000</v>
      </c>
      <c r="L2879" s="2">
        <v>15</v>
      </c>
      <c r="M2879" s="2">
        <v>0</v>
      </c>
      <c r="N2879" t="s">
        <v>7517</v>
      </c>
      <c r="O2879" t="s">
        <v>7518</v>
      </c>
      <c r="P2879" t="s">
        <v>1212</v>
      </c>
      <c r="Q2879" t="s">
        <v>1213</v>
      </c>
      <c r="S2879" t="s">
        <v>13835</v>
      </c>
      <c r="T2879" t="s">
        <v>1094</v>
      </c>
      <c r="U2879" t="s">
        <v>45</v>
      </c>
      <c r="V2879" t="s">
        <v>46</v>
      </c>
      <c r="W2879" t="s">
        <v>7517</v>
      </c>
      <c r="X2879" t="s">
        <v>7518</v>
      </c>
      <c r="Y2879" t="s">
        <v>1215</v>
      </c>
      <c r="Z2879" t="s">
        <v>1216</v>
      </c>
      <c r="AA2879" t="s">
        <v>49</v>
      </c>
      <c r="AB2879" t="s">
        <v>50</v>
      </c>
      <c r="AC2879" s="2">
        <v>218170</v>
      </c>
      <c r="AD2879" t="s">
        <v>64</v>
      </c>
    </row>
    <row r="2880" spans="1:31" x14ac:dyDescent="0.25">
      <c r="A2880" t="s">
        <v>13836</v>
      </c>
      <c r="B2880" t="s">
        <v>13837</v>
      </c>
      <c r="C2880" t="s">
        <v>3352</v>
      </c>
      <c r="D2880" t="s">
        <v>331</v>
      </c>
      <c r="E2880" t="s">
        <v>224</v>
      </c>
      <c r="F2880" t="s">
        <v>3353</v>
      </c>
      <c r="G2880" t="s">
        <v>264</v>
      </c>
      <c r="H2880" t="s">
        <v>245</v>
      </c>
      <c r="I2880" t="s">
        <v>3354</v>
      </c>
      <c r="J2880" s="2">
        <v>13090200</v>
      </c>
      <c r="K2880" s="2">
        <v>60000</v>
      </c>
      <c r="L2880" s="2">
        <v>30</v>
      </c>
      <c r="M2880" s="2">
        <v>0</v>
      </c>
      <c r="N2880" t="s">
        <v>40</v>
      </c>
      <c r="O2880" t="s">
        <v>41</v>
      </c>
      <c r="P2880" t="s">
        <v>61</v>
      </c>
      <c r="Q2880" t="s">
        <v>62</v>
      </c>
      <c r="S2880" t="s">
        <v>13838</v>
      </c>
      <c r="T2880" t="s">
        <v>1094</v>
      </c>
      <c r="U2880" t="s">
        <v>45</v>
      </c>
      <c r="V2880" t="s">
        <v>46</v>
      </c>
      <c r="W2880" t="s">
        <v>40</v>
      </c>
      <c r="X2880" t="s">
        <v>41</v>
      </c>
      <c r="Y2880" t="s">
        <v>47</v>
      </c>
      <c r="Z2880" t="s">
        <v>48</v>
      </c>
      <c r="AA2880" t="s">
        <v>49</v>
      </c>
      <c r="AB2880" t="s">
        <v>50</v>
      </c>
      <c r="AC2880" s="2">
        <v>13090200</v>
      </c>
      <c r="AD2880" t="s">
        <v>64</v>
      </c>
    </row>
    <row r="2881" spans="1:31" x14ac:dyDescent="0.25">
      <c r="A2881" t="s">
        <v>13839</v>
      </c>
      <c r="B2881" t="s">
        <v>13840</v>
      </c>
      <c r="C2881" t="s">
        <v>13840</v>
      </c>
      <c r="D2881" t="s">
        <v>299</v>
      </c>
      <c r="E2881" t="s">
        <v>167</v>
      </c>
      <c r="F2881" t="s">
        <v>13841</v>
      </c>
      <c r="G2881" t="s">
        <v>4647</v>
      </c>
      <c r="H2881" t="s">
        <v>13842</v>
      </c>
      <c r="I2881" t="s">
        <v>13843</v>
      </c>
      <c r="J2881" s="2">
        <v>218170</v>
      </c>
      <c r="K2881" s="2">
        <v>1000</v>
      </c>
      <c r="L2881" s="2">
        <v>30</v>
      </c>
      <c r="M2881" s="2">
        <v>0</v>
      </c>
      <c r="N2881" t="s">
        <v>13844</v>
      </c>
      <c r="O2881" t="s">
        <v>13845</v>
      </c>
      <c r="P2881" t="s">
        <v>10093</v>
      </c>
      <c r="Q2881" t="s">
        <v>10094</v>
      </c>
      <c r="S2881" t="s">
        <v>13846</v>
      </c>
      <c r="T2881" t="s">
        <v>1094</v>
      </c>
      <c r="U2881" t="s">
        <v>45</v>
      </c>
      <c r="V2881" t="s">
        <v>46</v>
      </c>
      <c r="W2881" t="s">
        <v>13844</v>
      </c>
      <c r="X2881" t="s">
        <v>13842</v>
      </c>
      <c r="Y2881" t="s">
        <v>7938</v>
      </c>
      <c r="Z2881" t="s">
        <v>7939</v>
      </c>
      <c r="AA2881" t="s">
        <v>49</v>
      </c>
      <c r="AB2881" t="s">
        <v>50</v>
      </c>
      <c r="AC2881" s="2">
        <v>117312.08</v>
      </c>
      <c r="AD2881" t="s">
        <v>13847</v>
      </c>
      <c r="AE2881" t="s">
        <v>115</v>
      </c>
    </row>
    <row r="2882" spans="1:31" x14ac:dyDescent="0.25">
      <c r="A2882" t="s">
        <v>13848</v>
      </c>
      <c r="B2882" t="s">
        <v>13849</v>
      </c>
      <c r="C2882" t="s">
        <v>13849</v>
      </c>
      <c r="D2882" t="s">
        <v>35</v>
      </c>
      <c r="E2882" t="s">
        <v>36</v>
      </c>
      <c r="F2882" t="s">
        <v>13850</v>
      </c>
      <c r="G2882" t="s">
        <v>35</v>
      </c>
      <c r="H2882" t="s">
        <v>8524</v>
      </c>
      <c r="I2882" t="s">
        <v>13851</v>
      </c>
      <c r="J2882" s="2">
        <v>65451</v>
      </c>
      <c r="K2882" s="2">
        <v>300</v>
      </c>
      <c r="L2882" s="2">
        <v>7</v>
      </c>
      <c r="M2882" s="2">
        <v>0</v>
      </c>
      <c r="N2882" t="s">
        <v>2571</v>
      </c>
      <c r="O2882" t="s">
        <v>2572</v>
      </c>
      <c r="P2882" t="s">
        <v>6987</v>
      </c>
      <c r="Q2882" t="s">
        <v>6988</v>
      </c>
      <c r="S2882" t="s">
        <v>13852</v>
      </c>
      <c r="T2882" t="s">
        <v>1094</v>
      </c>
      <c r="U2882" t="s">
        <v>45</v>
      </c>
      <c r="V2882" t="s">
        <v>46</v>
      </c>
      <c r="W2882" t="s">
        <v>2571</v>
      </c>
      <c r="X2882" t="s">
        <v>2572</v>
      </c>
      <c r="Y2882" t="s">
        <v>2399</v>
      </c>
      <c r="Z2882" t="s">
        <v>2400</v>
      </c>
      <c r="AA2882" t="s">
        <v>49</v>
      </c>
      <c r="AB2882" t="s">
        <v>50</v>
      </c>
      <c r="AC2882" s="2">
        <v>37644.050000000003</v>
      </c>
      <c r="AD2882" t="s">
        <v>13853</v>
      </c>
      <c r="AE2882" t="s">
        <v>52</v>
      </c>
    </row>
    <row r="2883" spans="1:31" x14ac:dyDescent="0.25">
      <c r="A2883" t="s">
        <v>13854</v>
      </c>
      <c r="B2883" t="s">
        <v>13855</v>
      </c>
      <c r="C2883" t="s">
        <v>13855</v>
      </c>
      <c r="D2883" t="s">
        <v>125</v>
      </c>
      <c r="E2883" t="s">
        <v>126</v>
      </c>
      <c r="F2883" t="s">
        <v>13856</v>
      </c>
      <c r="G2883" t="s">
        <v>125</v>
      </c>
      <c r="H2883" t="s">
        <v>10092</v>
      </c>
      <c r="I2883" t="s">
        <v>13857</v>
      </c>
      <c r="J2883" s="2">
        <v>4946000</v>
      </c>
      <c r="K2883" s="2">
        <v>20000</v>
      </c>
      <c r="L2883" s="2">
        <v>30</v>
      </c>
      <c r="M2883" s="2">
        <v>0</v>
      </c>
      <c r="N2883" t="s">
        <v>10091</v>
      </c>
      <c r="O2883" t="s">
        <v>10092</v>
      </c>
      <c r="P2883" t="s">
        <v>10093</v>
      </c>
      <c r="Q2883" t="s">
        <v>10094</v>
      </c>
      <c r="S2883" t="s">
        <v>13858</v>
      </c>
      <c r="T2883" t="s">
        <v>1094</v>
      </c>
      <c r="U2883" t="s">
        <v>45</v>
      </c>
      <c r="V2883" t="s">
        <v>46</v>
      </c>
      <c r="W2883" t="s">
        <v>10091</v>
      </c>
      <c r="X2883" t="s">
        <v>10092</v>
      </c>
      <c r="Y2883" t="s">
        <v>7938</v>
      </c>
      <c r="Z2883" t="s">
        <v>7939</v>
      </c>
      <c r="AA2883" t="s">
        <v>49</v>
      </c>
      <c r="AB2883" t="s">
        <v>50</v>
      </c>
      <c r="AC2883" s="2">
        <v>1208969.17</v>
      </c>
      <c r="AD2883" t="s">
        <v>13859</v>
      </c>
      <c r="AE2883" t="s">
        <v>52</v>
      </c>
    </row>
    <row r="2884" spans="1:31" x14ac:dyDescent="0.25">
      <c r="A2884" t="s">
        <v>13860</v>
      </c>
      <c r="B2884" t="s">
        <v>13861</v>
      </c>
      <c r="C2884" t="s">
        <v>407</v>
      </c>
      <c r="D2884" t="s">
        <v>125</v>
      </c>
      <c r="E2884" t="s">
        <v>126</v>
      </c>
      <c r="F2884" t="s">
        <v>408</v>
      </c>
      <c r="G2884" t="s">
        <v>153</v>
      </c>
      <c r="H2884" t="s">
        <v>324</v>
      </c>
      <c r="I2884" t="s">
        <v>409</v>
      </c>
      <c r="J2884" s="2">
        <v>1090850</v>
      </c>
      <c r="K2884" s="2">
        <v>5000</v>
      </c>
      <c r="L2884" s="2">
        <v>21</v>
      </c>
      <c r="M2884" s="2">
        <v>0</v>
      </c>
      <c r="N2884" t="s">
        <v>326</v>
      </c>
      <c r="O2884" t="s">
        <v>327</v>
      </c>
      <c r="P2884" t="s">
        <v>120</v>
      </c>
      <c r="Q2884" t="s">
        <v>121</v>
      </c>
      <c r="S2884" t="s">
        <v>13862</v>
      </c>
      <c r="T2884" t="s">
        <v>1094</v>
      </c>
      <c r="U2884" t="s">
        <v>45</v>
      </c>
      <c r="V2884" t="s">
        <v>46</v>
      </c>
      <c r="W2884" t="s">
        <v>326</v>
      </c>
      <c r="X2884" t="s">
        <v>327</v>
      </c>
      <c r="Y2884" t="s">
        <v>121</v>
      </c>
      <c r="Z2884" t="s">
        <v>94</v>
      </c>
      <c r="AA2884" t="s">
        <v>49</v>
      </c>
      <c r="AB2884" t="s">
        <v>50</v>
      </c>
      <c r="AC2884" s="2">
        <v>580383.59</v>
      </c>
      <c r="AD2884" t="s">
        <v>13863</v>
      </c>
      <c r="AE2884" t="s">
        <v>52</v>
      </c>
    </row>
    <row r="2885" spans="1:31" x14ac:dyDescent="0.25">
      <c r="A2885" t="s">
        <v>13864</v>
      </c>
      <c r="B2885" t="s">
        <v>13865</v>
      </c>
      <c r="C2885" t="s">
        <v>13866</v>
      </c>
      <c r="D2885" t="s">
        <v>125</v>
      </c>
      <c r="E2885" t="s">
        <v>126</v>
      </c>
      <c r="F2885" t="s">
        <v>365</v>
      </c>
      <c r="G2885" t="s">
        <v>153</v>
      </c>
      <c r="H2885" t="s">
        <v>349</v>
      </c>
      <c r="I2885" t="s">
        <v>13867</v>
      </c>
      <c r="J2885" s="2">
        <v>2181700</v>
      </c>
      <c r="K2885" s="2">
        <v>10000</v>
      </c>
      <c r="L2885" s="2">
        <v>21</v>
      </c>
      <c r="M2885" s="2">
        <v>0</v>
      </c>
      <c r="N2885" t="s">
        <v>348</v>
      </c>
      <c r="O2885" t="s">
        <v>349</v>
      </c>
      <c r="P2885" t="s">
        <v>316</v>
      </c>
      <c r="Q2885" t="s">
        <v>317</v>
      </c>
      <c r="S2885" t="s">
        <v>13868</v>
      </c>
      <c r="T2885" t="s">
        <v>2339</v>
      </c>
      <c r="U2885" t="s">
        <v>45</v>
      </c>
      <c r="V2885" t="s">
        <v>46</v>
      </c>
      <c r="W2885" t="s">
        <v>348</v>
      </c>
      <c r="X2885" t="s">
        <v>349</v>
      </c>
      <c r="Y2885" t="s">
        <v>317</v>
      </c>
      <c r="Z2885" t="s">
        <v>349</v>
      </c>
      <c r="AA2885" t="s">
        <v>49</v>
      </c>
      <c r="AB2885" t="s">
        <v>50</v>
      </c>
      <c r="AC2885" s="2">
        <v>2053737.6</v>
      </c>
      <c r="AD2885" t="s">
        <v>13869</v>
      </c>
      <c r="AE2885" t="s">
        <v>52</v>
      </c>
    </row>
    <row r="2886" spans="1:31" x14ac:dyDescent="0.25">
      <c r="A2886" t="s">
        <v>13870</v>
      </c>
      <c r="B2886" t="s">
        <v>13871</v>
      </c>
      <c r="C2886" t="s">
        <v>13871</v>
      </c>
      <c r="D2886" t="s">
        <v>344</v>
      </c>
      <c r="E2886" t="s">
        <v>167</v>
      </c>
      <c r="F2886" t="s">
        <v>13872</v>
      </c>
      <c r="G2886" t="s">
        <v>649</v>
      </c>
      <c r="H2886" t="s">
        <v>3122</v>
      </c>
      <c r="J2886" s="2">
        <v>483160</v>
      </c>
      <c r="K2886" s="2">
        <v>2000</v>
      </c>
      <c r="L2886" s="2">
        <v>30</v>
      </c>
      <c r="M2886" s="2">
        <v>0</v>
      </c>
      <c r="N2886" t="s">
        <v>3121</v>
      </c>
      <c r="O2886" t="s">
        <v>3122</v>
      </c>
      <c r="P2886" t="s">
        <v>1212</v>
      </c>
      <c r="Q2886" t="s">
        <v>1213</v>
      </c>
      <c r="S2886" t="s">
        <v>13873</v>
      </c>
      <c r="T2886" t="s">
        <v>2339</v>
      </c>
      <c r="U2886" t="s">
        <v>45</v>
      </c>
      <c r="V2886" t="s">
        <v>46</v>
      </c>
      <c r="W2886" t="s">
        <v>3121</v>
      </c>
      <c r="X2886" t="s">
        <v>3124</v>
      </c>
      <c r="Y2886" t="s">
        <v>1215</v>
      </c>
      <c r="Z2886" t="s">
        <v>1216</v>
      </c>
      <c r="AA2886" t="s">
        <v>49</v>
      </c>
      <c r="AB2886" t="s">
        <v>50</v>
      </c>
      <c r="AC2886" s="2">
        <v>286473.64</v>
      </c>
      <c r="AD2886" t="s">
        <v>13874</v>
      </c>
      <c r="AE2886" t="s">
        <v>115</v>
      </c>
    </row>
    <row r="2887" spans="1:31" x14ac:dyDescent="0.25">
      <c r="A2887" t="s">
        <v>13875</v>
      </c>
      <c r="B2887" t="s">
        <v>13876</v>
      </c>
      <c r="C2887" t="s">
        <v>13876</v>
      </c>
      <c r="D2887" t="s">
        <v>35</v>
      </c>
      <c r="E2887" t="s">
        <v>36</v>
      </c>
      <c r="F2887" t="s">
        <v>13877</v>
      </c>
      <c r="G2887" t="s">
        <v>35</v>
      </c>
      <c r="H2887" t="s">
        <v>13878</v>
      </c>
      <c r="J2887" s="2">
        <v>510531</v>
      </c>
      <c r="K2887" s="2">
        <v>2100</v>
      </c>
      <c r="L2887" s="2">
        <v>30</v>
      </c>
      <c r="M2887" s="2">
        <v>0</v>
      </c>
      <c r="N2887" t="s">
        <v>8853</v>
      </c>
      <c r="O2887" t="s">
        <v>139</v>
      </c>
      <c r="P2887" t="s">
        <v>941</v>
      </c>
      <c r="Q2887" t="s">
        <v>139</v>
      </c>
      <c r="S2887" t="s">
        <v>13879</v>
      </c>
      <c r="T2887" t="s">
        <v>2339</v>
      </c>
      <c r="U2887" t="s">
        <v>45</v>
      </c>
      <c r="V2887" t="s">
        <v>46</v>
      </c>
      <c r="W2887" t="s">
        <v>8853</v>
      </c>
      <c r="X2887" t="s">
        <v>139</v>
      </c>
      <c r="Y2887" t="s">
        <v>139</v>
      </c>
      <c r="Z2887" t="s">
        <v>140</v>
      </c>
      <c r="AA2887" t="s">
        <v>49</v>
      </c>
      <c r="AB2887" t="s">
        <v>50</v>
      </c>
      <c r="AC2887" s="2">
        <v>232269.66</v>
      </c>
      <c r="AD2887" t="s">
        <v>13880</v>
      </c>
      <c r="AE2887" t="s">
        <v>52</v>
      </c>
    </row>
    <row r="2888" spans="1:31" x14ac:dyDescent="0.25">
      <c r="A2888" t="s">
        <v>13881</v>
      </c>
      <c r="B2888" t="s">
        <v>13882</v>
      </c>
      <c r="C2888" t="s">
        <v>13882</v>
      </c>
      <c r="D2888" t="s">
        <v>35</v>
      </c>
      <c r="E2888" t="s">
        <v>36</v>
      </c>
      <c r="F2888" t="s">
        <v>13883</v>
      </c>
      <c r="G2888" t="s">
        <v>35</v>
      </c>
      <c r="H2888" t="s">
        <v>79</v>
      </c>
      <c r="J2888" s="2">
        <v>141811</v>
      </c>
      <c r="K2888" s="2">
        <v>650</v>
      </c>
      <c r="L2888" s="2">
        <v>30</v>
      </c>
      <c r="M2888" s="2">
        <v>0</v>
      </c>
      <c r="N2888" t="s">
        <v>8100</v>
      </c>
      <c r="O2888" t="s">
        <v>8101</v>
      </c>
      <c r="P2888" t="s">
        <v>4853</v>
      </c>
      <c r="Q2888" t="s">
        <v>4854</v>
      </c>
      <c r="S2888" t="s">
        <v>13884</v>
      </c>
      <c r="T2888" t="s">
        <v>1752</v>
      </c>
      <c r="U2888" t="s">
        <v>45</v>
      </c>
      <c r="V2888" t="s">
        <v>46</v>
      </c>
      <c r="W2888" t="s">
        <v>8100</v>
      </c>
      <c r="X2888" t="s">
        <v>8101</v>
      </c>
      <c r="Y2888" t="s">
        <v>4854</v>
      </c>
      <c r="Z2888" t="s">
        <v>72</v>
      </c>
      <c r="AA2888" t="s">
        <v>49</v>
      </c>
      <c r="AB2888" t="s">
        <v>50</v>
      </c>
      <c r="AC2888" s="2">
        <v>-3093.52</v>
      </c>
      <c r="AD2888" t="s">
        <v>13885</v>
      </c>
      <c r="AE2888" t="s">
        <v>52</v>
      </c>
    </row>
    <row r="2889" spans="1:31" x14ac:dyDescent="0.25">
      <c r="A2889" t="s">
        <v>13886</v>
      </c>
      <c r="B2889" t="s">
        <v>13887</v>
      </c>
      <c r="C2889" t="s">
        <v>4021</v>
      </c>
      <c r="D2889" t="s">
        <v>153</v>
      </c>
      <c r="E2889" t="s">
        <v>272</v>
      </c>
      <c r="F2889" t="s">
        <v>4022</v>
      </c>
      <c r="G2889" t="s">
        <v>153</v>
      </c>
      <c r="H2889" t="s">
        <v>404</v>
      </c>
      <c r="J2889" s="2">
        <v>327255</v>
      </c>
      <c r="K2889" s="2">
        <v>1500</v>
      </c>
      <c r="L2889" s="2">
        <v>30</v>
      </c>
      <c r="M2889" s="2">
        <v>0</v>
      </c>
      <c r="N2889" t="s">
        <v>403</v>
      </c>
      <c r="O2889" t="s">
        <v>404</v>
      </c>
      <c r="P2889" t="s">
        <v>205</v>
      </c>
      <c r="Q2889" t="s">
        <v>206</v>
      </c>
      <c r="S2889" t="s">
        <v>13888</v>
      </c>
      <c r="T2889" t="s">
        <v>2485</v>
      </c>
      <c r="U2889" t="s">
        <v>45</v>
      </c>
      <c r="V2889" t="s">
        <v>46</v>
      </c>
      <c r="W2889" t="s">
        <v>403</v>
      </c>
      <c r="X2889" t="s">
        <v>404</v>
      </c>
      <c r="Y2889" t="s">
        <v>161</v>
      </c>
      <c r="Z2889" t="s">
        <v>162</v>
      </c>
      <c r="AA2889" t="s">
        <v>49</v>
      </c>
      <c r="AB2889" t="s">
        <v>50</v>
      </c>
      <c r="AC2889" s="2">
        <v>183341.29</v>
      </c>
      <c r="AD2889" t="s">
        <v>13889</v>
      </c>
      <c r="AE2889" t="s">
        <v>115</v>
      </c>
    </row>
    <row r="2890" spans="1:31" x14ac:dyDescent="0.25">
      <c r="A2890" t="s">
        <v>13890</v>
      </c>
      <c r="B2890" t="s">
        <v>13891</v>
      </c>
      <c r="C2890" t="s">
        <v>13891</v>
      </c>
      <c r="D2890" t="s">
        <v>1865</v>
      </c>
      <c r="E2890" t="s">
        <v>224</v>
      </c>
      <c r="F2890" t="s">
        <v>13892</v>
      </c>
      <c r="G2890" t="s">
        <v>2485</v>
      </c>
      <c r="H2890" t="s">
        <v>81</v>
      </c>
      <c r="J2890" s="2">
        <v>218170</v>
      </c>
      <c r="K2890" s="2">
        <v>1000</v>
      </c>
      <c r="L2890" s="2">
        <v>15</v>
      </c>
      <c r="M2890" s="2">
        <v>0</v>
      </c>
      <c r="N2890" t="s">
        <v>80</v>
      </c>
      <c r="O2890" t="s">
        <v>81</v>
      </c>
      <c r="P2890" t="s">
        <v>557</v>
      </c>
      <c r="Q2890" t="s">
        <v>558</v>
      </c>
      <c r="S2890" t="s">
        <v>13893</v>
      </c>
      <c r="T2890" t="s">
        <v>2485</v>
      </c>
      <c r="U2890" t="s">
        <v>45</v>
      </c>
      <c r="V2890" t="s">
        <v>46</v>
      </c>
      <c r="W2890" t="s">
        <v>80</v>
      </c>
      <c r="X2890" t="s">
        <v>81</v>
      </c>
      <c r="Y2890" t="s">
        <v>85</v>
      </c>
      <c r="Z2890" t="s">
        <v>86</v>
      </c>
      <c r="AA2890" t="s">
        <v>49</v>
      </c>
      <c r="AB2890" t="s">
        <v>50</v>
      </c>
      <c r="AC2890" s="2">
        <v>218170</v>
      </c>
      <c r="AD2890" t="s">
        <v>64</v>
      </c>
    </row>
    <row r="2891" spans="1:31" x14ac:dyDescent="0.25">
      <c r="A2891" t="s">
        <v>13894</v>
      </c>
      <c r="B2891" t="s">
        <v>13895</v>
      </c>
      <c r="C2891" t="s">
        <v>13895</v>
      </c>
      <c r="D2891" t="s">
        <v>847</v>
      </c>
      <c r="E2891" t="s">
        <v>848</v>
      </c>
      <c r="F2891" t="s">
        <v>13896</v>
      </c>
      <c r="G2891" t="s">
        <v>569</v>
      </c>
      <c r="H2891" t="s">
        <v>1062</v>
      </c>
      <c r="I2891" t="s">
        <v>13897</v>
      </c>
      <c r="J2891" s="2">
        <v>381798</v>
      </c>
      <c r="K2891" s="2">
        <v>1750</v>
      </c>
      <c r="L2891" s="2">
        <v>21</v>
      </c>
      <c r="M2891" s="2">
        <v>0</v>
      </c>
      <c r="N2891" t="s">
        <v>1064</v>
      </c>
      <c r="O2891" t="s">
        <v>1062</v>
      </c>
      <c r="P2891" t="s">
        <v>304</v>
      </c>
      <c r="Q2891" t="s">
        <v>72</v>
      </c>
      <c r="S2891" t="s">
        <v>13898</v>
      </c>
      <c r="T2891" t="s">
        <v>9774</v>
      </c>
      <c r="U2891" t="s">
        <v>45</v>
      </c>
      <c r="V2891" t="s">
        <v>46</v>
      </c>
      <c r="W2891" t="s">
        <v>1064</v>
      </c>
      <c r="X2891" t="s">
        <v>1062</v>
      </c>
      <c r="Y2891" t="s">
        <v>72</v>
      </c>
      <c r="Z2891" t="s">
        <v>68</v>
      </c>
      <c r="AA2891" t="s">
        <v>49</v>
      </c>
      <c r="AB2891" t="s">
        <v>50</v>
      </c>
      <c r="AC2891" s="2">
        <v>367585.53</v>
      </c>
      <c r="AD2891" t="s">
        <v>13899</v>
      </c>
      <c r="AE2891" t="s">
        <v>52</v>
      </c>
    </row>
    <row r="2892" spans="1:31" x14ac:dyDescent="0.25">
      <c r="A2892" t="s">
        <v>13900</v>
      </c>
      <c r="B2892" t="s">
        <v>13901</v>
      </c>
      <c r="C2892" t="s">
        <v>13901</v>
      </c>
      <c r="D2892" t="s">
        <v>847</v>
      </c>
      <c r="E2892" t="s">
        <v>848</v>
      </c>
      <c r="F2892" t="s">
        <v>13902</v>
      </c>
      <c r="G2892" t="s">
        <v>847</v>
      </c>
      <c r="H2892" t="s">
        <v>10361</v>
      </c>
      <c r="I2892" t="s">
        <v>13857</v>
      </c>
      <c r="J2892" s="2">
        <v>2348700</v>
      </c>
      <c r="K2892" s="2">
        <v>10000</v>
      </c>
      <c r="L2892" s="2">
        <v>30</v>
      </c>
      <c r="M2892" s="2">
        <v>0</v>
      </c>
      <c r="N2892" t="s">
        <v>10362</v>
      </c>
      <c r="O2892" t="s">
        <v>10361</v>
      </c>
      <c r="P2892" t="s">
        <v>10093</v>
      </c>
      <c r="Q2892" t="s">
        <v>10094</v>
      </c>
      <c r="S2892" t="s">
        <v>13903</v>
      </c>
      <c r="T2892" t="s">
        <v>9774</v>
      </c>
      <c r="U2892" t="s">
        <v>45</v>
      </c>
      <c r="V2892" t="s">
        <v>46</v>
      </c>
      <c r="W2892" t="s">
        <v>10362</v>
      </c>
      <c r="X2892" t="s">
        <v>10361</v>
      </c>
      <c r="Y2892" t="s">
        <v>279</v>
      </c>
      <c r="Z2892" t="s">
        <v>280</v>
      </c>
      <c r="AA2892" t="s">
        <v>49</v>
      </c>
      <c r="AB2892" t="s">
        <v>50</v>
      </c>
      <c r="AC2892" s="2">
        <v>1116821.73</v>
      </c>
      <c r="AD2892" t="s">
        <v>13904</v>
      </c>
      <c r="AE2892" t="s">
        <v>52</v>
      </c>
    </row>
    <row r="2893" spans="1:31" x14ac:dyDescent="0.25">
      <c r="A2893" t="s">
        <v>13905</v>
      </c>
      <c r="B2893" t="s">
        <v>13906</v>
      </c>
      <c r="C2893" t="s">
        <v>13906</v>
      </c>
      <c r="D2893" t="s">
        <v>2687</v>
      </c>
      <c r="E2893" t="s">
        <v>190</v>
      </c>
      <c r="F2893" t="s">
        <v>13907</v>
      </c>
      <c r="G2893" t="s">
        <v>498</v>
      </c>
      <c r="H2893" t="s">
        <v>4130</v>
      </c>
      <c r="I2893" t="s">
        <v>13908</v>
      </c>
      <c r="J2893" s="2">
        <v>218170</v>
      </c>
      <c r="K2893" s="2">
        <v>1000</v>
      </c>
      <c r="L2893" s="2">
        <v>21</v>
      </c>
      <c r="M2893" s="2">
        <v>0</v>
      </c>
      <c r="N2893" t="s">
        <v>9130</v>
      </c>
      <c r="O2893" t="s">
        <v>9129</v>
      </c>
      <c r="P2893" t="s">
        <v>3534</v>
      </c>
      <c r="Q2893" t="s">
        <v>3535</v>
      </c>
      <c r="S2893" t="s">
        <v>13909</v>
      </c>
      <c r="T2893" t="s">
        <v>9774</v>
      </c>
      <c r="U2893" t="s">
        <v>45</v>
      </c>
      <c r="V2893" t="s">
        <v>46</v>
      </c>
      <c r="W2893" t="s">
        <v>9130</v>
      </c>
      <c r="X2893" t="s">
        <v>9129</v>
      </c>
      <c r="Y2893" t="s">
        <v>137</v>
      </c>
      <c r="Z2893" t="s">
        <v>717</v>
      </c>
      <c r="AA2893" t="s">
        <v>49</v>
      </c>
      <c r="AB2893" t="s">
        <v>50</v>
      </c>
      <c r="AC2893" s="2">
        <v>202029.23</v>
      </c>
      <c r="AD2893" t="s">
        <v>13910</v>
      </c>
      <c r="AE2893" t="s">
        <v>115</v>
      </c>
    </row>
    <row r="2894" spans="1:31" hidden="1" x14ac:dyDescent="0.25">
      <c r="A2894" t="s">
        <v>13911</v>
      </c>
      <c r="B2894" t="s">
        <v>13912</v>
      </c>
      <c r="C2894" t="s">
        <v>13912</v>
      </c>
      <c r="F2894" t="s">
        <v>13913</v>
      </c>
      <c r="H2894" t="s">
        <v>5009</v>
      </c>
      <c r="J2894" s="2">
        <v>218170</v>
      </c>
      <c r="K2894" s="2">
        <v>1000</v>
      </c>
      <c r="L2894" s="2">
        <v>21</v>
      </c>
      <c r="M2894" s="2">
        <v>0</v>
      </c>
      <c r="N2894" t="s">
        <v>11459</v>
      </c>
      <c r="O2894" t="s">
        <v>11440</v>
      </c>
      <c r="P2894" t="s">
        <v>8938</v>
      </c>
      <c r="Q2894" t="s">
        <v>8939</v>
      </c>
      <c r="S2894" t="s">
        <v>13914</v>
      </c>
      <c r="T2894" t="s">
        <v>9774</v>
      </c>
      <c r="U2894" t="s">
        <v>45</v>
      </c>
      <c r="V2894" t="s">
        <v>46</v>
      </c>
      <c r="W2894" t="s">
        <v>11459</v>
      </c>
      <c r="X2894" t="s">
        <v>11440</v>
      </c>
      <c r="Y2894" t="s">
        <v>137</v>
      </c>
      <c r="Z2894" t="s">
        <v>717</v>
      </c>
      <c r="AA2894" t="s">
        <v>49</v>
      </c>
      <c r="AB2894" t="s">
        <v>50</v>
      </c>
      <c r="AC2894" s="2">
        <v>218170</v>
      </c>
      <c r="AD2894" t="s">
        <v>64</v>
      </c>
    </row>
    <row r="2895" spans="1:31" x14ac:dyDescent="0.25">
      <c r="A2895" t="s">
        <v>13915</v>
      </c>
      <c r="B2895" t="s">
        <v>13916</v>
      </c>
      <c r="C2895" t="s">
        <v>13916</v>
      </c>
      <c r="D2895" t="s">
        <v>331</v>
      </c>
      <c r="E2895" t="s">
        <v>224</v>
      </c>
      <c r="F2895" t="s">
        <v>3353</v>
      </c>
      <c r="G2895" t="s">
        <v>2286</v>
      </c>
      <c r="H2895" t="s">
        <v>41</v>
      </c>
      <c r="J2895" s="2">
        <v>1309020</v>
      </c>
      <c r="K2895" s="2">
        <v>6000</v>
      </c>
      <c r="L2895" s="2">
        <v>30</v>
      </c>
      <c r="M2895" s="2">
        <v>0</v>
      </c>
      <c r="N2895" t="s">
        <v>40</v>
      </c>
      <c r="O2895" t="s">
        <v>41</v>
      </c>
      <c r="P2895" t="s">
        <v>61</v>
      </c>
      <c r="Q2895" t="s">
        <v>62</v>
      </c>
      <c r="S2895" t="s">
        <v>13917</v>
      </c>
      <c r="T2895" t="s">
        <v>333</v>
      </c>
      <c r="U2895" t="s">
        <v>45</v>
      </c>
      <c r="V2895" t="s">
        <v>46</v>
      </c>
      <c r="W2895" t="s">
        <v>40</v>
      </c>
      <c r="X2895" t="s">
        <v>41</v>
      </c>
      <c r="Y2895" t="s">
        <v>47</v>
      </c>
      <c r="Z2895" t="s">
        <v>48</v>
      </c>
      <c r="AA2895" t="s">
        <v>49</v>
      </c>
      <c r="AB2895" t="s">
        <v>50</v>
      </c>
      <c r="AC2895" s="2">
        <v>1309020</v>
      </c>
      <c r="AD2895" t="s">
        <v>64</v>
      </c>
    </row>
    <row r="2896" spans="1:31" x14ac:dyDescent="0.25">
      <c r="A2896" t="s">
        <v>13918</v>
      </c>
      <c r="B2896" t="s">
        <v>13919</v>
      </c>
      <c r="C2896" t="s">
        <v>13919</v>
      </c>
      <c r="D2896" t="s">
        <v>888</v>
      </c>
      <c r="E2896" t="s">
        <v>167</v>
      </c>
      <c r="F2896" t="s">
        <v>13920</v>
      </c>
      <c r="G2896" t="s">
        <v>555</v>
      </c>
      <c r="H2896" t="s">
        <v>8687</v>
      </c>
      <c r="I2896" t="s">
        <v>13921</v>
      </c>
      <c r="J2896" s="2">
        <v>332610</v>
      </c>
      <c r="K2896" s="2">
        <v>1500</v>
      </c>
      <c r="L2896" s="2">
        <v>15</v>
      </c>
      <c r="M2896" s="2">
        <v>0</v>
      </c>
      <c r="N2896" t="s">
        <v>8689</v>
      </c>
      <c r="O2896" t="s">
        <v>8687</v>
      </c>
      <c r="P2896" t="s">
        <v>4853</v>
      </c>
      <c r="Q2896" t="s">
        <v>4854</v>
      </c>
      <c r="S2896" t="s">
        <v>13922</v>
      </c>
      <c r="T2896" t="s">
        <v>333</v>
      </c>
      <c r="U2896" t="s">
        <v>45</v>
      </c>
      <c r="V2896" t="s">
        <v>46</v>
      </c>
      <c r="W2896" t="s">
        <v>8689</v>
      </c>
      <c r="X2896" t="s">
        <v>8687</v>
      </c>
      <c r="Y2896" t="s">
        <v>4854</v>
      </c>
      <c r="Z2896" t="s">
        <v>72</v>
      </c>
      <c r="AA2896" t="s">
        <v>49</v>
      </c>
      <c r="AB2896" t="s">
        <v>50</v>
      </c>
      <c r="AC2896" s="2">
        <v>312254.08000000002</v>
      </c>
      <c r="AD2896" t="s">
        <v>13923</v>
      </c>
    </row>
    <row r="2897" spans="1:31" x14ac:dyDescent="0.25">
      <c r="A2897" t="s">
        <v>13924</v>
      </c>
      <c r="B2897" t="s">
        <v>13925</v>
      </c>
      <c r="C2897" t="s">
        <v>13925</v>
      </c>
      <c r="D2897" t="s">
        <v>35</v>
      </c>
      <c r="E2897" t="s">
        <v>36</v>
      </c>
      <c r="F2897" t="s">
        <v>13926</v>
      </c>
      <c r="G2897" t="s">
        <v>35</v>
      </c>
      <c r="H2897" t="s">
        <v>12118</v>
      </c>
      <c r="I2897" t="s">
        <v>13927</v>
      </c>
      <c r="J2897" s="2">
        <v>741900</v>
      </c>
      <c r="K2897" s="2">
        <v>3000</v>
      </c>
      <c r="L2897" s="2">
        <v>15</v>
      </c>
      <c r="M2897" s="2">
        <v>0</v>
      </c>
      <c r="N2897" t="s">
        <v>5938</v>
      </c>
      <c r="O2897" t="s">
        <v>5939</v>
      </c>
      <c r="P2897" t="s">
        <v>82</v>
      </c>
      <c r="Q2897" t="s">
        <v>83</v>
      </c>
      <c r="S2897" t="s">
        <v>13928</v>
      </c>
      <c r="T2897" t="s">
        <v>2139</v>
      </c>
      <c r="U2897" t="s">
        <v>45</v>
      </c>
      <c r="V2897" t="s">
        <v>46</v>
      </c>
      <c r="W2897" t="s">
        <v>5938</v>
      </c>
      <c r="X2897" t="s">
        <v>5939</v>
      </c>
      <c r="Y2897" t="s">
        <v>85</v>
      </c>
      <c r="Z2897" t="s">
        <v>86</v>
      </c>
      <c r="AA2897" t="s">
        <v>49</v>
      </c>
      <c r="AB2897" t="s">
        <v>50</v>
      </c>
      <c r="AC2897" s="2">
        <v>51899.02</v>
      </c>
      <c r="AD2897" t="s">
        <v>13929</v>
      </c>
      <c r="AE2897" t="s">
        <v>115</v>
      </c>
    </row>
    <row r="2898" spans="1:31" hidden="1" x14ac:dyDescent="0.25">
      <c r="A2898" t="s">
        <v>13930</v>
      </c>
      <c r="B2898" t="s">
        <v>13931</v>
      </c>
      <c r="C2898" t="s">
        <v>13932</v>
      </c>
      <c r="F2898" t="s">
        <v>13933</v>
      </c>
      <c r="H2898" t="s">
        <v>79</v>
      </c>
      <c r="J2898" s="2">
        <v>327255</v>
      </c>
      <c r="K2898" s="2">
        <v>1500</v>
      </c>
      <c r="L2898" s="2">
        <v>21</v>
      </c>
      <c r="M2898" s="2">
        <v>0</v>
      </c>
      <c r="N2898" t="s">
        <v>495</v>
      </c>
      <c r="O2898" t="s">
        <v>79</v>
      </c>
      <c r="P2898" t="s">
        <v>3487</v>
      </c>
      <c r="Q2898" t="s">
        <v>3488</v>
      </c>
      <c r="S2898" t="s">
        <v>13934</v>
      </c>
      <c r="T2898" t="s">
        <v>2139</v>
      </c>
      <c r="U2898" t="s">
        <v>45</v>
      </c>
      <c r="V2898" t="s">
        <v>46</v>
      </c>
      <c r="W2898" t="s">
        <v>495</v>
      </c>
      <c r="X2898" t="s">
        <v>79</v>
      </c>
      <c r="Y2898" t="s">
        <v>79</v>
      </c>
      <c r="Z2898" t="s">
        <v>94</v>
      </c>
      <c r="AA2898" t="s">
        <v>49</v>
      </c>
      <c r="AB2898" t="s">
        <v>50</v>
      </c>
      <c r="AC2898" s="2">
        <v>327255</v>
      </c>
      <c r="AD2898" t="s">
        <v>64</v>
      </c>
    </row>
    <row r="2899" spans="1:31" x14ac:dyDescent="0.25">
      <c r="A2899" t="s">
        <v>13935</v>
      </c>
      <c r="B2899" t="s">
        <v>13936</v>
      </c>
      <c r="C2899" t="s">
        <v>13936</v>
      </c>
      <c r="D2899" t="s">
        <v>297</v>
      </c>
      <c r="E2899" t="s">
        <v>167</v>
      </c>
      <c r="F2899" t="s">
        <v>13937</v>
      </c>
      <c r="G2899" t="s">
        <v>297</v>
      </c>
      <c r="H2899" t="s">
        <v>6986</v>
      </c>
      <c r="J2899" s="2">
        <v>698344</v>
      </c>
      <c r="K2899" s="2">
        <v>2990</v>
      </c>
      <c r="L2899" s="2">
        <v>30</v>
      </c>
      <c r="M2899" s="2">
        <v>0</v>
      </c>
      <c r="N2899" t="s">
        <v>6985</v>
      </c>
      <c r="O2899" t="s">
        <v>6986</v>
      </c>
      <c r="P2899" t="s">
        <v>6987</v>
      </c>
      <c r="Q2899" t="s">
        <v>6988</v>
      </c>
      <c r="S2899" t="s">
        <v>13938</v>
      </c>
      <c r="T2899" t="s">
        <v>2139</v>
      </c>
      <c r="U2899" t="s">
        <v>45</v>
      </c>
      <c r="V2899" t="s">
        <v>46</v>
      </c>
      <c r="W2899" t="s">
        <v>6985</v>
      </c>
      <c r="X2899" t="s">
        <v>6986</v>
      </c>
      <c r="Y2899" t="s">
        <v>2399</v>
      </c>
      <c r="Z2899" t="s">
        <v>2400</v>
      </c>
      <c r="AA2899" t="s">
        <v>49</v>
      </c>
      <c r="AB2899" t="s">
        <v>50</v>
      </c>
      <c r="AC2899" s="2">
        <v>359828.65</v>
      </c>
      <c r="AD2899" t="s">
        <v>13939</v>
      </c>
      <c r="AE2899" t="s">
        <v>52</v>
      </c>
    </row>
    <row r="2900" spans="1:31" x14ac:dyDescent="0.25">
      <c r="A2900" t="s">
        <v>13940</v>
      </c>
      <c r="B2900" t="s">
        <v>13941</v>
      </c>
      <c r="C2900" t="s">
        <v>13941</v>
      </c>
      <c r="D2900" t="s">
        <v>344</v>
      </c>
      <c r="E2900" t="s">
        <v>167</v>
      </c>
      <c r="F2900" t="s">
        <v>13942</v>
      </c>
      <c r="G2900" t="s">
        <v>478</v>
      </c>
      <c r="H2900" t="s">
        <v>1335</v>
      </c>
      <c r="J2900" s="2">
        <v>218170</v>
      </c>
      <c r="K2900" s="2">
        <v>1000</v>
      </c>
      <c r="L2900" s="2">
        <v>15</v>
      </c>
      <c r="M2900" s="2">
        <v>0</v>
      </c>
      <c r="N2900" t="s">
        <v>254</v>
      </c>
      <c r="O2900" t="s">
        <v>255</v>
      </c>
      <c r="P2900" t="s">
        <v>3534</v>
      </c>
      <c r="Q2900" t="s">
        <v>3535</v>
      </c>
      <c r="S2900" t="s">
        <v>13943</v>
      </c>
      <c r="T2900" t="s">
        <v>2288</v>
      </c>
      <c r="U2900" t="s">
        <v>45</v>
      </c>
      <c r="V2900" t="s">
        <v>46</v>
      </c>
      <c r="W2900" t="s">
        <v>254</v>
      </c>
      <c r="X2900" t="s">
        <v>255</v>
      </c>
      <c r="Y2900" t="s">
        <v>258</v>
      </c>
      <c r="Z2900" t="s">
        <v>259</v>
      </c>
      <c r="AA2900" t="s">
        <v>49</v>
      </c>
      <c r="AB2900" t="s">
        <v>50</v>
      </c>
      <c r="AC2900" s="2">
        <v>214660.61</v>
      </c>
      <c r="AD2900" t="s">
        <v>13944</v>
      </c>
      <c r="AE2900" t="s">
        <v>115</v>
      </c>
    </row>
    <row r="2901" spans="1:31" x14ac:dyDescent="0.25">
      <c r="A2901" t="s">
        <v>13945</v>
      </c>
      <c r="B2901" t="s">
        <v>13946</v>
      </c>
      <c r="C2901" t="s">
        <v>13946</v>
      </c>
      <c r="D2901" t="s">
        <v>35</v>
      </c>
      <c r="E2901" t="s">
        <v>36</v>
      </c>
      <c r="F2901" t="s">
        <v>13947</v>
      </c>
      <c r="G2901" t="s">
        <v>819</v>
      </c>
      <c r="H2901" t="s">
        <v>1335</v>
      </c>
      <c r="J2901" s="2">
        <v>174536</v>
      </c>
      <c r="K2901" s="2">
        <v>800</v>
      </c>
      <c r="L2901" s="2">
        <v>15</v>
      </c>
      <c r="M2901" s="2">
        <v>0</v>
      </c>
      <c r="N2901" t="s">
        <v>254</v>
      </c>
      <c r="O2901" t="s">
        <v>255</v>
      </c>
      <c r="P2901" t="s">
        <v>4374</v>
      </c>
      <c r="Q2901" t="s">
        <v>4375</v>
      </c>
      <c r="S2901" t="s">
        <v>13948</v>
      </c>
      <c r="T2901" t="s">
        <v>2288</v>
      </c>
      <c r="U2901" t="s">
        <v>45</v>
      </c>
      <c r="V2901" t="s">
        <v>46</v>
      </c>
      <c r="W2901" t="s">
        <v>254</v>
      </c>
      <c r="X2901" t="s">
        <v>255</v>
      </c>
      <c r="Y2901" t="s">
        <v>258</v>
      </c>
      <c r="Z2901" t="s">
        <v>259</v>
      </c>
      <c r="AA2901" t="s">
        <v>49</v>
      </c>
      <c r="AB2901" t="s">
        <v>50</v>
      </c>
      <c r="AC2901" s="2">
        <v>169003.78</v>
      </c>
      <c r="AD2901" t="s">
        <v>13949</v>
      </c>
      <c r="AE2901" t="s">
        <v>115</v>
      </c>
    </row>
    <row r="2902" spans="1:31" x14ac:dyDescent="0.25">
      <c r="A2902" t="s">
        <v>13950</v>
      </c>
      <c r="B2902" t="s">
        <v>13951</v>
      </c>
      <c r="C2902" t="s">
        <v>13951</v>
      </c>
      <c r="D2902" t="s">
        <v>888</v>
      </c>
      <c r="E2902" t="s">
        <v>167</v>
      </c>
      <c r="F2902" t="s">
        <v>13952</v>
      </c>
      <c r="G2902" t="s">
        <v>555</v>
      </c>
      <c r="H2902" t="s">
        <v>7938</v>
      </c>
      <c r="I2902" t="s">
        <v>13953</v>
      </c>
      <c r="J2902" s="2">
        <v>218170</v>
      </c>
      <c r="K2902" s="2">
        <v>1000</v>
      </c>
      <c r="L2902" s="2">
        <v>30</v>
      </c>
      <c r="M2902" s="2">
        <v>0</v>
      </c>
      <c r="N2902" t="s">
        <v>13297</v>
      </c>
      <c r="O2902" t="s">
        <v>13295</v>
      </c>
      <c r="P2902" t="s">
        <v>10093</v>
      </c>
      <c r="Q2902" t="s">
        <v>10094</v>
      </c>
      <c r="S2902" t="s">
        <v>13954</v>
      </c>
      <c r="T2902" t="s">
        <v>2288</v>
      </c>
      <c r="U2902" t="s">
        <v>45</v>
      </c>
      <c r="V2902" t="s">
        <v>46</v>
      </c>
      <c r="W2902" t="s">
        <v>13297</v>
      </c>
      <c r="X2902" t="s">
        <v>13295</v>
      </c>
      <c r="Y2902" t="s">
        <v>7938</v>
      </c>
      <c r="Z2902" t="s">
        <v>7939</v>
      </c>
      <c r="AA2902" t="s">
        <v>49</v>
      </c>
      <c r="AB2902" t="s">
        <v>50</v>
      </c>
      <c r="AC2902" s="2">
        <v>183958.46</v>
      </c>
      <c r="AD2902" t="s">
        <v>13955</v>
      </c>
    </row>
    <row r="2903" spans="1:31" hidden="1" x14ac:dyDescent="0.25">
      <c r="A2903" t="s">
        <v>13956</v>
      </c>
      <c r="B2903" t="s">
        <v>13957</v>
      </c>
      <c r="C2903" t="s">
        <v>13958</v>
      </c>
      <c r="F2903" t="s">
        <v>13959</v>
      </c>
      <c r="H2903" t="s">
        <v>137</v>
      </c>
      <c r="J2903" s="2">
        <v>109085</v>
      </c>
      <c r="K2903" s="2">
        <v>500</v>
      </c>
      <c r="L2903" s="2">
        <v>15</v>
      </c>
      <c r="M2903" s="2">
        <v>0</v>
      </c>
      <c r="N2903" t="s">
        <v>13960</v>
      </c>
      <c r="O2903" t="s">
        <v>13961</v>
      </c>
      <c r="P2903" t="s">
        <v>3534</v>
      </c>
      <c r="Q2903" t="s">
        <v>3535</v>
      </c>
      <c r="S2903" t="s">
        <v>13962</v>
      </c>
      <c r="T2903" t="s">
        <v>2288</v>
      </c>
      <c r="U2903" t="s">
        <v>45</v>
      </c>
      <c r="V2903" t="s">
        <v>46</v>
      </c>
      <c r="W2903" t="s">
        <v>13960</v>
      </c>
      <c r="X2903" t="s">
        <v>13963</v>
      </c>
      <c r="Y2903" t="s">
        <v>137</v>
      </c>
      <c r="Z2903" t="s">
        <v>717</v>
      </c>
      <c r="AA2903" t="s">
        <v>49</v>
      </c>
      <c r="AB2903" t="s">
        <v>50</v>
      </c>
      <c r="AC2903" s="2">
        <v>109085</v>
      </c>
      <c r="AD2903" t="s">
        <v>64</v>
      </c>
    </row>
    <row r="2904" spans="1:31" hidden="1" x14ac:dyDescent="0.25">
      <c r="A2904" t="s">
        <v>13964</v>
      </c>
      <c r="B2904" t="s">
        <v>13965</v>
      </c>
      <c r="C2904" t="s">
        <v>13965</v>
      </c>
      <c r="F2904" t="s">
        <v>13966</v>
      </c>
      <c r="H2904" t="s">
        <v>2539</v>
      </c>
      <c r="I2904" t="s">
        <v>13967</v>
      </c>
      <c r="J2904" s="2">
        <v>218170</v>
      </c>
      <c r="K2904" s="2">
        <v>1000</v>
      </c>
      <c r="L2904" s="2">
        <v>5</v>
      </c>
      <c r="M2904" s="2">
        <v>0</v>
      </c>
      <c r="N2904" t="s">
        <v>2541</v>
      </c>
      <c r="O2904" t="s">
        <v>2542</v>
      </c>
      <c r="P2904" t="s">
        <v>2320</v>
      </c>
      <c r="Q2904" t="s">
        <v>2321</v>
      </c>
      <c r="S2904" t="s">
        <v>13968</v>
      </c>
      <c r="T2904" t="s">
        <v>2288</v>
      </c>
      <c r="U2904" t="s">
        <v>45</v>
      </c>
      <c r="V2904" t="s">
        <v>46</v>
      </c>
      <c r="W2904" t="s">
        <v>2541</v>
      </c>
      <c r="X2904" t="s">
        <v>2542</v>
      </c>
      <c r="Y2904" t="s">
        <v>121</v>
      </c>
      <c r="Z2904" t="s">
        <v>94</v>
      </c>
      <c r="AA2904" t="s">
        <v>49</v>
      </c>
      <c r="AB2904" t="s">
        <v>50</v>
      </c>
      <c r="AC2904" s="2">
        <v>218170</v>
      </c>
      <c r="AD2904" t="s">
        <v>64</v>
      </c>
    </row>
    <row r="2905" spans="1:31" x14ac:dyDescent="0.25">
      <c r="A2905" t="s">
        <v>13969</v>
      </c>
      <c r="B2905" t="s">
        <v>13970</v>
      </c>
      <c r="C2905" t="s">
        <v>13970</v>
      </c>
      <c r="D2905" t="s">
        <v>847</v>
      </c>
      <c r="E2905" t="s">
        <v>848</v>
      </c>
      <c r="F2905" t="s">
        <v>13971</v>
      </c>
      <c r="G2905" t="s">
        <v>847</v>
      </c>
      <c r="H2905" t="s">
        <v>7938</v>
      </c>
      <c r="I2905" t="s">
        <v>13972</v>
      </c>
      <c r="J2905" s="2">
        <v>218170</v>
      </c>
      <c r="K2905" s="2">
        <v>1000</v>
      </c>
      <c r="L2905" s="2">
        <v>30</v>
      </c>
      <c r="M2905" s="2">
        <v>0</v>
      </c>
      <c r="N2905" t="s">
        <v>10106</v>
      </c>
      <c r="O2905" t="s">
        <v>10105</v>
      </c>
      <c r="P2905" t="s">
        <v>10093</v>
      </c>
      <c r="Q2905" t="s">
        <v>10094</v>
      </c>
      <c r="S2905" t="s">
        <v>13973</v>
      </c>
      <c r="T2905" t="s">
        <v>2288</v>
      </c>
      <c r="U2905" t="s">
        <v>45</v>
      </c>
      <c r="V2905" t="s">
        <v>46</v>
      </c>
      <c r="W2905" t="s">
        <v>10106</v>
      </c>
      <c r="X2905" t="s">
        <v>10105</v>
      </c>
      <c r="Y2905" t="s">
        <v>7938</v>
      </c>
      <c r="Z2905" t="s">
        <v>7939</v>
      </c>
      <c r="AA2905" t="s">
        <v>49</v>
      </c>
      <c r="AB2905" t="s">
        <v>50</v>
      </c>
      <c r="AC2905" s="2">
        <v>74926.710000000006</v>
      </c>
      <c r="AD2905" t="s">
        <v>13974</v>
      </c>
      <c r="AE2905" t="s">
        <v>52</v>
      </c>
    </row>
    <row r="2906" spans="1:31" x14ac:dyDescent="0.25">
      <c r="A2906" t="s">
        <v>13975</v>
      </c>
      <c r="B2906" t="s">
        <v>13976</v>
      </c>
      <c r="C2906" t="s">
        <v>13976</v>
      </c>
      <c r="D2906" t="s">
        <v>125</v>
      </c>
      <c r="E2906" t="s">
        <v>126</v>
      </c>
      <c r="F2906" t="s">
        <v>13977</v>
      </c>
      <c r="G2906" t="s">
        <v>125</v>
      </c>
      <c r="H2906" t="s">
        <v>10141</v>
      </c>
      <c r="J2906" s="2">
        <v>865935</v>
      </c>
      <c r="K2906" s="2">
        <v>3500</v>
      </c>
      <c r="L2906" s="2">
        <v>30</v>
      </c>
      <c r="M2906" s="2">
        <v>0</v>
      </c>
      <c r="N2906" t="s">
        <v>10216</v>
      </c>
      <c r="O2906" t="s">
        <v>10214</v>
      </c>
      <c r="P2906" t="s">
        <v>10093</v>
      </c>
      <c r="Q2906" t="s">
        <v>10094</v>
      </c>
      <c r="S2906" t="s">
        <v>13978</v>
      </c>
      <c r="T2906" t="s">
        <v>2288</v>
      </c>
      <c r="U2906" t="s">
        <v>45</v>
      </c>
      <c r="V2906" t="s">
        <v>46</v>
      </c>
      <c r="W2906" t="s">
        <v>10216</v>
      </c>
      <c r="X2906" t="s">
        <v>10214</v>
      </c>
      <c r="Y2906" t="s">
        <v>7938</v>
      </c>
      <c r="Z2906" t="s">
        <v>7939</v>
      </c>
      <c r="AA2906" t="s">
        <v>49</v>
      </c>
      <c r="AB2906" t="s">
        <v>50</v>
      </c>
      <c r="AC2906" s="2">
        <v>82274.55</v>
      </c>
      <c r="AD2906" t="s">
        <v>13979</v>
      </c>
      <c r="AE2906" t="s">
        <v>52</v>
      </c>
    </row>
    <row r="2907" spans="1:31" x14ac:dyDescent="0.25">
      <c r="A2907" t="s">
        <v>13980</v>
      </c>
      <c r="B2907" t="s">
        <v>13981</v>
      </c>
      <c r="C2907" t="s">
        <v>13981</v>
      </c>
      <c r="D2907" t="s">
        <v>125</v>
      </c>
      <c r="E2907" t="s">
        <v>126</v>
      </c>
      <c r="F2907" t="s">
        <v>13982</v>
      </c>
      <c r="G2907" t="s">
        <v>125</v>
      </c>
      <c r="H2907" t="s">
        <v>7938</v>
      </c>
      <c r="I2907" t="s">
        <v>13983</v>
      </c>
      <c r="J2907" s="2">
        <v>989640</v>
      </c>
      <c r="K2907" s="2">
        <v>4000</v>
      </c>
      <c r="L2907" s="2">
        <v>30</v>
      </c>
      <c r="M2907" s="2">
        <v>0</v>
      </c>
      <c r="N2907" t="s">
        <v>8792</v>
      </c>
      <c r="O2907" t="s">
        <v>8790</v>
      </c>
      <c r="P2907" t="s">
        <v>10093</v>
      </c>
      <c r="Q2907" t="s">
        <v>10094</v>
      </c>
      <c r="S2907" t="s">
        <v>13984</v>
      </c>
      <c r="T2907" t="s">
        <v>2288</v>
      </c>
      <c r="U2907" t="s">
        <v>45</v>
      </c>
      <c r="V2907" t="s">
        <v>46</v>
      </c>
      <c r="W2907" t="s">
        <v>8792</v>
      </c>
      <c r="X2907" t="s">
        <v>8790</v>
      </c>
      <c r="Y2907" t="s">
        <v>7938</v>
      </c>
      <c r="Z2907" t="s">
        <v>7939</v>
      </c>
      <c r="AA2907" t="s">
        <v>49</v>
      </c>
      <c r="AB2907" t="s">
        <v>50</v>
      </c>
      <c r="AC2907" s="2">
        <v>342698.28</v>
      </c>
      <c r="AD2907" t="s">
        <v>13985</v>
      </c>
      <c r="AE2907" t="s">
        <v>52</v>
      </c>
    </row>
    <row r="2908" spans="1:31" x14ac:dyDescent="0.25">
      <c r="A2908" t="s">
        <v>13986</v>
      </c>
      <c r="B2908" t="s">
        <v>13987</v>
      </c>
      <c r="C2908" t="s">
        <v>13987</v>
      </c>
      <c r="D2908" t="s">
        <v>125</v>
      </c>
      <c r="E2908" t="s">
        <v>126</v>
      </c>
      <c r="F2908" t="s">
        <v>13971</v>
      </c>
      <c r="G2908" t="s">
        <v>35</v>
      </c>
      <c r="H2908" t="s">
        <v>7938</v>
      </c>
      <c r="J2908" s="2">
        <v>840820</v>
      </c>
      <c r="K2908" s="2">
        <v>3400</v>
      </c>
      <c r="L2908" s="2">
        <v>30</v>
      </c>
      <c r="M2908" s="2">
        <v>0</v>
      </c>
      <c r="N2908" t="s">
        <v>11323</v>
      </c>
      <c r="O2908" t="s">
        <v>11324</v>
      </c>
      <c r="P2908" t="s">
        <v>10093</v>
      </c>
      <c r="Q2908" t="s">
        <v>10094</v>
      </c>
      <c r="S2908" t="s">
        <v>13988</v>
      </c>
      <c r="T2908" t="s">
        <v>2288</v>
      </c>
      <c r="U2908" t="s">
        <v>45</v>
      </c>
      <c r="V2908" t="s">
        <v>46</v>
      </c>
      <c r="W2908" t="s">
        <v>11323</v>
      </c>
      <c r="X2908" t="s">
        <v>11324</v>
      </c>
      <c r="Y2908" t="s">
        <v>7938</v>
      </c>
      <c r="Z2908" t="s">
        <v>7939</v>
      </c>
      <c r="AA2908" t="s">
        <v>49</v>
      </c>
      <c r="AB2908" t="s">
        <v>50</v>
      </c>
      <c r="AC2908" s="2">
        <v>90090.34</v>
      </c>
      <c r="AD2908" t="s">
        <v>13989</v>
      </c>
      <c r="AE2908" t="s">
        <v>52</v>
      </c>
    </row>
    <row r="2909" spans="1:31" x14ac:dyDescent="0.25">
      <c r="A2909" t="s">
        <v>13990</v>
      </c>
      <c r="B2909" t="s">
        <v>13991</v>
      </c>
      <c r="C2909" t="s">
        <v>13991</v>
      </c>
      <c r="D2909" t="s">
        <v>125</v>
      </c>
      <c r="E2909" t="s">
        <v>126</v>
      </c>
      <c r="F2909" t="s">
        <v>13971</v>
      </c>
      <c r="G2909" t="s">
        <v>125</v>
      </c>
      <c r="H2909" t="s">
        <v>7938</v>
      </c>
      <c r="J2909" s="2">
        <v>368505</v>
      </c>
      <c r="K2909" s="2">
        <v>1500</v>
      </c>
      <c r="L2909" s="2">
        <v>30</v>
      </c>
      <c r="M2909" s="2">
        <v>0</v>
      </c>
      <c r="N2909" t="s">
        <v>11323</v>
      </c>
      <c r="O2909" t="s">
        <v>11324</v>
      </c>
      <c r="P2909" t="s">
        <v>10093</v>
      </c>
      <c r="Q2909" t="s">
        <v>10094</v>
      </c>
      <c r="S2909" t="s">
        <v>13992</v>
      </c>
      <c r="T2909" t="s">
        <v>2288</v>
      </c>
      <c r="U2909" t="s">
        <v>45</v>
      </c>
      <c r="V2909" t="s">
        <v>46</v>
      </c>
      <c r="W2909" t="s">
        <v>11323</v>
      </c>
      <c r="X2909" t="s">
        <v>11324</v>
      </c>
      <c r="Y2909" t="s">
        <v>7938</v>
      </c>
      <c r="Z2909" t="s">
        <v>7939</v>
      </c>
      <c r="AA2909" t="s">
        <v>49</v>
      </c>
      <c r="AB2909" t="s">
        <v>50</v>
      </c>
      <c r="AC2909" s="2">
        <v>63263.839999999997</v>
      </c>
      <c r="AD2909" t="s">
        <v>13993</v>
      </c>
      <c r="AE2909" t="s">
        <v>52</v>
      </c>
    </row>
    <row r="2910" spans="1:31" x14ac:dyDescent="0.25">
      <c r="A2910" t="s">
        <v>13994</v>
      </c>
      <c r="B2910" t="s">
        <v>13995</v>
      </c>
      <c r="C2910" t="s">
        <v>13996</v>
      </c>
      <c r="D2910" t="s">
        <v>847</v>
      </c>
      <c r="E2910" t="s">
        <v>848</v>
      </c>
      <c r="F2910" t="s">
        <v>13997</v>
      </c>
      <c r="G2910" t="s">
        <v>847</v>
      </c>
      <c r="H2910" t="s">
        <v>1360</v>
      </c>
      <c r="J2910" s="2">
        <v>218170</v>
      </c>
      <c r="K2910" s="2">
        <v>1000</v>
      </c>
      <c r="L2910" s="2">
        <v>30</v>
      </c>
      <c r="M2910" s="2">
        <v>0</v>
      </c>
      <c r="N2910" t="s">
        <v>1362</v>
      </c>
      <c r="O2910" t="s">
        <v>1360</v>
      </c>
      <c r="P2910" t="s">
        <v>4853</v>
      </c>
      <c r="Q2910" t="s">
        <v>4854</v>
      </c>
      <c r="S2910" t="s">
        <v>13998</v>
      </c>
      <c r="T2910" t="s">
        <v>2288</v>
      </c>
      <c r="U2910" t="s">
        <v>45</v>
      </c>
      <c r="V2910" t="s">
        <v>46</v>
      </c>
      <c r="W2910" t="s">
        <v>1362</v>
      </c>
      <c r="X2910" t="s">
        <v>1360</v>
      </c>
      <c r="Y2910" t="s">
        <v>1215</v>
      </c>
      <c r="Z2910" t="s">
        <v>1216</v>
      </c>
      <c r="AA2910" t="s">
        <v>49</v>
      </c>
      <c r="AB2910" t="s">
        <v>50</v>
      </c>
      <c r="AC2910" s="2">
        <v>85932.9</v>
      </c>
      <c r="AD2910" t="s">
        <v>13999</v>
      </c>
      <c r="AE2910" t="s">
        <v>52</v>
      </c>
    </row>
    <row r="2911" spans="1:31" x14ac:dyDescent="0.25">
      <c r="A2911" t="s">
        <v>14000</v>
      </c>
      <c r="B2911" t="s">
        <v>14001</v>
      </c>
      <c r="C2911" t="s">
        <v>14001</v>
      </c>
      <c r="D2911" t="s">
        <v>847</v>
      </c>
      <c r="E2911" t="s">
        <v>848</v>
      </c>
      <c r="F2911" t="s">
        <v>14002</v>
      </c>
      <c r="G2911" t="s">
        <v>498</v>
      </c>
      <c r="H2911" t="s">
        <v>1360</v>
      </c>
      <c r="J2911" s="2">
        <v>218170</v>
      </c>
      <c r="K2911" s="2">
        <v>1000</v>
      </c>
      <c r="L2911" s="2">
        <v>7</v>
      </c>
      <c r="M2911" s="2">
        <v>0</v>
      </c>
      <c r="N2911" t="s">
        <v>1362</v>
      </c>
      <c r="O2911" t="s">
        <v>1360</v>
      </c>
      <c r="P2911" t="s">
        <v>1421</v>
      </c>
      <c r="Q2911" t="s">
        <v>1422</v>
      </c>
      <c r="S2911" t="s">
        <v>14003</v>
      </c>
      <c r="T2911" t="s">
        <v>1291</v>
      </c>
      <c r="U2911" t="s">
        <v>45</v>
      </c>
      <c r="V2911" t="s">
        <v>46</v>
      </c>
      <c r="W2911" t="s">
        <v>1362</v>
      </c>
      <c r="X2911" t="s">
        <v>1360</v>
      </c>
      <c r="Y2911" t="s">
        <v>1215</v>
      </c>
      <c r="Z2911" t="s">
        <v>1216</v>
      </c>
      <c r="AA2911" t="s">
        <v>49</v>
      </c>
      <c r="AB2911" t="s">
        <v>50</v>
      </c>
      <c r="AC2911" s="2">
        <v>197844.56</v>
      </c>
      <c r="AD2911" t="s">
        <v>14004</v>
      </c>
      <c r="AE2911" t="s">
        <v>115</v>
      </c>
    </row>
    <row r="2912" spans="1:31" x14ac:dyDescent="0.25">
      <c r="A2912" t="s">
        <v>14005</v>
      </c>
      <c r="B2912" t="s">
        <v>14006</v>
      </c>
      <c r="C2912" t="s">
        <v>14006</v>
      </c>
      <c r="D2912" t="s">
        <v>297</v>
      </c>
      <c r="E2912" t="s">
        <v>167</v>
      </c>
      <c r="F2912" t="s">
        <v>14007</v>
      </c>
      <c r="G2912" t="s">
        <v>297</v>
      </c>
      <c r="H2912" t="s">
        <v>12118</v>
      </c>
      <c r="I2912" t="s">
        <v>14008</v>
      </c>
      <c r="J2912" s="2">
        <v>218170</v>
      </c>
      <c r="K2912" s="2">
        <v>1000</v>
      </c>
      <c r="L2912" s="2">
        <v>15</v>
      </c>
      <c r="M2912" s="2">
        <v>0</v>
      </c>
      <c r="N2912" t="s">
        <v>80</v>
      </c>
      <c r="O2912" t="s">
        <v>81</v>
      </c>
      <c r="P2912" t="s">
        <v>557</v>
      </c>
      <c r="Q2912" t="s">
        <v>558</v>
      </c>
      <c r="S2912" t="s">
        <v>14009</v>
      </c>
      <c r="T2912" t="s">
        <v>577</v>
      </c>
      <c r="U2912" t="s">
        <v>45</v>
      </c>
      <c r="V2912" t="s">
        <v>46</v>
      </c>
      <c r="W2912" t="s">
        <v>80</v>
      </c>
      <c r="X2912" t="s">
        <v>81</v>
      </c>
      <c r="Y2912" t="s">
        <v>85</v>
      </c>
      <c r="Z2912" t="s">
        <v>86</v>
      </c>
      <c r="AA2912" t="s">
        <v>49</v>
      </c>
      <c r="AB2912" t="s">
        <v>50</v>
      </c>
      <c r="AC2912" s="2">
        <v>200136.83</v>
      </c>
      <c r="AD2912" t="s">
        <v>14010</v>
      </c>
      <c r="AE2912" t="s">
        <v>52</v>
      </c>
    </row>
    <row r="2913" spans="1:31" x14ac:dyDescent="0.25">
      <c r="A2913" t="s">
        <v>14011</v>
      </c>
      <c r="B2913" t="s">
        <v>14012</v>
      </c>
      <c r="C2913" t="s">
        <v>14012</v>
      </c>
      <c r="D2913" t="s">
        <v>125</v>
      </c>
      <c r="E2913" t="s">
        <v>126</v>
      </c>
      <c r="F2913" t="s">
        <v>14013</v>
      </c>
      <c r="G2913" t="s">
        <v>125</v>
      </c>
      <c r="H2913" t="s">
        <v>10141</v>
      </c>
      <c r="I2913" t="s">
        <v>14014</v>
      </c>
      <c r="J2913" s="2">
        <v>2181700</v>
      </c>
      <c r="K2913" s="2">
        <v>10000</v>
      </c>
      <c r="L2913" s="2">
        <v>30</v>
      </c>
      <c r="M2913" s="2">
        <v>0</v>
      </c>
      <c r="N2913" t="s">
        <v>7936</v>
      </c>
      <c r="O2913" t="s">
        <v>7935</v>
      </c>
      <c r="P2913" t="s">
        <v>10093</v>
      </c>
      <c r="Q2913" t="s">
        <v>10094</v>
      </c>
      <c r="S2913" t="s">
        <v>14015</v>
      </c>
      <c r="T2913" t="s">
        <v>577</v>
      </c>
      <c r="U2913" t="s">
        <v>45</v>
      </c>
      <c r="V2913" t="s">
        <v>46</v>
      </c>
      <c r="W2913" t="s">
        <v>7936</v>
      </c>
      <c r="X2913" t="s">
        <v>7935</v>
      </c>
      <c r="Y2913" t="s">
        <v>7938</v>
      </c>
      <c r="Z2913" t="s">
        <v>7939</v>
      </c>
      <c r="AA2913" t="s">
        <v>49</v>
      </c>
      <c r="AB2913" t="s">
        <v>50</v>
      </c>
      <c r="AC2913" s="2">
        <v>1251781.03</v>
      </c>
      <c r="AD2913" t="s">
        <v>14016</v>
      </c>
      <c r="AE2913" t="s">
        <v>52</v>
      </c>
    </row>
    <row r="2914" spans="1:31" x14ac:dyDescent="0.25">
      <c r="A2914" t="s">
        <v>14017</v>
      </c>
      <c r="B2914" t="s">
        <v>14018</v>
      </c>
      <c r="C2914" t="s">
        <v>14018</v>
      </c>
      <c r="D2914" t="s">
        <v>847</v>
      </c>
      <c r="E2914" t="s">
        <v>848</v>
      </c>
      <c r="F2914" t="s">
        <v>14019</v>
      </c>
      <c r="G2914" t="s">
        <v>847</v>
      </c>
      <c r="H2914" t="s">
        <v>10141</v>
      </c>
      <c r="I2914" t="s">
        <v>14020</v>
      </c>
      <c r="J2914" s="2">
        <v>218170</v>
      </c>
      <c r="K2914" s="2">
        <v>1000</v>
      </c>
      <c r="L2914" s="2">
        <v>30</v>
      </c>
      <c r="M2914" s="2">
        <v>0</v>
      </c>
      <c r="N2914" t="s">
        <v>7936</v>
      </c>
      <c r="O2914" t="s">
        <v>7935</v>
      </c>
      <c r="P2914" t="s">
        <v>10093</v>
      </c>
      <c r="Q2914" t="s">
        <v>10094</v>
      </c>
      <c r="S2914" t="s">
        <v>14021</v>
      </c>
      <c r="T2914" t="s">
        <v>2389</v>
      </c>
      <c r="U2914" t="s">
        <v>45</v>
      </c>
      <c r="V2914" t="s">
        <v>46</v>
      </c>
      <c r="W2914" t="s">
        <v>7936</v>
      </c>
      <c r="X2914" t="s">
        <v>7935</v>
      </c>
      <c r="Y2914" t="s">
        <v>7938</v>
      </c>
      <c r="Z2914" t="s">
        <v>7939</v>
      </c>
      <c r="AA2914" t="s">
        <v>49</v>
      </c>
      <c r="AB2914" t="s">
        <v>50</v>
      </c>
      <c r="AC2914" s="2">
        <v>162667.63</v>
      </c>
      <c r="AD2914" t="s">
        <v>14022</v>
      </c>
      <c r="AE2914" t="s">
        <v>52</v>
      </c>
    </row>
    <row r="2915" spans="1:31" x14ac:dyDescent="0.25">
      <c r="A2915" t="s">
        <v>14023</v>
      </c>
      <c r="B2915" t="s">
        <v>14024</v>
      </c>
      <c r="C2915" t="s">
        <v>14024</v>
      </c>
      <c r="D2915" t="s">
        <v>478</v>
      </c>
      <c r="E2915" t="s">
        <v>190</v>
      </c>
      <c r="F2915" t="s">
        <v>14025</v>
      </c>
      <c r="G2915" t="s">
        <v>649</v>
      </c>
      <c r="H2915" t="s">
        <v>10141</v>
      </c>
      <c r="I2915" t="s">
        <v>14026</v>
      </c>
      <c r="J2915" s="2">
        <v>218170</v>
      </c>
      <c r="K2915" s="2">
        <v>1000</v>
      </c>
      <c r="L2915" s="2">
        <v>30</v>
      </c>
      <c r="M2915" s="2">
        <v>0</v>
      </c>
      <c r="N2915" t="s">
        <v>7936</v>
      </c>
      <c r="O2915" t="s">
        <v>7935</v>
      </c>
      <c r="P2915" t="s">
        <v>10093</v>
      </c>
      <c r="Q2915" t="s">
        <v>10094</v>
      </c>
      <c r="S2915" t="s">
        <v>14027</v>
      </c>
      <c r="T2915" t="s">
        <v>2389</v>
      </c>
      <c r="U2915" t="s">
        <v>45</v>
      </c>
      <c r="V2915" t="s">
        <v>46</v>
      </c>
      <c r="W2915" t="s">
        <v>7936</v>
      </c>
      <c r="X2915" t="s">
        <v>7935</v>
      </c>
      <c r="Y2915" t="s">
        <v>7938</v>
      </c>
      <c r="Z2915" t="s">
        <v>7939</v>
      </c>
      <c r="AA2915" t="s">
        <v>49</v>
      </c>
      <c r="AB2915" t="s">
        <v>50</v>
      </c>
      <c r="AC2915" s="2">
        <v>218170</v>
      </c>
      <c r="AD2915" t="s">
        <v>64</v>
      </c>
    </row>
    <row r="2916" spans="1:31" x14ac:dyDescent="0.25">
      <c r="A2916" t="s">
        <v>14028</v>
      </c>
      <c r="B2916" t="s">
        <v>14029</v>
      </c>
      <c r="C2916" t="s">
        <v>14029</v>
      </c>
      <c r="D2916" t="s">
        <v>169</v>
      </c>
      <c r="E2916" t="s">
        <v>190</v>
      </c>
      <c r="F2916" t="s">
        <v>14030</v>
      </c>
      <c r="G2916" t="s">
        <v>817</v>
      </c>
      <c r="H2916" t="s">
        <v>7938</v>
      </c>
      <c r="I2916" t="s">
        <v>14031</v>
      </c>
      <c r="J2916" s="2">
        <v>218170</v>
      </c>
      <c r="K2916" s="2">
        <v>1000</v>
      </c>
      <c r="L2916" s="2">
        <v>30</v>
      </c>
      <c r="M2916" s="2">
        <v>0</v>
      </c>
      <c r="N2916" t="s">
        <v>8792</v>
      </c>
      <c r="O2916" t="s">
        <v>8790</v>
      </c>
      <c r="P2916" t="s">
        <v>10093</v>
      </c>
      <c r="Q2916" t="s">
        <v>10094</v>
      </c>
      <c r="S2916" t="s">
        <v>14032</v>
      </c>
      <c r="T2916" t="s">
        <v>2389</v>
      </c>
      <c r="U2916" t="s">
        <v>45</v>
      </c>
      <c r="V2916" t="s">
        <v>46</v>
      </c>
      <c r="W2916" t="s">
        <v>8792</v>
      </c>
      <c r="X2916" t="s">
        <v>8790</v>
      </c>
      <c r="Y2916" t="s">
        <v>7938</v>
      </c>
      <c r="Z2916" t="s">
        <v>7939</v>
      </c>
      <c r="AA2916" t="s">
        <v>49</v>
      </c>
      <c r="AB2916" t="s">
        <v>50</v>
      </c>
      <c r="AC2916" s="2">
        <v>218170</v>
      </c>
      <c r="AD2916" t="s">
        <v>64</v>
      </c>
    </row>
    <row r="2917" spans="1:31" x14ac:dyDescent="0.25">
      <c r="A2917" t="s">
        <v>14033</v>
      </c>
      <c r="B2917" t="s">
        <v>14034</v>
      </c>
      <c r="C2917" t="s">
        <v>14034</v>
      </c>
      <c r="D2917" t="s">
        <v>125</v>
      </c>
      <c r="E2917" t="s">
        <v>126</v>
      </c>
      <c r="F2917" t="s">
        <v>14035</v>
      </c>
      <c r="G2917" t="s">
        <v>125</v>
      </c>
      <c r="H2917" t="s">
        <v>139</v>
      </c>
      <c r="I2917" t="s">
        <v>14036</v>
      </c>
      <c r="J2917" s="2">
        <v>218170</v>
      </c>
      <c r="K2917" s="2">
        <v>1000</v>
      </c>
      <c r="L2917" s="2">
        <v>30</v>
      </c>
      <c r="M2917" s="2">
        <v>0</v>
      </c>
      <c r="N2917" t="s">
        <v>8853</v>
      </c>
      <c r="O2917" t="s">
        <v>139</v>
      </c>
      <c r="P2917" t="s">
        <v>941</v>
      </c>
      <c r="Q2917" t="s">
        <v>139</v>
      </c>
      <c r="S2917" t="s">
        <v>14037</v>
      </c>
      <c r="T2917" t="s">
        <v>2286</v>
      </c>
      <c r="U2917" t="s">
        <v>45</v>
      </c>
      <c r="V2917" t="s">
        <v>46</v>
      </c>
      <c r="W2917" t="s">
        <v>8853</v>
      </c>
      <c r="X2917" t="s">
        <v>139</v>
      </c>
      <c r="Y2917" t="s">
        <v>139</v>
      </c>
      <c r="Z2917" t="s">
        <v>140</v>
      </c>
      <c r="AA2917" t="s">
        <v>49</v>
      </c>
      <c r="AB2917" t="s">
        <v>50</v>
      </c>
      <c r="AC2917" s="2">
        <v>176687.5</v>
      </c>
      <c r="AD2917" t="s">
        <v>14038</v>
      </c>
      <c r="AE2917" t="s">
        <v>52</v>
      </c>
    </row>
    <row r="2918" spans="1:31" hidden="1" x14ac:dyDescent="0.25">
      <c r="A2918" t="s">
        <v>14039</v>
      </c>
      <c r="B2918" t="s">
        <v>14040</v>
      </c>
      <c r="C2918" t="s">
        <v>14040</v>
      </c>
      <c r="F2918" t="s">
        <v>14041</v>
      </c>
      <c r="H2918" t="s">
        <v>5739</v>
      </c>
      <c r="I2918" t="s">
        <v>14042</v>
      </c>
      <c r="J2918" s="2">
        <v>218170</v>
      </c>
      <c r="K2918" s="2">
        <v>1000</v>
      </c>
      <c r="L2918" s="2">
        <v>21</v>
      </c>
      <c r="M2918" s="2">
        <v>0</v>
      </c>
      <c r="N2918" t="s">
        <v>9588</v>
      </c>
      <c r="O2918" t="s">
        <v>9589</v>
      </c>
      <c r="P2918" t="s">
        <v>4853</v>
      </c>
      <c r="Q2918" t="s">
        <v>4854</v>
      </c>
      <c r="S2918" t="s">
        <v>14043</v>
      </c>
      <c r="T2918" t="s">
        <v>2286</v>
      </c>
      <c r="U2918" t="s">
        <v>45</v>
      </c>
      <c r="V2918" t="s">
        <v>46</v>
      </c>
      <c r="W2918" t="s">
        <v>9588</v>
      </c>
      <c r="X2918" t="s">
        <v>9587</v>
      </c>
      <c r="Y2918" t="s">
        <v>5743</v>
      </c>
      <c r="Z2918" t="s">
        <v>5744</v>
      </c>
      <c r="AA2918" t="s">
        <v>49</v>
      </c>
      <c r="AB2918" t="s">
        <v>50</v>
      </c>
      <c r="AC2918" s="2">
        <v>218170</v>
      </c>
      <c r="AD2918" t="s">
        <v>64</v>
      </c>
    </row>
    <row r="2919" spans="1:31" x14ac:dyDescent="0.25">
      <c r="A2919" t="s">
        <v>14044</v>
      </c>
      <c r="B2919" t="s">
        <v>14045</v>
      </c>
      <c r="C2919" t="s">
        <v>14045</v>
      </c>
      <c r="D2919" t="s">
        <v>178</v>
      </c>
      <c r="E2919" t="s">
        <v>179</v>
      </c>
      <c r="F2919" t="s">
        <v>14046</v>
      </c>
      <c r="G2919" t="s">
        <v>297</v>
      </c>
      <c r="H2919" t="s">
        <v>8790</v>
      </c>
      <c r="I2919" t="s">
        <v>14020</v>
      </c>
      <c r="J2919" s="2">
        <v>218170</v>
      </c>
      <c r="K2919" s="2">
        <v>1000</v>
      </c>
      <c r="L2919" s="2">
        <v>30</v>
      </c>
      <c r="M2919" s="2">
        <v>0</v>
      </c>
      <c r="N2919" t="s">
        <v>8792</v>
      </c>
      <c r="O2919" t="s">
        <v>8790</v>
      </c>
      <c r="P2919" t="s">
        <v>10093</v>
      </c>
      <c r="Q2919" t="s">
        <v>10094</v>
      </c>
      <c r="S2919" t="s">
        <v>14047</v>
      </c>
      <c r="T2919" t="s">
        <v>264</v>
      </c>
      <c r="U2919" t="s">
        <v>45</v>
      </c>
      <c r="V2919" t="s">
        <v>46</v>
      </c>
      <c r="W2919" t="s">
        <v>8792</v>
      </c>
      <c r="X2919" t="s">
        <v>8790</v>
      </c>
      <c r="Y2919" t="s">
        <v>7938</v>
      </c>
      <c r="Z2919" t="s">
        <v>7939</v>
      </c>
      <c r="AA2919" t="s">
        <v>49</v>
      </c>
      <c r="AB2919" t="s">
        <v>50</v>
      </c>
      <c r="AC2919" s="2">
        <v>210280.97</v>
      </c>
      <c r="AD2919" t="s">
        <v>14048</v>
      </c>
      <c r="AE2919" t="s">
        <v>52</v>
      </c>
    </row>
    <row r="2920" spans="1:31" x14ac:dyDescent="0.25">
      <c r="A2920" t="s">
        <v>14049</v>
      </c>
      <c r="B2920" t="s">
        <v>14050</v>
      </c>
      <c r="C2920" t="s">
        <v>14050</v>
      </c>
      <c r="D2920" t="s">
        <v>847</v>
      </c>
      <c r="E2920" t="s">
        <v>848</v>
      </c>
      <c r="F2920" t="s">
        <v>14051</v>
      </c>
      <c r="G2920" t="s">
        <v>299</v>
      </c>
      <c r="H2920" t="s">
        <v>7938</v>
      </c>
      <c r="I2920" t="s">
        <v>14052</v>
      </c>
      <c r="J2920" s="2">
        <v>218170</v>
      </c>
      <c r="K2920" s="2">
        <v>1000</v>
      </c>
      <c r="L2920" s="2">
        <v>30</v>
      </c>
      <c r="M2920" s="2">
        <v>0</v>
      </c>
      <c r="N2920" t="s">
        <v>14053</v>
      </c>
      <c r="O2920" t="s">
        <v>14054</v>
      </c>
      <c r="P2920" t="s">
        <v>10093</v>
      </c>
      <c r="Q2920" t="s">
        <v>10094</v>
      </c>
      <c r="S2920" t="s">
        <v>14055</v>
      </c>
      <c r="T2920" t="s">
        <v>264</v>
      </c>
      <c r="U2920" t="s">
        <v>45</v>
      </c>
      <c r="V2920" t="s">
        <v>46</v>
      </c>
      <c r="W2920" t="s">
        <v>14053</v>
      </c>
      <c r="X2920" t="s">
        <v>14054</v>
      </c>
      <c r="Y2920" t="s">
        <v>7938</v>
      </c>
      <c r="Z2920" t="s">
        <v>7939</v>
      </c>
      <c r="AA2920" t="s">
        <v>49</v>
      </c>
      <c r="AB2920" t="s">
        <v>50</v>
      </c>
      <c r="AC2920" s="2">
        <v>179879.75</v>
      </c>
      <c r="AD2920" t="s">
        <v>14056</v>
      </c>
      <c r="AE2920" t="s">
        <v>52</v>
      </c>
    </row>
    <row r="2921" spans="1:31" x14ac:dyDescent="0.25">
      <c r="A2921" t="s">
        <v>14057</v>
      </c>
      <c r="B2921" t="s">
        <v>14058</v>
      </c>
      <c r="C2921" t="s">
        <v>14059</v>
      </c>
      <c r="D2921" t="s">
        <v>125</v>
      </c>
      <c r="E2921" t="s">
        <v>126</v>
      </c>
      <c r="F2921" t="s">
        <v>14060</v>
      </c>
      <c r="G2921" t="s">
        <v>125</v>
      </c>
      <c r="H2921" t="s">
        <v>1360</v>
      </c>
      <c r="I2921" t="s">
        <v>14061</v>
      </c>
      <c r="J2921" s="2">
        <v>445091</v>
      </c>
      <c r="K2921" s="2">
        <v>1799</v>
      </c>
      <c r="L2921" s="2">
        <v>15</v>
      </c>
      <c r="M2921" s="2">
        <v>0</v>
      </c>
      <c r="N2921" t="s">
        <v>1362</v>
      </c>
      <c r="O2921" t="s">
        <v>1360</v>
      </c>
      <c r="P2921" t="s">
        <v>1212</v>
      </c>
      <c r="Q2921" t="s">
        <v>1213</v>
      </c>
      <c r="S2921" t="s">
        <v>14062</v>
      </c>
      <c r="T2921" t="s">
        <v>262</v>
      </c>
      <c r="U2921" t="s">
        <v>45</v>
      </c>
      <c r="V2921" t="s">
        <v>46</v>
      </c>
      <c r="W2921" t="s">
        <v>1362</v>
      </c>
      <c r="X2921" t="s">
        <v>1360</v>
      </c>
      <c r="Y2921" t="s">
        <v>1215</v>
      </c>
      <c r="Z2921" t="s">
        <v>1216</v>
      </c>
      <c r="AA2921" t="s">
        <v>49</v>
      </c>
      <c r="AB2921" t="s">
        <v>50</v>
      </c>
      <c r="AC2921" s="2">
        <v>4333.78</v>
      </c>
      <c r="AD2921" t="s">
        <v>14063</v>
      </c>
      <c r="AE2921" t="s">
        <v>52</v>
      </c>
    </row>
    <row r="2922" spans="1:31" x14ac:dyDescent="0.25">
      <c r="A2922" t="s">
        <v>14064</v>
      </c>
      <c r="B2922" t="s">
        <v>14065</v>
      </c>
      <c r="C2922" t="s">
        <v>14059</v>
      </c>
      <c r="D2922" t="s">
        <v>125</v>
      </c>
      <c r="E2922" t="s">
        <v>126</v>
      </c>
      <c r="F2922" t="s">
        <v>14060</v>
      </c>
      <c r="G2922" t="s">
        <v>125</v>
      </c>
      <c r="H2922" t="s">
        <v>1360</v>
      </c>
      <c r="I2922" t="s">
        <v>14061</v>
      </c>
      <c r="J2922" s="2">
        <v>295302</v>
      </c>
      <c r="K2922" s="2">
        <v>1185</v>
      </c>
      <c r="L2922" s="2">
        <v>15</v>
      </c>
      <c r="M2922" s="2">
        <v>0</v>
      </c>
      <c r="N2922" t="s">
        <v>14066</v>
      </c>
      <c r="O2922" t="s">
        <v>3124</v>
      </c>
      <c r="P2922" t="s">
        <v>1212</v>
      </c>
      <c r="Q2922" t="s">
        <v>1213</v>
      </c>
      <c r="S2922" t="s">
        <v>14062</v>
      </c>
      <c r="T2922" t="s">
        <v>262</v>
      </c>
      <c r="U2922" t="s">
        <v>45</v>
      </c>
      <c r="V2922" t="s">
        <v>46</v>
      </c>
      <c r="W2922" t="s">
        <v>3121</v>
      </c>
      <c r="X2922" t="s">
        <v>3124</v>
      </c>
      <c r="Y2922" t="s">
        <v>1215</v>
      </c>
      <c r="Z2922" t="s">
        <v>1216</v>
      </c>
      <c r="AA2922" t="s">
        <v>49</v>
      </c>
      <c r="AB2922" t="s">
        <v>50</v>
      </c>
      <c r="AC2922" s="2">
        <v>30690.51</v>
      </c>
      <c r="AD2922" t="s">
        <v>14067</v>
      </c>
      <c r="AE2922" t="s">
        <v>52</v>
      </c>
    </row>
    <row r="2923" spans="1:31" x14ac:dyDescent="0.25">
      <c r="A2923" t="s">
        <v>14068</v>
      </c>
      <c r="B2923" t="s">
        <v>14069</v>
      </c>
      <c r="C2923" t="s">
        <v>14059</v>
      </c>
      <c r="D2923" t="s">
        <v>847</v>
      </c>
      <c r="E2923" t="s">
        <v>848</v>
      </c>
      <c r="F2923" t="s">
        <v>14060</v>
      </c>
      <c r="G2923" t="s">
        <v>847</v>
      </c>
      <c r="H2923" t="s">
        <v>1360</v>
      </c>
      <c r="I2923" t="s">
        <v>14061</v>
      </c>
      <c r="J2923" s="2">
        <v>218170</v>
      </c>
      <c r="K2923" s="2">
        <v>1000</v>
      </c>
      <c r="L2923" s="2">
        <v>15</v>
      </c>
      <c r="M2923" s="2">
        <v>0</v>
      </c>
      <c r="N2923" t="s">
        <v>1362</v>
      </c>
      <c r="O2923" t="s">
        <v>1360</v>
      </c>
      <c r="P2923" t="s">
        <v>1212</v>
      </c>
      <c r="Q2923" t="s">
        <v>1213</v>
      </c>
      <c r="S2923" t="s">
        <v>14062</v>
      </c>
      <c r="T2923" t="s">
        <v>262</v>
      </c>
      <c r="U2923" t="s">
        <v>45</v>
      </c>
      <c r="V2923" t="s">
        <v>46</v>
      </c>
      <c r="W2923" t="s">
        <v>1362</v>
      </c>
      <c r="X2923" t="s">
        <v>1360</v>
      </c>
      <c r="Y2923" t="s">
        <v>1215</v>
      </c>
      <c r="Z2923" t="s">
        <v>1216</v>
      </c>
      <c r="AA2923" t="s">
        <v>49</v>
      </c>
      <c r="AB2923" t="s">
        <v>50</v>
      </c>
      <c r="AC2923" s="2">
        <v>82443.56</v>
      </c>
      <c r="AD2923" t="s">
        <v>14070</v>
      </c>
      <c r="AE2923" t="s">
        <v>52</v>
      </c>
    </row>
    <row r="2924" spans="1:31" x14ac:dyDescent="0.25">
      <c r="A2924" t="s">
        <v>14071</v>
      </c>
      <c r="B2924" t="s">
        <v>14072</v>
      </c>
      <c r="C2924" t="s">
        <v>14073</v>
      </c>
      <c r="D2924" t="s">
        <v>847</v>
      </c>
      <c r="E2924" t="s">
        <v>848</v>
      </c>
      <c r="F2924" t="s">
        <v>14060</v>
      </c>
      <c r="G2924" t="s">
        <v>847</v>
      </c>
      <c r="H2924" t="s">
        <v>1360</v>
      </c>
      <c r="I2924" t="s">
        <v>14061</v>
      </c>
      <c r="J2924" s="2">
        <v>218170</v>
      </c>
      <c r="K2924" s="2">
        <v>1000</v>
      </c>
      <c r="L2924" s="2">
        <v>15</v>
      </c>
      <c r="M2924" s="2">
        <v>0</v>
      </c>
      <c r="N2924" t="s">
        <v>1362</v>
      </c>
      <c r="O2924" t="s">
        <v>1360</v>
      </c>
      <c r="P2924" t="s">
        <v>1212</v>
      </c>
      <c r="Q2924" t="s">
        <v>1213</v>
      </c>
      <c r="S2924" t="s">
        <v>14062</v>
      </c>
      <c r="T2924" t="s">
        <v>262</v>
      </c>
      <c r="U2924" t="s">
        <v>45</v>
      </c>
      <c r="V2924" t="s">
        <v>46</v>
      </c>
      <c r="W2924" t="s">
        <v>1362</v>
      </c>
      <c r="X2924" t="s">
        <v>1360</v>
      </c>
      <c r="Y2924" t="s">
        <v>1215</v>
      </c>
      <c r="Z2924" t="s">
        <v>1216</v>
      </c>
      <c r="AA2924" t="s">
        <v>49</v>
      </c>
      <c r="AB2924" t="s">
        <v>50</v>
      </c>
      <c r="AC2924" s="2">
        <v>109933.72</v>
      </c>
      <c r="AD2924" t="s">
        <v>14074</v>
      </c>
      <c r="AE2924" t="s">
        <v>52</v>
      </c>
    </row>
    <row r="2925" spans="1:31" x14ac:dyDescent="0.25">
      <c r="A2925" t="s">
        <v>14075</v>
      </c>
      <c r="B2925" t="s">
        <v>14076</v>
      </c>
      <c r="C2925" t="s">
        <v>14076</v>
      </c>
      <c r="D2925" t="s">
        <v>125</v>
      </c>
      <c r="E2925" t="s">
        <v>126</v>
      </c>
      <c r="F2925" t="s">
        <v>14077</v>
      </c>
      <c r="G2925" t="s">
        <v>792</v>
      </c>
      <c r="H2925" t="s">
        <v>2399</v>
      </c>
      <c r="I2925" t="s">
        <v>14078</v>
      </c>
      <c r="J2925" s="2">
        <v>161735</v>
      </c>
      <c r="K2925" s="2">
        <v>700</v>
      </c>
      <c r="L2925" s="2">
        <v>21</v>
      </c>
      <c r="M2925" s="2">
        <v>0</v>
      </c>
      <c r="N2925" t="s">
        <v>11225</v>
      </c>
      <c r="O2925" t="s">
        <v>2399</v>
      </c>
      <c r="P2925" t="s">
        <v>6987</v>
      </c>
      <c r="Q2925" t="s">
        <v>6988</v>
      </c>
      <c r="S2925" t="s">
        <v>14079</v>
      </c>
      <c r="T2925" t="s">
        <v>262</v>
      </c>
      <c r="U2925" t="s">
        <v>45</v>
      </c>
      <c r="V2925" t="s">
        <v>46</v>
      </c>
      <c r="W2925" t="s">
        <v>11225</v>
      </c>
      <c r="X2925" t="s">
        <v>2399</v>
      </c>
      <c r="Y2925" t="s">
        <v>2399</v>
      </c>
      <c r="Z2925" t="s">
        <v>2400</v>
      </c>
      <c r="AA2925" t="s">
        <v>49</v>
      </c>
      <c r="AB2925" t="s">
        <v>50</v>
      </c>
      <c r="AC2925" s="2">
        <v>161735</v>
      </c>
      <c r="AD2925" t="s">
        <v>64</v>
      </c>
    </row>
    <row r="2926" spans="1:31" x14ac:dyDescent="0.25">
      <c r="A2926" t="s">
        <v>14080</v>
      </c>
      <c r="B2926" t="s">
        <v>14081</v>
      </c>
      <c r="C2926" t="s">
        <v>14081</v>
      </c>
      <c r="D2926" t="s">
        <v>125</v>
      </c>
      <c r="E2926" t="s">
        <v>126</v>
      </c>
      <c r="F2926" t="s">
        <v>14082</v>
      </c>
      <c r="G2926" t="s">
        <v>125</v>
      </c>
      <c r="H2926" t="s">
        <v>7938</v>
      </c>
      <c r="I2926" t="s">
        <v>14083</v>
      </c>
      <c r="J2926" s="2">
        <v>1758960</v>
      </c>
      <c r="K2926" s="2">
        <v>8000</v>
      </c>
      <c r="L2926" s="2">
        <v>30</v>
      </c>
      <c r="M2926" s="2">
        <v>0</v>
      </c>
      <c r="N2926" t="s">
        <v>7936</v>
      </c>
      <c r="O2926" t="s">
        <v>7935</v>
      </c>
      <c r="P2926" t="s">
        <v>10093</v>
      </c>
      <c r="Q2926" t="s">
        <v>10094</v>
      </c>
      <c r="S2926" t="s">
        <v>14084</v>
      </c>
      <c r="T2926" t="s">
        <v>262</v>
      </c>
      <c r="U2926" t="s">
        <v>45</v>
      </c>
      <c r="V2926" t="s">
        <v>46</v>
      </c>
      <c r="W2926" t="s">
        <v>7936</v>
      </c>
      <c r="X2926" t="s">
        <v>7935</v>
      </c>
      <c r="Y2926" t="s">
        <v>7938</v>
      </c>
      <c r="Z2926" t="s">
        <v>7939</v>
      </c>
      <c r="AA2926" t="s">
        <v>49</v>
      </c>
      <c r="AB2926" t="s">
        <v>50</v>
      </c>
      <c r="AC2926" s="2">
        <v>1185274.19</v>
      </c>
      <c r="AD2926" t="s">
        <v>14085</v>
      </c>
      <c r="AE2926" t="s">
        <v>52</v>
      </c>
    </row>
    <row r="2927" spans="1:31" x14ac:dyDescent="0.25">
      <c r="A2927" t="s">
        <v>14086</v>
      </c>
      <c r="B2927" t="s">
        <v>14087</v>
      </c>
      <c r="C2927" t="s">
        <v>14087</v>
      </c>
      <c r="D2927" t="s">
        <v>478</v>
      </c>
      <c r="E2927" t="s">
        <v>190</v>
      </c>
      <c r="F2927" t="s">
        <v>14088</v>
      </c>
      <c r="G2927" t="s">
        <v>478</v>
      </c>
      <c r="H2927" t="s">
        <v>139</v>
      </c>
      <c r="I2927" t="s">
        <v>14089</v>
      </c>
      <c r="J2927" s="2">
        <v>327255</v>
      </c>
      <c r="K2927" s="2">
        <v>1500</v>
      </c>
      <c r="L2927" s="2">
        <v>30</v>
      </c>
      <c r="M2927" s="2">
        <v>0</v>
      </c>
      <c r="N2927" t="s">
        <v>8853</v>
      </c>
      <c r="O2927" t="s">
        <v>139</v>
      </c>
      <c r="P2927" t="s">
        <v>941</v>
      </c>
      <c r="Q2927" t="s">
        <v>139</v>
      </c>
      <c r="S2927" t="s">
        <v>14090</v>
      </c>
      <c r="T2927" t="s">
        <v>262</v>
      </c>
      <c r="U2927" t="s">
        <v>45</v>
      </c>
      <c r="V2927" t="s">
        <v>46</v>
      </c>
      <c r="W2927" t="s">
        <v>8853</v>
      </c>
      <c r="X2927" t="s">
        <v>139</v>
      </c>
      <c r="Y2927" t="s">
        <v>139</v>
      </c>
      <c r="Z2927" t="s">
        <v>140</v>
      </c>
      <c r="AA2927" t="s">
        <v>49</v>
      </c>
      <c r="AB2927" t="s">
        <v>50</v>
      </c>
      <c r="AC2927" s="2">
        <v>216857</v>
      </c>
      <c r="AD2927" t="s">
        <v>14091</v>
      </c>
      <c r="AE2927" t="s">
        <v>52</v>
      </c>
    </row>
    <row r="2928" spans="1:31" x14ac:dyDescent="0.25">
      <c r="A2928" t="s">
        <v>14092</v>
      </c>
      <c r="B2928" t="s">
        <v>14093</v>
      </c>
      <c r="C2928" t="s">
        <v>14093</v>
      </c>
      <c r="D2928" t="s">
        <v>153</v>
      </c>
      <c r="E2928" t="s">
        <v>272</v>
      </c>
      <c r="F2928" t="s">
        <v>14094</v>
      </c>
      <c r="G2928" t="s">
        <v>1734</v>
      </c>
      <c r="H2928" t="s">
        <v>2951</v>
      </c>
      <c r="I2928" t="s">
        <v>14095</v>
      </c>
      <c r="J2928" s="2">
        <v>10472160</v>
      </c>
      <c r="K2928" s="2">
        <v>48000</v>
      </c>
      <c r="L2928" s="2">
        <v>21</v>
      </c>
      <c r="M2928" s="2">
        <v>0</v>
      </c>
      <c r="N2928" t="s">
        <v>1725</v>
      </c>
      <c r="O2928" t="s">
        <v>1723</v>
      </c>
      <c r="P2928" t="s">
        <v>120</v>
      </c>
      <c r="Q2928" t="s">
        <v>121</v>
      </c>
      <c r="S2928" t="s">
        <v>14096</v>
      </c>
      <c r="T2928" t="s">
        <v>262</v>
      </c>
      <c r="U2928" t="s">
        <v>45</v>
      </c>
      <c r="V2928" t="s">
        <v>46</v>
      </c>
      <c r="W2928" t="s">
        <v>1725</v>
      </c>
      <c r="X2928" t="s">
        <v>1723</v>
      </c>
      <c r="Y2928" t="s">
        <v>121</v>
      </c>
      <c r="Z2928" t="s">
        <v>94</v>
      </c>
      <c r="AA2928" t="s">
        <v>49</v>
      </c>
      <c r="AB2928" t="s">
        <v>50</v>
      </c>
      <c r="AC2928" s="2">
        <v>9660661.75</v>
      </c>
      <c r="AD2928" t="s">
        <v>14097</v>
      </c>
      <c r="AE2928" t="s">
        <v>115</v>
      </c>
    </row>
    <row r="2929" spans="1:31" x14ac:dyDescent="0.25">
      <c r="A2929" t="s">
        <v>14098</v>
      </c>
      <c r="B2929" t="s">
        <v>14099</v>
      </c>
      <c r="C2929" t="s">
        <v>14100</v>
      </c>
      <c r="D2929" t="s">
        <v>125</v>
      </c>
      <c r="E2929" t="s">
        <v>126</v>
      </c>
      <c r="F2929" t="s">
        <v>14013</v>
      </c>
      <c r="G2929" t="s">
        <v>125</v>
      </c>
      <c r="H2929" t="s">
        <v>10141</v>
      </c>
      <c r="I2929" t="s">
        <v>14101</v>
      </c>
      <c r="J2929" s="2">
        <v>218170</v>
      </c>
      <c r="K2929" s="2">
        <v>1000</v>
      </c>
      <c r="L2929" s="2">
        <v>30</v>
      </c>
      <c r="M2929" s="2">
        <v>0</v>
      </c>
      <c r="N2929" t="s">
        <v>7936</v>
      </c>
      <c r="O2929" t="s">
        <v>7935</v>
      </c>
      <c r="P2929" t="s">
        <v>10093</v>
      </c>
      <c r="Q2929" t="s">
        <v>10094</v>
      </c>
      <c r="S2929" t="s">
        <v>14102</v>
      </c>
      <c r="T2929" t="s">
        <v>262</v>
      </c>
      <c r="U2929" t="s">
        <v>45</v>
      </c>
      <c r="V2929" t="s">
        <v>46</v>
      </c>
      <c r="W2929" t="s">
        <v>7936</v>
      </c>
      <c r="X2929" t="s">
        <v>7935</v>
      </c>
      <c r="Y2929" t="s">
        <v>7938</v>
      </c>
      <c r="Z2929" t="s">
        <v>7939</v>
      </c>
      <c r="AA2929" t="s">
        <v>49</v>
      </c>
      <c r="AB2929" t="s">
        <v>50</v>
      </c>
      <c r="AC2929" s="2">
        <v>175004.64</v>
      </c>
      <c r="AD2929" t="s">
        <v>14103</v>
      </c>
      <c r="AE2929" t="s">
        <v>52</v>
      </c>
    </row>
    <row r="2930" spans="1:31" x14ac:dyDescent="0.25">
      <c r="A2930" t="s">
        <v>14104</v>
      </c>
      <c r="B2930" t="s">
        <v>14105</v>
      </c>
      <c r="C2930" t="s">
        <v>14106</v>
      </c>
      <c r="D2930" t="s">
        <v>125</v>
      </c>
      <c r="E2930" t="s">
        <v>126</v>
      </c>
      <c r="F2930" t="s">
        <v>14107</v>
      </c>
      <c r="G2930" t="s">
        <v>847</v>
      </c>
      <c r="H2930" t="s">
        <v>5939</v>
      </c>
      <c r="I2930" t="s">
        <v>14108</v>
      </c>
      <c r="J2930" s="2">
        <v>250583</v>
      </c>
      <c r="K2930" s="2">
        <v>1020</v>
      </c>
      <c r="L2930" s="2">
        <v>15</v>
      </c>
      <c r="M2930" s="2">
        <v>0</v>
      </c>
      <c r="N2930" t="s">
        <v>5938</v>
      </c>
      <c r="O2930" t="s">
        <v>5939</v>
      </c>
      <c r="P2930" t="s">
        <v>82</v>
      </c>
      <c r="Q2930" t="s">
        <v>83</v>
      </c>
      <c r="S2930" t="s">
        <v>14109</v>
      </c>
      <c r="T2930" t="s">
        <v>5795</v>
      </c>
      <c r="U2930" t="s">
        <v>45</v>
      </c>
      <c r="V2930" t="s">
        <v>46</v>
      </c>
      <c r="W2930" t="s">
        <v>5938</v>
      </c>
      <c r="X2930" t="s">
        <v>5939</v>
      </c>
      <c r="Y2930" t="s">
        <v>85</v>
      </c>
      <c r="Z2930" t="s">
        <v>86</v>
      </c>
      <c r="AA2930" t="s">
        <v>49</v>
      </c>
      <c r="AB2930" t="s">
        <v>50</v>
      </c>
      <c r="AC2930" s="2">
        <v>99622.17</v>
      </c>
      <c r="AD2930" t="s">
        <v>14110</v>
      </c>
      <c r="AE2930" t="s">
        <v>52</v>
      </c>
    </row>
    <row r="2931" spans="1:31" hidden="1" x14ac:dyDescent="0.25">
      <c r="A2931" t="s">
        <v>14111</v>
      </c>
      <c r="B2931" t="s">
        <v>14112</v>
      </c>
      <c r="C2931" t="s">
        <v>14112</v>
      </c>
      <c r="F2931" t="s">
        <v>14113</v>
      </c>
      <c r="H2931" t="s">
        <v>1312</v>
      </c>
      <c r="I2931" t="s">
        <v>14114</v>
      </c>
      <c r="J2931" s="2">
        <v>218170</v>
      </c>
      <c r="K2931" s="2">
        <v>1000</v>
      </c>
      <c r="L2931" s="2">
        <v>7</v>
      </c>
      <c r="M2931" s="2">
        <v>0</v>
      </c>
      <c r="N2931" t="s">
        <v>883</v>
      </c>
      <c r="O2931" t="s">
        <v>881</v>
      </c>
      <c r="P2931" t="s">
        <v>158</v>
      </c>
      <c r="Q2931" t="s">
        <v>159</v>
      </c>
      <c r="S2931" t="s">
        <v>14115</v>
      </c>
      <c r="T2931" t="s">
        <v>5795</v>
      </c>
      <c r="U2931" t="s">
        <v>45</v>
      </c>
      <c r="V2931" t="s">
        <v>46</v>
      </c>
      <c r="W2931" t="s">
        <v>883</v>
      </c>
      <c r="X2931" t="s">
        <v>881</v>
      </c>
      <c r="Y2931" t="s">
        <v>161</v>
      </c>
      <c r="Z2931" t="s">
        <v>162</v>
      </c>
      <c r="AA2931" t="s">
        <v>49</v>
      </c>
      <c r="AB2931" t="s">
        <v>50</v>
      </c>
      <c r="AC2931" s="2">
        <v>218170</v>
      </c>
      <c r="AD2931" t="s">
        <v>64</v>
      </c>
    </row>
    <row r="2932" spans="1:31" hidden="1" x14ac:dyDescent="0.25">
      <c r="A2932" t="s">
        <v>14116</v>
      </c>
      <c r="B2932" t="s">
        <v>14117</v>
      </c>
      <c r="C2932" t="s">
        <v>14117</v>
      </c>
      <c r="F2932" t="s">
        <v>14118</v>
      </c>
      <c r="H2932" t="s">
        <v>2831</v>
      </c>
      <c r="I2932" t="s">
        <v>14119</v>
      </c>
      <c r="J2932" s="2">
        <v>218170</v>
      </c>
      <c r="K2932" s="2">
        <v>1000</v>
      </c>
      <c r="L2932" s="2">
        <v>1</v>
      </c>
      <c r="M2932" s="2">
        <v>0</v>
      </c>
      <c r="N2932" t="s">
        <v>80</v>
      </c>
      <c r="O2932" t="s">
        <v>81</v>
      </c>
      <c r="P2932" t="s">
        <v>557</v>
      </c>
      <c r="Q2932" t="s">
        <v>558</v>
      </c>
      <c r="S2932" t="s">
        <v>14120</v>
      </c>
      <c r="T2932" t="s">
        <v>1854</v>
      </c>
      <c r="U2932" t="s">
        <v>45</v>
      </c>
      <c r="V2932" t="s">
        <v>46</v>
      </c>
      <c r="W2932" t="s">
        <v>80</v>
      </c>
      <c r="X2932" t="s">
        <v>81</v>
      </c>
      <c r="Y2932" t="s">
        <v>85</v>
      </c>
      <c r="Z2932" t="s">
        <v>86</v>
      </c>
      <c r="AA2932" t="s">
        <v>49</v>
      </c>
      <c r="AB2932" t="s">
        <v>50</v>
      </c>
      <c r="AC2932" s="2">
        <v>218170</v>
      </c>
      <c r="AD2932" t="s">
        <v>64</v>
      </c>
    </row>
    <row r="2933" spans="1:31" x14ac:dyDescent="0.25">
      <c r="A2933" t="s">
        <v>14121</v>
      </c>
      <c r="B2933" t="s">
        <v>14122</v>
      </c>
      <c r="C2933" t="s">
        <v>14122</v>
      </c>
      <c r="D2933" t="s">
        <v>299</v>
      </c>
      <c r="E2933" t="s">
        <v>167</v>
      </c>
      <c r="F2933" t="s">
        <v>14123</v>
      </c>
      <c r="G2933" t="s">
        <v>299</v>
      </c>
      <c r="H2933" t="s">
        <v>2105</v>
      </c>
      <c r="I2933" t="s">
        <v>14124</v>
      </c>
      <c r="J2933" s="2">
        <v>1821720</v>
      </c>
      <c r="K2933" s="2">
        <v>8350</v>
      </c>
      <c r="L2933" s="2">
        <v>1</v>
      </c>
      <c r="M2933" s="2">
        <v>0</v>
      </c>
      <c r="N2933" t="s">
        <v>1546</v>
      </c>
      <c r="O2933" t="s">
        <v>1547</v>
      </c>
      <c r="P2933" t="s">
        <v>103</v>
      </c>
      <c r="Q2933" t="s">
        <v>104</v>
      </c>
      <c r="S2933" t="s">
        <v>14125</v>
      </c>
      <c r="T2933" t="s">
        <v>1854</v>
      </c>
      <c r="U2933" t="s">
        <v>45</v>
      </c>
      <c r="V2933" t="s">
        <v>46</v>
      </c>
      <c r="W2933" t="s">
        <v>1546</v>
      </c>
      <c r="X2933" t="s">
        <v>1547</v>
      </c>
      <c r="Y2933" t="s">
        <v>279</v>
      </c>
      <c r="Z2933" t="s">
        <v>280</v>
      </c>
      <c r="AA2933" t="s">
        <v>49</v>
      </c>
      <c r="AB2933" t="s">
        <v>50</v>
      </c>
      <c r="AC2933" s="2">
        <v>1821720</v>
      </c>
      <c r="AD2933" t="s">
        <v>64</v>
      </c>
    </row>
    <row r="2934" spans="1:31" x14ac:dyDescent="0.25">
      <c r="A2934" t="s">
        <v>14126</v>
      </c>
      <c r="B2934" t="s">
        <v>14127</v>
      </c>
      <c r="C2934" t="s">
        <v>14127</v>
      </c>
      <c r="D2934" t="s">
        <v>1410</v>
      </c>
      <c r="E2934" t="s">
        <v>871</v>
      </c>
      <c r="F2934" t="s">
        <v>14128</v>
      </c>
      <c r="G2934" t="s">
        <v>1243</v>
      </c>
      <c r="H2934" t="s">
        <v>1607</v>
      </c>
      <c r="I2934" t="s">
        <v>14129</v>
      </c>
      <c r="J2934" s="2">
        <v>2275600</v>
      </c>
      <c r="K2934" s="2">
        <v>10000</v>
      </c>
      <c r="L2934" s="2">
        <v>7</v>
      </c>
      <c r="M2934" s="2">
        <v>0</v>
      </c>
      <c r="N2934" t="s">
        <v>1221</v>
      </c>
      <c r="O2934" t="s">
        <v>1222</v>
      </c>
      <c r="P2934" t="s">
        <v>256</v>
      </c>
      <c r="Q2934" t="s">
        <v>255</v>
      </c>
      <c r="S2934" t="s">
        <v>14130</v>
      </c>
      <c r="T2934" t="s">
        <v>1854</v>
      </c>
      <c r="U2934" t="s">
        <v>45</v>
      </c>
      <c r="V2934" t="s">
        <v>46</v>
      </c>
      <c r="W2934" t="s">
        <v>1221</v>
      </c>
      <c r="X2934" t="s">
        <v>1222</v>
      </c>
      <c r="Y2934" t="s">
        <v>161</v>
      </c>
      <c r="Z2934" t="s">
        <v>162</v>
      </c>
      <c r="AA2934" t="s">
        <v>49</v>
      </c>
      <c r="AB2934" t="s">
        <v>50</v>
      </c>
      <c r="AC2934" s="2">
        <v>2275600</v>
      </c>
      <c r="AD2934" t="s">
        <v>64</v>
      </c>
    </row>
    <row r="2935" spans="1:31" x14ac:dyDescent="0.25">
      <c r="A2935" t="s">
        <v>14131</v>
      </c>
      <c r="B2935" t="s">
        <v>14132</v>
      </c>
      <c r="C2935" t="s">
        <v>14132</v>
      </c>
      <c r="D2935" t="s">
        <v>35</v>
      </c>
      <c r="E2935" t="s">
        <v>36</v>
      </c>
      <c r="F2935" t="s">
        <v>14133</v>
      </c>
      <c r="G2935" t="s">
        <v>847</v>
      </c>
      <c r="H2935" t="s">
        <v>139</v>
      </c>
      <c r="I2935" t="s">
        <v>14134</v>
      </c>
      <c r="J2935" s="2">
        <v>528704</v>
      </c>
      <c r="K2935" s="2">
        <v>2200</v>
      </c>
      <c r="L2935" s="2">
        <v>30</v>
      </c>
      <c r="M2935" s="2">
        <v>0</v>
      </c>
      <c r="N2935" t="s">
        <v>8853</v>
      </c>
      <c r="O2935" t="s">
        <v>139</v>
      </c>
      <c r="P2935" t="s">
        <v>6987</v>
      </c>
      <c r="Q2935" t="s">
        <v>6988</v>
      </c>
      <c r="S2935" t="s">
        <v>14135</v>
      </c>
      <c r="T2935" t="s">
        <v>1854</v>
      </c>
      <c r="U2935" t="s">
        <v>45</v>
      </c>
      <c r="V2935" t="s">
        <v>46</v>
      </c>
      <c r="W2935" t="s">
        <v>8853</v>
      </c>
      <c r="X2935" t="s">
        <v>139</v>
      </c>
      <c r="Y2935" t="s">
        <v>139</v>
      </c>
      <c r="Z2935" t="s">
        <v>140</v>
      </c>
      <c r="AA2935" t="s">
        <v>49</v>
      </c>
      <c r="AB2935" t="s">
        <v>50</v>
      </c>
      <c r="AC2935" s="2">
        <v>261453.58</v>
      </c>
      <c r="AD2935" t="s">
        <v>14136</v>
      </c>
      <c r="AE2935" t="s">
        <v>115</v>
      </c>
    </row>
    <row r="2936" spans="1:31" x14ac:dyDescent="0.25">
      <c r="A2936" t="s">
        <v>14137</v>
      </c>
      <c r="B2936" t="s">
        <v>14138</v>
      </c>
      <c r="C2936" t="s">
        <v>14138</v>
      </c>
      <c r="D2936" t="s">
        <v>153</v>
      </c>
      <c r="E2936" t="s">
        <v>272</v>
      </c>
      <c r="F2936" t="s">
        <v>14139</v>
      </c>
      <c r="G2936" t="s">
        <v>153</v>
      </c>
      <c r="H2936" t="s">
        <v>277</v>
      </c>
      <c r="J2936" s="2">
        <v>2310500</v>
      </c>
      <c r="K2936" s="2">
        <v>10000</v>
      </c>
      <c r="L2936" s="2">
        <v>30</v>
      </c>
      <c r="M2936" s="2">
        <v>0</v>
      </c>
      <c r="N2936" t="s">
        <v>276</v>
      </c>
      <c r="O2936" t="s">
        <v>277</v>
      </c>
      <c r="P2936" t="s">
        <v>103</v>
      </c>
      <c r="Q2936" t="s">
        <v>104</v>
      </c>
      <c r="S2936" t="s">
        <v>14140</v>
      </c>
      <c r="T2936" t="s">
        <v>1854</v>
      </c>
      <c r="U2936" t="s">
        <v>45</v>
      </c>
      <c r="V2936" t="s">
        <v>46</v>
      </c>
      <c r="W2936" t="s">
        <v>276</v>
      </c>
      <c r="X2936" t="s">
        <v>277</v>
      </c>
      <c r="Y2936" t="s">
        <v>279</v>
      </c>
      <c r="Z2936" t="s">
        <v>280</v>
      </c>
      <c r="AA2936" t="s">
        <v>49</v>
      </c>
      <c r="AB2936" t="s">
        <v>50</v>
      </c>
      <c r="AC2936" s="2">
        <v>914153.25</v>
      </c>
      <c r="AD2936" t="s">
        <v>14141</v>
      </c>
      <c r="AE2936" t="s">
        <v>52</v>
      </c>
    </row>
    <row r="2937" spans="1:31" x14ac:dyDescent="0.25">
      <c r="A2937" t="s">
        <v>14142</v>
      </c>
      <c r="B2937" t="s">
        <v>14143</v>
      </c>
      <c r="C2937" t="s">
        <v>14143</v>
      </c>
      <c r="D2937" t="s">
        <v>125</v>
      </c>
      <c r="E2937" t="s">
        <v>126</v>
      </c>
      <c r="F2937" t="s">
        <v>14144</v>
      </c>
      <c r="G2937" t="s">
        <v>870</v>
      </c>
      <c r="H2937" t="s">
        <v>139</v>
      </c>
      <c r="I2937" t="s">
        <v>14145</v>
      </c>
      <c r="J2937" s="2">
        <v>218170</v>
      </c>
      <c r="K2937" s="2">
        <v>1000</v>
      </c>
      <c r="L2937" s="2">
        <v>30</v>
      </c>
      <c r="M2937" s="2">
        <v>0</v>
      </c>
      <c r="N2937" t="s">
        <v>8853</v>
      </c>
      <c r="O2937" t="s">
        <v>139</v>
      </c>
      <c r="P2937" t="s">
        <v>941</v>
      </c>
      <c r="Q2937" t="s">
        <v>139</v>
      </c>
      <c r="S2937" t="s">
        <v>14146</v>
      </c>
      <c r="T2937" t="s">
        <v>1520</v>
      </c>
      <c r="U2937" t="s">
        <v>45</v>
      </c>
      <c r="V2937" t="s">
        <v>46</v>
      </c>
      <c r="W2937" t="s">
        <v>8853</v>
      </c>
      <c r="X2937" t="s">
        <v>139</v>
      </c>
      <c r="Y2937" t="s">
        <v>139</v>
      </c>
      <c r="Z2937" t="s">
        <v>140</v>
      </c>
      <c r="AA2937" t="s">
        <v>49</v>
      </c>
      <c r="AB2937" t="s">
        <v>50</v>
      </c>
      <c r="AC2937" s="2">
        <v>218170</v>
      </c>
      <c r="AD2937" t="s">
        <v>64</v>
      </c>
    </row>
    <row r="2938" spans="1:31" x14ac:dyDescent="0.25">
      <c r="A2938" t="s">
        <v>14147</v>
      </c>
      <c r="B2938" t="s">
        <v>14148</v>
      </c>
      <c r="C2938" t="s">
        <v>14148</v>
      </c>
      <c r="D2938" t="s">
        <v>153</v>
      </c>
      <c r="E2938" t="s">
        <v>272</v>
      </c>
      <c r="F2938" t="s">
        <v>14149</v>
      </c>
      <c r="G2938" t="s">
        <v>153</v>
      </c>
      <c r="H2938" t="s">
        <v>277</v>
      </c>
      <c r="J2938" s="2">
        <v>680708</v>
      </c>
      <c r="K2938" s="2">
        <v>2800</v>
      </c>
      <c r="L2938" s="2">
        <v>30</v>
      </c>
      <c r="M2938" s="2">
        <v>0</v>
      </c>
      <c r="N2938" t="s">
        <v>276</v>
      </c>
      <c r="O2938" t="s">
        <v>277</v>
      </c>
      <c r="P2938" t="s">
        <v>103</v>
      </c>
      <c r="Q2938" t="s">
        <v>104</v>
      </c>
      <c r="S2938" t="s">
        <v>14150</v>
      </c>
      <c r="T2938" t="s">
        <v>2120</v>
      </c>
      <c r="U2938" t="s">
        <v>45</v>
      </c>
      <c r="V2938" t="s">
        <v>46</v>
      </c>
      <c r="W2938" t="s">
        <v>276</v>
      </c>
      <c r="X2938" t="s">
        <v>277</v>
      </c>
      <c r="Y2938" t="s">
        <v>279</v>
      </c>
      <c r="Z2938" t="s">
        <v>280</v>
      </c>
      <c r="AA2938" t="s">
        <v>49</v>
      </c>
      <c r="AB2938" t="s">
        <v>50</v>
      </c>
      <c r="AC2938" s="2">
        <v>445778.93</v>
      </c>
      <c r="AD2938" t="s">
        <v>14151</v>
      </c>
      <c r="AE2938" t="s">
        <v>52</v>
      </c>
    </row>
    <row r="2939" spans="1:31" hidden="1" x14ac:dyDescent="0.25">
      <c r="A2939" t="s">
        <v>14152</v>
      </c>
      <c r="B2939" t="s">
        <v>14153</v>
      </c>
      <c r="C2939" t="s">
        <v>14153</v>
      </c>
      <c r="F2939" t="s">
        <v>14154</v>
      </c>
      <c r="H2939" t="s">
        <v>10565</v>
      </c>
      <c r="I2939" t="s">
        <v>14155</v>
      </c>
      <c r="J2939" s="2">
        <v>218170</v>
      </c>
      <c r="K2939" s="2">
        <v>1000</v>
      </c>
      <c r="L2939" s="2">
        <v>1</v>
      </c>
      <c r="M2939" s="2">
        <v>0</v>
      </c>
      <c r="N2939" t="s">
        <v>10567</v>
      </c>
      <c r="O2939" t="s">
        <v>10565</v>
      </c>
      <c r="P2939" t="s">
        <v>1109</v>
      </c>
      <c r="Q2939" t="s">
        <v>1110</v>
      </c>
      <c r="S2939" t="s">
        <v>14156</v>
      </c>
      <c r="T2939" t="s">
        <v>2120</v>
      </c>
      <c r="U2939" t="s">
        <v>45</v>
      </c>
      <c r="V2939" t="s">
        <v>46</v>
      </c>
      <c r="W2939" t="s">
        <v>10567</v>
      </c>
      <c r="X2939" t="s">
        <v>10565</v>
      </c>
      <c r="Y2939" t="s">
        <v>10167</v>
      </c>
      <c r="Z2939" t="s">
        <v>10168</v>
      </c>
      <c r="AA2939" t="s">
        <v>49</v>
      </c>
      <c r="AB2939" t="s">
        <v>50</v>
      </c>
      <c r="AC2939" s="2">
        <v>218170</v>
      </c>
      <c r="AD2939" t="s">
        <v>64</v>
      </c>
    </row>
    <row r="2940" spans="1:31" x14ac:dyDescent="0.25">
      <c r="A2940" t="s">
        <v>14157</v>
      </c>
      <c r="B2940" t="s">
        <v>14158</v>
      </c>
      <c r="C2940" t="s">
        <v>14158</v>
      </c>
      <c r="D2940" t="s">
        <v>847</v>
      </c>
      <c r="E2940" t="s">
        <v>848</v>
      </c>
      <c r="F2940" t="s">
        <v>14159</v>
      </c>
      <c r="G2940" t="s">
        <v>847</v>
      </c>
      <c r="H2940" t="s">
        <v>9129</v>
      </c>
      <c r="I2940" t="s">
        <v>14160</v>
      </c>
      <c r="J2940" s="2">
        <v>239987</v>
      </c>
      <c r="K2940" s="2">
        <v>1100</v>
      </c>
      <c r="L2940" s="2">
        <v>15</v>
      </c>
      <c r="M2940" s="2">
        <v>0</v>
      </c>
      <c r="N2940" t="s">
        <v>9130</v>
      </c>
      <c r="O2940" t="s">
        <v>9129</v>
      </c>
      <c r="P2940" t="s">
        <v>256</v>
      </c>
      <c r="Q2940" t="s">
        <v>255</v>
      </c>
      <c r="S2940" t="s">
        <v>14161</v>
      </c>
      <c r="T2940" t="s">
        <v>2120</v>
      </c>
      <c r="U2940" t="s">
        <v>45</v>
      </c>
      <c r="V2940" t="s">
        <v>46</v>
      </c>
      <c r="W2940" t="s">
        <v>9130</v>
      </c>
      <c r="X2940" t="s">
        <v>9129</v>
      </c>
      <c r="Y2940" t="s">
        <v>137</v>
      </c>
      <c r="Z2940" t="s">
        <v>717</v>
      </c>
      <c r="AA2940" t="s">
        <v>49</v>
      </c>
      <c r="AB2940" t="s">
        <v>50</v>
      </c>
      <c r="AC2940" s="2">
        <v>86032.29</v>
      </c>
      <c r="AD2940" t="s">
        <v>14162</v>
      </c>
      <c r="AE2940" t="s">
        <v>52</v>
      </c>
    </row>
    <row r="2941" spans="1:31" x14ac:dyDescent="0.25">
      <c r="A2941" t="s">
        <v>14163</v>
      </c>
      <c r="B2941" t="s">
        <v>14164</v>
      </c>
      <c r="C2941" t="s">
        <v>14165</v>
      </c>
      <c r="D2941" t="s">
        <v>125</v>
      </c>
      <c r="E2941" t="s">
        <v>126</v>
      </c>
      <c r="F2941" t="s">
        <v>14166</v>
      </c>
      <c r="G2941" t="s">
        <v>4647</v>
      </c>
      <c r="H2941" t="s">
        <v>12118</v>
      </c>
      <c r="I2941" t="s">
        <v>14167</v>
      </c>
      <c r="J2941" s="2">
        <v>218170</v>
      </c>
      <c r="K2941" s="2">
        <v>1000</v>
      </c>
      <c r="L2941" s="2">
        <v>21</v>
      </c>
      <c r="M2941" s="2">
        <v>0</v>
      </c>
      <c r="N2941" t="s">
        <v>80</v>
      </c>
      <c r="O2941" t="s">
        <v>81</v>
      </c>
      <c r="P2941" t="s">
        <v>557</v>
      </c>
      <c r="Q2941" t="s">
        <v>558</v>
      </c>
      <c r="S2941" t="s">
        <v>14168</v>
      </c>
      <c r="T2941" t="s">
        <v>2120</v>
      </c>
      <c r="U2941" t="s">
        <v>45</v>
      </c>
      <c r="V2941" t="s">
        <v>46</v>
      </c>
      <c r="W2941" t="s">
        <v>80</v>
      </c>
      <c r="X2941" t="s">
        <v>81</v>
      </c>
      <c r="Y2941" t="s">
        <v>85</v>
      </c>
      <c r="Z2941" t="s">
        <v>86</v>
      </c>
      <c r="AA2941" t="s">
        <v>49</v>
      </c>
      <c r="AB2941" t="s">
        <v>50</v>
      </c>
      <c r="AC2941" s="2">
        <v>148310.32</v>
      </c>
      <c r="AD2941" t="s">
        <v>14169</v>
      </c>
    </row>
    <row r="2942" spans="1:31" hidden="1" x14ac:dyDescent="0.25">
      <c r="A2942" t="s">
        <v>14170</v>
      </c>
      <c r="B2942" t="s">
        <v>14171</v>
      </c>
      <c r="C2942" t="s">
        <v>14171</v>
      </c>
      <c r="F2942" t="s">
        <v>14172</v>
      </c>
      <c r="H2942" t="s">
        <v>7493</v>
      </c>
      <c r="I2942" t="s">
        <v>14173</v>
      </c>
      <c r="J2942" s="2">
        <v>218170</v>
      </c>
      <c r="K2942" s="2">
        <v>1000</v>
      </c>
      <c r="L2942" s="2">
        <v>2</v>
      </c>
      <c r="M2942" s="2">
        <v>0</v>
      </c>
      <c r="N2942" t="s">
        <v>9611</v>
      </c>
      <c r="O2942" t="s">
        <v>7493</v>
      </c>
      <c r="P2942" t="s">
        <v>5952</v>
      </c>
      <c r="Q2942" t="s">
        <v>5953</v>
      </c>
      <c r="S2942" t="s">
        <v>14174</v>
      </c>
      <c r="T2942" t="s">
        <v>5597</v>
      </c>
      <c r="U2942" t="s">
        <v>45</v>
      </c>
      <c r="V2942" t="s">
        <v>46</v>
      </c>
      <c r="W2942" t="s">
        <v>9611</v>
      </c>
      <c r="X2942" t="s">
        <v>7493</v>
      </c>
      <c r="Y2942" t="s">
        <v>7493</v>
      </c>
      <c r="Z2942" t="s">
        <v>7494</v>
      </c>
      <c r="AA2942" t="s">
        <v>49</v>
      </c>
      <c r="AB2942" t="s">
        <v>50</v>
      </c>
      <c r="AC2942" s="2">
        <v>218170</v>
      </c>
      <c r="AD2942" t="s">
        <v>64</v>
      </c>
    </row>
    <row r="2943" spans="1:31" x14ac:dyDescent="0.25">
      <c r="A2943" t="s">
        <v>14175</v>
      </c>
      <c r="B2943" t="s">
        <v>14176</v>
      </c>
      <c r="C2943" t="s">
        <v>14176</v>
      </c>
      <c r="D2943" t="s">
        <v>166</v>
      </c>
      <c r="E2943" t="s">
        <v>167</v>
      </c>
      <c r="F2943" t="s">
        <v>14177</v>
      </c>
      <c r="G2943" t="s">
        <v>189</v>
      </c>
      <c r="H2943" t="s">
        <v>1644</v>
      </c>
      <c r="I2943" t="s">
        <v>14178</v>
      </c>
      <c r="J2943" s="2">
        <v>233560</v>
      </c>
      <c r="K2943" s="2">
        <v>1000</v>
      </c>
      <c r="L2943" s="2">
        <v>15</v>
      </c>
      <c r="M2943" s="2">
        <v>0</v>
      </c>
      <c r="N2943" t="s">
        <v>118</v>
      </c>
      <c r="O2943" t="s">
        <v>119</v>
      </c>
      <c r="P2943" t="s">
        <v>120</v>
      </c>
      <c r="Q2943" t="s">
        <v>121</v>
      </c>
      <c r="S2943" t="s">
        <v>14179</v>
      </c>
      <c r="T2943" t="s">
        <v>1734</v>
      </c>
      <c r="U2943" t="s">
        <v>45</v>
      </c>
      <c r="V2943" t="s">
        <v>46</v>
      </c>
      <c r="W2943" t="s">
        <v>118</v>
      </c>
      <c r="X2943" t="s">
        <v>119</v>
      </c>
      <c r="Y2943" t="s">
        <v>121</v>
      </c>
      <c r="Z2943" t="s">
        <v>94</v>
      </c>
      <c r="AA2943" t="s">
        <v>49</v>
      </c>
      <c r="AB2943" t="s">
        <v>50</v>
      </c>
      <c r="AC2943" s="2">
        <v>233560</v>
      </c>
      <c r="AD2943" t="s">
        <v>64</v>
      </c>
    </row>
    <row r="2944" spans="1:31" x14ac:dyDescent="0.25">
      <c r="A2944" t="s">
        <v>14180</v>
      </c>
      <c r="B2944" t="s">
        <v>14181</v>
      </c>
      <c r="C2944" t="s">
        <v>14181</v>
      </c>
      <c r="D2944" t="s">
        <v>153</v>
      </c>
      <c r="E2944" t="s">
        <v>272</v>
      </c>
      <c r="F2944" t="s">
        <v>14182</v>
      </c>
      <c r="G2944" t="s">
        <v>153</v>
      </c>
      <c r="H2944" t="s">
        <v>10141</v>
      </c>
      <c r="J2944" s="2">
        <v>218170</v>
      </c>
      <c r="K2944" s="2">
        <v>1000</v>
      </c>
      <c r="L2944" s="2">
        <v>15</v>
      </c>
      <c r="M2944" s="2">
        <v>0</v>
      </c>
      <c r="N2944" t="s">
        <v>7936</v>
      </c>
      <c r="O2944" t="s">
        <v>7935</v>
      </c>
      <c r="P2944" t="s">
        <v>1109</v>
      </c>
      <c r="Q2944" t="s">
        <v>1110</v>
      </c>
      <c r="S2944" t="s">
        <v>14183</v>
      </c>
      <c r="T2944" t="s">
        <v>1734</v>
      </c>
      <c r="U2944" t="s">
        <v>45</v>
      </c>
      <c r="V2944" t="s">
        <v>46</v>
      </c>
      <c r="W2944" t="s">
        <v>7936</v>
      </c>
      <c r="X2944" t="s">
        <v>7935</v>
      </c>
      <c r="Y2944" t="s">
        <v>7938</v>
      </c>
      <c r="Z2944" t="s">
        <v>7939</v>
      </c>
      <c r="AA2944" t="s">
        <v>49</v>
      </c>
      <c r="AB2944" t="s">
        <v>50</v>
      </c>
      <c r="AC2944" s="2">
        <v>186949.75</v>
      </c>
      <c r="AD2944" t="s">
        <v>14184</v>
      </c>
      <c r="AE2944" t="s">
        <v>52</v>
      </c>
    </row>
    <row r="2945" spans="1:31" x14ac:dyDescent="0.25">
      <c r="A2945" t="s">
        <v>14185</v>
      </c>
      <c r="B2945" t="s">
        <v>14186</v>
      </c>
      <c r="C2945" t="s">
        <v>14186</v>
      </c>
      <c r="D2945" t="s">
        <v>125</v>
      </c>
      <c r="E2945" t="s">
        <v>126</v>
      </c>
      <c r="F2945" t="s">
        <v>14187</v>
      </c>
      <c r="G2945" t="s">
        <v>153</v>
      </c>
      <c r="H2945" t="s">
        <v>10155</v>
      </c>
      <c r="I2945" t="s">
        <v>14188</v>
      </c>
      <c r="J2945" s="2">
        <v>226130</v>
      </c>
      <c r="K2945" s="2">
        <v>1000</v>
      </c>
      <c r="L2945" s="2">
        <v>15</v>
      </c>
      <c r="M2945" s="2">
        <v>0</v>
      </c>
      <c r="N2945" t="s">
        <v>10157</v>
      </c>
      <c r="O2945" t="s">
        <v>10155</v>
      </c>
      <c r="P2945" t="s">
        <v>1109</v>
      </c>
      <c r="Q2945" t="s">
        <v>1110</v>
      </c>
      <c r="S2945" t="s">
        <v>14189</v>
      </c>
      <c r="T2945" t="s">
        <v>1734</v>
      </c>
      <c r="U2945" t="s">
        <v>45</v>
      </c>
      <c r="V2945" t="s">
        <v>46</v>
      </c>
      <c r="W2945" t="s">
        <v>10157</v>
      </c>
      <c r="X2945" t="s">
        <v>10155</v>
      </c>
      <c r="Y2945" t="s">
        <v>7938</v>
      </c>
      <c r="Z2945" t="s">
        <v>7939</v>
      </c>
      <c r="AA2945" t="s">
        <v>49</v>
      </c>
      <c r="AB2945" t="s">
        <v>50</v>
      </c>
      <c r="AC2945" s="2">
        <v>113228.45</v>
      </c>
      <c r="AD2945" t="s">
        <v>14190</v>
      </c>
      <c r="AE2945" t="s">
        <v>52</v>
      </c>
    </row>
    <row r="2946" spans="1:31" x14ac:dyDescent="0.25">
      <c r="A2946" t="s">
        <v>14191</v>
      </c>
      <c r="B2946" t="s">
        <v>14192</v>
      </c>
      <c r="C2946" t="s">
        <v>14192</v>
      </c>
      <c r="D2946" t="s">
        <v>35</v>
      </c>
      <c r="E2946" t="s">
        <v>36</v>
      </c>
      <c r="F2946" t="s">
        <v>14193</v>
      </c>
      <c r="G2946" t="s">
        <v>35</v>
      </c>
      <c r="H2946" t="s">
        <v>6728</v>
      </c>
      <c r="I2946" t="s">
        <v>14194</v>
      </c>
      <c r="J2946" s="2">
        <v>273499</v>
      </c>
      <c r="K2946" s="2">
        <v>1125</v>
      </c>
      <c r="L2946" s="2">
        <v>15</v>
      </c>
      <c r="M2946" s="2">
        <v>0</v>
      </c>
      <c r="N2946" t="s">
        <v>6730</v>
      </c>
      <c r="O2946" t="s">
        <v>6728</v>
      </c>
      <c r="P2946" t="s">
        <v>557</v>
      </c>
      <c r="Q2946" t="s">
        <v>558</v>
      </c>
      <c r="S2946" t="s">
        <v>14195</v>
      </c>
      <c r="T2946" t="s">
        <v>1734</v>
      </c>
      <c r="U2946" t="s">
        <v>45</v>
      </c>
      <c r="V2946" t="s">
        <v>46</v>
      </c>
      <c r="W2946" t="s">
        <v>6730</v>
      </c>
      <c r="X2946" t="s">
        <v>6728</v>
      </c>
      <c r="Y2946" t="s">
        <v>85</v>
      </c>
      <c r="Z2946" t="s">
        <v>86</v>
      </c>
      <c r="AA2946" t="s">
        <v>49</v>
      </c>
      <c r="AB2946" t="s">
        <v>50</v>
      </c>
      <c r="AC2946" s="2">
        <v>2490.16</v>
      </c>
      <c r="AD2946" t="s">
        <v>14196</v>
      </c>
      <c r="AE2946" t="s">
        <v>52</v>
      </c>
    </row>
    <row r="2947" spans="1:31" x14ac:dyDescent="0.25">
      <c r="A2947" t="s">
        <v>14197</v>
      </c>
      <c r="B2947" t="s">
        <v>14198</v>
      </c>
      <c r="C2947" t="s">
        <v>14198</v>
      </c>
      <c r="D2947" t="s">
        <v>153</v>
      </c>
      <c r="E2947" t="s">
        <v>272</v>
      </c>
      <c r="F2947" t="s">
        <v>14199</v>
      </c>
      <c r="G2947" t="s">
        <v>153</v>
      </c>
      <c r="H2947" t="s">
        <v>14200</v>
      </c>
      <c r="I2947" t="s">
        <v>14201</v>
      </c>
      <c r="J2947" s="2">
        <v>218170</v>
      </c>
      <c r="K2947" s="2">
        <v>1000</v>
      </c>
      <c r="L2947" s="2">
        <v>1</v>
      </c>
      <c r="M2947" s="2">
        <v>0</v>
      </c>
      <c r="N2947" t="s">
        <v>14202</v>
      </c>
      <c r="O2947" t="s">
        <v>106</v>
      </c>
      <c r="P2947" t="s">
        <v>103</v>
      </c>
      <c r="Q2947" t="s">
        <v>104</v>
      </c>
      <c r="S2947" t="s">
        <v>14203</v>
      </c>
      <c r="T2947" t="s">
        <v>3194</v>
      </c>
      <c r="U2947" t="s">
        <v>45</v>
      </c>
      <c r="V2947" t="s">
        <v>46</v>
      </c>
      <c r="W2947" t="s">
        <v>14202</v>
      </c>
      <c r="X2947" t="s">
        <v>106</v>
      </c>
      <c r="Y2947" t="s">
        <v>106</v>
      </c>
      <c r="Z2947" t="s">
        <v>107</v>
      </c>
      <c r="AA2947" t="s">
        <v>49</v>
      </c>
      <c r="AB2947" t="s">
        <v>50</v>
      </c>
      <c r="AC2947" s="2">
        <v>188962.02</v>
      </c>
      <c r="AD2947" t="s">
        <v>14204</v>
      </c>
      <c r="AE2947" t="s">
        <v>115</v>
      </c>
    </row>
    <row r="2948" spans="1:31" x14ac:dyDescent="0.25">
      <c r="A2948" t="s">
        <v>14205</v>
      </c>
      <c r="B2948" t="s">
        <v>14206</v>
      </c>
      <c r="C2948" t="s">
        <v>14206</v>
      </c>
      <c r="D2948" t="s">
        <v>569</v>
      </c>
      <c r="E2948" t="s">
        <v>570</v>
      </c>
      <c r="F2948" t="s">
        <v>14207</v>
      </c>
      <c r="G2948" t="s">
        <v>178</v>
      </c>
      <c r="H2948" t="s">
        <v>6027</v>
      </c>
      <c r="I2948" t="s">
        <v>14208</v>
      </c>
      <c r="J2948" s="2">
        <v>218170</v>
      </c>
      <c r="K2948" s="2">
        <v>1000</v>
      </c>
      <c r="L2948" s="2">
        <v>15</v>
      </c>
      <c r="M2948" s="2">
        <v>0</v>
      </c>
      <c r="N2948" t="s">
        <v>6029</v>
      </c>
      <c r="O2948" t="s">
        <v>6030</v>
      </c>
      <c r="P2948" t="s">
        <v>82</v>
      </c>
      <c r="Q2948" t="s">
        <v>83</v>
      </c>
      <c r="S2948" t="s">
        <v>14209</v>
      </c>
      <c r="T2948" t="s">
        <v>3194</v>
      </c>
      <c r="U2948" t="s">
        <v>45</v>
      </c>
      <c r="V2948" t="s">
        <v>46</v>
      </c>
      <c r="W2948" t="s">
        <v>6029</v>
      </c>
      <c r="X2948" t="s">
        <v>6030</v>
      </c>
      <c r="Y2948" t="s">
        <v>85</v>
      </c>
      <c r="Z2948" t="s">
        <v>86</v>
      </c>
      <c r="AA2948" t="s">
        <v>49</v>
      </c>
      <c r="AB2948" t="s">
        <v>50</v>
      </c>
      <c r="AC2948" s="2">
        <v>194002.78</v>
      </c>
      <c r="AD2948" t="s">
        <v>14210</v>
      </c>
      <c r="AE2948" t="s">
        <v>52</v>
      </c>
    </row>
    <row r="2949" spans="1:31" x14ac:dyDescent="0.25">
      <c r="A2949" t="s">
        <v>14211</v>
      </c>
      <c r="B2949" t="s">
        <v>14212</v>
      </c>
      <c r="C2949" t="s">
        <v>14212</v>
      </c>
      <c r="D2949" t="s">
        <v>125</v>
      </c>
      <c r="E2949" t="s">
        <v>126</v>
      </c>
      <c r="F2949" t="s">
        <v>14213</v>
      </c>
      <c r="G2949" t="s">
        <v>125</v>
      </c>
      <c r="H2949" t="s">
        <v>10576</v>
      </c>
      <c r="I2949" t="s">
        <v>14214</v>
      </c>
      <c r="J2949" s="2">
        <v>327255</v>
      </c>
      <c r="K2949" s="2">
        <v>1500</v>
      </c>
      <c r="L2949" s="2">
        <v>21</v>
      </c>
      <c r="M2949" s="2">
        <v>0</v>
      </c>
      <c r="N2949" t="s">
        <v>10572</v>
      </c>
      <c r="O2949" t="s">
        <v>10571</v>
      </c>
      <c r="P2949" t="s">
        <v>14215</v>
      </c>
      <c r="Q2949" t="s">
        <v>10167</v>
      </c>
      <c r="S2949" t="s">
        <v>14216</v>
      </c>
      <c r="T2949" t="s">
        <v>3194</v>
      </c>
      <c r="U2949" t="s">
        <v>45</v>
      </c>
      <c r="V2949" t="s">
        <v>46</v>
      </c>
      <c r="W2949" t="s">
        <v>10572</v>
      </c>
      <c r="X2949" t="s">
        <v>10571</v>
      </c>
      <c r="Y2949" t="s">
        <v>10167</v>
      </c>
      <c r="Z2949" t="s">
        <v>10168</v>
      </c>
      <c r="AA2949" t="s">
        <v>49</v>
      </c>
      <c r="AB2949" t="s">
        <v>50</v>
      </c>
      <c r="AC2949" s="2">
        <v>278468.17</v>
      </c>
      <c r="AD2949" t="s">
        <v>14217</v>
      </c>
      <c r="AE2949" t="s">
        <v>52</v>
      </c>
    </row>
    <row r="2950" spans="1:31" x14ac:dyDescent="0.25">
      <c r="A2950" t="s">
        <v>14218</v>
      </c>
      <c r="B2950" t="s">
        <v>14219</v>
      </c>
      <c r="C2950" t="s">
        <v>14219</v>
      </c>
      <c r="D2950" t="s">
        <v>178</v>
      </c>
      <c r="E2950" t="s">
        <v>179</v>
      </c>
      <c r="F2950" t="s">
        <v>14220</v>
      </c>
      <c r="G2950" t="s">
        <v>178</v>
      </c>
      <c r="H2950" t="s">
        <v>137</v>
      </c>
      <c r="I2950" t="s">
        <v>14221</v>
      </c>
      <c r="J2950" s="2">
        <v>218170</v>
      </c>
      <c r="K2950" s="2">
        <v>1000</v>
      </c>
      <c r="L2950" s="2">
        <v>15</v>
      </c>
      <c r="M2950" s="2">
        <v>0</v>
      </c>
      <c r="N2950" t="s">
        <v>136</v>
      </c>
      <c r="O2950" t="s">
        <v>137</v>
      </c>
      <c r="P2950" t="s">
        <v>256</v>
      </c>
      <c r="Q2950" t="s">
        <v>255</v>
      </c>
      <c r="S2950" t="s">
        <v>14222</v>
      </c>
      <c r="T2950" t="s">
        <v>1941</v>
      </c>
      <c r="U2950" t="s">
        <v>45</v>
      </c>
      <c r="V2950" t="s">
        <v>46</v>
      </c>
      <c r="W2950" t="s">
        <v>136</v>
      </c>
      <c r="X2950" t="s">
        <v>137</v>
      </c>
      <c r="Y2950" t="s">
        <v>137</v>
      </c>
      <c r="Z2950" t="s">
        <v>717</v>
      </c>
      <c r="AA2950" t="s">
        <v>49</v>
      </c>
      <c r="AB2950" t="s">
        <v>50</v>
      </c>
      <c r="AC2950" s="2">
        <v>180979.55</v>
      </c>
      <c r="AD2950" t="s">
        <v>14223</v>
      </c>
      <c r="AE2950" t="s">
        <v>52</v>
      </c>
    </row>
    <row r="2951" spans="1:31" x14ac:dyDescent="0.25">
      <c r="A2951" t="s">
        <v>14224</v>
      </c>
      <c r="B2951" t="s">
        <v>14225</v>
      </c>
      <c r="C2951" t="s">
        <v>14225</v>
      </c>
      <c r="D2951" t="s">
        <v>125</v>
      </c>
      <c r="E2951" t="s">
        <v>126</v>
      </c>
      <c r="F2951" t="s">
        <v>14226</v>
      </c>
      <c r="G2951" t="s">
        <v>125</v>
      </c>
      <c r="H2951" t="s">
        <v>10155</v>
      </c>
      <c r="I2951" t="s">
        <v>14227</v>
      </c>
      <c r="J2951" s="2">
        <v>218170</v>
      </c>
      <c r="K2951" s="2">
        <v>1000</v>
      </c>
      <c r="L2951" s="2">
        <v>30</v>
      </c>
      <c r="M2951" s="2">
        <v>0</v>
      </c>
      <c r="N2951" t="s">
        <v>10157</v>
      </c>
      <c r="O2951" t="s">
        <v>10155</v>
      </c>
      <c r="P2951" t="s">
        <v>10093</v>
      </c>
      <c r="Q2951" t="s">
        <v>10094</v>
      </c>
      <c r="S2951" t="s">
        <v>14228</v>
      </c>
      <c r="T2951" t="s">
        <v>1941</v>
      </c>
      <c r="U2951" t="s">
        <v>45</v>
      </c>
      <c r="V2951" t="s">
        <v>46</v>
      </c>
      <c r="W2951" t="s">
        <v>10157</v>
      </c>
      <c r="X2951" t="s">
        <v>10155</v>
      </c>
      <c r="Y2951" t="s">
        <v>7938</v>
      </c>
      <c r="Z2951" t="s">
        <v>7939</v>
      </c>
      <c r="AA2951" t="s">
        <v>49</v>
      </c>
      <c r="AB2951" t="s">
        <v>50</v>
      </c>
      <c r="AC2951" s="2">
        <v>149318.64000000001</v>
      </c>
      <c r="AD2951" t="s">
        <v>14229</v>
      </c>
      <c r="AE2951" t="s">
        <v>52</v>
      </c>
    </row>
    <row r="2952" spans="1:31" x14ac:dyDescent="0.25">
      <c r="A2952" t="s">
        <v>14230</v>
      </c>
      <c r="B2952" t="s">
        <v>14231</v>
      </c>
      <c r="C2952" t="s">
        <v>13255</v>
      </c>
      <c r="D2952" t="s">
        <v>847</v>
      </c>
      <c r="E2952" t="s">
        <v>848</v>
      </c>
      <c r="F2952" t="s">
        <v>13256</v>
      </c>
      <c r="G2952" t="s">
        <v>847</v>
      </c>
      <c r="H2952" t="s">
        <v>14232</v>
      </c>
      <c r="I2952" t="s">
        <v>14233</v>
      </c>
      <c r="J2952" s="2">
        <v>243945</v>
      </c>
      <c r="K2952" s="2">
        <v>1030</v>
      </c>
      <c r="L2952" s="2">
        <v>15</v>
      </c>
      <c r="M2952" s="2">
        <v>0</v>
      </c>
      <c r="N2952" t="s">
        <v>136</v>
      </c>
      <c r="O2952" t="s">
        <v>137</v>
      </c>
      <c r="P2952" t="s">
        <v>256</v>
      </c>
      <c r="Q2952" t="s">
        <v>255</v>
      </c>
      <c r="S2952" t="s">
        <v>14234</v>
      </c>
      <c r="T2952" t="s">
        <v>1941</v>
      </c>
      <c r="U2952" t="s">
        <v>45</v>
      </c>
      <c r="V2952" t="s">
        <v>46</v>
      </c>
      <c r="W2952" t="s">
        <v>136</v>
      </c>
      <c r="X2952" t="s">
        <v>137</v>
      </c>
      <c r="Y2952" t="s">
        <v>137</v>
      </c>
      <c r="Z2952" t="s">
        <v>717</v>
      </c>
      <c r="AA2952" t="s">
        <v>49</v>
      </c>
      <c r="AB2952" t="s">
        <v>50</v>
      </c>
      <c r="AC2952" s="2">
        <v>-29331.86</v>
      </c>
      <c r="AD2952" t="s">
        <v>14235</v>
      </c>
      <c r="AE2952" t="s">
        <v>115</v>
      </c>
    </row>
    <row r="2953" spans="1:31" hidden="1" x14ac:dyDescent="0.25">
      <c r="A2953" t="s">
        <v>14236</v>
      </c>
      <c r="B2953" t="s">
        <v>14237</v>
      </c>
      <c r="C2953" t="s">
        <v>14237</v>
      </c>
      <c r="F2953" t="s">
        <v>14238</v>
      </c>
      <c r="H2953" t="s">
        <v>10571</v>
      </c>
      <c r="I2953" t="s">
        <v>14239</v>
      </c>
      <c r="J2953" s="2">
        <v>218170</v>
      </c>
      <c r="K2953" s="2">
        <v>1000</v>
      </c>
      <c r="L2953" s="2">
        <v>21</v>
      </c>
      <c r="M2953" s="2">
        <v>0</v>
      </c>
      <c r="N2953" t="s">
        <v>10572</v>
      </c>
      <c r="O2953" t="s">
        <v>10571</v>
      </c>
      <c r="P2953" t="s">
        <v>14215</v>
      </c>
      <c r="Q2953" t="s">
        <v>10167</v>
      </c>
      <c r="S2953" t="s">
        <v>14240</v>
      </c>
      <c r="T2953" t="s">
        <v>1941</v>
      </c>
      <c r="U2953" t="s">
        <v>45</v>
      </c>
      <c r="V2953" t="s">
        <v>46</v>
      </c>
      <c r="W2953" t="s">
        <v>10572</v>
      </c>
      <c r="X2953" t="s">
        <v>10571</v>
      </c>
      <c r="Y2953" t="s">
        <v>10167</v>
      </c>
      <c r="Z2953" t="s">
        <v>10168</v>
      </c>
      <c r="AA2953" t="s">
        <v>49</v>
      </c>
      <c r="AB2953" t="s">
        <v>50</v>
      </c>
      <c r="AC2953" s="2">
        <v>218170</v>
      </c>
      <c r="AD2953" t="s">
        <v>64</v>
      </c>
    </row>
    <row r="2954" spans="1:31" hidden="1" x14ac:dyDescent="0.25">
      <c r="A2954" t="s">
        <v>14241</v>
      </c>
      <c r="B2954" t="s">
        <v>14242</v>
      </c>
      <c r="C2954" t="s">
        <v>14242</v>
      </c>
      <c r="F2954" t="s">
        <v>14243</v>
      </c>
      <c r="H2954" t="s">
        <v>1095</v>
      </c>
      <c r="I2954" t="s">
        <v>14244</v>
      </c>
      <c r="J2954" s="2">
        <v>218170</v>
      </c>
      <c r="K2954" s="2">
        <v>1000</v>
      </c>
      <c r="L2954" s="2">
        <v>7</v>
      </c>
      <c r="M2954" s="2">
        <v>0</v>
      </c>
      <c r="N2954" t="s">
        <v>1038</v>
      </c>
      <c r="O2954" t="s">
        <v>1039</v>
      </c>
      <c r="P2954" t="s">
        <v>304</v>
      </c>
      <c r="Q2954" t="s">
        <v>72</v>
      </c>
      <c r="S2954" t="s">
        <v>14245</v>
      </c>
      <c r="T2954" t="s">
        <v>3192</v>
      </c>
      <c r="U2954" t="s">
        <v>45</v>
      </c>
      <c r="V2954" t="s">
        <v>46</v>
      </c>
      <c r="W2954" t="s">
        <v>1038</v>
      </c>
      <c r="X2954" t="s">
        <v>1039</v>
      </c>
      <c r="Y2954" t="s">
        <v>72</v>
      </c>
      <c r="Z2954" t="s">
        <v>68</v>
      </c>
      <c r="AA2954" t="s">
        <v>49</v>
      </c>
      <c r="AB2954" t="s">
        <v>50</v>
      </c>
      <c r="AC2954" s="2">
        <v>218170</v>
      </c>
      <c r="AD2954" t="s">
        <v>64</v>
      </c>
    </row>
    <row r="2955" spans="1:31" x14ac:dyDescent="0.25">
      <c r="A2955" t="s">
        <v>14246</v>
      </c>
      <c r="B2955" t="s">
        <v>14247</v>
      </c>
      <c r="C2955" t="s">
        <v>14247</v>
      </c>
      <c r="D2955" t="s">
        <v>847</v>
      </c>
      <c r="E2955" t="s">
        <v>848</v>
      </c>
      <c r="F2955" t="s">
        <v>14248</v>
      </c>
      <c r="G2955" t="s">
        <v>819</v>
      </c>
      <c r="H2955" t="s">
        <v>12118</v>
      </c>
      <c r="I2955" t="s">
        <v>14249</v>
      </c>
      <c r="J2955" s="2">
        <v>218170</v>
      </c>
      <c r="K2955" s="2">
        <v>1000</v>
      </c>
      <c r="L2955" s="2">
        <v>15</v>
      </c>
      <c r="M2955" s="2">
        <v>0</v>
      </c>
      <c r="N2955" t="s">
        <v>80</v>
      </c>
      <c r="O2955" t="s">
        <v>81</v>
      </c>
      <c r="P2955" t="s">
        <v>557</v>
      </c>
      <c r="Q2955" t="s">
        <v>558</v>
      </c>
      <c r="S2955" t="s">
        <v>14250</v>
      </c>
      <c r="T2955" t="s">
        <v>3192</v>
      </c>
      <c r="U2955" t="s">
        <v>45</v>
      </c>
      <c r="V2955" t="s">
        <v>46</v>
      </c>
      <c r="W2955" t="s">
        <v>80</v>
      </c>
      <c r="X2955" t="s">
        <v>81</v>
      </c>
      <c r="Y2955" t="s">
        <v>85</v>
      </c>
      <c r="Z2955" t="s">
        <v>86</v>
      </c>
      <c r="AA2955" t="s">
        <v>49</v>
      </c>
      <c r="AB2955" t="s">
        <v>50</v>
      </c>
      <c r="AC2955" s="2">
        <v>196862.41</v>
      </c>
      <c r="AD2955" t="s">
        <v>14251</v>
      </c>
    </row>
    <row r="2956" spans="1:31" x14ac:dyDescent="0.25">
      <c r="A2956" t="s">
        <v>14252</v>
      </c>
      <c r="B2956" t="s">
        <v>14253</v>
      </c>
      <c r="C2956" t="s">
        <v>14253</v>
      </c>
      <c r="D2956" t="s">
        <v>125</v>
      </c>
      <c r="E2956" t="s">
        <v>126</v>
      </c>
      <c r="F2956" t="s">
        <v>14254</v>
      </c>
      <c r="G2956" t="s">
        <v>125</v>
      </c>
      <c r="H2956" t="s">
        <v>8984</v>
      </c>
      <c r="I2956" t="s">
        <v>14255</v>
      </c>
      <c r="J2956" s="2">
        <v>1360755</v>
      </c>
      <c r="K2956" s="2">
        <v>5500</v>
      </c>
      <c r="L2956" s="2">
        <v>30</v>
      </c>
      <c r="M2956" s="2">
        <v>0</v>
      </c>
      <c r="N2956" t="s">
        <v>8986</v>
      </c>
      <c r="O2956" t="s">
        <v>8984</v>
      </c>
      <c r="P2956" t="s">
        <v>2320</v>
      </c>
      <c r="Q2956" t="s">
        <v>2321</v>
      </c>
      <c r="S2956" t="s">
        <v>14256</v>
      </c>
      <c r="T2956" t="s">
        <v>1289</v>
      </c>
      <c r="U2956" t="s">
        <v>45</v>
      </c>
      <c r="V2956" t="s">
        <v>46</v>
      </c>
      <c r="W2956" t="s">
        <v>8986</v>
      </c>
      <c r="X2956" t="s">
        <v>8984</v>
      </c>
      <c r="Y2956" t="s">
        <v>7493</v>
      </c>
      <c r="Z2956" t="s">
        <v>7494</v>
      </c>
      <c r="AA2956" t="s">
        <v>49</v>
      </c>
      <c r="AB2956" t="s">
        <v>50</v>
      </c>
      <c r="AC2956" s="2">
        <v>107621.46</v>
      </c>
      <c r="AD2956" t="s">
        <v>14257</v>
      </c>
      <c r="AE2956" t="s">
        <v>115</v>
      </c>
    </row>
    <row r="2957" spans="1:31" x14ac:dyDescent="0.25">
      <c r="A2957" t="s">
        <v>14258</v>
      </c>
      <c r="B2957" t="s">
        <v>14259</v>
      </c>
      <c r="C2957" t="s">
        <v>14259</v>
      </c>
      <c r="D2957" t="s">
        <v>125</v>
      </c>
      <c r="E2957" t="s">
        <v>126</v>
      </c>
      <c r="F2957" t="s">
        <v>14260</v>
      </c>
      <c r="G2957" t="s">
        <v>125</v>
      </c>
      <c r="H2957" t="s">
        <v>8984</v>
      </c>
      <c r="I2957" t="s">
        <v>14255</v>
      </c>
      <c r="J2957" s="2">
        <v>1237050</v>
      </c>
      <c r="K2957" s="2">
        <v>5000</v>
      </c>
      <c r="L2957" s="2">
        <v>30</v>
      </c>
      <c r="M2957" s="2">
        <v>0</v>
      </c>
      <c r="N2957" t="s">
        <v>8986</v>
      </c>
      <c r="O2957" t="s">
        <v>8984</v>
      </c>
      <c r="P2957" t="s">
        <v>2320</v>
      </c>
      <c r="Q2957" t="s">
        <v>2321</v>
      </c>
      <c r="S2957" t="s">
        <v>14261</v>
      </c>
      <c r="T2957" t="s">
        <v>1289</v>
      </c>
      <c r="U2957" t="s">
        <v>45</v>
      </c>
      <c r="V2957" t="s">
        <v>46</v>
      </c>
      <c r="W2957" t="s">
        <v>8986</v>
      </c>
      <c r="X2957" t="s">
        <v>8984</v>
      </c>
      <c r="Y2957" t="s">
        <v>7493</v>
      </c>
      <c r="Z2957" t="s">
        <v>7494</v>
      </c>
      <c r="AA2957" t="s">
        <v>49</v>
      </c>
      <c r="AB2957" t="s">
        <v>50</v>
      </c>
      <c r="AC2957" s="2">
        <v>209059.37</v>
      </c>
      <c r="AD2957" t="s">
        <v>14262</v>
      </c>
      <c r="AE2957" t="s">
        <v>115</v>
      </c>
    </row>
    <row r="2958" spans="1:31" x14ac:dyDescent="0.25">
      <c r="A2958" t="s">
        <v>14263</v>
      </c>
      <c r="B2958" t="s">
        <v>14264</v>
      </c>
      <c r="C2958" t="s">
        <v>14264</v>
      </c>
      <c r="D2958" t="s">
        <v>35</v>
      </c>
      <c r="E2958" t="s">
        <v>36</v>
      </c>
      <c r="F2958" t="s">
        <v>14265</v>
      </c>
      <c r="G2958" t="s">
        <v>35</v>
      </c>
      <c r="H2958" t="s">
        <v>7493</v>
      </c>
      <c r="I2958" t="s">
        <v>14266</v>
      </c>
      <c r="J2958" s="2">
        <v>654510</v>
      </c>
      <c r="K2958" s="2">
        <v>3000</v>
      </c>
      <c r="L2958" s="2">
        <v>30</v>
      </c>
      <c r="M2958" s="2">
        <v>0</v>
      </c>
      <c r="N2958" t="s">
        <v>9611</v>
      </c>
      <c r="O2958" t="s">
        <v>7493</v>
      </c>
      <c r="P2958" t="s">
        <v>2320</v>
      </c>
      <c r="Q2958" t="s">
        <v>2321</v>
      </c>
      <c r="S2958" t="s">
        <v>14267</v>
      </c>
      <c r="T2958" t="s">
        <v>1289</v>
      </c>
      <c r="U2958" t="s">
        <v>45</v>
      </c>
      <c r="V2958" t="s">
        <v>46</v>
      </c>
      <c r="W2958" t="s">
        <v>9611</v>
      </c>
      <c r="X2958" t="s">
        <v>7493</v>
      </c>
      <c r="Y2958" t="s">
        <v>7493</v>
      </c>
      <c r="Z2958" t="s">
        <v>7494</v>
      </c>
      <c r="AA2958" t="s">
        <v>49</v>
      </c>
      <c r="AB2958" t="s">
        <v>50</v>
      </c>
      <c r="AC2958" s="2">
        <v>58185.61</v>
      </c>
      <c r="AD2958" t="s">
        <v>14268</v>
      </c>
      <c r="AE2958" t="s">
        <v>115</v>
      </c>
    </row>
    <row r="2959" spans="1:31" x14ac:dyDescent="0.25">
      <c r="A2959" t="s">
        <v>14269</v>
      </c>
      <c r="B2959" t="s">
        <v>14270</v>
      </c>
      <c r="C2959" t="s">
        <v>14270</v>
      </c>
      <c r="D2959" t="s">
        <v>125</v>
      </c>
      <c r="E2959" t="s">
        <v>126</v>
      </c>
      <c r="F2959" t="s">
        <v>14271</v>
      </c>
      <c r="G2959" t="s">
        <v>125</v>
      </c>
      <c r="H2959" t="s">
        <v>6237</v>
      </c>
      <c r="I2959" t="s">
        <v>14255</v>
      </c>
      <c r="J2959" s="2">
        <v>654510</v>
      </c>
      <c r="K2959" s="2">
        <v>3000</v>
      </c>
      <c r="L2959" s="2">
        <v>30</v>
      </c>
      <c r="M2959" s="2">
        <v>0</v>
      </c>
      <c r="N2959" t="s">
        <v>6239</v>
      </c>
      <c r="O2959" t="s">
        <v>6240</v>
      </c>
      <c r="P2959" t="s">
        <v>2320</v>
      </c>
      <c r="Q2959" t="s">
        <v>2321</v>
      </c>
      <c r="S2959" t="s">
        <v>14272</v>
      </c>
      <c r="T2959" t="s">
        <v>1289</v>
      </c>
      <c r="U2959" t="s">
        <v>45</v>
      </c>
      <c r="V2959" t="s">
        <v>46</v>
      </c>
      <c r="W2959" t="s">
        <v>6239</v>
      </c>
      <c r="X2959" t="s">
        <v>6240</v>
      </c>
      <c r="Y2959" t="s">
        <v>85</v>
      </c>
      <c r="Z2959" t="s">
        <v>86</v>
      </c>
      <c r="AA2959" t="s">
        <v>49</v>
      </c>
      <c r="AB2959" t="s">
        <v>50</v>
      </c>
      <c r="AC2959" s="2">
        <v>82970.98</v>
      </c>
      <c r="AD2959" t="s">
        <v>14273</v>
      </c>
      <c r="AE2959" t="s">
        <v>115</v>
      </c>
    </row>
    <row r="2960" spans="1:31" x14ac:dyDescent="0.25">
      <c r="A2960" t="s">
        <v>14274</v>
      </c>
      <c r="B2960" t="s">
        <v>14275</v>
      </c>
      <c r="C2960" t="s">
        <v>14275</v>
      </c>
      <c r="D2960" t="s">
        <v>125</v>
      </c>
      <c r="E2960" t="s">
        <v>126</v>
      </c>
      <c r="F2960" t="s">
        <v>14276</v>
      </c>
      <c r="G2960" t="s">
        <v>125</v>
      </c>
      <c r="H2960" t="s">
        <v>6237</v>
      </c>
      <c r="I2960" t="s">
        <v>14266</v>
      </c>
      <c r="J2960" s="2">
        <v>1237050</v>
      </c>
      <c r="K2960" s="2">
        <v>5000</v>
      </c>
      <c r="L2960" s="2">
        <v>30</v>
      </c>
      <c r="M2960" s="2">
        <v>0</v>
      </c>
      <c r="N2960" t="s">
        <v>6239</v>
      </c>
      <c r="O2960" t="s">
        <v>6240</v>
      </c>
      <c r="P2960" t="s">
        <v>2320</v>
      </c>
      <c r="Q2960" t="s">
        <v>2321</v>
      </c>
      <c r="S2960" t="s">
        <v>14277</v>
      </c>
      <c r="T2960" t="s">
        <v>1289</v>
      </c>
      <c r="U2960" t="s">
        <v>45</v>
      </c>
      <c r="V2960" t="s">
        <v>46</v>
      </c>
      <c r="W2960" t="s">
        <v>6239</v>
      </c>
      <c r="X2960" t="s">
        <v>6240</v>
      </c>
      <c r="Y2960" t="s">
        <v>85</v>
      </c>
      <c r="Z2960" t="s">
        <v>86</v>
      </c>
      <c r="AA2960" t="s">
        <v>49</v>
      </c>
      <c r="AB2960" t="s">
        <v>50</v>
      </c>
      <c r="AC2960" s="2">
        <v>354194.8</v>
      </c>
      <c r="AD2960" t="s">
        <v>14278</v>
      </c>
      <c r="AE2960" t="s">
        <v>115</v>
      </c>
    </row>
    <row r="2961" spans="1:31" x14ac:dyDescent="0.25">
      <c r="A2961" t="s">
        <v>14279</v>
      </c>
      <c r="B2961" t="s">
        <v>14280</v>
      </c>
      <c r="C2961" t="s">
        <v>14280</v>
      </c>
      <c r="D2961" t="s">
        <v>478</v>
      </c>
      <c r="E2961" t="s">
        <v>190</v>
      </c>
      <c r="F2961" t="s">
        <v>14281</v>
      </c>
      <c r="G2961" t="s">
        <v>1467</v>
      </c>
      <c r="H2961" t="s">
        <v>3233</v>
      </c>
      <c r="I2961" t="s">
        <v>14266</v>
      </c>
      <c r="J2961" s="2">
        <v>654510</v>
      </c>
      <c r="K2961" s="2">
        <v>3000</v>
      </c>
      <c r="L2961" s="2">
        <v>30</v>
      </c>
      <c r="M2961" s="2">
        <v>0</v>
      </c>
      <c r="N2961" t="s">
        <v>3232</v>
      </c>
      <c r="O2961" t="s">
        <v>3233</v>
      </c>
      <c r="P2961" t="s">
        <v>2320</v>
      </c>
      <c r="Q2961" t="s">
        <v>2321</v>
      </c>
      <c r="S2961" t="s">
        <v>14282</v>
      </c>
      <c r="T2961" t="s">
        <v>1289</v>
      </c>
      <c r="U2961" t="s">
        <v>45</v>
      </c>
      <c r="V2961" t="s">
        <v>46</v>
      </c>
      <c r="W2961" t="s">
        <v>3232</v>
      </c>
      <c r="X2961" t="s">
        <v>3233</v>
      </c>
      <c r="Y2961" t="s">
        <v>1215</v>
      </c>
      <c r="Z2961" t="s">
        <v>1216</v>
      </c>
      <c r="AA2961" t="s">
        <v>49</v>
      </c>
      <c r="AB2961" t="s">
        <v>50</v>
      </c>
      <c r="AC2961" s="2">
        <v>654261.77</v>
      </c>
      <c r="AD2961" t="s">
        <v>14283</v>
      </c>
      <c r="AE2961" t="s">
        <v>115</v>
      </c>
    </row>
    <row r="2962" spans="1:31" x14ac:dyDescent="0.25">
      <c r="A2962" t="s">
        <v>14284</v>
      </c>
      <c r="B2962" t="s">
        <v>14285</v>
      </c>
      <c r="C2962" t="s">
        <v>14285</v>
      </c>
      <c r="D2962" t="s">
        <v>35</v>
      </c>
      <c r="E2962" t="s">
        <v>36</v>
      </c>
      <c r="F2962" t="s">
        <v>14286</v>
      </c>
      <c r="G2962" t="s">
        <v>35</v>
      </c>
      <c r="H2962" t="s">
        <v>9834</v>
      </c>
      <c r="I2962" t="s">
        <v>14266</v>
      </c>
      <c r="J2962" s="2">
        <v>1236500</v>
      </c>
      <c r="K2962" s="2">
        <v>5000</v>
      </c>
      <c r="L2962" s="2">
        <v>30</v>
      </c>
      <c r="M2962" s="2">
        <v>0</v>
      </c>
      <c r="N2962" t="s">
        <v>9588</v>
      </c>
      <c r="O2962" t="s">
        <v>9589</v>
      </c>
      <c r="P2962" t="s">
        <v>2320</v>
      </c>
      <c r="Q2962" t="s">
        <v>2321</v>
      </c>
      <c r="S2962" t="s">
        <v>14287</v>
      </c>
      <c r="T2962" t="s">
        <v>1289</v>
      </c>
      <c r="U2962" t="s">
        <v>45</v>
      </c>
      <c r="V2962" t="s">
        <v>46</v>
      </c>
      <c r="W2962" t="s">
        <v>9588</v>
      </c>
      <c r="X2962" t="s">
        <v>9587</v>
      </c>
      <c r="Y2962" t="s">
        <v>5743</v>
      </c>
      <c r="Z2962" t="s">
        <v>5744</v>
      </c>
      <c r="AA2962" t="s">
        <v>49</v>
      </c>
      <c r="AB2962" t="s">
        <v>50</v>
      </c>
      <c r="AC2962" s="2">
        <v>286472.12</v>
      </c>
      <c r="AD2962" t="s">
        <v>14288</v>
      </c>
      <c r="AE2962" t="s">
        <v>115</v>
      </c>
    </row>
    <row r="2963" spans="1:31" x14ac:dyDescent="0.25">
      <c r="A2963" t="s">
        <v>14289</v>
      </c>
      <c r="B2963" t="s">
        <v>14290</v>
      </c>
      <c r="C2963" t="s">
        <v>14290</v>
      </c>
      <c r="D2963" t="s">
        <v>35</v>
      </c>
      <c r="E2963" t="s">
        <v>36</v>
      </c>
      <c r="F2963" t="s">
        <v>14291</v>
      </c>
      <c r="G2963" t="s">
        <v>35</v>
      </c>
      <c r="H2963" t="s">
        <v>12294</v>
      </c>
      <c r="I2963" t="s">
        <v>14266</v>
      </c>
      <c r="J2963" s="2">
        <v>1360150</v>
      </c>
      <c r="K2963" s="2">
        <v>5500</v>
      </c>
      <c r="L2963" s="2">
        <v>30</v>
      </c>
      <c r="M2963" s="2">
        <v>0</v>
      </c>
      <c r="N2963" t="s">
        <v>7585</v>
      </c>
      <c r="O2963" t="s">
        <v>7586</v>
      </c>
      <c r="P2963" t="s">
        <v>2320</v>
      </c>
      <c r="Q2963" t="s">
        <v>2321</v>
      </c>
      <c r="S2963" t="s">
        <v>14292</v>
      </c>
      <c r="T2963" t="s">
        <v>1289</v>
      </c>
      <c r="U2963" t="s">
        <v>45</v>
      </c>
      <c r="V2963" t="s">
        <v>46</v>
      </c>
      <c r="W2963" t="s">
        <v>7585</v>
      </c>
      <c r="X2963" t="s">
        <v>7588</v>
      </c>
      <c r="Y2963" t="s">
        <v>5743</v>
      </c>
      <c r="Z2963" t="s">
        <v>5744</v>
      </c>
      <c r="AA2963" t="s">
        <v>49</v>
      </c>
      <c r="AB2963" t="s">
        <v>50</v>
      </c>
      <c r="AC2963" s="2">
        <v>12074.42</v>
      </c>
      <c r="AD2963" t="s">
        <v>14293</v>
      </c>
      <c r="AE2963" t="s">
        <v>115</v>
      </c>
    </row>
    <row r="2964" spans="1:31" x14ac:dyDescent="0.25">
      <c r="A2964" t="s">
        <v>14294</v>
      </c>
      <c r="B2964" t="s">
        <v>14295</v>
      </c>
      <c r="C2964" t="s">
        <v>14295</v>
      </c>
      <c r="D2964" t="s">
        <v>35</v>
      </c>
      <c r="E2964" t="s">
        <v>36</v>
      </c>
      <c r="F2964" t="s">
        <v>14296</v>
      </c>
      <c r="G2964" t="s">
        <v>35</v>
      </c>
      <c r="H2964" t="s">
        <v>10436</v>
      </c>
      <c r="I2964" t="s">
        <v>14266</v>
      </c>
      <c r="J2964" s="2">
        <v>654510</v>
      </c>
      <c r="K2964" s="2">
        <v>3000</v>
      </c>
      <c r="L2964" s="2">
        <v>30</v>
      </c>
      <c r="M2964" s="2">
        <v>0</v>
      </c>
      <c r="N2964" t="s">
        <v>10438</v>
      </c>
      <c r="O2964" t="s">
        <v>10436</v>
      </c>
      <c r="P2964" t="s">
        <v>2320</v>
      </c>
      <c r="Q2964" t="s">
        <v>2321</v>
      </c>
      <c r="S2964" t="s">
        <v>14297</v>
      </c>
      <c r="T2964" t="s">
        <v>1289</v>
      </c>
      <c r="U2964" t="s">
        <v>45</v>
      </c>
      <c r="V2964" t="s">
        <v>46</v>
      </c>
      <c r="W2964" t="s">
        <v>10438</v>
      </c>
      <c r="X2964" t="s">
        <v>10436</v>
      </c>
      <c r="Y2964" t="s">
        <v>7493</v>
      </c>
      <c r="Z2964" t="s">
        <v>7494</v>
      </c>
      <c r="AA2964" t="s">
        <v>49</v>
      </c>
      <c r="AB2964" t="s">
        <v>50</v>
      </c>
      <c r="AC2964" s="2">
        <v>119144.71</v>
      </c>
      <c r="AD2964" t="s">
        <v>14298</v>
      </c>
      <c r="AE2964" t="s">
        <v>52</v>
      </c>
    </row>
    <row r="2965" spans="1:31" x14ac:dyDescent="0.25">
      <c r="A2965" t="s">
        <v>14299</v>
      </c>
      <c r="B2965" t="s">
        <v>14300</v>
      </c>
      <c r="C2965" t="s">
        <v>14300</v>
      </c>
      <c r="D2965" t="s">
        <v>297</v>
      </c>
      <c r="E2965" t="s">
        <v>167</v>
      </c>
      <c r="F2965" t="s">
        <v>14301</v>
      </c>
      <c r="G2965" t="s">
        <v>297</v>
      </c>
      <c r="H2965" t="s">
        <v>14302</v>
      </c>
      <c r="I2965" t="s">
        <v>14303</v>
      </c>
      <c r="J2965" s="2">
        <v>549675</v>
      </c>
      <c r="K2965" s="2">
        <v>2500</v>
      </c>
      <c r="L2965" s="2">
        <v>21</v>
      </c>
      <c r="M2965" s="2">
        <v>0</v>
      </c>
      <c r="N2965" t="s">
        <v>14304</v>
      </c>
      <c r="O2965" t="s">
        <v>14302</v>
      </c>
      <c r="P2965" t="s">
        <v>14215</v>
      </c>
      <c r="Q2965" t="s">
        <v>10167</v>
      </c>
      <c r="S2965" t="s">
        <v>14305</v>
      </c>
      <c r="T2965" t="s">
        <v>1289</v>
      </c>
      <c r="U2965" t="s">
        <v>45</v>
      </c>
      <c r="V2965" t="s">
        <v>46</v>
      </c>
      <c r="W2965" t="s">
        <v>14304</v>
      </c>
      <c r="X2965" t="s">
        <v>10167</v>
      </c>
      <c r="Y2965" t="s">
        <v>10167</v>
      </c>
      <c r="Z2965" t="s">
        <v>10168</v>
      </c>
      <c r="AA2965" t="s">
        <v>49</v>
      </c>
      <c r="AB2965" t="s">
        <v>50</v>
      </c>
      <c r="AC2965" s="2">
        <v>205971.11</v>
      </c>
      <c r="AD2965" t="s">
        <v>14306</v>
      </c>
      <c r="AE2965" t="s">
        <v>52</v>
      </c>
    </row>
    <row r="2966" spans="1:31" x14ac:dyDescent="0.25">
      <c r="A2966" t="s">
        <v>14307</v>
      </c>
      <c r="B2966" t="s">
        <v>14308</v>
      </c>
      <c r="C2966" t="s">
        <v>14308</v>
      </c>
      <c r="D2966" t="s">
        <v>553</v>
      </c>
      <c r="E2966" t="s">
        <v>167</v>
      </c>
      <c r="F2966" t="s">
        <v>14309</v>
      </c>
      <c r="G2966" t="s">
        <v>1467</v>
      </c>
      <c r="H2966" t="s">
        <v>10571</v>
      </c>
      <c r="I2966" t="s">
        <v>14310</v>
      </c>
      <c r="J2966" s="2">
        <v>218170</v>
      </c>
      <c r="K2966" s="2">
        <v>1000</v>
      </c>
      <c r="L2966" s="2">
        <v>21</v>
      </c>
      <c r="M2966" s="2">
        <v>0</v>
      </c>
      <c r="N2966" t="s">
        <v>10572</v>
      </c>
      <c r="O2966" t="s">
        <v>10571</v>
      </c>
      <c r="P2966" t="s">
        <v>14215</v>
      </c>
      <c r="Q2966" t="s">
        <v>10167</v>
      </c>
      <c r="S2966" t="s">
        <v>14311</v>
      </c>
      <c r="T2966" t="s">
        <v>1289</v>
      </c>
      <c r="U2966" t="s">
        <v>45</v>
      </c>
      <c r="V2966" t="s">
        <v>46</v>
      </c>
      <c r="W2966" t="s">
        <v>10572</v>
      </c>
      <c r="X2966" t="s">
        <v>10571</v>
      </c>
      <c r="Y2966" t="s">
        <v>10167</v>
      </c>
      <c r="Z2966" t="s">
        <v>10168</v>
      </c>
      <c r="AA2966" t="s">
        <v>49</v>
      </c>
      <c r="AB2966" t="s">
        <v>50</v>
      </c>
      <c r="AC2966" s="2">
        <v>218170</v>
      </c>
      <c r="AD2966" t="s">
        <v>64</v>
      </c>
    </row>
    <row r="2967" spans="1:31" x14ac:dyDescent="0.25">
      <c r="A2967" t="s">
        <v>14312</v>
      </c>
      <c r="B2967" t="s">
        <v>14313</v>
      </c>
      <c r="C2967" t="s">
        <v>14313</v>
      </c>
      <c r="D2967" t="s">
        <v>870</v>
      </c>
      <c r="E2967" t="s">
        <v>871</v>
      </c>
      <c r="F2967" t="s">
        <v>14314</v>
      </c>
      <c r="G2967" t="s">
        <v>870</v>
      </c>
      <c r="H2967" t="s">
        <v>12422</v>
      </c>
      <c r="I2967" t="s">
        <v>14315</v>
      </c>
      <c r="J2967" s="2">
        <v>1024020</v>
      </c>
      <c r="K2967" s="2">
        <v>4500</v>
      </c>
      <c r="L2967" s="2">
        <v>30</v>
      </c>
      <c r="M2967" s="2">
        <v>0</v>
      </c>
      <c r="N2967" t="s">
        <v>12421</v>
      </c>
      <c r="O2967" t="s">
        <v>12422</v>
      </c>
      <c r="P2967" t="s">
        <v>941</v>
      </c>
      <c r="Q2967" t="s">
        <v>139</v>
      </c>
      <c r="S2967" t="s">
        <v>14316</v>
      </c>
      <c r="T2967" t="s">
        <v>1289</v>
      </c>
      <c r="U2967" t="s">
        <v>45</v>
      </c>
      <c r="V2967" t="s">
        <v>46</v>
      </c>
      <c r="W2967" t="s">
        <v>12421</v>
      </c>
      <c r="X2967" t="s">
        <v>12422</v>
      </c>
      <c r="Y2967" t="s">
        <v>9657</v>
      </c>
      <c r="Z2967" t="s">
        <v>9658</v>
      </c>
      <c r="AA2967" t="s">
        <v>49</v>
      </c>
      <c r="AB2967" t="s">
        <v>50</v>
      </c>
      <c r="AC2967" s="2">
        <v>153267.32999999999</v>
      </c>
      <c r="AD2967" t="s">
        <v>14317</v>
      </c>
      <c r="AE2967" t="s">
        <v>115</v>
      </c>
    </row>
    <row r="2968" spans="1:31" x14ac:dyDescent="0.25">
      <c r="A2968" t="s">
        <v>14318</v>
      </c>
      <c r="B2968" t="s">
        <v>14319</v>
      </c>
      <c r="C2968" t="s">
        <v>14319</v>
      </c>
      <c r="D2968" t="s">
        <v>125</v>
      </c>
      <c r="E2968" t="s">
        <v>126</v>
      </c>
      <c r="F2968" t="s">
        <v>14320</v>
      </c>
      <c r="G2968" t="s">
        <v>125</v>
      </c>
      <c r="H2968" t="s">
        <v>12422</v>
      </c>
      <c r="I2968" t="s">
        <v>14321</v>
      </c>
      <c r="J2968" s="2">
        <v>511497</v>
      </c>
      <c r="K2968" s="2">
        <v>2100</v>
      </c>
      <c r="L2968" s="2">
        <v>30</v>
      </c>
      <c r="M2968" s="2">
        <v>0</v>
      </c>
      <c r="N2968" t="s">
        <v>12421</v>
      </c>
      <c r="O2968" t="s">
        <v>12422</v>
      </c>
      <c r="P2968" t="s">
        <v>941</v>
      </c>
      <c r="Q2968" t="s">
        <v>139</v>
      </c>
      <c r="S2968" t="s">
        <v>14322</v>
      </c>
      <c r="T2968" t="s">
        <v>1289</v>
      </c>
      <c r="U2968" t="s">
        <v>45</v>
      </c>
      <c r="V2968" t="s">
        <v>46</v>
      </c>
      <c r="W2968" t="s">
        <v>12421</v>
      </c>
      <c r="X2968" t="s">
        <v>12422</v>
      </c>
      <c r="Y2968" t="s">
        <v>9657</v>
      </c>
      <c r="Z2968" t="s">
        <v>9658</v>
      </c>
      <c r="AA2968" t="s">
        <v>49</v>
      </c>
      <c r="AB2968" t="s">
        <v>50</v>
      </c>
      <c r="AC2968" s="2">
        <v>82031.289999999994</v>
      </c>
      <c r="AD2968" t="s">
        <v>14323</v>
      </c>
      <c r="AE2968" t="s">
        <v>52</v>
      </c>
    </row>
    <row r="2969" spans="1:31" hidden="1" x14ac:dyDescent="0.25">
      <c r="A2969" t="s">
        <v>14324</v>
      </c>
      <c r="B2969" t="s">
        <v>14325</v>
      </c>
      <c r="C2969" t="s">
        <v>14325</v>
      </c>
      <c r="F2969" t="s">
        <v>14326</v>
      </c>
      <c r="H2969" t="s">
        <v>2157</v>
      </c>
      <c r="I2969" t="s">
        <v>14327</v>
      </c>
      <c r="J2969" s="2">
        <v>218170</v>
      </c>
      <c r="K2969" s="2">
        <v>1000</v>
      </c>
      <c r="L2969" s="2">
        <v>1</v>
      </c>
      <c r="M2969" s="2">
        <v>0</v>
      </c>
      <c r="N2969" t="s">
        <v>14328</v>
      </c>
      <c r="O2969" t="s">
        <v>2157</v>
      </c>
      <c r="P2969" t="s">
        <v>4315</v>
      </c>
      <c r="Q2969" t="s">
        <v>4316</v>
      </c>
      <c r="S2969" t="s">
        <v>14329</v>
      </c>
      <c r="T2969" t="s">
        <v>1289</v>
      </c>
      <c r="U2969" t="s">
        <v>45</v>
      </c>
      <c r="V2969" t="s">
        <v>46</v>
      </c>
      <c r="W2969" t="s">
        <v>14330</v>
      </c>
      <c r="X2969" t="s">
        <v>2157</v>
      </c>
      <c r="Y2969" t="s">
        <v>2157</v>
      </c>
      <c r="Z2969" t="s">
        <v>48</v>
      </c>
      <c r="AA2969" t="s">
        <v>49</v>
      </c>
      <c r="AB2969" t="s">
        <v>50</v>
      </c>
      <c r="AC2969" s="2">
        <v>218170</v>
      </c>
      <c r="AD2969" t="s">
        <v>64</v>
      </c>
    </row>
    <row r="2970" spans="1:31" x14ac:dyDescent="0.25">
      <c r="A2970" t="s">
        <v>14331</v>
      </c>
      <c r="B2970" t="s">
        <v>14332</v>
      </c>
      <c r="C2970" t="s">
        <v>14332</v>
      </c>
      <c r="D2970" t="s">
        <v>297</v>
      </c>
      <c r="E2970" t="s">
        <v>167</v>
      </c>
      <c r="F2970" t="s">
        <v>14333</v>
      </c>
      <c r="G2970" t="s">
        <v>297</v>
      </c>
      <c r="H2970" t="s">
        <v>12422</v>
      </c>
      <c r="I2970" t="s">
        <v>14321</v>
      </c>
      <c r="J2970" s="2">
        <v>1217850</v>
      </c>
      <c r="K2970" s="2">
        <v>5000</v>
      </c>
      <c r="L2970" s="2">
        <v>30</v>
      </c>
      <c r="M2970" s="2">
        <v>0</v>
      </c>
      <c r="N2970" t="s">
        <v>12421</v>
      </c>
      <c r="O2970" t="s">
        <v>12422</v>
      </c>
      <c r="P2970" t="s">
        <v>941</v>
      </c>
      <c r="Q2970" t="s">
        <v>139</v>
      </c>
      <c r="S2970" t="s">
        <v>14334</v>
      </c>
      <c r="T2970" t="s">
        <v>331</v>
      </c>
      <c r="U2970" t="s">
        <v>45</v>
      </c>
      <c r="V2970" t="s">
        <v>46</v>
      </c>
      <c r="W2970" t="s">
        <v>12421</v>
      </c>
      <c r="X2970" t="s">
        <v>12422</v>
      </c>
      <c r="Y2970" t="s">
        <v>9657</v>
      </c>
      <c r="Z2970" t="s">
        <v>9658</v>
      </c>
      <c r="AA2970" t="s">
        <v>49</v>
      </c>
      <c r="AB2970" t="s">
        <v>50</v>
      </c>
      <c r="AC2970" s="2">
        <v>153735.95000000001</v>
      </c>
      <c r="AD2970" t="s">
        <v>14335</v>
      </c>
      <c r="AE2970" t="s">
        <v>52</v>
      </c>
    </row>
    <row r="2971" spans="1:31" x14ac:dyDescent="0.25">
      <c r="A2971" t="s">
        <v>14336</v>
      </c>
      <c r="B2971" t="s">
        <v>14337</v>
      </c>
      <c r="C2971" t="s">
        <v>9581</v>
      </c>
      <c r="D2971" t="s">
        <v>35</v>
      </c>
      <c r="E2971" t="s">
        <v>36</v>
      </c>
      <c r="F2971" t="s">
        <v>9578</v>
      </c>
      <c r="G2971" t="s">
        <v>1410</v>
      </c>
      <c r="H2971" t="s">
        <v>9834</v>
      </c>
      <c r="I2971" t="s">
        <v>9582</v>
      </c>
      <c r="J2971" s="2">
        <v>224380</v>
      </c>
      <c r="K2971" s="2">
        <v>1000</v>
      </c>
      <c r="L2971" s="2">
        <v>30</v>
      </c>
      <c r="M2971" s="2">
        <v>0</v>
      </c>
      <c r="N2971" t="s">
        <v>9588</v>
      </c>
      <c r="O2971" t="s">
        <v>9589</v>
      </c>
      <c r="P2971" t="s">
        <v>5966</v>
      </c>
      <c r="Q2971" t="s">
        <v>5739</v>
      </c>
      <c r="S2971" t="s">
        <v>14338</v>
      </c>
      <c r="T2971" t="s">
        <v>223</v>
      </c>
      <c r="U2971" t="s">
        <v>45</v>
      </c>
      <c r="V2971" t="s">
        <v>46</v>
      </c>
      <c r="W2971" t="s">
        <v>9588</v>
      </c>
      <c r="X2971" t="s">
        <v>9587</v>
      </c>
      <c r="Y2971" t="s">
        <v>5743</v>
      </c>
      <c r="Z2971" t="s">
        <v>5744</v>
      </c>
      <c r="AA2971" t="s">
        <v>49</v>
      </c>
      <c r="AB2971" t="s">
        <v>50</v>
      </c>
      <c r="AC2971" s="2">
        <v>211021.6</v>
      </c>
      <c r="AD2971" t="s">
        <v>14339</v>
      </c>
      <c r="AE2971" t="s">
        <v>52</v>
      </c>
    </row>
    <row r="2972" spans="1:31" x14ac:dyDescent="0.25">
      <c r="A2972" t="s">
        <v>14340</v>
      </c>
      <c r="B2972" t="s">
        <v>14341</v>
      </c>
      <c r="C2972" t="s">
        <v>14341</v>
      </c>
      <c r="D2972" t="s">
        <v>1243</v>
      </c>
      <c r="E2972" t="s">
        <v>871</v>
      </c>
      <c r="F2972" t="s">
        <v>14342</v>
      </c>
      <c r="G2972" t="s">
        <v>3221</v>
      </c>
      <c r="H2972" t="s">
        <v>139</v>
      </c>
      <c r="I2972" t="s">
        <v>14145</v>
      </c>
      <c r="J2972" s="2">
        <v>218170</v>
      </c>
      <c r="K2972" s="2">
        <v>1000</v>
      </c>
      <c r="L2972" s="2">
        <v>30</v>
      </c>
      <c r="M2972" s="2">
        <v>0</v>
      </c>
      <c r="N2972" t="s">
        <v>8853</v>
      </c>
      <c r="O2972" t="s">
        <v>139</v>
      </c>
      <c r="P2972" t="s">
        <v>941</v>
      </c>
      <c r="Q2972" t="s">
        <v>139</v>
      </c>
      <c r="S2972" t="s">
        <v>14343</v>
      </c>
      <c r="T2972" t="s">
        <v>3221</v>
      </c>
      <c r="U2972" t="s">
        <v>45</v>
      </c>
      <c r="V2972" t="s">
        <v>46</v>
      </c>
      <c r="W2972" t="s">
        <v>8853</v>
      </c>
      <c r="X2972" t="s">
        <v>139</v>
      </c>
      <c r="Y2972" t="s">
        <v>139</v>
      </c>
      <c r="Z2972" t="s">
        <v>140</v>
      </c>
      <c r="AA2972" t="s">
        <v>49</v>
      </c>
      <c r="AB2972" t="s">
        <v>50</v>
      </c>
      <c r="AC2972" s="2">
        <v>218170</v>
      </c>
      <c r="AD2972" t="s">
        <v>64</v>
      </c>
    </row>
    <row r="2973" spans="1:31" x14ac:dyDescent="0.25">
      <c r="A2973" t="s">
        <v>14344</v>
      </c>
      <c r="B2973" t="s">
        <v>14345</v>
      </c>
      <c r="C2973" t="s">
        <v>14345</v>
      </c>
      <c r="D2973" t="s">
        <v>153</v>
      </c>
      <c r="E2973" t="s">
        <v>272</v>
      </c>
      <c r="F2973" t="s">
        <v>14346</v>
      </c>
      <c r="G2973" t="s">
        <v>344</v>
      </c>
      <c r="H2973" t="s">
        <v>1607</v>
      </c>
      <c r="I2973" t="s">
        <v>7078</v>
      </c>
      <c r="J2973" s="2">
        <v>377302</v>
      </c>
      <c r="K2973" s="2">
        <v>1570</v>
      </c>
      <c r="L2973" s="2">
        <v>21</v>
      </c>
      <c r="M2973" s="2">
        <v>0</v>
      </c>
      <c r="N2973" t="s">
        <v>403</v>
      </c>
      <c r="O2973" t="s">
        <v>404</v>
      </c>
      <c r="P2973" t="s">
        <v>205</v>
      </c>
      <c r="Q2973" t="s">
        <v>206</v>
      </c>
      <c r="S2973" t="s">
        <v>14347</v>
      </c>
      <c r="T2973" t="s">
        <v>321</v>
      </c>
      <c r="U2973" t="s">
        <v>45</v>
      </c>
      <c r="V2973" t="s">
        <v>46</v>
      </c>
      <c r="W2973" t="s">
        <v>403</v>
      </c>
      <c r="X2973" t="s">
        <v>404</v>
      </c>
      <c r="Y2973" t="s">
        <v>161</v>
      </c>
      <c r="Z2973" t="s">
        <v>162</v>
      </c>
      <c r="AA2973" t="s">
        <v>49</v>
      </c>
      <c r="AB2973" t="s">
        <v>50</v>
      </c>
      <c r="AC2973" s="2">
        <v>365837.17</v>
      </c>
      <c r="AD2973" t="s">
        <v>14348</v>
      </c>
      <c r="AE2973" t="s">
        <v>52</v>
      </c>
    </row>
    <row r="2974" spans="1:31" hidden="1" x14ac:dyDescent="0.25">
      <c r="A2974" t="s">
        <v>14349</v>
      </c>
      <c r="B2974" t="s">
        <v>14350</v>
      </c>
      <c r="C2974" t="s">
        <v>14350</v>
      </c>
      <c r="F2974" t="s">
        <v>14351</v>
      </c>
      <c r="H2974" t="s">
        <v>79</v>
      </c>
      <c r="I2974" t="s">
        <v>14352</v>
      </c>
      <c r="J2974" s="2">
        <v>218170</v>
      </c>
      <c r="K2974" s="2">
        <v>1000</v>
      </c>
      <c r="L2974" s="2">
        <v>21</v>
      </c>
      <c r="M2974" s="2">
        <v>0</v>
      </c>
      <c r="N2974" t="s">
        <v>495</v>
      </c>
      <c r="O2974" t="s">
        <v>79</v>
      </c>
      <c r="P2974" t="s">
        <v>3487</v>
      </c>
      <c r="Q2974" t="s">
        <v>3488</v>
      </c>
      <c r="S2974" t="s">
        <v>14353</v>
      </c>
      <c r="T2974" t="s">
        <v>321</v>
      </c>
      <c r="U2974" t="s">
        <v>45</v>
      </c>
      <c r="V2974" t="s">
        <v>46</v>
      </c>
      <c r="W2974" t="s">
        <v>495</v>
      </c>
      <c r="X2974" t="s">
        <v>79</v>
      </c>
      <c r="Y2974" t="s">
        <v>79</v>
      </c>
      <c r="Z2974" t="s">
        <v>94</v>
      </c>
      <c r="AA2974" t="s">
        <v>49</v>
      </c>
      <c r="AB2974" t="s">
        <v>50</v>
      </c>
      <c r="AC2974" s="2">
        <v>218170</v>
      </c>
      <c r="AD2974" t="s">
        <v>64</v>
      </c>
    </row>
    <row r="2975" spans="1:31" hidden="1" x14ac:dyDescent="0.25">
      <c r="A2975" t="s">
        <v>14354</v>
      </c>
      <c r="B2975" t="s">
        <v>14355</v>
      </c>
      <c r="C2975" t="s">
        <v>14356</v>
      </c>
      <c r="F2975" t="s">
        <v>14357</v>
      </c>
      <c r="G2975" t="s">
        <v>321</v>
      </c>
      <c r="H2975" t="s">
        <v>12118</v>
      </c>
      <c r="I2975" t="s">
        <v>14358</v>
      </c>
      <c r="J2975" s="2">
        <v>218170</v>
      </c>
      <c r="K2975" s="2">
        <v>1000</v>
      </c>
      <c r="L2975" s="2">
        <v>10</v>
      </c>
      <c r="M2975" s="2">
        <v>0</v>
      </c>
      <c r="N2975" t="s">
        <v>6239</v>
      </c>
      <c r="O2975" t="s">
        <v>6240</v>
      </c>
      <c r="P2975" t="s">
        <v>557</v>
      </c>
      <c r="Q2975" t="s">
        <v>558</v>
      </c>
      <c r="S2975" t="s">
        <v>14359</v>
      </c>
      <c r="T2975" t="s">
        <v>321</v>
      </c>
      <c r="U2975" t="s">
        <v>45</v>
      </c>
      <c r="V2975" t="s">
        <v>46</v>
      </c>
      <c r="W2975" t="s">
        <v>6239</v>
      </c>
      <c r="X2975" t="s">
        <v>6240</v>
      </c>
      <c r="Y2975" t="s">
        <v>85</v>
      </c>
      <c r="Z2975" t="s">
        <v>86</v>
      </c>
      <c r="AA2975" t="s">
        <v>49</v>
      </c>
      <c r="AB2975" t="s">
        <v>50</v>
      </c>
      <c r="AC2975" s="2">
        <v>218170</v>
      </c>
      <c r="AD2975" t="s">
        <v>64</v>
      </c>
    </row>
    <row r="2976" spans="1:31" hidden="1" x14ac:dyDescent="0.25">
      <c r="A2976" t="s">
        <v>14360</v>
      </c>
      <c r="B2976" t="s">
        <v>14361</v>
      </c>
      <c r="C2976" t="s">
        <v>14356</v>
      </c>
      <c r="F2976" t="s">
        <v>14357</v>
      </c>
      <c r="H2976" t="s">
        <v>12118</v>
      </c>
      <c r="I2976" t="s">
        <v>14362</v>
      </c>
      <c r="J2976" s="2">
        <v>218170</v>
      </c>
      <c r="K2976" s="2">
        <v>1000</v>
      </c>
      <c r="L2976" s="2">
        <v>10</v>
      </c>
      <c r="M2976" s="2">
        <v>0</v>
      </c>
      <c r="N2976" t="s">
        <v>80</v>
      </c>
      <c r="O2976" t="s">
        <v>81</v>
      </c>
      <c r="P2976" t="s">
        <v>557</v>
      </c>
      <c r="Q2976" t="s">
        <v>558</v>
      </c>
      <c r="S2976" t="s">
        <v>14363</v>
      </c>
      <c r="T2976" t="s">
        <v>321</v>
      </c>
      <c r="U2976" t="s">
        <v>45</v>
      </c>
      <c r="V2976" t="s">
        <v>46</v>
      </c>
      <c r="W2976" t="s">
        <v>80</v>
      </c>
      <c r="X2976" t="s">
        <v>81</v>
      </c>
      <c r="Y2976" t="s">
        <v>85</v>
      </c>
      <c r="Z2976" t="s">
        <v>86</v>
      </c>
      <c r="AA2976" t="s">
        <v>49</v>
      </c>
      <c r="AB2976" t="s">
        <v>50</v>
      </c>
      <c r="AC2976" s="2">
        <v>218170</v>
      </c>
      <c r="AD2976" t="s">
        <v>64</v>
      </c>
    </row>
    <row r="2977" spans="1:31" hidden="1" x14ac:dyDescent="0.25">
      <c r="A2977" t="s">
        <v>14364</v>
      </c>
      <c r="B2977" t="s">
        <v>14365</v>
      </c>
      <c r="C2977" t="s">
        <v>14356</v>
      </c>
      <c r="F2977" t="s">
        <v>14357</v>
      </c>
      <c r="H2977" t="s">
        <v>14366</v>
      </c>
      <c r="I2977" t="s">
        <v>14367</v>
      </c>
      <c r="J2977" s="2">
        <v>218170</v>
      </c>
      <c r="K2977" s="2">
        <v>1000</v>
      </c>
      <c r="L2977" s="2">
        <v>10</v>
      </c>
      <c r="M2977" s="2">
        <v>0</v>
      </c>
      <c r="N2977" t="s">
        <v>14368</v>
      </c>
      <c r="O2977" t="s">
        <v>14366</v>
      </c>
      <c r="P2977" t="s">
        <v>557</v>
      </c>
      <c r="Q2977" t="s">
        <v>558</v>
      </c>
      <c r="S2977" t="s">
        <v>14363</v>
      </c>
      <c r="T2977" t="s">
        <v>321</v>
      </c>
      <c r="U2977" t="s">
        <v>45</v>
      </c>
      <c r="V2977" t="s">
        <v>46</v>
      </c>
      <c r="W2977" t="s">
        <v>14368</v>
      </c>
      <c r="X2977" t="s">
        <v>14366</v>
      </c>
      <c r="Y2977" t="s">
        <v>85</v>
      </c>
      <c r="Z2977" t="s">
        <v>86</v>
      </c>
      <c r="AA2977" t="s">
        <v>49</v>
      </c>
      <c r="AB2977" t="s">
        <v>50</v>
      </c>
      <c r="AC2977" s="2">
        <v>218170</v>
      </c>
      <c r="AD2977" t="s">
        <v>64</v>
      </c>
    </row>
    <row r="2978" spans="1:31" hidden="1" x14ac:dyDescent="0.25">
      <c r="A2978" t="s">
        <v>14369</v>
      </c>
      <c r="B2978" t="s">
        <v>14370</v>
      </c>
      <c r="C2978" t="s">
        <v>14356</v>
      </c>
      <c r="F2978" t="s">
        <v>14357</v>
      </c>
      <c r="H2978" t="s">
        <v>2831</v>
      </c>
      <c r="I2978" t="s">
        <v>14371</v>
      </c>
      <c r="J2978" s="2">
        <v>218170</v>
      </c>
      <c r="K2978" s="2">
        <v>1000</v>
      </c>
      <c r="L2978" s="2">
        <v>10</v>
      </c>
      <c r="M2978" s="2">
        <v>0</v>
      </c>
      <c r="N2978" t="s">
        <v>80</v>
      </c>
      <c r="O2978" t="s">
        <v>81</v>
      </c>
      <c r="P2978" t="s">
        <v>557</v>
      </c>
      <c r="Q2978" t="s">
        <v>558</v>
      </c>
      <c r="S2978" t="s">
        <v>14363</v>
      </c>
      <c r="T2978" t="s">
        <v>321</v>
      </c>
      <c r="U2978" t="s">
        <v>45</v>
      </c>
      <c r="V2978" t="s">
        <v>46</v>
      </c>
      <c r="W2978" t="s">
        <v>80</v>
      </c>
      <c r="X2978" t="s">
        <v>81</v>
      </c>
      <c r="Y2978" t="s">
        <v>85</v>
      </c>
      <c r="Z2978" t="s">
        <v>86</v>
      </c>
      <c r="AA2978" t="s">
        <v>49</v>
      </c>
      <c r="AB2978" t="s">
        <v>50</v>
      </c>
      <c r="AC2978" s="2">
        <v>218170</v>
      </c>
      <c r="AD2978" t="s">
        <v>64</v>
      </c>
    </row>
    <row r="2979" spans="1:31" x14ac:dyDescent="0.25">
      <c r="A2979" t="s">
        <v>14372</v>
      </c>
      <c r="B2979" t="s">
        <v>14373</v>
      </c>
      <c r="C2979" t="s">
        <v>14373</v>
      </c>
      <c r="D2979" t="s">
        <v>792</v>
      </c>
      <c r="E2979" t="s">
        <v>190</v>
      </c>
      <c r="F2979" t="s">
        <v>14374</v>
      </c>
      <c r="G2979" t="s">
        <v>792</v>
      </c>
      <c r="H2979" t="s">
        <v>10163</v>
      </c>
      <c r="I2979" t="s">
        <v>14375</v>
      </c>
      <c r="J2979" s="2">
        <v>233560</v>
      </c>
      <c r="K2979" s="2">
        <v>1000</v>
      </c>
      <c r="L2979" s="2">
        <v>21</v>
      </c>
      <c r="M2979" s="2">
        <v>0</v>
      </c>
      <c r="N2979" t="s">
        <v>10165</v>
      </c>
      <c r="O2979" t="s">
        <v>10163</v>
      </c>
      <c r="P2979" t="s">
        <v>14215</v>
      </c>
      <c r="Q2979" t="s">
        <v>10167</v>
      </c>
      <c r="S2979" t="s">
        <v>14376</v>
      </c>
      <c r="T2979" t="s">
        <v>321</v>
      </c>
      <c r="U2979" t="s">
        <v>45</v>
      </c>
      <c r="V2979" t="s">
        <v>46</v>
      </c>
      <c r="W2979" t="s">
        <v>10165</v>
      </c>
      <c r="X2979" t="s">
        <v>10163</v>
      </c>
      <c r="Y2979" t="s">
        <v>10167</v>
      </c>
      <c r="Z2979" t="s">
        <v>10168</v>
      </c>
      <c r="AA2979" t="s">
        <v>49</v>
      </c>
      <c r="AB2979" t="s">
        <v>50</v>
      </c>
      <c r="AC2979" s="2">
        <v>155210.06</v>
      </c>
      <c r="AD2979" t="s">
        <v>14377</v>
      </c>
      <c r="AE2979" t="s">
        <v>52</v>
      </c>
    </row>
    <row r="2980" spans="1:31" x14ac:dyDescent="0.25">
      <c r="A2980" t="s">
        <v>14378</v>
      </c>
      <c r="B2980" t="s">
        <v>14379</v>
      </c>
      <c r="C2980" t="s">
        <v>14379</v>
      </c>
      <c r="D2980" t="s">
        <v>297</v>
      </c>
      <c r="E2980" t="s">
        <v>167</v>
      </c>
      <c r="F2980" t="s">
        <v>14380</v>
      </c>
      <c r="G2980" t="s">
        <v>297</v>
      </c>
      <c r="H2980" t="s">
        <v>6627</v>
      </c>
      <c r="I2980" t="s">
        <v>14381</v>
      </c>
      <c r="J2980" s="2">
        <v>672840</v>
      </c>
      <c r="K2980" s="2">
        <v>2700</v>
      </c>
      <c r="L2980" s="2">
        <v>21</v>
      </c>
      <c r="M2980" s="2">
        <v>0</v>
      </c>
      <c r="N2980" t="s">
        <v>6629</v>
      </c>
      <c r="O2980" t="s">
        <v>6630</v>
      </c>
      <c r="P2980" t="s">
        <v>3487</v>
      </c>
      <c r="Q2980" t="s">
        <v>3488</v>
      </c>
      <c r="S2980" t="s">
        <v>14382</v>
      </c>
      <c r="T2980" t="s">
        <v>321</v>
      </c>
      <c r="U2980" t="s">
        <v>45</v>
      </c>
      <c r="V2980" t="s">
        <v>46</v>
      </c>
      <c r="W2980" t="s">
        <v>6629</v>
      </c>
      <c r="X2980" t="s">
        <v>6630</v>
      </c>
      <c r="Y2980" t="s">
        <v>79</v>
      </c>
      <c r="Z2980" t="s">
        <v>94</v>
      </c>
      <c r="AA2980" t="s">
        <v>49</v>
      </c>
      <c r="AB2980" t="s">
        <v>50</v>
      </c>
      <c r="AC2980" s="2">
        <v>205311.57</v>
      </c>
      <c r="AD2980" t="s">
        <v>14383</v>
      </c>
      <c r="AE2980" t="s">
        <v>52</v>
      </c>
    </row>
    <row r="2981" spans="1:31" hidden="1" x14ac:dyDescent="0.25">
      <c r="A2981" t="s">
        <v>14384</v>
      </c>
      <c r="B2981" t="s">
        <v>14385</v>
      </c>
      <c r="C2981" t="s">
        <v>14385</v>
      </c>
      <c r="F2981" t="s">
        <v>14386</v>
      </c>
      <c r="H2981" t="s">
        <v>7263</v>
      </c>
      <c r="I2981" t="s">
        <v>14387</v>
      </c>
      <c r="J2981" s="2">
        <v>218170</v>
      </c>
      <c r="K2981" s="2">
        <v>1000</v>
      </c>
      <c r="L2981" s="2">
        <v>21</v>
      </c>
      <c r="M2981" s="2">
        <v>0</v>
      </c>
      <c r="N2981" t="s">
        <v>2571</v>
      </c>
      <c r="O2981" t="s">
        <v>2572</v>
      </c>
      <c r="P2981" t="s">
        <v>6987</v>
      </c>
      <c r="Q2981" t="s">
        <v>6988</v>
      </c>
      <c r="S2981" t="s">
        <v>14388</v>
      </c>
      <c r="T2981" t="s">
        <v>321</v>
      </c>
      <c r="U2981" t="s">
        <v>45</v>
      </c>
      <c r="V2981" t="s">
        <v>46</v>
      </c>
      <c r="W2981" t="s">
        <v>2571</v>
      </c>
      <c r="X2981" t="s">
        <v>2572</v>
      </c>
      <c r="Y2981" t="s">
        <v>2399</v>
      </c>
      <c r="Z2981" t="s">
        <v>2400</v>
      </c>
      <c r="AA2981" t="s">
        <v>49</v>
      </c>
      <c r="AB2981" t="s">
        <v>50</v>
      </c>
      <c r="AC2981" s="2">
        <v>218170</v>
      </c>
      <c r="AD2981" t="s">
        <v>64</v>
      </c>
    </row>
    <row r="2982" spans="1:31" x14ac:dyDescent="0.25">
      <c r="A2982" t="s">
        <v>14389</v>
      </c>
      <c r="B2982" t="s">
        <v>14390</v>
      </c>
      <c r="C2982" t="s">
        <v>14390</v>
      </c>
      <c r="D2982" t="s">
        <v>125</v>
      </c>
      <c r="E2982" t="s">
        <v>126</v>
      </c>
      <c r="F2982" t="s">
        <v>14391</v>
      </c>
      <c r="G2982" t="s">
        <v>125</v>
      </c>
      <c r="H2982" t="s">
        <v>14302</v>
      </c>
      <c r="I2982" t="s">
        <v>14392</v>
      </c>
      <c r="J2982" s="2">
        <v>425628</v>
      </c>
      <c r="K2982" s="2">
        <v>1800</v>
      </c>
      <c r="L2982" s="2">
        <v>21</v>
      </c>
      <c r="M2982" s="2">
        <v>0</v>
      </c>
      <c r="N2982" t="s">
        <v>14304</v>
      </c>
      <c r="O2982" t="s">
        <v>14302</v>
      </c>
      <c r="P2982" t="s">
        <v>14215</v>
      </c>
      <c r="Q2982" t="s">
        <v>10167</v>
      </c>
      <c r="S2982" t="s">
        <v>14393</v>
      </c>
      <c r="T2982" t="s">
        <v>321</v>
      </c>
      <c r="U2982" t="s">
        <v>45</v>
      </c>
      <c r="V2982" t="s">
        <v>46</v>
      </c>
      <c r="W2982" t="s">
        <v>14304</v>
      </c>
      <c r="X2982" t="s">
        <v>10167</v>
      </c>
      <c r="Y2982" t="s">
        <v>10167</v>
      </c>
      <c r="Z2982" t="s">
        <v>10168</v>
      </c>
      <c r="AA2982" t="s">
        <v>49</v>
      </c>
      <c r="AB2982" t="s">
        <v>50</v>
      </c>
      <c r="AC2982" s="2">
        <v>307323.17</v>
      </c>
      <c r="AD2982" t="s">
        <v>14394</v>
      </c>
      <c r="AE2982" t="s">
        <v>52</v>
      </c>
    </row>
    <row r="2983" spans="1:31" hidden="1" x14ac:dyDescent="0.25">
      <c r="A2983" t="s">
        <v>14395</v>
      </c>
      <c r="B2983" t="s">
        <v>14396</v>
      </c>
      <c r="C2983" t="s">
        <v>14396</v>
      </c>
      <c r="F2983" t="s">
        <v>14397</v>
      </c>
      <c r="H2983" t="s">
        <v>1898</v>
      </c>
      <c r="I2983" t="s">
        <v>14398</v>
      </c>
      <c r="J2983" s="2">
        <v>436340</v>
      </c>
      <c r="K2983" s="2">
        <v>2000</v>
      </c>
      <c r="L2983" s="2">
        <v>7</v>
      </c>
      <c r="M2983" s="2">
        <v>0</v>
      </c>
      <c r="N2983" t="s">
        <v>1900</v>
      </c>
      <c r="O2983" t="s">
        <v>1901</v>
      </c>
      <c r="P2983" t="s">
        <v>158</v>
      </c>
      <c r="Q2983" t="s">
        <v>159</v>
      </c>
      <c r="S2983" t="s">
        <v>14399</v>
      </c>
      <c r="T2983" t="s">
        <v>321</v>
      </c>
      <c r="U2983" t="s">
        <v>45</v>
      </c>
      <c r="V2983" t="s">
        <v>46</v>
      </c>
      <c r="W2983" t="s">
        <v>1900</v>
      </c>
      <c r="X2983" t="s">
        <v>1901</v>
      </c>
      <c r="Y2983" t="s">
        <v>161</v>
      </c>
      <c r="Z2983" t="s">
        <v>162</v>
      </c>
      <c r="AA2983" t="s">
        <v>49</v>
      </c>
      <c r="AB2983" t="s">
        <v>50</v>
      </c>
      <c r="AC2983" s="2">
        <v>436340</v>
      </c>
      <c r="AD2983" t="s">
        <v>64</v>
      </c>
    </row>
    <row r="2984" spans="1:31" x14ac:dyDescent="0.25">
      <c r="A2984" t="s">
        <v>14400</v>
      </c>
      <c r="B2984" t="s">
        <v>14401</v>
      </c>
      <c r="C2984" t="s">
        <v>14401</v>
      </c>
      <c r="D2984" t="s">
        <v>35</v>
      </c>
      <c r="E2984" t="s">
        <v>36</v>
      </c>
      <c r="F2984" t="s">
        <v>14402</v>
      </c>
      <c r="G2984" t="s">
        <v>35</v>
      </c>
      <c r="H2984" t="s">
        <v>9834</v>
      </c>
      <c r="I2984" t="s">
        <v>14266</v>
      </c>
      <c r="J2984" s="2">
        <v>1236500</v>
      </c>
      <c r="K2984" s="2">
        <v>5000</v>
      </c>
      <c r="L2984" s="2">
        <v>30</v>
      </c>
      <c r="M2984" s="2">
        <v>0</v>
      </c>
      <c r="N2984" t="s">
        <v>9588</v>
      </c>
      <c r="O2984" t="s">
        <v>9589</v>
      </c>
      <c r="P2984" t="s">
        <v>2320</v>
      </c>
      <c r="Q2984" t="s">
        <v>2321</v>
      </c>
      <c r="S2984" t="s">
        <v>14403</v>
      </c>
      <c r="T2984" t="s">
        <v>321</v>
      </c>
      <c r="U2984" t="s">
        <v>45</v>
      </c>
      <c r="V2984" t="s">
        <v>46</v>
      </c>
      <c r="W2984" t="s">
        <v>9588</v>
      </c>
      <c r="X2984" t="s">
        <v>9587</v>
      </c>
      <c r="Y2984" t="s">
        <v>5743</v>
      </c>
      <c r="Z2984" t="s">
        <v>5744</v>
      </c>
      <c r="AA2984" t="s">
        <v>49</v>
      </c>
      <c r="AB2984" t="s">
        <v>50</v>
      </c>
      <c r="AC2984" s="2">
        <v>737769.55</v>
      </c>
      <c r="AD2984" t="s">
        <v>14404</v>
      </c>
      <c r="AE2984" t="s">
        <v>115</v>
      </c>
    </row>
    <row r="2985" spans="1:31" x14ac:dyDescent="0.25">
      <c r="A2985" t="s">
        <v>14405</v>
      </c>
      <c r="B2985" t="s">
        <v>14406</v>
      </c>
      <c r="C2985" t="s">
        <v>14406</v>
      </c>
      <c r="D2985" t="s">
        <v>35</v>
      </c>
      <c r="E2985" t="s">
        <v>36</v>
      </c>
      <c r="F2985" t="s">
        <v>14407</v>
      </c>
      <c r="G2985" t="s">
        <v>35</v>
      </c>
      <c r="H2985" t="s">
        <v>9587</v>
      </c>
      <c r="I2985" t="s">
        <v>14266</v>
      </c>
      <c r="J2985" s="2">
        <v>455032</v>
      </c>
      <c r="K2985" s="2">
        <v>1840</v>
      </c>
      <c r="L2985" s="2">
        <v>30</v>
      </c>
      <c r="M2985" s="2">
        <v>0</v>
      </c>
      <c r="N2985" t="s">
        <v>9588</v>
      </c>
      <c r="O2985" t="s">
        <v>9589</v>
      </c>
      <c r="P2985" t="s">
        <v>2320</v>
      </c>
      <c r="Q2985" t="s">
        <v>2321</v>
      </c>
      <c r="S2985" t="s">
        <v>14408</v>
      </c>
      <c r="T2985" t="s">
        <v>321</v>
      </c>
      <c r="U2985" t="s">
        <v>45</v>
      </c>
      <c r="V2985" t="s">
        <v>46</v>
      </c>
      <c r="W2985" t="s">
        <v>9588</v>
      </c>
      <c r="X2985" t="s">
        <v>9587</v>
      </c>
      <c r="Y2985" t="s">
        <v>5743</v>
      </c>
      <c r="Z2985" t="s">
        <v>5744</v>
      </c>
      <c r="AA2985" t="s">
        <v>49</v>
      </c>
      <c r="AB2985" t="s">
        <v>50</v>
      </c>
      <c r="AC2985" s="2">
        <v>7022.18</v>
      </c>
      <c r="AD2985" t="s">
        <v>14409</v>
      </c>
      <c r="AE2985" t="s">
        <v>115</v>
      </c>
    </row>
    <row r="2986" spans="1:31" x14ac:dyDescent="0.25">
      <c r="A2986" t="s">
        <v>14410</v>
      </c>
      <c r="B2986" t="s">
        <v>14411</v>
      </c>
      <c r="C2986" t="s">
        <v>14411</v>
      </c>
      <c r="D2986" t="s">
        <v>125</v>
      </c>
      <c r="E2986" t="s">
        <v>126</v>
      </c>
      <c r="F2986" t="s">
        <v>14412</v>
      </c>
      <c r="G2986" t="s">
        <v>125</v>
      </c>
      <c r="H2986" t="s">
        <v>10350</v>
      </c>
      <c r="I2986" t="s">
        <v>14413</v>
      </c>
      <c r="J2986" s="2">
        <v>1174350</v>
      </c>
      <c r="K2986" s="2">
        <v>5000</v>
      </c>
      <c r="L2986" s="2">
        <v>30</v>
      </c>
      <c r="M2986" s="2">
        <v>0</v>
      </c>
      <c r="N2986" t="s">
        <v>10352</v>
      </c>
      <c r="O2986" t="s">
        <v>10350</v>
      </c>
      <c r="P2986" t="s">
        <v>10093</v>
      </c>
      <c r="Q2986" t="s">
        <v>10094</v>
      </c>
      <c r="S2986" t="s">
        <v>14414</v>
      </c>
      <c r="T2986" t="s">
        <v>485</v>
      </c>
      <c r="U2986" t="s">
        <v>45</v>
      </c>
      <c r="V2986" t="s">
        <v>46</v>
      </c>
      <c r="W2986" t="s">
        <v>10352</v>
      </c>
      <c r="X2986" t="s">
        <v>7938</v>
      </c>
      <c r="Y2986" t="s">
        <v>7938</v>
      </c>
      <c r="Z2986" t="s">
        <v>7939</v>
      </c>
      <c r="AA2986" t="s">
        <v>49</v>
      </c>
      <c r="AB2986" t="s">
        <v>50</v>
      </c>
      <c r="AC2986" s="2">
        <v>524694.6</v>
      </c>
      <c r="AD2986" t="s">
        <v>14415</v>
      </c>
      <c r="AE2986" t="s">
        <v>52</v>
      </c>
    </row>
    <row r="2987" spans="1:31" x14ac:dyDescent="0.25">
      <c r="A2987" t="s">
        <v>14416</v>
      </c>
      <c r="B2987" t="s">
        <v>14417</v>
      </c>
      <c r="C2987" t="s">
        <v>14417</v>
      </c>
      <c r="D2987" t="s">
        <v>847</v>
      </c>
      <c r="E2987" t="s">
        <v>848</v>
      </c>
      <c r="F2987" t="s">
        <v>14418</v>
      </c>
      <c r="G2987" t="s">
        <v>847</v>
      </c>
      <c r="H2987" t="s">
        <v>137</v>
      </c>
      <c r="I2987" t="s">
        <v>14419</v>
      </c>
      <c r="J2987" s="2">
        <v>124772</v>
      </c>
      <c r="K2987" s="2">
        <v>510</v>
      </c>
      <c r="L2987" s="2">
        <v>15</v>
      </c>
      <c r="M2987" s="2">
        <v>0</v>
      </c>
      <c r="N2987" t="s">
        <v>14420</v>
      </c>
      <c r="O2987" t="s">
        <v>14421</v>
      </c>
      <c r="P2987" t="s">
        <v>256</v>
      </c>
      <c r="Q2987" t="s">
        <v>255</v>
      </c>
      <c r="S2987" t="s">
        <v>14422</v>
      </c>
      <c r="T2987" t="s">
        <v>485</v>
      </c>
      <c r="U2987" t="s">
        <v>45</v>
      </c>
      <c r="V2987" t="s">
        <v>46</v>
      </c>
      <c r="W2987" t="s">
        <v>136</v>
      </c>
      <c r="X2987" t="s">
        <v>137</v>
      </c>
      <c r="Y2987" t="s">
        <v>137</v>
      </c>
      <c r="Z2987" t="s">
        <v>717</v>
      </c>
      <c r="AA2987" t="s">
        <v>49</v>
      </c>
      <c r="AB2987" t="s">
        <v>50</v>
      </c>
      <c r="AC2987" s="2">
        <v>-5103.1400000000003</v>
      </c>
      <c r="AD2987" t="s">
        <v>14423</v>
      </c>
      <c r="AE2987" t="s">
        <v>52</v>
      </c>
    </row>
    <row r="2988" spans="1:31" x14ac:dyDescent="0.25">
      <c r="A2988" t="s">
        <v>14424</v>
      </c>
      <c r="B2988" t="s">
        <v>14425</v>
      </c>
      <c r="C2988" t="s">
        <v>14425</v>
      </c>
      <c r="D2988" t="s">
        <v>847</v>
      </c>
      <c r="E2988" t="s">
        <v>848</v>
      </c>
      <c r="F2988" t="s">
        <v>14426</v>
      </c>
      <c r="G2988" t="s">
        <v>847</v>
      </c>
      <c r="H2988" t="s">
        <v>10214</v>
      </c>
      <c r="I2988" t="s">
        <v>14427</v>
      </c>
      <c r="J2988" s="2">
        <v>218170</v>
      </c>
      <c r="K2988" s="2">
        <v>1000</v>
      </c>
      <c r="L2988" s="2">
        <v>30</v>
      </c>
      <c r="M2988" s="2">
        <v>0</v>
      </c>
      <c r="N2988" t="s">
        <v>10216</v>
      </c>
      <c r="O2988" t="s">
        <v>10214</v>
      </c>
      <c r="P2988" t="s">
        <v>10093</v>
      </c>
      <c r="Q2988" t="s">
        <v>10094</v>
      </c>
      <c r="S2988" t="s">
        <v>14428</v>
      </c>
      <c r="T2988" t="s">
        <v>485</v>
      </c>
      <c r="U2988" t="s">
        <v>45</v>
      </c>
      <c r="V2988" t="s">
        <v>46</v>
      </c>
      <c r="W2988" t="s">
        <v>10216</v>
      </c>
      <c r="X2988" t="s">
        <v>10214</v>
      </c>
      <c r="Y2988" t="s">
        <v>7938</v>
      </c>
      <c r="Z2988" t="s">
        <v>7939</v>
      </c>
      <c r="AA2988" t="s">
        <v>49</v>
      </c>
      <c r="AB2988" t="s">
        <v>50</v>
      </c>
      <c r="AC2988" s="2">
        <v>195490.54</v>
      </c>
      <c r="AD2988" t="s">
        <v>14429</v>
      </c>
      <c r="AE2988" t="s">
        <v>52</v>
      </c>
    </row>
    <row r="2989" spans="1:31" hidden="1" x14ac:dyDescent="0.25">
      <c r="A2989" t="s">
        <v>14430</v>
      </c>
      <c r="B2989" t="s">
        <v>14431</v>
      </c>
      <c r="C2989" t="s">
        <v>14432</v>
      </c>
      <c r="F2989" t="s">
        <v>14433</v>
      </c>
      <c r="H2989" t="s">
        <v>11954</v>
      </c>
      <c r="J2989" s="2">
        <v>0</v>
      </c>
      <c r="K2989" s="2">
        <v>0</v>
      </c>
      <c r="L2989" s="2">
        <v>0</v>
      </c>
      <c r="M2989" s="2">
        <v>0</v>
      </c>
      <c r="N2989" t="s">
        <v>14420</v>
      </c>
      <c r="O2989" t="s">
        <v>14421</v>
      </c>
      <c r="P2989" t="s">
        <v>3534</v>
      </c>
      <c r="Q2989" t="s">
        <v>3535</v>
      </c>
      <c r="S2989" t="s">
        <v>14434</v>
      </c>
      <c r="T2989" t="s">
        <v>485</v>
      </c>
      <c r="U2989" t="s">
        <v>45</v>
      </c>
      <c r="V2989" t="s">
        <v>46</v>
      </c>
      <c r="W2989" t="s">
        <v>14420</v>
      </c>
      <c r="X2989" t="s">
        <v>14421</v>
      </c>
      <c r="Y2989" t="s">
        <v>137</v>
      </c>
      <c r="Z2989" t="s">
        <v>717</v>
      </c>
      <c r="AA2989" t="s">
        <v>49</v>
      </c>
      <c r="AB2989" t="s">
        <v>50</v>
      </c>
      <c r="AC2989" s="2">
        <v>0</v>
      </c>
      <c r="AD2989" t="s">
        <v>64</v>
      </c>
    </row>
    <row r="2990" spans="1:31" hidden="1" x14ac:dyDescent="0.25">
      <c r="A2990" t="s">
        <v>14435</v>
      </c>
      <c r="B2990" t="s">
        <v>14436</v>
      </c>
      <c r="C2990" t="s">
        <v>14437</v>
      </c>
      <c r="F2990" t="s">
        <v>14438</v>
      </c>
      <c r="H2990" t="s">
        <v>137</v>
      </c>
      <c r="J2990" s="2">
        <v>0</v>
      </c>
      <c r="K2990" s="2">
        <v>0</v>
      </c>
      <c r="L2990" s="2">
        <v>0</v>
      </c>
      <c r="M2990" s="2">
        <v>0</v>
      </c>
      <c r="N2990" t="s">
        <v>136</v>
      </c>
      <c r="O2990" t="s">
        <v>137</v>
      </c>
      <c r="S2990" t="s">
        <v>14439</v>
      </c>
      <c r="T2990" t="s">
        <v>1467</v>
      </c>
      <c r="U2990" t="s">
        <v>45</v>
      </c>
      <c r="V2990" t="s">
        <v>46</v>
      </c>
      <c r="Y2990" t="s">
        <v>139</v>
      </c>
      <c r="Z2990" t="s">
        <v>140</v>
      </c>
      <c r="AA2990" t="s">
        <v>49</v>
      </c>
      <c r="AB2990" t="s">
        <v>50</v>
      </c>
      <c r="AC2990" s="2">
        <v>0</v>
      </c>
      <c r="AD2990" t="s">
        <v>64</v>
      </c>
    </row>
    <row r="2991" spans="1:31" hidden="1" x14ac:dyDescent="0.25">
      <c r="A2991" t="s">
        <v>14440</v>
      </c>
      <c r="B2991" t="s">
        <v>14441</v>
      </c>
      <c r="C2991" t="s">
        <v>14441</v>
      </c>
      <c r="F2991" t="s">
        <v>14442</v>
      </c>
      <c r="H2991" t="s">
        <v>13295</v>
      </c>
      <c r="I2991" t="s">
        <v>14443</v>
      </c>
      <c r="J2991" s="2">
        <v>218170</v>
      </c>
      <c r="K2991" s="2">
        <v>1000</v>
      </c>
      <c r="L2991" s="2">
        <v>30</v>
      </c>
      <c r="M2991" s="2">
        <v>0</v>
      </c>
      <c r="N2991" t="s">
        <v>13297</v>
      </c>
      <c r="O2991" t="s">
        <v>13295</v>
      </c>
      <c r="P2991" t="s">
        <v>10093</v>
      </c>
      <c r="Q2991" t="s">
        <v>10094</v>
      </c>
      <c r="S2991" t="s">
        <v>14444</v>
      </c>
      <c r="T2991" t="s">
        <v>1467</v>
      </c>
      <c r="U2991" t="s">
        <v>45</v>
      </c>
      <c r="V2991" t="s">
        <v>46</v>
      </c>
      <c r="W2991" t="s">
        <v>13297</v>
      </c>
      <c r="X2991" t="s">
        <v>13295</v>
      </c>
      <c r="Y2991" t="s">
        <v>7938</v>
      </c>
      <c r="Z2991" t="s">
        <v>7939</v>
      </c>
      <c r="AA2991" t="s">
        <v>49</v>
      </c>
      <c r="AB2991" t="s">
        <v>50</v>
      </c>
      <c r="AC2991" s="2">
        <v>218170</v>
      </c>
      <c r="AD2991" t="s">
        <v>64</v>
      </c>
    </row>
    <row r="2992" spans="1:31" hidden="1" x14ac:dyDescent="0.25">
      <c r="A2992" t="s">
        <v>14445</v>
      </c>
      <c r="B2992" t="s">
        <v>14446</v>
      </c>
      <c r="C2992" t="s">
        <v>14446</v>
      </c>
      <c r="F2992" t="s">
        <v>14447</v>
      </c>
      <c r="H2992" t="s">
        <v>139</v>
      </c>
      <c r="I2992" t="s">
        <v>14448</v>
      </c>
      <c r="J2992" s="2">
        <v>65451</v>
      </c>
      <c r="K2992" s="2">
        <v>300</v>
      </c>
      <c r="L2992" s="2">
        <v>30</v>
      </c>
      <c r="M2992" s="2">
        <v>0</v>
      </c>
      <c r="N2992" t="s">
        <v>5263</v>
      </c>
      <c r="O2992" t="s">
        <v>5264</v>
      </c>
      <c r="P2992" t="s">
        <v>941</v>
      </c>
      <c r="Q2992" t="s">
        <v>139</v>
      </c>
      <c r="S2992" t="s">
        <v>14449</v>
      </c>
      <c r="T2992" t="s">
        <v>1467</v>
      </c>
      <c r="U2992" t="s">
        <v>45</v>
      </c>
      <c r="V2992" t="s">
        <v>46</v>
      </c>
      <c r="W2992" t="s">
        <v>5263</v>
      </c>
      <c r="X2992" t="s">
        <v>5264</v>
      </c>
      <c r="Y2992" t="s">
        <v>139</v>
      </c>
      <c r="Z2992" t="s">
        <v>140</v>
      </c>
      <c r="AA2992" t="s">
        <v>49</v>
      </c>
      <c r="AB2992" t="s">
        <v>50</v>
      </c>
      <c r="AC2992" s="2">
        <v>65451</v>
      </c>
      <c r="AD2992" t="s">
        <v>64</v>
      </c>
    </row>
    <row r="2993" spans="1:31" x14ac:dyDescent="0.25">
      <c r="A2993" t="s">
        <v>14450</v>
      </c>
      <c r="B2993" t="s">
        <v>14451</v>
      </c>
      <c r="C2993" t="s">
        <v>14451</v>
      </c>
      <c r="D2993" t="s">
        <v>125</v>
      </c>
      <c r="E2993" t="s">
        <v>126</v>
      </c>
      <c r="F2993" t="s">
        <v>14452</v>
      </c>
      <c r="G2993" t="s">
        <v>4647</v>
      </c>
      <c r="H2993" t="s">
        <v>10571</v>
      </c>
      <c r="I2993" t="s">
        <v>14453</v>
      </c>
      <c r="J2993" s="2">
        <v>218170</v>
      </c>
      <c r="K2993" s="2">
        <v>1000</v>
      </c>
      <c r="L2993" s="2">
        <v>21</v>
      </c>
      <c r="M2993" s="2">
        <v>0</v>
      </c>
      <c r="N2993" t="s">
        <v>10572</v>
      </c>
      <c r="O2993" t="s">
        <v>10571</v>
      </c>
      <c r="P2993" t="s">
        <v>14215</v>
      </c>
      <c r="Q2993" t="s">
        <v>10167</v>
      </c>
      <c r="S2993" t="s">
        <v>14454</v>
      </c>
      <c r="T2993" t="s">
        <v>873</v>
      </c>
      <c r="U2993" t="s">
        <v>45</v>
      </c>
      <c r="V2993" t="s">
        <v>46</v>
      </c>
      <c r="W2993" t="s">
        <v>10572</v>
      </c>
      <c r="X2993" t="s">
        <v>10571</v>
      </c>
      <c r="Y2993" t="s">
        <v>10167</v>
      </c>
      <c r="Z2993" t="s">
        <v>10168</v>
      </c>
      <c r="AA2993" t="s">
        <v>49</v>
      </c>
      <c r="AB2993" t="s">
        <v>50</v>
      </c>
      <c r="AC2993" s="2">
        <v>207333.42</v>
      </c>
      <c r="AD2993" t="s">
        <v>14455</v>
      </c>
      <c r="AE2993" t="s">
        <v>115</v>
      </c>
    </row>
    <row r="2994" spans="1:31" x14ac:dyDescent="0.25">
      <c r="A2994" t="s">
        <v>14456</v>
      </c>
      <c r="B2994" t="s">
        <v>14457</v>
      </c>
      <c r="C2994" t="s">
        <v>14457</v>
      </c>
      <c r="D2994" t="s">
        <v>847</v>
      </c>
      <c r="E2994" t="s">
        <v>848</v>
      </c>
      <c r="F2994" t="s">
        <v>14458</v>
      </c>
      <c r="G2994" t="s">
        <v>478</v>
      </c>
      <c r="H2994" t="s">
        <v>137</v>
      </c>
      <c r="I2994" t="s">
        <v>14459</v>
      </c>
      <c r="J2994" s="2">
        <v>218170</v>
      </c>
      <c r="K2994" s="2">
        <v>1000</v>
      </c>
      <c r="L2994" s="2">
        <v>15</v>
      </c>
      <c r="M2994" s="2">
        <v>0</v>
      </c>
      <c r="N2994" t="s">
        <v>136</v>
      </c>
      <c r="O2994" t="s">
        <v>137</v>
      </c>
      <c r="P2994" t="s">
        <v>3534</v>
      </c>
      <c r="Q2994" t="s">
        <v>3535</v>
      </c>
      <c r="S2994" t="s">
        <v>14460</v>
      </c>
      <c r="T2994" t="s">
        <v>873</v>
      </c>
      <c r="U2994" t="s">
        <v>45</v>
      </c>
      <c r="V2994" t="s">
        <v>46</v>
      </c>
      <c r="W2994" t="s">
        <v>136</v>
      </c>
      <c r="X2994" t="s">
        <v>137</v>
      </c>
      <c r="Y2994" t="s">
        <v>137</v>
      </c>
      <c r="Z2994" t="s">
        <v>717</v>
      </c>
      <c r="AA2994" t="s">
        <v>49</v>
      </c>
      <c r="AB2994" t="s">
        <v>50</v>
      </c>
      <c r="AC2994" s="2">
        <v>108572.8</v>
      </c>
      <c r="AD2994" t="s">
        <v>14461</v>
      </c>
      <c r="AE2994" t="s">
        <v>52</v>
      </c>
    </row>
    <row r="2995" spans="1:31" x14ac:dyDescent="0.25">
      <c r="A2995" t="s">
        <v>14462</v>
      </c>
      <c r="B2995" t="s">
        <v>14463</v>
      </c>
      <c r="C2995" t="s">
        <v>14463</v>
      </c>
      <c r="D2995" t="s">
        <v>299</v>
      </c>
      <c r="E2995" t="s">
        <v>167</v>
      </c>
      <c r="F2995" t="s">
        <v>14464</v>
      </c>
      <c r="G2995" t="s">
        <v>1410</v>
      </c>
      <c r="H2995" t="s">
        <v>12118</v>
      </c>
      <c r="I2995" t="s">
        <v>14465</v>
      </c>
      <c r="J2995" s="2">
        <v>218170</v>
      </c>
      <c r="K2995" s="2">
        <v>1000</v>
      </c>
      <c r="L2995" s="2">
        <v>15</v>
      </c>
      <c r="M2995" s="2">
        <v>0</v>
      </c>
      <c r="N2995" t="s">
        <v>80</v>
      </c>
      <c r="O2995" t="s">
        <v>81</v>
      </c>
      <c r="P2995" t="s">
        <v>557</v>
      </c>
      <c r="Q2995" t="s">
        <v>558</v>
      </c>
      <c r="S2995" t="s">
        <v>14466</v>
      </c>
      <c r="T2995" t="s">
        <v>873</v>
      </c>
      <c r="U2995" t="s">
        <v>45</v>
      </c>
      <c r="V2995" t="s">
        <v>46</v>
      </c>
      <c r="W2995" t="s">
        <v>80</v>
      </c>
      <c r="X2995" t="s">
        <v>81</v>
      </c>
      <c r="Y2995" t="s">
        <v>85</v>
      </c>
      <c r="Z2995" t="s">
        <v>86</v>
      </c>
      <c r="AA2995" t="s">
        <v>49</v>
      </c>
      <c r="AB2995" t="s">
        <v>50</v>
      </c>
      <c r="AC2995" s="2">
        <v>214233.74</v>
      </c>
      <c r="AD2995" t="s">
        <v>14467</v>
      </c>
    </row>
    <row r="2996" spans="1:31" x14ac:dyDescent="0.25">
      <c r="A2996" t="s">
        <v>14468</v>
      </c>
      <c r="B2996" t="s">
        <v>14469</v>
      </c>
      <c r="C2996" t="s">
        <v>14469</v>
      </c>
      <c r="D2996" t="s">
        <v>125</v>
      </c>
      <c r="E2996" t="s">
        <v>126</v>
      </c>
      <c r="F2996" t="s">
        <v>14470</v>
      </c>
      <c r="G2996" t="s">
        <v>125</v>
      </c>
      <c r="H2996" t="s">
        <v>139</v>
      </c>
      <c r="I2996" t="s">
        <v>14471</v>
      </c>
      <c r="J2996" s="2">
        <v>573736</v>
      </c>
      <c r="K2996" s="2">
        <v>2320</v>
      </c>
      <c r="L2996" s="2">
        <v>30</v>
      </c>
      <c r="M2996" s="2">
        <v>0</v>
      </c>
      <c r="N2996" t="s">
        <v>8853</v>
      </c>
      <c r="O2996" t="s">
        <v>139</v>
      </c>
      <c r="P2996" t="s">
        <v>941</v>
      </c>
      <c r="Q2996" t="s">
        <v>139</v>
      </c>
      <c r="S2996" t="s">
        <v>14472</v>
      </c>
      <c r="T2996" t="s">
        <v>873</v>
      </c>
      <c r="U2996" t="s">
        <v>45</v>
      </c>
      <c r="V2996" t="s">
        <v>46</v>
      </c>
      <c r="W2996" t="s">
        <v>8853</v>
      </c>
      <c r="X2996" t="s">
        <v>139</v>
      </c>
      <c r="Y2996" t="s">
        <v>139</v>
      </c>
      <c r="Z2996" t="s">
        <v>140</v>
      </c>
      <c r="AA2996" t="s">
        <v>49</v>
      </c>
      <c r="AB2996" t="s">
        <v>50</v>
      </c>
      <c r="AC2996" s="2">
        <v>14439.5</v>
      </c>
      <c r="AD2996" t="s">
        <v>14473</v>
      </c>
      <c r="AE2996" t="s">
        <v>52</v>
      </c>
    </row>
    <row r="2997" spans="1:31" x14ac:dyDescent="0.25">
      <c r="A2997" t="s">
        <v>14474</v>
      </c>
      <c r="B2997" t="s">
        <v>14475</v>
      </c>
      <c r="C2997" t="s">
        <v>14475</v>
      </c>
      <c r="D2997" t="s">
        <v>153</v>
      </c>
      <c r="E2997" t="s">
        <v>272</v>
      </c>
      <c r="F2997" t="s">
        <v>14476</v>
      </c>
      <c r="G2997" t="s">
        <v>4647</v>
      </c>
      <c r="H2997" t="s">
        <v>139</v>
      </c>
      <c r="I2997" t="s">
        <v>14477</v>
      </c>
      <c r="J2997" s="2">
        <v>65451</v>
      </c>
      <c r="K2997" s="2">
        <v>300</v>
      </c>
      <c r="L2997" s="2">
        <v>30</v>
      </c>
      <c r="M2997" s="2">
        <v>0</v>
      </c>
      <c r="N2997" t="s">
        <v>8853</v>
      </c>
      <c r="O2997" t="s">
        <v>139</v>
      </c>
      <c r="P2997" t="s">
        <v>941</v>
      </c>
      <c r="Q2997" t="s">
        <v>139</v>
      </c>
      <c r="S2997" t="s">
        <v>14478</v>
      </c>
      <c r="T2997" t="s">
        <v>873</v>
      </c>
      <c r="U2997" t="s">
        <v>45</v>
      </c>
      <c r="V2997" t="s">
        <v>46</v>
      </c>
      <c r="W2997" t="s">
        <v>8853</v>
      </c>
      <c r="X2997" t="s">
        <v>139</v>
      </c>
      <c r="Y2997" t="s">
        <v>139</v>
      </c>
      <c r="Z2997" t="s">
        <v>140</v>
      </c>
      <c r="AA2997" t="s">
        <v>49</v>
      </c>
      <c r="AB2997" t="s">
        <v>50</v>
      </c>
      <c r="AC2997" s="2">
        <v>35462.67</v>
      </c>
      <c r="AD2997" t="s">
        <v>14479</v>
      </c>
      <c r="AE2997" t="s">
        <v>115</v>
      </c>
    </row>
    <row r="2998" spans="1:31" x14ac:dyDescent="0.25">
      <c r="A2998" t="s">
        <v>14480</v>
      </c>
      <c r="B2998" t="s">
        <v>14481</v>
      </c>
      <c r="C2998" t="s">
        <v>14481</v>
      </c>
      <c r="D2998" t="s">
        <v>847</v>
      </c>
      <c r="E2998" t="s">
        <v>848</v>
      </c>
      <c r="F2998" t="s">
        <v>14482</v>
      </c>
      <c r="G2998" t="s">
        <v>1939</v>
      </c>
      <c r="H2998" t="s">
        <v>8401</v>
      </c>
      <c r="I2998" t="s">
        <v>14483</v>
      </c>
      <c r="J2998" s="2">
        <v>245670</v>
      </c>
      <c r="K2998" s="2">
        <v>1000</v>
      </c>
      <c r="L2998" s="2">
        <v>15</v>
      </c>
      <c r="M2998" s="2">
        <v>0</v>
      </c>
      <c r="N2998" t="s">
        <v>8403</v>
      </c>
      <c r="O2998" t="s">
        <v>8401</v>
      </c>
      <c r="P2998" t="s">
        <v>6987</v>
      </c>
      <c r="Q2998" t="s">
        <v>6988</v>
      </c>
      <c r="S2998" t="s">
        <v>14484</v>
      </c>
      <c r="T2998" t="s">
        <v>873</v>
      </c>
      <c r="U2998" t="s">
        <v>45</v>
      </c>
      <c r="V2998" t="s">
        <v>46</v>
      </c>
      <c r="W2998" t="s">
        <v>8403</v>
      </c>
      <c r="X2998" t="s">
        <v>8401</v>
      </c>
      <c r="Y2998" t="s">
        <v>2399</v>
      </c>
      <c r="Z2998" t="s">
        <v>2400</v>
      </c>
      <c r="AA2998" t="s">
        <v>49</v>
      </c>
      <c r="AB2998" t="s">
        <v>50</v>
      </c>
      <c r="AC2998" s="2">
        <v>183651.86</v>
      </c>
      <c r="AD2998" t="s">
        <v>14485</v>
      </c>
      <c r="AE2998" t="s">
        <v>115</v>
      </c>
    </row>
    <row r="2999" spans="1:31" x14ac:dyDescent="0.25">
      <c r="A2999" t="s">
        <v>14486</v>
      </c>
      <c r="B2999" t="s">
        <v>14487</v>
      </c>
      <c r="C2999" t="s">
        <v>14487</v>
      </c>
      <c r="D2999" t="s">
        <v>125</v>
      </c>
      <c r="E2999" t="s">
        <v>126</v>
      </c>
      <c r="F2999" t="s">
        <v>14488</v>
      </c>
      <c r="G2999" t="s">
        <v>125</v>
      </c>
      <c r="H2999" t="s">
        <v>10155</v>
      </c>
      <c r="I2999" t="s">
        <v>14227</v>
      </c>
      <c r="J2999" s="2">
        <v>218170</v>
      </c>
      <c r="K2999" s="2">
        <v>1000</v>
      </c>
      <c r="L2999" s="2">
        <v>30</v>
      </c>
      <c r="M2999" s="2">
        <v>0</v>
      </c>
      <c r="N2999" t="s">
        <v>10157</v>
      </c>
      <c r="O2999" t="s">
        <v>10155</v>
      </c>
      <c r="P2999" t="s">
        <v>10093</v>
      </c>
      <c r="Q2999" t="s">
        <v>10094</v>
      </c>
      <c r="S2999" t="s">
        <v>14489</v>
      </c>
      <c r="T2999" t="s">
        <v>1454</v>
      </c>
      <c r="U2999" t="s">
        <v>45</v>
      </c>
      <c r="V2999" t="s">
        <v>46</v>
      </c>
      <c r="W2999" t="s">
        <v>10157</v>
      </c>
      <c r="X2999" t="s">
        <v>10155</v>
      </c>
      <c r="Y2999" t="s">
        <v>7938</v>
      </c>
      <c r="Z2999" t="s">
        <v>7939</v>
      </c>
      <c r="AA2999" t="s">
        <v>49</v>
      </c>
      <c r="AB2999" t="s">
        <v>50</v>
      </c>
      <c r="AC2999" s="2">
        <v>156076.64000000001</v>
      </c>
      <c r="AD2999" t="s">
        <v>14490</v>
      </c>
      <c r="AE2999" t="s">
        <v>52</v>
      </c>
    </row>
    <row r="3000" spans="1:31" x14ac:dyDescent="0.25">
      <c r="A3000" t="s">
        <v>14491</v>
      </c>
      <c r="B3000" t="s">
        <v>14492</v>
      </c>
      <c r="C3000" t="s">
        <v>14492</v>
      </c>
      <c r="D3000" t="s">
        <v>125</v>
      </c>
      <c r="E3000" t="s">
        <v>126</v>
      </c>
      <c r="F3000" t="s">
        <v>14493</v>
      </c>
      <c r="G3000" t="s">
        <v>35</v>
      </c>
      <c r="H3000" t="s">
        <v>11848</v>
      </c>
      <c r="I3000" t="s">
        <v>14494</v>
      </c>
      <c r="J3000" s="2">
        <v>218170</v>
      </c>
      <c r="K3000" s="2">
        <v>1000</v>
      </c>
      <c r="L3000" s="2">
        <v>1</v>
      </c>
      <c r="M3000" s="2">
        <v>0</v>
      </c>
      <c r="N3000" t="s">
        <v>8675</v>
      </c>
      <c r="O3000" t="s">
        <v>8673</v>
      </c>
      <c r="P3000" t="s">
        <v>3487</v>
      </c>
      <c r="Q3000" t="s">
        <v>3488</v>
      </c>
      <c r="S3000" t="s">
        <v>14495</v>
      </c>
      <c r="T3000" t="s">
        <v>1454</v>
      </c>
      <c r="U3000" t="s">
        <v>45</v>
      </c>
      <c r="V3000" t="s">
        <v>46</v>
      </c>
      <c r="W3000" t="s">
        <v>8675</v>
      </c>
      <c r="X3000" t="s">
        <v>8673</v>
      </c>
      <c r="Y3000" t="s">
        <v>79</v>
      </c>
      <c r="Z3000" t="s">
        <v>94</v>
      </c>
      <c r="AA3000" t="s">
        <v>49</v>
      </c>
      <c r="AB3000" t="s">
        <v>50</v>
      </c>
      <c r="AC3000" s="2">
        <v>218170</v>
      </c>
      <c r="AD3000" t="s">
        <v>64</v>
      </c>
    </row>
    <row r="3001" spans="1:31" x14ac:dyDescent="0.25">
      <c r="A3001" t="s">
        <v>14496</v>
      </c>
      <c r="B3001" t="s">
        <v>14497</v>
      </c>
      <c r="C3001" t="s">
        <v>14497</v>
      </c>
      <c r="D3001" t="s">
        <v>1243</v>
      </c>
      <c r="E3001" t="s">
        <v>871</v>
      </c>
      <c r="F3001" t="s">
        <v>14498</v>
      </c>
      <c r="G3001" t="s">
        <v>4647</v>
      </c>
      <c r="H3001" t="s">
        <v>10576</v>
      </c>
      <c r="I3001" t="s">
        <v>14499</v>
      </c>
      <c r="J3001" s="2">
        <v>233560</v>
      </c>
      <c r="K3001" s="2">
        <v>1000</v>
      </c>
      <c r="L3001" s="2">
        <v>21</v>
      </c>
      <c r="M3001" s="2">
        <v>0</v>
      </c>
      <c r="N3001" t="s">
        <v>10572</v>
      </c>
      <c r="O3001" t="s">
        <v>10571</v>
      </c>
      <c r="P3001" t="s">
        <v>14215</v>
      </c>
      <c r="Q3001" t="s">
        <v>10167</v>
      </c>
      <c r="S3001" t="s">
        <v>14500</v>
      </c>
      <c r="T3001" t="s">
        <v>1454</v>
      </c>
      <c r="U3001" t="s">
        <v>45</v>
      </c>
      <c r="V3001" t="s">
        <v>46</v>
      </c>
      <c r="W3001" t="s">
        <v>10572</v>
      </c>
      <c r="X3001" t="s">
        <v>10571</v>
      </c>
      <c r="Y3001" t="s">
        <v>10167</v>
      </c>
      <c r="Z3001" t="s">
        <v>10168</v>
      </c>
      <c r="AA3001" t="s">
        <v>49</v>
      </c>
      <c r="AB3001" t="s">
        <v>50</v>
      </c>
      <c r="AC3001" s="2">
        <v>233560</v>
      </c>
      <c r="AD3001" t="s">
        <v>64</v>
      </c>
    </row>
    <row r="3002" spans="1:31" x14ac:dyDescent="0.25">
      <c r="A3002" t="s">
        <v>14501</v>
      </c>
      <c r="B3002" t="s">
        <v>14502</v>
      </c>
      <c r="C3002" t="s">
        <v>14502</v>
      </c>
      <c r="D3002" t="s">
        <v>125</v>
      </c>
      <c r="E3002" t="s">
        <v>126</v>
      </c>
      <c r="F3002" t="s">
        <v>14503</v>
      </c>
      <c r="G3002" t="s">
        <v>125</v>
      </c>
      <c r="H3002" t="s">
        <v>10576</v>
      </c>
      <c r="I3002" t="s">
        <v>14504</v>
      </c>
      <c r="J3002" s="2">
        <v>233560</v>
      </c>
      <c r="K3002" s="2">
        <v>1000</v>
      </c>
      <c r="L3002" s="2">
        <v>21</v>
      </c>
      <c r="M3002" s="2">
        <v>0</v>
      </c>
      <c r="N3002" t="s">
        <v>10572</v>
      </c>
      <c r="O3002" t="s">
        <v>10571</v>
      </c>
      <c r="P3002" t="s">
        <v>14215</v>
      </c>
      <c r="Q3002" t="s">
        <v>10167</v>
      </c>
      <c r="S3002" t="s">
        <v>14505</v>
      </c>
      <c r="T3002" t="s">
        <v>1454</v>
      </c>
      <c r="U3002" t="s">
        <v>45</v>
      </c>
      <c r="V3002" t="s">
        <v>46</v>
      </c>
      <c r="W3002" t="s">
        <v>10572</v>
      </c>
      <c r="X3002" t="s">
        <v>10571</v>
      </c>
      <c r="Y3002" t="s">
        <v>10167</v>
      </c>
      <c r="Z3002" t="s">
        <v>10168</v>
      </c>
      <c r="AA3002" t="s">
        <v>49</v>
      </c>
      <c r="AB3002" t="s">
        <v>50</v>
      </c>
      <c r="AC3002" s="2">
        <v>70579.13</v>
      </c>
      <c r="AD3002" t="s">
        <v>14506</v>
      </c>
      <c r="AE3002" t="s">
        <v>52</v>
      </c>
    </row>
    <row r="3003" spans="1:31" x14ac:dyDescent="0.25">
      <c r="A3003" t="s">
        <v>14507</v>
      </c>
      <c r="B3003" t="s">
        <v>14508</v>
      </c>
      <c r="C3003" t="s">
        <v>14508</v>
      </c>
      <c r="D3003" t="s">
        <v>35</v>
      </c>
      <c r="E3003" t="s">
        <v>36</v>
      </c>
      <c r="F3003" t="s">
        <v>14509</v>
      </c>
      <c r="G3003" t="s">
        <v>35</v>
      </c>
      <c r="H3003" t="s">
        <v>65</v>
      </c>
      <c r="I3003" t="s">
        <v>14510</v>
      </c>
      <c r="J3003" s="2">
        <v>259665</v>
      </c>
      <c r="K3003" s="2">
        <v>1050</v>
      </c>
      <c r="L3003" s="2">
        <v>21</v>
      </c>
      <c r="M3003" s="2">
        <v>0</v>
      </c>
      <c r="N3003" t="s">
        <v>67</v>
      </c>
      <c r="O3003" t="s">
        <v>68</v>
      </c>
      <c r="P3003" t="s">
        <v>304</v>
      </c>
      <c r="Q3003" t="s">
        <v>72</v>
      </c>
      <c r="S3003" t="s">
        <v>14511</v>
      </c>
      <c r="T3003" t="s">
        <v>1454</v>
      </c>
      <c r="U3003" t="s">
        <v>45</v>
      </c>
      <c r="V3003" t="s">
        <v>46</v>
      </c>
      <c r="W3003" t="s">
        <v>67</v>
      </c>
      <c r="X3003" t="s">
        <v>68</v>
      </c>
      <c r="Y3003" t="s">
        <v>72</v>
      </c>
      <c r="Z3003" t="s">
        <v>68</v>
      </c>
      <c r="AA3003" t="s">
        <v>49</v>
      </c>
      <c r="AB3003" t="s">
        <v>50</v>
      </c>
      <c r="AC3003" s="2">
        <v>23953.38</v>
      </c>
      <c r="AD3003" t="s">
        <v>14512</v>
      </c>
      <c r="AE3003" t="s">
        <v>52</v>
      </c>
    </row>
    <row r="3004" spans="1:31" x14ac:dyDescent="0.25">
      <c r="A3004" t="s">
        <v>14513</v>
      </c>
      <c r="B3004" t="s">
        <v>14514</v>
      </c>
      <c r="C3004" t="s">
        <v>14514</v>
      </c>
      <c r="D3004" t="s">
        <v>125</v>
      </c>
      <c r="E3004" t="s">
        <v>126</v>
      </c>
      <c r="F3004" t="s">
        <v>14515</v>
      </c>
      <c r="G3004" t="s">
        <v>125</v>
      </c>
      <c r="H3004" t="s">
        <v>10077</v>
      </c>
      <c r="I3004" t="s">
        <v>14516</v>
      </c>
      <c r="J3004" s="2">
        <v>321633</v>
      </c>
      <c r="K3004" s="2">
        <v>1300</v>
      </c>
      <c r="L3004" s="2">
        <v>7</v>
      </c>
      <c r="M3004" s="2">
        <v>0</v>
      </c>
      <c r="N3004" t="s">
        <v>10078</v>
      </c>
      <c r="O3004" t="s">
        <v>10079</v>
      </c>
      <c r="P3004" t="s">
        <v>6987</v>
      </c>
      <c r="Q3004" t="s">
        <v>6988</v>
      </c>
      <c r="S3004" t="s">
        <v>14517</v>
      </c>
      <c r="T3004" t="s">
        <v>4647</v>
      </c>
      <c r="U3004" t="s">
        <v>45</v>
      </c>
      <c r="V3004" t="s">
        <v>46</v>
      </c>
      <c r="W3004" t="s">
        <v>10078</v>
      </c>
      <c r="X3004" t="s">
        <v>10079</v>
      </c>
      <c r="Y3004" t="s">
        <v>2399</v>
      </c>
      <c r="Z3004" t="s">
        <v>2400</v>
      </c>
      <c r="AA3004" t="s">
        <v>49</v>
      </c>
      <c r="AB3004" t="s">
        <v>50</v>
      </c>
      <c r="AC3004" s="2">
        <v>46811.17</v>
      </c>
      <c r="AD3004" t="s">
        <v>14518</v>
      </c>
      <c r="AE3004" t="s">
        <v>52</v>
      </c>
    </row>
    <row r="3005" spans="1:31" x14ac:dyDescent="0.25">
      <c r="A3005" t="s">
        <v>14519</v>
      </c>
      <c r="B3005" t="s">
        <v>14520</v>
      </c>
      <c r="C3005" t="s">
        <v>14521</v>
      </c>
      <c r="D3005" t="s">
        <v>125</v>
      </c>
      <c r="E3005" t="s">
        <v>126</v>
      </c>
      <c r="F3005" t="s">
        <v>10162</v>
      </c>
      <c r="G3005" t="s">
        <v>125</v>
      </c>
      <c r="H3005" t="s">
        <v>10163</v>
      </c>
      <c r="I3005" t="s">
        <v>14522</v>
      </c>
      <c r="J3005" s="2">
        <v>2348700</v>
      </c>
      <c r="K3005" s="2">
        <v>10000</v>
      </c>
      <c r="L3005" s="2">
        <v>30</v>
      </c>
      <c r="M3005" s="2">
        <v>0</v>
      </c>
      <c r="N3005" t="s">
        <v>10165</v>
      </c>
      <c r="O3005" t="s">
        <v>10163</v>
      </c>
      <c r="P3005" t="s">
        <v>10093</v>
      </c>
      <c r="Q3005" t="s">
        <v>10094</v>
      </c>
      <c r="S3005" t="s">
        <v>14523</v>
      </c>
      <c r="T3005" t="s">
        <v>4647</v>
      </c>
      <c r="U3005" t="s">
        <v>45</v>
      </c>
      <c r="V3005" t="s">
        <v>46</v>
      </c>
      <c r="W3005" t="s">
        <v>10165</v>
      </c>
      <c r="X3005" t="s">
        <v>10163</v>
      </c>
      <c r="Y3005" t="s">
        <v>10167</v>
      </c>
      <c r="Z3005" t="s">
        <v>10168</v>
      </c>
      <c r="AA3005" t="s">
        <v>49</v>
      </c>
      <c r="AB3005" t="s">
        <v>50</v>
      </c>
      <c r="AC3005" s="2">
        <v>686848.7</v>
      </c>
      <c r="AD3005" t="s">
        <v>14524</v>
      </c>
      <c r="AE3005" t="s">
        <v>52</v>
      </c>
    </row>
    <row r="3006" spans="1:31" x14ac:dyDescent="0.25">
      <c r="A3006" t="s">
        <v>14525</v>
      </c>
      <c r="B3006" t="s">
        <v>14526</v>
      </c>
      <c r="C3006" t="s">
        <v>14526</v>
      </c>
      <c r="D3006" t="s">
        <v>35</v>
      </c>
      <c r="E3006" t="s">
        <v>36</v>
      </c>
      <c r="F3006" t="s">
        <v>14527</v>
      </c>
      <c r="G3006" t="s">
        <v>153</v>
      </c>
      <c r="H3006" t="s">
        <v>4978</v>
      </c>
      <c r="I3006" t="s">
        <v>14528</v>
      </c>
      <c r="J3006" s="2">
        <v>436340</v>
      </c>
      <c r="K3006" s="2">
        <v>2000</v>
      </c>
      <c r="L3006" s="2">
        <v>18</v>
      </c>
      <c r="M3006" s="2">
        <v>0</v>
      </c>
      <c r="N3006" t="s">
        <v>4980</v>
      </c>
      <c r="O3006" t="s">
        <v>4981</v>
      </c>
      <c r="P3006" t="s">
        <v>103</v>
      </c>
      <c r="Q3006" t="s">
        <v>104</v>
      </c>
      <c r="S3006" t="s">
        <v>14529</v>
      </c>
      <c r="T3006" t="s">
        <v>4647</v>
      </c>
      <c r="U3006" t="s">
        <v>45</v>
      </c>
      <c r="V3006" t="s">
        <v>46</v>
      </c>
      <c r="W3006" t="s">
        <v>4980</v>
      </c>
      <c r="X3006" t="s">
        <v>4978</v>
      </c>
      <c r="Y3006" t="s">
        <v>72</v>
      </c>
      <c r="Z3006" t="s">
        <v>68</v>
      </c>
      <c r="AA3006" t="s">
        <v>49</v>
      </c>
      <c r="AB3006" t="s">
        <v>50</v>
      </c>
      <c r="AC3006" s="2">
        <v>171638.62</v>
      </c>
      <c r="AD3006" t="s">
        <v>14530</v>
      </c>
      <c r="AE3006" t="s">
        <v>115</v>
      </c>
    </row>
    <row r="3007" spans="1:31" x14ac:dyDescent="0.25">
      <c r="A3007" t="s">
        <v>14531</v>
      </c>
      <c r="B3007" t="s">
        <v>14532</v>
      </c>
      <c r="C3007" t="s">
        <v>14532</v>
      </c>
      <c r="D3007" t="s">
        <v>125</v>
      </c>
      <c r="E3007" t="s">
        <v>126</v>
      </c>
      <c r="F3007" t="s">
        <v>14533</v>
      </c>
      <c r="G3007" t="s">
        <v>125</v>
      </c>
      <c r="H3007" t="s">
        <v>2831</v>
      </c>
      <c r="I3007" t="s">
        <v>14534</v>
      </c>
      <c r="J3007" s="2">
        <v>218170</v>
      </c>
      <c r="K3007" s="2">
        <v>1000</v>
      </c>
      <c r="L3007" s="2">
        <v>15</v>
      </c>
      <c r="M3007" s="2">
        <v>0</v>
      </c>
      <c r="N3007" t="s">
        <v>80</v>
      </c>
      <c r="O3007" t="s">
        <v>81</v>
      </c>
      <c r="P3007" t="s">
        <v>82</v>
      </c>
      <c r="Q3007" t="s">
        <v>83</v>
      </c>
      <c r="S3007" t="s">
        <v>14535</v>
      </c>
      <c r="T3007" t="s">
        <v>1865</v>
      </c>
      <c r="U3007" t="s">
        <v>45</v>
      </c>
      <c r="V3007" t="s">
        <v>46</v>
      </c>
      <c r="W3007" t="s">
        <v>80</v>
      </c>
      <c r="X3007" t="s">
        <v>81</v>
      </c>
      <c r="Y3007" t="s">
        <v>85</v>
      </c>
      <c r="Z3007" t="s">
        <v>86</v>
      </c>
      <c r="AA3007" t="s">
        <v>49</v>
      </c>
      <c r="AB3007" t="s">
        <v>50</v>
      </c>
      <c r="AC3007" s="2">
        <v>73655.78</v>
      </c>
      <c r="AD3007" t="s">
        <v>14536</v>
      </c>
      <c r="AE3007" t="s">
        <v>52</v>
      </c>
    </row>
    <row r="3008" spans="1:31" x14ac:dyDescent="0.25">
      <c r="A3008" t="s">
        <v>14537</v>
      </c>
      <c r="B3008" t="s">
        <v>14538</v>
      </c>
      <c r="C3008" t="s">
        <v>14538</v>
      </c>
      <c r="D3008" t="s">
        <v>1245</v>
      </c>
      <c r="E3008" t="s">
        <v>224</v>
      </c>
      <c r="F3008" t="s">
        <v>14539</v>
      </c>
      <c r="G3008" t="s">
        <v>1865</v>
      </c>
      <c r="H3008" t="s">
        <v>317</v>
      </c>
      <c r="I3008" t="s">
        <v>14540</v>
      </c>
      <c r="J3008" s="2">
        <v>218170</v>
      </c>
      <c r="K3008" s="2">
        <v>1000</v>
      </c>
      <c r="L3008" s="2">
        <v>1</v>
      </c>
      <c r="M3008" s="2">
        <v>0</v>
      </c>
      <c r="N3008" t="s">
        <v>203</v>
      </c>
      <c r="O3008" t="s">
        <v>204</v>
      </c>
      <c r="P3008" t="s">
        <v>205</v>
      </c>
      <c r="Q3008" t="s">
        <v>206</v>
      </c>
      <c r="S3008" t="s">
        <v>14541</v>
      </c>
      <c r="T3008" t="s">
        <v>1865</v>
      </c>
      <c r="U3008" t="s">
        <v>45</v>
      </c>
      <c r="V3008" t="s">
        <v>46</v>
      </c>
      <c r="W3008" t="s">
        <v>203</v>
      </c>
      <c r="X3008" t="s">
        <v>204</v>
      </c>
      <c r="Y3008" t="s">
        <v>317</v>
      </c>
      <c r="Z3008" t="s">
        <v>349</v>
      </c>
      <c r="AA3008" t="s">
        <v>49</v>
      </c>
      <c r="AB3008" t="s">
        <v>50</v>
      </c>
      <c r="AC3008" s="2">
        <v>218170</v>
      </c>
      <c r="AD3008" t="s">
        <v>64</v>
      </c>
    </row>
    <row r="3009" spans="1:31" hidden="1" x14ac:dyDescent="0.25">
      <c r="A3009" t="s">
        <v>14542</v>
      </c>
      <c r="B3009" t="s">
        <v>14543</v>
      </c>
      <c r="C3009" t="s">
        <v>14543</v>
      </c>
      <c r="F3009" t="s">
        <v>14544</v>
      </c>
      <c r="H3009" t="s">
        <v>79</v>
      </c>
      <c r="I3009" t="s">
        <v>6696</v>
      </c>
      <c r="J3009" s="2">
        <v>218170</v>
      </c>
      <c r="K3009" s="2">
        <v>1000</v>
      </c>
      <c r="L3009" s="2">
        <v>15</v>
      </c>
      <c r="M3009" s="2">
        <v>0</v>
      </c>
      <c r="N3009" t="s">
        <v>495</v>
      </c>
      <c r="O3009" t="s">
        <v>79</v>
      </c>
      <c r="P3009" t="s">
        <v>3487</v>
      </c>
      <c r="Q3009" t="s">
        <v>3488</v>
      </c>
      <c r="S3009" t="s">
        <v>14545</v>
      </c>
      <c r="T3009" t="s">
        <v>1865</v>
      </c>
      <c r="U3009" t="s">
        <v>45</v>
      </c>
      <c r="V3009" t="s">
        <v>46</v>
      </c>
      <c r="W3009" t="s">
        <v>495</v>
      </c>
      <c r="X3009" t="s">
        <v>79</v>
      </c>
      <c r="Y3009" t="s">
        <v>79</v>
      </c>
      <c r="Z3009" t="s">
        <v>94</v>
      </c>
      <c r="AA3009" t="s">
        <v>49</v>
      </c>
      <c r="AB3009" t="s">
        <v>50</v>
      </c>
      <c r="AC3009" s="2">
        <v>218170</v>
      </c>
      <c r="AD3009" t="s">
        <v>64</v>
      </c>
    </row>
    <row r="3010" spans="1:31" x14ac:dyDescent="0.25">
      <c r="A3010" t="s">
        <v>14546</v>
      </c>
      <c r="B3010" t="s">
        <v>14547</v>
      </c>
      <c r="C3010" t="s">
        <v>14548</v>
      </c>
      <c r="D3010" t="s">
        <v>2118</v>
      </c>
      <c r="E3010" t="s">
        <v>871</v>
      </c>
      <c r="F3010" t="s">
        <v>14549</v>
      </c>
      <c r="G3010" t="s">
        <v>2118</v>
      </c>
      <c r="H3010" t="s">
        <v>137</v>
      </c>
      <c r="I3010" t="s">
        <v>14550</v>
      </c>
      <c r="J3010" s="2">
        <v>5495081</v>
      </c>
      <c r="K3010" s="2">
        <v>24570</v>
      </c>
      <c r="L3010" s="2">
        <v>40</v>
      </c>
      <c r="M3010" s="2">
        <v>0</v>
      </c>
      <c r="N3010" t="s">
        <v>2277</v>
      </c>
      <c r="O3010" t="s">
        <v>2278</v>
      </c>
      <c r="P3010" t="s">
        <v>6341</v>
      </c>
      <c r="Q3010" t="s">
        <v>6342</v>
      </c>
      <c r="S3010" t="s">
        <v>14551</v>
      </c>
      <c r="T3010" t="s">
        <v>1245</v>
      </c>
      <c r="U3010" t="s">
        <v>45</v>
      </c>
      <c r="V3010" t="s">
        <v>46</v>
      </c>
      <c r="W3010" t="s">
        <v>2277</v>
      </c>
      <c r="X3010" t="s">
        <v>2278</v>
      </c>
      <c r="Y3010" t="s">
        <v>137</v>
      </c>
      <c r="Z3010" t="s">
        <v>717</v>
      </c>
      <c r="AA3010" t="s">
        <v>49</v>
      </c>
      <c r="AB3010" t="s">
        <v>50</v>
      </c>
      <c r="AC3010" s="2">
        <v>65297.13</v>
      </c>
      <c r="AD3010" t="s">
        <v>14552</v>
      </c>
      <c r="AE3010" t="s">
        <v>52</v>
      </c>
    </row>
    <row r="3011" spans="1:31" x14ac:dyDescent="0.25">
      <c r="A3011" t="s">
        <v>14553</v>
      </c>
      <c r="B3011" t="s">
        <v>14554</v>
      </c>
      <c r="C3011" t="s">
        <v>2743</v>
      </c>
      <c r="D3011" t="s">
        <v>178</v>
      </c>
      <c r="E3011" t="s">
        <v>179</v>
      </c>
      <c r="F3011" t="s">
        <v>2744</v>
      </c>
      <c r="G3011" t="s">
        <v>178</v>
      </c>
      <c r="H3011" t="s">
        <v>3729</v>
      </c>
      <c r="I3011" t="s">
        <v>2745</v>
      </c>
      <c r="J3011" s="2">
        <v>218170</v>
      </c>
      <c r="K3011" s="2">
        <v>1000</v>
      </c>
      <c r="L3011" s="2">
        <v>30</v>
      </c>
      <c r="M3011" s="2">
        <v>0</v>
      </c>
      <c r="N3011" t="s">
        <v>1332</v>
      </c>
      <c r="O3011" t="s">
        <v>1330</v>
      </c>
      <c r="P3011" t="s">
        <v>103</v>
      </c>
      <c r="Q3011" t="s">
        <v>104</v>
      </c>
      <c r="S3011" t="s">
        <v>2746</v>
      </c>
      <c r="T3011" t="s">
        <v>1245</v>
      </c>
      <c r="U3011" t="s">
        <v>45</v>
      </c>
      <c r="V3011" t="s">
        <v>46</v>
      </c>
      <c r="W3011" t="s">
        <v>1332</v>
      </c>
      <c r="X3011" t="s">
        <v>1330</v>
      </c>
      <c r="Y3011" t="s">
        <v>72</v>
      </c>
      <c r="Z3011" t="s">
        <v>68</v>
      </c>
      <c r="AA3011" t="s">
        <v>49</v>
      </c>
      <c r="AB3011" t="s">
        <v>50</v>
      </c>
      <c r="AC3011" s="2">
        <v>51844.63</v>
      </c>
      <c r="AD3011" t="s">
        <v>14555</v>
      </c>
      <c r="AE3011" t="s">
        <v>52</v>
      </c>
    </row>
    <row r="3012" spans="1:31" x14ac:dyDescent="0.25">
      <c r="A3012" t="s">
        <v>14556</v>
      </c>
      <c r="B3012" t="s">
        <v>14557</v>
      </c>
      <c r="C3012" t="s">
        <v>11192</v>
      </c>
      <c r="D3012" t="s">
        <v>344</v>
      </c>
      <c r="E3012" t="s">
        <v>167</v>
      </c>
      <c r="F3012" t="s">
        <v>11193</v>
      </c>
      <c r="G3012" t="s">
        <v>344</v>
      </c>
      <c r="H3012" t="s">
        <v>300</v>
      </c>
      <c r="I3012" t="s">
        <v>14558</v>
      </c>
      <c r="J3012" s="2">
        <v>642980</v>
      </c>
      <c r="K3012" s="2">
        <v>2600</v>
      </c>
      <c r="L3012" s="2">
        <v>30</v>
      </c>
      <c r="M3012" s="2">
        <v>0</v>
      </c>
      <c r="N3012" t="s">
        <v>302</v>
      </c>
      <c r="O3012" t="s">
        <v>303</v>
      </c>
      <c r="P3012" t="s">
        <v>304</v>
      </c>
      <c r="Q3012" t="s">
        <v>72</v>
      </c>
      <c r="S3012" t="s">
        <v>11195</v>
      </c>
      <c r="T3012" t="s">
        <v>819</v>
      </c>
      <c r="U3012" t="s">
        <v>45</v>
      </c>
      <c r="V3012" t="s">
        <v>46</v>
      </c>
      <c r="W3012" t="s">
        <v>302</v>
      </c>
      <c r="X3012" t="s">
        <v>303</v>
      </c>
      <c r="Y3012" t="s">
        <v>72</v>
      </c>
      <c r="Z3012" t="s">
        <v>68</v>
      </c>
      <c r="AA3012" t="s">
        <v>49</v>
      </c>
      <c r="AB3012" t="s">
        <v>50</v>
      </c>
      <c r="AC3012" s="2">
        <v>19269.830000000002</v>
      </c>
      <c r="AD3012" t="s">
        <v>14559</v>
      </c>
      <c r="AE3012" t="s">
        <v>52</v>
      </c>
    </row>
    <row r="3013" spans="1:31" hidden="1" x14ac:dyDescent="0.25">
      <c r="A3013" t="s">
        <v>14560</v>
      </c>
      <c r="B3013" t="s">
        <v>14561</v>
      </c>
      <c r="C3013" t="s">
        <v>14562</v>
      </c>
      <c r="F3013" t="s">
        <v>14563</v>
      </c>
      <c r="H3013" t="s">
        <v>79</v>
      </c>
      <c r="I3013" t="s">
        <v>6696</v>
      </c>
      <c r="J3013" s="2">
        <v>219870</v>
      </c>
      <c r="K3013" s="2">
        <v>1000</v>
      </c>
      <c r="L3013" s="2">
        <v>15</v>
      </c>
      <c r="M3013" s="2">
        <v>0</v>
      </c>
      <c r="N3013" t="s">
        <v>495</v>
      </c>
      <c r="O3013" t="s">
        <v>79</v>
      </c>
      <c r="P3013" t="s">
        <v>3487</v>
      </c>
      <c r="Q3013" t="s">
        <v>3488</v>
      </c>
      <c r="S3013" t="s">
        <v>14564</v>
      </c>
      <c r="T3013" t="s">
        <v>819</v>
      </c>
      <c r="U3013" t="s">
        <v>45</v>
      </c>
      <c r="V3013" t="s">
        <v>46</v>
      </c>
      <c r="W3013" t="s">
        <v>495</v>
      </c>
      <c r="X3013" t="s">
        <v>79</v>
      </c>
      <c r="Y3013" t="s">
        <v>79</v>
      </c>
      <c r="Z3013" t="s">
        <v>94</v>
      </c>
      <c r="AA3013" t="s">
        <v>49</v>
      </c>
      <c r="AB3013" t="s">
        <v>50</v>
      </c>
      <c r="AC3013" s="2">
        <v>219870</v>
      </c>
      <c r="AD3013" t="s">
        <v>64</v>
      </c>
    </row>
    <row r="3014" spans="1:31" x14ac:dyDescent="0.25">
      <c r="A3014" t="s">
        <v>14565</v>
      </c>
      <c r="B3014" t="s">
        <v>14566</v>
      </c>
      <c r="C3014" t="s">
        <v>14566</v>
      </c>
      <c r="D3014" t="s">
        <v>153</v>
      </c>
      <c r="E3014" t="s">
        <v>272</v>
      </c>
      <c r="F3014" t="s">
        <v>14567</v>
      </c>
      <c r="G3014" t="s">
        <v>153</v>
      </c>
      <c r="H3014" t="s">
        <v>1898</v>
      </c>
      <c r="I3014" t="s">
        <v>4344</v>
      </c>
      <c r="J3014" s="2">
        <v>1617630</v>
      </c>
      <c r="K3014" s="2">
        <v>7000</v>
      </c>
      <c r="L3014" s="2">
        <v>15</v>
      </c>
      <c r="M3014" s="2">
        <v>0</v>
      </c>
      <c r="N3014" t="s">
        <v>1900</v>
      </c>
      <c r="O3014" t="s">
        <v>1901</v>
      </c>
      <c r="P3014" t="s">
        <v>158</v>
      </c>
      <c r="Q3014" t="s">
        <v>159</v>
      </c>
      <c r="S3014" t="s">
        <v>14568</v>
      </c>
      <c r="T3014" t="s">
        <v>819</v>
      </c>
      <c r="U3014" t="s">
        <v>45</v>
      </c>
      <c r="V3014" t="s">
        <v>46</v>
      </c>
      <c r="W3014" t="s">
        <v>1900</v>
      </c>
      <c r="X3014" t="s">
        <v>1901</v>
      </c>
      <c r="Y3014" t="s">
        <v>161</v>
      </c>
      <c r="Z3014" t="s">
        <v>162</v>
      </c>
      <c r="AA3014" t="s">
        <v>49</v>
      </c>
      <c r="AB3014" t="s">
        <v>50</v>
      </c>
      <c r="AC3014" s="2">
        <v>854807.09</v>
      </c>
      <c r="AD3014" t="s">
        <v>14569</v>
      </c>
      <c r="AE3014" t="s">
        <v>52</v>
      </c>
    </row>
    <row r="3015" spans="1:31" x14ac:dyDescent="0.25">
      <c r="A3015" t="s">
        <v>14570</v>
      </c>
      <c r="B3015" t="s">
        <v>14571</v>
      </c>
      <c r="C3015" t="s">
        <v>14571</v>
      </c>
      <c r="D3015" t="s">
        <v>297</v>
      </c>
      <c r="E3015" t="s">
        <v>167</v>
      </c>
      <c r="F3015" t="s">
        <v>14572</v>
      </c>
      <c r="G3015" t="s">
        <v>297</v>
      </c>
      <c r="H3015" t="s">
        <v>10576</v>
      </c>
      <c r="I3015" t="s">
        <v>14573</v>
      </c>
      <c r="J3015" s="2">
        <v>219870</v>
      </c>
      <c r="K3015" s="2">
        <v>1000</v>
      </c>
      <c r="L3015" s="2">
        <v>21</v>
      </c>
      <c r="M3015" s="2">
        <v>0</v>
      </c>
      <c r="N3015" t="s">
        <v>10572</v>
      </c>
      <c r="O3015" t="s">
        <v>10571</v>
      </c>
      <c r="P3015" t="s">
        <v>14215</v>
      </c>
      <c r="Q3015" t="s">
        <v>10167</v>
      </c>
      <c r="S3015" t="s">
        <v>14574</v>
      </c>
      <c r="T3015" t="s">
        <v>819</v>
      </c>
      <c r="U3015" t="s">
        <v>45</v>
      </c>
      <c r="V3015" t="s">
        <v>46</v>
      </c>
      <c r="W3015" t="s">
        <v>10572</v>
      </c>
      <c r="X3015" t="s">
        <v>10571</v>
      </c>
      <c r="Y3015" t="s">
        <v>10167</v>
      </c>
      <c r="Z3015" t="s">
        <v>10168</v>
      </c>
      <c r="AA3015" t="s">
        <v>49</v>
      </c>
      <c r="AB3015" t="s">
        <v>50</v>
      </c>
      <c r="AC3015" s="2">
        <v>178847.19</v>
      </c>
      <c r="AD3015" t="s">
        <v>14575</v>
      </c>
      <c r="AE3015" t="s">
        <v>52</v>
      </c>
    </row>
    <row r="3016" spans="1:31" x14ac:dyDescent="0.25">
      <c r="A3016" t="s">
        <v>14576</v>
      </c>
      <c r="B3016" t="s">
        <v>14577</v>
      </c>
      <c r="C3016" t="s">
        <v>14577</v>
      </c>
      <c r="D3016" t="s">
        <v>125</v>
      </c>
      <c r="E3016" t="s">
        <v>126</v>
      </c>
      <c r="F3016" t="s">
        <v>14578</v>
      </c>
      <c r="G3016" t="s">
        <v>153</v>
      </c>
      <c r="H3016" t="s">
        <v>10141</v>
      </c>
      <c r="I3016" t="s">
        <v>14579</v>
      </c>
      <c r="J3016" s="2">
        <v>221740</v>
      </c>
      <c r="K3016" s="2">
        <v>1000</v>
      </c>
      <c r="L3016" s="2">
        <v>30</v>
      </c>
      <c r="M3016" s="2">
        <v>0</v>
      </c>
      <c r="N3016" t="s">
        <v>7936</v>
      </c>
      <c r="O3016" t="s">
        <v>7935</v>
      </c>
      <c r="P3016" t="s">
        <v>10093</v>
      </c>
      <c r="Q3016" t="s">
        <v>10094</v>
      </c>
      <c r="S3016" t="s">
        <v>14580</v>
      </c>
      <c r="T3016" t="s">
        <v>192</v>
      </c>
      <c r="U3016" t="s">
        <v>45</v>
      </c>
      <c r="V3016" t="s">
        <v>46</v>
      </c>
      <c r="W3016" t="s">
        <v>7936</v>
      </c>
      <c r="X3016" t="s">
        <v>7935</v>
      </c>
      <c r="Y3016" t="s">
        <v>7938</v>
      </c>
      <c r="Z3016" t="s">
        <v>7939</v>
      </c>
      <c r="AA3016" t="s">
        <v>49</v>
      </c>
      <c r="AB3016" t="s">
        <v>50</v>
      </c>
      <c r="AC3016" s="2">
        <v>152370.63</v>
      </c>
      <c r="AD3016" t="s">
        <v>14581</v>
      </c>
      <c r="AE3016" t="s">
        <v>52</v>
      </c>
    </row>
    <row r="3017" spans="1:31" hidden="1" x14ac:dyDescent="0.25">
      <c r="A3017" t="s">
        <v>14582</v>
      </c>
      <c r="B3017" t="s">
        <v>14583</v>
      </c>
      <c r="C3017" t="s">
        <v>14583</v>
      </c>
      <c r="F3017" t="s">
        <v>14584</v>
      </c>
      <c r="H3017" t="s">
        <v>10395</v>
      </c>
      <c r="I3017" t="s">
        <v>14585</v>
      </c>
      <c r="J3017" s="2">
        <v>221740</v>
      </c>
      <c r="K3017" s="2">
        <v>1000</v>
      </c>
      <c r="L3017" s="2">
        <v>21</v>
      </c>
      <c r="M3017" s="2">
        <v>0</v>
      </c>
      <c r="N3017" t="s">
        <v>6940</v>
      </c>
      <c r="O3017" t="s">
        <v>6939</v>
      </c>
      <c r="P3017" t="s">
        <v>3487</v>
      </c>
      <c r="Q3017" t="s">
        <v>3488</v>
      </c>
      <c r="S3017" t="s">
        <v>14586</v>
      </c>
      <c r="T3017" t="s">
        <v>192</v>
      </c>
      <c r="U3017" t="s">
        <v>45</v>
      </c>
      <c r="V3017" t="s">
        <v>46</v>
      </c>
      <c r="W3017" t="s">
        <v>6940</v>
      </c>
      <c r="X3017" t="s">
        <v>6939</v>
      </c>
      <c r="Y3017" t="s">
        <v>79</v>
      </c>
      <c r="Z3017" t="s">
        <v>94</v>
      </c>
      <c r="AA3017" t="s">
        <v>49</v>
      </c>
      <c r="AB3017" t="s">
        <v>50</v>
      </c>
      <c r="AC3017" s="2">
        <v>221740</v>
      </c>
      <c r="AD3017" t="s">
        <v>64</v>
      </c>
    </row>
    <row r="3018" spans="1:31" x14ac:dyDescent="0.25">
      <c r="A3018" t="s">
        <v>14587</v>
      </c>
      <c r="B3018" t="s">
        <v>14588</v>
      </c>
      <c r="C3018" t="s">
        <v>14588</v>
      </c>
      <c r="D3018" t="s">
        <v>299</v>
      </c>
      <c r="E3018" t="s">
        <v>167</v>
      </c>
      <c r="F3018" t="s">
        <v>14589</v>
      </c>
      <c r="G3018" t="s">
        <v>299</v>
      </c>
      <c r="H3018" t="s">
        <v>10571</v>
      </c>
      <c r="I3018" t="s">
        <v>14590</v>
      </c>
      <c r="J3018" s="2">
        <v>221740</v>
      </c>
      <c r="K3018" s="2">
        <v>1000</v>
      </c>
      <c r="L3018" s="2">
        <v>21</v>
      </c>
      <c r="M3018" s="2">
        <v>0</v>
      </c>
      <c r="N3018" t="s">
        <v>10572</v>
      </c>
      <c r="O3018" t="s">
        <v>10571</v>
      </c>
      <c r="P3018" t="s">
        <v>14215</v>
      </c>
      <c r="Q3018" t="s">
        <v>10167</v>
      </c>
      <c r="S3018" t="s">
        <v>14591</v>
      </c>
      <c r="T3018" t="s">
        <v>192</v>
      </c>
      <c r="U3018" t="s">
        <v>45</v>
      </c>
      <c r="V3018" t="s">
        <v>46</v>
      </c>
      <c r="W3018" t="s">
        <v>10572</v>
      </c>
      <c r="X3018" t="s">
        <v>10571</v>
      </c>
      <c r="Y3018" t="s">
        <v>10167</v>
      </c>
      <c r="Z3018" t="s">
        <v>10168</v>
      </c>
      <c r="AA3018" t="s">
        <v>49</v>
      </c>
      <c r="AB3018" t="s">
        <v>50</v>
      </c>
      <c r="AC3018" s="2">
        <v>184656.5</v>
      </c>
      <c r="AD3018" t="s">
        <v>14592</v>
      </c>
      <c r="AE3018" t="s">
        <v>52</v>
      </c>
    </row>
    <row r="3019" spans="1:31" x14ac:dyDescent="0.25">
      <c r="A3019" t="s">
        <v>14593</v>
      </c>
      <c r="B3019" t="s">
        <v>14594</v>
      </c>
      <c r="C3019" t="s">
        <v>14594</v>
      </c>
      <c r="D3019" t="s">
        <v>153</v>
      </c>
      <c r="E3019" t="s">
        <v>272</v>
      </c>
      <c r="F3019" t="s">
        <v>14595</v>
      </c>
      <c r="G3019" t="s">
        <v>153</v>
      </c>
      <c r="H3019" t="s">
        <v>139</v>
      </c>
      <c r="I3019" t="s">
        <v>14596</v>
      </c>
      <c r="J3019" s="2">
        <v>247300</v>
      </c>
      <c r="K3019" s="2">
        <v>1000</v>
      </c>
      <c r="L3019" s="2">
        <v>30</v>
      </c>
      <c r="M3019" s="2">
        <v>0</v>
      </c>
      <c r="N3019" t="s">
        <v>8853</v>
      </c>
      <c r="O3019" t="s">
        <v>139</v>
      </c>
      <c r="P3019" t="s">
        <v>941</v>
      </c>
      <c r="Q3019" t="s">
        <v>139</v>
      </c>
      <c r="S3019" t="s">
        <v>14597</v>
      </c>
      <c r="T3019" t="s">
        <v>192</v>
      </c>
      <c r="U3019" t="s">
        <v>45</v>
      </c>
      <c r="V3019" t="s">
        <v>46</v>
      </c>
      <c r="W3019" t="s">
        <v>8853</v>
      </c>
      <c r="X3019" t="s">
        <v>139</v>
      </c>
      <c r="Y3019" t="s">
        <v>139</v>
      </c>
      <c r="Z3019" t="s">
        <v>140</v>
      </c>
      <c r="AA3019" t="s">
        <v>49</v>
      </c>
      <c r="AB3019" t="s">
        <v>50</v>
      </c>
      <c r="AC3019" s="2">
        <v>17614.21</v>
      </c>
      <c r="AD3019" t="s">
        <v>14598</v>
      </c>
      <c r="AE3019" t="s">
        <v>52</v>
      </c>
    </row>
    <row r="3020" spans="1:31" x14ac:dyDescent="0.25">
      <c r="A3020" t="s">
        <v>14599</v>
      </c>
      <c r="B3020" t="s">
        <v>14600</v>
      </c>
      <c r="C3020" t="s">
        <v>14601</v>
      </c>
      <c r="D3020" t="s">
        <v>125</v>
      </c>
      <c r="E3020" t="s">
        <v>126</v>
      </c>
      <c r="F3020" t="s">
        <v>8057</v>
      </c>
      <c r="G3020" t="s">
        <v>299</v>
      </c>
      <c r="H3020" t="s">
        <v>137</v>
      </c>
      <c r="I3020" t="s">
        <v>8058</v>
      </c>
      <c r="J3020" s="2">
        <v>301014</v>
      </c>
      <c r="K3020" s="2">
        <v>1273</v>
      </c>
      <c r="L3020" s="2">
        <v>15</v>
      </c>
      <c r="M3020" s="2">
        <v>0</v>
      </c>
      <c r="N3020" t="s">
        <v>5190</v>
      </c>
      <c r="O3020" t="s">
        <v>5188</v>
      </c>
      <c r="P3020" t="s">
        <v>2320</v>
      </c>
      <c r="Q3020" t="s">
        <v>2321</v>
      </c>
      <c r="S3020" t="s">
        <v>8059</v>
      </c>
      <c r="T3020" t="s">
        <v>192</v>
      </c>
      <c r="U3020" t="s">
        <v>45</v>
      </c>
      <c r="V3020" t="s">
        <v>46</v>
      </c>
      <c r="W3020" t="s">
        <v>5190</v>
      </c>
      <c r="X3020" t="s">
        <v>5188</v>
      </c>
      <c r="Y3020" t="s">
        <v>137</v>
      </c>
      <c r="Z3020" t="s">
        <v>717</v>
      </c>
      <c r="AA3020" t="s">
        <v>49</v>
      </c>
      <c r="AB3020" t="s">
        <v>50</v>
      </c>
      <c r="AC3020" s="2">
        <v>278069.12</v>
      </c>
      <c r="AD3020" t="s">
        <v>14602</v>
      </c>
      <c r="AE3020" t="s">
        <v>52</v>
      </c>
    </row>
    <row r="3021" spans="1:31" x14ac:dyDescent="0.25">
      <c r="A3021" t="s">
        <v>14603</v>
      </c>
      <c r="B3021" t="s">
        <v>14604</v>
      </c>
      <c r="C3021" t="s">
        <v>14601</v>
      </c>
      <c r="D3021" t="s">
        <v>166</v>
      </c>
      <c r="E3021" t="s">
        <v>167</v>
      </c>
      <c r="F3021" t="s">
        <v>8057</v>
      </c>
      <c r="G3021" t="s">
        <v>166</v>
      </c>
      <c r="H3021" t="s">
        <v>137</v>
      </c>
      <c r="I3021" t="s">
        <v>8058</v>
      </c>
      <c r="J3021" s="2">
        <v>259168</v>
      </c>
      <c r="K3021" s="2">
        <v>1040</v>
      </c>
      <c r="L3021" s="2">
        <v>15</v>
      </c>
      <c r="M3021" s="2">
        <v>0</v>
      </c>
      <c r="N3021" t="s">
        <v>136</v>
      </c>
      <c r="O3021" t="s">
        <v>137</v>
      </c>
      <c r="P3021" t="s">
        <v>2320</v>
      </c>
      <c r="Q3021" t="s">
        <v>2321</v>
      </c>
      <c r="S3021" t="s">
        <v>8059</v>
      </c>
      <c r="T3021" t="s">
        <v>192</v>
      </c>
      <c r="U3021" t="s">
        <v>45</v>
      </c>
      <c r="V3021" t="s">
        <v>46</v>
      </c>
      <c r="W3021" t="s">
        <v>136</v>
      </c>
      <c r="X3021" t="s">
        <v>137</v>
      </c>
      <c r="Y3021" t="s">
        <v>137</v>
      </c>
      <c r="Z3021" t="s">
        <v>717</v>
      </c>
      <c r="AA3021" t="s">
        <v>49</v>
      </c>
      <c r="AB3021" t="s">
        <v>50</v>
      </c>
      <c r="AC3021" s="2">
        <v>59866.3</v>
      </c>
      <c r="AD3021" t="s">
        <v>14605</v>
      </c>
      <c r="AE3021" t="s">
        <v>52</v>
      </c>
    </row>
    <row r="3022" spans="1:31" x14ac:dyDescent="0.25">
      <c r="A3022" t="s">
        <v>14606</v>
      </c>
      <c r="B3022" t="s">
        <v>14607</v>
      </c>
      <c r="C3022" t="s">
        <v>14601</v>
      </c>
      <c r="D3022" t="s">
        <v>125</v>
      </c>
      <c r="E3022" t="s">
        <v>126</v>
      </c>
      <c r="F3022" t="s">
        <v>8057</v>
      </c>
      <c r="G3022" t="s">
        <v>125</v>
      </c>
      <c r="H3022" t="s">
        <v>137</v>
      </c>
      <c r="I3022" t="s">
        <v>14608</v>
      </c>
      <c r="J3022" s="2">
        <v>368513</v>
      </c>
      <c r="K3022" s="2">
        <v>1550</v>
      </c>
      <c r="L3022" s="2">
        <v>15</v>
      </c>
      <c r="M3022" s="2">
        <v>0</v>
      </c>
      <c r="N3022" t="s">
        <v>5665</v>
      </c>
      <c r="O3022" t="s">
        <v>5664</v>
      </c>
      <c r="P3022" t="s">
        <v>2320</v>
      </c>
      <c r="Q3022" t="s">
        <v>2321</v>
      </c>
      <c r="S3022" t="s">
        <v>8059</v>
      </c>
      <c r="T3022" t="s">
        <v>192</v>
      </c>
      <c r="U3022" t="s">
        <v>45</v>
      </c>
      <c r="V3022" t="s">
        <v>46</v>
      </c>
      <c r="W3022" t="s">
        <v>5665</v>
      </c>
      <c r="X3022" t="s">
        <v>5664</v>
      </c>
      <c r="Y3022" t="s">
        <v>137</v>
      </c>
      <c r="Z3022" t="s">
        <v>717</v>
      </c>
      <c r="AA3022" t="s">
        <v>49</v>
      </c>
      <c r="AB3022" t="s">
        <v>50</v>
      </c>
      <c r="AC3022" s="2">
        <v>337570.57</v>
      </c>
      <c r="AD3022" t="s">
        <v>14609</v>
      </c>
      <c r="AE3022" t="s">
        <v>52</v>
      </c>
    </row>
    <row r="3023" spans="1:31" x14ac:dyDescent="0.25">
      <c r="A3023" t="s">
        <v>14610</v>
      </c>
      <c r="B3023" t="s">
        <v>14611</v>
      </c>
      <c r="C3023" t="s">
        <v>14562</v>
      </c>
      <c r="D3023" t="s">
        <v>153</v>
      </c>
      <c r="E3023" t="s">
        <v>272</v>
      </c>
      <c r="F3023" t="s">
        <v>14563</v>
      </c>
      <c r="G3023" t="s">
        <v>153</v>
      </c>
      <c r="H3023" t="s">
        <v>79</v>
      </c>
      <c r="I3023" t="s">
        <v>6696</v>
      </c>
      <c r="J3023" s="2">
        <v>221740</v>
      </c>
      <c r="K3023" s="2">
        <v>1000</v>
      </c>
      <c r="L3023" s="2">
        <v>15</v>
      </c>
      <c r="M3023" s="2">
        <v>0</v>
      </c>
      <c r="N3023" t="s">
        <v>495</v>
      </c>
      <c r="O3023" t="s">
        <v>79</v>
      </c>
      <c r="P3023" t="s">
        <v>3487</v>
      </c>
      <c r="Q3023" t="s">
        <v>3488</v>
      </c>
      <c r="S3023" t="s">
        <v>14564</v>
      </c>
      <c r="T3023" t="s">
        <v>192</v>
      </c>
      <c r="U3023" t="s">
        <v>45</v>
      </c>
      <c r="V3023" t="s">
        <v>46</v>
      </c>
      <c r="W3023" t="s">
        <v>495</v>
      </c>
      <c r="X3023" t="s">
        <v>79</v>
      </c>
      <c r="Y3023" t="s">
        <v>79</v>
      </c>
      <c r="Z3023" t="s">
        <v>94</v>
      </c>
      <c r="AA3023" t="s">
        <v>49</v>
      </c>
      <c r="AB3023" t="s">
        <v>50</v>
      </c>
      <c r="AC3023" s="2">
        <v>116662.59</v>
      </c>
      <c r="AD3023" t="s">
        <v>14612</v>
      </c>
      <c r="AE3023" t="s">
        <v>115</v>
      </c>
    </row>
    <row r="3024" spans="1:31" x14ac:dyDescent="0.25">
      <c r="A3024" t="s">
        <v>14613</v>
      </c>
      <c r="B3024" t="s">
        <v>14614</v>
      </c>
      <c r="C3024" t="s">
        <v>14615</v>
      </c>
      <c r="D3024" t="s">
        <v>888</v>
      </c>
      <c r="E3024" t="s">
        <v>167</v>
      </c>
      <c r="F3024" t="s">
        <v>1227</v>
      </c>
      <c r="G3024" t="s">
        <v>888</v>
      </c>
      <c r="H3024" t="s">
        <v>939</v>
      </c>
      <c r="I3024" t="s">
        <v>14616</v>
      </c>
      <c r="J3024" s="2">
        <v>570308</v>
      </c>
      <c r="K3024" s="2">
        <v>2550</v>
      </c>
      <c r="L3024" s="2">
        <v>21</v>
      </c>
      <c r="M3024" s="2">
        <v>0</v>
      </c>
      <c r="N3024" t="s">
        <v>879</v>
      </c>
      <c r="O3024" t="s">
        <v>877</v>
      </c>
      <c r="P3024" t="s">
        <v>304</v>
      </c>
      <c r="Q3024" t="s">
        <v>72</v>
      </c>
      <c r="S3024" t="s">
        <v>14617</v>
      </c>
      <c r="T3024" t="s">
        <v>773</v>
      </c>
      <c r="U3024" t="s">
        <v>45</v>
      </c>
      <c r="V3024" t="s">
        <v>46</v>
      </c>
      <c r="W3024" t="s">
        <v>879</v>
      </c>
      <c r="X3024" t="s">
        <v>877</v>
      </c>
      <c r="Y3024" t="s">
        <v>72</v>
      </c>
      <c r="Z3024" t="s">
        <v>68</v>
      </c>
      <c r="AA3024" t="s">
        <v>49</v>
      </c>
      <c r="AB3024" t="s">
        <v>50</v>
      </c>
      <c r="AC3024" s="2">
        <v>297990.8</v>
      </c>
      <c r="AD3024" t="s">
        <v>14618</v>
      </c>
      <c r="AE3024" t="s">
        <v>52</v>
      </c>
    </row>
    <row r="3025" spans="1:31" x14ac:dyDescent="0.25">
      <c r="A3025" t="s">
        <v>14619</v>
      </c>
      <c r="B3025" t="s">
        <v>14620</v>
      </c>
      <c r="C3025" t="s">
        <v>14620</v>
      </c>
      <c r="D3025" t="s">
        <v>178</v>
      </c>
      <c r="E3025" t="s">
        <v>179</v>
      </c>
      <c r="F3025" t="s">
        <v>14621</v>
      </c>
      <c r="G3025" t="s">
        <v>299</v>
      </c>
      <c r="H3025" t="s">
        <v>11694</v>
      </c>
      <c r="I3025" t="s">
        <v>14622</v>
      </c>
      <c r="J3025" s="2">
        <v>223650</v>
      </c>
      <c r="K3025" s="2">
        <v>1000</v>
      </c>
      <c r="L3025" s="2">
        <v>30</v>
      </c>
      <c r="M3025" s="2">
        <v>0</v>
      </c>
      <c r="N3025" t="s">
        <v>2571</v>
      </c>
      <c r="O3025" t="s">
        <v>2572</v>
      </c>
      <c r="P3025" t="s">
        <v>6987</v>
      </c>
      <c r="Q3025" t="s">
        <v>6988</v>
      </c>
      <c r="S3025" t="s">
        <v>14623</v>
      </c>
      <c r="T3025" t="s">
        <v>773</v>
      </c>
      <c r="U3025" t="s">
        <v>45</v>
      </c>
      <c r="V3025" t="s">
        <v>46</v>
      </c>
      <c r="W3025" t="s">
        <v>2571</v>
      </c>
      <c r="X3025" t="s">
        <v>2572</v>
      </c>
      <c r="Y3025" t="s">
        <v>2399</v>
      </c>
      <c r="Z3025" t="s">
        <v>2400</v>
      </c>
      <c r="AA3025" t="s">
        <v>49</v>
      </c>
      <c r="AB3025" t="s">
        <v>50</v>
      </c>
      <c r="AC3025" s="2">
        <v>123820.54</v>
      </c>
      <c r="AD3025" t="s">
        <v>14624</v>
      </c>
      <c r="AE3025" t="s">
        <v>52</v>
      </c>
    </row>
    <row r="3026" spans="1:31" x14ac:dyDescent="0.25">
      <c r="A3026" t="s">
        <v>14625</v>
      </c>
      <c r="B3026" t="s">
        <v>14626</v>
      </c>
      <c r="C3026" t="s">
        <v>14626</v>
      </c>
      <c r="D3026" t="s">
        <v>870</v>
      </c>
      <c r="E3026" t="s">
        <v>871</v>
      </c>
      <c r="F3026" t="s">
        <v>14627</v>
      </c>
      <c r="G3026" t="s">
        <v>1939</v>
      </c>
      <c r="H3026" t="s">
        <v>5261</v>
      </c>
      <c r="I3026" t="s">
        <v>14628</v>
      </c>
      <c r="J3026" s="2">
        <v>1341900</v>
      </c>
      <c r="K3026" s="2">
        <v>6000</v>
      </c>
      <c r="L3026" s="2">
        <v>30</v>
      </c>
      <c r="M3026" s="2">
        <v>0</v>
      </c>
      <c r="N3026" t="s">
        <v>5263</v>
      </c>
      <c r="O3026" t="s">
        <v>5264</v>
      </c>
      <c r="P3026" t="s">
        <v>941</v>
      </c>
      <c r="Q3026" t="s">
        <v>139</v>
      </c>
      <c r="S3026" t="s">
        <v>14629</v>
      </c>
      <c r="T3026" t="s">
        <v>773</v>
      </c>
      <c r="U3026" t="s">
        <v>45</v>
      </c>
      <c r="V3026" t="s">
        <v>46</v>
      </c>
      <c r="W3026" t="s">
        <v>5263</v>
      </c>
      <c r="X3026" t="s">
        <v>5264</v>
      </c>
      <c r="Y3026" t="s">
        <v>139</v>
      </c>
      <c r="Z3026" t="s">
        <v>140</v>
      </c>
      <c r="AA3026" t="s">
        <v>49</v>
      </c>
      <c r="AB3026" t="s">
        <v>50</v>
      </c>
      <c r="AC3026" s="2">
        <v>445074.16</v>
      </c>
      <c r="AD3026" t="s">
        <v>14630</v>
      </c>
      <c r="AE3026" t="s">
        <v>52</v>
      </c>
    </row>
    <row r="3027" spans="1:31" x14ac:dyDescent="0.25">
      <c r="A3027" t="s">
        <v>14631</v>
      </c>
      <c r="B3027" t="s">
        <v>14632</v>
      </c>
      <c r="C3027" t="s">
        <v>14626</v>
      </c>
      <c r="D3027" t="s">
        <v>478</v>
      </c>
      <c r="E3027" t="s">
        <v>190</v>
      </c>
      <c r="F3027" t="s">
        <v>14627</v>
      </c>
      <c r="G3027" t="s">
        <v>478</v>
      </c>
      <c r="H3027" t="s">
        <v>5261</v>
      </c>
      <c r="I3027" t="s">
        <v>14628</v>
      </c>
      <c r="J3027" s="2">
        <v>1341900</v>
      </c>
      <c r="K3027" s="2">
        <v>6000</v>
      </c>
      <c r="L3027" s="2">
        <v>30</v>
      </c>
      <c r="M3027" s="2">
        <v>0</v>
      </c>
      <c r="N3027" t="s">
        <v>5263</v>
      </c>
      <c r="O3027" t="s">
        <v>5264</v>
      </c>
      <c r="P3027" t="s">
        <v>941</v>
      </c>
      <c r="Q3027" t="s">
        <v>139</v>
      </c>
      <c r="S3027" t="s">
        <v>14629</v>
      </c>
      <c r="T3027" t="s">
        <v>773</v>
      </c>
      <c r="U3027" t="s">
        <v>45</v>
      </c>
      <c r="V3027" t="s">
        <v>46</v>
      </c>
      <c r="W3027" t="s">
        <v>5263</v>
      </c>
      <c r="X3027" t="s">
        <v>5264</v>
      </c>
      <c r="Y3027" t="s">
        <v>139</v>
      </c>
      <c r="Z3027" t="s">
        <v>140</v>
      </c>
      <c r="AA3027" t="s">
        <v>49</v>
      </c>
      <c r="AB3027" t="s">
        <v>50</v>
      </c>
      <c r="AC3027" s="2">
        <v>495440.94</v>
      </c>
      <c r="AD3027" t="s">
        <v>14633</v>
      </c>
      <c r="AE3027" t="s">
        <v>52</v>
      </c>
    </row>
    <row r="3028" spans="1:31" x14ac:dyDescent="0.25">
      <c r="A3028" t="s">
        <v>14634</v>
      </c>
      <c r="B3028" t="s">
        <v>14635</v>
      </c>
      <c r="C3028" t="s">
        <v>14635</v>
      </c>
      <c r="D3028" t="s">
        <v>1633</v>
      </c>
      <c r="E3028" t="s">
        <v>1502</v>
      </c>
      <c r="F3028" t="s">
        <v>14636</v>
      </c>
      <c r="G3028" t="s">
        <v>1633</v>
      </c>
      <c r="H3028" t="s">
        <v>139</v>
      </c>
      <c r="I3028" t="s">
        <v>14628</v>
      </c>
      <c r="J3028" s="2">
        <v>1410948</v>
      </c>
      <c r="K3028" s="2">
        <v>6300</v>
      </c>
      <c r="L3028" s="2">
        <v>30</v>
      </c>
      <c r="M3028" s="2">
        <v>0</v>
      </c>
      <c r="N3028" t="s">
        <v>8853</v>
      </c>
      <c r="O3028" t="s">
        <v>139</v>
      </c>
      <c r="P3028" t="s">
        <v>941</v>
      </c>
      <c r="Q3028" t="s">
        <v>139</v>
      </c>
      <c r="S3028" t="s">
        <v>14637</v>
      </c>
      <c r="T3028" t="s">
        <v>817</v>
      </c>
      <c r="U3028" t="s">
        <v>45</v>
      </c>
      <c r="V3028" t="s">
        <v>46</v>
      </c>
      <c r="W3028" t="s">
        <v>8853</v>
      </c>
      <c r="X3028" t="s">
        <v>139</v>
      </c>
      <c r="Y3028" t="s">
        <v>139</v>
      </c>
      <c r="Z3028" t="s">
        <v>140</v>
      </c>
      <c r="AA3028" t="s">
        <v>49</v>
      </c>
      <c r="AB3028" t="s">
        <v>50</v>
      </c>
      <c r="AC3028" s="2">
        <v>8365.2999999999993</v>
      </c>
      <c r="AD3028" t="s">
        <v>14638</v>
      </c>
      <c r="AE3028" t="s">
        <v>52</v>
      </c>
    </row>
    <row r="3029" spans="1:31" x14ac:dyDescent="0.25">
      <c r="A3029" t="s">
        <v>14639</v>
      </c>
      <c r="B3029" t="s">
        <v>14640</v>
      </c>
      <c r="C3029" t="s">
        <v>14640</v>
      </c>
      <c r="D3029" t="s">
        <v>125</v>
      </c>
      <c r="E3029" t="s">
        <v>126</v>
      </c>
      <c r="F3029" t="s">
        <v>14641</v>
      </c>
      <c r="G3029" t="s">
        <v>125</v>
      </c>
      <c r="H3029" t="s">
        <v>10576</v>
      </c>
      <c r="I3029" t="s">
        <v>14642</v>
      </c>
      <c r="J3029" s="2">
        <v>223960</v>
      </c>
      <c r="K3029" s="2">
        <v>1000</v>
      </c>
      <c r="L3029" s="2">
        <v>21</v>
      </c>
      <c r="M3029" s="2">
        <v>0</v>
      </c>
      <c r="N3029" t="s">
        <v>10572</v>
      </c>
      <c r="O3029" t="s">
        <v>10571</v>
      </c>
      <c r="P3029" t="s">
        <v>14215</v>
      </c>
      <c r="Q3029" t="s">
        <v>10167</v>
      </c>
      <c r="S3029" t="s">
        <v>14643</v>
      </c>
      <c r="T3029" t="s">
        <v>817</v>
      </c>
      <c r="U3029" t="s">
        <v>45</v>
      </c>
      <c r="V3029" t="s">
        <v>46</v>
      </c>
      <c r="W3029" t="s">
        <v>10572</v>
      </c>
      <c r="X3029" t="s">
        <v>10571</v>
      </c>
      <c r="Y3029" t="s">
        <v>10167</v>
      </c>
      <c r="Z3029" t="s">
        <v>10168</v>
      </c>
      <c r="AA3029" t="s">
        <v>49</v>
      </c>
      <c r="AB3029" t="s">
        <v>50</v>
      </c>
      <c r="AC3029" s="2">
        <v>172379.51999999999</v>
      </c>
      <c r="AD3029" t="s">
        <v>14644</v>
      </c>
      <c r="AE3029" t="s">
        <v>52</v>
      </c>
    </row>
    <row r="3030" spans="1:31" x14ac:dyDescent="0.25">
      <c r="A3030" t="s">
        <v>14645</v>
      </c>
      <c r="B3030" t="s">
        <v>14646</v>
      </c>
      <c r="C3030" t="s">
        <v>14646</v>
      </c>
      <c r="D3030" t="s">
        <v>125</v>
      </c>
      <c r="E3030" t="s">
        <v>126</v>
      </c>
      <c r="F3030" t="s">
        <v>14647</v>
      </c>
      <c r="G3030" t="s">
        <v>125</v>
      </c>
      <c r="H3030" t="s">
        <v>14302</v>
      </c>
      <c r="I3030" t="s">
        <v>14648</v>
      </c>
      <c r="J3030" s="2">
        <v>223960</v>
      </c>
      <c r="K3030" s="2">
        <v>1000</v>
      </c>
      <c r="L3030" s="2">
        <v>21</v>
      </c>
      <c r="M3030" s="2">
        <v>0</v>
      </c>
      <c r="N3030" t="s">
        <v>14304</v>
      </c>
      <c r="O3030" t="s">
        <v>14302</v>
      </c>
      <c r="P3030" t="s">
        <v>14215</v>
      </c>
      <c r="Q3030" t="s">
        <v>10167</v>
      </c>
      <c r="S3030" t="s">
        <v>14649</v>
      </c>
      <c r="T3030" t="s">
        <v>817</v>
      </c>
      <c r="U3030" t="s">
        <v>45</v>
      </c>
      <c r="V3030" t="s">
        <v>46</v>
      </c>
      <c r="W3030" t="s">
        <v>14304</v>
      </c>
      <c r="X3030" t="s">
        <v>10167</v>
      </c>
      <c r="Y3030" t="s">
        <v>10167</v>
      </c>
      <c r="Z3030" t="s">
        <v>10168</v>
      </c>
      <c r="AA3030" t="s">
        <v>49</v>
      </c>
      <c r="AB3030" t="s">
        <v>50</v>
      </c>
      <c r="AC3030" s="2">
        <v>17349.509999999998</v>
      </c>
      <c r="AD3030" t="s">
        <v>14650</v>
      </c>
      <c r="AE3030" t="s">
        <v>52</v>
      </c>
    </row>
    <row r="3031" spans="1:31" x14ac:dyDescent="0.25">
      <c r="A3031" t="s">
        <v>14651</v>
      </c>
      <c r="B3031" t="s">
        <v>14652</v>
      </c>
      <c r="C3031" t="s">
        <v>14652</v>
      </c>
      <c r="D3031" t="s">
        <v>153</v>
      </c>
      <c r="E3031" t="s">
        <v>272</v>
      </c>
      <c r="F3031" t="s">
        <v>14653</v>
      </c>
      <c r="G3031" t="s">
        <v>153</v>
      </c>
      <c r="H3031" t="s">
        <v>1531</v>
      </c>
      <c r="I3031" t="s">
        <v>14654</v>
      </c>
      <c r="J3031" s="2">
        <v>3053310</v>
      </c>
      <c r="K3031" s="2">
        <v>13000</v>
      </c>
      <c r="L3031" s="2">
        <v>1</v>
      </c>
      <c r="M3031" s="2">
        <v>0</v>
      </c>
      <c r="N3031" t="s">
        <v>585</v>
      </c>
      <c r="O3031" t="s">
        <v>584</v>
      </c>
      <c r="P3031" t="s">
        <v>158</v>
      </c>
      <c r="Q3031" t="s">
        <v>159</v>
      </c>
      <c r="S3031" t="s">
        <v>14655</v>
      </c>
      <c r="T3031" t="s">
        <v>817</v>
      </c>
      <c r="U3031" t="s">
        <v>45</v>
      </c>
      <c r="V3031" t="s">
        <v>46</v>
      </c>
      <c r="W3031" t="s">
        <v>585</v>
      </c>
      <c r="X3031" t="s">
        <v>584</v>
      </c>
      <c r="Y3031" t="s">
        <v>161</v>
      </c>
      <c r="Z3031" t="s">
        <v>162</v>
      </c>
      <c r="AA3031" t="s">
        <v>49</v>
      </c>
      <c r="AB3031" t="s">
        <v>50</v>
      </c>
      <c r="AC3031" s="2">
        <v>3053309.94</v>
      </c>
      <c r="AD3031" t="s">
        <v>2628</v>
      </c>
    </row>
    <row r="3032" spans="1:31" x14ac:dyDescent="0.25">
      <c r="A3032" t="s">
        <v>14656</v>
      </c>
      <c r="B3032" t="s">
        <v>14657</v>
      </c>
      <c r="C3032" t="s">
        <v>14657</v>
      </c>
      <c r="D3032" t="s">
        <v>2118</v>
      </c>
      <c r="E3032" t="s">
        <v>871</v>
      </c>
      <c r="F3032" t="s">
        <v>14658</v>
      </c>
      <c r="G3032" t="s">
        <v>2118</v>
      </c>
      <c r="H3032" t="s">
        <v>9657</v>
      </c>
      <c r="I3032" t="s">
        <v>14315</v>
      </c>
      <c r="J3032" s="2">
        <v>1617350</v>
      </c>
      <c r="K3032" s="2">
        <v>7000</v>
      </c>
      <c r="L3032" s="2">
        <v>30</v>
      </c>
      <c r="M3032" s="2">
        <v>0</v>
      </c>
      <c r="N3032" t="s">
        <v>14659</v>
      </c>
      <c r="O3032" t="s">
        <v>9657</v>
      </c>
      <c r="P3032" t="s">
        <v>941</v>
      </c>
      <c r="Q3032" t="s">
        <v>139</v>
      </c>
      <c r="S3032" t="s">
        <v>14660</v>
      </c>
      <c r="T3032" t="s">
        <v>1633</v>
      </c>
      <c r="U3032" t="s">
        <v>45</v>
      </c>
      <c r="V3032" t="s">
        <v>46</v>
      </c>
      <c r="W3032" t="s">
        <v>14659</v>
      </c>
      <c r="X3032" t="s">
        <v>9657</v>
      </c>
      <c r="Y3032" t="s">
        <v>9657</v>
      </c>
      <c r="Z3032" t="s">
        <v>9658</v>
      </c>
      <c r="AA3032" t="s">
        <v>49</v>
      </c>
      <c r="AB3032" t="s">
        <v>50</v>
      </c>
      <c r="AC3032" s="2">
        <v>39395.230000000003</v>
      </c>
      <c r="AD3032" t="s">
        <v>14661</v>
      </c>
      <c r="AE3032" t="s">
        <v>52</v>
      </c>
    </row>
    <row r="3033" spans="1:31" x14ac:dyDescent="0.25">
      <c r="A3033" t="s">
        <v>14662</v>
      </c>
      <c r="B3033" t="s">
        <v>14663</v>
      </c>
      <c r="C3033" t="s">
        <v>14663</v>
      </c>
      <c r="D3033" t="s">
        <v>870</v>
      </c>
      <c r="E3033" t="s">
        <v>871</v>
      </c>
      <c r="F3033" t="s">
        <v>14664</v>
      </c>
      <c r="G3033" t="s">
        <v>870</v>
      </c>
      <c r="H3033" t="s">
        <v>9657</v>
      </c>
      <c r="I3033" t="s">
        <v>14315</v>
      </c>
      <c r="J3033" s="2">
        <v>796460</v>
      </c>
      <c r="K3033" s="2">
        <v>3500</v>
      </c>
      <c r="L3033" s="2">
        <v>30</v>
      </c>
      <c r="M3033" s="2">
        <v>0</v>
      </c>
      <c r="N3033" t="s">
        <v>14659</v>
      </c>
      <c r="O3033" t="s">
        <v>9657</v>
      </c>
      <c r="P3033" t="s">
        <v>941</v>
      </c>
      <c r="Q3033" t="s">
        <v>139</v>
      </c>
      <c r="S3033" t="s">
        <v>14665</v>
      </c>
      <c r="T3033" t="s">
        <v>1633</v>
      </c>
      <c r="U3033" t="s">
        <v>45</v>
      </c>
      <c r="V3033" t="s">
        <v>46</v>
      </c>
      <c r="W3033" t="s">
        <v>14659</v>
      </c>
      <c r="X3033" t="s">
        <v>9657</v>
      </c>
      <c r="Y3033" t="s">
        <v>9657</v>
      </c>
      <c r="Z3033" t="s">
        <v>9658</v>
      </c>
      <c r="AA3033" t="s">
        <v>49</v>
      </c>
      <c r="AB3033" t="s">
        <v>50</v>
      </c>
      <c r="AC3033" s="2">
        <v>60600.35</v>
      </c>
      <c r="AD3033" t="s">
        <v>14666</v>
      </c>
      <c r="AE3033" t="s">
        <v>52</v>
      </c>
    </row>
    <row r="3034" spans="1:31" x14ac:dyDescent="0.25">
      <c r="A3034" t="s">
        <v>14667</v>
      </c>
      <c r="B3034" t="s">
        <v>14668</v>
      </c>
      <c r="C3034" t="s">
        <v>14668</v>
      </c>
      <c r="D3034" t="s">
        <v>35</v>
      </c>
      <c r="E3034" t="s">
        <v>36</v>
      </c>
      <c r="F3034" t="s">
        <v>14669</v>
      </c>
      <c r="G3034" t="s">
        <v>166</v>
      </c>
      <c r="H3034" t="s">
        <v>14670</v>
      </c>
      <c r="I3034" t="s">
        <v>14671</v>
      </c>
      <c r="J3034" s="2">
        <v>797440</v>
      </c>
      <c r="K3034" s="2">
        <v>3200</v>
      </c>
      <c r="L3034" s="2">
        <v>21</v>
      </c>
      <c r="M3034" s="2">
        <v>0</v>
      </c>
      <c r="N3034" t="s">
        <v>14672</v>
      </c>
      <c r="O3034" t="s">
        <v>14673</v>
      </c>
      <c r="P3034" t="s">
        <v>14215</v>
      </c>
      <c r="Q3034" t="s">
        <v>10167</v>
      </c>
      <c r="S3034" t="s">
        <v>14674</v>
      </c>
      <c r="T3034" t="s">
        <v>1633</v>
      </c>
      <c r="U3034" t="s">
        <v>45</v>
      </c>
      <c r="V3034" t="s">
        <v>46</v>
      </c>
      <c r="W3034" t="s">
        <v>14672</v>
      </c>
      <c r="X3034" t="s">
        <v>14673</v>
      </c>
      <c r="Y3034" t="s">
        <v>10167</v>
      </c>
      <c r="Z3034" t="s">
        <v>10168</v>
      </c>
      <c r="AA3034" t="s">
        <v>49</v>
      </c>
      <c r="AB3034" t="s">
        <v>50</v>
      </c>
      <c r="AC3034" s="2">
        <v>406243.99</v>
      </c>
      <c r="AD3034" t="s">
        <v>14675</v>
      </c>
      <c r="AE3034" t="s">
        <v>52</v>
      </c>
    </row>
    <row r="3035" spans="1:31" x14ac:dyDescent="0.25">
      <c r="A3035" t="s">
        <v>14676</v>
      </c>
      <c r="B3035" t="s">
        <v>14677</v>
      </c>
      <c r="C3035" t="s">
        <v>14677</v>
      </c>
      <c r="D3035" t="s">
        <v>478</v>
      </c>
      <c r="E3035" t="s">
        <v>190</v>
      </c>
      <c r="F3035" t="s">
        <v>14678</v>
      </c>
      <c r="G3035" t="s">
        <v>478</v>
      </c>
      <c r="H3035" t="s">
        <v>10163</v>
      </c>
      <c r="I3035" t="s">
        <v>14671</v>
      </c>
      <c r="J3035" s="2">
        <v>224380</v>
      </c>
      <c r="K3035" s="2">
        <v>1000</v>
      </c>
      <c r="L3035" s="2">
        <v>21</v>
      </c>
      <c r="M3035" s="2">
        <v>0</v>
      </c>
      <c r="N3035" t="s">
        <v>10165</v>
      </c>
      <c r="O3035" t="s">
        <v>10163</v>
      </c>
      <c r="P3035" t="s">
        <v>14215</v>
      </c>
      <c r="Q3035" t="s">
        <v>10167</v>
      </c>
      <c r="S3035" t="s">
        <v>14679</v>
      </c>
      <c r="T3035" t="s">
        <v>1633</v>
      </c>
      <c r="U3035" t="s">
        <v>45</v>
      </c>
      <c r="V3035" t="s">
        <v>46</v>
      </c>
      <c r="W3035" t="s">
        <v>10165</v>
      </c>
      <c r="X3035" t="s">
        <v>10163</v>
      </c>
      <c r="Y3035" t="s">
        <v>10167</v>
      </c>
      <c r="Z3035" t="s">
        <v>10168</v>
      </c>
      <c r="AA3035" t="s">
        <v>49</v>
      </c>
      <c r="AB3035" t="s">
        <v>50</v>
      </c>
      <c r="AC3035" s="2">
        <v>84934.78</v>
      </c>
      <c r="AD3035" t="s">
        <v>14680</v>
      </c>
      <c r="AE3035" t="s">
        <v>52</v>
      </c>
    </row>
    <row r="3036" spans="1:31" x14ac:dyDescent="0.25">
      <c r="A3036" t="s">
        <v>14681</v>
      </c>
      <c r="B3036" t="s">
        <v>14682</v>
      </c>
      <c r="C3036" t="s">
        <v>14682</v>
      </c>
      <c r="D3036" t="s">
        <v>35</v>
      </c>
      <c r="E3036" t="s">
        <v>36</v>
      </c>
      <c r="F3036" t="s">
        <v>14683</v>
      </c>
      <c r="G3036" t="s">
        <v>35</v>
      </c>
      <c r="H3036" t="s">
        <v>14684</v>
      </c>
      <c r="I3036" t="s">
        <v>14321</v>
      </c>
      <c r="J3036" s="2">
        <v>680075</v>
      </c>
      <c r="K3036" s="2">
        <v>2750</v>
      </c>
      <c r="L3036" s="2">
        <v>30</v>
      </c>
      <c r="M3036" s="2">
        <v>0</v>
      </c>
      <c r="N3036" t="s">
        <v>14685</v>
      </c>
      <c r="O3036" t="s">
        <v>14684</v>
      </c>
      <c r="P3036" t="s">
        <v>941</v>
      </c>
      <c r="Q3036" t="s">
        <v>139</v>
      </c>
      <c r="S3036" t="s">
        <v>14686</v>
      </c>
      <c r="T3036" t="s">
        <v>1633</v>
      </c>
      <c r="U3036" t="s">
        <v>45</v>
      </c>
      <c r="V3036" t="s">
        <v>46</v>
      </c>
      <c r="W3036" t="s">
        <v>14685</v>
      </c>
      <c r="X3036" t="s">
        <v>14684</v>
      </c>
      <c r="Y3036" t="s">
        <v>9657</v>
      </c>
      <c r="Z3036" t="s">
        <v>9658</v>
      </c>
      <c r="AA3036" t="s">
        <v>49</v>
      </c>
      <c r="AB3036" t="s">
        <v>50</v>
      </c>
      <c r="AC3036" s="2">
        <v>19958.349999999999</v>
      </c>
      <c r="AD3036" t="s">
        <v>14687</v>
      </c>
      <c r="AE3036" t="s">
        <v>52</v>
      </c>
    </row>
    <row r="3037" spans="1:31" x14ac:dyDescent="0.25">
      <c r="A3037" t="s">
        <v>14688</v>
      </c>
      <c r="B3037" t="s">
        <v>14689</v>
      </c>
      <c r="C3037" t="s">
        <v>14689</v>
      </c>
      <c r="D3037" t="s">
        <v>125</v>
      </c>
      <c r="E3037" t="s">
        <v>126</v>
      </c>
      <c r="F3037" t="s">
        <v>14690</v>
      </c>
      <c r="G3037" t="s">
        <v>125</v>
      </c>
      <c r="H3037" t="s">
        <v>10576</v>
      </c>
      <c r="I3037" t="s">
        <v>14691</v>
      </c>
      <c r="J3037" s="2">
        <v>179867</v>
      </c>
      <c r="K3037" s="2">
        <v>727</v>
      </c>
      <c r="L3037" s="2">
        <v>21</v>
      </c>
      <c r="M3037" s="2">
        <v>0</v>
      </c>
      <c r="N3037" t="s">
        <v>10572</v>
      </c>
      <c r="O3037" t="s">
        <v>10571</v>
      </c>
      <c r="P3037" t="s">
        <v>14215</v>
      </c>
      <c r="Q3037" t="s">
        <v>10167</v>
      </c>
      <c r="S3037" t="s">
        <v>14692</v>
      </c>
      <c r="T3037" t="s">
        <v>555</v>
      </c>
      <c r="U3037" t="s">
        <v>45</v>
      </c>
      <c r="V3037" t="s">
        <v>46</v>
      </c>
      <c r="W3037" t="s">
        <v>10572</v>
      </c>
      <c r="X3037" t="s">
        <v>10571</v>
      </c>
      <c r="Y3037" t="s">
        <v>10167</v>
      </c>
      <c r="Z3037" t="s">
        <v>10168</v>
      </c>
      <c r="AA3037" t="s">
        <v>49</v>
      </c>
      <c r="AB3037" t="s">
        <v>50</v>
      </c>
      <c r="AC3037" s="2">
        <v>646.28</v>
      </c>
      <c r="AD3037" t="s">
        <v>14693</v>
      </c>
      <c r="AE3037" t="s">
        <v>52</v>
      </c>
    </row>
    <row r="3038" spans="1:31" hidden="1" x14ac:dyDescent="0.25">
      <c r="A3038" t="s">
        <v>14694</v>
      </c>
      <c r="B3038" t="s">
        <v>14695</v>
      </c>
      <c r="C3038" t="s">
        <v>14695</v>
      </c>
      <c r="F3038" t="s">
        <v>14696</v>
      </c>
      <c r="H3038" t="s">
        <v>12422</v>
      </c>
      <c r="I3038" t="s">
        <v>14697</v>
      </c>
      <c r="J3038" s="2">
        <v>226130</v>
      </c>
      <c r="K3038" s="2">
        <v>1000</v>
      </c>
      <c r="L3038" s="2">
        <v>30</v>
      </c>
      <c r="M3038" s="2">
        <v>0</v>
      </c>
      <c r="N3038" t="s">
        <v>12421</v>
      </c>
      <c r="O3038" t="s">
        <v>12422</v>
      </c>
      <c r="P3038" t="s">
        <v>941</v>
      </c>
      <c r="Q3038" t="s">
        <v>139</v>
      </c>
      <c r="S3038" t="s">
        <v>14698</v>
      </c>
      <c r="T3038" t="s">
        <v>555</v>
      </c>
      <c r="U3038" t="s">
        <v>45</v>
      </c>
      <c r="V3038" t="s">
        <v>46</v>
      </c>
      <c r="W3038" t="s">
        <v>12421</v>
      </c>
      <c r="X3038" t="s">
        <v>12422</v>
      </c>
      <c r="Y3038" t="s">
        <v>9657</v>
      </c>
      <c r="Z3038" t="s">
        <v>9658</v>
      </c>
      <c r="AA3038" t="s">
        <v>49</v>
      </c>
      <c r="AB3038" t="s">
        <v>50</v>
      </c>
      <c r="AC3038" s="2">
        <v>226130</v>
      </c>
      <c r="AD3038" t="s">
        <v>64</v>
      </c>
    </row>
    <row r="3039" spans="1:31" hidden="1" x14ac:dyDescent="0.25">
      <c r="A3039" t="s">
        <v>14699</v>
      </c>
      <c r="B3039" t="s">
        <v>14700</v>
      </c>
      <c r="C3039" t="s">
        <v>14700</v>
      </c>
      <c r="F3039" t="s">
        <v>14701</v>
      </c>
      <c r="H3039" t="s">
        <v>7515</v>
      </c>
      <c r="I3039" t="s">
        <v>14702</v>
      </c>
      <c r="J3039" s="2">
        <v>114240</v>
      </c>
      <c r="K3039" s="2">
        <v>500</v>
      </c>
      <c r="L3039" s="2">
        <v>7</v>
      </c>
      <c r="M3039" s="2">
        <v>0</v>
      </c>
      <c r="N3039" t="s">
        <v>7517</v>
      </c>
      <c r="O3039" t="s">
        <v>7518</v>
      </c>
      <c r="P3039" t="s">
        <v>1109</v>
      </c>
      <c r="Q3039" t="s">
        <v>1110</v>
      </c>
      <c r="S3039" t="s">
        <v>14703</v>
      </c>
      <c r="T3039" t="s">
        <v>555</v>
      </c>
      <c r="U3039" t="s">
        <v>45</v>
      </c>
      <c r="V3039" t="s">
        <v>46</v>
      </c>
      <c r="W3039" t="s">
        <v>7517</v>
      </c>
      <c r="X3039" t="s">
        <v>7518</v>
      </c>
      <c r="Y3039" t="s">
        <v>1215</v>
      </c>
      <c r="Z3039" t="s">
        <v>1216</v>
      </c>
      <c r="AA3039" t="s">
        <v>49</v>
      </c>
      <c r="AB3039" t="s">
        <v>50</v>
      </c>
      <c r="AC3039" s="2">
        <v>114240</v>
      </c>
      <c r="AD3039" t="s">
        <v>64</v>
      </c>
    </row>
    <row r="3040" spans="1:31" x14ac:dyDescent="0.25">
      <c r="A3040" t="s">
        <v>14704</v>
      </c>
      <c r="B3040" t="s">
        <v>14705</v>
      </c>
      <c r="C3040" t="s">
        <v>14705</v>
      </c>
      <c r="D3040" t="s">
        <v>153</v>
      </c>
      <c r="E3040" t="s">
        <v>272</v>
      </c>
      <c r="F3040" t="s">
        <v>14706</v>
      </c>
      <c r="G3040" t="s">
        <v>153</v>
      </c>
      <c r="H3040" t="s">
        <v>10141</v>
      </c>
      <c r="I3040" t="s">
        <v>14707</v>
      </c>
      <c r="J3040" s="2">
        <v>226130</v>
      </c>
      <c r="K3040" s="2">
        <v>1000</v>
      </c>
      <c r="L3040" s="2">
        <v>30</v>
      </c>
      <c r="M3040" s="2">
        <v>0</v>
      </c>
      <c r="N3040" t="s">
        <v>7936</v>
      </c>
      <c r="O3040" t="s">
        <v>7935</v>
      </c>
      <c r="P3040" t="s">
        <v>10093</v>
      </c>
      <c r="Q3040" t="s">
        <v>10094</v>
      </c>
      <c r="S3040" t="s">
        <v>14708</v>
      </c>
      <c r="T3040" t="s">
        <v>555</v>
      </c>
      <c r="U3040" t="s">
        <v>45</v>
      </c>
      <c r="V3040" t="s">
        <v>46</v>
      </c>
      <c r="W3040" t="s">
        <v>7936</v>
      </c>
      <c r="X3040" t="s">
        <v>7935</v>
      </c>
      <c r="Y3040" t="s">
        <v>7938</v>
      </c>
      <c r="Z3040" t="s">
        <v>7939</v>
      </c>
      <c r="AA3040" t="s">
        <v>49</v>
      </c>
      <c r="AB3040" t="s">
        <v>50</v>
      </c>
      <c r="AC3040" s="2">
        <v>45395.85</v>
      </c>
      <c r="AD3040" t="s">
        <v>14709</v>
      </c>
      <c r="AE3040" t="s">
        <v>52</v>
      </c>
    </row>
    <row r="3041" spans="1:31" x14ac:dyDescent="0.25">
      <c r="A3041" t="s">
        <v>14710</v>
      </c>
      <c r="B3041" t="s">
        <v>14711</v>
      </c>
      <c r="C3041" t="s">
        <v>14711</v>
      </c>
      <c r="D3041" t="s">
        <v>847</v>
      </c>
      <c r="E3041" t="s">
        <v>848</v>
      </c>
      <c r="F3041" t="s">
        <v>14712</v>
      </c>
      <c r="G3041" t="s">
        <v>847</v>
      </c>
      <c r="H3041" t="s">
        <v>14713</v>
      </c>
      <c r="I3041" t="s">
        <v>14714</v>
      </c>
      <c r="J3041" s="2">
        <v>2456700</v>
      </c>
      <c r="K3041" s="2">
        <v>10000</v>
      </c>
      <c r="L3041" s="2">
        <v>21</v>
      </c>
      <c r="M3041" s="2">
        <v>0</v>
      </c>
      <c r="N3041" t="s">
        <v>14715</v>
      </c>
      <c r="O3041" t="s">
        <v>14713</v>
      </c>
      <c r="P3041" t="s">
        <v>14215</v>
      </c>
      <c r="Q3041" t="s">
        <v>10167</v>
      </c>
      <c r="S3041" t="s">
        <v>14716</v>
      </c>
      <c r="T3041" t="s">
        <v>555</v>
      </c>
      <c r="U3041" t="s">
        <v>45</v>
      </c>
      <c r="V3041" t="s">
        <v>46</v>
      </c>
      <c r="W3041" t="s">
        <v>14715</v>
      </c>
      <c r="X3041" t="s">
        <v>14717</v>
      </c>
      <c r="Y3041" t="s">
        <v>10167</v>
      </c>
      <c r="Z3041" t="s">
        <v>10168</v>
      </c>
      <c r="AA3041" t="s">
        <v>49</v>
      </c>
      <c r="AB3041" t="s">
        <v>50</v>
      </c>
      <c r="AC3041" s="2">
        <v>495368.27</v>
      </c>
      <c r="AD3041" t="s">
        <v>14718</v>
      </c>
      <c r="AE3041" t="s">
        <v>52</v>
      </c>
    </row>
    <row r="3042" spans="1:31" hidden="1" x14ac:dyDescent="0.25">
      <c r="A3042" t="s">
        <v>14719</v>
      </c>
      <c r="B3042" t="s">
        <v>14720</v>
      </c>
      <c r="C3042" t="s">
        <v>14720</v>
      </c>
      <c r="F3042" t="s">
        <v>14721</v>
      </c>
      <c r="H3042" t="s">
        <v>14722</v>
      </c>
      <c r="I3042" t="s">
        <v>14723</v>
      </c>
      <c r="J3042" s="2">
        <v>227560</v>
      </c>
      <c r="K3042" s="2">
        <v>1000</v>
      </c>
      <c r="L3042" s="2">
        <v>1</v>
      </c>
      <c r="M3042" s="2">
        <v>0</v>
      </c>
      <c r="N3042" t="s">
        <v>14724</v>
      </c>
      <c r="O3042" t="s">
        <v>14722</v>
      </c>
      <c r="P3042" t="s">
        <v>103</v>
      </c>
      <c r="Q3042" t="s">
        <v>104</v>
      </c>
      <c r="S3042" t="s">
        <v>14725</v>
      </c>
      <c r="T3042" t="s">
        <v>1243</v>
      </c>
      <c r="U3042" t="s">
        <v>45</v>
      </c>
      <c r="V3042" t="s">
        <v>46</v>
      </c>
      <c r="W3042" t="s">
        <v>14724</v>
      </c>
      <c r="X3042" t="s">
        <v>14722</v>
      </c>
      <c r="Y3042" t="s">
        <v>106</v>
      </c>
      <c r="Z3042" t="s">
        <v>107</v>
      </c>
      <c r="AA3042" t="s">
        <v>49</v>
      </c>
      <c r="AB3042" t="s">
        <v>50</v>
      </c>
      <c r="AC3042" s="2">
        <v>227560</v>
      </c>
      <c r="AD3042" t="s">
        <v>64</v>
      </c>
    </row>
    <row r="3043" spans="1:31" x14ac:dyDescent="0.25">
      <c r="A3043" t="s">
        <v>14726</v>
      </c>
      <c r="B3043" t="s">
        <v>14727</v>
      </c>
      <c r="C3043" t="s">
        <v>14727</v>
      </c>
      <c r="D3043" t="s">
        <v>166</v>
      </c>
      <c r="E3043" t="s">
        <v>167</v>
      </c>
      <c r="F3043" t="s">
        <v>14728</v>
      </c>
      <c r="G3043" t="s">
        <v>166</v>
      </c>
      <c r="H3043" t="s">
        <v>14729</v>
      </c>
      <c r="I3043" t="s">
        <v>14730</v>
      </c>
      <c r="J3043" s="2">
        <v>182333</v>
      </c>
      <c r="K3043" s="2">
        <v>750</v>
      </c>
      <c r="L3043" s="2">
        <v>21</v>
      </c>
      <c r="M3043" s="2">
        <v>0</v>
      </c>
      <c r="N3043" t="s">
        <v>14731</v>
      </c>
      <c r="O3043" t="s">
        <v>14729</v>
      </c>
      <c r="P3043" t="s">
        <v>14215</v>
      </c>
      <c r="Q3043" t="s">
        <v>10167</v>
      </c>
      <c r="S3043" t="s">
        <v>14732</v>
      </c>
      <c r="T3043" t="s">
        <v>1243</v>
      </c>
      <c r="U3043" t="s">
        <v>45</v>
      </c>
      <c r="V3043" t="s">
        <v>46</v>
      </c>
      <c r="W3043" t="s">
        <v>14731</v>
      </c>
      <c r="X3043" t="s">
        <v>14729</v>
      </c>
      <c r="Y3043" t="s">
        <v>10167</v>
      </c>
      <c r="Z3043" t="s">
        <v>10168</v>
      </c>
      <c r="AA3043" t="s">
        <v>49</v>
      </c>
      <c r="AB3043" t="s">
        <v>50</v>
      </c>
      <c r="AC3043" s="2">
        <v>8485.0400000000009</v>
      </c>
      <c r="AD3043" t="s">
        <v>14733</v>
      </c>
      <c r="AE3043" t="s">
        <v>52</v>
      </c>
    </row>
    <row r="3044" spans="1:31" x14ac:dyDescent="0.25">
      <c r="A3044" t="s">
        <v>14734</v>
      </c>
      <c r="B3044" t="s">
        <v>14735</v>
      </c>
      <c r="C3044" t="s">
        <v>13342</v>
      </c>
      <c r="D3044" t="s">
        <v>847</v>
      </c>
      <c r="E3044" t="s">
        <v>848</v>
      </c>
      <c r="F3044" t="s">
        <v>13343</v>
      </c>
      <c r="G3044" t="s">
        <v>847</v>
      </c>
      <c r="H3044" t="s">
        <v>14736</v>
      </c>
      <c r="I3044" t="s">
        <v>14737</v>
      </c>
      <c r="J3044" s="2">
        <v>228480</v>
      </c>
      <c r="K3044" s="2">
        <v>1000</v>
      </c>
      <c r="L3044" s="2">
        <v>30</v>
      </c>
      <c r="M3044" s="2">
        <v>0</v>
      </c>
      <c r="N3044" t="s">
        <v>14738</v>
      </c>
      <c r="O3044" t="s">
        <v>14736</v>
      </c>
      <c r="P3044" t="s">
        <v>941</v>
      </c>
      <c r="Q3044" t="s">
        <v>139</v>
      </c>
      <c r="S3044" t="s">
        <v>14739</v>
      </c>
      <c r="T3044" t="s">
        <v>870</v>
      </c>
      <c r="U3044" t="s">
        <v>45</v>
      </c>
      <c r="V3044" t="s">
        <v>46</v>
      </c>
      <c r="W3044" t="s">
        <v>14738</v>
      </c>
      <c r="X3044" t="s">
        <v>14736</v>
      </c>
      <c r="Y3044" t="s">
        <v>139</v>
      </c>
      <c r="Z3044" t="s">
        <v>140</v>
      </c>
      <c r="AA3044" t="s">
        <v>49</v>
      </c>
      <c r="AB3044" t="s">
        <v>50</v>
      </c>
      <c r="AC3044" s="2">
        <v>108734.65</v>
      </c>
      <c r="AD3044" t="s">
        <v>14740</v>
      </c>
      <c r="AE3044" t="s">
        <v>52</v>
      </c>
    </row>
    <row r="3045" spans="1:31" x14ac:dyDescent="0.25">
      <c r="A3045" t="s">
        <v>14741</v>
      </c>
      <c r="B3045" t="s">
        <v>14742</v>
      </c>
      <c r="C3045" t="s">
        <v>14742</v>
      </c>
      <c r="D3045" t="s">
        <v>125</v>
      </c>
      <c r="E3045" t="s">
        <v>126</v>
      </c>
      <c r="F3045" t="s">
        <v>14743</v>
      </c>
      <c r="G3045" t="s">
        <v>125</v>
      </c>
      <c r="H3045" t="s">
        <v>10155</v>
      </c>
      <c r="I3045" t="s">
        <v>14744</v>
      </c>
      <c r="J3045" s="2">
        <v>231050</v>
      </c>
      <c r="K3045" s="2">
        <v>1000</v>
      </c>
      <c r="L3045" s="2">
        <v>30</v>
      </c>
      <c r="M3045" s="2">
        <v>0</v>
      </c>
      <c r="N3045" t="s">
        <v>10157</v>
      </c>
      <c r="O3045" t="s">
        <v>10155</v>
      </c>
      <c r="P3045" t="s">
        <v>10093</v>
      </c>
      <c r="Q3045" t="s">
        <v>10094</v>
      </c>
      <c r="S3045" t="s">
        <v>14745</v>
      </c>
      <c r="T3045" t="s">
        <v>2118</v>
      </c>
      <c r="U3045" t="s">
        <v>45</v>
      </c>
      <c r="V3045" t="s">
        <v>46</v>
      </c>
      <c r="W3045" t="s">
        <v>10157</v>
      </c>
      <c r="X3045" t="s">
        <v>10155</v>
      </c>
      <c r="Y3045" t="s">
        <v>7938</v>
      </c>
      <c r="Z3045" t="s">
        <v>7939</v>
      </c>
      <c r="AA3045" t="s">
        <v>49</v>
      </c>
      <c r="AB3045" t="s">
        <v>50</v>
      </c>
      <c r="AC3045" s="2">
        <v>61774.080000000002</v>
      </c>
      <c r="AD3045" t="s">
        <v>14746</v>
      </c>
      <c r="AE3045" t="s">
        <v>52</v>
      </c>
    </row>
    <row r="3046" spans="1:31" x14ac:dyDescent="0.25">
      <c r="A3046" t="s">
        <v>14747</v>
      </c>
      <c r="B3046" t="s">
        <v>14748</v>
      </c>
      <c r="C3046" t="s">
        <v>14748</v>
      </c>
      <c r="D3046" t="s">
        <v>125</v>
      </c>
      <c r="E3046" t="s">
        <v>126</v>
      </c>
      <c r="F3046" t="s">
        <v>14749</v>
      </c>
      <c r="G3046" t="s">
        <v>125</v>
      </c>
      <c r="H3046" t="s">
        <v>10141</v>
      </c>
      <c r="I3046" t="s">
        <v>14744</v>
      </c>
      <c r="J3046" s="2">
        <v>231050</v>
      </c>
      <c r="K3046" s="2">
        <v>1000</v>
      </c>
      <c r="L3046" s="2">
        <v>30</v>
      </c>
      <c r="M3046" s="2">
        <v>0</v>
      </c>
      <c r="N3046" t="s">
        <v>7936</v>
      </c>
      <c r="O3046" t="s">
        <v>7935</v>
      </c>
      <c r="P3046" t="s">
        <v>10093</v>
      </c>
      <c r="Q3046" t="s">
        <v>10094</v>
      </c>
      <c r="S3046" t="s">
        <v>14750</v>
      </c>
      <c r="T3046" t="s">
        <v>2118</v>
      </c>
      <c r="U3046" t="s">
        <v>45</v>
      </c>
      <c r="V3046" t="s">
        <v>46</v>
      </c>
      <c r="W3046" t="s">
        <v>7936</v>
      </c>
      <c r="X3046" t="s">
        <v>7935</v>
      </c>
      <c r="Y3046" t="s">
        <v>7938</v>
      </c>
      <c r="Z3046" t="s">
        <v>7939</v>
      </c>
      <c r="AA3046" t="s">
        <v>49</v>
      </c>
      <c r="AB3046" t="s">
        <v>50</v>
      </c>
      <c r="AC3046" s="2">
        <v>47492.480000000003</v>
      </c>
      <c r="AD3046" t="s">
        <v>14751</v>
      </c>
      <c r="AE3046" t="s">
        <v>52</v>
      </c>
    </row>
    <row r="3047" spans="1:31" x14ac:dyDescent="0.25">
      <c r="A3047" t="s">
        <v>14752</v>
      </c>
      <c r="B3047" t="s">
        <v>14753</v>
      </c>
      <c r="C3047" t="s">
        <v>14753</v>
      </c>
      <c r="D3047" t="s">
        <v>3472</v>
      </c>
      <c r="E3047" t="s">
        <v>871</v>
      </c>
      <c r="F3047" t="s">
        <v>14754</v>
      </c>
      <c r="G3047" t="s">
        <v>3472</v>
      </c>
      <c r="H3047" t="s">
        <v>10214</v>
      </c>
      <c r="I3047" t="s">
        <v>14744</v>
      </c>
      <c r="J3047" s="2">
        <v>231050</v>
      </c>
      <c r="K3047" s="2">
        <v>1000</v>
      </c>
      <c r="L3047" s="2">
        <v>30</v>
      </c>
      <c r="M3047" s="2">
        <v>0</v>
      </c>
      <c r="N3047" t="s">
        <v>10216</v>
      </c>
      <c r="O3047" t="s">
        <v>10214</v>
      </c>
      <c r="P3047" t="s">
        <v>10093</v>
      </c>
      <c r="Q3047" t="s">
        <v>10094</v>
      </c>
      <c r="S3047" t="s">
        <v>14755</v>
      </c>
      <c r="T3047" t="s">
        <v>2118</v>
      </c>
      <c r="U3047" t="s">
        <v>45</v>
      </c>
      <c r="V3047" t="s">
        <v>46</v>
      </c>
      <c r="W3047" t="s">
        <v>10216</v>
      </c>
      <c r="X3047" t="s">
        <v>10214</v>
      </c>
      <c r="Y3047" t="s">
        <v>7938</v>
      </c>
      <c r="Z3047" t="s">
        <v>7939</v>
      </c>
      <c r="AA3047" t="s">
        <v>49</v>
      </c>
      <c r="AB3047" t="s">
        <v>50</v>
      </c>
      <c r="AC3047" s="2">
        <v>200291.81</v>
      </c>
      <c r="AD3047" t="s">
        <v>14756</v>
      </c>
      <c r="AE3047" t="s">
        <v>52</v>
      </c>
    </row>
    <row r="3048" spans="1:31" x14ac:dyDescent="0.25">
      <c r="A3048" t="s">
        <v>14757</v>
      </c>
      <c r="B3048" t="s">
        <v>14758</v>
      </c>
      <c r="C3048" t="s">
        <v>14748</v>
      </c>
      <c r="D3048" t="s">
        <v>153</v>
      </c>
      <c r="E3048" t="s">
        <v>272</v>
      </c>
      <c r="F3048" t="s">
        <v>14749</v>
      </c>
      <c r="G3048" t="s">
        <v>153</v>
      </c>
      <c r="H3048" t="s">
        <v>10141</v>
      </c>
      <c r="I3048" t="s">
        <v>14744</v>
      </c>
      <c r="J3048" s="2">
        <v>231050</v>
      </c>
      <c r="K3048" s="2">
        <v>1000</v>
      </c>
      <c r="L3048" s="2">
        <v>30</v>
      </c>
      <c r="M3048" s="2">
        <v>0</v>
      </c>
      <c r="N3048" t="s">
        <v>7936</v>
      </c>
      <c r="O3048" t="s">
        <v>7935</v>
      </c>
      <c r="P3048" t="s">
        <v>10093</v>
      </c>
      <c r="Q3048" t="s">
        <v>10094</v>
      </c>
      <c r="S3048" t="s">
        <v>14750</v>
      </c>
      <c r="T3048" t="s">
        <v>2118</v>
      </c>
      <c r="U3048" t="s">
        <v>45</v>
      </c>
      <c r="V3048" t="s">
        <v>46</v>
      </c>
      <c r="W3048" t="s">
        <v>7936</v>
      </c>
      <c r="X3048" t="s">
        <v>7935</v>
      </c>
      <c r="Y3048" t="s">
        <v>7938</v>
      </c>
      <c r="Z3048" t="s">
        <v>7939</v>
      </c>
      <c r="AA3048" t="s">
        <v>49</v>
      </c>
      <c r="AB3048" t="s">
        <v>50</v>
      </c>
      <c r="AC3048" s="2">
        <v>146489.35</v>
      </c>
      <c r="AD3048" t="s">
        <v>14759</v>
      </c>
      <c r="AE3048" t="s">
        <v>52</v>
      </c>
    </row>
    <row r="3049" spans="1:31" x14ac:dyDescent="0.25">
      <c r="A3049" t="s">
        <v>14760</v>
      </c>
      <c r="B3049" t="s">
        <v>14761</v>
      </c>
      <c r="C3049" t="s">
        <v>14761</v>
      </c>
      <c r="D3049" t="s">
        <v>125</v>
      </c>
      <c r="E3049" t="s">
        <v>126</v>
      </c>
      <c r="F3049" t="s">
        <v>14762</v>
      </c>
      <c r="G3049" t="s">
        <v>125</v>
      </c>
      <c r="H3049" t="s">
        <v>9834</v>
      </c>
      <c r="I3049" t="s">
        <v>8377</v>
      </c>
      <c r="J3049" s="2">
        <v>1237050</v>
      </c>
      <c r="K3049" s="2">
        <v>5000</v>
      </c>
      <c r="L3049" s="2">
        <v>30</v>
      </c>
      <c r="M3049" s="2">
        <v>0</v>
      </c>
      <c r="N3049" t="s">
        <v>9588</v>
      </c>
      <c r="O3049" t="s">
        <v>9589</v>
      </c>
      <c r="P3049" t="s">
        <v>2320</v>
      </c>
      <c r="Q3049" t="s">
        <v>2321</v>
      </c>
      <c r="S3049" t="s">
        <v>14763</v>
      </c>
      <c r="T3049" t="s">
        <v>1410</v>
      </c>
      <c r="U3049" t="s">
        <v>45</v>
      </c>
      <c r="V3049" t="s">
        <v>46</v>
      </c>
      <c r="W3049" t="s">
        <v>9588</v>
      </c>
      <c r="X3049" t="s">
        <v>9587</v>
      </c>
      <c r="Y3049" t="s">
        <v>5743</v>
      </c>
      <c r="Z3049" t="s">
        <v>5744</v>
      </c>
      <c r="AA3049" t="s">
        <v>49</v>
      </c>
      <c r="AB3049" t="s">
        <v>50</v>
      </c>
      <c r="AC3049" s="2">
        <v>141153.23000000001</v>
      </c>
      <c r="AD3049" t="s">
        <v>14764</v>
      </c>
      <c r="AE3049" t="s">
        <v>52</v>
      </c>
    </row>
    <row r="3050" spans="1:31" hidden="1" x14ac:dyDescent="0.25">
      <c r="A3050" t="s">
        <v>14765</v>
      </c>
      <c r="B3050" t="s">
        <v>14766</v>
      </c>
      <c r="C3050" t="s">
        <v>14766</v>
      </c>
      <c r="F3050" t="s">
        <v>14767</v>
      </c>
      <c r="H3050" t="s">
        <v>10141</v>
      </c>
      <c r="I3050" t="s">
        <v>14768</v>
      </c>
      <c r="J3050" s="2">
        <v>231090</v>
      </c>
      <c r="K3050" s="2">
        <v>1000</v>
      </c>
      <c r="L3050" s="2">
        <v>30</v>
      </c>
      <c r="M3050" s="2">
        <v>0</v>
      </c>
      <c r="N3050" t="s">
        <v>7936</v>
      </c>
      <c r="O3050" t="s">
        <v>7935</v>
      </c>
      <c r="P3050" t="s">
        <v>10093</v>
      </c>
      <c r="Q3050" t="s">
        <v>10094</v>
      </c>
      <c r="S3050" t="s">
        <v>14769</v>
      </c>
      <c r="T3050" t="s">
        <v>3472</v>
      </c>
      <c r="U3050" t="s">
        <v>45</v>
      </c>
      <c r="V3050" t="s">
        <v>46</v>
      </c>
      <c r="W3050" t="s">
        <v>7936</v>
      </c>
      <c r="X3050" t="s">
        <v>7935</v>
      </c>
      <c r="Y3050" t="s">
        <v>7938</v>
      </c>
      <c r="Z3050" t="s">
        <v>7939</v>
      </c>
      <c r="AA3050" t="s">
        <v>49</v>
      </c>
      <c r="AB3050" t="s">
        <v>50</v>
      </c>
      <c r="AC3050" s="2">
        <v>231090</v>
      </c>
      <c r="AD3050" t="s">
        <v>64</v>
      </c>
    </row>
    <row r="3051" spans="1:31" hidden="1" x14ac:dyDescent="0.25">
      <c r="A3051" t="s">
        <v>14770</v>
      </c>
      <c r="B3051" t="s">
        <v>14771</v>
      </c>
      <c r="C3051" t="s">
        <v>14771</v>
      </c>
      <c r="F3051" t="s">
        <v>14772</v>
      </c>
      <c r="H3051" t="s">
        <v>10141</v>
      </c>
      <c r="I3051" t="s">
        <v>14773</v>
      </c>
      <c r="J3051" s="2">
        <v>231090</v>
      </c>
      <c r="K3051" s="2">
        <v>1000</v>
      </c>
      <c r="L3051" s="2">
        <v>30</v>
      </c>
      <c r="M3051" s="2">
        <v>0</v>
      </c>
      <c r="N3051" t="s">
        <v>7936</v>
      </c>
      <c r="O3051" t="s">
        <v>7935</v>
      </c>
      <c r="P3051" t="s">
        <v>10093</v>
      </c>
      <c r="Q3051" t="s">
        <v>10094</v>
      </c>
      <c r="S3051" t="s">
        <v>14774</v>
      </c>
      <c r="T3051" t="s">
        <v>3472</v>
      </c>
      <c r="U3051" t="s">
        <v>45</v>
      </c>
      <c r="V3051" t="s">
        <v>46</v>
      </c>
      <c r="W3051" t="s">
        <v>7936</v>
      </c>
      <c r="X3051" t="s">
        <v>7935</v>
      </c>
      <c r="Y3051" t="s">
        <v>7938</v>
      </c>
      <c r="Z3051" t="s">
        <v>7939</v>
      </c>
      <c r="AA3051" t="s">
        <v>49</v>
      </c>
      <c r="AB3051" t="s">
        <v>50</v>
      </c>
      <c r="AC3051" s="2">
        <v>231090</v>
      </c>
      <c r="AD3051" t="s">
        <v>64</v>
      </c>
    </row>
    <row r="3052" spans="1:31" hidden="1" x14ac:dyDescent="0.25">
      <c r="A3052" t="s">
        <v>14775</v>
      </c>
      <c r="B3052" t="s">
        <v>14776</v>
      </c>
      <c r="C3052" t="s">
        <v>14776</v>
      </c>
      <c r="F3052" t="s">
        <v>14777</v>
      </c>
      <c r="H3052" t="s">
        <v>10141</v>
      </c>
      <c r="I3052" t="s">
        <v>14778</v>
      </c>
      <c r="J3052" s="2">
        <v>231090</v>
      </c>
      <c r="K3052" s="2">
        <v>1000</v>
      </c>
      <c r="L3052" s="2">
        <v>30</v>
      </c>
      <c r="M3052" s="2">
        <v>0</v>
      </c>
      <c r="N3052" t="s">
        <v>7936</v>
      </c>
      <c r="O3052" t="s">
        <v>7935</v>
      </c>
      <c r="P3052" t="s">
        <v>10093</v>
      </c>
      <c r="Q3052" t="s">
        <v>10094</v>
      </c>
      <c r="S3052" t="s">
        <v>14779</v>
      </c>
      <c r="T3052" t="s">
        <v>3472</v>
      </c>
      <c r="U3052" t="s">
        <v>45</v>
      </c>
      <c r="V3052" t="s">
        <v>46</v>
      </c>
      <c r="W3052" t="s">
        <v>7936</v>
      </c>
      <c r="X3052" t="s">
        <v>7935</v>
      </c>
      <c r="Y3052" t="s">
        <v>7938</v>
      </c>
      <c r="Z3052" t="s">
        <v>7939</v>
      </c>
      <c r="AA3052" t="s">
        <v>49</v>
      </c>
      <c r="AB3052" t="s">
        <v>50</v>
      </c>
      <c r="AC3052" s="2">
        <v>231090</v>
      </c>
      <c r="AD3052" t="s">
        <v>64</v>
      </c>
    </row>
    <row r="3053" spans="1:31" x14ac:dyDescent="0.25">
      <c r="A3053" t="s">
        <v>14780</v>
      </c>
      <c r="B3053" t="s">
        <v>14781</v>
      </c>
      <c r="C3053" t="s">
        <v>4021</v>
      </c>
      <c r="D3053" t="s">
        <v>153</v>
      </c>
      <c r="E3053" t="s">
        <v>272</v>
      </c>
      <c r="F3053" t="s">
        <v>4022</v>
      </c>
      <c r="G3053" t="s">
        <v>153</v>
      </c>
      <c r="H3053" t="s">
        <v>201</v>
      </c>
      <c r="I3053" t="s">
        <v>1018</v>
      </c>
      <c r="J3053" s="2">
        <v>231090</v>
      </c>
      <c r="K3053" s="2">
        <v>1000</v>
      </c>
      <c r="L3053" s="2">
        <v>30</v>
      </c>
      <c r="M3053" s="2">
        <v>0</v>
      </c>
      <c r="N3053" t="s">
        <v>203</v>
      </c>
      <c r="O3053" t="s">
        <v>204</v>
      </c>
      <c r="P3053" t="s">
        <v>205</v>
      </c>
      <c r="Q3053" t="s">
        <v>206</v>
      </c>
      <c r="S3053" t="s">
        <v>10951</v>
      </c>
      <c r="T3053" t="s">
        <v>3472</v>
      </c>
      <c r="U3053" t="s">
        <v>45</v>
      </c>
      <c r="V3053" t="s">
        <v>46</v>
      </c>
      <c r="W3053" t="s">
        <v>203</v>
      </c>
      <c r="X3053" t="s">
        <v>204</v>
      </c>
      <c r="Y3053" t="s">
        <v>161</v>
      </c>
      <c r="Z3053" t="s">
        <v>162</v>
      </c>
      <c r="AA3053" t="s">
        <v>49</v>
      </c>
      <c r="AB3053" t="s">
        <v>50</v>
      </c>
      <c r="AC3053" s="2">
        <v>114742.55</v>
      </c>
      <c r="AD3053" t="s">
        <v>14782</v>
      </c>
      <c r="AE3053" t="s">
        <v>52</v>
      </c>
    </row>
    <row r="3054" spans="1:31" hidden="1" x14ac:dyDescent="0.25">
      <c r="A3054" t="s">
        <v>14783</v>
      </c>
      <c r="B3054" t="s">
        <v>14784</v>
      </c>
      <c r="C3054" t="s">
        <v>14784</v>
      </c>
      <c r="F3054" t="s">
        <v>14785</v>
      </c>
      <c r="H3054" t="s">
        <v>10163</v>
      </c>
      <c r="I3054" t="s">
        <v>14375</v>
      </c>
      <c r="J3054" s="2">
        <v>233560</v>
      </c>
      <c r="K3054" s="2">
        <v>1000</v>
      </c>
      <c r="L3054" s="2">
        <v>21</v>
      </c>
      <c r="M3054" s="2">
        <v>0</v>
      </c>
      <c r="N3054" t="s">
        <v>10165</v>
      </c>
      <c r="O3054" t="s">
        <v>10163</v>
      </c>
      <c r="P3054" t="s">
        <v>14215</v>
      </c>
      <c r="Q3054" t="s">
        <v>10167</v>
      </c>
      <c r="S3054" t="s">
        <v>14786</v>
      </c>
      <c r="T3054" t="s">
        <v>649</v>
      </c>
      <c r="U3054" t="s">
        <v>45</v>
      </c>
      <c r="V3054" t="s">
        <v>46</v>
      </c>
      <c r="W3054" t="s">
        <v>10165</v>
      </c>
      <c r="X3054" t="s">
        <v>10163</v>
      </c>
      <c r="Y3054" t="s">
        <v>10167</v>
      </c>
      <c r="Z3054" t="s">
        <v>10168</v>
      </c>
      <c r="AA3054" t="s">
        <v>49</v>
      </c>
      <c r="AB3054" t="s">
        <v>50</v>
      </c>
      <c r="AC3054" s="2">
        <v>233560</v>
      </c>
      <c r="AD3054" t="s">
        <v>64</v>
      </c>
    </row>
    <row r="3055" spans="1:31" x14ac:dyDescent="0.25">
      <c r="A3055" t="s">
        <v>14787</v>
      </c>
      <c r="B3055" t="s">
        <v>14788</v>
      </c>
      <c r="C3055" t="s">
        <v>14158</v>
      </c>
      <c r="D3055" t="s">
        <v>35</v>
      </c>
      <c r="E3055" t="s">
        <v>36</v>
      </c>
      <c r="F3055" t="s">
        <v>14159</v>
      </c>
      <c r="G3055" t="s">
        <v>153</v>
      </c>
      <c r="H3055" t="s">
        <v>1335</v>
      </c>
      <c r="I3055" t="s">
        <v>14160</v>
      </c>
      <c r="J3055" s="2">
        <v>116525</v>
      </c>
      <c r="K3055" s="2">
        <v>500</v>
      </c>
      <c r="L3055" s="2">
        <v>15</v>
      </c>
      <c r="M3055" s="2">
        <v>0</v>
      </c>
      <c r="N3055" t="s">
        <v>254</v>
      </c>
      <c r="O3055" t="s">
        <v>255</v>
      </c>
      <c r="P3055" t="s">
        <v>256</v>
      </c>
      <c r="Q3055" t="s">
        <v>255</v>
      </c>
      <c r="S3055" t="s">
        <v>14789</v>
      </c>
      <c r="T3055" t="s">
        <v>649</v>
      </c>
      <c r="U3055" t="s">
        <v>45</v>
      </c>
      <c r="V3055" t="s">
        <v>46</v>
      </c>
      <c r="W3055" t="s">
        <v>254</v>
      </c>
      <c r="X3055" t="s">
        <v>255</v>
      </c>
      <c r="Y3055" t="s">
        <v>258</v>
      </c>
      <c r="Z3055" t="s">
        <v>259</v>
      </c>
      <c r="AA3055" t="s">
        <v>49</v>
      </c>
      <c r="AB3055" t="s">
        <v>50</v>
      </c>
      <c r="AC3055" s="2">
        <v>61871.28</v>
      </c>
      <c r="AD3055" t="s">
        <v>14790</v>
      </c>
      <c r="AE3055" t="s">
        <v>52</v>
      </c>
    </row>
    <row r="3056" spans="1:31" x14ac:dyDescent="0.25">
      <c r="A3056" t="s">
        <v>14791</v>
      </c>
      <c r="B3056" t="s">
        <v>14792</v>
      </c>
      <c r="C3056" t="s">
        <v>14792</v>
      </c>
      <c r="D3056" t="s">
        <v>35</v>
      </c>
      <c r="E3056" t="s">
        <v>36</v>
      </c>
      <c r="F3056" t="s">
        <v>14793</v>
      </c>
      <c r="G3056" t="s">
        <v>35</v>
      </c>
      <c r="H3056" t="s">
        <v>14794</v>
      </c>
      <c r="I3056" t="s">
        <v>14795</v>
      </c>
      <c r="J3056" s="2">
        <v>346220</v>
      </c>
      <c r="K3056" s="2">
        <v>1400</v>
      </c>
      <c r="L3056" s="2">
        <v>15</v>
      </c>
      <c r="M3056" s="2">
        <v>0</v>
      </c>
      <c r="N3056" t="s">
        <v>14796</v>
      </c>
      <c r="O3056" t="s">
        <v>14794</v>
      </c>
      <c r="P3056" t="s">
        <v>14215</v>
      </c>
      <c r="Q3056" t="s">
        <v>10167</v>
      </c>
      <c r="S3056" t="s">
        <v>14797</v>
      </c>
      <c r="T3056" t="s">
        <v>649</v>
      </c>
      <c r="U3056" t="s">
        <v>45</v>
      </c>
      <c r="V3056" t="s">
        <v>46</v>
      </c>
      <c r="W3056" t="s">
        <v>14796</v>
      </c>
      <c r="X3056" t="s">
        <v>14798</v>
      </c>
      <c r="Y3056" t="s">
        <v>10167</v>
      </c>
      <c r="Z3056" t="s">
        <v>10168</v>
      </c>
      <c r="AA3056" t="s">
        <v>49</v>
      </c>
      <c r="AB3056" t="s">
        <v>50</v>
      </c>
      <c r="AC3056" s="2">
        <v>90705.74</v>
      </c>
      <c r="AD3056" t="s">
        <v>14799</v>
      </c>
      <c r="AE3056" t="s">
        <v>52</v>
      </c>
    </row>
    <row r="3057" spans="1:31" x14ac:dyDescent="0.25">
      <c r="A3057" t="s">
        <v>14800</v>
      </c>
      <c r="B3057" t="s">
        <v>14801</v>
      </c>
      <c r="C3057" t="s">
        <v>14801</v>
      </c>
      <c r="D3057" t="s">
        <v>35</v>
      </c>
      <c r="E3057" t="s">
        <v>36</v>
      </c>
      <c r="F3057" t="s">
        <v>14802</v>
      </c>
      <c r="G3057" t="s">
        <v>35</v>
      </c>
      <c r="H3057" t="s">
        <v>300</v>
      </c>
      <c r="I3057" t="s">
        <v>14803</v>
      </c>
      <c r="J3057" s="2">
        <v>233050</v>
      </c>
      <c r="K3057" s="2">
        <v>1000</v>
      </c>
      <c r="L3057" s="2">
        <v>21</v>
      </c>
      <c r="M3057" s="2">
        <v>0</v>
      </c>
      <c r="N3057" t="s">
        <v>302</v>
      </c>
      <c r="O3057" t="s">
        <v>303</v>
      </c>
      <c r="P3057" t="s">
        <v>304</v>
      </c>
      <c r="Q3057" t="s">
        <v>72</v>
      </c>
      <c r="S3057" t="s">
        <v>14804</v>
      </c>
      <c r="T3057" t="s">
        <v>649</v>
      </c>
      <c r="U3057" t="s">
        <v>45</v>
      </c>
      <c r="V3057" t="s">
        <v>46</v>
      </c>
      <c r="W3057" t="s">
        <v>302</v>
      </c>
      <c r="X3057" t="s">
        <v>303</v>
      </c>
      <c r="Y3057" t="s">
        <v>72</v>
      </c>
      <c r="Z3057" t="s">
        <v>68</v>
      </c>
      <c r="AA3057" t="s">
        <v>49</v>
      </c>
      <c r="AB3057" t="s">
        <v>50</v>
      </c>
      <c r="AC3057" s="2">
        <v>183937.51</v>
      </c>
      <c r="AD3057" t="s">
        <v>14805</v>
      </c>
      <c r="AE3057" t="s">
        <v>52</v>
      </c>
    </row>
    <row r="3058" spans="1:31" x14ac:dyDescent="0.25">
      <c r="A3058" t="s">
        <v>14806</v>
      </c>
      <c r="B3058" t="s">
        <v>14807</v>
      </c>
      <c r="C3058" t="s">
        <v>14807</v>
      </c>
      <c r="D3058" t="s">
        <v>125</v>
      </c>
      <c r="E3058" t="s">
        <v>126</v>
      </c>
      <c r="F3058" t="s">
        <v>14808</v>
      </c>
      <c r="G3058" t="s">
        <v>35</v>
      </c>
      <c r="H3058" t="s">
        <v>7938</v>
      </c>
      <c r="I3058" t="s">
        <v>10406</v>
      </c>
      <c r="J3058" s="2">
        <v>284395</v>
      </c>
      <c r="K3058" s="2">
        <v>1150</v>
      </c>
      <c r="L3058" s="2">
        <v>30</v>
      </c>
      <c r="M3058" s="2">
        <v>0</v>
      </c>
      <c r="N3058" t="s">
        <v>14809</v>
      </c>
      <c r="O3058" t="s">
        <v>14810</v>
      </c>
      <c r="P3058" t="s">
        <v>10093</v>
      </c>
      <c r="Q3058" t="s">
        <v>10094</v>
      </c>
      <c r="S3058" t="s">
        <v>14811</v>
      </c>
      <c r="T3058" t="s">
        <v>649</v>
      </c>
      <c r="U3058" t="s">
        <v>45</v>
      </c>
      <c r="V3058" t="s">
        <v>46</v>
      </c>
      <c r="W3058" t="s">
        <v>14809</v>
      </c>
      <c r="X3058" t="s">
        <v>14812</v>
      </c>
      <c r="Y3058" t="s">
        <v>7938</v>
      </c>
      <c r="Z3058" t="s">
        <v>7939</v>
      </c>
      <c r="AA3058" t="s">
        <v>49</v>
      </c>
      <c r="AB3058" t="s">
        <v>50</v>
      </c>
      <c r="AC3058" s="2">
        <v>58664.95</v>
      </c>
      <c r="AD3058" t="s">
        <v>14813</v>
      </c>
      <c r="AE3058" t="s">
        <v>52</v>
      </c>
    </row>
    <row r="3059" spans="1:31" x14ac:dyDescent="0.25">
      <c r="A3059" t="s">
        <v>14814</v>
      </c>
      <c r="B3059" t="s">
        <v>14815</v>
      </c>
      <c r="C3059" t="s">
        <v>14815</v>
      </c>
      <c r="D3059" t="s">
        <v>553</v>
      </c>
      <c r="E3059" t="s">
        <v>167</v>
      </c>
      <c r="F3059" t="s">
        <v>14816</v>
      </c>
      <c r="G3059" t="s">
        <v>553</v>
      </c>
      <c r="H3059" t="s">
        <v>1425</v>
      </c>
      <c r="I3059" t="s">
        <v>14817</v>
      </c>
      <c r="J3059" s="2">
        <v>233560</v>
      </c>
      <c r="K3059" s="2">
        <v>1000</v>
      </c>
      <c r="L3059" s="2">
        <v>21</v>
      </c>
      <c r="M3059" s="2">
        <v>0</v>
      </c>
      <c r="N3059" t="s">
        <v>1427</v>
      </c>
      <c r="O3059" t="s">
        <v>1428</v>
      </c>
      <c r="P3059" t="s">
        <v>304</v>
      </c>
      <c r="Q3059" t="s">
        <v>72</v>
      </c>
      <c r="S3059" t="s">
        <v>14818</v>
      </c>
      <c r="T3059" t="s">
        <v>169</v>
      </c>
      <c r="U3059" t="s">
        <v>45</v>
      </c>
      <c r="V3059" t="s">
        <v>46</v>
      </c>
      <c r="W3059" t="s">
        <v>1427</v>
      </c>
      <c r="X3059" t="s">
        <v>1430</v>
      </c>
      <c r="Y3059" t="s">
        <v>85</v>
      </c>
      <c r="Z3059" t="s">
        <v>86</v>
      </c>
      <c r="AA3059" t="s">
        <v>49</v>
      </c>
      <c r="AB3059" t="s">
        <v>50</v>
      </c>
      <c r="AC3059" s="2">
        <v>214047.57</v>
      </c>
      <c r="AD3059" t="s">
        <v>14819</v>
      </c>
      <c r="AE3059" t="s">
        <v>52</v>
      </c>
    </row>
    <row r="3060" spans="1:31" x14ac:dyDescent="0.25">
      <c r="A3060" t="s">
        <v>14820</v>
      </c>
      <c r="B3060" t="s">
        <v>14821</v>
      </c>
      <c r="C3060" t="s">
        <v>14821</v>
      </c>
      <c r="D3060" t="s">
        <v>35</v>
      </c>
      <c r="E3060" t="s">
        <v>36</v>
      </c>
      <c r="F3060" t="s">
        <v>14822</v>
      </c>
      <c r="G3060" t="s">
        <v>847</v>
      </c>
      <c r="H3060" t="s">
        <v>10571</v>
      </c>
      <c r="I3060" t="s">
        <v>13541</v>
      </c>
      <c r="J3060" s="2">
        <v>233560</v>
      </c>
      <c r="K3060" s="2">
        <v>1000</v>
      </c>
      <c r="L3060" s="2">
        <v>15</v>
      </c>
      <c r="M3060" s="2">
        <v>0</v>
      </c>
      <c r="N3060" t="s">
        <v>10572</v>
      </c>
      <c r="O3060" t="s">
        <v>10571</v>
      </c>
      <c r="P3060" t="s">
        <v>557</v>
      </c>
      <c r="Q3060" t="s">
        <v>558</v>
      </c>
      <c r="S3060" t="s">
        <v>14823</v>
      </c>
      <c r="T3060" t="s">
        <v>169</v>
      </c>
      <c r="U3060" t="s">
        <v>45</v>
      </c>
      <c r="V3060" t="s">
        <v>46</v>
      </c>
      <c r="W3060" t="s">
        <v>10572</v>
      </c>
      <c r="X3060" t="s">
        <v>10571</v>
      </c>
      <c r="Y3060" t="s">
        <v>10167</v>
      </c>
      <c r="Z3060" t="s">
        <v>10168</v>
      </c>
      <c r="AA3060" t="s">
        <v>49</v>
      </c>
      <c r="AB3060" t="s">
        <v>50</v>
      </c>
      <c r="AC3060" s="2">
        <v>233559.99</v>
      </c>
      <c r="AD3060" t="s">
        <v>9029</v>
      </c>
    </row>
    <row r="3061" spans="1:31" x14ac:dyDescent="0.25">
      <c r="A3061" t="s">
        <v>14824</v>
      </c>
      <c r="B3061" t="s">
        <v>14825</v>
      </c>
      <c r="C3061" t="s">
        <v>14825</v>
      </c>
      <c r="D3061" t="s">
        <v>35</v>
      </c>
      <c r="E3061" t="s">
        <v>36</v>
      </c>
      <c r="F3061" t="s">
        <v>14826</v>
      </c>
      <c r="G3061" t="s">
        <v>35</v>
      </c>
      <c r="H3061" t="s">
        <v>87</v>
      </c>
      <c r="I3061" t="s">
        <v>8114</v>
      </c>
      <c r="J3061" s="2">
        <v>233560</v>
      </c>
      <c r="K3061" s="2">
        <v>1000</v>
      </c>
      <c r="L3061" s="2">
        <v>30</v>
      </c>
      <c r="M3061" s="2">
        <v>0</v>
      </c>
      <c r="N3061" t="s">
        <v>89</v>
      </c>
      <c r="O3061" t="s">
        <v>90</v>
      </c>
      <c r="P3061" t="s">
        <v>103</v>
      </c>
      <c r="Q3061" t="s">
        <v>104</v>
      </c>
      <c r="S3061" t="s">
        <v>14827</v>
      </c>
      <c r="T3061" t="s">
        <v>169</v>
      </c>
      <c r="U3061" t="s">
        <v>45</v>
      </c>
      <c r="V3061" t="s">
        <v>46</v>
      </c>
      <c r="W3061" t="s">
        <v>89</v>
      </c>
      <c r="X3061" t="s">
        <v>90</v>
      </c>
      <c r="Y3061" t="s">
        <v>92</v>
      </c>
      <c r="Z3061" t="s">
        <v>94</v>
      </c>
      <c r="AA3061" t="s">
        <v>49</v>
      </c>
      <c r="AB3061" t="s">
        <v>50</v>
      </c>
      <c r="AC3061" s="2">
        <v>88212.31</v>
      </c>
      <c r="AD3061" t="s">
        <v>14828</v>
      </c>
      <c r="AE3061" t="s">
        <v>52</v>
      </c>
    </row>
    <row r="3062" spans="1:31" x14ac:dyDescent="0.25">
      <c r="A3062" t="s">
        <v>14829</v>
      </c>
      <c r="B3062" t="s">
        <v>14830</v>
      </c>
      <c r="C3062" t="s">
        <v>14830</v>
      </c>
      <c r="D3062" t="s">
        <v>125</v>
      </c>
      <c r="E3062" t="s">
        <v>126</v>
      </c>
      <c r="F3062" t="s">
        <v>14831</v>
      </c>
      <c r="G3062" t="s">
        <v>125</v>
      </c>
      <c r="H3062" t="s">
        <v>10341</v>
      </c>
      <c r="I3062" t="s">
        <v>14832</v>
      </c>
      <c r="J3062" s="2">
        <v>309263</v>
      </c>
      <c r="K3062" s="2">
        <v>1250</v>
      </c>
      <c r="L3062" s="2">
        <v>30</v>
      </c>
      <c r="M3062" s="2">
        <v>0</v>
      </c>
      <c r="N3062" t="s">
        <v>10343</v>
      </c>
      <c r="O3062" t="s">
        <v>10344</v>
      </c>
      <c r="P3062" t="s">
        <v>10093</v>
      </c>
      <c r="Q3062" t="s">
        <v>10094</v>
      </c>
      <c r="S3062" t="s">
        <v>14833</v>
      </c>
      <c r="T3062" t="s">
        <v>169</v>
      </c>
      <c r="U3062" t="s">
        <v>45</v>
      </c>
      <c r="V3062" t="s">
        <v>46</v>
      </c>
      <c r="W3062" t="s">
        <v>10343</v>
      </c>
      <c r="X3062" t="s">
        <v>10344</v>
      </c>
      <c r="Y3062" t="s">
        <v>7938</v>
      </c>
      <c r="Z3062" t="s">
        <v>7939</v>
      </c>
      <c r="AA3062" t="s">
        <v>49</v>
      </c>
      <c r="AB3062" t="s">
        <v>50</v>
      </c>
      <c r="AC3062" s="2">
        <v>11156.86</v>
      </c>
      <c r="AD3062" t="s">
        <v>14834</v>
      </c>
      <c r="AE3062" t="s">
        <v>52</v>
      </c>
    </row>
    <row r="3063" spans="1:31" x14ac:dyDescent="0.25">
      <c r="A3063" t="s">
        <v>14835</v>
      </c>
      <c r="B3063" t="s">
        <v>14836</v>
      </c>
      <c r="C3063" t="s">
        <v>14100</v>
      </c>
      <c r="D3063" t="s">
        <v>125</v>
      </c>
      <c r="E3063" t="s">
        <v>126</v>
      </c>
      <c r="F3063" t="s">
        <v>14013</v>
      </c>
      <c r="G3063" t="s">
        <v>125</v>
      </c>
      <c r="H3063" t="s">
        <v>10141</v>
      </c>
      <c r="I3063" t="s">
        <v>14014</v>
      </c>
      <c r="J3063" s="2">
        <v>233560</v>
      </c>
      <c r="K3063" s="2">
        <v>1000</v>
      </c>
      <c r="L3063" s="2">
        <v>30</v>
      </c>
      <c r="M3063" s="2">
        <v>0</v>
      </c>
      <c r="N3063" t="s">
        <v>7936</v>
      </c>
      <c r="O3063" t="s">
        <v>7935</v>
      </c>
      <c r="P3063" t="s">
        <v>10093</v>
      </c>
      <c r="Q3063" t="s">
        <v>10094</v>
      </c>
      <c r="S3063" t="s">
        <v>14015</v>
      </c>
      <c r="T3063" t="s">
        <v>169</v>
      </c>
      <c r="U3063" t="s">
        <v>45</v>
      </c>
      <c r="V3063" t="s">
        <v>46</v>
      </c>
      <c r="W3063" t="s">
        <v>7936</v>
      </c>
      <c r="X3063" t="s">
        <v>7935</v>
      </c>
      <c r="Y3063" t="s">
        <v>7938</v>
      </c>
      <c r="Z3063" t="s">
        <v>7939</v>
      </c>
      <c r="AA3063" t="s">
        <v>49</v>
      </c>
      <c r="AB3063" t="s">
        <v>50</v>
      </c>
      <c r="AC3063" s="2">
        <v>72993.81</v>
      </c>
      <c r="AD3063" t="s">
        <v>14837</v>
      </c>
      <c r="AE3063" t="s">
        <v>52</v>
      </c>
    </row>
    <row r="3064" spans="1:31" x14ac:dyDescent="0.25">
      <c r="A3064" t="s">
        <v>14838</v>
      </c>
      <c r="B3064" t="s">
        <v>14839</v>
      </c>
      <c r="C3064" t="s">
        <v>14839</v>
      </c>
      <c r="D3064" t="s">
        <v>847</v>
      </c>
      <c r="E3064" t="s">
        <v>848</v>
      </c>
      <c r="F3064" t="s">
        <v>14840</v>
      </c>
      <c r="G3064" t="s">
        <v>847</v>
      </c>
      <c r="H3064" t="s">
        <v>10105</v>
      </c>
      <c r="I3064" t="s">
        <v>14841</v>
      </c>
      <c r="J3064" s="2">
        <v>233560</v>
      </c>
      <c r="K3064" s="2">
        <v>1000</v>
      </c>
      <c r="L3064" s="2">
        <v>30</v>
      </c>
      <c r="M3064" s="2">
        <v>0</v>
      </c>
      <c r="N3064" t="s">
        <v>10106</v>
      </c>
      <c r="O3064" t="s">
        <v>10105</v>
      </c>
      <c r="P3064" t="s">
        <v>10093</v>
      </c>
      <c r="Q3064" t="s">
        <v>10094</v>
      </c>
      <c r="S3064" t="s">
        <v>14842</v>
      </c>
      <c r="T3064" t="s">
        <v>169</v>
      </c>
      <c r="U3064" t="s">
        <v>45</v>
      </c>
      <c r="V3064" t="s">
        <v>46</v>
      </c>
      <c r="W3064" t="s">
        <v>10106</v>
      </c>
      <c r="X3064" t="s">
        <v>10105</v>
      </c>
      <c r="Y3064" t="s">
        <v>7938</v>
      </c>
      <c r="Z3064" t="s">
        <v>7939</v>
      </c>
      <c r="AA3064" t="s">
        <v>49</v>
      </c>
      <c r="AB3064" t="s">
        <v>50</v>
      </c>
      <c r="AC3064" s="2">
        <v>204916.78</v>
      </c>
      <c r="AD3064" t="s">
        <v>14843</v>
      </c>
      <c r="AE3064" t="s">
        <v>52</v>
      </c>
    </row>
    <row r="3065" spans="1:31" x14ac:dyDescent="0.25">
      <c r="A3065" t="s">
        <v>14844</v>
      </c>
      <c r="B3065" t="s">
        <v>14845</v>
      </c>
      <c r="C3065" t="s">
        <v>14753</v>
      </c>
      <c r="D3065" t="s">
        <v>35</v>
      </c>
      <c r="E3065" t="s">
        <v>36</v>
      </c>
      <c r="F3065" t="s">
        <v>14754</v>
      </c>
      <c r="G3065" t="s">
        <v>569</v>
      </c>
      <c r="H3065" t="s">
        <v>7897</v>
      </c>
      <c r="I3065" t="s">
        <v>14846</v>
      </c>
      <c r="J3065" s="2">
        <v>234870</v>
      </c>
      <c r="K3065" s="2">
        <v>1000</v>
      </c>
      <c r="L3065" s="2">
        <v>30</v>
      </c>
      <c r="M3065" s="2">
        <v>0</v>
      </c>
      <c r="N3065" t="s">
        <v>541</v>
      </c>
      <c r="O3065" t="s">
        <v>542</v>
      </c>
      <c r="P3065" t="s">
        <v>10093</v>
      </c>
      <c r="Q3065" t="s">
        <v>10094</v>
      </c>
      <c r="S3065" t="s">
        <v>14755</v>
      </c>
      <c r="T3065" t="s">
        <v>169</v>
      </c>
      <c r="U3065" t="s">
        <v>45</v>
      </c>
      <c r="V3065" t="s">
        <v>46</v>
      </c>
      <c r="W3065" t="s">
        <v>541</v>
      </c>
      <c r="X3065" t="s">
        <v>542</v>
      </c>
      <c r="Y3065" t="s">
        <v>92</v>
      </c>
      <c r="Z3065" t="s">
        <v>94</v>
      </c>
      <c r="AA3065" t="s">
        <v>49</v>
      </c>
      <c r="AB3065" t="s">
        <v>50</v>
      </c>
      <c r="AC3065" s="2">
        <v>65093.03</v>
      </c>
      <c r="AD3065" t="s">
        <v>14847</v>
      </c>
      <c r="AE3065" t="s">
        <v>52</v>
      </c>
    </row>
    <row r="3066" spans="1:31" x14ac:dyDescent="0.25">
      <c r="A3066" t="s">
        <v>14848</v>
      </c>
      <c r="B3066" t="s">
        <v>14849</v>
      </c>
      <c r="C3066" t="s">
        <v>14849</v>
      </c>
      <c r="D3066" t="s">
        <v>297</v>
      </c>
      <c r="E3066" t="s">
        <v>167</v>
      </c>
      <c r="F3066" t="s">
        <v>14850</v>
      </c>
      <c r="G3066" t="s">
        <v>297</v>
      </c>
      <c r="H3066" t="s">
        <v>7263</v>
      </c>
      <c r="I3066" t="s">
        <v>14851</v>
      </c>
      <c r="J3066" s="2">
        <v>537188</v>
      </c>
      <c r="K3066" s="2">
        <v>2300</v>
      </c>
      <c r="L3066" s="2">
        <v>21</v>
      </c>
      <c r="M3066" s="2">
        <v>0</v>
      </c>
      <c r="N3066" t="s">
        <v>2571</v>
      </c>
      <c r="O3066" t="s">
        <v>2572</v>
      </c>
      <c r="P3066" t="s">
        <v>6987</v>
      </c>
      <c r="Q3066" t="s">
        <v>6988</v>
      </c>
      <c r="S3066" t="s">
        <v>14852</v>
      </c>
      <c r="T3066" t="s">
        <v>169</v>
      </c>
      <c r="U3066" t="s">
        <v>45</v>
      </c>
      <c r="V3066" t="s">
        <v>46</v>
      </c>
      <c r="W3066" t="s">
        <v>2571</v>
      </c>
      <c r="X3066" t="s">
        <v>2572</v>
      </c>
      <c r="Y3066" t="s">
        <v>2399</v>
      </c>
      <c r="Z3066" t="s">
        <v>2400</v>
      </c>
      <c r="AA3066" t="s">
        <v>49</v>
      </c>
      <c r="AB3066" t="s">
        <v>50</v>
      </c>
      <c r="AC3066" s="2">
        <v>388761.29</v>
      </c>
      <c r="AD3066" t="s">
        <v>14853</v>
      </c>
      <c r="AE3066" t="s">
        <v>52</v>
      </c>
    </row>
    <row r="3067" spans="1:31" x14ac:dyDescent="0.25">
      <c r="A3067" t="s">
        <v>14854</v>
      </c>
      <c r="B3067" t="s">
        <v>14855</v>
      </c>
      <c r="C3067" t="s">
        <v>14856</v>
      </c>
      <c r="D3067" t="s">
        <v>153</v>
      </c>
      <c r="E3067" t="s">
        <v>272</v>
      </c>
      <c r="F3067" t="s">
        <v>14857</v>
      </c>
      <c r="G3067" t="s">
        <v>153</v>
      </c>
      <c r="H3067" t="s">
        <v>5003</v>
      </c>
      <c r="I3067" t="s">
        <v>14858</v>
      </c>
      <c r="J3067" s="2">
        <v>237750</v>
      </c>
      <c r="K3067" s="2">
        <v>1000</v>
      </c>
      <c r="L3067" s="2">
        <v>15</v>
      </c>
      <c r="M3067" s="2">
        <v>0</v>
      </c>
      <c r="N3067" t="s">
        <v>5005</v>
      </c>
      <c r="O3067" t="s">
        <v>5006</v>
      </c>
      <c r="P3067" t="s">
        <v>256</v>
      </c>
      <c r="Q3067" t="s">
        <v>255</v>
      </c>
      <c r="S3067" t="s">
        <v>14859</v>
      </c>
      <c r="T3067" t="s">
        <v>189</v>
      </c>
      <c r="U3067" t="s">
        <v>45</v>
      </c>
      <c r="V3067" t="s">
        <v>46</v>
      </c>
      <c r="W3067" t="s">
        <v>5005</v>
      </c>
      <c r="X3067" t="s">
        <v>5006</v>
      </c>
      <c r="Y3067" t="s">
        <v>137</v>
      </c>
      <c r="Z3067" t="s">
        <v>717</v>
      </c>
      <c r="AA3067" t="s">
        <v>49</v>
      </c>
      <c r="AB3067" t="s">
        <v>50</v>
      </c>
      <c r="AC3067" s="2">
        <v>156688.01999999999</v>
      </c>
      <c r="AD3067" t="s">
        <v>14860</v>
      </c>
      <c r="AE3067" t="s">
        <v>52</v>
      </c>
    </row>
    <row r="3068" spans="1:31" hidden="1" x14ac:dyDescent="0.25">
      <c r="A3068" t="s">
        <v>14861</v>
      </c>
      <c r="B3068" t="s">
        <v>14862</v>
      </c>
      <c r="C3068" t="s">
        <v>14863</v>
      </c>
      <c r="F3068" t="s">
        <v>14864</v>
      </c>
      <c r="H3068" t="s">
        <v>14865</v>
      </c>
      <c r="I3068" t="s">
        <v>14866</v>
      </c>
      <c r="J3068" s="2">
        <v>234870</v>
      </c>
      <c r="K3068" s="2">
        <v>1000</v>
      </c>
      <c r="L3068" s="2">
        <v>15</v>
      </c>
      <c r="M3068" s="2">
        <v>0</v>
      </c>
      <c r="N3068" t="s">
        <v>14867</v>
      </c>
      <c r="O3068" t="s">
        <v>14865</v>
      </c>
      <c r="P3068" t="s">
        <v>14215</v>
      </c>
      <c r="Q3068" t="s">
        <v>10167</v>
      </c>
      <c r="S3068" t="s">
        <v>14868</v>
      </c>
      <c r="T3068" t="s">
        <v>189</v>
      </c>
      <c r="U3068" t="s">
        <v>45</v>
      </c>
      <c r="V3068" t="s">
        <v>46</v>
      </c>
      <c r="W3068" t="s">
        <v>14867</v>
      </c>
      <c r="X3068" t="s">
        <v>14865</v>
      </c>
      <c r="Y3068" t="s">
        <v>10167</v>
      </c>
      <c r="Z3068" t="s">
        <v>10168</v>
      </c>
      <c r="AA3068" t="s">
        <v>49</v>
      </c>
      <c r="AB3068" t="s">
        <v>50</v>
      </c>
      <c r="AC3068" s="2">
        <v>234870</v>
      </c>
      <c r="AD3068" t="s">
        <v>64</v>
      </c>
    </row>
    <row r="3069" spans="1:31" x14ac:dyDescent="0.25">
      <c r="A3069" t="s">
        <v>14869</v>
      </c>
      <c r="B3069" t="s">
        <v>14870</v>
      </c>
      <c r="C3069" t="s">
        <v>14870</v>
      </c>
      <c r="D3069" t="s">
        <v>847</v>
      </c>
      <c r="E3069" t="s">
        <v>848</v>
      </c>
      <c r="F3069" t="s">
        <v>14871</v>
      </c>
      <c r="G3069" t="s">
        <v>299</v>
      </c>
      <c r="H3069" t="s">
        <v>14872</v>
      </c>
      <c r="I3069" t="s">
        <v>14873</v>
      </c>
      <c r="J3069" s="2">
        <v>118230</v>
      </c>
      <c r="K3069" s="2">
        <v>500</v>
      </c>
      <c r="L3069" s="2">
        <v>21</v>
      </c>
      <c r="M3069" s="2">
        <v>0</v>
      </c>
      <c r="N3069" t="s">
        <v>14874</v>
      </c>
      <c r="O3069" t="s">
        <v>14872</v>
      </c>
      <c r="P3069" t="s">
        <v>14215</v>
      </c>
      <c r="Q3069" t="s">
        <v>10167</v>
      </c>
      <c r="S3069" t="s">
        <v>14875</v>
      </c>
      <c r="T3069" t="s">
        <v>792</v>
      </c>
      <c r="U3069" t="s">
        <v>45</v>
      </c>
      <c r="V3069" t="s">
        <v>46</v>
      </c>
      <c r="W3069" t="s">
        <v>14874</v>
      </c>
      <c r="X3069" t="s">
        <v>14872</v>
      </c>
      <c r="Y3069" t="s">
        <v>10167</v>
      </c>
      <c r="Z3069" t="s">
        <v>10168</v>
      </c>
      <c r="AA3069" t="s">
        <v>49</v>
      </c>
      <c r="AB3069" t="s">
        <v>50</v>
      </c>
      <c r="AC3069" s="2">
        <v>65908.37</v>
      </c>
      <c r="AD3069" t="s">
        <v>14876</v>
      </c>
      <c r="AE3069" t="s">
        <v>52</v>
      </c>
    </row>
    <row r="3070" spans="1:31" x14ac:dyDescent="0.25">
      <c r="A3070" t="s">
        <v>14877</v>
      </c>
      <c r="B3070" t="s">
        <v>14878</v>
      </c>
      <c r="C3070" t="s">
        <v>14878</v>
      </c>
      <c r="D3070" t="s">
        <v>553</v>
      </c>
      <c r="E3070" t="s">
        <v>167</v>
      </c>
      <c r="F3070" t="s">
        <v>14879</v>
      </c>
      <c r="G3070" t="s">
        <v>553</v>
      </c>
      <c r="H3070" t="s">
        <v>9937</v>
      </c>
      <c r="I3070" t="s">
        <v>14880</v>
      </c>
      <c r="J3070" s="2">
        <v>385393</v>
      </c>
      <c r="K3070" s="2">
        <v>1621</v>
      </c>
      <c r="L3070" s="2">
        <v>15</v>
      </c>
      <c r="M3070" s="2">
        <v>0</v>
      </c>
      <c r="N3070" t="s">
        <v>1362</v>
      </c>
      <c r="O3070" t="s">
        <v>1360</v>
      </c>
      <c r="P3070" t="s">
        <v>1421</v>
      </c>
      <c r="Q3070" t="s">
        <v>1422</v>
      </c>
      <c r="S3070" t="s">
        <v>14881</v>
      </c>
      <c r="T3070" t="s">
        <v>498</v>
      </c>
      <c r="U3070" t="s">
        <v>45</v>
      </c>
      <c r="V3070" t="s">
        <v>46</v>
      </c>
      <c r="W3070" t="s">
        <v>1362</v>
      </c>
      <c r="X3070" t="s">
        <v>1360</v>
      </c>
      <c r="Y3070" t="s">
        <v>1215</v>
      </c>
      <c r="Z3070" t="s">
        <v>1216</v>
      </c>
      <c r="AA3070" t="s">
        <v>49</v>
      </c>
      <c r="AB3070" t="s">
        <v>50</v>
      </c>
      <c r="AC3070" s="2">
        <v>4239.2</v>
      </c>
      <c r="AD3070" t="s">
        <v>14882</v>
      </c>
      <c r="AE3070" t="s">
        <v>52</v>
      </c>
    </row>
    <row r="3071" spans="1:31" x14ac:dyDescent="0.25">
      <c r="A3071" t="s">
        <v>14883</v>
      </c>
      <c r="B3071" t="s">
        <v>14884</v>
      </c>
      <c r="C3071" t="s">
        <v>14884</v>
      </c>
      <c r="D3071" t="s">
        <v>166</v>
      </c>
      <c r="E3071" t="s">
        <v>167</v>
      </c>
      <c r="F3071" t="s">
        <v>14885</v>
      </c>
      <c r="G3071" t="s">
        <v>166</v>
      </c>
      <c r="H3071" t="s">
        <v>14886</v>
      </c>
      <c r="I3071" t="s">
        <v>14887</v>
      </c>
      <c r="J3071" s="2">
        <v>354690</v>
      </c>
      <c r="K3071" s="2">
        <v>1500</v>
      </c>
      <c r="L3071" s="2">
        <v>30</v>
      </c>
      <c r="M3071" s="2">
        <v>0</v>
      </c>
      <c r="N3071" t="s">
        <v>14888</v>
      </c>
      <c r="O3071" t="s">
        <v>14886</v>
      </c>
      <c r="P3071" t="s">
        <v>941</v>
      </c>
      <c r="Q3071" t="s">
        <v>139</v>
      </c>
      <c r="S3071" t="s">
        <v>14889</v>
      </c>
      <c r="T3071" t="s">
        <v>498</v>
      </c>
      <c r="U3071" t="s">
        <v>45</v>
      </c>
      <c r="V3071" t="s">
        <v>46</v>
      </c>
      <c r="W3071" t="s">
        <v>14888</v>
      </c>
      <c r="X3071" t="s">
        <v>14886</v>
      </c>
      <c r="Y3071" t="s">
        <v>139</v>
      </c>
      <c r="Z3071" t="s">
        <v>140</v>
      </c>
      <c r="AA3071" t="s">
        <v>49</v>
      </c>
      <c r="AB3071" t="s">
        <v>50</v>
      </c>
      <c r="AC3071" s="2">
        <v>315402.96999999997</v>
      </c>
      <c r="AD3071" t="s">
        <v>14890</v>
      </c>
      <c r="AE3071" t="s">
        <v>52</v>
      </c>
    </row>
    <row r="3072" spans="1:31" x14ac:dyDescent="0.25">
      <c r="A3072" t="s">
        <v>14891</v>
      </c>
      <c r="B3072" t="s">
        <v>14892</v>
      </c>
      <c r="C3072" t="s">
        <v>14892</v>
      </c>
      <c r="D3072" t="s">
        <v>178</v>
      </c>
      <c r="E3072" t="s">
        <v>179</v>
      </c>
      <c r="F3072" t="s">
        <v>14893</v>
      </c>
      <c r="G3072" t="s">
        <v>178</v>
      </c>
      <c r="H3072" t="s">
        <v>14794</v>
      </c>
      <c r="I3072" t="s">
        <v>14894</v>
      </c>
      <c r="J3072" s="2">
        <v>1363992</v>
      </c>
      <c r="K3072" s="2">
        <v>5600</v>
      </c>
      <c r="L3072" s="2">
        <v>21</v>
      </c>
      <c r="M3072" s="2">
        <v>0</v>
      </c>
      <c r="N3072" t="s">
        <v>14796</v>
      </c>
      <c r="O3072" t="s">
        <v>14794</v>
      </c>
      <c r="P3072" t="s">
        <v>14215</v>
      </c>
      <c r="Q3072" t="s">
        <v>10167</v>
      </c>
      <c r="S3072" t="s">
        <v>14895</v>
      </c>
      <c r="T3072" t="s">
        <v>2687</v>
      </c>
      <c r="U3072" t="s">
        <v>45</v>
      </c>
      <c r="V3072" t="s">
        <v>46</v>
      </c>
      <c r="W3072" t="s">
        <v>14796</v>
      </c>
      <c r="X3072" t="s">
        <v>14798</v>
      </c>
      <c r="Y3072" t="s">
        <v>10167</v>
      </c>
      <c r="Z3072" t="s">
        <v>10168</v>
      </c>
      <c r="AA3072" t="s">
        <v>49</v>
      </c>
      <c r="AB3072" t="s">
        <v>50</v>
      </c>
      <c r="AC3072" s="2">
        <v>22222.98</v>
      </c>
      <c r="AD3072" t="s">
        <v>14896</v>
      </c>
      <c r="AE3072" t="s">
        <v>52</v>
      </c>
    </row>
    <row r="3073" spans="1:31" x14ac:dyDescent="0.25">
      <c r="A3073" t="s">
        <v>14897</v>
      </c>
      <c r="B3073" t="s">
        <v>14898</v>
      </c>
      <c r="C3073" t="s">
        <v>14898</v>
      </c>
      <c r="D3073" t="s">
        <v>299</v>
      </c>
      <c r="E3073" t="s">
        <v>167</v>
      </c>
      <c r="F3073" t="s">
        <v>14899</v>
      </c>
      <c r="G3073" t="s">
        <v>299</v>
      </c>
      <c r="H3073" t="s">
        <v>10141</v>
      </c>
      <c r="I3073" t="s">
        <v>14900</v>
      </c>
      <c r="J3073" s="2">
        <v>236840</v>
      </c>
      <c r="K3073" s="2">
        <v>1000</v>
      </c>
      <c r="L3073" s="2">
        <v>30</v>
      </c>
      <c r="M3073" s="2">
        <v>0</v>
      </c>
      <c r="N3073" t="s">
        <v>7936</v>
      </c>
      <c r="O3073" t="s">
        <v>7935</v>
      </c>
      <c r="P3073" t="s">
        <v>10093</v>
      </c>
      <c r="Q3073" t="s">
        <v>10094</v>
      </c>
      <c r="S3073" t="s">
        <v>14901</v>
      </c>
      <c r="T3073" t="s">
        <v>2687</v>
      </c>
      <c r="U3073" t="s">
        <v>45</v>
      </c>
      <c r="V3073" t="s">
        <v>46</v>
      </c>
      <c r="W3073" t="s">
        <v>7936</v>
      </c>
      <c r="X3073" t="s">
        <v>7935</v>
      </c>
      <c r="Y3073" t="s">
        <v>7938</v>
      </c>
      <c r="Z3073" t="s">
        <v>7939</v>
      </c>
      <c r="AA3073" t="s">
        <v>49</v>
      </c>
      <c r="AB3073" t="s">
        <v>50</v>
      </c>
      <c r="AC3073" s="2">
        <v>9488.0300000000007</v>
      </c>
      <c r="AD3073" t="s">
        <v>14902</v>
      </c>
      <c r="AE3073" t="s">
        <v>52</v>
      </c>
    </row>
    <row r="3074" spans="1:31" x14ac:dyDescent="0.25">
      <c r="A3074" t="s">
        <v>14903</v>
      </c>
      <c r="B3074" t="s">
        <v>14904</v>
      </c>
      <c r="C3074" t="s">
        <v>14904</v>
      </c>
      <c r="D3074" t="s">
        <v>125</v>
      </c>
      <c r="E3074" t="s">
        <v>126</v>
      </c>
      <c r="F3074" t="s">
        <v>14905</v>
      </c>
      <c r="G3074" t="s">
        <v>125</v>
      </c>
      <c r="H3074" t="s">
        <v>2647</v>
      </c>
      <c r="I3074" t="s">
        <v>13803</v>
      </c>
      <c r="J3074" s="2">
        <v>1137580</v>
      </c>
      <c r="K3074" s="2">
        <v>4600</v>
      </c>
      <c r="L3074" s="2">
        <v>1</v>
      </c>
      <c r="M3074" s="2">
        <v>0</v>
      </c>
      <c r="N3074" t="s">
        <v>1362</v>
      </c>
      <c r="O3074" t="s">
        <v>1360</v>
      </c>
      <c r="P3074" t="s">
        <v>1421</v>
      </c>
      <c r="Q3074" t="s">
        <v>1422</v>
      </c>
      <c r="S3074" t="s">
        <v>14906</v>
      </c>
      <c r="T3074" t="s">
        <v>478</v>
      </c>
      <c r="U3074" t="s">
        <v>45</v>
      </c>
      <c r="V3074" t="s">
        <v>46</v>
      </c>
      <c r="W3074" t="s">
        <v>1362</v>
      </c>
      <c r="X3074" t="s">
        <v>1360</v>
      </c>
      <c r="Y3074" t="s">
        <v>1215</v>
      </c>
      <c r="Z3074" t="s">
        <v>1216</v>
      </c>
      <c r="AA3074" t="s">
        <v>49</v>
      </c>
      <c r="AB3074" t="s">
        <v>50</v>
      </c>
      <c r="AC3074" s="2">
        <v>6129.54</v>
      </c>
      <c r="AD3074" t="s">
        <v>14907</v>
      </c>
      <c r="AE3074" t="s">
        <v>115</v>
      </c>
    </row>
    <row r="3075" spans="1:31" x14ac:dyDescent="0.25">
      <c r="A3075" t="s">
        <v>14908</v>
      </c>
      <c r="B3075" t="s">
        <v>14909</v>
      </c>
      <c r="C3075" t="s">
        <v>14910</v>
      </c>
      <c r="D3075" t="s">
        <v>125</v>
      </c>
      <c r="E3075" t="s">
        <v>126</v>
      </c>
      <c r="F3075" t="s">
        <v>11141</v>
      </c>
      <c r="G3075" t="s">
        <v>344</v>
      </c>
      <c r="H3075" t="s">
        <v>1522</v>
      </c>
      <c r="I3075" t="s">
        <v>11143</v>
      </c>
      <c r="J3075" s="2">
        <v>380400</v>
      </c>
      <c r="K3075" s="2">
        <v>1600</v>
      </c>
      <c r="L3075" s="2">
        <v>15</v>
      </c>
      <c r="M3075" s="2">
        <v>0</v>
      </c>
      <c r="N3075" t="s">
        <v>1524</v>
      </c>
      <c r="O3075" t="s">
        <v>1525</v>
      </c>
      <c r="P3075" t="s">
        <v>120</v>
      </c>
      <c r="Q3075" t="s">
        <v>121</v>
      </c>
      <c r="S3075" t="s">
        <v>14911</v>
      </c>
      <c r="T3075" t="s">
        <v>478</v>
      </c>
      <c r="U3075" t="s">
        <v>45</v>
      </c>
      <c r="V3075" t="s">
        <v>46</v>
      </c>
      <c r="W3075" t="s">
        <v>1524</v>
      </c>
      <c r="X3075" t="s">
        <v>1525</v>
      </c>
      <c r="Y3075" t="s">
        <v>121</v>
      </c>
      <c r="Z3075" t="s">
        <v>94</v>
      </c>
      <c r="AA3075" t="s">
        <v>49</v>
      </c>
      <c r="AB3075" t="s">
        <v>50</v>
      </c>
      <c r="AC3075" s="2">
        <v>380400</v>
      </c>
      <c r="AD3075" t="s">
        <v>64</v>
      </c>
    </row>
    <row r="3076" spans="1:31" hidden="1" x14ac:dyDescent="0.25">
      <c r="A3076" t="s">
        <v>14912</v>
      </c>
      <c r="B3076" t="s">
        <v>14913</v>
      </c>
      <c r="C3076" t="s">
        <v>14913</v>
      </c>
      <c r="F3076" t="s">
        <v>14914</v>
      </c>
      <c r="H3076" t="s">
        <v>14915</v>
      </c>
      <c r="I3076" t="s">
        <v>14916</v>
      </c>
      <c r="J3076" s="2">
        <v>241580</v>
      </c>
      <c r="K3076" s="2">
        <v>1000</v>
      </c>
      <c r="L3076" s="2">
        <v>21</v>
      </c>
      <c r="M3076" s="2">
        <v>0</v>
      </c>
      <c r="N3076" t="s">
        <v>14917</v>
      </c>
      <c r="O3076" t="s">
        <v>14915</v>
      </c>
      <c r="P3076" t="s">
        <v>14215</v>
      </c>
      <c r="Q3076" t="s">
        <v>10167</v>
      </c>
      <c r="S3076" t="s">
        <v>14918</v>
      </c>
      <c r="T3076" t="s">
        <v>888</v>
      </c>
      <c r="U3076" t="s">
        <v>45</v>
      </c>
      <c r="V3076" t="s">
        <v>46</v>
      </c>
      <c r="W3076" t="s">
        <v>14917</v>
      </c>
      <c r="X3076" t="s">
        <v>14915</v>
      </c>
      <c r="Y3076" t="s">
        <v>10167</v>
      </c>
      <c r="Z3076" t="s">
        <v>10168</v>
      </c>
      <c r="AA3076" t="s">
        <v>49</v>
      </c>
      <c r="AB3076" t="s">
        <v>50</v>
      </c>
      <c r="AC3076" s="2">
        <v>241580</v>
      </c>
      <c r="AD3076" t="s">
        <v>64</v>
      </c>
    </row>
    <row r="3077" spans="1:31" hidden="1" x14ac:dyDescent="0.25">
      <c r="A3077" t="s">
        <v>14919</v>
      </c>
      <c r="B3077" t="s">
        <v>14920</v>
      </c>
      <c r="C3077" t="s">
        <v>14920</v>
      </c>
      <c r="F3077" t="s">
        <v>14921</v>
      </c>
      <c r="H3077" t="s">
        <v>10576</v>
      </c>
      <c r="I3077" t="s">
        <v>14922</v>
      </c>
      <c r="J3077" s="2">
        <v>241580</v>
      </c>
      <c r="K3077" s="2">
        <v>1000</v>
      </c>
      <c r="L3077" s="2">
        <v>21</v>
      </c>
      <c r="M3077" s="2">
        <v>0</v>
      </c>
      <c r="N3077" t="s">
        <v>10572</v>
      </c>
      <c r="O3077" t="s">
        <v>10571</v>
      </c>
      <c r="P3077" t="s">
        <v>14215</v>
      </c>
      <c r="Q3077" t="s">
        <v>10167</v>
      </c>
      <c r="S3077" t="s">
        <v>14923</v>
      </c>
      <c r="T3077" t="s">
        <v>888</v>
      </c>
      <c r="U3077" t="s">
        <v>45</v>
      </c>
      <c r="V3077" t="s">
        <v>46</v>
      </c>
      <c r="W3077" t="s">
        <v>10572</v>
      </c>
      <c r="X3077" t="s">
        <v>10571</v>
      </c>
      <c r="Y3077" t="s">
        <v>10167</v>
      </c>
      <c r="Z3077" t="s">
        <v>10168</v>
      </c>
      <c r="AA3077" t="s">
        <v>49</v>
      </c>
      <c r="AB3077" t="s">
        <v>50</v>
      </c>
      <c r="AC3077" s="2">
        <v>241580</v>
      </c>
      <c r="AD3077" t="s">
        <v>64</v>
      </c>
    </row>
    <row r="3078" spans="1:31" hidden="1" x14ac:dyDescent="0.25">
      <c r="A3078" t="s">
        <v>14924</v>
      </c>
      <c r="B3078" t="s">
        <v>14925</v>
      </c>
      <c r="C3078" t="s">
        <v>14925</v>
      </c>
      <c r="F3078" t="s">
        <v>14926</v>
      </c>
      <c r="H3078" t="s">
        <v>10163</v>
      </c>
      <c r="I3078" t="s">
        <v>14922</v>
      </c>
      <c r="J3078" s="2">
        <v>241580</v>
      </c>
      <c r="K3078" s="2">
        <v>1000</v>
      </c>
      <c r="L3078" s="2">
        <v>21</v>
      </c>
      <c r="M3078" s="2">
        <v>0</v>
      </c>
      <c r="N3078" t="s">
        <v>10165</v>
      </c>
      <c r="O3078" t="s">
        <v>10163</v>
      </c>
      <c r="P3078" t="s">
        <v>14215</v>
      </c>
      <c r="Q3078" t="s">
        <v>10167</v>
      </c>
      <c r="S3078" t="s">
        <v>14927</v>
      </c>
      <c r="T3078" t="s">
        <v>888</v>
      </c>
      <c r="U3078" t="s">
        <v>45</v>
      </c>
      <c r="V3078" t="s">
        <v>46</v>
      </c>
      <c r="W3078" t="s">
        <v>10165</v>
      </c>
      <c r="X3078" t="s">
        <v>10163</v>
      </c>
      <c r="Y3078" t="s">
        <v>10167</v>
      </c>
      <c r="Z3078" t="s">
        <v>10168</v>
      </c>
      <c r="AA3078" t="s">
        <v>49</v>
      </c>
      <c r="AB3078" t="s">
        <v>50</v>
      </c>
      <c r="AC3078" s="2">
        <v>241580</v>
      </c>
      <c r="AD3078" t="s">
        <v>64</v>
      </c>
    </row>
    <row r="3079" spans="1:31" hidden="1" x14ac:dyDescent="0.25">
      <c r="A3079" t="s">
        <v>14928</v>
      </c>
      <c r="B3079" t="s">
        <v>14929</v>
      </c>
      <c r="C3079" t="s">
        <v>14929</v>
      </c>
      <c r="F3079" t="s">
        <v>14930</v>
      </c>
      <c r="H3079" t="s">
        <v>10576</v>
      </c>
      <c r="I3079" t="s">
        <v>14931</v>
      </c>
      <c r="J3079" s="2">
        <v>241580</v>
      </c>
      <c r="K3079" s="2">
        <v>1000</v>
      </c>
      <c r="L3079" s="2">
        <v>21</v>
      </c>
      <c r="M3079" s="2">
        <v>0</v>
      </c>
      <c r="N3079" t="s">
        <v>10572</v>
      </c>
      <c r="O3079" t="s">
        <v>10571</v>
      </c>
      <c r="P3079" t="s">
        <v>14215</v>
      </c>
      <c r="Q3079" t="s">
        <v>10167</v>
      </c>
      <c r="S3079" t="s">
        <v>14932</v>
      </c>
      <c r="T3079" t="s">
        <v>888</v>
      </c>
      <c r="U3079" t="s">
        <v>45</v>
      </c>
      <c r="V3079" t="s">
        <v>46</v>
      </c>
      <c r="W3079" t="s">
        <v>10572</v>
      </c>
      <c r="X3079" t="s">
        <v>10571</v>
      </c>
      <c r="Y3079" t="s">
        <v>10167</v>
      </c>
      <c r="Z3079" t="s">
        <v>10168</v>
      </c>
      <c r="AA3079" t="s">
        <v>49</v>
      </c>
      <c r="AB3079" t="s">
        <v>50</v>
      </c>
      <c r="AC3079" s="2">
        <v>241580</v>
      </c>
      <c r="AD3079" t="s">
        <v>64</v>
      </c>
    </row>
    <row r="3080" spans="1:31" hidden="1" x14ac:dyDescent="0.25">
      <c r="A3080" t="s">
        <v>14933</v>
      </c>
      <c r="B3080" t="s">
        <v>14934</v>
      </c>
      <c r="C3080" t="s">
        <v>14934</v>
      </c>
      <c r="F3080" t="s">
        <v>14935</v>
      </c>
      <c r="H3080" t="s">
        <v>14936</v>
      </c>
      <c r="I3080" t="s">
        <v>14937</v>
      </c>
      <c r="J3080" s="2">
        <v>241580</v>
      </c>
      <c r="K3080" s="2">
        <v>1000</v>
      </c>
      <c r="L3080" s="2">
        <v>21</v>
      </c>
      <c r="M3080" s="2">
        <v>0</v>
      </c>
      <c r="N3080" t="s">
        <v>14938</v>
      </c>
      <c r="O3080" t="s">
        <v>14936</v>
      </c>
      <c r="P3080" t="s">
        <v>14215</v>
      </c>
      <c r="Q3080" t="s">
        <v>10167</v>
      </c>
      <c r="S3080" t="s">
        <v>14939</v>
      </c>
      <c r="T3080" t="s">
        <v>888</v>
      </c>
      <c r="U3080" t="s">
        <v>45</v>
      </c>
      <c r="V3080" t="s">
        <v>46</v>
      </c>
      <c r="W3080" t="s">
        <v>14938</v>
      </c>
      <c r="X3080" t="s">
        <v>14936</v>
      </c>
      <c r="Y3080" t="s">
        <v>10167</v>
      </c>
      <c r="Z3080" t="s">
        <v>10168</v>
      </c>
      <c r="AA3080" t="s">
        <v>49</v>
      </c>
      <c r="AB3080" t="s">
        <v>50</v>
      </c>
      <c r="AC3080" s="2">
        <v>241580</v>
      </c>
      <c r="AD3080" t="s">
        <v>64</v>
      </c>
    </row>
    <row r="3081" spans="1:31" x14ac:dyDescent="0.25">
      <c r="A3081" t="s">
        <v>14940</v>
      </c>
      <c r="B3081" t="s">
        <v>14941</v>
      </c>
      <c r="C3081" t="s">
        <v>14941</v>
      </c>
      <c r="D3081" t="s">
        <v>35</v>
      </c>
      <c r="E3081" t="s">
        <v>36</v>
      </c>
      <c r="F3081" t="s">
        <v>14942</v>
      </c>
      <c r="G3081" t="s">
        <v>35</v>
      </c>
      <c r="H3081" t="s">
        <v>12118</v>
      </c>
      <c r="I3081" t="s">
        <v>9378</v>
      </c>
      <c r="J3081" s="2">
        <v>445140</v>
      </c>
      <c r="K3081" s="2">
        <v>1800</v>
      </c>
      <c r="L3081" s="2">
        <v>15</v>
      </c>
      <c r="M3081" s="2">
        <v>0</v>
      </c>
      <c r="N3081" t="s">
        <v>80</v>
      </c>
      <c r="O3081" t="s">
        <v>81</v>
      </c>
      <c r="P3081" t="s">
        <v>82</v>
      </c>
      <c r="Q3081" t="s">
        <v>83</v>
      </c>
      <c r="S3081" t="s">
        <v>14943</v>
      </c>
      <c r="T3081" t="s">
        <v>888</v>
      </c>
      <c r="U3081" t="s">
        <v>45</v>
      </c>
      <c r="V3081" t="s">
        <v>46</v>
      </c>
      <c r="W3081" t="s">
        <v>80</v>
      </c>
      <c r="X3081" t="s">
        <v>81</v>
      </c>
      <c r="Y3081" t="s">
        <v>85</v>
      </c>
      <c r="Z3081" t="s">
        <v>86</v>
      </c>
      <c r="AA3081" t="s">
        <v>49</v>
      </c>
      <c r="AB3081" t="s">
        <v>50</v>
      </c>
      <c r="AC3081" s="2">
        <v>52775.83</v>
      </c>
      <c r="AD3081" t="s">
        <v>14944</v>
      </c>
      <c r="AE3081" t="s">
        <v>52</v>
      </c>
    </row>
    <row r="3082" spans="1:31" x14ac:dyDescent="0.25">
      <c r="A3082" t="s">
        <v>14945</v>
      </c>
      <c r="B3082" t="s">
        <v>14946</v>
      </c>
      <c r="C3082" t="s">
        <v>14946</v>
      </c>
      <c r="D3082" t="s">
        <v>297</v>
      </c>
      <c r="E3082" t="s">
        <v>167</v>
      </c>
      <c r="F3082" t="s">
        <v>14947</v>
      </c>
      <c r="G3082" t="s">
        <v>297</v>
      </c>
      <c r="H3082" t="s">
        <v>10576</v>
      </c>
      <c r="I3082" t="s">
        <v>14948</v>
      </c>
      <c r="J3082" s="2">
        <v>241580</v>
      </c>
      <c r="K3082" s="2">
        <v>1000</v>
      </c>
      <c r="L3082" s="2">
        <v>21</v>
      </c>
      <c r="M3082" s="2">
        <v>0</v>
      </c>
      <c r="N3082" t="s">
        <v>10572</v>
      </c>
      <c r="O3082" t="s">
        <v>10571</v>
      </c>
      <c r="P3082" t="s">
        <v>14215</v>
      </c>
      <c r="Q3082" t="s">
        <v>10167</v>
      </c>
      <c r="S3082" t="s">
        <v>14949</v>
      </c>
      <c r="T3082" t="s">
        <v>888</v>
      </c>
      <c r="U3082" t="s">
        <v>45</v>
      </c>
      <c r="V3082" t="s">
        <v>46</v>
      </c>
      <c r="W3082" t="s">
        <v>10572</v>
      </c>
      <c r="X3082" t="s">
        <v>10571</v>
      </c>
      <c r="Y3082" t="s">
        <v>10167</v>
      </c>
      <c r="Z3082" t="s">
        <v>10168</v>
      </c>
      <c r="AA3082" t="s">
        <v>49</v>
      </c>
      <c r="AB3082" t="s">
        <v>50</v>
      </c>
      <c r="AC3082" s="2">
        <v>192880.72</v>
      </c>
      <c r="AD3082" t="s">
        <v>14950</v>
      </c>
      <c r="AE3082" t="s">
        <v>52</v>
      </c>
    </row>
    <row r="3083" spans="1:31" x14ac:dyDescent="0.25">
      <c r="A3083" t="s">
        <v>14951</v>
      </c>
      <c r="B3083" t="s">
        <v>7199</v>
      </c>
      <c r="C3083" t="s">
        <v>7199</v>
      </c>
      <c r="D3083" t="s">
        <v>297</v>
      </c>
      <c r="E3083" t="s">
        <v>167</v>
      </c>
      <c r="F3083" t="s">
        <v>14952</v>
      </c>
      <c r="G3083" t="s">
        <v>297</v>
      </c>
      <c r="H3083" t="s">
        <v>10576</v>
      </c>
      <c r="I3083" t="s">
        <v>14953</v>
      </c>
      <c r="J3083" s="2">
        <v>241580</v>
      </c>
      <c r="K3083" s="2">
        <v>1000</v>
      </c>
      <c r="L3083" s="2">
        <v>21</v>
      </c>
      <c r="M3083" s="2">
        <v>0</v>
      </c>
      <c r="N3083" t="s">
        <v>10572</v>
      </c>
      <c r="O3083" t="s">
        <v>10571</v>
      </c>
      <c r="P3083" t="s">
        <v>14215</v>
      </c>
      <c r="Q3083" t="s">
        <v>10167</v>
      </c>
      <c r="S3083" t="s">
        <v>14954</v>
      </c>
      <c r="T3083" t="s">
        <v>888</v>
      </c>
      <c r="U3083" t="s">
        <v>45</v>
      </c>
      <c r="V3083" t="s">
        <v>46</v>
      </c>
      <c r="W3083" t="s">
        <v>10572</v>
      </c>
      <c r="X3083" t="s">
        <v>10571</v>
      </c>
      <c r="Y3083" t="s">
        <v>10167</v>
      </c>
      <c r="Z3083" t="s">
        <v>10168</v>
      </c>
      <c r="AA3083" t="s">
        <v>49</v>
      </c>
      <c r="AB3083" t="s">
        <v>50</v>
      </c>
      <c r="AC3083" s="2">
        <v>217145.03</v>
      </c>
      <c r="AD3083" t="s">
        <v>14955</v>
      </c>
      <c r="AE3083" t="s">
        <v>52</v>
      </c>
    </row>
    <row r="3084" spans="1:31" x14ac:dyDescent="0.25">
      <c r="A3084" t="s">
        <v>14956</v>
      </c>
      <c r="B3084" t="s">
        <v>14957</v>
      </c>
      <c r="C3084" t="s">
        <v>14957</v>
      </c>
      <c r="D3084" t="s">
        <v>35</v>
      </c>
      <c r="E3084" t="s">
        <v>36</v>
      </c>
      <c r="F3084" t="s">
        <v>14958</v>
      </c>
      <c r="G3084" t="s">
        <v>35</v>
      </c>
      <c r="H3084" t="s">
        <v>13682</v>
      </c>
      <c r="I3084" t="s">
        <v>14959</v>
      </c>
      <c r="J3084" s="2">
        <v>243110</v>
      </c>
      <c r="K3084" s="2">
        <v>1000</v>
      </c>
      <c r="L3084" s="2">
        <v>15</v>
      </c>
      <c r="M3084" s="2">
        <v>0</v>
      </c>
      <c r="N3084" t="s">
        <v>5119</v>
      </c>
      <c r="O3084" t="s">
        <v>1216</v>
      </c>
      <c r="P3084" t="s">
        <v>1421</v>
      </c>
      <c r="Q3084" t="s">
        <v>1422</v>
      </c>
      <c r="S3084" t="s">
        <v>14960</v>
      </c>
      <c r="T3084" t="s">
        <v>166</v>
      </c>
      <c r="U3084" t="s">
        <v>45</v>
      </c>
      <c r="V3084" t="s">
        <v>46</v>
      </c>
      <c r="W3084" t="s">
        <v>5119</v>
      </c>
      <c r="X3084" t="s">
        <v>1216</v>
      </c>
      <c r="Y3084" t="s">
        <v>1215</v>
      </c>
      <c r="Z3084" t="s">
        <v>1216</v>
      </c>
      <c r="AA3084" t="s">
        <v>49</v>
      </c>
      <c r="AB3084" t="s">
        <v>50</v>
      </c>
      <c r="AC3084" s="2">
        <v>134386.34</v>
      </c>
      <c r="AD3084" t="s">
        <v>14961</v>
      </c>
      <c r="AE3084" t="s">
        <v>52</v>
      </c>
    </row>
    <row r="3085" spans="1:31" x14ac:dyDescent="0.25">
      <c r="A3085" t="s">
        <v>14962</v>
      </c>
      <c r="B3085" t="s">
        <v>14963</v>
      </c>
      <c r="C3085" t="s">
        <v>14963</v>
      </c>
      <c r="D3085" t="s">
        <v>35</v>
      </c>
      <c r="E3085" t="s">
        <v>36</v>
      </c>
      <c r="F3085" t="s">
        <v>14964</v>
      </c>
      <c r="G3085" t="s">
        <v>35</v>
      </c>
      <c r="H3085" t="s">
        <v>1444</v>
      </c>
      <c r="I3085" t="s">
        <v>14965</v>
      </c>
      <c r="J3085" s="2">
        <v>247410</v>
      </c>
      <c r="K3085" s="2">
        <v>1000</v>
      </c>
      <c r="L3085" s="2">
        <v>15</v>
      </c>
      <c r="M3085" s="2">
        <v>0</v>
      </c>
      <c r="N3085" t="s">
        <v>1064</v>
      </c>
      <c r="O3085" t="s">
        <v>1062</v>
      </c>
      <c r="P3085" t="s">
        <v>304</v>
      </c>
      <c r="Q3085" t="s">
        <v>72</v>
      </c>
      <c r="S3085" t="s">
        <v>14966</v>
      </c>
      <c r="T3085" t="s">
        <v>166</v>
      </c>
      <c r="U3085" t="s">
        <v>45</v>
      </c>
      <c r="V3085" t="s">
        <v>46</v>
      </c>
      <c r="W3085" t="s">
        <v>1064</v>
      </c>
      <c r="X3085" t="s">
        <v>1062</v>
      </c>
      <c r="Y3085" t="s">
        <v>72</v>
      </c>
      <c r="Z3085" t="s">
        <v>68</v>
      </c>
      <c r="AA3085" t="s">
        <v>49</v>
      </c>
      <c r="AB3085" t="s">
        <v>50</v>
      </c>
      <c r="AC3085" s="2">
        <v>67056.52</v>
      </c>
      <c r="AD3085" t="s">
        <v>14967</v>
      </c>
      <c r="AE3085" t="s">
        <v>52</v>
      </c>
    </row>
    <row r="3086" spans="1:31" x14ac:dyDescent="0.25">
      <c r="A3086" t="s">
        <v>14968</v>
      </c>
      <c r="B3086" t="s">
        <v>14969</v>
      </c>
      <c r="C3086" t="s">
        <v>14970</v>
      </c>
      <c r="D3086" t="s">
        <v>178</v>
      </c>
      <c r="E3086" t="s">
        <v>179</v>
      </c>
      <c r="F3086" t="s">
        <v>14971</v>
      </c>
      <c r="G3086" t="s">
        <v>178</v>
      </c>
      <c r="H3086" t="s">
        <v>932</v>
      </c>
      <c r="I3086" t="s">
        <v>14972</v>
      </c>
      <c r="J3086" s="2">
        <v>243110</v>
      </c>
      <c r="K3086" s="2">
        <v>1000</v>
      </c>
      <c r="L3086" s="2">
        <v>15</v>
      </c>
      <c r="M3086" s="2">
        <v>0</v>
      </c>
      <c r="N3086" t="s">
        <v>933</v>
      </c>
      <c r="O3086" t="s">
        <v>932</v>
      </c>
      <c r="P3086" t="s">
        <v>103</v>
      </c>
      <c r="Q3086" t="s">
        <v>104</v>
      </c>
      <c r="S3086" t="s">
        <v>14973</v>
      </c>
      <c r="T3086" t="s">
        <v>344</v>
      </c>
      <c r="U3086" t="s">
        <v>45</v>
      </c>
      <c r="V3086" t="s">
        <v>46</v>
      </c>
      <c r="W3086" t="s">
        <v>933</v>
      </c>
      <c r="X3086" t="s">
        <v>932</v>
      </c>
      <c r="Y3086" t="s">
        <v>279</v>
      </c>
      <c r="Z3086" t="s">
        <v>280</v>
      </c>
      <c r="AA3086" t="s">
        <v>49</v>
      </c>
      <c r="AB3086" t="s">
        <v>50</v>
      </c>
      <c r="AC3086" s="2">
        <v>170531.46</v>
      </c>
      <c r="AD3086" t="s">
        <v>14974</v>
      </c>
      <c r="AE3086" t="s">
        <v>52</v>
      </c>
    </row>
    <row r="3087" spans="1:31" x14ac:dyDescent="0.25">
      <c r="A3087" t="s">
        <v>14975</v>
      </c>
      <c r="B3087" t="s">
        <v>14976</v>
      </c>
      <c r="C3087" t="s">
        <v>14976</v>
      </c>
      <c r="D3087" t="s">
        <v>344</v>
      </c>
      <c r="E3087" t="s">
        <v>167</v>
      </c>
      <c r="F3087" t="s">
        <v>14977</v>
      </c>
      <c r="G3087" t="s">
        <v>344</v>
      </c>
      <c r="H3087" t="s">
        <v>1123</v>
      </c>
      <c r="I3087" t="s">
        <v>14978</v>
      </c>
      <c r="J3087" s="2">
        <v>243110</v>
      </c>
      <c r="K3087" s="2">
        <v>1000</v>
      </c>
      <c r="L3087" s="2">
        <v>1</v>
      </c>
      <c r="M3087" s="2">
        <v>0</v>
      </c>
      <c r="N3087" t="s">
        <v>1900</v>
      </c>
      <c r="O3087" t="s">
        <v>1901</v>
      </c>
      <c r="P3087" t="s">
        <v>158</v>
      </c>
      <c r="Q3087" t="s">
        <v>159</v>
      </c>
      <c r="S3087" t="s">
        <v>14979</v>
      </c>
      <c r="T3087" t="s">
        <v>344</v>
      </c>
      <c r="U3087" t="s">
        <v>45</v>
      </c>
      <c r="V3087" t="s">
        <v>46</v>
      </c>
      <c r="W3087" t="s">
        <v>1900</v>
      </c>
      <c r="X3087" t="s">
        <v>1901</v>
      </c>
      <c r="Y3087" t="s">
        <v>161</v>
      </c>
      <c r="Z3087" t="s">
        <v>162</v>
      </c>
      <c r="AA3087" t="s">
        <v>49</v>
      </c>
      <c r="AB3087" t="s">
        <v>50</v>
      </c>
      <c r="AC3087" s="2">
        <v>242989.95</v>
      </c>
      <c r="AD3087" t="s">
        <v>14980</v>
      </c>
      <c r="AE3087" t="s">
        <v>115</v>
      </c>
    </row>
    <row r="3088" spans="1:31" x14ac:dyDescent="0.25">
      <c r="A3088" t="s">
        <v>14981</v>
      </c>
      <c r="B3088" t="s">
        <v>14982</v>
      </c>
      <c r="C3088" t="s">
        <v>14982</v>
      </c>
      <c r="D3088" t="s">
        <v>153</v>
      </c>
      <c r="E3088" t="s">
        <v>272</v>
      </c>
      <c r="F3088" t="s">
        <v>14983</v>
      </c>
      <c r="G3088" t="s">
        <v>153</v>
      </c>
      <c r="H3088" t="s">
        <v>1444</v>
      </c>
      <c r="I3088" t="s">
        <v>14984</v>
      </c>
      <c r="J3088" s="2">
        <v>170177</v>
      </c>
      <c r="K3088" s="2">
        <v>700</v>
      </c>
      <c r="L3088" s="2">
        <v>21</v>
      </c>
      <c r="M3088" s="2">
        <v>0</v>
      </c>
      <c r="N3088" t="s">
        <v>1064</v>
      </c>
      <c r="O3088" t="s">
        <v>1062</v>
      </c>
      <c r="P3088" t="s">
        <v>304</v>
      </c>
      <c r="Q3088" t="s">
        <v>72</v>
      </c>
      <c r="S3088" t="s">
        <v>14985</v>
      </c>
      <c r="T3088" t="s">
        <v>299</v>
      </c>
      <c r="U3088" t="s">
        <v>45</v>
      </c>
      <c r="V3088" t="s">
        <v>46</v>
      </c>
      <c r="W3088" t="s">
        <v>1064</v>
      </c>
      <c r="X3088" t="s">
        <v>1062</v>
      </c>
      <c r="Y3088" t="s">
        <v>72</v>
      </c>
      <c r="Z3088" t="s">
        <v>68</v>
      </c>
      <c r="AA3088" t="s">
        <v>49</v>
      </c>
      <c r="AB3088" t="s">
        <v>50</v>
      </c>
      <c r="AC3088" s="2">
        <v>143509.70000000001</v>
      </c>
      <c r="AD3088" t="s">
        <v>14986</v>
      </c>
      <c r="AE3088" t="s">
        <v>52</v>
      </c>
    </row>
    <row r="3089" spans="1:31" x14ac:dyDescent="0.25">
      <c r="A3089" t="s">
        <v>14987</v>
      </c>
      <c r="B3089" t="s">
        <v>14988</v>
      </c>
      <c r="C3089" t="s">
        <v>14988</v>
      </c>
      <c r="D3089" t="s">
        <v>297</v>
      </c>
      <c r="E3089" t="s">
        <v>167</v>
      </c>
      <c r="F3089" t="s">
        <v>14989</v>
      </c>
      <c r="G3089" t="s">
        <v>297</v>
      </c>
      <c r="H3089" t="s">
        <v>10576</v>
      </c>
      <c r="I3089" t="s">
        <v>14990</v>
      </c>
      <c r="J3089" s="2">
        <v>243110</v>
      </c>
      <c r="K3089" s="2">
        <v>1000</v>
      </c>
      <c r="L3089" s="2">
        <v>21</v>
      </c>
      <c r="M3089" s="2">
        <v>0</v>
      </c>
      <c r="N3089" t="s">
        <v>10572</v>
      </c>
      <c r="O3089" t="s">
        <v>10571</v>
      </c>
      <c r="P3089" t="s">
        <v>14215</v>
      </c>
      <c r="Q3089" t="s">
        <v>10167</v>
      </c>
      <c r="S3089" t="s">
        <v>14991</v>
      </c>
      <c r="T3089" t="s">
        <v>299</v>
      </c>
      <c r="U3089" t="s">
        <v>45</v>
      </c>
      <c r="V3089" t="s">
        <v>46</v>
      </c>
      <c r="W3089" t="s">
        <v>10572</v>
      </c>
      <c r="X3089" t="s">
        <v>10571</v>
      </c>
      <c r="Y3089" t="s">
        <v>10167</v>
      </c>
      <c r="Z3089" t="s">
        <v>10168</v>
      </c>
      <c r="AA3089" t="s">
        <v>49</v>
      </c>
      <c r="AB3089" t="s">
        <v>50</v>
      </c>
      <c r="AC3089" s="2">
        <v>218120.95999999999</v>
      </c>
      <c r="AD3089" t="s">
        <v>14992</v>
      </c>
      <c r="AE3089" t="s">
        <v>52</v>
      </c>
    </row>
    <row r="3090" spans="1:31" hidden="1" x14ac:dyDescent="0.25">
      <c r="A3090" t="s">
        <v>14993</v>
      </c>
      <c r="B3090" t="s">
        <v>14994</v>
      </c>
      <c r="C3090" t="s">
        <v>14995</v>
      </c>
      <c r="F3090" t="s">
        <v>14996</v>
      </c>
      <c r="H3090" t="s">
        <v>14670</v>
      </c>
      <c r="I3090" t="s">
        <v>14894</v>
      </c>
      <c r="J3090" s="2">
        <v>243570</v>
      </c>
      <c r="K3090" s="2">
        <v>1000</v>
      </c>
      <c r="L3090" s="2">
        <v>21</v>
      </c>
      <c r="M3090" s="2">
        <v>0</v>
      </c>
      <c r="N3090" t="s">
        <v>14672</v>
      </c>
      <c r="O3090" t="s">
        <v>14673</v>
      </c>
      <c r="P3090" t="s">
        <v>14215</v>
      </c>
      <c r="Q3090" t="s">
        <v>10167</v>
      </c>
      <c r="S3090" t="s">
        <v>14997</v>
      </c>
      <c r="T3090" t="s">
        <v>297</v>
      </c>
      <c r="U3090" t="s">
        <v>45</v>
      </c>
      <c r="V3090" t="s">
        <v>46</v>
      </c>
      <c r="W3090" t="s">
        <v>14672</v>
      </c>
      <c r="X3090" t="s">
        <v>14673</v>
      </c>
      <c r="Y3090" t="s">
        <v>10167</v>
      </c>
      <c r="Z3090" t="s">
        <v>10168</v>
      </c>
      <c r="AA3090" t="s">
        <v>49</v>
      </c>
      <c r="AB3090" t="s">
        <v>50</v>
      </c>
      <c r="AC3090" s="2">
        <v>243570</v>
      </c>
      <c r="AD3090" t="s">
        <v>64</v>
      </c>
    </row>
    <row r="3091" spans="1:31" x14ac:dyDescent="0.25">
      <c r="A3091" t="s">
        <v>14998</v>
      </c>
      <c r="B3091" t="s">
        <v>14999</v>
      </c>
      <c r="C3091" t="s">
        <v>14999</v>
      </c>
      <c r="D3091" t="s">
        <v>847</v>
      </c>
      <c r="E3091" t="s">
        <v>848</v>
      </c>
      <c r="F3091" t="s">
        <v>15000</v>
      </c>
      <c r="G3091" t="s">
        <v>847</v>
      </c>
      <c r="H3091" t="s">
        <v>15001</v>
      </c>
      <c r="I3091" t="s">
        <v>15002</v>
      </c>
      <c r="J3091" s="2">
        <v>365355</v>
      </c>
      <c r="K3091" s="2">
        <v>1500</v>
      </c>
      <c r="L3091" s="2">
        <v>30</v>
      </c>
      <c r="M3091" s="2">
        <v>0</v>
      </c>
      <c r="N3091" t="s">
        <v>15003</v>
      </c>
      <c r="O3091" t="s">
        <v>15001</v>
      </c>
      <c r="P3091" t="s">
        <v>941</v>
      </c>
      <c r="Q3091" t="s">
        <v>139</v>
      </c>
      <c r="S3091" t="s">
        <v>15004</v>
      </c>
      <c r="T3091" t="s">
        <v>297</v>
      </c>
      <c r="U3091" t="s">
        <v>45</v>
      </c>
      <c r="V3091" t="s">
        <v>46</v>
      </c>
      <c r="W3091" t="s">
        <v>15003</v>
      </c>
      <c r="X3091" t="s">
        <v>15001</v>
      </c>
      <c r="Y3091" t="s">
        <v>9657</v>
      </c>
      <c r="Z3091" t="s">
        <v>9658</v>
      </c>
      <c r="AA3091" t="s">
        <v>49</v>
      </c>
      <c r="AB3091" t="s">
        <v>50</v>
      </c>
      <c r="AC3091" s="2">
        <v>327051.49</v>
      </c>
      <c r="AD3091" t="s">
        <v>15005</v>
      </c>
      <c r="AE3091" t="s">
        <v>52</v>
      </c>
    </row>
    <row r="3092" spans="1:31" x14ac:dyDescent="0.25">
      <c r="A3092" t="s">
        <v>15006</v>
      </c>
      <c r="B3092" t="s">
        <v>15007</v>
      </c>
      <c r="C3092" t="s">
        <v>15007</v>
      </c>
      <c r="D3092" t="s">
        <v>125</v>
      </c>
      <c r="E3092" t="s">
        <v>126</v>
      </c>
      <c r="F3092" t="s">
        <v>15008</v>
      </c>
      <c r="G3092" t="s">
        <v>125</v>
      </c>
      <c r="H3092" t="s">
        <v>10141</v>
      </c>
      <c r="I3092" t="s">
        <v>15009</v>
      </c>
      <c r="J3092" s="2">
        <v>243570</v>
      </c>
      <c r="K3092" s="2">
        <v>1000</v>
      </c>
      <c r="L3092" s="2">
        <v>30</v>
      </c>
      <c r="M3092" s="2">
        <v>0</v>
      </c>
      <c r="N3092" t="s">
        <v>7936</v>
      </c>
      <c r="O3092" t="s">
        <v>7935</v>
      </c>
      <c r="P3092" t="s">
        <v>10093</v>
      </c>
      <c r="Q3092" t="s">
        <v>10094</v>
      </c>
      <c r="S3092" t="s">
        <v>15010</v>
      </c>
      <c r="T3092" t="s">
        <v>297</v>
      </c>
      <c r="U3092" t="s">
        <v>45</v>
      </c>
      <c r="V3092" t="s">
        <v>46</v>
      </c>
      <c r="W3092" t="s">
        <v>7936</v>
      </c>
      <c r="X3092" t="s">
        <v>7935</v>
      </c>
      <c r="Y3092" t="s">
        <v>7938</v>
      </c>
      <c r="Z3092" t="s">
        <v>7939</v>
      </c>
      <c r="AA3092" t="s">
        <v>49</v>
      </c>
      <c r="AB3092" t="s">
        <v>50</v>
      </c>
      <c r="AC3092" s="2">
        <v>177883.97</v>
      </c>
      <c r="AD3092" t="s">
        <v>15011</v>
      </c>
      <c r="AE3092" t="s">
        <v>52</v>
      </c>
    </row>
    <row r="3093" spans="1:31" hidden="1" x14ac:dyDescent="0.25">
      <c r="A3093" t="s">
        <v>15012</v>
      </c>
      <c r="B3093" t="s">
        <v>15013</v>
      </c>
      <c r="C3093" t="s">
        <v>15013</v>
      </c>
      <c r="F3093" t="s">
        <v>15014</v>
      </c>
      <c r="H3093" t="s">
        <v>1425</v>
      </c>
      <c r="I3093" t="s">
        <v>15015</v>
      </c>
      <c r="J3093" s="2">
        <v>244650</v>
      </c>
      <c r="K3093" s="2">
        <v>1000</v>
      </c>
      <c r="L3093" s="2">
        <v>15</v>
      </c>
      <c r="M3093" s="2">
        <v>0</v>
      </c>
      <c r="N3093" t="s">
        <v>1427</v>
      </c>
      <c r="O3093" t="s">
        <v>1428</v>
      </c>
      <c r="P3093" t="s">
        <v>1363</v>
      </c>
      <c r="Q3093" t="s">
        <v>1364</v>
      </c>
      <c r="S3093" t="s">
        <v>15016</v>
      </c>
      <c r="T3093" t="s">
        <v>178</v>
      </c>
      <c r="U3093" t="s">
        <v>45</v>
      </c>
      <c r="V3093" t="s">
        <v>46</v>
      </c>
      <c r="W3093" t="s">
        <v>1427</v>
      </c>
      <c r="X3093" t="s">
        <v>1430</v>
      </c>
      <c r="Y3093" t="s">
        <v>85</v>
      </c>
      <c r="Z3093" t="s">
        <v>86</v>
      </c>
      <c r="AA3093" t="s">
        <v>49</v>
      </c>
      <c r="AB3093" t="s">
        <v>50</v>
      </c>
      <c r="AC3093" s="2">
        <v>244650</v>
      </c>
      <c r="AD3093" t="s">
        <v>64</v>
      </c>
    </row>
    <row r="3094" spans="1:31" hidden="1" x14ac:dyDescent="0.25">
      <c r="A3094" t="s">
        <v>15017</v>
      </c>
      <c r="B3094" t="s">
        <v>15018</v>
      </c>
      <c r="C3094" t="s">
        <v>15018</v>
      </c>
      <c r="F3094" t="s">
        <v>15019</v>
      </c>
      <c r="H3094" t="s">
        <v>10576</v>
      </c>
      <c r="I3094" t="s">
        <v>15020</v>
      </c>
      <c r="J3094" s="2">
        <v>244650</v>
      </c>
      <c r="K3094" s="2">
        <v>1000</v>
      </c>
      <c r="L3094" s="2">
        <v>21</v>
      </c>
      <c r="M3094" s="2">
        <v>0</v>
      </c>
      <c r="N3094" t="s">
        <v>10572</v>
      </c>
      <c r="O3094" t="s">
        <v>10571</v>
      </c>
      <c r="P3094" t="s">
        <v>14215</v>
      </c>
      <c r="Q3094" t="s">
        <v>10167</v>
      </c>
      <c r="S3094" t="s">
        <v>15021</v>
      </c>
      <c r="T3094" t="s">
        <v>178</v>
      </c>
      <c r="U3094" t="s">
        <v>45</v>
      </c>
      <c r="V3094" t="s">
        <v>46</v>
      </c>
      <c r="W3094" t="s">
        <v>10572</v>
      </c>
      <c r="X3094" t="s">
        <v>10571</v>
      </c>
      <c r="Y3094" t="s">
        <v>10167</v>
      </c>
      <c r="Z3094" t="s">
        <v>10168</v>
      </c>
      <c r="AA3094" t="s">
        <v>49</v>
      </c>
      <c r="AB3094" t="s">
        <v>50</v>
      </c>
      <c r="AC3094" s="2">
        <v>244650</v>
      </c>
      <c r="AD3094" t="s">
        <v>64</v>
      </c>
    </row>
    <row r="3095" spans="1:31" x14ac:dyDescent="0.25">
      <c r="A3095" t="s">
        <v>15022</v>
      </c>
      <c r="B3095" t="s">
        <v>15023</v>
      </c>
      <c r="C3095" t="s">
        <v>15023</v>
      </c>
      <c r="D3095" t="s">
        <v>847</v>
      </c>
      <c r="E3095" t="s">
        <v>848</v>
      </c>
      <c r="F3095" t="s">
        <v>15024</v>
      </c>
      <c r="G3095" t="s">
        <v>847</v>
      </c>
      <c r="H3095" t="s">
        <v>10576</v>
      </c>
      <c r="I3095" t="s">
        <v>15025</v>
      </c>
      <c r="J3095" s="2">
        <v>244650</v>
      </c>
      <c r="K3095" s="2">
        <v>1000</v>
      </c>
      <c r="L3095" s="2">
        <v>21</v>
      </c>
      <c r="M3095" s="2">
        <v>0</v>
      </c>
      <c r="N3095" t="s">
        <v>10572</v>
      </c>
      <c r="O3095" t="s">
        <v>10571</v>
      </c>
      <c r="P3095" t="s">
        <v>14215</v>
      </c>
      <c r="Q3095" t="s">
        <v>10167</v>
      </c>
      <c r="S3095" t="s">
        <v>15026</v>
      </c>
      <c r="T3095" t="s">
        <v>178</v>
      </c>
      <c r="U3095" t="s">
        <v>45</v>
      </c>
      <c r="V3095" t="s">
        <v>46</v>
      </c>
      <c r="W3095" t="s">
        <v>10572</v>
      </c>
      <c r="X3095" t="s">
        <v>10571</v>
      </c>
      <c r="Y3095" t="s">
        <v>10167</v>
      </c>
      <c r="Z3095" t="s">
        <v>10168</v>
      </c>
      <c r="AA3095" t="s">
        <v>49</v>
      </c>
      <c r="AB3095" t="s">
        <v>50</v>
      </c>
      <c r="AC3095" s="2">
        <v>68825.289999999994</v>
      </c>
      <c r="AD3095" t="s">
        <v>15027</v>
      </c>
      <c r="AE3095" t="s">
        <v>52</v>
      </c>
    </row>
    <row r="3096" spans="1:31" x14ac:dyDescent="0.25">
      <c r="A3096" t="s">
        <v>15028</v>
      </c>
      <c r="B3096" t="s">
        <v>15029</v>
      </c>
      <c r="C3096" t="s">
        <v>15029</v>
      </c>
      <c r="D3096" t="s">
        <v>847</v>
      </c>
      <c r="E3096" t="s">
        <v>848</v>
      </c>
      <c r="F3096" t="s">
        <v>15030</v>
      </c>
      <c r="G3096" t="s">
        <v>847</v>
      </c>
      <c r="H3096" t="s">
        <v>10576</v>
      </c>
      <c r="I3096" t="s">
        <v>15025</v>
      </c>
      <c r="J3096" s="2">
        <v>244650</v>
      </c>
      <c r="K3096" s="2">
        <v>1000</v>
      </c>
      <c r="L3096" s="2">
        <v>21</v>
      </c>
      <c r="M3096" s="2">
        <v>0</v>
      </c>
      <c r="N3096" t="s">
        <v>10572</v>
      </c>
      <c r="O3096" t="s">
        <v>10571</v>
      </c>
      <c r="P3096" t="s">
        <v>14215</v>
      </c>
      <c r="Q3096" t="s">
        <v>10167</v>
      </c>
      <c r="S3096" t="s">
        <v>15031</v>
      </c>
      <c r="T3096" t="s">
        <v>178</v>
      </c>
      <c r="U3096" t="s">
        <v>45</v>
      </c>
      <c r="V3096" t="s">
        <v>46</v>
      </c>
      <c r="W3096" t="s">
        <v>10572</v>
      </c>
      <c r="X3096" t="s">
        <v>10571</v>
      </c>
      <c r="Y3096" t="s">
        <v>10167</v>
      </c>
      <c r="Z3096" t="s">
        <v>10168</v>
      </c>
      <c r="AA3096" t="s">
        <v>49</v>
      </c>
      <c r="AB3096" t="s">
        <v>50</v>
      </c>
      <c r="AC3096" s="2">
        <v>58514.52</v>
      </c>
      <c r="AD3096" t="s">
        <v>15032</v>
      </c>
      <c r="AE3096" t="s">
        <v>52</v>
      </c>
    </row>
    <row r="3097" spans="1:31" x14ac:dyDescent="0.25">
      <c r="A3097" t="s">
        <v>15033</v>
      </c>
      <c r="B3097" t="s">
        <v>15034</v>
      </c>
      <c r="C3097" t="s">
        <v>15034</v>
      </c>
      <c r="D3097" t="s">
        <v>847</v>
      </c>
      <c r="E3097" t="s">
        <v>848</v>
      </c>
      <c r="F3097" t="s">
        <v>15035</v>
      </c>
      <c r="G3097" t="s">
        <v>847</v>
      </c>
      <c r="H3097" t="s">
        <v>10576</v>
      </c>
      <c r="I3097" t="s">
        <v>15025</v>
      </c>
      <c r="J3097" s="2">
        <v>245670</v>
      </c>
      <c r="K3097" s="2">
        <v>1000</v>
      </c>
      <c r="L3097" s="2">
        <v>21</v>
      </c>
      <c r="M3097" s="2">
        <v>0</v>
      </c>
      <c r="N3097" t="s">
        <v>10572</v>
      </c>
      <c r="O3097" t="s">
        <v>10571</v>
      </c>
      <c r="P3097" t="s">
        <v>14215</v>
      </c>
      <c r="Q3097" t="s">
        <v>10167</v>
      </c>
      <c r="S3097" t="s">
        <v>15036</v>
      </c>
      <c r="T3097" t="s">
        <v>569</v>
      </c>
      <c r="U3097" t="s">
        <v>45</v>
      </c>
      <c r="V3097" t="s">
        <v>46</v>
      </c>
      <c r="W3097" t="s">
        <v>10572</v>
      </c>
      <c r="X3097" t="s">
        <v>10571</v>
      </c>
      <c r="Y3097" t="s">
        <v>10167</v>
      </c>
      <c r="Z3097" t="s">
        <v>10168</v>
      </c>
      <c r="AA3097" t="s">
        <v>49</v>
      </c>
      <c r="AB3097" t="s">
        <v>50</v>
      </c>
      <c r="AC3097" s="2">
        <v>83771.289999999994</v>
      </c>
      <c r="AD3097" t="s">
        <v>15037</v>
      </c>
      <c r="AE3097" t="s">
        <v>52</v>
      </c>
    </row>
    <row r="3098" spans="1:31" x14ac:dyDescent="0.25">
      <c r="A3098" t="s">
        <v>15038</v>
      </c>
      <c r="B3098" t="s">
        <v>15039</v>
      </c>
      <c r="C3098" t="s">
        <v>15039</v>
      </c>
      <c r="D3098" t="s">
        <v>125</v>
      </c>
      <c r="E3098" t="s">
        <v>126</v>
      </c>
      <c r="F3098" t="s">
        <v>15040</v>
      </c>
      <c r="G3098" t="s">
        <v>125</v>
      </c>
      <c r="H3098" t="s">
        <v>7535</v>
      </c>
      <c r="I3098" t="s">
        <v>15041</v>
      </c>
      <c r="J3098" s="2">
        <v>245670</v>
      </c>
      <c r="K3098" s="2">
        <v>1000</v>
      </c>
      <c r="L3098" s="2">
        <v>1</v>
      </c>
      <c r="M3098" s="2">
        <v>0</v>
      </c>
      <c r="N3098" t="s">
        <v>7534</v>
      </c>
      <c r="O3098" t="s">
        <v>7535</v>
      </c>
      <c r="P3098" t="s">
        <v>6987</v>
      </c>
      <c r="Q3098" t="s">
        <v>6988</v>
      </c>
      <c r="S3098" t="s">
        <v>15042</v>
      </c>
      <c r="T3098" t="s">
        <v>569</v>
      </c>
      <c r="U3098" t="s">
        <v>45</v>
      </c>
      <c r="V3098" t="s">
        <v>46</v>
      </c>
      <c r="W3098" t="s">
        <v>7534</v>
      </c>
      <c r="X3098" t="s">
        <v>7535</v>
      </c>
      <c r="Y3098" t="s">
        <v>2399</v>
      </c>
      <c r="Z3098" t="s">
        <v>2400</v>
      </c>
      <c r="AA3098" t="s">
        <v>49</v>
      </c>
      <c r="AB3098" t="s">
        <v>50</v>
      </c>
      <c r="AC3098" s="2">
        <v>168479.43</v>
      </c>
      <c r="AD3098" t="s">
        <v>15043</v>
      </c>
      <c r="AE3098" t="s">
        <v>115</v>
      </c>
    </row>
    <row r="3099" spans="1:31" hidden="1" x14ac:dyDescent="0.25">
      <c r="A3099" t="s">
        <v>15044</v>
      </c>
      <c r="B3099" t="s">
        <v>15045</v>
      </c>
      <c r="C3099" t="s">
        <v>15045</v>
      </c>
      <c r="F3099" t="s">
        <v>15046</v>
      </c>
      <c r="H3099" t="s">
        <v>8302</v>
      </c>
      <c r="I3099" t="s">
        <v>15047</v>
      </c>
      <c r="J3099" s="2">
        <v>245670</v>
      </c>
      <c r="K3099" s="2">
        <v>1000</v>
      </c>
      <c r="L3099" s="2">
        <v>30</v>
      </c>
      <c r="M3099" s="2">
        <v>0</v>
      </c>
      <c r="N3099" t="s">
        <v>5201</v>
      </c>
      <c r="O3099" t="s">
        <v>5202</v>
      </c>
      <c r="P3099" t="s">
        <v>4853</v>
      </c>
      <c r="Q3099" t="s">
        <v>4854</v>
      </c>
      <c r="S3099" t="s">
        <v>15048</v>
      </c>
      <c r="T3099" t="s">
        <v>569</v>
      </c>
      <c r="U3099" t="s">
        <v>45</v>
      </c>
      <c r="V3099" t="s">
        <v>46</v>
      </c>
      <c r="W3099" t="s">
        <v>5201</v>
      </c>
      <c r="X3099" t="s">
        <v>5202</v>
      </c>
      <c r="Y3099" t="s">
        <v>4854</v>
      </c>
      <c r="Z3099" t="s">
        <v>72</v>
      </c>
      <c r="AA3099" t="s">
        <v>49</v>
      </c>
      <c r="AB3099" t="s">
        <v>50</v>
      </c>
      <c r="AC3099" s="2">
        <v>245670</v>
      </c>
      <c r="AD3099" t="s">
        <v>64</v>
      </c>
    </row>
    <row r="3100" spans="1:31" hidden="1" x14ac:dyDescent="0.25">
      <c r="A3100" t="s">
        <v>15049</v>
      </c>
      <c r="B3100" t="s">
        <v>15050</v>
      </c>
      <c r="C3100" t="s">
        <v>14143</v>
      </c>
      <c r="F3100" t="s">
        <v>14144</v>
      </c>
      <c r="H3100" t="s">
        <v>15051</v>
      </c>
      <c r="I3100" t="s">
        <v>14145</v>
      </c>
      <c r="J3100" s="2">
        <v>247300</v>
      </c>
      <c r="K3100" s="2">
        <v>1000</v>
      </c>
      <c r="L3100" s="2">
        <v>30</v>
      </c>
      <c r="M3100" s="2">
        <v>0</v>
      </c>
      <c r="N3100" t="s">
        <v>15052</v>
      </c>
      <c r="O3100" t="s">
        <v>15051</v>
      </c>
      <c r="P3100" t="s">
        <v>941</v>
      </c>
      <c r="Q3100" t="s">
        <v>139</v>
      </c>
      <c r="S3100" t="s">
        <v>15053</v>
      </c>
      <c r="T3100" t="s">
        <v>153</v>
      </c>
      <c r="U3100" t="s">
        <v>45</v>
      </c>
      <c r="V3100" t="s">
        <v>46</v>
      </c>
      <c r="W3100" t="s">
        <v>15052</v>
      </c>
      <c r="X3100" t="s">
        <v>15051</v>
      </c>
      <c r="Y3100" t="s">
        <v>139</v>
      </c>
      <c r="Z3100" t="s">
        <v>140</v>
      </c>
      <c r="AA3100" t="s">
        <v>49</v>
      </c>
      <c r="AB3100" t="s">
        <v>50</v>
      </c>
      <c r="AC3100" s="2">
        <v>247300</v>
      </c>
      <c r="AD3100" t="s">
        <v>64</v>
      </c>
    </row>
    <row r="3101" spans="1:31" hidden="1" x14ac:dyDescent="0.25">
      <c r="A3101" t="s">
        <v>15054</v>
      </c>
      <c r="B3101" t="s">
        <v>15055</v>
      </c>
      <c r="C3101" t="s">
        <v>3352</v>
      </c>
      <c r="F3101" t="s">
        <v>3353</v>
      </c>
      <c r="H3101" t="s">
        <v>358</v>
      </c>
      <c r="J3101" s="2">
        <v>17137890</v>
      </c>
      <c r="K3101" s="2">
        <v>69300</v>
      </c>
      <c r="L3101" s="2">
        <v>30</v>
      </c>
      <c r="M3101" s="2">
        <v>0</v>
      </c>
      <c r="N3101" t="s">
        <v>40</v>
      </c>
      <c r="O3101" t="s">
        <v>41</v>
      </c>
      <c r="P3101" t="s">
        <v>61</v>
      </c>
      <c r="Q3101" t="s">
        <v>62</v>
      </c>
      <c r="S3101" t="s">
        <v>13917</v>
      </c>
      <c r="T3101" t="s">
        <v>153</v>
      </c>
      <c r="U3101" t="s">
        <v>45</v>
      </c>
      <c r="V3101" t="s">
        <v>46</v>
      </c>
      <c r="W3101" t="s">
        <v>40</v>
      </c>
      <c r="X3101" t="s">
        <v>41</v>
      </c>
      <c r="Y3101" t="s">
        <v>47</v>
      </c>
      <c r="Z3101" t="s">
        <v>48</v>
      </c>
      <c r="AA3101" t="s">
        <v>49</v>
      </c>
      <c r="AB3101" t="s">
        <v>50</v>
      </c>
      <c r="AC3101" s="2">
        <v>17137890</v>
      </c>
      <c r="AD3101" t="s">
        <v>64</v>
      </c>
    </row>
    <row r="3102" spans="1:31" hidden="1" x14ac:dyDescent="0.25">
      <c r="A3102" t="s">
        <v>15056</v>
      </c>
      <c r="B3102" t="s">
        <v>15057</v>
      </c>
      <c r="C3102" t="s">
        <v>3352</v>
      </c>
      <c r="F3102" t="s">
        <v>3353</v>
      </c>
      <c r="H3102" t="s">
        <v>38</v>
      </c>
      <c r="J3102" s="2">
        <v>14838000</v>
      </c>
      <c r="K3102" s="2">
        <v>60000</v>
      </c>
      <c r="L3102" s="2">
        <v>30</v>
      </c>
      <c r="M3102" s="2">
        <v>0</v>
      </c>
      <c r="N3102" t="s">
        <v>40</v>
      </c>
      <c r="O3102" t="s">
        <v>41</v>
      </c>
      <c r="P3102" t="s">
        <v>61</v>
      </c>
      <c r="Q3102" t="s">
        <v>62</v>
      </c>
      <c r="S3102" t="s">
        <v>3355</v>
      </c>
      <c r="T3102" t="s">
        <v>153</v>
      </c>
      <c r="U3102" t="s">
        <v>45</v>
      </c>
      <c r="V3102" t="s">
        <v>46</v>
      </c>
      <c r="W3102" t="s">
        <v>40</v>
      </c>
      <c r="X3102" t="s">
        <v>41</v>
      </c>
      <c r="Y3102" t="s">
        <v>47</v>
      </c>
      <c r="Z3102" t="s">
        <v>48</v>
      </c>
      <c r="AA3102" t="s">
        <v>49</v>
      </c>
      <c r="AB3102" t="s">
        <v>50</v>
      </c>
      <c r="AC3102" s="2">
        <v>14838000</v>
      </c>
      <c r="AD3102" t="s">
        <v>64</v>
      </c>
    </row>
    <row r="3103" spans="1:31" hidden="1" x14ac:dyDescent="0.25">
      <c r="A3103" t="s">
        <v>15058</v>
      </c>
      <c r="B3103" t="s">
        <v>15059</v>
      </c>
      <c r="C3103" t="s">
        <v>10145</v>
      </c>
      <c r="F3103" t="s">
        <v>10146</v>
      </c>
      <c r="H3103" t="s">
        <v>10150</v>
      </c>
      <c r="I3103" t="s">
        <v>15060</v>
      </c>
      <c r="J3103" s="2">
        <v>247300</v>
      </c>
      <c r="K3103" s="2">
        <v>1000</v>
      </c>
      <c r="L3103" s="2">
        <v>30</v>
      </c>
      <c r="M3103" s="2">
        <v>0</v>
      </c>
      <c r="N3103" t="s">
        <v>10149</v>
      </c>
      <c r="O3103" t="s">
        <v>10150</v>
      </c>
      <c r="P3103" t="s">
        <v>10093</v>
      </c>
      <c r="Q3103" t="s">
        <v>10094</v>
      </c>
      <c r="S3103" t="s">
        <v>15061</v>
      </c>
      <c r="T3103" t="s">
        <v>153</v>
      </c>
      <c r="U3103" t="s">
        <v>45</v>
      </c>
      <c r="V3103" t="s">
        <v>46</v>
      </c>
      <c r="W3103" t="s">
        <v>10149</v>
      </c>
      <c r="X3103" t="s">
        <v>10150</v>
      </c>
      <c r="Y3103" t="s">
        <v>7938</v>
      </c>
      <c r="Z3103" t="s">
        <v>7939</v>
      </c>
      <c r="AA3103" t="s">
        <v>49</v>
      </c>
      <c r="AB3103" t="s">
        <v>50</v>
      </c>
      <c r="AC3103" s="2">
        <v>247300</v>
      </c>
      <c r="AD3103" t="s">
        <v>64</v>
      </c>
    </row>
    <row r="3104" spans="1:31" hidden="1" x14ac:dyDescent="0.25">
      <c r="A3104" t="s">
        <v>15062</v>
      </c>
      <c r="B3104" t="s">
        <v>15063</v>
      </c>
      <c r="C3104" t="s">
        <v>15064</v>
      </c>
      <c r="F3104" t="s">
        <v>10739</v>
      </c>
      <c r="H3104" t="s">
        <v>10576</v>
      </c>
      <c r="I3104" t="s">
        <v>10740</v>
      </c>
      <c r="J3104" s="2">
        <v>247410</v>
      </c>
      <c r="K3104" s="2">
        <v>1000</v>
      </c>
      <c r="L3104" s="2">
        <v>30</v>
      </c>
      <c r="M3104" s="2">
        <v>0</v>
      </c>
      <c r="N3104" t="s">
        <v>10572</v>
      </c>
      <c r="O3104" t="s">
        <v>10571</v>
      </c>
      <c r="P3104" t="s">
        <v>10093</v>
      </c>
      <c r="Q3104" t="s">
        <v>10094</v>
      </c>
      <c r="S3104" t="s">
        <v>15065</v>
      </c>
      <c r="T3104" t="s">
        <v>35</v>
      </c>
      <c r="U3104" t="s">
        <v>45</v>
      </c>
      <c r="V3104" t="s">
        <v>46</v>
      </c>
      <c r="W3104" t="s">
        <v>10572</v>
      </c>
      <c r="X3104" t="s">
        <v>10571</v>
      </c>
      <c r="Y3104" t="s">
        <v>10167</v>
      </c>
      <c r="Z3104" t="s">
        <v>10168</v>
      </c>
      <c r="AA3104" t="s">
        <v>49</v>
      </c>
      <c r="AB3104" t="s">
        <v>50</v>
      </c>
      <c r="AC3104" s="2">
        <v>247410</v>
      </c>
      <c r="AD3104" t="s">
        <v>64</v>
      </c>
    </row>
    <row r="3105" spans="1:31" x14ac:dyDescent="0.25">
      <c r="A3105" t="s">
        <v>15066</v>
      </c>
      <c r="B3105" t="s">
        <v>15067</v>
      </c>
      <c r="C3105" t="s">
        <v>15067</v>
      </c>
      <c r="D3105" t="s">
        <v>35</v>
      </c>
      <c r="E3105" t="s">
        <v>36</v>
      </c>
      <c r="F3105" t="s">
        <v>15068</v>
      </c>
      <c r="G3105" t="s">
        <v>35</v>
      </c>
      <c r="H3105" t="s">
        <v>90</v>
      </c>
      <c r="J3105" s="2">
        <v>4948200</v>
      </c>
      <c r="K3105" s="2">
        <v>20000</v>
      </c>
      <c r="L3105" s="2">
        <v>21</v>
      </c>
      <c r="M3105" s="2">
        <v>0</v>
      </c>
      <c r="N3105" t="s">
        <v>89</v>
      </c>
      <c r="O3105" t="s">
        <v>90</v>
      </c>
      <c r="P3105" t="s">
        <v>91</v>
      </c>
      <c r="Q3105" t="s">
        <v>92</v>
      </c>
      <c r="S3105" t="s">
        <v>15069</v>
      </c>
      <c r="T3105" t="s">
        <v>35</v>
      </c>
      <c r="U3105" t="s">
        <v>45</v>
      </c>
      <c r="V3105" t="s">
        <v>46</v>
      </c>
      <c r="W3105" t="s">
        <v>89</v>
      </c>
      <c r="X3105" t="s">
        <v>90</v>
      </c>
      <c r="Y3105" t="s">
        <v>92</v>
      </c>
      <c r="Z3105" t="s">
        <v>94</v>
      </c>
      <c r="AA3105" t="s">
        <v>49</v>
      </c>
      <c r="AB3105" t="s">
        <v>50</v>
      </c>
      <c r="AC3105" s="2">
        <v>3787976.29</v>
      </c>
      <c r="AD3105" t="s">
        <v>15070</v>
      </c>
      <c r="AE3105" t="s">
        <v>52</v>
      </c>
    </row>
    <row r="3106" spans="1:31" hidden="1" x14ac:dyDescent="0.25">
      <c r="A3106" t="s">
        <v>15071</v>
      </c>
      <c r="B3106" t="s">
        <v>15072</v>
      </c>
      <c r="C3106" t="s">
        <v>15072</v>
      </c>
      <c r="F3106" t="s">
        <v>15073</v>
      </c>
      <c r="H3106" t="s">
        <v>10576</v>
      </c>
      <c r="I3106" t="s">
        <v>15074</v>
      </c>
      <c r="J3106" s="2">
        <v>247410</v>
      </c>
      <c r="K3106" s="2">
        <v>1000</v>
      </c>
      <c r="L3106" s="2">
        <v>21</v>
      </c>
      <c r="M3106" s="2">
        <v>0</v>
      </c>
      <c r="N3106" t="s">
        <v>10572</v>
      </c>
      <c r="O3106" t="s">
        <v>10571</v>
      </c>
      <c r="P3106" t="s">
        <v>14215</v>
      </c>
      <c r="Q3106" t="s">
        <v>10167</v>
      </c>
      <c r="S3106" t="s">
        <v>15075</v>
      </c>
      <c r="T3106" t="s">
        <v>35</v>
      </c>
      <c r="U3106" t="s">
        <v>45</v>
      </c>
      <c r="V3106" t="s">
        <v>46</v>
      </c>
      <c r="W3106" t="s">
        <v>10572</v>
      </c>
      <c r="X3106" t="s">
        <v>10571</v>
      </c>
      <c r="Y3106" t="s">
        <v>10167</v>
      </c>
      <c r="Z3106" t="s">
        <v>10168</v>
      </c>
      <c r="AA3106" t="s">
        <v>49</v>
      </c>
      <c r="AB3106" t="s">
        <v>50</v>
      </c>
      <c r="AC3106" s="2">
        <v>247410</v>
      </c>
      <c r="AD3106" t="s">
        <v>64</v>
      </c>
    </row>
    <row r="3107" spans="1:31" x14ac:dyDescent="0.25">
      <c r="A3107" t="s">
        <v>15076</v>
      </c>
      <c r="B3107" t="s">
        <v>15077</v>
      </c>
      <c r="C3107" t="s">
        <v>15077</v>
      </c>
      <c r="D3107" t="s">
        <v>125</v>
      </c>
      <c r="E3107" t="s">
        <v>126</v>
      </c>
      <c r="F3107" t="s">
        <v>15078</v>
      </c>
      <c r="G3107" t="s">
        <v>125</v>
      </c>
      <c r="H3107" t="s">
        <v>79</v>
      </c>
      <c r="I3107" t="s">
        <v>15079</v>
      </c>
      <c r="J3107" s="2">
        <v>247410</v>
      </c>
      <c r="K3107" s="2">
        <v>1000</v>
      </c>
      <c r="L3107" s="2">
        <v>21</v>
      </c>
      <c r="M3107" s="2">
        <v>0</v>
      </c>
      <c r="N3107" t="s">
        <v>495</v>
      </c>
      <c r="O3107" t="s">
        <v>79</v>
      </c>
      <c r="P3107" t="s">
        <v>3487</v>
      </c>
      <c r="Q3107" t="s">
        <v>3488</v>
      </c>
      <c r="S3107" t="s">
        <v>15080</v>
      </c>
      <c r="T3107" t="s">
        <v>35</v>
      </c>
      <c r="U3107" t="s">
        <v>45</v>
      </c>
      <c r="V3107" t="s">
        <v>46</v>
      </c>
      <c r="W3107" t="s">
        <v>495</v>
      </c>
      <c r="X3107" t="s">
        <v>79</v>
      </c>
      <c r="Y3107" t="s">
        <v>79</v>
      </c>
      <c r="Z3107" t="s">
        <v>94</v>
      </c>
      <c r="AA3107" t="s">
        <v>49</v>
      </c>
      <c r="AB3107" t="s">
        <v>50</v>
      </c>
      <c r="AC3107" s="2">
        <v>44978.6</v>
      </c>
      <c r="AD3107" t="s">
        <v>15081</v>
      </c>
      <c r="AE3107" t="s">
        <v>52</v>
      </c>
    </row>
    <row r="3108" spans="1:31" hidden="1" x14ac:dyDescent="0.25">
      <c r="A3108" t="s">
        <v>15082</v>
      </c>
      <c r="B3108" t="s">
        <v>15083</v>
      </c>
      <c r="C3108" t="s">
        <v>15083</v>
      </c>
      <c r="F3108" t="s">
        <v>15084</v>
      </c>
      <c r="H3108" t="s">
        <v>15085</v>
      </c>
      <c r="I3108" t="s">
        <v>14321</v>
      </c>
      <c r="J3108" s="2">
        <v>371115</v>
      </c>
      <c r="K3108" s="2">
        <v>1500</v>
      </c>
      <c r="L3108" s="2">
        <v>30</v>
      </c>
      <c r="M3108" s="2">
        <v>0</v>
      </c>
      <c r="N3108" t="s">
        <v>15086</v>
      </c>
      <c r="O3108" t="s">
        <v>15085</v>
      </c>
      <c r="P3108" t="s">
        <v>941</v>
      </c>
      <c r="Q3108" t="s">
        <v>139</v>
      </c>
      <c r="S3108" t="s">
        <v>15087</v>
      </c>
      <c r="T3108" t="s">
        <v>35</v>
      </c>
      <c r="U3108" t="s">
        <v>45</v>
      </c>
      <c r="V3108" t="s">
        <v>46</v>
      </c>
      <c r="W3108" t="s">
        <v>15086</v>
      </c>
      <c r="X3108" t="s">
        <v>15085</v>
      </c>
      <c r="Y3108" t="s">
        <v>9657</v>
      </c>
      <c r="Z3108" t="s">
        <v>9658</v>
      </c>
      <c r="AA3108" t="s">
        <v>49</v>
      </c>
      <c r="AB3108" t="s">
        <v>50</v>
      </c>
      <c r="AC3108" s="2">
        <v>371115</v>
      </c>
      <c r="AD3108" t="s">
        <v>64</v>
      </c>
    </row>
    <row r="3109" spans="1:31" hidden="1" x14ac:dyDescent="0.25">
      <c r="A3109" t="s">
        <v>15088</v>
      </c>
      <c r="B3109" t="s">
        <v>15089</v>
      </c>
      <c r="C3109" t="s">
        <v>15089</v>
      </c>
      <c r="F3109" t="s">
        <v>15090</v>
      </c>
      <c r="H3109" t="s">
        <v>2460</v>
      </c>
      <c r="I3109" t="s">
        <v>15091</v>
      </c>
      <c r="J3109" s="2">
        <v>247410</v>
      </c>
      <c r="K3109" s="2">
        <v>1000</v>
      </c>
      <c r="L3109" s="2">
        <v>21</v>
      </c>
      <c r="M3109" s="2">
        <v>0</v>
      </c>
      <c r="N3109" t="s">
        <v>2462</v>
      </c>
      <c r="O3109" t="s">
        <v>2463</v>
      </c>
      <c r="P3109" t="s">
        <v>2320</v>
      </c>
      <c r="Q3109" t="s">
        <v>2321</v>
      </c>
      <c r="S3109" t="s">
        <v>15092</v>
      </c>
      <c r="T3109" t="s">
        <v>35</v>
      </c>
      <c r="U3109" t="s">
        <v>45</v>
      </c>
      <c r="V3109" t="s">
        <v>46</v>
      </c>
      <c r="W3109" t="s">
        <v>2462</v>
      </c>
      <c r="X3109" t="s">
        <v>2463</v>
      </c>
      <c r="Y3109" t="s">
        <v>2157</v>
      </c>
      <c r="Z3109" t="s">
        <v>48</v>
      </c>
      <c r="AA3109" t="s">
        <v>49</v>
      </c>
      <c r="AB3109" t="s">
        <v>50</v>
      </c>
      <c r="AC3109" s="2">
        <v>247410</v>
      </c>
      <c r="AD3109" t="s">
        <v>64</v>
      </c>
    </row>
    <row r="3110" spans="1:31" hidden="1" x14ac:dyDescent="0.25">
      <c r="A3110" t="s">
        <v>15093</v>
      </c>
      <c r="B3110" t="s">
        <v>15094</v>
      </c>
      <c r="C3110" t="s">
        <v>15095</v>
      </c>
      <c r="F3110" t="s">
        <v>15096</v>
      </c>
      <c r="H3110" t="s">
        <v>139</v>
      </c>
      <c r="I3110" t="s">
        <v>15097</v>
      </c>
      <c r="J3110" s="2">
        <v>247410</v>
      </c>
      <c r="K3110" s="2">
        <v>1000</v>
      </c>
      <c r="L3110" s="2">
        <v>21</v>
      </c>
      <c r="M3110" s="2">
        <v>0</v>
      </c>
      <c r="N3110" t="s">
        <v>15098</v>
      </c>
      <c r="O3110" t="s">
        <v>15099</v>
      </c>
      <c r="P3110" t="s">
        <v>941</v>
      </c>
      <c r="Q3110" t="s">
        <v>139</v>
      </c>
      <c r="S3110" t="s">
        <v>15100</v>
      </c>
      <c r="T3110" t="s">
        <v>35</v>
      </c>
      <c r="U3110" t="s">
        <v>45</v>
      </c>
      <c r="V3110" t="s">
        <v>46</v>
      </c>
      <c r="W3110" t="s">
        <v>15098</v>
      </c>
      <c r="X3110" t="s">
        <v>15099</v>
      </c>
      <c r="Y3110" t="s">
        <v>139</v>
      </c>
      <c r="Z3110" t="s">
        <v>140</v>
      </c>
      <c r="AA3110" t="s">
        <v>49</v>
      </c>
      <c r="AB3110" t="s">
        <v>50</v>
      </c>
      <c r="AC3110" s="2">
        <v>247410</v>
      </c>
      <c r="AD3110" t="s">
        <v>64</v>
      </c>
    </row>
    <row r="3111" spans="1:31" hidden="1" x14ac:dyDescent="0.25">
      <c r="A3111" t="s">
        <v>15101</v>
      </c>
      <c r="B3111" t="s">
        <v>15102</v>
      </c>
      <c r="C3111" t="s">
        <v>15103</v>
      </c>
      <c r="F3111" t="s">
        <v>4070</v>
      </c>
      <c r="H3111" t="s">
        <v>914</v>
      </c>
      <c r="I3111" t="s">
        <v>15104</v>
      </c>
      <c r="J3111" s="2">
        <v>247410</v>
      </c>
      <c r="K3111" s="2">
        <v>1000</v>
      </c>
      <c r="L3111" s="2">
        <v>1</v>
      </c>
      <c r="M3111" s="2">
        <v>0</v>
      </c>
      <c r="N3111" t="s">
        <v>913</v>
      </c>
      <c r="O3111" t="s">
        <v>914</v>
      </c>
      <c r="P3111" t="s">
        <v>103</v>
      </c>
      <c r="Q3111" t="s">
        <v>104</v>
      </c>
      <c r="S3111" t="s">
        <v>15105</v>
      </c>
      <c r="T3111" t="s">
        <v>35</v>
      </c>
      <c r="U3111" t="s">
        <v>45</v>
      </c>
      <c r="V3111" t="s">
        <v>46</v>
      </c>
      <c r="W3111" t="s">
        <v>913</v>
      </c>
      <c r="X3111" t="s">
        <v>914</v>
      </c>
      <c r="Y3111" t="s">
        <v>106</v>
      </c>
      <c r="Z3111" t="s">
        <v>107</v>
      </c>
      <c r="AA3111" t="s">
        <v>49</v>
      </c>
      <c r="AB3111" t="s">
        <v>50</v>
      </c>
      <c r="AC3111" s="2">
        <v>247410</v>
      </c>
      <c r="AD3111" t="s">
        <v>64</v>
      </c>
    </row>
    <row r="3112" spans="1:31" hidden="1" x14ac:dyDescent="0.25">
      <c r="A3112" t="s">
        <v>15106</v>
      </c>
      <c r="B3112" t="s">
        <v>15107</v>
      </c>
      <c r="C3112" t="s">
        <v>15107</v>
      </c>
      <c r="F3112" t="s">
        <v>15108</v>
      </c>
      <c r="H3112" t="s">
        <v>7515</v>
      </c>
      <c r="I3112" t="s">
        <v>15109</v>
      </c>
      <c r="J3112" s="2">
        <v>247410</v>
      </c>
      <c r="K3112" s="2">
        <v>1000</v>
      </c>
      <c r="L3112" s="2">
        <v>15</v>
      </c>
      <c r="M3112" s="2">
        <v>0</v>
      </c>
      <c r="N3112" t="s">
        <v>7517</v>
      </c>
      <c r="O3112" t="s">
        <v>7518</v>
      </c>
      <c r="P3112" t="s">
        <v>1212</v>
      </c>
      <c r="Q3112" t="s">
        <v>1213</v>
      </c>
      <c r="S3112" t="s">
        <v>15110</v>
      </c>
      <c r="T3112" t="s">
        <v>35</v>
      </c>
      <c r="U3112" t="s">
        <v>45</v>
      </c>
      <c r="V3112" t="s">
        <v>46</v>
      </c>
      <c r="W3112" t="s">
        <v>7517</v>
      </c>
      <c r="X3112" t="s">
        <v>7518</v>
      </c>
      <c r="Y3112" t="s">
        <v>1215</v>
      </c>
      <c r="Z3112" t="s">
        <v>1216</v>
      </c>
      <c r="AA3112" t="s">
        <v>49</v>
      </c>
      <c r="AB3112" t="s">
        <v>50</v>
      </c>
      <c r="AC3112" s="2">
        <v>247410</v>
      </c>
      <c r="AD3112" t="s">
        <v>64</v>
      </c>
    </row>
    <row r="3113" spans="1:31" hidden="1" x14ac:dyDescent="0.25">
      <c r="A3113" t="s">
        <v>15111</v>
      </c>
      <c r="B3113" t="s">
        <v>15112</v>
      </c>
      <c r="C3113" t="s">
        <v>15112</v>
      </c>
      <c r="F3113" t="s">
        <v>15113</v>
      </c>
      <c r="H3113" t="s">
        <v>324</v>
      </c>
      <c r="I3113" t="s">
        <v>15114</v>
      </c>
      <c r="J3113" s="2">
        <v>249200</v>
      </c>
      <c r="K3113" s="2">
        <v>1000</v>
      </c>
      <c r="L3113" s="2">
        <v>15</v>
      </c>
      <c r="M3113" s="2">
        <v>0</v>
      </c>
      <c r="N3113" t="s">
        <v>326</v>
      </c>
      <c r="O3113" t="s">
        <v>327</v>
      </c>
      <c r="P3113" t="s">
        <v>120</v>
      </c>
      <c r="Q3113" t="s">
        <v>121</v>
      </c>
      <c r="S3113" t="s">
        <v>15115</v>
      </c>
      <c r="T3113" t="s">
        <v>125</v>
      </c>
      <c r="U3113" t="s">
        <v>45</v>
      </c>
      <c r="V3113" t="s">
        <v>46</v>
      </c>
      <c r="W3113" t="s">
        <v>326</v>
      </c>
      <c r="X3113" t="s">
        <v>327</v>
      </c>
      <c r="Y3113" t="s">
        <v>121</v>
      </c>
      <c r="Z3113" t="s">
        <v>94</v>
      </c>
      <c r="AA3113" t="s">
        <v>49</v>
      </c>
      <c r="AB3113" t="s">
        <v>50</v>
      </c>
      <c r="AC3113" s="2">
        <v>249200</v>
      </c>
      <c r="AD3113" t="s">
        <v>64</v>
      </c>
    </row>
    <row r="3114" spans="1:31" hidden="1" x14ac:dyDescent="0.25">
      <c r="A3114" t="s">
        <v>15116</v>
      </c>
      <c r="B3114" t="s">
        <v>15117</v>
      </c>
      <c r="C3114" t="s">
        <v>15118</v>
      </c>
      <c r="F3114" t="s">
        <v>15119</v>
      </c>
      <c r="H3114" t="s">
        <v>13218</v>
      </c>
      <c r="I3114" t="s">
        <v>15120</v>
      </c>
      <c r="J3114" s="2">
        <v>249200</v>
      </c>
      <c r="K3114" s="2">
        <v>1000</v>
      </c>
      <c r="L3114" s="2">
        <v>30</v>
      </c>
      <c r="M3114" s="2">
        <v>0</v>
      </c>
      <c r="N3114" t="s">
        <v>10256</v>
      </c>
      <c r="O3114" t="s">
        <v>10257</v>
      </c>
      <c r="P3114" t="s">
        <v>10093</v>
      </c>
      <c r="Q3114" t="s">
        <v>10094</v>
      </c>
      <c r="S3114" t="s">
        <v>15121</v>
      </c>
      <c r="T3114" t="s">
        <v>125</v>
      </c>
      <c r="U3114" t="s">
        <v>45</v>
      </c>
      <c r="V3114" t="s">
        <v>46</v>
      </c>
      <c r="W3114" t="s">
        <v>10256</v>
      </c>
      <c r="X3114" t="s">
        <v>10257</v>
      </c>
      <c r="Y3114" t="s">
        <v>7938</v>
      </c>
      <c r="Z3114" t="s">
        <v>7939</v>
      </c>
      <c r="AA3114" t="s">
        <v>49</v>
      </c>
      <c r="AB3114" t="s">
        <v>50</v>
      </c>
      <c r="AC3114" s="2">
        <v>249200</v>
      </c>
      <c r="AD3114" t="s">
        <v>64</v>
      </c>
    </row>
    <row r="3115" spans="1:31" hidden="1" x14ac:dyDescent="0.25">
      <c r="A3115" t="s">
        <v>15122</v>
      </c>
      <c r="B3115" t="s">
        <v>15123</v>
      </c>
      <c r="C3115" t="s">
        <v>15123</v>
      </c>
      <c r="F3115" t="s">
        <v>15124</v>
      </c>
      <c r="H3115" t="s">
        <v>139</v>
      </c>
      <c r="I3115" t="s">
        <v>15125</v>
      </c>
      <c r="J3115" s="2">
        <v>373800</v>
      </c>
      <c r="K3115" s="2">
        <v>1500</v>
      </c>
      <c r="L3115" s="2">
        <v>30</v>
      </c>
      <c r="M3115" s="2">
        <v>0</v>
      </c>
      <c r="N3115" t="s">
        <v>15126</v>
      </c>
      <c r="O3115" t="s">
        <v>15127</v>
      </c>
      <c r="P3115" t="s">
        <v>941</v>
      </c>
      <c r="Q3115" t="s">
        <v>139</v>
      </c>
      <c r="S3115" t="s">
        <v>15128</v>
      </c>
      <c r="T3115" t="s">
        <v>125</v>
      </c>
      <c r="U3115" t="s">
        <v>45</v>
      </c>
      <c r="V3115" t="s">
        <v>46</v>
      </c>
      <c r="W3115" t="s">
        <v>15126</v>
      </c>
      <c r="X3115" t="s">
        <v>15127</v>
      </c>
      <c r="Y3115" t="s">
        <v>139</v>
      </c>
      <c r="Z3115" t="s">
        <v>140</v>
      </c>
      <c r="AA3115" t="s">
        <v>49</v>
      </c>
      <c r="AB3115" t="s">
        <v>50</v>
      </c>
      <c r="AC3115" s="2">
        <v>373800</v>
      </c>
      <c r="AD3115" t="s">
        <v>64</v>
      </c>
    </row>
    <row r="3116" spans="1:31" hidden="1" x14ac:dyDescent="0.25">
      <c r="A3116" t="s">
        <v>15129</v>
      </c>
      <c r="B3116" t="s">
        <v>15130</v>
      </c>
      <c r="C3116" t="s">
        <v>15130</v>
      </c>
      <c r="F3116" t="s">
        <v>15131</v>
      </c>
      <c r="H3116" t="s">
        <v>15132</v>
      </c>
      <c r="I3116" t="s">
        <v>15133</v>
      </c>
      <c r="J3116" s="2">
        <v>747600</v>
      </c>
      <c r="K3116" s="2">
        <v>3000</v>
      </c>
      <c r="L3116" s="2">
        <v>30</v>
      </c>
      <c r="M3116" s="2">
        <v>0</v>
      </c>
      <c r="N3116" t="s">
        <v>15134</v>
      </c>
      <c r="O3116" t="s">
        <v>15132</v>
      </c>
      <c r="P3116" t="s">
        <v>941</v>
      </c>
      <c r="Q3116" t="s">
        <v>139</v>
      </c>
      <c r="S3116" t="s">
        <v>15135</v>
      </c>
      <c r="T3116" t="s">
        <v>125</v>
      </c>
      <c r="U3116" t="s">
        <v>45</v>
      </c>
      <c r="V3116" t="s">
        <v>46</v>
      </c>
      <c r="W3116" t="s">
        <v>15134</v>
      </c>
      <c r="X3116" t="s">
        <v>15132</v>
      </c>
      <c r="Y3116" t="s">
        <v>139</v>
      </c>
      <c r="Z3116" t="s">
        <v>140</v>
      </c>
      <c r="AA3116" t="s">
        <v>49</v>
      </c>
      <c r="AB3116" t="s">
        <v>50</v>
      </c>
      <c r="AC3116" s="2">
        <v>747600</v>
      </c>
      <c r="AD3116" t="s">
        <v>64</v>
      </c>
    </row>
    <row r="3117" spans="1:31" x14ac:dyDescent="0.25">
      <c r="A3117" s="3"/>
      <c r="B3117" s="3"/>
      <c r="C3117" s="3"/>
      <c r="D3117" s="3"/>
      <c r="E3117" s="3"/>
      <c r="F3117" s="3"/>
      <c r="G3117" s="3"/>
      <c r="H3117" s="3"/>
      <c r="I3117" s="3"/>
      <c r="J3117" s="3"/>
      <c r="K3117" s="3"/>
      <c r="L3117" s="3"/>
      <c r="M3117" s="3"/>
      <c r="N3117" s="3"/>
      <c r="O3117" s="3"/>
      <c r="P3117" s="3"/>
      <c r="Q3117" s="3"/>
      <c r="R3117" s="3"/>
      <c r="S3117" s="3"/>
      <c r="T3117" s="3"/>
      <c r="U3117" s="3"/>
      <c r="V3117" s="3"/>
      <c r="W3117" s="3"/>
      <c r="X3117" s="3"/>
      <c r="Y3117" s="3"/>
      <c r="Z3117" s="3"/>
      <c r="AA3117" s="3"/>
      <c r="AB3117" s="3"/>
      <c r="AC3117" s="3"/>
      <c r="AD3117" s="3"/>
      <c r="AE3117" s="3"/>
    </row>
    <row r="3120" spans="1:31" x14ac:dyDescent="0.25">
      <c r="A3120" s="9" t="s">
        <v>15136</v>
      </c>
      <c r="B3120" s="5"/>
      <c r="C3120" s="5"/>
      <c r="D3120" s="5"/>
      <c r="E3120" s="5"/>
      <c r="F3120" s="5"/>
      <c r="G3120" s="5"/>
      <c r="H3120" s="5"/>
      <c r="I3120" s="5"/>
      <c r="J3120" s="5"/>
      <c r="K3120" s="5"/>
      <c r="L3120" s="5"/>
      <c r="M3120" s="5"/>
      <c r="N3120" s="5"/>
      <c r="O3120" s="5"/>
      <c r="P3120" s="5"/>
      <c r="Q3120" s="5"/>
      <c r="R3120" s="5"/>
      <c r="S3120" s="5"/>
      <c r="T3120" s="5"/>
      <c r="U3120" s="5"/>
      <c r="V3120" s="5"/>
      <c r="W3120" s="5"/>
      <c r="X3120" s="5"/>
      <c r="Y3120" s="5"/>
      <c r="Z3120" s="5"/>
      <c r="AA3120" s="5"/>
      <c r="AB3120" s="5"/>
      <c r="AC3120" s="5"/>
      <c r="AD3120" s="5"/>
      <c r="AE3120" s="5"/>
    </row>
  </sheetData>
  <autoFilter ref="A6:AE3116" xr:uid="{00000000-0009-0000-0000-000000000000}">
    <filterColumn colId="1">
      <customFilters>
        <customFilter operator="notEqual" val="*MATRIZ*"/>
      </customFilters>
    </filterColumn>
    <filterColumn colId="4">
      <customFilters>
        <customFilter operator="notEqual" val=" "/>
      </customFilters>
    </filterColumn>
    <filterColumn colId="27">
      <filters>
        <filter val="Activo"/>
      </filters>
    </filterColumn>
  </autoFilter>
  <mergeCells count="6">
    <mergeCell ref="A3120:AE3120"/>
    <mergeCell ref="A1:AE1"/>
    <mergeCell ref="A2:AE2"/>
    <mergeCell ref="A3:AE3"/>
    <mergeCell ref="A4:AE4"/>
    <mergeCell ref="A5:AE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A69B-46E8-4F49-A168-10D02EACE2A6}">
  <dimension ref="A2:P2085"/>
  <sheetViews>
    <sheetView topLeftCell="C1" workbookViewId="0">
      <selection activeCell="P3" sqref="P3:P2085"/>
    </sheetView>
  </sheetViews>
  <sheetFormatPr baseColWidth="10" defaultRowHeight="15" x14ac:dyDescent="0.25"/>
  <cols>
    <col min="1" max="1" width="7.42578125" customWidth="1"/>
    <col min="2" max="2" width="81.140625" customWidth="1"/>
    <col min="3" max="3" width="14" customWidth="1"/>
    <col min="4" max="4" width="18.85546875" bestFit="1" customWidth="1"/>
    <col min="5" max="5" width="23.42578125" bestFit="1" customWidth="1"/>
    <col min="6" max="6" width="11.42578125" customWidth="1"/>
    <col min="7" max="7" width="33.85546875" bestFit="1" customWidth="1"/>
    <col min="8" max="8" width="13.28515625" bestFit="1" customWidth="1"/>
    <col min="9" max="9" width="35.28515625" bestFit="1" customWidth="1"/>
    <col min="10" max="10" width="12.28515625" bestFit="1" customWidth="1"/>
    <col min="11" max="11" width="26.140625" bestFit="1" customWidth="1"/>
    <col min="12" max="12" width="11" bestFit="1" customWidth="1"/>
    <col min="13" max="13" width="14" bestFit="1" customWidth="1"/>
    <col min="14" max="14" width="17.42578125" bestFit="1" customWidth="1"/>
    <col min="15" max="15" width="15.140625" bestFit="1" customWidth="1"/>
  </cols>
  <sheetData>
    <row r="2" spans="1:16" x14ac:dyDescent="0.25">
      <c r="A2" s="1" t="s">
        <v>2</v>
      </c>
      <c r="B2" s="1" t="s">
        <v>3</v>
      </c>
      <c r="C2" s="1" t="s">
        <v>4</v>
      </c>
      <c r="D2" s="1" t="s">
        <v>5</v>
      </c>
      <c r="E2" s="1" t="s">
        <v>6</v>
      </c>
      <c r="F2" s="1" t="s">
        <v>7</v>
      </c>
      <c r="G2" s="1" t="s">
        <v>9</v>
      </c>
      <c r="H2" s="1" t="s">
        <v>15</v>
      </c>
      <c r="I2" s="1" t="s">
        <v>16</v>
      </c>
      <c r="J2" s="1" t="s">
        <v>17</v>
      </c>
      <c r="K2" s="1" t="s">
        <v>18</v>
      </c>
      <c r="L2" s="1" t="s">
        <v>29</v>
      </c>
      <c r="M2" s="1" t="s">
        <v>30</v>
      </c>
      <c r="N2" s="1" t="s">
        <v>31</v>
      </c>
      <c r="O2" s="1" t="s">
        <v>32</v>
      </c>
      <c r="P2" s="19" t="s">
        <v>15217</v>
      </c>
    </row>
    <row r="3" spans="1:16" x14ac:dyDescent="0.25">
      <c r="A3" t="s">
        <v>33</v>
      </c>
      <c r="B3" t="s">
        <v>34</v>
      </c>
      <c r="C3" t="s">
        <v>34</v>
      </c>
      <c r="D3" t="s">
        <v>35</v>
      </c>
      <c r="E3" t="s">
        <v>36</v>
      </c>
      <c r="F3" t="s">
        <v>37</v>
      </c>
      <c r="G3" t="s">
        <v>38</v>
      </c>
      <c r="H3" t="s">
        <v>40</v>
      </c>
      <c r="I3" t="s">
        <v>41</v>
      </c>
      <c r="J3" t="s">
        <v>42</v>
      </c>
      <c r="K3" t="s">
        <v>43</v>
      </c>
      <c r="L3" t="s">
        <v>50</v>
      </c>
      <c r="M3" s="2">
        <v>-81869.91</v>
      </c>
      <c r="N3" t="s">
        <v>51</v>
      </c>
      <c r="O3" t="s">
        <v>52</v>
      </c>
      <c r="P3" t="str">
        <f>CONCATENATE("'",Tabla1[[#This Row],[Codigo]],"',")</f>
        <v>'00001',</v>
      </c>
    </row>
    <row r="4" spans="1:16" x14ac:dyDescent="0.25">
      <c r="A4" t="s">
        <v>73</v>
      </c>
      <c r="B4" t="s">
        <v>74</v>
      </c>
      <c r="C4" t="s">
        <v>75</v>
      </c>
      <c r="D4" t="s">
        <v>76</v>
      </c>
      <c r="E4" t="s">
        <v>77</v>
      </c>
      <c r="F4" t="s">
        <v>78</v>
      </c>
      <c r="G4" t="s">
        <v>79</v>
      </c>
      <c r="H4" t="s">
        <v>80</v>
      </c>
      <c r="I4" t="s">
        <v>81</v>
      </c>
      <c r="J4" t="s">
        <v>82</v>
      </c>
      <c r="K4" t="s">
        <v>83</v>
      </c>
      <c r="L4" t="s">
        <v>50</v>
      </c>
      <c r="M4" s="2">
        <v>174536</v>
      </c>
      <c r="N4" t="s">
        <v>64</v>
      </c>
      <c r="P4" t="str">
        <f>CONCATENATE("'",Tabla1[[#This Row],[Codigo]],"',")</f>
        <v>'00004',</v>
      </c>
    </row>
    <row r="5" spans="1:16" x14ac:dyDescent="0.25">
      <c r="A5" t="s">
        <v>95</v>
      </c>
      <c r="B5" t="s">
        <v>96</v>
      </c>
      <c r="C5" t="s">
        <v>96</v>
      </c>
      <c r="D5" t="s">
        <v>35</v>
      </c>
      <c r="E5" t="s">
        <v>36</v>
      </c>
      <c r="F5" t="s">
        <v>97</v>
      </c>
      <c r="G5" t="s">
        <v>99</v>
      </c>
      <c r="H5" t="s">
        <v>101</v>
      </c>
      <c r="I5" t="s">
        <v>102</v>
      </c>
      <c r="J5" t="s">
        <v>103</v>
      </c>
      <c r="K5" t="s">
        <v>104</v>
      </c>
      <c r="L5" t="s">
        <v>50</v>
      </c>
      <c r="M5" s="2">
        <v>76829.19</v>
      </c>
      <c r="N5" t="s">
        <v>108</v>
      </c>
      <c r="P5" t="str">
        <f>CONCATENATE("'",Tabla1[[#This Row],[Codigo]],"',")</f>
        <v>'00006',</v>
      </c>
    </row>
    <row r="6" spans="1:16" x14ac:dyDescent="0.25">
      <c r="A6" s="15" t="s">
        <v>109</v>
      </c>
      <c r="B6" s="15" t="s">
        <v>110</v>
      </c>
      <c r="C6" s="15" t="s">
        <v>110</v>
      </c>
      <c r="D6" s="15" t="s">
        <v>55</v>
      </c>
      <c r="E6" s="15" t="s">
        <v>56</v>
      </c>
      <c r="F6" s="15" t="s">
        <v>111</v>
      </c>
      <c r="G6" s="15" t="s">
        <v>87</v>
      </c>
      <c r="H6" s="15" t="s">
        <v>89</v>
      </c>
      <c r="I6" s="15" t="s">
        <v>90</v>
      </c>
      <c r="J6" s="15" t="s">
        <v>42</v>
      </c>
      <c r="K6" s="15" t="s">
        <v>43</v>
      </c>
      <c r="L6" s="15" t="s">
        <v>50</v>
      </c>
      <c r="M6" s="16">
        <v>21079.81</v>
      </c>
      <c r="N6" s="15" t="s">
        <v>114</v>
      </c>
      <c r="O6" s="15" t="s">
        <v>115</v>
      </c>
      <c r="P6" t="str">
        <f>CONCATENATE("'",Tabla1[[#This Row],[Codigo]],"',")</f>
        <v>'00007',</v>
      </c>
    </row>
    <row r="7" spans="1:16" x14ac:dyDescent="0.25">
      <c r="A7" t="s">
        <v>123</v>
      </c>
      <c r="B7" t="s">
        <v>124</v>
      </c>
      <c r="C7" t="s">
        <v>124</v>
      </c>
      <c r="D7" t="s">
        <v>125</v>
      </c>
      <c r="E7" t="s">
        <v>126</v>
      </c>
      <c r="F7" t="s">
        <v>127</v>
      </c>
      <c r="G7" t="s">
        <v>38</v>
      </c>
      <c r="H7" t="s">
        <v>40</v>
      </c>
      <c r="I7" t="s">
        <v>41</v>
      </c>
      <c r="J7" t="s">
        <v>61</v>
      </c>
      <c r="K7" t="s">
        <v>62</v>
      </c>
      <c r="L7" t="s">
        <v>50</v>
      </c>
      <c r="M7" s="2">
        <v>504238.73</v>
      </c>
      <c r="N7" t="s">
        <v>130</v>
      </c>
      <c r="O7" t="s">
        <v>52</v>
      </c>
      <c r="P7" t="str">
        <f>CONCATENATE("'",Tabla1[[#This Row],[Codigo]],"',")</f>
        <v>'00009',</v>
      </c>
    </row>
    <row r="8" spans="1:16" x14ac:dyDescent="0.25">
      <c r="A8" t="s">
        <v>143</v>
      </c>
      <c r="B8" t="s">
        <v>144</v>
      </c>
      <c r="C8" t="s">
        <v>144</v>
      </c>
      <c r="D8" t="s">
        <v>125</v>
      </c>
      <c r="E8" t="s">
        <v>126</v>
      </c>
      <c r="F8" t="s">
        <v>145</v>
      </c>
      <c r="G8" t="s">
        <v>38</v>
      </c>
      <c r="H8" t="s">
        <v>40</v>
      </c>
      <c r="I8" t="s">
        <v>41</v>
      </c>
      <c r="J8" t="s">
        <v>61</v>
      </c>
      <c r="K8" t="s">
        <v>62</v>
      </c>
      <c r="L8" t="s">
        <v>50</v>
      </c>
      <c r="M8" s="2">
        <v>12567.3</v>
      </c>
      <c r="N8" t="s">
        <v>148</v>
      </c>
      <c r="O8" t="s">
        <v>115</v>
      </c>
      <c r="P8" t="str">
        <f>CONCATENATE("'",Tabla1[[#This Row],[Codigo]],"',")</f>
        <v>'00010',</v>
      </c>
    </row>
    <row r="9" spans="1:16" x14ac:dyDescent="0.25">
      <c r="A9" t="s">
        <v>149</v>
      </c>
      <c r="B9" t="s">
        <v>150</v>
      </c>
      <c r="C9" t="s">
        <v>151</v>
      </c>
      <c r="D9" t="s">
        <v>35</v>
      </c>
      <c r="E9" t="s">
        <v>36</v>
      </c>
      <c r="F9" t="s">
        <v>152</v>
      </c>
      <c r="G9" t="s">
        <v>154</v>
      </c>
      <c r="H9" t="s">
        <v>156</v>
      </c>
      <c r="I9" t="s">
        <v>157</v>
      </c>
      <c r="J9" t="s">
        <v>158</v>
      </c>
      <c r="K9" t="s">
        <v>159</v>
      </c>
      <c r="L9" t="s">
        <v>50</v>
      </c>
      <c r="M9" s="2">
        <v>1799818.1</v>
      </c>
      <c r="N9" t="s">
        <v>163</v>
      </c>
      <c r="O9" t="s">
        <v>52</v>
      </c>
      <c r="P9" t="str">
        <f>CONCATENATE("'",Tabla1[[#This Row],[Codigo]],"',")</f>
        <v>'00011',</v>
      </c>
    </row>
    <row r="10" spans="1:16" x14ac:dyDescent="0.25">
      <c r="A10" t="s">
        <v>164</v>
      </c>
      <c r="B10" t="s">
        <v>165</v>
      </c>
      <c r="C10" t="s">
        <v>165</v>
      </c>
      <c r="D10" t="s">
        <v>166</v>
      </c>
      <c r="E10" t="s">
        <v>167</v>
      </c>
      <c r="F10" t="s">
        <v>168</v>
      </c>
      <c r="G10" t="s">
        <v>170</v>
      </c>
      <c r="H10" t="s">
        <v>172</v>
      </c>
      <c r="I10" t="s">
        <v>173</v>
      </c>
      <c r="J10" t="s">
        <v>158</v>
      </c>
      <c r="K10" t="s">
        <v>159</v>
      </c>
      <c r="L10" t="s">
        <v>50</v>
      </c>
      <c r="M10" s="2">
        <v>669329.87</v>
      </c>
      <c r="N10" t="s">
        <v>175</v>
      </c>
      <c r="P10" t="str">
        <f>CONCATENATE("'",Tabla1[[#This Row],[Codigo]],"',")</f>
        <v>'00012',</v>
      </c>
    </row>
    <row r="11" spans="1:16" x14ac:dyDescent="0.25">
      <c r="A11" t="s">
        <v>176</v>
      </c>
      <c r="B11" t="s">
        <v>177</v>
      </c>
      <c r="C11" t="s">
        <v>177</v>
      </c>
      <c r="D11" t="s">
        <v>178</v>
      </c>
      <c r="E11" t="s">
        <v>179</v>
      </c>
      <c r="F11" t="s">
        <v>180</v>
      </c>
      <c r="G11" t="s">
        <v>181</v>
      </c>
      <c r="H11" t="s">
        <v>183</v>
      </c>
      <c r="I11" t="s">
        <v>184</v>
      </c>
      <c r="J11" t="s">
        <v>158</v>
      </c>
      <c r="K11" t="s">
        <v>159</v>
      </c>
      <c r="L11" t="s">
        <v>50</v>
      </c>
      <c r="M11" s="2">
        <v>169376.03</v>
      </c>
      <c r="N11" t="s">
        <v>186</v>
      </c>
      <c r="O11" t="s">
        <v>52</v>
      </c>
      <c r="P11" t="str">
        <f>CONCATENATE("'",Tabla1[[#This Row],[Codigo]],"',")</f>
        <v>'00013',</v>
      </c>
    </row>
    <row r="12" spans="1:16" x14ac:dyDescent="0.25">
      <c r="A12" t="s">
        <v>187</v>
      </c>
      <c r="B12" t="s">
        <v>188</v>
      </c>
      <c r="C12" t="s">
        <v>188</v>
      </c>
      <c r="D12" t="s">
        <v>189</v>
      </c>
      <c r="E12" t="s">
        <v>190</v>
      </c>
      <c r="F12" t="s">
        <v>191</v>
      </c>
      <c r="G12" t="s">
        <v>193</v>
      </c>
      <c r="H12" t="s">
        <v>195</v>
      </c>
      <c r="I12" t="s">
        <v>196</v>
      </c>
      <c r="J12" t="s">
        <v>61</v>
      </c>
      <c r="K12" t="s">
        <v>62</v>
      </c>
      <c r="L12" t="s">
        <v>50</v>
      </c>
      <c r="M12" s="2">
        <v>352305</v>
      </c>
      <c r="N12" t="s">
        <v>64</v>
      </c>
      <c r="P12" t="str">
        <f>CONCATENATE("'",Tabla1[[#This Row],[Codigo]],"',")</f>
        <v>'00014',</v>
      </c>
    </row>
    <row r="13" spans="1:16" x14ac:dyDescent="0.25">
      <c r="A13" t="s">
        <v>220</v>
      </c>
      <c r="B13" t="s">
        <v>15137</v>
      </c>
      <c r="C13" t="s">
        <v>222</v>
      </c>
      <c r="D13" t="s">
        <v>223</v>
      </c>
      <c r="E13" t="s">
        <v>224</v>
      </c>
      <c r="F13" t="s">
        <v>57</v>
      </c>
      <c r="G13" t="s">
        <v>38</v>
      </c>
      <c r="H13" t="s">
        <v>40</v>
      </c>
      <c r="I13" t="s">
        <v>41</v>
      </c>
      <c r="J13" t="s">
        <v>61</v>
      </c>
      <c r="K13" t="s">
        <v>62</v>
      </c>
      <c r="L13" t="s">
        <v>50</v>
      </c>
      <c r="M13" s="2">
        <v>184031.85</v>
      </c>
      <c r="N13" t="s">
        <v>225</v>
      </c>
      <c r="P13" t="str">
        <f>CONCATENATE("'",Tabla1[[#This Row],[Codigo]],"',")</f>
        <v>'00018',</v>
      </c>
    </row>
    <row r="14" spans="1:16" x14ac:dyDescent="0.25">
      <c r="A14" t="s">
        <v>226</v>
      </c>
      <c r="B14" t="s">
        <v>227</v>
      </c>
      <c r="C14" t="s">
        <v>227</v>
      </c>
      <c r="D14" t="s">
        <v>35</v>
      </c>
      <c r="E14" t="s">
        <v>36</v>
      </c>
      <c r="F14" t="s">
        <v>228</v>
      </c>
      <c r="G14" t="s">
        <v>229</v>
      </c>
      <c r="H14" t="s">
        <v>231</v>
      </c>
      <c r="I14" t="s">
        <v>232</v>
      </c>
      <c r="J14" t="s">
        <v>61</v>
      </c>
      <c r="K14" t="s">
        <v>62</v>
      </c>
      <c r="L14" t="s">
        <v>50</v>
      </c>
      <c r="M14" s="2">
        <v>20078.43</v>
      </c>
      <c r="N14" t="s">
        <v>234</v>
      </c>
      <c r="O14" t="s">
        <v>52</v>
      </c>
      <c r="P14" t="str">
        <f>CONCATENATE("'",Tabla1[[#This Row],[Codigo]],"',")</f>
        <v>'00019',</v>
      </c>
    </row>
    <row r="15" spans="1:16" x14ac:dyDescent="0.25">
      <c r="A15" s="15" t="s">
        <v>235</v>
      </c>
      <c r="B15" s="15" t="s">
        <v>236</v>
      </c>
      <c r="C15" s="15" t="s">
        <v>236</v>
      </c>
      <c r="D15" s="15" t="s">
        <v>55</v>
      </c>
      <c r="E15" s="15" t="s">
        <v>56</v>
      </c>
      <c r="F15" s="15" t="s">
        <v>237</v>
      </c>
      <c r="G15" s="15" t="s">
        <v>238</v>
      </c>
      <c r="H15" s="15" t="s">
        <v>118</v>
      </c>
      <c r="I15" s="15" t="s">
        <v>119</v>
      </c>
      <c r="J15" s="15" t="s">
        <v>120</v>
      </c>
      <c r="K15" s="15" t="s">
        <v>121</v>
      </c>
      <c r="L15" s="15" t="s">
        <v>50</v>
      </c>
      <c r="M15" s="16">
        <v>216051.66</v>
      </c>
      <c r="N15" s="15" t="s">
        <v>241</v>
      </c>
      <c r="O15" s="15" t="s">
        <v>115</v>
      </c>
      <c r="P15" t="str">
        <f>CONCATENATE("'",Tabla1[[#This Row],[Codigo]],"',")</f>
        <v>'00020',</v>
      </c>
    </row>
    <row r="16" spans="1:16" x14ac:dyDescent="0.25">
      <c r="A16" t="s">
        <v>260</v>
      </c>
      <c r="B16" t="s">
        <v>261</v>
      </c>
      <c r="C16" t="s">
        <v>261</v>
      </c>
      <c r="D16" t="s">
        <v>262</v>
      </c>
      <c r="E16" t="s">
        <v>134</v>
      </c>
      <c r="F16" t="s">
        <v>263</v>
      </c>
      <c r="G16" t="s">
        <v>265</v>
      </c>
      <c r="H16" t="s">
        <v>267</v>
      </c>
      <c r="I16" t="s">
        <v>268</v>
      </c>
      <c r="J16" t="s">
        <v>103</v>
      </c>
      <c r="K16" t="s">
        <v>104</v>
      </c>
      <c r="L16" t="s">
        <v>50</v>
      </c>
      <c r="M16" s="2">
        <v>43634</v>
      </c>
      <c r="N16" t="s">
        <v>64</v>
      </c>
      <c r="P16" t="str">
        <f>CONCATENATE("'",Tabla1[[#This Row],[Codigo]],"',")</f>
        <v>'00024',</v>
      </c>
    </row>
    <row r="17" spans="1:16" x14ac:dyDescent="0.25">
      <c r="A17" t="s">
        <v>270</v>
      </c>
      <c r="B17" t="s">
        <v>271</v>
      </c>
      <c r="C17" t="s">
        <v>271</v>
      </c>
      <c r="D17" t="s">
        <v>153</v>
      </c>
      <c r="E17" t="s">
        <v>272</v>
      </c>
      <c r="F17" t="s">
        <v>273</v>
      </c>
      <c r="G17" t="s">
        <v>274</v>
      </c>
      <c r="H17" t="s">
        <v>276</v>
      </c>
      <c r="I17" t="s">
        <v>277</v>
      </c>
      <c r="J17" t="s">
        <v>103</v>
      </c>
      <c r="K17" t="s">
        <v>104</v>
      </c>
      <c r="L17" t="s">
        <v>50</v>
      </c>
      <c r="M17" s="2">
        <v>94372.23</v>
      </c>
      <c r="N17" t="s">
        <v>281</v>
      </c>
      <c r="O17" t="s">
        <v>52</v>
      </c>
      <c r="P17" t="str">
        <f>CONCATENATE("'",Tabla1[[#This Row],[Codigo]],"',")</f>
        <v>'00025',</v>
      </c>
    </row>
    <row r="18" spans="1:16" x14ac:dyDescent="0.25">
      <c r="A18" t="s">
        <v>295</v>
      </c>
      <c r="B18" t="s">
        <v>296</v>
      </c>
      <c r="C18" t="s">
        <v>296</v>
      </c>
      <c r="D18" t="s">
        <v>297</v>
      </c>
      <c r="E18" t="s">
        <v>167</v>
      </c>
      <c r="F18" t="s">
        <v>298</v>
      </c>
      <c r="G18" t="s">
        <v>300</v>
      </c>
      <c r="H18" t="s">
        <v>302</v>
      </c>
      <c r="I18" t="s">
        <v>303</v>
      </c>
      <c r="J18" t="s">
        <v>304</v>
      </c>
      <c r="K18" t="s">
        <v>72</v>
      </c>
      <c r="L18" t="s">
        <v>50</v>
      </c>
      <c r="M18" s="2">
        <v>302764.98</v>
      </c>
      <c r="N18" t="s">
        <v>306</v>
      </c>
      <c r="O18" t="s">
        <v>52</v>
      </c>
      <c r="P18" t="str">
        <f>CONCATENATE("'",Tabla1[[#This Row],[Codigo]],"',")</f>
        <v>'00028',</v>
      </c>
    </row>
    <row r="19" spans="1:16" x14ac:dyDescent="0.25">
      <c r="A19" t="s">
        <v>319</v>
      </c>
      <c r="B19" t="s">
        <v>320</v>
      </c>
      <c r="C19" t="s">
        <v>320</v>
      </c>
      <c r="D19" t="s">
        <v>321</v>
      </c>
      <c r="E19" t="s">
        <v>224</v>
      </c>
      <c r="F19" t="s">
        <v>322</v>
      </c>
      <c r="G19" t="s">
        <v>324</v>
      </c>
      <c r="H19" t="s">
        <v>326</v>
      </c>
      <c r="I19" t="s">
        <v>327</v>
      </c>
      <c r="J19" t="s">
        <v>120</v>
      </c>
      <c r="K19" t="s">
        <v>121</v>
      </c>
      <c r="L19" t="s">
        <v>50</v>
      </c>
      <c r="M19" s="2">
        <v>491646</v>
      </c>
      <c r="N19" t="s">
        <v>64</v>
      </c>
      <c r="P19" t="str">
        <f>CONCATENATE("'",Tabla1[[#This Row],[Codigo]],"',")</f>
        <v>'00031',</v>
      </c>
    </row>
    <row r="20" spans="1:16" x14ac:dyDescent="0.25">
      <c r="A20" t="s">
        <v>329</v>
      </c>
      <c r="B20" t="s">
        <v>330</v>
      </c>
      <c r="C20" t="s">
        <v>330</v>
      </c>
      <c r="D20" t="s">
        <v>331</v>
      </c>
      <c r="E20" t="s">
        <v>224</v>
      </c>
      <c r="F20" t="s">
        <v>332</v>
      </c>
      <c r="G20" t="s">
        <v>324</v>
      </c>
      <c r="H20" t="s">
        <v>326</v>
      </c>
      <c r="I20" t="s">
        <v>327</v>
      </c>
      <c r="J20" t="s">
        <v>120</v>
      </c>
      <c r="K20" t="s">
        <v>121</v>
      </c>
      <c r="L20" t="s">
        <v>50</v>
      </c>
      <c r="M20" s="2">
        <v>2182</v>
      </c>
      <c r="N20" t="s">
        <v>64</v>
      </c>
      <c r="P20" t="str">
        <f>CONCATENATE("'",Tabla1[[#This Row],[Codigo]],"',")</f>
        <v>'00032',</v>
      </c>
    </row>
    <row r="21" spans="1:16" x14ac:dyDescent="0.25">
      <c r="A21" t="s">
        <v>342</v>
      </c>
      <c r="B21" t="s">
        <v>343</v>
      </c>
      <c r="C21" t="s">
        <v>343</v>
      </c>
      <c r="D21" t="s">
        <v>344</v>
      </c>
      <c r="E21" t="s">
        <v>167</v>
      </c>
      <c r="F21" t="s">
        <v>345</v>
      </c>
      <c r="G21" t="s">
        <v>346</v>
      </c>
      <c r="H21" t="s">
        <v>348</v>
      </c>
      <c r="I21" t="s">
        <v>349</v>
      </c>
      <c r="J21" t="s">
        <v>316</v>
      </c>
      <c r="K21" t="s">
        <v>317</v>
      </c>
      <c r="L21" t="s">
        <v>50</v>
      </c>
      <c r="M21" s="2">
        <v>179346.74</v>
      </c>
      <c r="N21" t="s">
        <v>351</v>
      </c>
      <c r="O21" t="s">
        <v>52</v>
      </c>
      <c r="P21" t="str">
        <f>CONCATENATE("'",Tabla1[[#This Row],[Codigo]],"',")</f>
        <v>'00034',</v>
      </c>
    </row>
    <row r="22" spans="1:16" x14ac:dyDescent="0.25">
      <c r="A22" t="s">
        <v>352</v>
      </c>
      <c r="B22" t="s">
        <v>353</v>
      </c>
      <c r="C22" t="s">
        <v>353</v>
      </c>
      <c r="D22" t="s">
        <v>153</v>
      </c>
      <c r="E22" t="s">
        <v>272</v>
      </c>
      <c r="F22" t="s">
        <v>354</v>
      </c>
      <c r="G22" t="s">
        <v>238</v>
      </c>
      <c r="H22" t="s">
        <v>118</v>
      </c>
      <c r="I22" t="s">
        <v>119</v>
      </c>
      <c r="J22" t="s">
        <v>120</v>
      </c>
      <c r="K22" t="s">
        <v>121</v>
      </c>
      <c r="L22" t="s">
        <v>50</v>
      </c>
      <c r="M22" s="2">
        <v>4335125.32</v>
      </c>
      <c r="N22" t="s">
        <v>357</v>
      </c>
      <c r="O22" t="s">
        <v>52</v>
      </c>
      <c r="P22" t="str">
        <f>CONCATENATE("'",Tabla1[[#This Row],[Codigo]],"',")</f>
        <v>'00035',</v>
      </c>
    </row>
    <row r="23" spans="1:16" x14ac:dyDescent="0.25">
      <c r="A23" t="s">
        <v>363</v>
      </c>
      <c r="B23" t="s">
        <v>364</v>
      </c>
      <c r="C23" t="s">
        <v>364</v>
      </c>
      <c r="D23" t="s">
        <v>153</v>
      </c>
      <c r="E23" t="s">
        <v>272</v>
      </c>
      <c r="F23" t="s">
        <v>365</v>
      </c>
      <c r="G23" t="s">
        <v>366</v>
      </c>
      <c r="H23" t="s">
        <v>348</v>
      </c>
      <c r="I23" t="s">
        <v>349</v>
      </c>
      <c r="J23" t="s">
        <v>316</v>
      </c>
      <c r="K23" t="s">
        <v>317</v>
      </c>
      <c r="L23" t="s">
        <v>50</v>
      </c>
      <c r="M23" s="2">
        <v>292828.71999999997</v>
      </c>
      <c r="N23" t="s">
        <v>369</v>
      </c>
      <c r="O23" t="s">
        <v>115</v>
      </c>
      <c r="P23" t="str">
        <f>CONCATENATE("'",Tabla1[[#This Row],[Codigo]],"',")</f>
        <v>'00037',</v>
      </c>
    </row>
    <row r="24" spans="1:16" x14ac:dyDescent="0.25">
      <c r="A24" t="s">
        <v>388</v>
      </c>
      <c r="B24" t="s">
        <v>389</v>
      </c>
      <c r="C24" t="s">
        <v>389</v>
      </c>
      <c r="D24" t="s">
        <v>178</v>
      </c>
      <c r="E24" t="s">
        <v>179</v>
      </c>
      <c r="F24" t="s">
        <v>390</v>
      </c>
      <c r="G24" t="s">
        <v>391</v>
      </c>
      <c r="H24" t="s">
        <v>393</v>
      </c>
      <c r="I24" t="s">
        <v>394</v>
      </c>
      <c r="J24" t="s">
        <v>61</v>
      </c>
      <c r="K24" t="s">
        <v>62</v>
      </c>
      <c r="L24" t="s">
        <v>50</v>
      </c>
      <c r="M24" s="2">
        <v>10837.13</v>
      </c>
      <c r="N24" t="s">
        <v>396</v>
      </c>
      <c r="O24" t="s">
        <v>52</v>
      </c>
      <c r="P24" t="str">
        <f>CONCATENATE("'",Tabla1[[#This Row],[Codigo]],"',")</f>
        <v>'00043',</v>
      </c>
    </row>
    <row r="25" spans="1:16" x14ac:dyDescent="0.25">
      <c r="A25" t="s">
        <v>406</v>
      </c>
      <c r="B25" t="s">
        <v>407</v>
      </c>
      <c r="C25" t="s">
        <v>407</v>
      </c>
      <c r="D25" t="s">
        <v>125</v>
      </c>
      <c r="E25" t="s">
        <v>126</v>
      </c>
      <c r="F25" t="s">
        <v>408</v>
      </c>
      <c r="G25" t="s">
        <v>324</v>
      </c>
      <c r="H25" t="s">
        <v>326</v>
      </c>
      <c r="I25" t="s">
        <v>327</v>
      </c>
      <c r="J25" t="s">
        <v>120</v>
      </c>
      <c r="K25" t="s">
        <v>121</v>
      </c>
      <c r="L25" t="s">
        <v>50</v>
      </c>
      <c r="M25" s="2">
        <v>677586.53</v>
      </c>
      <c r="N25" t="s">
        <v>411</v>
      </c>
      <c r="O25" t="s">
        <v>52</v>
      </c>
      <c r="P25" t="str">
        <f>CONCATENATE("'",Tabla1[[#This Row],[Codigo]],"',")</f>
        <v>'00046',</v>
      </c>
    </row>
    <row r="26" spans="1:16" x14ac:dyDescent="0.25">
      <c r="A26" t="s">
        <v>412</v>
      </c>
      <c r="B26" t="s">
        <v>413</v>
      </c>
      <c r="C26" t="s">
        <v>413</v>
      </c>
      <c r="D26" t="s">
        <v>125</v>
      </c>
      <c r="E26" t="s">
        <v>126</v>
      </c>
      <c r="F26" t="s">
        <v>414</v>
      </c>
      <c r="G26" t="s">
        <v>415</v>
      </c>
      <c r="H26" t="s">
        <v>417</v>
      </c>
      <c r="I26" t="s">
        <v>418</v>
      </c>
      <c r="J26" t="s">
        <v>61</v>
      </c>
      <c r="K26" t="s">
        <v>62</v>
      </c>
      <c r="L26" t="s">
        <v>50</v>
      </c>
      <c r="M26" s="2">
        <v>187085.96</v>
      </c>
      <c r="N26" t="s">
        <v>420</v>
      </c>
      <c r="O26" t="s">
        <v>52</v>
      </c>
      <c r="P26" t="str">
        <f>CONCATENATE("'",Tabla1[[#This Row],[Codigo]],"',")</f>
        <v>'00047',</v>
      </c>
    </row>
    <row r="27" spans="1:16" x14ac:dyDescent="0.25">
      <c r="A27" t="s">
        <v>423</v>
      </c>
      <c r="B27" t="s">
        <v>424</v>
      </c>
      <c r="C27" t="s">
        <v>424</v>
      </c>
      <c r="D27" t="s">
        <v>299</v>
      </c>
      <c r="E27" t="s">
        <v>167</v>
      </c>
      <c r="F27" t="s">
        <v>425</v>
      </c>
      <c r="G27" t="s">
        <v>324</v>
      </c>
      <c r="H27" t="s">
        <v>326</v>
      </c>
      <c r="I27" t="s">
        <v>327</v>
      </c>
      <c r="J27" t="s">
        <v>120</v>
      </c>
      <c r="K27" t="s">
        <v>121</v>
      </c>
      <c r="L27" t="s">
        <v>50</v>
      </c>
      <c r="M27" s="2">
        <v>165431.35999999999</v>
      </c>
      <c r="N27" t="s">
        <v>428</v>
      </c>
      <c r="P27" t="str">
        <f>CONCATENATE("'",Tabla1[[#This Row],[Codigo]],"',")</f>
        <v>'00049',</v>
      </c>
    </row>
    <row r="28" spans="1:16" x14ac:dyDescent="0.25">
      <c r="A28" t="s">
        <v>431</v>
      </c>
      <c r="B28" t="s">
        <v>432</v>
      </c>
      <c r="C28" t="s">
        <v>432</v>
      </c>
      <c r="D28" t="s">
        <v>125</v>
      </c>
      <c r="E28" t="s">
        <v>126</v>
      </c>
      <c r="F28" t="s">
        <v>433</v>
      </c>
      <c r="G28" t="s">
        <v>434</v>
      </c>
      <c r="H28" t="s">
        <v>436</v>
      </c>
      <c r="I28" t="s">
        <v>437</v>
      </c>
      <c r="J28" t="s">
        <v>316</v>
      </c>
      <c r="K28" t="s">
        <v>317</v>
      </c>
      <c r="L28" t="s">
        <v>50</v>
      </c>
      <c r="M28" s="2">
        <v>227009.21</v>
      </c>
      <c r="N28" t="s">
        <v>439</v>
      </c>
      <c r="O28" t="s">
        <v>52</v>
      </c>
      <c r="P28" t="str">
        <f>CONCATENATE("'",Tabla1[[#This Row],[Codigo]],"',")</f>
        <v>'00051',</v>
      </c>
    </row>
    <row r="29" spans="1:16" x14ac:dyDescent="0.25">
      <c r="A29" t="s">
        <v>440</v>
      </c>
      <c r="B29" t="s">
        <v>441</v>
      </c>
      <c r="C29" t="s">
        <v>441</v>
      </c>
      <c r="D29" t="s">
        <v>153</v>
      </c>
      <c r="E29" t="s">
        <v>272</v>
      </c>
      <c r="F29" t="s">
        <v>442</v>
      </c>
      <c r="G29" t="s">
        <v>443</v>
      </c>
      <c r="H29" t="s">
        <v>445</v>
      </c>
      <c r="I29" t="s">
        <v>446</v>
      </c>
      <c r="J29" t="s">
        <v>69</v>
      </c>
      <c r="K29" t="s">
        <v>70</v>
      </c>
      <c r="L29" t="s">
        <v>50</v>
      </c>
      <c r="M29" s="2">
        <v>131025.4</v>
      </c>
      <c r="N29" t="s">
        <v>448</v>
      </c>
      <c r="O29" t="s">
        <v>115</v>
      </c>
      <c r="P29" t="str">
        <f>CONCATENATE("'",Tabla1[[#This Row],[Codigo]],"',")</f>
        <v>'00052',</v>
      </c>
    </row>
    <row r="30" spans="1:16" x14ac:dyDescent="0.25">
      <c r="A30" t="s">
        <v>449</v>
      </c>
      <c r="B30" t="s">
        <v>450</v>
      </c>
      <c r="C30" t="s">
        <v>450</v>
      </c>
      <c r="D30" t="s">
        <v>125</v>
      </c>
      <c r="E30" t="s">
        <v>126</v>
      </c>
      <c r="F30" t="s">
        <v>451</v>
      </c>
      <c r="G30" t="s">
        <v>366</v>
      </c>
      <c r="H30" t="s">
        <v>348</v>
      </c>
      <c r="I30" t="s">
        <v>349</v>
      </c>
      <c r="J30" t="s">
        <v>316</v>
      </c>
      <c r="K30" t="s">
        <v>317</v>
      </c>
      <c r="L30" t="s">
        <v>50</v>
      </c>
      <c r="M30" s="2">
        <v>79775.19</v>
      </c>
      <c r="N30" t="s">
        <v>454</v>
      </c>
      <c r="O30" t="s">
        <v>52</v>
      </c>
      <c r="P30" t="str">
        <f>CONCATENATE("'",Tabla1[[#This Row],[Codigo]],"',")</f>
        <v>'00053',</v>
      </c>
    </row>
    <row r="31" spans="1:16" x14ac:dyDescent="0.25">
      <c r="A31" t="s">
        <v>462</v>
      </c>
      <c r="B31" t="s">
        <v>463</v>
      </c>
      <c r="C31" t="s">
        <v>463</v>
      </c>
      <c r="D31" t="s">
        <v>125</v>
      </c>
      <c r="E31" t="s">
        <v>126</v>
      </c>
      <c r="F31" t="s">
        <v>464</v>
      </c>
      <c r="G31" t="s">
        <v>324</v>
      </c>
      <c r="H31" t="s">
        <v>326</v>
      </c>
      <c r="I31" t="s">
        <v>327</v>
      </c>
      <c r="J31" t="s">
        <v>120</v>
      </c>
      <c r="K31" t="s">
        <v>121</v>
      </c>
      <c r="L31" t="s">
        <v>50</v>
      </c>
      <c r="M31" s="2">
        <v>1448.33</v>
      </c>
      <c r="N31" t="s">
        <v>467</v>
      </c>
      <c r="O31" t="s">
        <v>52</v>
      </c>
      <c r="P31" t="str">
        <f>CONCATENATE("'",Tabla1[[#This Row],[Codigo]],"',")</f>
        <v>'00056',</v>
      </c>
    </row>
    <row r="32" spans="1:16" x14ac:dyDescent="0.25">
      <c r="A32" t="s">
        <v>475</v>
      </c>
      <c r="B32" t="s">
        <v>476</v>
      </c>
      <c r="C32" t="s">
        <v>476</v>
      </c>
      <c r="D32" t="s">
        <v>125</v>
      </c>
      <c r="E32" t="s">
        <v>126</v>
      </c>
      <c r="F32" t="s">
        <v>477</v>
      </c>
      <c r="G32" t="s">
        <v>38</v>
      </c>
      <c r="H32" t="s">
        <v>40</v>
      </c>
      <c r="I32" t="s">
        <v>41</v>
      </c>
      <c r="J32" t="s">
        <v>61</v>
      </c>
      <c r="K32" t="s">
        <v>62</v>
      </c>
      <c r="L32" t="s">
        <v>50</v>
      </c>
      <c r="M32" s="2">
        <v>39640.83</v>
      </c>
      <c r="N32" t="s">
        <v>481</v>
      </c>
      <c r="O32" t="s">
        <v>115</v>
      </c>
      <c r="P32" t="str">
        <f>CONCATENATE("'",Tabla1[[#This Row],[Codigo]],"',")</f>
        <v>'00059',</v>
      </c>
    </row>
    <row r="33" spans="1:16" x14ac:dyDescent="0.25">
      <c r="A33" t="s">
        <v>482</v>
      </c>
      <c r="B33" t="s">
        <v>483</v>
      </c>
      <c r="C33" t="s">
        <v>483</v>
      </c>
      <c r="D33" t="s">
        <v>178</v>
      </c>
      <c r="E33" t="s">
        <v>179</v>
      </c>
      <c r="F33" t="s">
        <v>484</v>
      </c>
      <c r="G33" t="s">
        <v>349</v>
      </c>
      <c r="H33" t="s">
        <v>348</v>
      </c>
      <c r="I33" t="s">
        <v>349</v>
      </c>
      <c r="J33" t="s">
        <v>316</v>
      </c>
      <c r="K33" t="s">
        <v>317</v>
      </c>
      <c r="L33" t="s">
        <v>50</v>
      </c>
      <c r="M33" s="2">
        <v>101146.19</v>
      </c>
      <c r="N33" t="s">
        <v>488</v>
      </c>
      <c r="O33" t="s">
        <v>115</v>
      </c>
      <c r="P33" t="str">
        <f>CONCATENATE("'",Tabla1[[#This Row],[Codigo]],"',")</f>
        <v>'00060',</v>
      </c>
    </row>
    <row r="34" spans="1:16" x14ac:dyDescent="0.25">
      <c r="A34" t="s">
        <v>489</v>
      </c>
      <c r="B34" t="s">
        <v>490</v>
      </c>
      <c r="C34" t="s">
        <v>491</v>
      </c>
      <c r="D34" t="s">
        <v>35</v>
      </c>
      <c r="E34" t="s">
        <v>36</v>
      </c>
      <c r="F34" t="s">
        <v>401</v>
      </c>
      <c r="G34" t="s">
        <v>404</v>
      </c>
      <c r="H34" t="s">
        <v>403</v>
      </c>
      <c r="I34" t="s">
        <v>404</v>
      </c>
      <c r="J34" t="s">
        <v>205</v>
      </c>
      <c r="K34" t="s">
        <v>206</v>
      </c>
      <c r="L34" t="s">
        <v>50</v>
      </c>
      <c r="M34" s="2">
        <v>42296057.960000001</v>
      </c>
      <c r="N34" t="s">
        <v>494</v>
      </c>
      <c r="O34" t="s">
        <v>52</v>
      </c>
      <c r="P34" t="str">
        <f>CONCATENATE("'",Tabla1[[#This Row],[Codigo]],"',")</f>
        <v>'00061',</v>
      </c>
    </row>
    <row r="35" spans="1:16" x14ac:dyDescent="0.25">
      <c r="A35" t="s">
        <v>496</v>
      </c>
      <c r="B35" t="s">
        <v>497</v>
      </c>
      <c r="C35" t="s">
        <v>497</v>
      </c>
      <c r="D35" t="s">
        <v>498</v>
      </c>
      <c r="E35" t="s">
        <v>190</v>
      </c>
      <c r="F35" t="s">
        <v>499</v>
      </c>
      <c r="G35" t="s">
        <v>349</v>
      </c>
      <c r="H35" t="s">
        <v>348</v>
      </c>
      <c r="I35" t="s">
        <v>349</v>
      </c>
      <c r="J35" t="s">
        <v>316</v>
      </c>
      <c r="K35" t="s">
        <v>317</v>
      </c>
      <c r="L35" t="s">
        <v>50</v>
      </c>
      <c r="M35" s="2">
        <v>3116.13</v>
      </c>
      <c r="N35" t="s">
        <v>502</v>
      </c>
      <c r="O35" t="s">
        <v>115</v>
      </c>
      <c r="P35" t="str">
        <f>CONCATENATE("'",Tabla1[[#This Row],[Codigo]],"',")</f>
        <v>'00063',</v>
      </c>
    </row>
    <row r="36" spans="1:16" x14ac:dyDescent="0.25">
      <c r="A36" t="s">
        <v>506</v>
      </c>
      <c r="B36" t="s">
        <v>507</v>
      </c>
      <c r="C36" t="s">
        <v>507</v>
      </c>
      <c r="D36" t="s">
        <v>125</v>
      </c>
      <c r="E36" t="s">
        <v>126</v>
      </c>
      <c r="F36" t="s">
        <v>508</v>
      </c>
      <c r="G36" t="s">
        <v>404</v>
      </c>
      <c r="H36" t="s">
        <v>403</v>
      </c>
      <c r="I36" t="s">
        <v>404</v>
      </c>
      <c r="J36" t="s">
        <v>205</v>
      </c>
      <c r="K36" t="s">
        <v>206</v>
      </c>
      <c r="L36" t="s">
        <v>50</v>
      </c>
      <c r="M36" s="2">
        <v>414217.41</v>
      </c>
      <c r="N36" t="s">
        <v>511</v>
      </c>
      <c r="O36" t="s">
        <v>52</v>
      </c>
      <c r="P36" t="str">
        <f>CONCATENATE("'",Tabla1[[#This Row],[Codigo]],"',")</f>
        <v>'00065',</v>
      </c>
    </row>
    <row r="37" spans="1:16" x14ac:dyDescent="0.25">
      <c r="A37" t="s">
        <v>517</v>
      </c>
      <c r="B37" t="s">
        <v>518</v>
      </c>
      <c r="C37" t="s">
        <v>518</v>
      </c>
      <c r="D37" t="s">
        <v>519</v>
      </c>
      <c r="E37" t="s">
        <v>77</v>
      </c>
      <c r="F37" t="s">
        <v>520</v>
      </c>
      <c r="G37" t="s">
        <v>521</v>
      </c>
      <c r="H37" t="s">
        <v>523</v>
      </c>
      <c r="I37" t="s">
        <v>524</v>
      </c>
      <c r="J37" t="s">
        <v>91</v>
      </c>
      <c r="K37" t="s">
        <v>92</v>
      </c>
      <c r="L37" t="s">
        <v>50</v>
      </c>
      <c r="M37" s="2">
        <v>21483</v>
      </c>
      <c r="N37" t="s">
        <v>64</v>
      </c>
      <c r="P37" t="str">
        <f>CONCATENATE("'",Tabla1[[#This Row],[Codigo]],"',")</f>
        <v>'00067',</v>
      </c>
    </row>
    <row r="38" spans="1:16" x14ac:dyDescent="0.25">
      <c r="A38" t="s">
        <v>531</v>
      </c>
      <c r="B38" t="s">
        <v>532</v>
      </c>
      <c r="C38" t="s">
        <v>532</v>
      </c>
      <c r="D38" t="s">
        <v>125</v>
      </c>
      <c r="E38" t="s">
        <v>126</v>
      </c>
      <c r="F38" t="s">
        <v>533</v>
      </c>
      <c r="G38" t="s">
        <v>394</v>
      </c>
      <c r="H38" t="s">
        <v>393</v>
      </c>
      <c r="I38" t="s">
        <v>394</v>
      </c>
      <c r="J38" t="s">
        <v>61</v>
      </c>
      <c r="K38" t="s">
        <v>62</v>
      </c>
      <c r="L38" t="s">
        <v>50</v>
      </c>
      <c r="M38" s="2">
        <v>637447.69999999995</v>
      </c>
      <c r="N38" t="s">
        <v>536</v>
      </c>
      <c r="O38" t="s">
        <v>52</v>
      </c>
      <c r="P38" t="str">
        <f>CONCATENATE("'",Tabla1[[#This Row],[Codigo]],"',")</f>
        <v>'00069',</v>
      </c>
    </row>
    <row r="39" spans="1:16" x14ac:dyDescent="0.25">
      <c r="A39" t="s">
        <v>551</v>
      </c>
      <c r="B39" t="s">
        <v>552</v>
      </c>
      <c r="C39" t="s">
        <v>552</v>
      </c>
      <c r="D39" t="s">
        <v>553</v>
      </c>
      <c r="E39" t="s">
        <v>167</v>
      </c>
      <c r="F39" t="s">
        <v>554</v>
      </c>
      <c r="G39" t="s">
        <v>81</v>
      </c>
      <c r="H39" t="s">
        <v>80</v>
      </c>
      <c r="I39" t="s">
        <v>81</v>
      </c>
      <c r="J39" t="s">
        <v>557</v>
      </c>
      <c r="K39" t="s">
        <v>558</v>
      </c>
      <c r="L39" t="s">
        <v>50</v>
      </c>
      <c r="M39" s="2">
        <v>147040.29</v>
      </c>
      <c r="N39" t="s">
        <v>560</v>
      </c>
      <c r="P39" t="str">
        <f>CONCATENATE("'",Tabla1[[#This Row],[Codigo]],"',")</f>
        <v>'00073',</v>
      </c>
    </row>
    <row r="40" spans="1:16" x14ac:dyDescent="0.25">
      <c r="A40" t="s">
        <v>567</v>
      </c>
      <c r="B40" t="s">
        <v>568</v>
      </c>
      <c r="C40" t="s">
        <v>568</v>
      </c>
      <c r="D40" t="s">
        <v>569</v>
      </c>
      <c r="E40" t="s">
        <v>570</v>
      </c>
      <c r="F40" t="s">
        <v>571</v>
      </c>
      <c r="G40" t="s">
        <v>87</v>
      </c>
      <c r="H40" t="s">
        <v>89</v>
      </c>
      <c r="I40" t="s">
        <v>90</v>
      </c>
      <c r="J40" t="s">
        <v>91</v>
      </c>
      <c r="K40" t="s">
        <v>92</v>
      </c>
      <c r="L40" t="s">
        <v>50</v>
      </c>
      <c r="M40" s="2">
        <v>327255</v>
      </c>
      <c r="N40" t="s">
        <v>64</v>
      </c>
      <c r="P40" t="str">
        <f>CONCATENATE("'",Tabla1[[#This Row],[Codigo]],"',")</f>
        <v>'00076',</v>
      </c>
    </row>
    <row r="41" spans="1:16" x14ac:dyDescent="0.25">
      <c r="A41" t="s">
        <v>574</v>
      </c>
      <c r="B41" t="s">
        <v>575</v>
      </c>
      <c r="C41" t="s">
        <v>575</v>
      </c>
      <c r="D41" t="s">
        <v>569</v>
      </c>
      <c r="E41" t="s">
        <v>570</v>
      </c>
      <c r="F41" t="s">
        <v>576</v>
      </c>
      <c r="G41" t="s">
        <v>196</v>
      </c>
      <c r="H41" t="s">
        <v>195</v>
      </c>
      <c r="I41" t="s">
        <v>196</v>
      </c>
      <c r="J41" t="s">
        <v>61</v>
      </c>
      <c r="K41" t="s">
        <v>62</v>
      </c>
      <c r="L41" t="s">
        <v>50</v>
      </c>
      <c r="M41" s="2">
        <v>64346.11</v>
      </c>
      <c r="N41" t="s">
        <v>580</v>
      </c>
      <c r="O41" t="s">
        <v>115</v>
      </c>
      <c r="P41" t="str">
        <f>CONCATENATE("'",Tabla1[[#This Row],[Codigo]],"',")</f>
        <v>'00077',</v>
      </c>
    </row>
    <row r="42" spans="1:16" x14ac:dyDescent="0.25">
      <c r="A42" t="s">
        <v>581</v>
      </c>
      <c r="B42" t="s">
        <v>582</v>
      </c>
      <c r="C42" t="s">
        <v>582</v>
      </c>
      <c r="D42" t="s">
        <v>166</v>
      </c>
      <c r="E42" t="s">
        <v>167</v>
      </c>
      <c r="F42" t="s">
        <v>583</v>
      </c>
      <c r="G42" t="s">
        <v>584</v>
      </c>
      <c r="H42" t="s">
        <v>585</v>
      </c>
      <c r="I42" t="s">
        <v>584</v>
      </c>
      <c r="J42" t="s">
        <v>158</v>
      </c>
      <c r="K42" t="s">
        <v>159</v>
      </c>
      <c r="L42" t="s">
        <v>50</v>
      </c>
      <c r="M42" s="2">
        <v>174536</v>
      </c>
      <c r="N42" t="s">
        <v>64</v>
      </c>
      <c r="P42" t="str">
        <f>CONCATENATE("'",Tabla1[[#This Row],[Codigo]],"',")</f>
        <v>'00078',</v>
      </c>
    </row>
    <row r="43" spans="1:16" x14ac:dyDescent="0.25">
      <c r="A43" t="s">
        <v>587</v>
      </c>
      <c r="B43" t="s">
        <v>588</v>
      </c>
      <c r="C43" t="s">
        <v>588</v>
      </c>
      <c r="D43" t="s">
        <v>321</v>
      </c>
      <c r="E43" t="s">
        <v>224</v>
      </c>
      <c r="F43" t="s">
        <v>589</v>
      </c>
      <c r="G43" t="s">
        <v>590</v>
      </c>
      <c r="H43" t="s">
        <v>592</v>
      </c>
      <c r="I43" t="s">
        <v>593</v>
      </c>
      <c r="J43" t="s">
        <v>91</v>
      </c>
      <c r="K43" t="s">
        <v>92</v>
      </c>
      <c r="L43" t="s">
        <v>50</v>
      </c>
      <c r="M43" s="2">
        <v>21817</v>
      </c>
      <c r="N43" t="s">
        <v>64</v>
      </c>
      <c r="P43" t="str">
        <f>CONCATENATE("'",Tabla1[[#This Row],[Codigo]],"',")</f>
        <v>'00079',</v>
      </c>
    </row>
    <row r="44" spans="1:16" x14ac:dyDescent="0.25">
      <c r="A44" t="s">
        <v>608</v>
      </c>
      <c r="B44" t="s">
        <v>609</v>
      </c>
      <c r="C44" t="s">
        <v>609</v>
      </c>
      <c r="D44" t="s">
        <v>178</v>
      </c>
      <c r="E44" t="s">
        <v>179</v>
      </c>
      <c r="F44" t="s">
        <v>610</v>
      </c>
      <c r="G44" t="s">
        <v>611</v>
      </c>
      <c r="H44" t="s">
        <v>613</v>
      </c>
      <c r="I44" t="s">
        <v>614</v>
      </c>
      <c r="J44" t="s">
        <v>91</v>
      </c>
      <c r="K44" t="s">
        <v>92</v>
      </c>
      <c r="L44" t="s">
        <v>50</v>
      </c>
      <c r="M44" s="2">
        <v>154854.76999999999</v>
      </c>
      <c r="N44" t="s">
        <v>616</v>
      </c>
      <c r="O44" t="s">
        <v>52</v>
      </c>
      <c r="P44" t="str">
        <f>CONCATENATE("'",Tabla1[[#This Row],[Codigo]],"',")</f>
        <v>'00084',</v>
      </c>
    </row>
    <row r="45" spans="1:16" x14ac:dyDescent="0.25">
      <c r="A45" t="s">
        <v>617</v>
      </c>
      <c r="B45" t="s">
        <v>618</v>
      </c>
      <c r="C45" t="s">
        <v>618</v>
      </c>
      <c r="D45" t="s">
        <v>619</v>
      </c>
      <c r="E45" t="s">
        <v>77</v>
      </c>
      <c r="F45" t="s">
        <v>620</v>
      </c>
      <c r="G45" t="s">
        <v>622</v>
      </c>
      <c r="H45" t="s">
        <v>624</v>
      </c>
      <c r="I45" t="s">
        <v>622</v>
      </c>
      <c r="J45" t="s">
        <v>91</v>
      </c>
      <c r="K45" t="s">
        <v>92</v>
      </c>
      <c r="L45" t="s">
        <v>50</v>
      </c>
      <c r="M45" s="2">
        <v>43634</v>
      </c>
      <c r="N45" t="s">
        <v>64</v>
      </c>
      <c r="P45" t="str">
        <f>CONCATENATE("'",Tabla1[[#This Row],[Codigo]],"',")</f>
        <v>'00085',</v>
      </c>
    </row>
    <row r="46" spans="1:16" x14ac:dyDescent="0.25">
      <c r="A46" t="s">
        <v>628</v>
      </c>
      <c r="B46" t="s">
        <v>629</v>
      </c>
      <c r="C46" t="s">
        <v>629</v>
      </c>
      <c r="D46" t="s">
        <v>125</v>
      </c>
      <c r="E46" t="s">
        <v>126</v>
      </c>
      <c r="F46" t="s">
        <v>630</v>
      </c>
      <c r="G46" t="s">
        <v>446</v>
      </c>
      <c r="H46" t="s">
        <v>445</v>
      </c>
      <c r="I46" t="s">
        <v>446</v>
      </c>
      <c r="J46" t="s">
        <v>69</v>
      </c>
      <c r="K46" t="s">
        <v>70</v>
      </c>
      <c r="L46" t="s">
        <v>50</v>
      </c>
      <c r="M46" s="2">
        <v>2212281.14</v>
      </c>
      <c r="N46" t="s">
        <v>633</v>
      </c>
      <c r="O46" t="s">
        <v>52</v>
      </c>
      <c r="P46" t="str">
        <f>CONCATENATE("'",Tabla1[[#This Row],[Codigo]],"',")</f>
        <v>'00087',</v>
      </c>
    </row>
    <row r="47" spans="1:16" x14ac:dyDescent="0.25">
      <c r="A47" t="s">
        <v>634</v>
      </c>
      <c r="B47" t="s">
        <v>635</v>
      </c>
      <c r="C47" t="s">
        <v>636</v>
      </c>
      <c r="D47" t="s">
        <v>569</v>
      </c>
      <c r="E47" t="s">
        <v>570</v>
      </c>
      <c r="F47" t="s">
        <v>637</v>
      </c>
      <c r="G47" t="s">
        <v>638</v>
      </c>
      <c r="H47" t="s">
        <v>640</v>
      </c>
      <c r="I47" t="s">
        <v>641</v>
      </c>
      <c r="J47" t="s">
        <v>91</v>
      </c>
      <c r="K47" t="s">
        <v>92</v>
      </c>
      <c r="L47" t="s">
        <v>50</v>
      </c>
      <c r="M47" s="2">
        <v>329354.98</v>
      </c>
      <c r="N47" t="s">
        <v>643</v>
      </c>
      <c r="O47" t="s">
        <v>52</v>
      </c>
      <c r="P47" t="str">
        <f>CONCATENATE("'",Tabla1[[#This Row],[Codigo]],"',")</f>
        <v>'00088',</v>
      </c>
    </row>
    <row r="48" spans="1:16" x14ac:dyDescent="0.25">
      <c r="A48" t="s">
        <v>646</v>
      </c>
      <c r="B48" t="s">
        <v>647</v>
      </c>
      <c r="C48" t="s">
        <v>647</v>
      </c>
      <c r="D48" t="s">
        <v>153</v>
      </c>
      <c r="E48" t="s">
        <v>272</v>
      </c>
      <c r="F48" t="s">
        <v>648</v>
      </c>
      <c r="G48" t="s">
        <v>650</v>
      </c>
      <c r="H48" t="s">
        <v>652</v>
      </c>
      <c r="I48" t="s">
        <v>653</v>
      </c>
      <c r="J48" t="s">
        <v>69</v>
      </c>
      <c r="K48" t="s">
        <v>70</v>
      </c>
      <c r="L48" t="s">
        <v>50</v>
      </c>
      <c r="M48" s="2">
        <v>375145.16</v>
      </c>
      <c r="N48" t="s">
        <v>655</v>
      </c>
      <c r="O48" t="s">
        <v>115</v>
      </c>
      <c r="P48" t="str">
        <f>CONCATENATE("'",Tabla1[[#This Row],[Codigo]],"',")</f>
        <v>'00090',</v>
      </c>
    </row>
    <row r="49" spans="1:16" x14ac:dyDescent="0.25">
      <c r="A49" t="s">
        <v>659</v>
      </c>
      <c r="B49" t="s">
        <v>660</v>
      </c>
      <c r="C49" t="s">
        <v>660</v>
      </c>
      <c r="D49" t="s">
        <v>35</v>
      </c>
      <c r="E49" t="s">
        <v>36</v>
      </c>
      <c r="F49" t="s">
        <v>661</v>
      </c>
      <c r="G49" t="s">
        <v>662</v>
      </c>
      <c r="H49" t="s">
        <v>664</v>
      </c>
      <c r="I49" t="s">
        <v>665</v>
      </c>
      <c r="J49" t="s">
        <v>103</v>
      </c>
      <c r="K49" t="s">
        <v>104</v>
      </c>
      <c r="L49" t="s">
        <v>50</v>
      </c>
      <c r="M49" s="2">
        <v>46640.62</v>
      </c>
      <c r="N49" t="s">
        <v>667</v>
      </c>
      <c r="O49" t="s">
        <v>52</v>
      </c>
      <c r="P49" t="str">
        <f>CONCATENATE("'",Tabla1[[#This Row],[Codigo]],"',")</f>
        <v>'00092',</v>
      </c>
    </row>
    <row r="50" spans="1:16" x14ac:dyDescent="0.25">
      <c r="A50" t="s">
        <v>672</v>
      </c>
      <c r="B50" t="s">
        <v>673</v>
      </c>
      <c r="C50" t="s">
        <v>673</v>
      </c>
      <c r="D50" t="s">
        <v>344</v>
      </c>
      <c r="E50" t="s">
        <v>167</v>
      </c>
      <c r="F50" t="s">
        <v>674</v>
      </c>
      <c r="G50" t="s">
        <v>349</v>
      </c>
      <c r="H50" t="s">
        <v>348</v>
      </c>
      <c r="I50" t="s">
        <v>349</v>
      </c>
      <c r="J50" t="s">
        <v>316</v>
      </c>
      <c r="K50" t="s">
        <v>317</v>
      </c>
      <c r="L50" t="s">
        <v>50</v>
      </c>
      <c r="M50" s="2">
        <v>6649.84</v>
      </c>
      <c r="N50" t="s">
        <v>677</v>
      </c>
      <c r="O50" t="s">
        <v>115</v>
      </c>
      <c r="P50" t="str">
        <f>CONCATENATE("'",Tabla1[[#This Row],[Codigo]],"',")</f>
        <v>'00094',</v>
      </c>
    </row>
    <row r="51" spans="1:16" x14ac:dyDescent="0.25">
      <c r="A51" t="s">
        <v>678</v>
      </c>
      <c r="B51" t="s">
        <v>679</v>
      </c>
      <c r="C51" t="s">
        <v>679</v>
      </c>
      <c r="D51" t="s">
        <v>344</v>
      </c>
      <c r="E51" t="s">
        <v>167</v>
      </c>
      <c r="F51" t="s">
        <v>680</v>
      </c>
      <c r="G51" t="s">
        <v>349</v>
      </c>
      <c r="H51" t="s">
        <v>348</v>
      </c>
      <c r="I51" t="s">
        <v>349</v>
      </c>
      <c r="J51" t="s">
        <v>316</v>
      </c>
      <c r="K51" t="s">
        <v>317</v>
      </c>
      <c r="L51" t="s">
        <v>50</v>
      </c>
      <c r="M51" s="2">
        <v>80568.460000000006</v>
      </c>
      <c r="N51" t="s">
        <v>683</v>
      </c>
      <c r="O51" t="s">
        <v>52</v>
      </c>
      <c r="P51" t="str">
        <f>CONCATENATE("'",Tabla1[[#This Row],[Codigo]],"',")</f>
        <v>'00095',</v>
      </c>
    </row>
    <row r="52" spans="1:16" x14ac:dyDescent="0.25">
      <c r="A52" t="s">
        <v>690</v>
      </c>
      <c r="B52" t="s">
        <v>691</v>
      </c>
      <c r="C52" t="s">
        <v>691</v>
      </c>
      <c r="D52" t="s">
        <v>125</v>
      </c>
      <c r="E52" t="s">
        <v>126</v>
      </c>
      <c r="F52" t="s">
        <v>692</v>
      </c>
      <c r="G52" t="s">
        <v>41</v>
      </c>
      <c r="H52" t="s">
        <v>40</v>
      </c>
      <c r="I52" t="s">
        <v>41</v>
      </c>
      <c r="J52" t="s">
        <v>61</v>
      </c>
      <c r="K52" t="s">
        <v>62</v>
      </c>
      <c r="L52" t="s">
        <v>50</v>
      </c>
      <c r="M52" s="2">
        <v>137971.01</v>
      </c>
      <c r="N52" t="s">
        <v>695</v>
      </c>
      <c r="O52" t="s">
        <v>52</v>
      </c>
      <c r="P52" t="str">
        <f>CONCATENATE("'",Tabla1[[#This Row],[Codigo]],"',")</f>
        <v>'00098',</v>
      </c>
    </row>
    <row r="53" spans="1:16" x14ac:dyDescent="0.25">
      <c r="A53" t="s">
        <v>696</v>
      </c>
      <c r="B53" t="s">
        <v>697</v>
      </c>
      <c r="C53" t="s">
        <v>697</v>
      </c>
      <c r="D53" t="s">
        <v>125</v>
      </c>
      <c r="E53" t="s">
        <v>126</v>
      </c>
      <c r="F53" t="s">
        <v>698</v>
      </c>
      <c r="G53" t="s">
        <v>699</v>
      </c>
      <c r="H53" t="s">
        <v>700</v>
      </c>
      <c r="I53" t="s">
        <v>699</v>
      </c>
      <c r="J53" t="s">
        <v>69</v>
      </c>
      <c r="K53" t="s">
        <v>70</v>
      </c>
      <c r="L53" t="s">
        <v>50</v>
      </c>
      <c r="M53" s="2">
        <v>463498.6</v>
      </c>
      <c r="N53" t="s">
        <v>702</v>
      </c>
      <c r="O53" t="s">
        <v>52</v>
      </c>
      <c r="P53" t="str">
        <f>CONCATENATE("'",Tabla1[[#This Row],[Codigo]],"',")</f>
        <v>'00099',</v>
      </c>
    </row>
    <row r="54" spans="1:16" x14ac:dyDescent="0.25">
      <c r="A54" t="s">
        <v>703</v>
      </c>
      <c r="B54" t="s">
        <v>704</v>
      </c>
      <c r="C54" t="s">
        <v>704</v>
      </c>
      <c r="D54" t="s">
        <v>178</v>
      </c>
      <c r="E54" t="s">
        <v>179</v>
      </c>
      <c r="F54" t="s">
        <v>705</v>
      </c>
      <c r="G54" t="s">
        <v>315</v>
      </c>
      <c r="H54" t="s">
        <v>314</v>
      </c>
      <c r="I54" t="s">
        <v>315</v>
      </c>
      <c r="J54" t="s">
        <v>316</v>
      </c>
      <c r="K54" t="s">
        <v>317</v>
      </c>
      <c r="L54" t="s">
        <v>50</v>
      </c>
      <c r="M54" s="2">
        <v>105645.19</v>
      </c>
      <c r="N54" t="s">
        <v>708</v>
      </c>
      <c r="O54" t="s">
        <v>52</v>
      </c>
      <c r="P54" t="str">
        <f>CONCATENATE("'",Tabla1[[#This Row],[Codigo]],"',")</f>
        <v>'00100',</v>
      </c>
    </row>
    <row r="55" spans="1:16" x14ac:dyDescent="0.25">
      <c r="A55" t="s">
        <v>718</v>
      </c>
      <c r="B55" t="s">
        <v>719</v>
      </c>
      <c r="C55" t="s">
        <v>719</v>
      </c>
      <c r="D55" t="s">
        <v>153</v>
      </c>
      <c r="E55" t="s">
        <v>272</v>
      </c>
      <c r="F55" t="s">
        <v>720</v>
      </c>
      <c r="G55" t="s">
        <v>721</v>
      </c>
      <c r="H55" t="s">
        <v>722</v>
      </c>
      <c r="I55" t="s">
        <v>721</v>
      </c>
      <c r="J55" t="s">
        <v>205</v>
      </c>
      <c r="K55" t="s">
        <v>206</v>
      </c>
      <c r="L55" t="s">
        <v>50</v>
      </c>
      <c r="M55" s="2">
        <v>1272967.75</v>
      </c>
      <c r="N55" t="s">
        <v>724</v>
      </c>
      <c r="O55" t="s">
        <v>52</v>
      </c>
      <c r="P55" t="str">
        <f>CONCATENATE("'",Tabla1[[#This Row],[Codigo]],"',")</f>
        <v>'00103',</v>
      </c>
    </row>
    <row r="56" spans="1:16" x14ac:dyDescent="0.25">
      <c r="A56" t="s">
        <v>736</v>
      </c>
      <c r="B56" t="s">
        <v>737</v>
      </c>
      <c r="C56" t="s">
        <v>737</v>
      </c>
      <c r="D56" t="s">
        <v>344</v>
      </c>
      <c r="E56" t="s">
        <v>167</v>
      </c>
      <c r="F56" t="s">
        <v>738</v>
      </c>
      <c r="G56" t="s">
        <v>116</v>
      </c>
      <c r="H56" t="s">
        <v>118</v>
      </c>
      <c r="I56" t="s">
        <v>119</v>
      </c>
      <c r="J56" t="s">
        <v>120</v>
      </c>
      <c r="K56" t="s">
        <v>121</v>
      </c>
      <c r="L56" t="s">
        <v>50</v>
      </c>
      <c r="M56" s="2">
        <v>1030228.15</v>
      </c>
      <c r="N56" t="s">
        <v>741</v>
      </c>
      <c r="O56" t="s">
        <v>115</v>
      </c>
      <c r="P56" t="str">
        <f>CONCATENATE("'",Tabla1[[#This Row],[Codigo]],"',")</f>
        <v>'00107',</v>
      </c>
    </row>
    <row r="57" spans="1:16" x14ac:dyDescent="0.25">
      <c r="A57" t="s">
        <v>742</v>
      </c>
      <c r="B57" t="s">
        <v>743</v>
      </c>
      <c r="C57" t="s">
        <v>743</v>
      </c>
      <c r="D57" t="s">
        <v>125</v>
      </c>
      <c r="E57" t="s">
        <v>126</v>
      </c>
      <c r="F57" t="s">
        <v>744</v>
      </c>
      <c r="G57" t="s">
        <v>597</v>
      </c>
      <c r="H57" t="s">
        <v>596</v>
      </c>
      <c r="I57" t="s">
        <v>597</v>
      </c>
      <c r="J57" t="s">
        <v>91</v>
      </c>
      <c r="K57" t="s">
        <v>92</v>
      </c>
      <c r="L57" t="s">
        <v>50</v>
      </c>
      <c r="M57" s="2">
        <v>48210.080000000002</v>
      </c>
      <c r="N57" t="s">
        <v>747</v>
      </c>
      <c r="O57" t="s">
        <v>52</v>
      </c>
      <c r="P57" t="str">
        <f>CONCATENATE("'",Tabla1[[#This Row],[Codigo]],"',")</f>
        <v>'00108',</v>
      </c>
    </row>
    <row r="58" spans="1:16" x14ac:dyDescent="0.25">
      <c r="A58" t="s">
        <v>756</v>
      </c>
      <c r="B58" t="s">
        <v>757</v>
      </c>
      <c r="C58" t="s">
        <v>757</v>
      </c>
      <c r="D58" t="s">
        <v>35</v>
      </c>
      <c r="E58" t="s">
        <v>36</v>
      </c>
      <c r="F58" t="s">
        <v>758</v>
      </c>
      <c r="G58" t="s">
        <v>41</v>
      </c>
      <c r="H58" t="s">
        <v>40</v>
      </c>
      <c r="I58" t="s">
        <v>41</v>
      </c>
      <c r="J58" t="s">
        <v>61</v>
      </c>
      <c r="K58" t="s">
        <v>62</v>
      </c>
      <c r="L58" t="s">
        <v>50</v>
      </c>
      <c r="M58" s="2">
        <v>108227.04</v>
      </c>
      <c r="N58" t="s">
        <v>761</v>
      </c>
      <c r="O58" t="s">
        <v>115</v>
      </c>
      <c r="P58" t="str">
        <f>CONCATENATE("'",Tabla1[[#This Row],[Codigo]],"',")</f>
        <v>'00110',</v>
      </c>
    </row>
    <row r="59" spans="1:16" x14ac:dyDescent="0.25">
      <c r="A59" t="s">
        <v>762</v>
      </c>
      <c r="B59" t="s">
        <v>763</v>
      </c>
      <c r="C59" t="s">
        <v>763</v>
      </c>
      <c r="D59" t="s">
        <v>764</v>
      </c>
      <c r="E59" t="s">
        <v>77</v>
      </c>
      <c r="F59" t="s">
        <v>765</v>
      </c>
      <c r="G59" t="s">
        <v>277</v>
      </c>
      <c r="H59" t="s">
        <v>276</v>
      </c>
      <c r="I59" t="s">
        <v>277</v>
      </c>
      <c r="J59" t="s">
        <v>103</v>
      </c>
      <c r="K59" t="s">
        <v>104</v>
      </c>
      <c r="L59" t="s">
        <v>50</v>
      </c>
      <c r="M59" s="2">
        <v>218170</v>
      </c>
      <c r="N59" t="s">
        <v>64</v>
      </c>
      <c r="P59" t="str">
        <f>CONCATENATE("'",Tabla1[[#This Row],[Codigo]],"',")</f>
        <v>'00111',</v>
      </c>
    </row>
    <row r="60" spans="1:16" x14ac:dyDescent="0.25">
      <c r="A60" t="s">
        <v>770</v>
      </c>
      <c r="B60" t="s">
        <v>771</v>
      </c>
      <c r="C60" t="s">
        <v>771</v>
      </c>
      <c r="D60" t="s">
        <v>478</v>
      </c>
      <c r="E60" t="s">
        <v>190</v>
      </c>
      <c r="F60" t="s">
        <v>772</v>
      </c>
      <c r="G60" t="s">
        <v>47</v>
      </c>
      <c r="H60" t="s">
        <v>40</v>
      </c>
      <c r="I60" t="s">
        <v>41</v>
      </c>
      <c r="J60" t="s">
        <v>61</v>
      </c>
      <c r="K60" t="s">
        <v>62</v>
      </c>
      <c r="L60" t="s">
        <v>50</v>
      </c>
      <c r="M60" s="2">
        <v>109085</v>
      </c>
      <c r="N60" t="s">
        <v>64</v>
      </c>
      <c r="P60" t="str">
        <f>CONCATENATE("'",Tabla1[[#This Row],[Codigo]],"',")</f>
        <v>'00113',</v>
      </c>
    </row>
    <row r="61" spans="1:16" x14ac:dyDescent="0.25">
      <c r="A61" t="s">
        <v>776</v>
      </c>
      <c r="B61" t="s">
        <v>777</v>
      </c>
      <c r="C61" t="s">
        <v>777</v>
      </c>
      <c r="D61" t="s">
        <v>299</v>
      </c>
      <c r="E61" t="s">
        <v>167</v>
      </c>
      <c r="F61" t="s">
        <v>778</v>
      </c>
      <c r="G61" t="s">
        <v>779</v>
      </c>
      <c r="H61" t="s">
        <v>267</v>
      </c>
      <c r="I61" t="s">
        <v>268</v>
      </c>
      <c r="J61" t="s">
        <v>103</v>
      </c>
      <c r="K61" t="s">
        <v>104</v>
      </c>
      <c r="L61" t="s">
        <v>50</v>
      </c>
      <c r="M61" s="2">
        <v>69814</v>
      </c>
      <c r="N61" t="s">
        <v>64</v>
      </c>
      <c r="P61" t="str">
        <f>CONCATENATE("'",Tabla1[[#This Row],[Codigo]],"',")</f>
        <v>'00114',</v>
      </c>
    </row>
    <row r="62" spans="1:16" x14ac:dyDescent="0.25">
      <c r="A62" t="s">
        <v>789</v>
      </c>
      <c r="B62" t="s">
        <v>790</v>
      </c>
      <c r="C62" t="s">
        <v>790</v>
      </c>
      <c r="D62" t="s">
        <v>299</v>
      </c>
      <c r="E62" t="s">
        <v>167</v>
      </c>
      <c r="F62" t="s">
        <v>791</v>
      </c>
      <c r="G62" t="s">
        <v>255</v>
      </c>
      <c r="H62" t="s">
        <v>254</v>
      </c>
      <c r="I62" t="s">
        <v>255</v>
      </c>
      <c r="J62" t="s">
        <v>256</v>
      </c>
      <c r="K62" t="s">
        <v>255</v>
      </c>
      <c r="L62" t="s">
        <v>50</v>
      </c>
      <c r="M62" s="2">
        <v>37700.400000000001</v>
      </c>
      <c r="N62" t="s">
        <v>795</v>
      </c>
      <c r="O62" t="s">
        <v>52</v>
      </c>
      <c r="P62" t="str">
        <f>CONCATENATE("'",Tabla1[[#This Row],[Codigo]],"',")</f>
        <v>'00117',</v>
      </c>
    </row>
    <row r="63" spans="1:16" x14ac:dyDescent="0.25">
      <c r="A63" t="s">
        <v>809</v>
      </c>
      <c r="B63" t="s">
        <v>810</v>
      </c>
      <c r="C63" t="s">
        <v>810</v>
      </c>
      <c r="D63" t="s">
        <v>35</v>
      </c>
      <c r="E63" t="s">
        <v>36</v>
      </c>
      <c r="F63" t="s">
        <v>811</v>
      </c>
      <c r="G63" t="s">
        <v>404</v>
      </c>
      <c r="H63" t="s">
        <v>403</v>
      </c>
      <c r="I63" t="s">
        <v>404</v>
      </c>
      <c r="J63" t="s">
        <v>205</v>
      </c>
      <c r="K63" t="s">
        <v>206</v>
      </c>
      <c r="L63" t="s">
        <v>50</v>
      </c>
      <c r="M63" s="2">
        <v>676683.1</v>
      </c>
      <c r="N63" t="s">
        <v>814</v>
      </c>
      <c r="O63" t="s">
        <v>52</v>
      </c>
      <c r="P63" t="str">
        <f>CONCATENATE("'",Tabla1[[#This Row],[Codigo]],"',")</f>
        <v>'00121',</v>
      </c>
    </row>
    <row r="64" spans="1:16" x14ac:dyDescent="0.25">
      <c r="A64" t="s">
        <v>815</v>
      </c>
      <c r="B64" t="s">
        <v>816</v>
      </c>
      <c r="C64" t="s">
        <v>816</v>
      </c>
      <c r="D64" t="s">
        <v>817</v>
      </c>
      <c r="E64" t="s">
        <v>224</v>
      </c>
      <c r="F64" t="s">
        <v>818</v>
      </c>
      <c r="G64" t="s">
        <v>820</v>
      </c>
      <c r="H64" t="s">
        <v>822</v>
      </c>
      <c r="I64" t="s">
        <v>820</v>
      </c>
      <c r="J64" t="s">
        <v>91</v>
      </c>
      <c r="K64" t="s">
        <v>92</v>
      </c>
      <c r="L64" t="s">
        <v>50</v>
      </c>
      <c r="M64" s="2">
        <v>202378.03</v>
      </c>
      <c r="N64" t="s">
        <v>824</v>
      </c>
      <c r="P64" t="str">
        <f>CONCATENATE("'",Tabla1[[#This Row],[Codigo]],"',")</f>
        <v>'00122',</v>
      </c>
    </row>
    <row r="65" spans="1:16" x14ac:dyDescent="0.25">
      <c r="A65" t="s">
        <v>840</v>
      </c>
      <c r="B65" t="s">
        <v>841</v>
      </c>
      <c r="C65" t="s">
        <v>841</v>
      </c>
      <c r="D65" t="s">
        <v>166</v>
      </c>
      <c r="E65" t="s">
        <v>167</v>
      </c>
      <c r="F65" t="s">
        <v>842</v>
      </c>
      <c r="G65" t="s">
        <v>173</v>
      </c>
      <c r="H65" t="s">
        <v>172</v>
      </c>
      <c r="I65" t="s">
        <v>173</v>
      </c>
      <c r="J65" t="s">
        <v>158</v>
      </c>
      <c r="K65" t="s">
        <v>159</v>
      </c>
      <c r="L65" t="s">
        <v>50</v>
      </c>
      <c r="M65" s="2">
        <v>65451</v>
      </c>
      <c r="N65" t="s">
        <v>64</v>
      </c>
      <c r="P65" t="str">
        <f>CONCATENATE("'",Tabla1[[#This Row],[Codigo]],"',")</f>
        <v>'00128',</v>
      </c>
    </row>
    <row r="66" spans="1:16" x14ac:dyDescent="0.25">
      <c r="A66" t="s">
        <v>845</v>
      </c>
      <c r="B66" t="s">
        <v>846</v>
      </c>
      <c r="C66" t="s">
        <v>846</v>
      </c>
      <c r="D66" t="s">
        <v>847</v>
      </c>
      <c r="E66" t="s">
        <v>848</v>
      </c>
      <c r="F66" t="s">
        <v>849</v>
      </c>
      <c r="H66" t="s">
        <v>40</v>
      </c>
      <c r="I66" t="s">
        <v>41</v>
      </c>
      <c r="J66" t="s">
        <v>42</v>
      </c>
      <c r="K66" t="s">
        <v>43</v>
      </c>
      <c r="L66" t="s">
        <v>50</v>
      </c>
      <c r="M66" s="2">
        <v>21811.97</v>
      </c>
      <c r="N66" t="s">
        <v>851</v>
      </c>
      <c r="P66" t="str">
        <f>CONCATENATE("'",Tabla1[[#This Row],[Codigo]],"',")</f>
        <v>'00129',</v>
      </c>
    </row>
    <row r="67" spans="1:16" x14ac:dyDescent="0.25">
      <c r="A67" t="s">
        <v>854</v>
      </c>
      <c r="B67" t="s">
        <v>855</v>
      </c>
      <c r="C67" t="s">
        <v>856</v>
      </c>
      <c r="D67" t="s">
        <v>153</v>
      </c>
      <c r="E67" t="s">
        <v>272</v>
      </c>
      <c r="F67" t="s">
        <v>857</v>
      </c>
      <c r="G67" t="s">
        <v>858</v>
      </c>
      <c r="H67" t="s">
        <v>860</v>
      </c>
      <c r="I67" t="s">
        <v>861</v>
      </c>
      <c r="J67" t="s">
        <v>103</v>
      </c>
      <c r="K67" t="s">
        <v>104</v>
      </c>
      <c r="L67" t="s">
        <v>50</v>
      </c>
      <c r="M67" s="2">
        <v>1216397.69</v>
      </c>
      <c r="N67" t="s">
        <v>863</v>
      </c>
      <c r="O67" t="s">
        <v>52</v>
      </c>
      <c r="P67" t="str">
        <f>CONCATENATE("'",Tabla1[[#This Row],[Codigo]],"',")</f>
        <v>'00131',</v>
      </c>
    </row>
    <row r="68" spans="1:16" x14ac:dyDescent="0.25">
      <c r="A68" t="s">
        <v>867</v>
      </c>
      <c r="B68" t="s">
        <v>868</v>
      </c>
      <c r="C68" t="s">
        <v>869</v>
      </c>
      <c r="D68" t="s">
        <v>870</v>
      </c>
      <c r="E68" t="s">
        <v>871</v>
      </c>
      <c r="F68" t="s">
        <v>872</v>
      </c>
      <c r="G68" t="s">
        <v>157</v>
      </c>
      <c r="H68" t="s">
        <v>156</v>
      </c>
      <c r="I68" t="s">
        <v>157</v>
      </c>
      <c r="J68" t="s">
        <v>158</v>
      </c>
      <c r="K68" t="s">
        <v>159</v>
      </c>
      <c r="L68" t="s">
        <v>50</v>
      </c>
      <c r="M68" s="2">
        <v>196871.03</v>
      </c>
      <c r="N68" t="s">
        <v>876</v>
      </c>
      <c r="P68" t="str">
        <f>CONCATENATE("'",Tabla1[[#This Row],[Codigo]],"',")</f>
        <v>'00133',</v>
      </c>
    </row>
    <row r="69" spans="1:16" x14ac:dyDescent="0.25">
      <c r="A69" t="s">
        <v>885</v>
      </c>
      <c r="B69" t="s">
        <v>886</v>
      </c>
      <c r="C69" t="s">
        <v>886</v>
      </c>
      <c r="D69" t="s">
        <v>125</v>
      </c>
      <c r="E69" t="s">
        <v>126</v>
      </c>
      <c r="F69" t="s">
        <v>887</v>
      </c>
      <c r="G69" t="s">
        <v>889</v>
      </c>
      <c r="H69" t="s">
        <v>89</v>
      </c>
      <c r="I69" t="s">
        <v>90</v>
      </c>
      <c r="J69" t="s">
        <v>91</v>
      </c>
      <c r="K69" t="s">
        <v>92</v>
      </c>
      <c r="L69" t="s">
        <v>50</v>
      </c>
      <c r="M69" s="2">
        <v>726119.96</v>
      </c>
      <c r="N69" t="s">
        <v>892</v>
      </c>
      <c r="O69" t="s">
        <v>52</v>
      </c>
      <c r="P69" t="str">
        <f>CONCATENATE("'",Tabla1[[#This Row],[Codigo]],"',")</f>
        <v>'00136',</v>
      </c>
    </row>
    <row r="70" spans="1:16" x14ac:dyDescent="0.25">
      <c r="A70" t="s">
        <v>893</v>
      </c>
      <c r="B70" t="s">
        <v>894</v>
      </c>
      <c r="C70" t="s">
        <v>894</v>
      </c>
      <c r="D70" t="s">
        <v>297</v>
      </c>
      <c r="E70" t="s">
        <v>167</v>
      </c>
      <c r="F70" t="s">
        <v>895</v>
      </c>
      <c r="G70" t="s">
        <v>881</v>
      </c>
      <c r="H70" t="s">
        <v>883</v>
      </c>
      <c r="I70" t="s">
        <v>881</v>
      </c>
      <c r="J70" t="s">
        <v>158</v>
      </c>
      <c r="K70" t="s">
        <v>159</v>
      </c>
      <c r="L70" t="s">
        <v>50</v>
      </c>
      <c r="M70" s="2">
        <v>191820.32</v>
      </c>
      <c r="N70" t="s">
        <v>898</v>
      </c>
      <c r="P70" t="str">
        <f>CONCATENATE("'",Tabla1[[#This Row],[Codigo]],"',")</f>
        <v>'00137',</v>
      </c>
    </row>
    <row r="71" spans="1:16" x14ac:dyDescent="0.25">
      <c r="A71" t="s">
        <v>899</v>
      </c>
      <c r="B71" t="s">
        <v>900</v>
      </c>
      <c r="C71" t="s">
        <v>900</v>
      </c>
      <c r="D71" t="s">
        <v>178</v>
      </c>
      <c r="E71" t="s">
        <v>179</v>
      </c>
      <c r="F71" t="s">
        <v>901</v>
      </c>
      <c r="G71" t="s">
        <v>902</v>
      </c>
      <c r="H71" t="s">
        <v>904</v>
      </c>
      <c r="I71" t="s">
        <v>905</v>
      </c>
      <c r="J71" t="s">
        <v>304</v>
      </c>
      <c r="K71" t="s">
        <v>72</v>
      </c>
      <c r="L71" t="s">
        <v>50</v>
      </c>
      <c r="M71" s="2">
        <v>372949.38</v>
      </c>
      <c r="N71" t="s">
        <v>907</v>
      </c>
      <c r="O71" t="s">
        <v>52</v>
      </c>
      <c r="P71" t="str">
        <f>CONCATENATE("'",Tabla1[[#This Row],[Codigo]],"',")</f>
        <v>'00138',</v>
      </c>
    </row>
    <row r="72" spans="1:16" x14ac:dyDescent="0.25">
      <c r="A72" t="s">
        <v>908</v>
      </c>
      <c r="B72" t="s">
        <v>909</v>
      </c>
      <c r="C72" t="s">
        <v>909</v>
      </c>
      <c r="D72" t="s">
        <v>125</v>
      </c>
      <c r="E72" t="s">
        <v>126</v>
      </c>
      <c r="F72" t="s">
        <v>910</v>
      </c>
      <c r="G72" t="s">
        <v>911</v>
      </c>
      <c r="H72" t="s">
        <v>913</v>
      </c>
      <c r="I72" t="s">
        <v>914</v>
      </c>
      <c r="J72" t="s">
        <v>103</v>
      </c>
      <c r="K72" t="s">
        <v>104</v>
      </c>
      <c r="L72" t="s">
        <v>50</v>
      </c>
      <c r="M72" s="2">
        <v>55804.91</v>
      </c>
      <c r="N72" t="s">
        <v>916</v>
      </c>
      <c r="O72" t="s">
        <v>52</v>
      </c>
      <c r="P72" t="str">
        <f>CONCATENATE("'",Tabla1[[#This Row],[Codigo]],"',")</f>
        <v>'00139',</v>
      </c>
    </row>
    <row r="73" spans="1:16" x14ac:dyDescent="0.25">
      <c r="A73" t="s">
        <v>929</v>
      </c>
      <c r="B73" t="s">
        <v>15138</v>
      </c>
      <c r="C73" t="s">
        <v>930</v>
      </c>
      <c r="D73" t="s">
        <v>553</v>
      </c>
      <c r="E73" t="s">
        <v>167</v>
      </c>
      <c r="F73" t="s">
        <v>931</v>
      </c>
      <c r="G73" t="s">
        <v>932</v>
      </c>
      <c r="H73" t="s">
        <v>933</v>
      </c>
      <c r="I73" t="s">
        <v>932</v>
      </c>
      <c r="J73" t="s">
        <v>103</v>
      </c>
      <c r="K73" t="s">
        <v>104</v>
      </c>
      <c r="L73" t="s">
        <v>50</v>
      </c>
      <c r="M73" s="2">
        <v>62047.87</v>
      </c>
      <c r="N73" t="s">
        <v>935</v>
      </c>
      <c r="O73" t="s">
        <v>52</v>
      </c>
      <c r="P73" t="str">
        <f>CONCATENATE("'",Tabla1[[#This Row],[Codigo]],"',")</f>
        <v>'00144',</v>
      </c>
    </row>
    <row r="74" spans="1:16" x14ac:dyDescent="0.25">
      <c r="A74" t="s">
        <v>943</v>
      </c>
      <c r="B74" t="s">
        <v>944</v>
      </c>
      <c r="C74" t="s">
        <v>944</v>
      </c>
      <c r="D74" t="s">
        <v>35</v>
      </c>
      <c r="E74" t="s">
        <v>36</v>
      </c>
      <c r="F74" t="s">
        <v>945</v>
      </c>
      <c r="G74" t="s">
        <v>68</v>
      </c>
      <c r="H74" t="s">
        <v>67</v>
      </c>
      <c r="I74" t="s">
        <v>68</v>
      </c>
      <c r="J74" t="s">
        <v>69</v>
      </c>
      <c r="K74" t="s">
        <v>70</v>
      </c>
      <c r="L74" t="s">
        <v>50</v>
      </c>
      <c r="M74" s="2">
        <v>1988024.02</v>
      </c>
      <c r="N74" t="s">
        <v>948</v>
      </c>
      <c r="O74" t="s">
        <v>52</v>
      </c>
      <c r="P74" t="str">
        <f>CONCATENATE("'",Tabla1[[#This Row],[Codigo]],"',")</f>
        <v>'00146',</v>
      </c>
    </row>
    <row r="75" spans="1:16" x14ac:dyDescent="0.25">
      <c r="A75" t="s">
        <v>949</v>
      </c>
      <c r="B75" t="s">
        <v>950</v>
      </c>
      <c r="C75" t="s">
        <v>950</v>
      </c>
      <c r="D75" t="s">
        <v>847</v>
      </c>
      <c r="E75" t="s">
        <v>848</v>
      </c>
      <c r="F75" t="s">
        <v>951</v>
      </c>
      <c r="G75" t="s">
        <v>173</v>
      </c>
      <c r="H75" t="s">
        <v>172</v>
      </c>
      <c r="I75" t="s">
        <v>173</v>
      </c>
      <c r="J75" t="s">
        <v>158</v>
      </c>
      <c r="K75" t="s">
        <v>159</v>
      </c>
      <c r="L75" t="s">
        <v>50</v>
      </c>
      <c r="M75" s="2">
        <v>562652.23</v>
      </c>
      <c r="N75" t="s">
        <v>954</v>
      </c>
      <c r="O75" t="s">
        <v>52</v>
      </c>
      <c r="P75" t="str">
        <f>CONCATENATE("'",Tabla1[[#This Row],[Codigo]],"',")</f>
        <v>'00147',</v>
      </c>
    </row>
    <row r="76" spans="1:16" x14ac:dyDescent="0.25">
      <c r="A76" t="s">
        <v>970</v>
      </c>
      <c r="B76" t="s">
        <v>971</v>
      </c>
      <c r="C76" t="s">
        <v>971</v>
      </c>
      <c r="D76" t="s">
        <v>297</v>
      </c>
      <c r="E76" t="s">
        <v>167</v>
      </c>
      <c r="F76" t="s">
        <v>972</v>
      </c>
      <c r="G76" t="s">
        <v>119</v>
      </c>
      <c r="H76" t="s">
        <v>118</v>
      </c>
      <c r="I76" t="s">
        <v>119</v>
      </c>
      <c r="J76" t="s">
        <v>120</v>
      </c>
      <c r="K76" t="s">
        <v>121</v>
      </c>
      <c r="L76" t="s">
        <v>50</v>
      </c>
      <c r="M76" s="2">
        <v>45612.42</v>
      </c>
      <c r="N76" t="s">
        <v>975</v>
      </c>
      <c r="O76" t="s">
        <v>52</v>
      </c>
      <c r="P76" t="str">
        <f>CONCATENATE("'",Tabla1[[#This Row],[Codigo]],"',")</f>
        <v>'00153',</v>
      </c>
    </row>
    <row r="77" spans="1:16" x14ac:dyDescent="0.25">
      <c r="A77" t="s">
        <v>976</v>
      </c>
      <c r="B77" t="s">
        <v>977</v>
      </c>
      <c r="C77" t="s">
        <v>977</v>
      </c>
      <c r="D77" t="s">
        <v>888</v>
      </c>
      <c r="E77" t="s">
        <v>167</v>
      </c>
      <c r="F77" t="s">
        <v>978</v>
      </c>
      <c r="G77" t="s">
        <v>41</v>
      </c>
      <c r="H77" t="s">
        <v>40</v>
      </c>
      <c r="I77" t="s">
        <v>41</v>
      </c>
      <c r="J77" t="s">
        <v>61</v>
      </c>
      <c r="K77" t="s">
        <v>62</v>
      </c>
      <c r="L77" t="s">
        <v>50</v>
      </c>
      <c r="M77" s="2">
        <v>531503.56000000006</v>
      </c>
      <c r="N77" t="s">
        <v>981</v>
      </c>
      <c r="O77" t="s">
        <v>52</v>
      </c>
      <c r="P77" t="str">
        <f>CONCATENATE("'",Tabla1[[#This Row],[Codigo]],"',")</f>
        <v>'00154',</v>
      </c>
    </row>
    <row r="78" spans="1:16" x14ac:dyDescent="0.25">
      <c r="A78" t="s">
        <v>982</v>
      </c>
      <c r="B78" t="s">
        <v>983</v>
      </c>
      <c r="C78" t="s">
        <v>983</v>
      </c>
      <c r="D78" t="s">
        <v>984</v>
      </c>
      <c r="E78" t="s">
        <v>985</v>
      </c>
      <c r="F78" t="s">
        <v>986</v>
      </c>
      <c r="G78" t="s">
        <v>443</v>
      </c>
      <c r="H78" t="s">
        <v>445</v>
      </c>
      <c r="I78" t="s">
        <v>446</v>
      </c>
      <c r="J78" t="s">
        <v>69</v>
      </c>
      <c r="K78" t="s">
        <v>70</v>
      </c>
      <c r="L78" t="s">
        <v>50</v>
      </c>
      <c r="M78" s="2">
        <v>43820.88</v>
      </c>
      <c r="N78" t="s">
        <v>989</v>
      </c>
      <c r="O78" t="s">
        <v>52</v>
      </c>
      <c r="P78" t="str">
        <f>CONCATENATE("'",Tabla1[[#This Row],[Codigo]],"',")</f>
        <v>'00155',</v>
      </c>
    </row>
    <row r="79" spans="1:16" x14ac:dyDescent="0.25">
      <c r="A79" t="s">
        <v>990</v>
      </c>
      <c r="B79" t="s">
        <v>991</v>
      </c>
      <c r="C79" t="s">
        <v>991</v>
      </c>
      <c r="D79" t="s">
        <v>35</v>
      </c>
      <c r="E79" t="s">
        <v>36</v>
      </c>
      <c r="F79" t="s">
        <v>992</v>
      </c>
      <c r="G79" t="s">
        <v>653</v>
      </c>
      <c r="H79" t="s">
        <v>652</v>
      </c>
      <c r="I79" t="s">
        <v>653</v>
      </c>
      <c r="J79" t="s">
        <v>69</v>
      </c>
      <c r="K79" t="s">
        <v>70</v>
      </c>
      <c r="L79" t="s">
        <v>50</v>
      </c>
      <c r="M79" s="2">
        <v>1674869.17</v>
      </c>
      <c r="N79" t="s">
        <v>995</v>
      </c>
      <c r="O79" t="s">
        <v>115</v>
      </c>
      <c r="P79" t="str">
        <f>CONCATENATE("'",Tabla1[[#This Row],[Codigo]],"',")</f>
        <v>'00156',</v>
      </c>
    </row>
    <row r="80" spans="1:16" x14ac:dyDescent="0.25">
      <c r="A80" t="s">
        <v>1001</v>
      </c>
      <c r="B80" t="s">
        <v>1002</v>
      </c>
      <c r="C80" t="s">
        <v>1002</v>
      </c>
      <c r="D80" t="s">
        <v>153</v>
      </c>
      <c r="E80" t="s">
        <v>272</v>
      </c>
      <c r="F80" t="s">
        <v>1003</v>
      </c>
      <c r="H80" t="s">
        <v>1004</v>
      </c>
      <c r="I80" t="s">
        <v>1005</v>
      </c>
      <c r="J80" t="s">
        <v>42</v>
      </c>
      <c r="K80" t="s">
        <v>43</v>
      </c>
      <c r="L80" t="s">
        <v>50</v>
      </c>
      <c r="M80" s="2">
        <v>2181700</v>
      </c>
      <c r="N80" t="s">
        <v>64</v>
      </c>
      <c r="P80" t="str">
        <f>CONCATENATE("'",Tabla1[[#This Row],[Codigo]],"',")</f>
        <v>'00158',</v>
      </c>
    </row>
    <row r="81" spans="1:16" x14ac:dyDescent="0.25">
      <c r="A81" t="s">
        <v>1009</v>
      </c>
      <c r="B81" t="s">
        <v>1010</v>
      </c>
      <c r="C81" t="s">
        <v>1010</v>
      </c>
      <c r="D81" t="s">
        <v>297</v>
      </c>
      <c r="E81" t="s">
        <v>167</v>
      </c>
      <c r="F81" t="s">
        <v>1011</v>
      </c>
      <c r="G81" t="s">
        <v>173</v>
      </c>
      <c r="H81" t="s">
        <v>172</v>
      </c>
      <c r="I81" t="s">
        <v>173</v>
      </c>
      <c r="J81" t="s">
        <v>158</v>
      </c>
      <c r="K81" t="s">
        <v>159</v>
      </c>
      <c r="L81" t="s">
        <v>50</v>
      </c>
      <c r="M81" s="2">
        <v>-97130.17</v>
      </c>
      <c r="N81" t="s">
        <v>1014</v>
      </c>
      <c r="O81" t="s">
        <v>115</v>
      </c>
      <c r="P81" t="str">
        <f>CONCATENATE("'",Tabla1[[#This Row],[Codigo]],"',")</f>
        <v>'00160',</v>
      </c>
    </row>
    <row r="82" spans="1:16" x14ac:dyDescent="0.25">
      <c r="A82" t="s">
        <v>1015</v>
      </c>
      <c r="B82" t="s">
        <v>1016</v>
      </c>
      <c r="C82" t="s">
        <v>1016</v>
      </c>
      <c r="D82" t="s">
        <v>35</v>
      </c>
      <c r="E82" t="s">
        <v>36</v>
      </c>
      <c r="F82" t="s">
        <v>1017</v>
      </c>
      <c r="G82" t="s">
        <v>404</v>
      </c>
      <c r="H82" t="s">
        <v>403</v>
      </c>
      <c r="I82" t="s">
        <v>404</v>
      </c>
      <c r="J82" t="s">
        <v>205</v>
      </c>
      <c r="K82" t="s">
        <v>206</v>
      </c>
      <c r="L82" t="s">
        <v>50</v>
      </c>
      <c r="M82" s="2">
        <v>614407.94999999995</v>
      </c>
      <c r="N82" t="s">
        <v>1020</v>
      </c>
      <c r="O82" t="s">
        <v>52</v>
      </c>
      <c r="P82" t="str">
        <f>CONCATENATE("'",Tabla1[[#This Row],[Codigo]],"',")</f>
        <v>'00161',</v>
      </c>
    </row>
    <row r="83" spans="1:16" x14ac:dyDescent="0.25">
      <c r="A83" s="11" t="s">
        <v>1021</v>
      </c>
      <c r="B83" s="11" t="s">
        <v>1022</v>
      </c>
      <c r="C83" s="11" t="s">
        <v>1022</v>
      </c>
      <c r="D83" s="11" t="s">
        <v>55</v>
      </c>
      <c r="E83" s="11" t="s">
        <v>56</v>
      </c>
      <c r="F83" s="11" t="s">
        <v>1023</v>
      </c>
      <c r="G83" t="s">
        <v>41</v>
      </c>
      <c r="H83" t="s">
        <v>40</v>
      </c>
      <c r="I83" t="s">
        <v>41</v>
      </c>
      <c r="J83" t="s">
        <v>61</v>
      </c>
      <c r="K83" t="s">
        <v>62</v>
      </c>
      <c r="L83" s="11" t="s">
        <v>50</v>
      </c>
      <c r="M83" s="12">
        <v>130902</v>
      </c>
      <c r="N83" s="11" t="s">
        <v>64</v>
      </c>
      <c r="O83" s="11"/>
      <c r="P83" t="str">
        <f>CONCATENATE("'",Tabla1[[#This Row],[Codigo]],"',")</f>
        <v>'00162',</v>
      </c>
    </row>
    <row r="84" spans="1:16" x14ac:dyDescent="0.25">
      <c r="A84" t="s">
        <v>1026</v>
      </c>
      <c r="B84" t="s">
        <v>15139</v>
      </c>
      <c r="C84" t="s">
        <v>1027</v>
      </c>
      <c r="D84" t="s">
        <v>35</v>
      </c>
      <c r="E84" t="s">
        <v>36</v>
      </c>
      <c r="F84" t="s">
        <v>1028</v>
      </c>
      <c r="G84" t="s">
        <v>1029</v>
      </c>
      <c r="H84" t="s">
        <v>1031</v>
      </c>
      <c r="I84" t="s">
        <v>1029</v>
      </c>
      <c r="J84" t="s">
        <v>103</v>
      </c>
      <c r="K84" t="s">
        <v>104</v>
      </c>
      <c r="L84" t="s">
        <v>50</v>
      </c>
      <c r="M84" s="2">
        <v>152214.01999999999</v>
      </c>
      <c r="N84" t="s">
        <v>1033</v>
      </c>
      <c r="O84" t="s">
        <v>115</v>
      </c>
      <c r="P84" t="str">
        <f>CONCATENATE("'",Tabla1[[#This Row],[Codigo]],"',")</f>
        <v>'00163',</v>
      </c>
    </row>
    <row r="85" spans="1:16" x14ac:dyDescent="0.25">
      <c r="A85" t="s">
        <v>1042</v>
      </c>
      <c r="B85" t="s">
        <v>1043</v>
      </c>
      <c r="C85" t="s">
        <v>1043</v>
      </c>
      <c r="D85" t="s">
        <v>125</v>
      </c>
      <c r="E85" t="s">
        <v>126</v>
      </c>
      <c r="F85" t="s">
        <v>1044</v>
      </c>
      <c r="G85" t="s">
        <v>173</v>
      </c>
      <c r="H85" t="s">
        <v>172</v>
      </c>
      <c r="I85" t="s">
        <v>173</v>
      </c>
      <c r="J85" t="s">
        <v>158</v>
      </c>
      <c r="K85" t="s">
        <v>159</v>
      </c>
      <c r="L85" t="s">
        <v>50</v>
      </c>
      <c r="M85" s="2">
        <v>101981.16</v>
      </c>
      <c r="N85" t="s">
        <v>1047</v>
      </c>
      <c r="P85" t="str">
        <f>CONCATENATE("'",Tabla1[[#This Row],[Codigo]],"',")</f>
        <v>'00167',</v>
      </c>
    </row>
    <row r="86" spans="1:16" x14ac:dyDescent="0.25">
      <c r="A86" t="s">
        <v>1050</v>
      </c>
      <c r="B86" t="s">
        <v>1051</v>
      </c>
      <c r="C86" t="s">
        <v>1051</v>
      </c>
      <c r="D86" t="s">
        <v>344</v>
      </c>
      <c r="E86" t="s">
        <v>167</v>
      </c>
      <c r="F86" t="s">
        <v>1052</v>
      </c>
      <c r="G86" t="s">
        <v>964</v>
      </c>
      <c r="H86" t="s">
        <v>966</v>
      </c>
      <c r="I86" t="s">
        <v>964</v>
      </c>
      <c r="J86" t="s">
        <v>304</v>
      </c>
      <c r="K86" t="s">
        <v>72</v>
      </c>
      <c r="L86" t="s">
        <v>50</v>
      </c>
      <c r="M86" s="2">
        <v>62676.35</v>
      </c>
      <c r="N86" t="s">
        <v>1055</v>
      </c>
      <c r="O86" t="s">
        <v>115</v>
      </c>
      <c r="P86" t="str">
        <f>CONCATENATE("'",Tabla1[[#This Row],[Codigo]],"',")</f>
        <v>'00169',</v>
      </c>
    </row>
    <row r="87" spans="1:16" x14ac:dyDescent="0.25">
      <c r="A87" t="s">
        <v>1056</v>
      </c>
      <c r="B87" t="s">
        <v>1057</v>
      </c>
      <c r="C87" t="s">
        <v>1057</v>
      </c>
      <c r="D87" t="s">
        <v>847</v>
      </c>
      <c r="E87" t="s">
        <v>848</v>
      </c>
      <c r="F87" t="s">
        <v>1058</v>
      </c>
      <c r="G87" t="s">
        <v>1059</v>
      </c>
      <c r="H87" t="s">
        <v>541</v>
      </c>
      <c r="I87" t="s">
        <v>542</v>
      </c>
      <c r="J87" t="s">
        <v>91</v>
      </c>
      <c r="K87" t="s">
        <v>92</v>
      </c>
      <c r="L87" t="s">
        <v>50</v>
      </c>
      <c r="M87" s="2">
        <v>-41243.79</v>
      </c>
      <c r="N87" t="s">
        <v>1061</v>
      </c>
      <c r="O87" t="s">
        <v>115</v>
      </c>
      <c r="P87" t="str">
        <f>CONCATENATE("'",Tabla1[[#This Row],[Codigo]],"',")</f>
        <v>'00170',</v>
      </c>
    </row>
    <row r="88" spans="1:16" x14ac:dyDescent="0.25">
      <c r="A88" t="s">
        <v>1066</v>
      </c>
      <c r="B88" t="s">
        <v>1067</v>
      </c>
      <c r="C88" t="s">
        <v>1067</v>
      </c>
      <c r="D88" t="s">
        <v>153</v>
      </c>
      <c r="E88" t="s">
        <v>272</v>
      </c>
      <c r="F88" t="s">
        <v>1068</v>
      </c>
      <c r="G88" t="s">
        <v>905</v>
      </c>
      <c r="H88" t="s">
        <v>904</v>
      </c>
      <c r="I88" t="s">
        <v>905</v>
      </c>
      <c r="J88" t="s">
        <v>304</v>
      </c>
      <c r="K88" t="s">
        <v>72</v>
      </c>
      <c r="L88" t="s">
        <v>50</v>
      </c>
      <c r="M88" s="2">
        <v>41957.57</v>
      </c>
      <c r="N88" t="s">
        <v>1071</v>
      </c>
      <c r="O88" t="s">
        <v>52</v>
      </c>
      <c r="P88" t="str">
        <f>CONCATENATE("'",Tabla1[[#This Row],[Codigo]],"',")</f>
        <v>'00172',</v>
      </c>
    </row>
    <row r="89" spans="1:16" x14ac:dyDescent="0.25">
      <c r="A89" t="s">
        <v>1077</v>
      </c>
      <c r="B89" t="s">
        <v>1078</v>
      </c>
      <c r="C89" t="s">
        <v>1078</v>
      </c>
      <c r="D89" t="s">
        <v>847</v>
      </c>
      <c r="E89" t="s">
        <v>848</v>
      </c>
      <c r="F89" t="s">
        <v>1079</v>
      </c>
      <c r="G89" t="s">
        <v>964</v>
      </c>
      <c r="H89" t="s">
        <v>966</v>
      </c>
      <c r="I89" t="s">
        <v>964</v>
      </c>
      <c r="J89" t="s">
        <v>304</v>
      </c>
      <c r="K89" t="s">
        <v>72</v>
      </c>
      <c r="L89" t="s">
        <v>50</v>
      </c>
      <c r="M89" s="2">
        <v>327255</v>
      </c>
      <c r="N89" t="s">
        <v>64</v>
      </c>
      <c r="P89" t="str">
        <f>CONCATENATE("'",Tabla1[[#This Row],[Codigo]],"',")</f>
        <v>'00174',</v>
      </c>
    </row>
    <row r="90" spans="1:16" x14ac:dyDescent="0.25">
      <c r="A90" t="s">
        <v>1086</v>
      </c>
      <c r="B90" t="s">
        <v>1087</v>
      </c>
      <c r="C90" t="s">
        <v>1087</v>
      </c>
      <c r="D90" t="s">
        <v>847</v>
      </c>
      <c r="E90" t="s">
        <v>848</v>
      </c>
      <c r="F90" t="s">
        <v>1088</v>
      </c>
      <c r="G90" t="s">
        <v>932</v>
      </c>
      <c r="H90" t="s">
        <v>933</v>
      </c>
      <c r="I90" t="s">
        <v>932</v>
      </c>
      <c r="J90" t="s">
        <v>103</v>
      </c>
      <c r="K90" t="s">
        <v>104</v>
      </c>
      <c r="L90" t="s">
        <v>50</v>
      </c>
      <c r="M90" s="2">
        <v>98292.05</v>
      </c>
      <c r="N90" t="s">
        <v>1090</v>
      </c>
      <c r="O90" t="s">
        <v>52</v>
      </c>
      <c r="P90" t="str">
        <f>CONCATENATE("'",Tabla1[[#This Row],[Codigo]],"',")</f>
        <v>'00177',</v>
      </c>
    </row>
    <row r="91" spans="1:16" x14ac:dyDescent="0.25">
      <c r="A91" t="s">
        <v>1091</v>
      </c>
      <c r="B91" t="s">
        <v>1092</v>
      </c>
      <c r="C91" t="s">
        <v>1092</v>
      </c>
      <c r="D91" t="s">
        <v>192</v>
      </c>
      <c r="E91" t="s">
        <v>224</v>
      </c>
      <c r="F91" t="s">
        <v>1093</v>
      </c>
      <c r="G91" t="s">
        <v>1095</v>
      </c>
      <c r="H91" t="s">
        <v>1038</v>
      </c>
      <c r="I91" t="s">
        <v>1039</v>
      </c>
      <c r="J91" t="s">
        <v>304</v>
      </c>
      <c r="K91" t="s">
        <v>72</v>
      </c>
      <c r="L91" t="s">
        <v>50</v>
      </c>
      <c r="M91" s="2">
        <v>21571.02</v>
      </c>
      <c r="N91" t="s">
        <v>1098</v>
      </c>
      <c r="P91" t="str">
        <f>CONCATENATE("'",Tabla1[[#This Row],[Codigo]],"',")</f>
        <v>'00178',</v>
      </c>
    </row>
    <row r="92" spans="1:16" x14ac:dyDescent="0.25">
      <c r="A92" t="s">
        <v>1103</v>
      </c>
      <c r="B92" t="s">
        <v>1104</v>
      </c>
      <c r="C92" t="s">
        <v>1104</v>
      </c>
      <c r="D92" t="s">
        <v>178</v>
      </c>
      <c r="E92" t="s">
        <v>179</v>
      </c>
      <c r="F92" t="s">
        <v>1105</v>
      </c>
      <c r="G92" t="s">
        <v>1106</v>
      </c>
      <c r="H92" t="s">
        <v>1108</v>
      </c>
      <c r="I92" t="s">
        <v>1106</v>
      </c>
      <c r="J92" t="s">
        <v>1109</v>
      </c>
      <c r="K92" t="s">
        <v>1110</v>
      </c>
      <c r="L92" t="s">
        <v>50</v>
      </c>
      <c r="M92" s="2">
        <v>189158.12</v>
      </c>
      <c r="N92" t="s">
        <v>1114</v>
      </c>
      <c r="O92" t="s">
        <v>52</v>
      </c>
      <c r="P92" t="str">
        <f>CONCATENATE("'",Tabla1[[#This Row],[Codigo]],"',")</f>
        <v>'00181',</v>
      </c>
    </row>
    <row r="93" spans="1:16" x14ac:dyDescent="0.25">
      <c r="A93" t="s">
        <v>1129</v>
      </c>
      <c r="B93" t="s">
        <v>1130</v>
      </c>
      <c r="C93" t="s">
        <v>1130</v>
      </c>
      <c r="D93" t="s">
        <v>153</v>
      </c>
      <c r="E93" t="s">
        <v>272</v>
      </c>
      <c r="F93" t="s">
        <v>1131</v>
      </c>
      <c r="G93" t="s">
        <v>303</v>
      </c>
      <c r="H93" t="s">
        <v>302</v>
      </c>
      <c r="I93" t="s">
        <v>303</v>
      </c>
      <c r="J93" t="s">
        <v>304</v>
      </c>
      <c r="K93" t="s">
        <v>72</v>
      </c>
      <c r="L93" t="s">
        <v>50</v>
      </c>
      <c r="M93" s="2">
        <v>1086684.6599999999</v>
      </c>
      <c r="N93" t="s">
        <v>1134</v>
      </c>
      <c r="P93" t="str">
        <f>CONCATENATE("'",Tabla1[[#This Row],[Codigo]],"',")</f>
        <v>'00186',</v>
      </c>
    </row>
    <row r="94" spans="1:16" x14ac:dyDescent="0.25">
      <c r="A94" t="s">
        <v>1140</v>
      </c>
      <c r="B94" t="s">
        <v>1141</v>
      </c>
      <c r="C94" t="s">
        <v>1141</v>
      </c>
      <c r="D94" t="s">
        <v>1142</v>
      </c>
      <c r="E94" t="s">
        <v>77</v>
      </c>
      <c r="F94" t="s">
        <v>1143</v>
      </c>
      <c r="G94" t="s">
        <v>303</v>
      </c>
      <c r="H94" t="s">
        <v>302</v>
      </c>
      <c r="I94" t="s">
        <v>303</v>
      </c>
      <c r="J94" t="s">
        <v>304</v>
      </c>
      <c r="K94" t="s">
        <v>72</v>
      </c>
      <c r="L94" t="s">
        <v>50</v>
      </c>
      <c r="M94" s="2">
        <v>36860</v>
      </c>
      <c r="N94" t="s">
        <v>64</v>
      </c>
      <c r="P94" t="str">
        <f>CONCATENATE("'",Tabla1[[#This Row],[Codigo]],"',")</f>
        <v>'00188',</v>
      </c>
    </row>
    <row r="95" spans="1:16" x14ac:dyDescent="0.25">
      <c r="A95" t="s">
        <v>1160</v>
      </c>
      <c r="B95" t="s">
        <v>1161</v>
      </c>
      <c r="C95" t="s">
        <v>1161</v>
      </c>
      <c r="D95" t="s">
        <v>35</v>
      </c>
      <c r="E95" t="s">
        <v>36</v>
      </c>
      <c r="F95" t="s">
        <v>1162</v>
      </c>
      <c r="G95" t="s">
        <v>584</v>
      </c>
      <c r="H95" t="s">
        <v>585</v>
      </c>
      <c r="I95" t="s">
        <v>584</v>
      </c>
      <c r="J95" t="s">
        <v>158</v>
      </c>
      <c r="K95" t="s">
        <v>159</v>
      </c>
      <c r="L95" t="s">
        <v>50</v>
      </c>
      <c r="M95" s="2">
        <v>37799.47</v>
      </c>
      <c r="N95" t="s">
        <v>1165</v>
      </c>
      <c r="O95" t="s">
        <v>52</v>
      </c>
      <c r="P95" t="str">
        <f>CONCATENATE("'",Tabla1[[#This Row],[Codigo]],"',")</f>
        <v>'00194',</v>
      </c>
    </row>
    <row r="96" spans="1:16" x14ac:dyDescent="0.25">
      <c r="A96" t="s">
        <v>1166</v>
      </c>
      <c r="B96" t="s">
        <v>1167</v>
      </c>
      <c r="C96" t="s">
        <v>1167</v>
      </c>
      <c r="D96" t="s">
        <v>569</v>
      </c>
      <c r="E96" t="s">
        <v>570</v>
      </c>
      <c r="F96" t="s">
        <v>1168</v>
      </c>
      <c r="G96" t="s">
        <v>404</v>
      </c>
      <c r="H96" t="s">
        <v>403</v>
      </c>
      <c r="I96" t="s">
        <v>404</v>
      </c>
      <c r="J96" t="s">
        <v>205</v>
      </c>
      <c r="K96" t="s">
        <v>206</v>
      </c>
      <c r="L96" t="s">
        <v>50</v>
      </c>
      <c r="M96" s="2">
        <v>218170</v>
      </c>
      <c r="N96" t="s">
        <v>64</v>
      </c>
      <c r="P96" t="str">
        <f>CONCATENATE("'",Tabla1[[#This Row],[Codigo]],"',")</f>
        <v>'00195',</v>
      </c>
    </row>
    <row r="97" spans="1:16" x14ac:dyDescent="0.25">
      <c r="A97" t="s">
        <v>1174</v>
      </c>
      <c r="B97" t="s">
        <v>1175</v>
      </c>
      <c r="C97" t="s">
        <v>1176</v>
      </c>
      <c r="D97" t="s">
        <v>125</v>
      </c>
      <c r="E97" t="s">
        <v>126</v>
      </c>
      <c r="F97" t="s">
        <v>1177</v>
      </c>
      <c r="G97" t="s">
        <v>184</v>
      </c>
      <c r="H97" t="s">
        <v>183</v>
      </c>
      <c r="I97" t="s">
        <v>184</v>
      </c>
      <c r="J97" t="s">
        <v>158</v>
      </c>
      <c r="K97" t="s">
        <v>159</v>
      </c>
      <c r="L97" t="s">
        <v>50</v>
      </c>
      <c r="M97" s="2">
        <v>3192401.8</v>
      </c>
      <c r="N97" t="s">
        <v>1179</v>
      </c>
      <c r="O97" t="s">
        <v>52</v>
      </c>
      <c r="P97" t="str">
        <f>CONCATENATE("'",Tabla1[[#This Row],[Codigo]],"',")</f>
        <v>'00197',</v>
      </c>
    </row>
    <row r="98" spans="1:16" x14ac:dyDescent="0.25">
      <c r="A98" t="s">
        <v>1182</v>
      </c>
      <c r="B98" t="s">
        <v>1183</v>
      </c>
      <c r="C98" t="s">
        <v>1183</v>
      </c>
      <c r="D98" t="s">
        <v>35</v>
      </c>
      <c r="E98" t="s">
        <v>36</v>
      </c>
      <c r="F98" t="s">
        <v>1184</v>
      </c>
      <c r="G98" t="s">
        <v>404</v>
      </c>
      <c r="H98" t="s">
        <v>403</v>
      </c>
      <c r="I98" t="s">
        <v>404</v>
      </c>
      <c r="J98" t="s">
        <v>205</v>
      </c>
      <c r="K98" t="s">
        <v>206</v>
      </c>
      <c r="L98" t="s">
        <v>50</v>
      </c>
      <c r="M98" s="2">
        <v>-694.18</v>
      </c>
      <c r="N98" t="s">
        <v>1187</v>
      </c>
      <c r="O98" t="s">
        <v>115</v>
      </c>
      <c r="P98" t="str">
        <f>CONCATENATE("'",Tabla1[[#This Row],[Codigo]],"',")</f>
        <v>'00199',</v>
      </c>
    </row>
    <row r="99" spans="1:16" x14ac:dyDescent="0.25">
      <c r="A99" t="s">
        <v>1190</v>
      </c>
      <c r="B99" t="s">
        <v>1191</v>
      </c>
      <c r="C99" t="s">
        <v>1191</v>
      </c>
      <c r="D99" t="s">
        <v>178</v>
      </c>
      <c r="E99" t="s">
        <v>179</v>
      </c>
      <c r="F99" t="s">
        <v>1192</v>
      </c>
      <c r="G99" t="s">
        <v>41</v>
      </c>
      <c r="H99" t="s">
        <v>40</v>
      </c>
      <c r="I99" t="s">
        <v>41</v>
      </c>
      <c r="J99" t="s">
        <v>61</v>
      </c>
      <c r="K99" t="s">
        <v>62</v>
      </c>
      <c r="L99" t="s">
        <v>50</v>
      </c>
      <c r="M99" s="2">
        <v>90123.64</v>
      </c>
      <c r="N99" t="s">
        <v>1195</v>
      </c>
      <c r="O99" t="s">
        <v>52</v>
      </c>
      <c r="P99" t="str">
        <f>CONCATENATE("'",Tabla1[[#This Row],[Codigo]],"',")</f>
        <v>'00201',</v>
      </c>
    </row>
    <row r="100" spans="1:16" x14ac:dyDescent="0.25">
      <c r="A100" t="s">
        <v>1205</v>
      </c>
      <c r="B100" t="s">
        <v>1206</v>
      </c>
      <c r="C100" t="s">
        <v>1206</v>
      </c>
      <c r="D100" t="s">
        <v>35</v>
      </c>
      <c r="E100" t="s">
        <v>36</v>
      </c>
      <c r="F100" t="s">
        <v>1207</v>
      </c>
      <c r="G100" t="s">
        <v>1208</v>
      </c>
      <c r="H100" t="s">
        <v>1210</v>
      </c>
      <c r="I100" t="s">
        <v>1211</v>
      </c>
      <c r="J100" t="s">
        <v>1212</v>
      </c>
      <c r="K100" t="s">
        <v>1213</v>
      </c>
      <c r="L100" t="s">
        <v>50</v>
      </c>
      <c r="M100" s="2">
        <v>38516.28</v>
      </c>
      <c r="N100" t="s">
        <v>1217</v>
      </c>
      <c r="O100" t="s">
        <v>52</v>
      </c>
      <c r="P100" t="str">
        <f>CONCATENATE("'",Tabla1[[#This Row],[Codigo]],"',")</f>
        <v>'00206',</v>
      </c>
    </row>
    <row r="101" spans="1:16" x14ac:dyDescent="0.25">
      <c r="A101" t="s">
        <v>1225</v>
      </c>
      <c r="B101" t="s">
        <v>1226</v>
      </c>
      <c r="C101" t="s">
        <v>1226</v>
      </c>
      <c r="D101" t="s">
        <v>35</v>
      </c>
      <c r="E101" t="s">
        <v>36</v>
      </c>
      <c r="F101" t="s">
        <v>1227</v>
      </c>
      <c r="G101" t="s">
        <v>68</v>
      </c>
      <c r="H101" t="s">
        <v>67</v>
      </c>
      <c r="I101" t="s">
        <v>68</v>
      </c>
      <c r="J101" t="s">
        <v>69</v>
      </c>
      <c r="K101" t="s">
        <v>70</v>
      </c>
      <c r="L101" t="s">
        <v>50</v>
      </c>
      <c r="M101" s="2">
        <v>87925.19</v>
      </c>
      <c r="N101" t="s">
        <v>1230</v>
      </c>
      <c r="O101" t="s">
        <v>52</v>
      </c>
      <c r="P101" t="str">
        <f>CONCATENATE("'",Tabla1[[#This Row],[Codigo]],"',")</f>
        <v>'00209',</v>
      </c>
    </row>
    <row r="102" spans="1:16" x14ac:dyDescent="0.25">
      <c r="A102" t="s">
        <v>1235</v>
      </c>
      <c r="B102" t="s">
        <v>1236</v>
      </c>
      <c r="C102" t="s">
        <v>1236</v>
      </c>
      <c r="D102" t="s">
        <v>35</v>
      </c>
      <c r="E102" t="s">
        <v>36</v>
      </c>
      <c r="F102" t="s">
        <v>1237</v>
      </c>
      <c r="G102" t="s">
        <v>1222</v>
      </c>
      <c r="H102" t="s">
        <v>1221</v>
      </c>
      <c r="I102" t="s">
        <v>1222</v>
      </c>
      <c r="J102" t="s">
        <v>205</v>
      </c>
      <c r="K102" t="s">
        <v>206</v>
      </c>
      <c r="L102" t="s">
        <v>50</v>
      </c>
      <c r="M102" s="2">
        <v>797405.79</v>
      </c>
      <c r="N102" t="s">
        <v>1240</v>
      </c>
      <c r="O102" t="s">
        <v>52</v>
      </c>
      <c r="P102" t="str">
        <f>CONCATENATE("'",Tabla1[[#This Row],[Codigo]],"',")</f>
        <v>'00212',</v>
      </c>
    </row>
    <row r="103" spans="1:16" x14ac:dyDescent="0.25">
      <c r="A103" t="s">
        <v>1241</v>
      </c>
      <c r="B103" t="s">
        <v>1242</v>
      </c>
      <c r="C103" t="s">
        <v>1242</v>
      </c>
      <c r="D103" t="s">
        <v>1243</v>
      </c>
      <c r="E103" t="s">
        <v>871</v>
      </c>
      <c r="F103" t="s">
        <v>1244</v>
      </c>
      <c r="G103" t="s">
        <v>1062</v>
      </c>
      <c r="H103" t="s">
        <v>1064</v>
      </c>
      <c r="I103" t="s">
        <v>1062</v>
      </c>
      <c r="J103" t="s">
        <v>304</v>
      </c>
      <c r="K103" t="s">
        <v>72</v>
      </c>
      <c r="L103" t="s">
        <v>50</v>
      </c>
      <c r="M103" s="2">
        <v>213314.82</v>
      </c>
      <c r="N103" t="s">
        <v>1248</v>
      </c>
      <c r="P103" t="str">
        <f>CONCATENATE("'",Tabla1[[#This Row],[Codigo]],"',")</f>
        <v>'00213',</v>
      </c>
    </row>
    <row r="104" spans="1:16" x14ac:dyDescent="0.25">
      <c r="A104" s="15" t="s">
        <v>1249</v>
      </c>
      <c r="B104" s="15" t="s">
        <v>1250</v>
      </c>
      <c r="C104" s="15" t="s">
        <v>1250</v>
      </c>
      <c r="D104" s="15" t="s">
        <v>55</v>
      </c>
      <c r="E104" s="15" t="s">
        <v>56</v>
      </c>
      <c r="F104" s="15" t="s">
        <v>1251</v>
      </c>
      <c r="G104" s="15" t="s">
        <v>303</v>
      </c>
      <c r="H104" s="15" t="s">
        <v>302</v>
      </c>
      <c r="I104" s="15" t="s">
        <v>303</v>
      </c>
      <c r="J104" s="15" t="s">
        <v>304</v>
      </c>
      <c r="K104" s="15" t="s">
        <v>72</v>
      </c>
      <c r="L104" s="15" t="s">
        <v>50</v>
      </c>
      <c r="M104" s="16">
        <v>-11749.26</v>
      </c>
      <c r="N104" s="15" t="s">
        <v>1254</v>
      </c>
      <c r="O104" s="15" t="s">
        <v>115</v>
      </c>
      <c r="P104" t="str">
        <f>CONCATENATE("'",Tabla1[[#This Row],[Codigo]],"',")</f>
        <v>'00214',</v>
      </c>
    </row>
    <row r="105" spans="1:16" x14ac:dyDescent="0.25">
      <c r="A105" t="s">
        <v>1255</v>
      </c>
      <c r="B105" t="s">
        <v>1256</v>
      </c>
      <c r="C105" t="s">
        <v>1256</v>
      </c>
      <c r="D105" t="s">
        <v>166</v>
      </c>
      <c r="E105" t="s">
        <v>167</v>
      </c>
      <c r="F105" t="s">
        <v>1257</v>
      </c>
      <c r="G105" t="s">
        <v>584</v>
      </c>
      <c r="H105" t="s">
        <v>585</v>
      </c>
      <c r="I105" t="s">
        <v>584</v>
      </c>
      <c r="J105" t="s">
        <v>158</v>
      </c>
      <c r="K105" t="s">
        <v>159</v>
      </c>
      <c r="L105" t="s">
        <v>50</v>
      </c>
      <c r="M105" s="2">
        <v>1076695.3</v>
      </c>
      <c r="N105" t="s">
        <v>1260</v>
      </c>
      <c r="P105" t="str">
        <f>CONCATENATE("'",Tabla1[[#This Row],[Codigo]],"',")</f>
        <v>'00215',</v>
      </c>
    </row>
    <row r="106" spans="1:16" x14ac:dyDescent="0.25">
      <c r="A106" t="s">
        <v>1263</v>
      </c>
      <c r="B106" t="s">
        <v>1264</v>
      </c>
      <c r="C106" t="s">
        <v>1264</v>
      </c>
      <c r="D106" t="s">
        <v>35</v>
      </c>
      <c r="E106" t="s">
        <v>36</v>
      </c>
      <c r="F106" t="s">
        <v>1265</v>
      </c>
      <c r="G106" t="s">
        <v>349</v>
      </c>
      <c r="H106" t="s">
        <v>348</v>
      </c>
      <c r="I106" t="s">
        <v>349</v>
      </c>
      <c r="J106" t="s">
        <v>316</v>
      </c>
      <c r="K106" t="s">
        <v>317</v>
      </c>
      <c r="L106" t="s">
        <v>50</v>
      </c>
      <c r="M106" s="2">
        <v>20905.7</v>
      </c>
      <c r="N106" t="s">
        <v>1268</v>
      </c>
      <c r="O106" t="s">
        <v>52</v>
      </c>
      <c r="P106" t="str">
        <f>CONCATENATE("'",Tabla1[[#This Row],[Codigo]],"',")</f>
        <v>'00217',</v>
      </c>
    </row>
    <row r="107" spans="1:16" x14ac:dyDescent="0.25">
      <c r="A107" t="s">
        <v>1273</v>
      </c>
      <c r="B107" t="s">
        <v>1274</v>
      </c>
      <c r="C107" t="s">
        <v>1274</v>
      </c>
      <c r="D107" t="s">
        <v>153</v>
      </c>
      <c r="E107" t="s">
        <v>272</v>
      </c>
      <c r="F107" t="s">
        <v>1275</v>
      </c>
      <c r="G107" t="s">
        <v>41</v>
      </c>
      <c r="H107" t="s">
        <v>40</v>
      </c>
      <c r="I107" t="s">
        <v>41</v>
      </c>
      <c r="J107" t="s">
        <v>61</v>
      </c>
      <c r="K107" t="s">
        <v>62</v>
      </c>
      <c r="L107" t="s">
        <v>50</v>
      </c>
      <c r="M107" s="2">
        <v>217366.9</v>
      </c>
      <c r="N107" t="s">
        <v>1278</v>
      </c>
      <c r="O107" t="s">
        <v>52</v>
      </c>
      <c r="P107" t="str">
        <f>CONCATENATE("'",Tabla1[[#This Row],[Codigo]],"',")</f>
        <v>'00220',</v>
      </c>
    </row>
    <row r="108" spans="1:16" x14ac:dyDescent="0.25">
      <c r="A108" t="s">
        <v>1279</v>
      </c>
      <c r="B108" t="s">
        <v>1280</v>
      </c>
      <c r="C108" t="s">
        <v>1280</v>
      </c>
      <c r="D108" t="s">
        <v>125</v>
      </c>
      <c r="E108" t="s">
        <v>126</v>
      </c>
      <c r="F108" t="s">
        <v>1281</v>
      </c>
      <c r="G108" t="s">
        <v>404</v>
      </c>
      <c r="H108" t="s">
        <v>403</v>
      </c>
      <c r="I108" t="s">
        <v>404</v>
      </c>
      <c r="J108" t="s">
        <v>205</v>
      </c>
      <c r="K108" t="s">
        <v>206</v>
      </c>
      <c r="L108" t="s">
        <v>50</v>
      </c>
      <c r="M108" s="2">
        <v>-147685.63</v>
      </c>
      <c r="N108" t="s">
        <v>1284</v>
      </c>
      <c r="O108" t="s">
        <v>115</v>
      </c>
      <c r="P108" t="str">
        <f>CONCATENATE("'",Tabla1[[#This Row],[Codigo]],"',")</f>
        <v>'00221',</v>
      </c>
    </row>
    <row r="109" spans="1:16" x14ac:dyDescent="0.25">
      <c r="A109" t="s">
        <v>1287</v>
      </c>
      <c r="B109" t="s">
        <v>1288</v>
      </c>
      <c r="C109" t="s">
        <v>1288</v>
      </c>
      <c r="D109" t="s">
        <v>1289</v>
      </c>
      <c r="E109" t="s">
        <v>224</v>
      </c>
      <c r="F109" t="s">
        <v>1290</v>
      </c>
      <c r="G109" t="s">
        <v>1117</v>
      </c>
      <c r="H109" t="s">
        <v>1119</v>
      </c>
      <c r="I109" t="s">
        <v>1120</v>
      </c>
      <c r="J109" t="s">
        <v>256</v>
      </c>
      <c r="K109" t="s">
        <v>255</v>
      </c>
      <c r="L109" t="s">
        <v>50</v>
      </c>
      <c r="M109" s="2">
        <v>65338.559999999998</v>
      </c>
      <c r="N109" t="s">
        <v>1294</v>
      </c>
      <c r="P109" t="str">
        <f>CONCATENATE("'",Tabla1[[#This Row],[Codigo]],"',")</f>
        <v>'00223',</v>
      </c>
    </row>
    <row r="110" spans="1:16" x14ac:dyDescent="0.25">
      <c r="A110" t="s">
        <v>1295</v>
      </c>
      <c r="B110" t="s">
        <v>1296</v>
      </c>
      <c r="C110" t="s">
        <v>1296</v>
      </c>
      <c r="D110" t="s">
        <v>178</v>
      </c>
      <c r="E110" t="s">
        <v>179</v>
      </c>
      <c r="F110" t="s">
        <v>1297</v>
      </c>
      <c r="G110" t="s">
        <v>201</v>
      </c>
      <c r="H110" t="s">
        <v>203</v>
      </c>
      <c r="I110" t="s">
        <v>204</v>
      </c>
      <c r="J110" t="s">
        <v>205</v>
      </c>
      <c r="K110" t="s">
        <v>206</v>
      </c>
      <c r="L110" t="s">
        <v>50</v>
      </c>
      <c r="M110" s="2">
        <v>38254.089999999997</v>
      </c>
      <c r="N110" t="s">
        <v>1300</v>
      </c>
      <c r="O110" t="s">
        <v>115</v>
      </c>
      <c r="P110" t="str">
        <f>CONCATENATE("'",Tabla1[[#This Row],[Codigo]],"',")</f>
        <v>'00224',</v>
      </c>
    </row>
    <row r="111" spans="1:16" x14ac:dyDescent="0.25">
      <c r="A111" t="s">
        <v>1301</v>
      </c>
      <c r="B111" t="s">
        <v>1302</v>
      </c>
      <c r="C111" t="s">
        <v>1302</v>
      </c>
      <c r="D111" t="s">
        <v>153</v>
      </c>
      <c r="E111" t="s">
        <v>272</v>
      </c>
      <c r="F111" t="s">
        <v>1303</v>
      </c>
      <c r="G111" t="s">
        <v>1304</v>
      </c>
      <c r="H111" t="s">
        <v>1306</v>
      </c>
      <c r="I111" t="s">
        <v>1304</v>
      </c>
      <c r="J111" t="s">
        <v>120</v>
      </c>
      <c r="K111" t="s">
        <v>121</v>
      </c>
      <c r="L111" t="s">
        <v>50</v>
      </c>
      <c r="M111" s="2">
        <v>-247.11</v>
      </c>
      <c r="N111" t="s">
        <v>1308</v>
      </c>
      <c r="O111" t="s">
        <v>52</v>
      </c>
      <c r="P111" t="str">
        <f>CONCATENATE("'",Tabla1[[#This Row],[Codigo]],"',")</f>
        <v>'00225',</v>
      </c>
    </row>
    <row r="112" spans="1:16" x14ac:dyDescent="0.25">
      <c r="A112" t="s">
        <v>1309</v>
      </c>
      <c r="B112" t="s">
        <v>1310</v>
      </c>
      <c r="C112" t="s">
        <v>1310</v>
      </c>
      <c r="D112" t="s">
        <v>178</v>
      </c>
      <c r="E112" t="s">
        <v>179</v>
      </c>
      <c r="F112" t="s">
        <v>1311</v>
      </c>
      <c r="G112" t="s">
        <v>1312</v>
      </c>
      <c r="H112" t="s">
        <v>883</v>
      </c>
      <c r="I112" t="s">
        <v>881</v>
      </c>
      <c r="J112" t="s">
        <v>158</v>
      </c>
      <c r="K112" t="s">
        <v>159</v>
      </c>
      <c r="L112" t="s">
        <v>50</v>
      </c>
      <c r="M112" s="2">
        <v>109085</v>
      </c>
      <c r="N112" t="s">
        <v>64</v>
      </c>
      <c r="P112" t="str">
        <f>CONCATENATE("'",Tabla1[[#This Row],[Codigo]],"',")</f>
        <v>'00226',</v>
      </c>
    </row>
    <row r="113" spans="1:16" x14ac:dyDescent="0.25">
      <c r="A113" t="s">
        <v>1315</v>
      </c>
      <c r="B113" t="s">
        <v>1316</v>
      </c>
      <c r="C113" t="s">
        <v>1316</v>
      </c>
      <c r="D113" t="s">
        <v>35</v>
      </c>
      <c r="E113" t="s">
        <v>36</v>
      </c>
      <c r="F113" t="s">
        <v>1317</v>
      </c>
      <c r="G113" t="s">
        <v>404</v>
      </c>
      <c r="H113" t="s">
        <v>403</v>
      </c>
      <c r="I113" t="s">
        <v>404</v>
      </c>
      <c r="J113" t="s">
        <v>205</v>
      </c>
      <c r="K113" t="s">
        <v>206</v>
      </c>
      <c r="L113" t="s">
        <v>50</v>
      </c>
      <c r="M113" s="2">
        <v>-60068.87</v>
      </c>
      <c r="N113" t="s">
        <v>1320</v>
      </c>
      <c r="O113" t="s">
        <v>115</v>
      </c>
      <c r="P113" t="str">
        <f>CONCATENATE("'",Tabla1[[#This Row],[Codigo]],"',")</f>
        <v>'00227',</v>
      </c>
    </row>
    <row r="114" spans="1:16" x14ac:dyDescent="0.25">
      <c r="A114" t="s">
        <v>1321</v>
      </c>
      <c r="B114" t="s">
        <v>1322</v>
      </c>
      <c r="C114" t="s">
        <v>1322</v>
      </c>
      <c r="D114" t="s">
        <v>178</v>
      </c>
      <c r="E114" t="s">
        <v>179</v>
      </c>
      <c r="F114" t="s">
        <v>1323</v>
      </c>
      <c r="H114" t="s">
        <v>40</v>
      </c>
      <c r="I114" t="s">
        <v>41</v>
      </c>
      <c r="J114" t="s">
        <v>42</v>
      </c>
      <c r="K114" t="s">
        <v>43</v>
      </c>
      <c r="L114" t="s">
        <v>50</v>
      </c>
      <c r="M114" s="2">
        <v>10909</v>
      </c>
      <c r="N114" t="s">
        <v>64</v>
      </c>
      <c r="P114" t="str">
        <f>CONCATENATE("'",Tabla1[[#This Row],[Codigo]],"',")</f>
        <v>'00228',</v>
      </c>
    </row>
    <row r="115" spans="1:16" x14ac:dyDescent="0.25">
      <c r="A115" t="s">
        <v>1326</v>
      </c>
      <c r="B115" t="s">
        <v>1327</v>
      </c>
      <c r="C115" t="s">
        <v>1327</v>
      </c>
      <c r="D115" t="s">
        <v>153</v>
      </c>
      <c r="E115" t="s">
        <v>272</v>
      </c>
      <c r="F115" t="s">
        <v>1328</v>
      </c>
      <c r="G115" t="s">
        <v>1330</v>
      </c>
      <c r="H115" t="s">
        <v>1332</v>
      </c>
      <c r="I115" t="s">
        <v>1330</v>
      </c>
      <c r="J115" t="s">
        <v>69</v>
      </c>
      <c r="K115" t="s">
        <v>70</v>
      </c>
      <c r="L115" t="s">
        <v>50</v>
      </c>
      <c r="M115" s="2">
        <v>218934.44</v>
      </c>
      <c r="N115" t="s">
        <v>1334</v>
      </c>
      <c r="O115" t="s">
        <v>115</v>
      </c>
      <c r="P115" t="str">
        <f>CONCATENATE("'",Tabla1[[#This Row],[Codigo]],"',")</f>
        <v>'00230',</v>
      </c>
    </row>
    <row r="116" spans="1:16" x14ac:dyDescent="0.25">
      <c r="A116" t="s">
        <v>1338</v>
      </c>
      <c r="B116" t="s">
        <v>1339</v>
      </c>
      <c r="C116" t="s">
        <v>1339</v>
      </c>
      <c r="D116" t="s">
        <v>344</v>
      </c>
      <c r="E116" t="s">
        <v>167</v>
      </c>
      <c r="F116" t="s">
        <v>1340</v>
      </c>
      <c r="G116" t="s">
        <v>1123</v>
      </c>
      <c r="H116" t="s">
        <v>1125</v>
      </c>
      <c r="I116" t="s">
        <v>1123</v>
      </c>
      <c r="J116" t="s">
        <v>158</v>
      </c>
      <c r="K116" t="s">
        <v>159</v>
      </c>
      <c r="L116" t="s">
        <v>50</v>
      </c>
      <c r="M116" s="2">
        <v>149887.54</v>
      </c>
      <c r="N116" t="s">
        <v>1342</v>
      </c>
      <c r="O116" t="s">
        <v>52</v>
      </c>
      <c r="P116" t="str">
        <f>CONCATENATE("'",Tabla1[[#This Row],[Codigo]],"',")</f>
        <v>'00232',</v>
      </c>
    </row>
    <row r="117" spans="1:16" x14ac:dyDescent="0.25">
      <c r="A117" t="s">
        <v>1345</v>
      </c>
      <c r="B117" t="s">
        <v>1346</v>
      </c>
      <c r="C117" t="s">
        <v>1346</v>
      </c>
      <c r="D117" t="s">
        <v>125</v>
      </c>
      <c r="E117" t="s">
        <v>126</v>
      </c>
      <c r="F117" t="s">
        <v>1347</v>
      </c>
      <c r="G117" t="s">
        <v>361</v>
      </c>
      <c r="H117" t="s">
        <v>360</v>
      </c>
      <c r="I117" t="s">
        <v>361</v>
      </c>
      <c r="J117" t="s">
        <v>61</v>
      </c>
      <c r="K117" t="s">
        <v>62</v>
      </c>
      <c r="L117" t="s">
        <v>50</v>
      </c>
      <c r="M117" s="2">
        <v>236114.36</v>
      </c>
      <c r="N117" t="s">
        <v>1350</v>
      </c>
      <c r="O117" t="s">
        <v>52</v>
      </c>
      <c r="P117" t="str">
        <f>CONCATENATE("'",Tabla1[[#This Row],[Codigo]],"',")</f>
        <v>'00234',</v>
      </c>
    </row>
    <row r="118" spans="1:16" x14ac:dyDescent="0.25">
      <c r="A118" t="s">
        <v>1351</v>
      </c>
      <c r="B118" t="s">
        <v>1352</v>
      </c>
      <c r="C118" t="s">
        <v>1352</v>
      </c>
      <c r="D118" t="s">
        <v>153</v>
      </c>
      <c r="E118" t="s">
        <v>272</v>
      </c>
      <c r="F118" t="s">
        <v>1353</v>
      </c>
      <c r="G118" t="s">
        <v>41</v>
      </c>
      <c r="H118" t="s">
        <v>40</v>
      </c>
      <c r="I118" t="s">
        <v>41</v>
      </c>
      <c r="J118" t="s">
        <v>42</v>
      </c>
      <c r="K118" t="s">
        <v>43</v>
      </c>
      <c r="L118" t="s">
        <v>50</v>
      </c>
      <c r="M118" s="2">
        <v>246955.79</v>
      </c>
      <c r="N118" t="s">
        <v>1354</v>
      </c>
      <c r="P118" t="str">
        <f>CONCATENATE("'",Tabla1[[#This Row],[Codigo]],"',")</f>
        <v>'00235',</v>
      </c>
    </row>
    <row r="119" spans="1:16" x14ac:dyDescent="0.25">
      <c r="A119" t="s">
        <v>1355</v>
      </c>
      <c r="B119" t="s">
        <v>159</v>
      </c>
      <c r="C119" t="s">
        <v>159</v>
      </c>
      <c r="D119" t="s">
        <v>153</v>
      </c>
      <c r="E119" t="s">
        <v>272</v>
      </c>
      <c r="F119" t="s">
        <v>1356</v>
      </c>
      <c r="H119" t="s">
        <v>40</v>
      </c>
      <c r="I119" t="s">
        <v>41</v>
      </c>
      <c r="J119" t="s">
        <v>42</v>
      </c>
      <c r="K119" t="s">
        <v>43</v>
      </c>
      <c r="L119" t="s">
        <v>50</v>
      </c>
      <c r="M119" s="2">
        <v>21817</v>
      </c>
      <c r="N119" t="s">
        <v>64</v>
      </c>
      <c r="P119" t="str">
        <f>CONCATENATE("'",Tabla1[[#This Row],[Codigo]],"',")</f>
        <v>'00236',</v>
      </c>
    </row>
    <row r="120" spans="1:16" x14ac:dyDescent="0.25">
      <c r="A120" t="s">
        <v>1366</v>
      </c>
      <c r="B120" t="s">
        <v>1367</v>
      </c>
      <c r="C120" t="s">
        <v>1367</v>
      </c>
      <c r="D120" t="s">
        <v>35</v>
      </c>
      <c r="E120" t="s">
        <v>36</v>
      </c>
      <c r="F120" t="s">
        <v>1368</v>
      </c>
      <c r="G120" t="s">
        <v>303</v>
      </c>
      <c r="H120" t="s">
        <v>302</v>
      </c>
      <c r="I120" t="s">
        <v>303</v>
      </c>
      <c r="J120" t="s">
        <v>304</v>
      </c>
      <c r="K120" t="s">
        <v>72</v>
      </c>
      <c r="L120" t="s">
        <v>50</v>
      </c>
      <c r="M120" s="2">
        <v>455513.37</v>
      </c>
      <c r="N120" t="s">
        <v>1371</v>
      </c>
      <c r="O120" t="s">
        <v>52</v>
      </c>
      <c r="P120" t="str">
        <f>CONCATENATE("'",Tabla1[[#This Row],[Codigo]],"',")</f>
        <v>'00239',</v>
      </c>
    </row>
    <row r="121" spans="1:16" x14ac:dyDescent="0.25">
      <c r="A121" t="s">
        <v>1372</v>
      </c>
      <c r="B121" t="s">
        <v>1373</v>
      </c>
      <c r="C121" t="s">
        <v>1373</v>
      </c>
      <c r="D121" t="s">
        <v>125</v>
      </c>
      <c r="E121" t="s">
        <v>126</v>
      </c>
      <c r="F121" t="s">
        <v>1374</v>
      </c>
      <c r="G121" t="s">
        <v>1222</v>
      </c>
      <c r="H121" t="s">
        <v>1221</v>
      </c>
      <c r="I121" t="s">
        <v>1222</v>
      </c>
      <c r="J121" t="s">
        <v>205</v>
      </c>
      <c r="K121" t="s">
        <v>206</v>
      </c>
      <c r="L121" t="s">
        <v>50</v>
      </c>
      <c r="M121" s="2">
        <v>-18838.13</v>
      </c>
      <c r="N121" t="s">
        <v>1377</v>
      </c>
      <c r="O121" t="s">
        <v>52</v>
      </c>
      <c r="P121" t="str">
        <f>CONCATENATE("'",Tabla1[[#This Row],[Codigo]],"',")</f>
        <v>'00240',</v>
      </c>
    </row>
    <row r="122" spans="1:16" x14ac:dyDescent="0.25">
      <c r="A122" t="s">
        <v>1389</v>
      </c>
      <c r="B122" t="s">
        <v>1390</v>
      </c>
      <c r="C122" t="s">
        <v>1390</v>
      </c>
      <c r="D122" t="s">
        <v>153</v>
      </c>
      <c r="E122" t="s">
        <v>272</v>
      </c>
      <c r="F122" t="s">
        <v>1391</v>
      </c>
      <c r="H122" t="s">
        <v>40</v>
      </c>
      <c r="I122" t="s">
        <v>41</v>
      </c>
      <c r="J122" t="s">
        <v>42</v>
      </c>
      <c r="K122" t="s">
        <v>43</v>
      </c>
      <c r="L122" t="s">
        <v>50</v>
      </c>
      <c r="M122" s="2">
        <v>216796.79</v>
      </c>
      <c r="N122" t="s">
        <v>1392</v>
      </c>
      <c r="P122" t="str">
        <f>CONCATENATE("'",Tabla1[[#This Row],[Codigo]],"',")</f>
        <v>'00245',</v>
      </c>
    </row>
    <row r="123" spans="1:16" x14ac:dyDescent="0.25">
      <c r="A123" s="15" t="s">
        <v>1393</v>
      </c>
      <c r="B123" s="15" t="s">
        <v>1394</v>
      </c>
      <c r="C123" s="15" t="s">
        <v>1394</v>
      </c>
      <c r="D123" s="15" t="s">
        <v>55</v>
      </c>
      <c r="E123" s="15" t="s">
        <v>56</v>
      </c>
      <c r="F123" s="15" t="s">
        <v>1395</v>
      </c>
      <c r="G123" s="15" t="s">
        <v>1396</v>
      </c>
      <c r="H123" s="15" t="s">
        <v>1398</v>
      </c>
      <c r="I123" s="15" t="s">
        <v>1396</v>
      </c>
      <c r="J123" s="15" t="s">
        <v>120</v>
      </c>
      <c r="K123" s="15" t="s">
        <v>121</v>
      </c>
      <c r="L123" s="15" t="s">
        <v>50</v>
      </c>
      <c r="M123" s="16">
        <v>-3584.54</v>
      </c>
      <c r="N123" s="15" t="s">
        <v>1400</v>
      </c>
      <c r="O123" s="15" t="s">
        <v>115</v>
      </c>
      <c r="P123" t="str">
        <f>CONCATENATE("'",Tabla1[[#This Row],[Codigo]],"',")</f>
        <v>'00246',</v>
      </c>
    </row>
    <row r="124" spans="1:16" x14ac:dyDescent="0.25">
      <c r="A124" t="s">
        <v>1401</v>
      </c>
      <c r="B124" t="s">
        <v>1402</v>
      </c>
      <c r="C124" t="s">
        <v>1402</v>
      </c>
      <c r="D124" t="s">
        <v>35</v>
      </c>
      <c r="E124" t="s">
        <v>36</v>
      </c>
      <c r="F124" t="s">
        <v>1403</v>
      </c>
      <c r="G124" t="s">
        <v>1039</v>
      </c>
      <c r="H124" t="s">
        <v>1038</v>
      </c>
      <c r="I124" t="s">
        <v>1039</v>
      </c>
      <c r="J124" t="s">
        <v>304</v>
      </c>
      <c r="K124" t="s">
        <v>72</v>
      </c>
      <c r="L124" t="s">
        <v>50</v>
      </c>
      <c r="M124" s="2">
        <v>255344.17</v>
      </c>
      <c r="N124" t="s">
        <v>1406</v>
      </c>
      <c r="O124" t="s">
        <v>52</v>
      </c>
      <c r="P124" t="str">
        <f>CONCATENATE("'",Tabla1[[#This Row],[Codigo]],"',")</f>
        <v>'00247',</v>
      </c>
    </row>
    <row r="125" spans="1:16" x14ac:dyDescent="0.25">
      <c r="A125" t="s">
        <v>1407</v>
      </c>
      <c r="B125" t="s">
        <v>1408</v>
      </c>
      <c r="C125" t="s">
        <v>1408</v>
      </c>
      <c r="D125" t="s">
        <v>569</v>
      </c>
      <c r="E125" t="s">
        <v>570</v>
      </c>
      <c r="F125" t="s">
        <v>1409</v>
      </c>
      <c r="G125" t="s">
        <v>1222</v>
      </c>
      <c r="H125" t="s">
        <v>1221</v>
      </c>
      <c r="I125" t="s">
        <v>1222</v>
      </c>
      <c r="J125" t="s">
        <v>205</v>
      </c>
      <c r="K125" t="s">
        <v>206</v>
      </c>
      <c r="L125" t="s">
        <v>50</v>
      </c>
      <c r="M125" s="2">
        <v>609374.79</v>
      </c>
      <c r="N125" t="s">
        <v>1413</v>
      </c>
      <c r="O125" t="s">
        <v>52</v>
      </c>
      <c r="P125" t="str">
        <f>CONCATENATE("'",Tabla1[[#This Row],[Codigo]],"',")</f>
        <v>'00248',</v>
      </c>
    </row>
    <row r="126" spans="1:16" x14ac:dyDescent="0.25">
      <c r="A126" t="s">
        <v>1414</v>
      </c>
      <c r="B126" t="s">
        <v>1415</v>
      </c>
      <c r="C126" t="s">
        <v>1415</v>
      </c>
      <c r="D126" t="s">
        <v>35</v>
      </c>
      <c r="E126" t="s">
        <v>36</v>
      </c>
      <c r="F126" t="s">
        <v>1416</v>
      </c>
      <c r="G126" t="s">
        <v>1417</v>
      </c>
      <c r="H126" t="s">
        <v>1419</v>
      </c>
      <c r="I126" t="s">
        <v>1420</v>
      </c>
      <c r="J126" t="s">
        <v>1421</v>
      </c>
      <c r="K126" t="s">
        <v>1422</v>
      </c>
      <c r="L126" t="s">
        <v>50</v>
      </c>
      <c r="M126" s="2">
        <v>81379.91</v>
      </c>
      <c r="N126" t="s">
        <v>1424</v>
      </c>
      <c r="O126" t="s">
        <v>115</v>
      </c>
      <c r="P126" t="str">
        <f>CONCATENATE("'",Tabla1[[#This Row],[Codigo]],"',")</f>
        <v>'00249',</v>
      </c>
    </row>
    <row r="127" spans="1:16" x14ac:dyDescent="0.25">
      <c r="A127" t="s">
        <v>1433</v>
      </c>
      <c r="B127" t="s">
        <v>1434</v>
      </c>
      <c r="C127" t="s">
        <v>1434</v>
      </c>
      <c r="D127" t="s">
        <v>153</v>
      </c>
      <c r="E127" t="s">
        <v>272</v>
      </c>
      <c r="F127" t="s">
        <v>1435</v>
      </c>
      <c r="G127" t="s">
        <v>349</v>
      </c>
      <c r="H127" t="s">
        <v>348</v>
      </c>
      <c r="I127" t="s">
        <v>349</v>
      </c>
      <c r="J127" t="s">
        <v>316</v>
      </c>
      <c r="K127" t="s">
        <v>317</v>
      </c>
      <c r="L127" t="s">
        <v>50</v>
      </c>
      <c r="M127" s="2">
        <v>1350497.41</v>
      </c>
      <c r="N127" t="s">
        <v>1438</v>
      </c>
      <c r="O127" t="s">
        <v>115</v>
      </c>
      <c r="P127" t="str">
        <f>CONCATENATE("'",Tabla1[[#This Row],[Codigo]],"',")</f>
        <v>'00252',</v>
      </c>
    </row>
    <row r="128" spans="1:16" x14ac:dyDescent="0.25">
      <c r="A128" t="s">
        <v>1441</v>
      </c>
      <c r="B128" t="s">
        <v>1442</v>
      </c>
      <c r="C128" t="s">
        <v>1442</v>
      </c>
      <c r="D128" t="s">
        <v>125</v>
      </c>
      <c r="E128" t="s">
        <v>126</v>
      </c>
      <c r="F128" t="s">
        <v>1443</v>
      </c>
      <c r="G128" t="s">
        <v>1444</v>
      </c>
      <c r="H128" t="s">
        <v>1064</v>
      </c>
      <c r="I128" t="s">
        <v>1062</v>
      </c>
      <c r="J128" t="s">
        <v>304</v>
      </c>
      <c r="K128" t="s">
        <v>72</v>
      </c>
      <c r="L128" t="s">
        <v>50</v>
      </c>
      <c r="M128" s="2">
        <v>685423.55</v>
      </c>
      <c r="N128" t="s">
        <v>1447</v>
      </c>
      <c r="O128" t="s">
        <v>52</v>
      </c>
      <c r="P128" t="str">
        <f>CONCATENATE("'",Tabla1[[#This Row],[Codigo]],"',")</f>
        <v>'00254',</v>
      </c>
    </row>
    <row r="129" spans="1:16" x14ac:dyDescent="0.25">
      <c r="A129" t="s">
        <v>1452</v>
      </c>
      <c r="B129" t="s">
        <v>1453</v>
      </c>
      <c r="C129" t="s">
        <v>1453</v>
      </c>
      <c r="D129" t="s">
        <v>1454</v>
      </c>
      <c r="E129" t="s">
        <v>224</v>
      </c>
      <c r="F129" t="s">
        <v>1455</v>
      </c>
      <c r="G129" t="s">
        <v>303</v>
      </c>
      <c r="H129" t="s">
        <v>302</v>
      </c>
      <c r="I129" t="s">
        <v>303</v>
      </c>
      <c r="J129" t="s">
        <v>304</v>
      </c>
      <c r="K129" t="s">
        <v>72</v>
      </c>
      <c r="L129" t="s">
        <v>50</v>
      </c>
      <c r="M129" s="2">
        <v>14744</v>
      </c>
      <c r="N129" t="s">
        <v>64</v>
      </c>
      <c r="P129" t="str">
        <f>CONCATENATE("'",Tabla1[[#This Row],[Codigo]],"',")</f>
        <v>'00256',</v>
      </c>
    </row>
    <row r="130" spans="1:16" x14ac:dyDescent="0.25">
      <c r="A130" t="s">
        <v>1458</v>
      </c>
      <c r="B130" t="s">
        <v>1459</v>
      </c>
      <c r="C130" t="s">
        <v>1459</v>
      </c>
      <c r="D130" t="s">
        <v>297</v>
      </c>
      <c r="E130" t="s">
        <v>167</v>
      </c>
      <c r="F130" t="s">
        <v>1460</v>
      </c>
      <c r="G130" t="s">
        <v>1062</v>
      </c>
      <c r="H130" t="s">
        <v>1064</v>
      </c>
      <c r="I130" t="s">
        <v>1062</v>
      </c>
      <c r="J130" t="s">
        <v>304</v>
      </c>
      <c r="K130" t="s">
        <v>72</v>
      </c>
      <c r="L130" t="s">
        <v>50</v>
      </c>
      <c r="M130" s="2">
        <v>33274.83</v>
      </c>
      <c r="N130" t="s">
        <v>1463</v>
      </c>
      <c r="P130" t="str">
        <f>CONCATENATE("'",Tabla1[[#This Row],[Codigo]],"',")</f>
        <v>'00257',</v>
      </c>
    </row>
    <row r="131" spans="1:16" x14ac:dyDescent="0.25">
      <c r="A131" t="s">
        <v>1464</v>
      </c>
      <c r="B131" t="s">
        <v>1465</v>
      </c>
      <c r="C131" t="s">
        <v>1465</v>
      </c>
      <c r="D131" t="s">
        <v>870</v>
      </c>
      <c r="E131" t="s">
        <v>871</v>
      </c>
      <c r="F131" t="s">
        <v>1466</v>
      </c>
      <c r="G131" t="s">
        <v>653</v>
      </c>
      <c r="H131" t="s">
        <v>652</v>
      </c>
      <c r="I131" t="s">
        <v>653</v>
      </c>
      <c r="J131" t="s">
        <v>69</v>
      </c>
      <c r="K131" t="s">
        <v>70</v>
      </c>
      <c r="L131" t="s">
        <v>50</v>
      </c>
      <c r="M131" s="2">
        <v>179939.6</v>
      </c>
      <c r="N131" t="s">
        <v>1470</v>
      </c>
      <c r="P131" t="str">
        <f>CONCATENATE("'",Tabla1[[#This Row],[Codigo]],"',")</f>
        <v>'00258',</v>
      </c>
    </row>
    <row r="132" spans="1:16" x14ac:dyDescent="0.25">
      <c r="A132" s="15" t="s">
        <v>1473</v>
      </c>
      <c r="B132" s="15" t="s">
        <v>1474</v>
      </c>
      <c r="C132" s="15" t="s">
        <v>1474</v>
      </c>
      <c r="D132" s="15" t="s">
        <v>55</v>
      </c>
      <c r="E132" s="15" t="s">
        <v>56</v>
      </c>
      <c r="F132" s="15" t="s">
        <v>1475</v>
      </c>
      <c r="G132" s="15" t="s">
        <v>81</v>
      </c>
      <c r="H132" s="15" t="s">
        <v>80</v>
      </c>
      <c r="I132" s="15" t="s">
        <v>81</v>
      </c>
      <c r="J132" s="15" t="s">
        <v>1363</v>
      </c>
      <c r="K132" s="15" t="s">
        <v>1364</v>
      </c>
      <c r="L132" s="15" t="s">
        <v>50</v>
      </c>
      <c r="M132" s="16">
        <v>17741.099999999999</v>
      </c>
      <c r="N132" s="15" t="s">
        <v>1478</v>
      </c>
      <c r="O132" s="15" t="s">
        <v>115</v>
      </c>
      <c r="P132" t="str">
        <f>CONCATENATE("'",Tabla1[[#This Row],[Codigo]],"',")</f>
        <v>'00260',</v>
      </c>
    </row>
    <row r="133" spans="1:16" x14ac:dyDescent="0.25">
      <c r="A133" t="s">
        <v>1484</v>
      </c>
      <c r="B133" t="s">
        <v>1485</v>
      </c>
      <c r="C133" t="s">
        <v>1486</v>
      </c>
      <c r="D133" t="s">
        <v>153</v>
      </c>
      <c r="E133" t="s">
        <v>272</v>
      </c>
      <c r="F133" t="s">
        <v>1159</v>
      </c>
      <c r="G133" t="s">
        <v>173</v>
      </c>
      <c r="H133" t="s">
        <v>172</v>
      </c>
      <c r="I133" t="s">
        <v>173</v>
      </c>
      <c r="J133" t="s">
        <v>158</v>
      </c>
      <c r="K133" t="s">
        <v>159</v>
      </c>
      <c r="L133" t="s">
        <v>50</v>
      </c>
      <c r="M133" s="2">
        <v>1137800</v>
      </c>
      <c r="N133" t="s">
        <v>64</v>
      </c>
      <c r="P133" t="str">
        <f>CONCATENATE("'",Tabla1[[#This Row],[Codigo]],"',")</f>
        <v>'00262',</v>
      </c>
    </row>
    <row r="134" spans="1:16" x14ac:dyDescent="0.25">
      <c r="A134" t="s">
        <v>1489</v>
      </c>
      <c r="B134" t="s">
        <v>1490</v>
      </c>
      <c r="C134" t="s">
        <v>1490</v>
      </c>
      <c r="D134" t="s">
        <v>35</v>
      </c>
      <c r="E134" t="s">
        <v>36</v>
      </c>
      <c r="F134" t="s">
        <v>1491</v>
      </c>
      <c r="G134" t="s">
        <v>699</v>
      </c>
      <c r="H134" t="s">
        <v>700</v>
      </c>
      <c r="I134" t="s">
        <v>699</v>
      </c>
      <c r="J134" t="s">
        <v>69</v>
      </c>
      <c r="K134" t="s">
        <v>70</v>
      </c>
      <c r="L134" t="s">
        <v>50</v>
      </c>
      <c r="M134" s="2">
        <v>1813035.32</v>
      </c>
      <c r="N134" t="s">
        <v>1494</v>
      </c>
      <c r="O134" t="s">
        <v>115</v>
      </c>
      <c r="P134" t="str">
        <f>CONCATENATE("'",Tabla1[[#This Row],[Codigo]],"',")</f>
        <v>'00263',</v>
      </c>
    </row>
    <row r="135" spans="1:16" x14ac:dyDescent="0.25">
      <c r="A135" t="s">
        <v>1500</v>
      </c>
      <c r="B135" t="s">
        <v>1501</v>
      </c>
      <c r="C135" t="s">
        <v>1501</v>
      </c>
      <c r="D135" t="s">
        <v>555</v>
      </c>
      <c r="E135" t="s">
        <v>1502</v>
      </c>
      <c r="F135" t="s">
        <v>1503</v>
      </c>
      <c r="G135" t="s">
        <v>157</v>
      </c>
      <c r="H135" t="s">
        <v>156</v>
      </c>
      <c r="I135" t="s">
        <v>157</v>
      </c>
      <c r="J135" t="s">
        <v>158</v>
      </c>
      <c r="K135" t="s">
        <v>159</v>
      </c>
      <c r="L135" t="s">
        <v>50</v>
      </c>
      <c r="M135" s="2">
        <v>410737.16</v>
      </c>
      <c r="N135" t="s">
        <v>1507</v>
      </c>
      <c r="P135" t="str">
        <f>CONCATENATE("'",Tabla1[[#This Row],[Codigo]],"',")</f>
        <v>'00265',</v>
      </c>
    </row>
    <row r="136" spans="1:16" x14ac:dyDescent="0.25">
      <c r="A136" t="s">
        <v>1508</v>
      </c>
      <c r="B136" t="s">
        <v>1509</v>
      </c>
      <c r="C136" t="s">
        <v>1509</v>
      </c>
      <c r="D136" t="s">
        <v>35</v>
      </c>
      <c r="E136" t="s">
        <v>36</v>
      </c>
      <c r="F136" t="s">
        <v>1510</v>
      </c>
      <c r="G136" t="s">
        <v>446</v>
      </c>
      <c r="H136" t="s">
        <v>445</v>
      </c>
      <c r="I136" t="s">
        <v>446</v>
      </c>
      <c r="J136" t="s">
        <v>69</v>
      </c>
      <c r="K136" t="s">
        <v>70</v>
      </c>
      <c r="L136" t="s">
        <v>50</v>
      </c>
      <c r="M136" s="2">
        <v>1826783.91</v>
      </c>
      <c r="N136" t="s">
        <v>1513</v>
      </c>
      <c r="O136" t="s">
        <v>115</v>
      </c>
      <c r="P136" t="str">
        <f>CONCATENATE("'",Tabla1[[#This Row],[Codigo]],"',")</f>
        <v>'00266',</v>
      </c>
    </row>
    <row r="137" spans="1:16" x14ac:dyDescent="0.25">
      <c r="A137" t="s">
        <v>1518</v>
      </c>
      <c r="B137" t="s">
        <v>1519</v>
      </c>
      <c r="C137" t="s">
        <v>1519</v>
      </c>
      <c r="D137" t="s">
        <v>1520</v>
      </c>
      <c r="E137" t="s">
        <v>224</v>
      </c>
      <c r="F137" t="s">
        <v>1521</v>
      </c>
      <c r="G137" t="s">
        <v>1522</v>
      </c>
      <c r="H137" t="s">
        <v>1524</v>
      </c>
      <c r="I137" t="s">
        <v>1525</v>
      </c>
      <c r="J137" t="s">
        <v>120</v>
      </c>
      <c r="K137" t="s">
        <v>121</v>
      </c>
      <c r="L137" t="s">
        <v>50</v>
      </c>
      <c r="M137" s="2">
        <v>32726</v>
      </c>
      <c r="N137" t="s">
        <v>64</v>
      </c>
      <c r="P137" t="str">
        <f>CONCATENATE("'",Tabla1[[#This Row],[Codigo]],"',")</f>
        <v>'00269',</v>
      </c>
    </row>
    <row r="138" spans="1:16" x14ac:dyDescent="0.25">
      <c r="A138" t="s">
        <v>1527</v>
      </c>
      <c r="B138" t="s">
        <v>1528</v>
      </c>
      <c r="C138" t="s">
        <v>1529</v>
      </c>
      <c r="D138" t="s">
        <v>169</v>
      </c>
      <c r="E138" t="s">
        <v>190</v>
      </c>
      <c r="F138" t="s">
        <v>1530</v>
      </c>
      <c r="G138" t="s">
        <v>1531</v>
      </c>
      <c r="H138" t="s">
        <v>585</v>
      </c>
      <c r="I138" t="s">
        <v>584</v>
      </c>
      <c r="J138" t="s">
        <v>158</v>
      </c>
      <c r="K138" t="s">
        <v>159</v>
      </c>
      <c r="L138" t="s">
        <v>50</v>
      </c>
      <c r="M138" s="2">
        <v>178315.63</v>
      </c>
      <c r="N138" t="s">
        <v>1534</v>
      </c>
      <c r="P138" t="str">
        <f>CONCATENATE("'",Tabla1[[#This Row],[Codigo]],"',")</f>
        <v>'00270',</v>
      </c>
    </row>
    <row r="139" spans="1:16" x14ac:dyDescent="0.25">
      <c r="A139" t="s">
        <v>1535</v>
      </c>
      <c r="B139" t="s">
        <v>1536</v>
      </c>
      <c r="C139" t="s">
        <v>1536</v>
      </c>
      <c r="D139" t="s">
        <v>125</v>
      </c>
      <c r="E139" t="s">
        <v>126</v>
      </c>
      <c r="F139" t="s">
        <v>1537</v>
      </c>
      <c r="G139" t="s">
        <v>404</v>
      </c>
      <c r="H139" t="s">
        <v>403</v>
      </c>
      <c r="I139" t="s">
        <v>404</v>
      </c>
      <c r="J139" t="s">
        <v>205</v>
      </c>
      <c r="K139" t="s">
        <v>206</v>
      </c>
      <c r="L139" t="s">
        <v>50</v>
      </c>
      <c r="M139" s="2">
        <v>31470.16</v>
      </c>
      <c r="N139" t="s">
        <v>1540</v>
      </c>
      <c r="O139" t="s">
        <v>115</v>
      </c>
      <c r="P139" t="str">
        <f>CONCATENATE("'",Tabla1[[#This Row],[Codigo]],"',")</f>
        <v>'00271',</v>
      </c>
    </row>
    <row r="140" spans="1:16" x14ac:dyDescent="0.25">
      <c r="A140" t="s">
        <v>1541</v>
      </c>
      <c r="B140" t="s">
        <v>1542</v>
      </c>
      <c r="C140" t="s">
        <v>869</v>
      </c>
      <c r="D140" t="s">
        <v>485</v>
      </c>
      <c r="E140" t="s">
        <v>224</v>
      </c>
      <c r="F140" t="s">
        <v>1543</v>
      </c>
      <c r="G140" t="s">
        <v>1544</v>
      </c>
      <c r="H140" t="s">
        <v>1546</v>
      </c>
      <c r="I140" t="s">
        <v>1547</v>
      </c>
      <c r="J140" t="s">
        <v>103</v>
      </c>
      <c r="K140" t="s">
        <v>104</v>
      </c>
      <c r="L140" t="s">
        <v>50</v>
      </c>
      <c r="M140" s="2">
        <v>283283.27</v>
      </c>
      <c r="N140" t="s">
        <v>1549</v>
      </c>
      <c r="P140" t="str">
        <f>CONCATENATE("'",Tabla1[[#This Row],[Codigo]],"',")</f>
        <v>'00272',</v>
      </c>
    </row>
    <row r="141" spans="1:16" x14ac:dyDescent="0.25">
      <c r="A141" t="s">
        <v>1550</v>
      </c>
      <c r="B141" t="s">
        <v>1551</v>
      </c>
      <c r="C141" t="s">
        <v>1552</v>
      </c>
      <c r="D141" t="s">
        <v>1410</v>
      </c>
      <c r="E141" t="s">
        <v>871</v>
      </c>
      <c r="F141" t="s">
        <v>1553</v>
      </c>
      <c r="G141" t="s">
        <v>1554</v>
      </c>
      <c r="H141" t="s">
        <v>1556</v>
      </c>
      <c r="I141" t="s">
        <v>1557</v>
      </c>
      <c r="J141" t="s">
        <v>316</v>
      </c>
      <c r="K141" t="s">
        <v>317</v>
      </c>
      <c r="L141" t="s">
        <v>50</v>
      </c>
      <c r="M141" s="2">
        <v>218170</v>
      </c>
      <c r="N141" t="s">
        <v>64</v>
      </c>
      <c r="P141" t="str">
        <f>CONCATENATE("'",Tabla1[[#This Row],[Codigo]],"',")</f>
        <v>'00273',</v>
      </c>
    </row>
    <row r="142" spans="1:16" x14ac:dyDescent="0.25">
      <c r="A142" t="s">
        <v>1561</v>
      </c>
      <c r="B142" t="s">
        <v>1562</v>
      </c>
      <c r="C142" t="s">
        <v>1562</v>
      </c>
      <c r="D142" t="s">
        <v>35</v>
      </c>
      <c r="E142" t="s">
        <v>36</v>
      </c>
      <c r="F142" t="s">
        <v>1563</v>
      </c>
      <c r="G142" t="s">
        <v>1222</v>
      </c>
      <c r="H142" t="s">
        <v>1221</v>
      </c>
      <c r="I142" t="s">
        <v>1222</v>
      </c>
      <c r="J142" t="s">
        <v>205</v>
      </c>
      <c r="K142" t="s">
        <v>206</v>
      </c>
      <c r="L142" t="s">
        <v>50</v>
      </c>
      <c r="M142" s="2">
        <v>508637.01</v>
      </c>
      <c r="N142" t="s">
        <v>1566</v>
      </c>
      <c r="O142" t="s">
        <v>52</v>
      </c>
      <c r="P142" t="str">
        <f>CONCATENATE("'",Tabla1[[#This Row],[Codigo]],"',")</f>
        <v>'00275',</v>
      </c>
    </row>
    <row r="143" spans="1:16" x14ac:dyDescent="0.25">
      <c r="A143" t="s">
        <v>1572</v>
      </c>
      <c r="B143" t="s">
        <v>1573</v>
      </c>
      <c r="C143" t="s">
        <v>1573</v>
      </c>
      <c r="D143" t="s">
        <v>125</v>
      </c>
      <c r="E143" t="s">
        <v>126</v>
      </c>
      <c r="F143" t="s">
        <v>1574</v>
      </c>
      <c r="G143" t="s">
        <v>41</v>
      </c>
      <c r="H143" t="s">
        <v>40</v>
      </c>
      <c r="I143" t="s">
        <v>41</v>
      </c>
      <c r="J143" t="s">
        <v>42</v>
      </c>
      <c r="K143" t="s">
        <v>43</v>
      </c>
      <c r="L143" t="s">
        <v>50</v>
      </c>
      <c r="M143" s="2">
        <v>11674.56</v>
      </c>
      <c r="N143" t="s">
        <v>1576</v>
      </c>
      <c r="P143" t="str">
        <f>CONCATENATE("'",Tabla1[[#This Row],[Codigo]],"',")</f>
        <v>'00278',</v>
      </c>
    </row>
    <row r="144" spans="1:16" x14ac:dyDescent="0.25">
      <c r="A144" t="s">
        <v>1577</v>
      </c>
      <c r="B144" t="s">
        <v>1578</v>
      </c>
      <c r="C144" t="s">
        <v>1579</v>
      </c>
      <c r="D144" t="s">
        <v>153</v>
      </c>
      <c r="E144" t="s">
        <v>272</v>
      </c>
      <c r="F144" t="s">
        <v>1580</v>
      </c>
      <c r="G144" t="s">
        <v>1581</v>
      </c>
      <c r="H144" t="s">
        <v>203</v>
      </c>
      <c r="I144" t="s">
        <v>204</v>
      </c>
      <c r="J144" t="s">
        <v>205</v>
      </c>
      <c r="K144" t="s">
        <v>206</v>
      </c>
      <c r="L144" t="s">
        <v>50</v>
      </c>
      <c r="M144" s="2">
        <v>320263.62</v>
      </c>
      <c r="N144" t="s">
        <v>1583</v>
      </c>
      <c r="O144" t="s">
        <v>52</v>
      </c>
      <c r="P144" t="str">
        <f>CONCATENATE("'",Tabla1[[#This Row],[Codigo]],"',")</f>
        <v>'00279',</v>
      </c>
    </row>
    <row r="145" spans="1:16" x14ac:dyDescent="0.25">
      <c r="A145" t="s">
        <v>1586</v>
      </c>
      <c r="B145" t="s">
        <v>1587</v>
      </c>
      <c r="C145" t="s">
        <v>1587</v>
      </c>
      <c r="D145" t="s">
        <v>297</v>
      </c>
      <c r="E145" t="s">
        <v>167</v>
      </c>
      <c r="F145" t="s">
        <v>1588</v>
      </c>
      <c r="G145" t="s">
        <v>41</v>
      </c>
      <c r="H145" t="s">
        <v>40</v>
      </c>
      <c r="I145" t="s">
        <v>41</v>
      </c>
      <c r="J145" t="s">
        <v>61</v>
      </c>
      <c r="K145" t="s">
        <v>62</v>
      </c>
      <c r="L145" t="s">
        <v>50</v>
      </c>
      <c r="M145" s="2">
        <v>109085</v>
      </c>
      <c r="N145" t="s">
        <v>64</v>
      </c>
      <c r="P145" t="str">
        <f>CONCATENATE("'",Tabla1[[#This Row],[Codigo]],"',")</f>
        <v>'00281',</v>
      </c>
    </row>
    <row r="146" spans="1:16" x14ac:dyDescent="0.25">
      <c r="A146" t="s">
        <v>1594</v>
      </c>
      <c r="B146" t="s">
        <v>1595</v>
      </c>
      <c r="C146" t="s">
        <v>1595</v>
      </c>
      <c r="D146" t="s">
        <v>35</v>
      </c>
      <c r="E146" t="s">
        <v>36</v>
      </c>
      <c r="F146" t="s">
        <v>1596</v>
      </c>
      <c r="G146" t="s">
        <v>196</v>
      </c>
      <c r="H146" t="s">
        <v>195</v>
      </c>
      <c r="I146" t="s">
        <v>196</v>
      </c>
      <c r="J146" t="s">
        <v>61</v>
      </c>
      <c r="K146" t="s">
        <v>62</v>
      </c>
      <c r="L146" t="s">
        <v>50</v>
      </c>
      <c r="M146" s="2">
        <v>366715.14</v>
      </c>
      <c r="N146" t="s">
        <v>1599</v>
      </c>
      <c r="O146" t="s">
        <v>52</v>
      </c>
      <c r="P146" t="str">
        <f>CONCATENATE("'",Tabla1[[#This Row],[Codigo]],"',")</f>
        <v>'00283',</v>
      </c>
    </row>
    <row r="147" spans="1:16" x14ac:dyDescent="0.25">
      <c r="A147" t="s">
        <v>1600</v>
      </c>
      <c r="B147" t="s">
        <v>1601</v>
      </c>
      <c r="C147" t="s">
        <v>1602</v>
      </c>
      <c r="D147" t="s">
        <v>125</v>
      </c>
      <c r="E147" t="s">
        <v>126</v>
      </c>
      <c r="F147" t="s">
        <v>1603</v>
      </c>
      <c r="G147" t="s">
        <v>327</v>
      </c>
      <c r="H147" t="s">
        <v>326</v>
      </c>
      <c r="I147" t="s">
        <v>327</v>
      </c>
      <c r="J147" t="s">
        <v>120</v>
      </c>
      <c r="K147" t="s">
        <v>121</v>
      </c>
      <c r="L147" t="s">
        <v>50</v>
      </c>
      <c r="M147" s="2">
        <v>86768.12</v>
      </c>
      <c r="N147" t="s">
        <v>1606</v>
      </c>
      <c r="O147" t="s">
        <v>52</v>
      </c>
      <c r="P147" t="str">
        <f>CONCATENATE("'",Tabla1[[#This Row],[Codigo]],"',")</f>
        <v>'00284',</v>
      </c>
    </row>
    <row r="148" spans="1:16" x14ac:dyDescent="0.25">
      <c r="A148" s="15" t="s">
        <v>1611</v>
      </c>
      <c r="B148" s="15" t="s">
        <v>1612</v>
      </c>
      <c r="C148" s="15" t="s">
        <v>1612</v>
      </c>
      <c r="D148" s="15" t="s">
        <v>55</v>
      </c>
      <c r="E148" s="15" t="s">
        <v>56</v>
      </c>
      <c r="F148" s="15" t="s">
        <v>1613</v>
      </c>
      <c r="G148" s="15" t="s">
        <v>303</v>
      </c>
      <c r="H148" s="15" t="s">
        <v>302</v>
      </c>
      <c r="I148" s="15" t="s">
        <v>303</v>
      </c>
      <c r="J148" s="15" t="s">
        <v>304</v>
      </c>
      <c r="K148" s="15" t="s">
        <v>72</v>
      </c>
      <c r="L148" s="15" t="s">
        <v>50</v>
      </c>
      <c r="M148" s="16">
        <v>-17456.39</v>
      </c>
      <c r="N148" s="15" t="s">
        <v>1616</v>
      </c>
      <c r="O148" s="15" t="s">
        <v>115</v>
      </c>
      <c r="P148" t="str">
        <f>CONCATENATE("'",Tabla1[[#This Row],[Codigo]],"',")</f>
        <v>'00287',</v>
      </c>
    </row>
    <row r="149" spans="1:16" x14ac:dyDescent="0.25">
      <c r="A149" t="s">
        <v>1624</v>
      </c>
      <c r="B149" t="s">
        <v>1625</v>
      </c>
      <c r="C149" t="s">
        <v>1625</v>
      </c>
      <c r="D149" t="s">
        <v>649</v>
      </c>
      <c r="E149" t="s">
        <v>871</v>
      </c>
      <c r="F149" t="s">
        <v>1626</v>
      </c>
      <c r="G149" t="s">
        <v>213</v>
      </c>
      <c r="H149" t="s">
        <v>212</v>
      </c>
      <c r="I149" t="s">
        <v>213</v>
      </c>
      <c r="J149" t="s">
        <v>61</v>
      </c>
      <c r="K149" t="s">
        <v>62</v>
      </c>
      <c r="L149" t="s">
        <v>50</v>
      </c>
      <c r="M149" s="2">
        <v>109085</v>
      </c>
      <c r="N149" t="s">
        <v>64</v>
      </c>
      <c r="P149" t="str">
        <f>CONCATENATE("'",Tabla1[[#This Row],[Codigo]],"',")</f>
        <v>'00290',</v>
      </c>
    </row>
    <row r="150" spans="1:16" x14ac:dyDescent="0.25">
      <c r="A150" t="s">
        <v>1631</v>
      </c>
      <c r="B150" t="s">
        <v>1632</v>
      </c>
      <c r="C150" t="s">
        <v>1632</v>
      </c>
      <c r="D150" t="s">
        <v>1633</v>
      </c>
      <c r="E150" t="s">
        <v>1502</v>
      </c>
      <c r="F150" t="s">
        <v>1634</v>
      </c>
      <c r="G150" t="s">
        <v>1062</v>
      </c>
      <c r="H150" t="s">
        <v>1064</v>
      </c>
      <c r="I150" t="s">
        <v>1062</v>
      </c>
      <c r="J150" t="s">
        <v>304</v>
      </c>
      <c r="K150" t="s">
        <v>72</v>
      </c>
      <c r="L150" t="s">
        <v>50</v>
      </c>
      <c r="M150" s="2">
        <v>546793.24</v>
      </c>
      <c r="N150" t="s">
        <v>1637</v>
      </c>
      <c r="P150" t="str">
        <f>CONCATENATE("'",Tabla1[[#This Row],[Codigo]],"',")</f>
        <v>'00292',</v>
      </c>
    </row>
    <row r="151" spans="1:16" x14ac:dyDescent="0.25">
      <c r="A151" t="s">
        <v>1638</v>
      </c>
      <c r="B151" t="s">
        <v>1639</v>
      </c>
      <c r="C151" t="s">
        <v>1639</v>
      </c>
      <c r="D151" t="s">
        <v>569</v>
      </c>
      <c r="E151" t="s">
        <v>570</v>
      </c>
      <c r="F151" t="s">
        <v>1640</v>
      </c>
      <c r="G151" t="s">
        <v>204</v>
      </c>
      <c r="H151" t="s">
        <v>203</v>
      </c>
      <c r="I151" t="s">
        <v>204</v>
      </c>
      <c r="J151" t="s">
        <v>205</v>
      </c>
      <c r="K151" t="s">
        <v>206</v>
      </c>
      <c r="L151" t="s">
        <v>50</v>
      </c>
      <c r="M151" s="2">
        <v>54543</v>
      </c>
      <c r="N151" t="s">
        <v>64</v>
      </c>
      <c r="P151" t="str">
        <f>CONCATENATE("'",Tabla1[[#This Row],[Codigo]],"',")</f>
        <v>'00293',</v>
      </c>
    </row>
    <row r="152" spans="1:16" x14ac:dyDescent="0.25">
      <c r="A152" t="s">
        <v>1649</v>
      </c>
      <c r="B152" t="s">
        <v>1650</v>
      </c>
      <c r="C152" t="s">
        <v>1650</v>
      </c>
      <c r="D152" t="s">
        <v>553</v>
      </c>
      <c r="E152" t="s">
        <v>167</v>
      </c>
      <c r="F152" t="s">
        <v>1651</v>
      </c>
      <c r="G152" t="s">
        <v>665</v>
      </c>
      <c r="H152" t="s">
        <v>664</v>
      </c>
      <c r="I152" t="s">
        <v>665</v>
      </c>
      <c r="J152" t="s">
        <v>103</v>
      </c>
      <c r="K152" t="s">
        <v>104</v>
      </c>
      <c r="L152" t="s">
        <v>50</v>
      </c>
      <c r="M152" s="2">
        <v>7910.75</v>
      </c>
      <c r="N152" t="s">
        <v>1654</v>
      </c>
      <c r="O152" t="s">
        <v>52</v>
      </c>
      <c r="P152" t="str">
        <f>CONCATENATE("'",Tabla1[[#This Row],[Codigo]],"',")</f>
        <v>'00297',</v>
      </c>
    </row>
    <row r="153" spans="1:16" x14ac:dyDescent="0.25">
      <c r="A153" t="s">
        <v>1661</v>
      </c>
      <c r="B153" t="s">
        <v>1662</v>
      </c>
      <c r="C153" t="s">
        <v>1662</v>
      </c>
      <c r="D153" t="s">
        <v>153</v>
      </c>
      <c r="E153" t="s">
        <v>272</v>
      </c>
      <c r="F153" t="s">
        <v>1663</v>
      </c>
      <c r="G153" t="s">
        <v>1222</v>
      </c>
      <c r="H153" t="s">
        <v>1221</v>
      </c>
      <c r="I153" t="s">
        <v>1222</v>
      </c>
      <c r="J153" t="s">
        <v>205</v>
      </c>
      <c r="K153" t="s">
        <v>206</v>
      </c>
      <c r="L153" t="s">
        <v>50</v>
      </c>
      <c r="M153" s="2">
        <v>51412.03</v>
      </c>
      <c r="N153" t="s">
        <v>1666</v>
      </c>
      <c r="P153" t="str">
        <f>CONCATENATE("'",Tabla1[[#This Row],[Codigo]],"',")</f>
        <v>'00301',</v>
      </c>
    </row>
    <row r="154" spans="1:16" x14ac:dyDescent="0.25">
      <c r="A154" s="15" t="s">
        <v>1669</v>
      </c>
      <c r="B154" s="15" t="s">
        <v>1670</v>
      </c>
      <c r="C154" s="15" t="s">
        <v>1670</v>
      </c>
      <c r="D154" s="15" t="s">
        <v>55</v>
      </c>
      <c r="E154" s="15" t="s">
        <v>56</v>
      </c>
      <c r="F154" s="15" t="s">
        <v>1671</v>
      </c>
      <c r="G154" s="15" t="s">
        <v>327</v>
      </c>
      <c r="H154" s="15" t="s">
        <v>326</v>
      </c>
      <c r="I154" s="15" t="s">
        <v>327</v>
      </c>
      <c r="J154" s="15" t="s">
        <v>120</v>
      </c>
      <c r="K154" s="15" t="s">
        <v>121</v>
      </c>
      <c r="L154" s="15" t="s">
        <v>50</v>
      </c>
      <c r="M154" s="16">
        <v>-17907.75</v>
      </c>
      <c r="N154" s="15" t="s">
        <v>1674</v>
      </c>
      <c r="O154" s="15" t="s">
        <v>115</v>
      </c>
      <c r="P154" t="str">
        <f>CONCATENATE("'",Tabla1[[#This Row],[Codigo]],"',")</f>
        <v>'00303',</v>
      </c>
    </row>
    <row r="155" spans="1:16" x14ac:dyDescent="0.25">
      <c r="A155" t="s">
        <v>1675</v>
      </c>
      <c r="B155" t="s">
        <v>1676</v>
      </c>
      <c r="C155" t="s">
        <v>1677</v>
      </c>
      <c r="D155" t="s">
        <v>125</v>
      </c>
      <c r="E155" t="s">
        <v>126</v>
      </c>
      <c r="F155" t="s">
        <v>1678</v>
      </c>
      <c r="G155" t="s">
        <v>324</v>
      </c>
      <c r="H155" t="s">
        <v>326</v>
      </c>
      <c r="I155" t="s">
        <v>327</v>
      </c>
      <c r="J155" t="s">
        <v>120</v>
      </c>
      <c r="K155" t="s">
        <v>121</v>
      </c>
      <c r="L155" t="s">
        <v>50</v>
      </c>
      <c r="M155" s="2">
        <v>16056.05</v>
      </c>
      <c r="N155" t="s">
        <v>1681</v>
      </c>
      <c r="O155" t="s">
        <v>52</v>
      </c>
      <c r="P155" t="str">
        <f>CONCATENATE("'",Tabla1[[#This Row],[Codigo]],"',")</f>
        <v>'00304',</v>
      </c>
    </row>
    <row r="156" spans="1:16" x14ac:dyDescent="0.25">
      <c r="A156" t="s">
        <v>1692</v>
      </c>
      <c r="B156" t="s">
        <v>1693</v>
      </c>
      <c r="C156" t="s">
        <v>1693</v>
      </c>
      <c r="D156" t="s">
        <v>792</v>
      </c>
      <c r="E156" t="s">
        <v>190</v>
      </c>
      <c r="F156" t="s">
        <v>1694</v>
      </c>
      <c r="G156" t="s">
        <v>157</v>
      </c>
      <c r="H156" t="s">
        <v>156</v>
      </c>
      <c r="I156" t="s">
        <v>157</v>
      </c>
      <c r="J156" t="s">
        <v>158</v>
      </c>
      <c r="K156" t="s">
        <v>159</v>
      </c>
      <c r="L156" t="s">
        <v>50</v>
      </c>
      <c r="M156" s="2">
        <v>1079813.75</v>
      </c>
      <c r="N156" t="s">
        <v>1697</v>
      </c>
      <c r="P156" t="str">
        <f>CONCATENATE("'",Tabla1[[#This Row],[Codigo]],"',")</f>
        <v>'00308',</v>
      </c>
    </row>
    <row r="157" spans="1:16" x14ac:dyDescent="0.25">
      <c r="A157" t="s">
        <v>1703</v>
      </c>
      <c r="B157" t="s">
        <v>1704</v>
      </c>
      <c r="C157" t="s">
        <v>1704</v>
      </c>
      <c r="D157" t="s">
        <v>1410</v>
      </c>
      <c r="E157" t="s">
        <v>871</v>
      </c>
      <c r="F157" t="s">
        <v>1705</v>
      </c>
      <c r="G157" t="s">
        <v>116</v>
      </c>
      <c r="H157" t="s">
        <v>118</v>
      </c>
      <c r="I157" t="s">
        <v>119</v>
      </c>
      <c r="J157" t="s">
        <v>120</v>
      </c>
      <c r="K157" t="s">
        <v>121</v>
      </c>
      <c r="L157" t="s">
        <v>50</v>
      </c>
      <c r="M157" s="2">
        <v>884724.46</v>
      </c>
      <c r="N157" t="s">
        <v>1708</v>
      </c>
      <c r="P157" t="str">
        <f>CONCATENATE("'",Tabla1[[#This Row],[Codigo]],"',")</f>
        <v>'00311',</v>
      </c>
    </row>
    <row r="158" spans="1:16" x14ac:dyDescent="0.25">
      <c r="A158" t="s">
        <v>1711</v>
      </c>
      <c r="B158" t="s">
        <v>1712</v>
      </c>
      <c r="C158" t="s">
        <v>1713</v>
      </c>
      <c r="D158" t="s">
        <v>125</v>
      </c>
      <c r="E158" t="s">
        <v>126</v>
      </c>
      <c r="F158" t="s">
        <v>338</v>
      </c>
      <c r="G158" t="s">
        <v>339</v>
      </c>
      <c r="H158" t="s">
        <v>340</v>
      </c>
      <c r="I158" t="s">
        <v>339</v>
      </c>
      <c r="J158" t="s">
        <v>61</v>
      </c>
      <c r="K158" t="s">
        <v>62</v>
      </c>
      <c r="L158" t="s">
        <v>50</v>
      </c>
      <c r="M158" s="2">
        <v>110812.65</v>
      </c>
      <c r="N158" t="s">
        <v>1716</v>
      </c>
      <c r="O158" t="s">
        <v>115</v>
      </c>
      <c r="P158" t="str">
        <f>CONCATENATE("'",Tabla1[[#This Row],[Codigo]],"',")</f>
        <v>'00313',</v>
      </c>
    </row>
    <row r="159" spans="1:16" x14ac:dyDescent="0.25">
      <c r="A159" t="s">
        <v>1720</v>
      </c>
      <c r="B159" t="s">
        <v>1721</v>
      </c>
      <c r="C159" t="s">
        <v>1721</v>
      </c>
      <c r="D159" t="s">
        <v>297</v>
      </c>
      <c r="E159" t="s">
        <v>167</v>
      </c>
      <c r="F159" t="s">
        <v>1722</v>
      </c>
      <c r="G159" t="s">
        <v>1723</v>
      </c>
      <c r="H159" t="s">
        <v>1725</v>
      </c>
      <c r="I159" t="s">
        <v>1723</v>
      </c>
      <c r="J159" t="s">
        <v>120</v>
      </c>
      <c r="K159" t="s">
        <v>121</v>
      </c>
      <c r="L159" t="s">
        <v>50</v>
      </c>
      <c r="M159" s="2">
        <v>22842.99</v>
      </c>
      <c r="N159" t="s">
        <v>1727</v>
      </c>
      <c r="O159" t="s">
        <v>52</v>
      </c>
      <c r="P159" t="str">
        <f>CONCATENATE("'",Tabla1[[#This Row],[Codigo]],"',")</f>
        <v>'00316',</v>
      </c>
    </row>
    <row r="160" spans="1:16" x14ac:dyDescent="0.25">
      <c r="A160" t="s">
        <v>1732</v>
      </c>
      <c r="B160" t="s">
        <v>1733</v>
      </c>
      <c r="C160" t="s">
        <v>1733</v>
      </c>
      <c r="D160" t="s">
        <v>1734</v>
      </c>
      <c r="E160" t="s">
        <v>224</v>
      </c>
      <c r="F160" t="s">
        <v>1735</v>
      </c>
      <c r="G160" t="s">
        <v>1557</v>
      </c>
      <c r="H160" t="s">
        <v>1556</v>
      </c>
      <c r="I160" t="s">
        <v>1557</v>
      </c>
      <c r="J160" t="s">
        <v>316</v>
      </c>
      <c r="K160" t="s">
        <v>317</v>
      </c>
      <c r="L160" t="s">
        <v>50</v>
      </c>
      <c r="M160" s="2">
        <v>65451</v>
      </c>
      <c r="N160" t="s">
        <v>64</v>
      </c>
      <c r="P160" t="str">
        <f>CONCATENATE("'",Tabla1[[#This Row],[Codigo]],"',")</f>
        <v>'00318',</v>
      </c>
    </row>
    <row r="161" spans="1:16" x14ac:dyDescent="0.25">
      <c r="A161" t="s">
        <v>1738</v>
      </c>
      <c r="B161" t="s">
        <v>1739</v>
      </c>
      <c r="C161" t="s">
        <v>1739</v>
      </c>
      <c r="D161" t="s">
        <v>153</v>
      </c>
      <c r="E161" t="s">
        <v>272</v>
      </c>
      <c r="F161" t="s">
        <v>1740</v>
      </c>
      <c r="G161" t="s">
        <v>327</v>
      </c>
      <c r="H161" t="s">
        <v>326</v>
      </c>
      <c r="I161" t="s">
        <v>327</v>
      </c>
      <c r="J161" t="s">
        <v>120</v>
      </c>
      <c r="K161" t="s">
        <v>121</v>
      </c>
      <c r="L161" t="s">
        <v>50</v>
      </c>
      <c r="M161" s="2">
        <v>26510.26</v>
      </c>
      <c r="N161" t="s">
        <v>1743</v>
      </c>
      <c r="O161" t="s">
        <v>115</v>
      </c>
      <c r="P161" t="str">
        <f>CONCATENATE("'",Tabla1[[#This Row],[Codigo]],"',")</f>
        <v>'00319',</v>
      </c>
    </row>
    <row r="162" spans="1:16" x14ac:dyDescent="0.25">
      <c r="A162" t="s">
        <v>1744</v>
      </c>
      <c r="B162" t="s">
        <v>1745</v>
      </c>
      <c r="C162" t="s">
        <v>1745</v>
      </c>
      <c r="D162" t="s">
        <v>125</v>
      </c>
      <c r="E162" t="s">
        <v>126</v>
      </c>
      <c r="F162" t="s">
        <v>1746</v>
      </c>
      <c r="G162" t="s">
        <v>68</v>
      </c>
      <c r="H162" t="s">
        <v>67</v>
      </c>
      <c r="I162" t="s">
        <v>68</v>
      </c>
      <c r="J162" t="s">
        <v>69</v>
      </c>
      <c r="K162" t="s">
        <v>70</v>
      </c>
      <c r="L162" t="s">
        <v>50</v>
      </c>
      <c r="M162" s="2">
        <v>124194.94</v>
      </c>
      <c r="N162" t="s">
        <v>1749</v>
      </c>
      <c r="O162" t="s">
        <v>52</v>
      </c>
      <c r="P162" t="str">
        <f>CONCATENATE("'",Tabla1[[#This Row],[Codigo]],"',")</f>
        <v>'00320',</v>
      </c>
    </row>
    <row r="163" spans="1:16" x14ac:dyDescent="0.25">
      <c r="A163" t="s">
        <v>1750</v>
      </c>
      <c r="B163" t="s">
        <v>1751</v>
      </c>
      <c r="C163" t="s">
        <v>1751</v>
      </c>
      <c r="D163" t="s">
        <v>1752</v>
      </c>
      <c r="E163" t="s">
        <v>134</v>
      </c>
      <c r="F163" t="s">
        <v>1753</v>
      </c>
      <c r="G163" t="s">
        <v>204</v>
      </c>
      <c r="H163" t="s">
        <v>203</v>
      </c>
      <c r="I163" t="s">
        <v>204</v>
      </c>
      <c r="J163" t="s">
        <v>205</v>
      </c>
      <c r="K163" t="s">
        <v>206</v>
      </c>
      <c r="L163" t="s">
        <v>50</v>
      </c>
      <c r="M163" s="2">
        <v>109085</v>
      </c>
      <c r="N163" t="s">
        <v>64</v>
      </c>
      <c r="P163" t="str">
        <f>CONCATENATE("'",Tabla1[[#This Row],[Codigo]],"',")</f>
        <v>'00321',</v>
      </c>
    </row>
    <row r="164" spans="1:16" x14ac:dyDescent="0.25">
      <c r="A164" t="s">
        <v>1757</v>
      </c>
      <c r="B164" t="s">
        <v>1758</v>
      </c>
      <c r="C164" t="s">
        <v>1758</v>
      </c>
      <c r="D164" t="s">
        <v>35</v>
      </c>
      <c r="E164" t="s">
        <v>36</v>
      </c>
      <c r="F164" t="s">
        <v>1759</v>
      </c>
      <c r="G164" t="s">
        <v>1062</v>
      </c>
      <c r="H164" t="s">
        <v>1064</v>
      </c>
      <c r="I164" t="s">
        <v>1062</v>
      </c>
      <c r="J164" t="s">
        <v>304</v>
      </c>
      <c r="K164" t="s">
        <v>72</v>
      </c>
      <c r="L164" t="s">
        <v>50</v>
      </c>
      <c r="M164" s="2">
        <v>524672.35</v>
      </c>
      <c r="N164" t="s">
        <v>1762</v>
      </c>
      <c r="O164" t="s">
        <v>52</v>
      </c>
      <c r="P164" t="str">
        <f>CONCATENATE("'",Tabla1[[#This Row],[Codigo]],"',")</f>
        <v>'00323',</v>
      </c>
    </row>
    <row r="165" spans="1:16" x14ac:dyDescent="0.25">
      <c r="A165" t="s">
        <v>1769</v>
      </c>
      <c r="B165" t="s">
        <v>1770</v>
      </c>
      <c r="C165" t="s">
        <v>1770</v>
      </c>
      <c r="D165" t="s">
        <v>178</v>
      </c>
      <c r="E165" t="s">
        <v>179</v>
      </c>
      <c r="F165" t="s">
        <v>1771</v>
      </c>
      <c r="G165" t="s">
        <v>173</v>
      </c>
      <c r="H165" t="s">
        <v>172</v>
      </c>
      <c r="I165" t="s">
        <v>173</v>
      </c>
      <c r="J165" t="s">
        <v>158</v>
      </c>
      <c r="K165" t="s">
        <v>159</v>
      </c>
      <c r="L165" t="s">
        <v>50</v>
      </c>
      <c r="M165" s="2">
        <v>139620.16</v>
      </c>
      <c r="N165" t="s">
        <v>1774</v>
      </c>
      <c r="O165" t="s">
        <v>52</v>
      </c>
      <c r="P165" t="str">
        <f>CONCATENATE("'",Tabla1[[#This Row],[Codigo]],"',")</f>
        <v>'00326',</v>
      </c>
    </row>
    <row r="166" spans="1:16" x14ac:dyDescent="0.25">
      <c r="A166" t="s">
        <v>1779</v>
      </c>
      <c r="B166" t="s">
        <v>1780</v>
      </c>
      <c r="C166" t="s">
        <v>1780</v>
      </c>
      <c r="D166" t="s">
        <v>323</v>
      </c>
      <c r="E166" t="s">
        <v>77</v>
      </c>
      <c r="F166" t="s">
        <v>1781</v>
      </c>
      <c r="G166" t="s">
        <v>327</v>
      </c>
      <c r="H166" t="s">
        <v>326</v>
      </c>
      <c r="I166" t="s">
        <v>327</v>
      </c>
      <c r="J166" t="s">
        <v>120</v>
      </c>
      <c r="K166" t="s">
        <v>121</v>
      </c>
      <c r="L166" t="s">
        <v>50</v>
      </c>
      <c r="M166" s="2">
        <v>218170</v>
      </c>
      <c r="N166" t="s">
        <v>64</v>
      </c>
      <c r="P166" t="str">
        <f>CONCATENATE("'",Tabla1[[#This Row],[Codigo]],"',")</f>
        <v>'00329',</v>
      </c>
    </row>
    <row r="167" spans="1:16" x14ac:dyDescent="0.25">
      <c r="A167" t="s">
        <v>1784</v>
      </c>
      <c r="B167" t="s">
        <v>1785</v>
      </c>
      <c r="C167" t="s">
        <v>1785</v>
      </c>
      <c r="D167" t="s">
        <v>498</v>
      </c>
      <c r="E167" t="s">
        <v>190</v>
      </c>
      <c r="F167" t="s">
        <v>1786</v>
      </c>
      <c r="G167" t="s">
        <v>751</v>
      </c>
      <c r="H167" t="s">
        <v>753</v>
      </c>
      <c r="I167" t="s">
        <v>754</v>
      </c>
      <c r="J167" t="s">
        <v>61</v>
      </c>
      <c r="K167" t="s">
        <v>62</v>
      </c>
      <c r="L167" t="s">
        <v>50</v>
      </c>
      <c r="M167" s="2">
        <v>133902.62</v>
      </c>
      <c r="N167" t="s">
        <v>1789</v>
      </c>
      <c r="O167" t="s">
        <v>115</v>
      </c>
      <c r="P167" t="str">
        <f>CONCATENATE("'",Tabla1[[#This Row],[Codigo]],"',")</f>
        <v>'00330',</v>
      </c>
    </row>
    <row r="168" spans="1:16" x14ac:dyDescent="0.25">
      <c r="A168" t="s">
        <v>1790</v>
      </c>
      <c r="B168" t="s">
        <v>1791</v>
      </c>
      <c r="C168" t="s">
        <v>1791</v>
      </c>
      <c r="D168" t="s">
        <v>888</v>
      </c>
      <c r="E168" t="s">
        <v>167</v>
      </c>
      <c r="F168" t="s">
        <v>1792</v>
      </c>
      <c r="G168" t="s">
        <v>303</v>
      </c>
      <c r="H168" t="s">
        <v>302</v>
      </c>
      <c r="I168" t="s">
        <v>303</v>
      </c>
      <c r="J168" t="s">
        <v>304</v>
      </c>
      <c r="K168" t="s">
        <v>72</v>
      </c>
      <c r="L168" t="s">
        <v>50</v>
      </c>
      <c r="M168" s="2">
        <v>19056.39</v>
      </c>
      <c r="N168" t="s">
        <v>1795</v>
      </c>
      <c r="O168" t="s">
        <v>52</v>
      </c>
      <c r="P168" t="str">
        <f>CONCATENATE("'",Tabla1[[#This Row],[Codigo]],"',")</f>
        <v>'00331',</v>
      </c>
    </row>
    <row r="169" spans="1:16" x14ac:dyDescent="0.25">
      <c r="A169" t="s">
        <v>1801</v>
      </c>
      <c r="B169" t="s">
        <v>1802</v>
      </c>
      <c r="C169" t="s">
        <v>1802</v>
      </c>
      <c r="D169" t="s">
        <v>569</v>
      </c>
      <c r="E169" t="s">
        <v>570</v>
      </c>
      <c r="F169" t="s">
        <v>1803</v>
      </c>
      <c r="G169" t="s">
        <v>1062</v>
      </c>
      <c r="H169" t="s">
        <v>1064</v>
      </c>
      <c r="I169" t="s">
        <v>1062</v>
      </c>
      <c r="J169" t="s">
        <v>304</v>
      </c>
      <c r="K169" t="s">
        <v>72</v>
      </c>
      <c r="L169" t="s">
        <v>50</v>
      </c>
      <c r="M169" s="2">
        <v>57700.66</v>
      </c>
      <c r="N169" t="s">
        <v>1806</v>
      </c>
      <c r="O169" t="s">
        <v>52</v>
      </c>
      <c r="P169" t="str">
        <f>CONCATENATE("'",Tabla1[[#This Row],[Codigo]],"',")</f>
        <v>'00333',</v>
      </c>
    </row>
    <row r="170" spans="1:16" x14ac:dyDescent="0.25">
      <c r="A170" t="s">
        <v>1813</v>
      </c>
      <c r="B170" t="s">
        <v>1814</v>
      </c>
      <c r="C170" t="s">
        <v>1814</v>
      </c>
      <c r="D170" t="s">
        <v>153</v>
      </c>
      <c r="E170" t="s">
        <v>272</v>
      </c>
      <c r="F170" t="s">
        <v>1815</v>
      </c>
      <c r="G170" t="s">
        <v>170</v>
      </c>
      <c r="H170" t="s">
        <v>172</v>
      </c>
      <c r="I170" t="s">
        <v>173</v>
      </c>
      <c r="J170" t="s">
        <v>158</v>
      </c>
      <c r="K170" t="s">
        <v>159</v>
      </c>
      <c r="L170" t="s">
        <v>50</v>
      </c>
      <c r="M170" s="2">
        <v>4784514.38</v>
      </c>
      <c r="N170" t="s">
        <v>1818</v>
      </c>
      <c r="O170" t="s">
        <v>52</v>
      </c>
      <c r="P170" t="str">
        <f>CONCATENATE("'",Tabla1[[#This Row],[Codigo]],"',")</f>
        <v>'00337',</v>
      </c>
    </row>
    <row r="171" spans="1:16" x14ac:dyDescent="0.25">
      <c r="A171" t="s">
        <v>1819</v>
      </c>
      <c r="B171" t="s">
        <v>1820</v>
      </c>
      <c r="C171" t="s">
        <v>1820</v>
      </c>
      <c r="D171" t="s">
        <v>35</v>
      </c>
      <c r="E171" t="s">
        <v>36</v>
      </c>
      <c r="F171" t="s">
        <v>1821</v>
      </c>
      <c r="G171" t="s">
        <v>277</v>
      </c>
      <c r="H171" t="s">
        <v>276</v>
      </c>
      <c r="I171" t="s">
        <v>277</v>
      </c>
      <c r="J171" t="s">
        <v>103</v>
      </c>
      <c r="K171" t="s">
        <v>104</v>
      </c>
      <c r="L171" t="s">
        <v>50</v>
      </c>
      <c r="M171" s="2">
        <v>2640227.71</v>
      </c>
      <c r="N171" t="s">
        <v>1824</v>
      </c>
      <c r="O171" t="s">
        <v>52</v>
      </c>
      <c r="P171" t="str">
        <f>CONCATENATE("'",Tabla1[[#This Row],[Codigo]],"',")</f>
        <v>'00338',</v>
      </c>
    </row>
    <row r="172" spans="1:16" x14ac:dyDescent="0.25">
      <c r="A172" t="s">
        <v>1832</v>
      </c>
      <c r="B172" t="s">
        <v>1833</v>
      </c>
      <c r="C172" t="s">
        <v>1833</v>
      </c>
      <c r="D172" t="s">
        <v>35</v>
      </c>
      <c r="E172" t="s">
        <v>36</v>
      </c>
      <c r="F172" t="s">
        <v>1834</v>
      </c>
      <c r="G172" t="s">
        <v>1554</v>
      </c>
      <c r="H172" t="s">
        <v>1556</v>
      </c>
      <c r="I172" t="s">
        <v>1557</v>
      </c>
      <c r="J172" t="s">
        <v>316</v>
      </c>
      <c r="K172" t="s">
        <v>317</v>
      </c>
      <c r="L172" t="s">
        <v>50</v>
      </c>
      <c r="M172" s="2">
        <v>33846.32</v>
      </c>
      <c r="N172" t="s">
        <v>1837</v>
      </c>
      <c r="O172" t="s">
        <v>52</v>
      </c>
      <c r="P172" t="str">
        <f>CONCATENATE("'",Tabla1[[#This Row],[Codigo]],"',")</f>
        <v>'00341',</v>
      </c>
    </row>
    <row r="173" spans="1:16" x14ac:dyDescent="0.25">
      <c r="A173" t="s">
        <v>1843</v>
      </c>
      <c r="B173" t="s">
        <v>1844</v>
      </c>
      <c r="C173" t="s">
        <v>1844</v>
      </c>
      <c r="D173" t="s">
        <v>264</v>
      </c>
      <c r="E173" t="s">
        <v>134</v>
      </c>
      <c r="F173" t="s">
        <v>1845</v>
      </c>
      <c r="G173" t="s">
        <v>1847</v>
      </c>
      <c r="H173" t="s">
        <v>1849</v>
      </c>
      <c r="I173" t="s">
        <v>1847</v>
      </c>
      <c r="J173" t="s">
        <v>120</v>
      </c>
      <c r="K173" t="s">
        <v>121</v>
      </c>
      <c r="L173" t="s">
        <v>50</v>
      </c>
      <c r="M173" s="2">
        <v>65451</v>
      </c>
      <c r="N173" t="s">
        <v>64</v>
      </c>
      <c r="P173" t="str">
        <f>CONCATENATE("'",Tabla1[[#This Row],[Codigo]],"',")</f>
        <v>'00343',</v>
      </c>
    </row>
    <row r="174" spans="1:16" x14ac:dyDescent="0.25">
      <c r="A174" t="s">
        <v>1851</v>
      </c>
      <c r="B174" t="s">
        <v>1852</v>
      </c>
      <c r="C174" t="s">
        <v>1853</v>
      </c>
      <c r="D174" t="s">
        <v>1854</v>
      </c>
      <c r="E174" t="s">
        <v>224</v>
      </c>
      <c r="F174" t="s">
        <v>1855</v>
      </c>
      <c r="G174" t="s">
        <v>255</v>
      </c>
      <c r="H174" t="s">
        <v>254</v>
      </c>
      <c r="I174" t="s">
        <v>255</v>
      </c>
      <c r="J174" t="s">
        <v>256</v>
      </c>
      <c r="K174" t="s">
        <v>255</v>
      </c>
      <c r="L174" t="s">
        <v>50</v>
      </c>
      <c r="M174" s="2">
        <v>239987</v>
      </c>
      <c r="N174" t="s">
        <v>64</v>
      </c>
      <c r="P174" t="str">
        <f>CONCATENATE("'",Tabla1[[#This Row],[Codigo]],"',")</f>
        <v>'00344',</v>
      </c>
    </row>
    <row r="175" spans="1:16" x14ac:dyDescent="0.25">
      <c r="A175" t="s">
        <v>1862</v>
      </c>
      <c r="B175" t="s">
        <v>1863</v>
      </c>
      <c r="C175" t="s">
        <v>1863</v>
      </c>
      <c r="D175" t="s">
        <v>649</v>
      </c>
      <c r="E175" t="s">
        <v>871</v>
      </c>
      <c r="F175" t="s">
        <v>1864</v>
      </c>
      <c r="G175" t="s">
        <v>1723</v>
      </c>
      <c r="H175" t="s">
        <v>1725</v>
      </c>
      <c r="I175" t="s">
        <v>1723</v>
      </c>
      <c r="J175" t="s">
        <v>120</v>
      </c>
      <c r="K175" t="s">
        <v>121</v>
      </c>
      <c r="L175" t="s">
        <v>50</v>
      </c>
      <c r="M175" s="2">
        <v>32726</v>
      </c>
      <c r="N175" t="s">
        <v>64</v>
      </c>
      <c r="P175" t="str">
        <f>CONCATENATE("'",Tabla1[[#This Row],[Codigo]],"',")</f>
        <v>'00347',</v>
      </c>
    </row>
    <row r="176" spans="1:16" x14ac:dyDescent="0.25">
      <c r="A176" t="s">
        <v>1868</v>
      </c>
      <c r="B176" t="s">
        <v>1869</v>
      </c>
      <c r="C176" t="s">
        <v>1869</v>
      </c>
      <c r="D176" t="s">
        <v>125</v>
      </c>
      <c r="E176" t="s">
        <v>126</v>
      </c>
      <c r="F176" t="s">
        <v>1870</v>
      </c>
      <c r="G176" t="s">
        <v>1871</v>
      </c>
      <c r="H176" t="s">
        <v>1873</v>
      </c>
      <c r="I176" t="s">
        <v>1871</v>
      </c>
      <c r="J176" t="s">
        <v>120</v>
      </c>
      <c r="K176" t="s">
        <v>121</v>
      </c>
      <c r="L176" t="s">
        <v>50</v>
      </c>
      <c r="M176" s="2">
        <v>100425.88</v>
      </c>
      <c r="N176" t="s">
        <v>1875</v>
      </c>
      <c r="O176" t="s">
        <v>52</v>
      </c>
      <c r="P176" t="str">
        <f>CONCATENATE("'",Tabla1[[#This Row],[Codigo]],"',")</f>
        <v>'00348',</v>
      </c>
    </row>
    <row r="177" spans="1:16" x14ac:dyDescent="0.25">
      <c r="A177" t="s">
        <v>1883</v>
      </c>
      <c r="B177" t="s">
        <v>1884</v>
      </c>
      <c r="C177" t="s">
        <v>1884</v>
      </c>
      <c r="D177" t="s">
        <v>478</v>
      </c>
      <c r="E177" t="s">
        <v>190</v>
      </c>
      <c r="F177" t="s">
        <v>1885</v>
      </c>
      <c r="G177" t="s">
        <v>349</v>
      </c>
      <c r="H177" t="s">
        <v>348</v>
      </c>
      <c r="I177" t="s">
        <v>349</v>
      </c>
      <c r="J177" t="s">
        <v>316</v>
      </c>
      <c r="K177" t="s">
        <v>317</v>
      </c>
      <c r="L177" t="s">
        <v>50</v>
      </c>
      <c r="M177" s="2">
        <v>-45647.19</v>
      </c>
      <c r="N177" t="s">
        <v>1888</v>
      </c>
      <c r="O177" t="s">
        <v>115</v>
      </c>
      <c r="P177" t="str">
        <f>CONCATENATE("'",Tabla1[[#This Row],[Codigo]],"',")</f>
        <v>'00352',</v>
      </c>
    </row>
    <row r="178" spans="1:16" x14ac:dyDescent="0.25">
      <c r="A178" t="s">
        <v>1889</v>
      </c>
      <c r="B178" t="s">
        <v>1890</v>
      </c>
      <c r="C178" t="s">
        <v>1890</v>
      </c>
      <c r="D178" t="s">
        <v>153</v>
      </c>
      <c r="E178" t="s">
        <v>272</v>
      </c>
      <c r="F178" t="s">
        <v>1891</v>
      </c>
      <c r="G178" t="s">
        <v>881</v>
      </c>
      <c r="H178" t="s">
        <v>883</v>
      </c>
      <c r="I178" t="s">
        <v>881</v>
      </c>
      <c r="J178" t="s">
        <v>158</v>
      </c>
      <c r="K178" t="s">
        <v>159</v>
      </c>
      <c r="L178" t="s">
        <v>50</v>
      </c>
      <c r="M178" s="2">
        <v>1107376.22</v>
      </c>
      <c r="N178" t="s">
        <v>1894</v>
      </c>
      <c r="O178" t="s">
        <v>52</v>
      </c>
      <c r="P178" t="str">
        <f>CONCATENATE("'",Tabla1[[#This Row],[Codigo]],"',")</f>
        <v>'00353',</v>
      </c>
    </row>
    <row r="179" spans="1:16" x14ac:dyDescent="0.25">
      <c r="A179" t="s">
        <v>1895</v>
      </c>
      <c r="B179" t="s">
        <v>1896</v>
      </c>
      <c r="C179" t="s">
        <v>1897</v>
      </c>
      <c r="D179" t="s">
        <v>478</v>
      </c>
      <c r="E179" t="s">
        <v>190</v>
      </c>
      <c r="F179" t="s">
        <v>505</v>
      </c>
      <c r="G179" t="s">
        <v>1898</v>
      </c>
      <c r="H179" t="s">
        <v>1900</v>
      </c>
      <c r="I179" t="s">
        <v>1901</v>
      </c>
      <c r="J179" t="s">
        <v>158</v>
      </c>
      <c r="K179" t="s">
        <v>159</v>
      </c>
      <c r="L179" t="s">
        <v>50</v>
      </c>
      <c r="M179" s="2">
        <v>1745360</v>
      </c>
      <c r="N179" t="s">
        <v>64</v>
      </c>
      <c r="P179" t="str">
        <f>CONCATENATE("'",Tabla1[[#This Row],[Codigo]],"',")</f>
        <v>'00354',</v>
      </c>
    </row>
    <row r="180" spans="1:16" x14ac:dyDescent="0.25">
      <c r="A180" t="s">
        <v>1903</v>
      </c>
      <c r="B180" t="s">
        <v>1904</v>
      </c>
      <c r="C180" t="s">
        <v>1904</v>
      </c>
      <c r="D180" t="s">
        <v>153</v>
      </c>
      <c r="E180" t="s">
        <v>272</v>
      </c>
      <c r="F180" t="s">
        <v>1905</v>
      </c>
      <c r="G180" t="s">
        <v>102</v>
      </c>
      <c r="H180" t="s">
        <v>101</v>
      </c>
      <c r="I180" t="s">
        <v>102</v>
      </c>
      <c r="J180" t="s">
        <v>103</v>
      </c>
      <c r="K180" t="s">
        <v>104</v>
      </c>
      <c r="L180" t="s">
        <v>50</v>
      </c>
      <c r="M180" s="2">
        <v>550462.97</v>
      </c>
      <c r="N180" t="s">
        <v>1907</v>
      </c>
      <c r="O180" t="s">
        <v>52</v>
      </c>
      <c r="P180" t="str">
        <f>CONCATENATE("'",Tabla1[[#This Row],[Codigo]],"',")</f>
        <v>'00355',</v>
      </c>
    </row>
    <row r="181" spans="1:16" x14ac:dyDescent="0.25">
      <c r="A181" t="s">
        <v>1925</v>
      </c>
      <c r="B181" t="s">
        <v>1926</v>
      </c>
      <c r="C181" t="s">
        <v>1926</v>
      </c>
      <c r="D181" t="s">
        <v>153</v>
      </c>
      <c r="E181" t="s">
        <v>272</v>
      </c>
      <c r="F181" t="s">
        <v>1927</v>
      </c>
      <c r="G181" t="s">
        <v>1222</v>
      </c>
      <c r="H181" t="s">
        <v>1221</v>
      </c>
      <c r="I181" t="s">
        <v>1222</v>
      </c>
      <c r="J181" t="s">
        <v>205</v>
      </c>
      <c r="K181" t="s">
        <v>206</v>
      </c>
      <c r="L181" t="s">
        <v>50</v>
      </c>
      <c r="M181" s="2">
        <v>169881.63</v>
      </c>
      <c r="N181" t="s">
        <v>1930</v>
      </c>
      <c r="O181" t="s">
        <v>52</v>
      </c>
      <c r="P181" t="str">
        <f>CONCATENATE("'",Tabla1[[#This Row],[Codigo]],"',")</f>
        <v>'00360',</v>
      </c>
    </row>
    <row r="182" spans="1:16" x14ac:dyDescent="0.25">
      <c r="A182" t="s">
        <v>1931</v>
      </c>
      <c r="B182" t="s">
        <v>1932</v>
      </c>
      <c r="C182" t="s">
        <v>1932</v>
      </c>
      <c r="D182" t="s">
        <v>35</v>
      </c>
      <c r="E182" t="s">
        <v>36</v>
      </c>
      <c r="F182" t="s">
        <v>1933</v>
      </c>
      <c r="G182" t="s">
        <v>41</v>
      </c>
      <c r="H182" t="s">
        <v>40</v>
      </c>
      <c r="I182" t="s">
        <v>41</v>
      </c>
      <c r="J182" t="s">
        <v>61</v>
      </c>
      <c r="K182" t="s">
        <v>62</v>
      </c>
      <c r="L182" t="s">
        <v>50</v>
      </c>
      <c r="M182" s="2">
        <v>-56419.91</v>
      </c>
      <c r="N182" t="s">
        <v>1936</v>
      </c>
      <c r="O182" t="s">
        <v>52</v>
      </c>
      <c r="P182" t="str">
        <f>CONCATENATE("'",Tabla1[[#This Row],[Codigo]],"',")</f>
        <v>'00361',</v>
      </c>
    </row>
    <row r="183" spans="1:16" x14ac:dyDescent="0.25">
      <c r="A183" t="s">
        <v>1937</v>
      </c>
      <c r="B183" t="s">
        <v>1938</v>
      </c>
      <c r="C183" t="s">
        <v>1938</v>
      </c>
      <c r="D183" t="s">
        <v>1939</v>
      </c>
      <c r="E183" t="s">
        <v>224</v>
      </c>
      <c r="F183" t="s">
        <v>1940</v>
      </c>
      <c r="G183" t="s">
        <v>437</v>
      </c>
      <c r="H183" t="s">
        <v>436</v>
      </c>
      <c r="I183" t="s">
        <v>437</v>
      </c>
      <c r="J183" t="s">
        <v>316</v>
      </c>
      <c r="K183" t="s">
        <v>317</v>
      </c>
      <c r="L183" t="s">
        <v>50</v>
      </c>
      <c r="M183" s="2">
        <v>62884.53</v>
      </c>
      <c r="N183" t="s">
        <v>1944</v>
      </c>
      <c r="P183" t="str">
        <f>CONCATENATE("'",Tabla1[[#This Row],[Codigo]],"',")</f>
        <v>'00362',</v>
      </c>
    </row>
    <row r="184" spans="1:16" x14ac:dyDescent="0.25">
      <c r="A184" t="s">
        <v>1945</v>
      </c>
      <c r="B184" t="s">
        <v>1946</v>
      </c>
      <c r="C184" t="s">
        <v>1946</v>
      </c>
      <c r="D184" t="s">
        <v>153</v>
      </c>
      <c r="E184" t="s">
        <v>272</v>
      </c>
      <c r="F184" t="s">
        <v>1947</v>
      </c>
      <c r="G184" t="s">
        <v>1557</v>
      </c>
      <c r="H184" t="s">
        <v>1556</v>
      </c>
      <c r="I184" t="s">
        <v>1557</v>
      </c>
      <c r="J184" t="s">
        <v>316</v>
      </c>
      <c r="K184" t="s">
        <v>317</v>
      </c>
      <c r="L184" t="s">
        <v>50</v>
      </c>
      <c r="M184" s="2">
        <v>227380.72</v>
      </c>
      <c r="N184" t="s">
        <v>1950</v>
      </c>
      <c r="O184" t="s">
        <v>52</v>
      </c>
      <c r="P184" t="str">
        <f>CONCATENATE("'",Tabla1[[#This Row],[Codigo]],"',")</f>
        <v>'00363',</v>
      </c>
    </row>
    <row r="185" spans="1:16" x14ac:dyDescent="0.25">
      <c r="A185" t="s">
        <v>1956</v>
      </c>
      <c r="B185" t="s">
        <v>1957</v>
      </c>
      <c r="C185" t="s">
        <v>1957</v>
      </c>
      <c r="D185" t="s">
        <v>1958</v>
      </c>
      <c r="E185" t="s">
        <v>77</v>
      </c>
      <c r="F185" t="s">
        <v>1959</v>
      </c>
      <c r="G185" t="s">
        <v>1961</v>
      </c>
      <c r="H185" t="s">
        <v>1592</v>
      </c>
      <c r="I185" t="s">
        <v>280</v>
      </c>
      <c r="J185" t="s">
        <v>103</v>
      </c>
      <c r="K185" t="s">
        <v>104</v>
      </c>
      <c r="L185" t="s">
        <v>50</v>
      </c>
      <c r="M185" s="2">
        <v>43634</v>
      </c>
      <c r="N185" t="s">
        <v>64</v>
      </c>
      <c r="P185" t="str">
        <f>CONCATENATE("'",Tabla1[[#This Row],[Codigo]],"',")</f>
        <v>'00366',</v>
      </c>
    </row>
    <row r="186" spans="1:16" x14ac:dyDescent="0.25">
      <c r="A186" t="s">
        <v>1966</v>
      </c>
      <c r="B186" t="s">
        <v>1967</v>
      </c>
      <c r="C186" t="s">
        <v>1967</v>
      </c>
      <c r="D186" t="s">
        <v>178</v>
      </c>
      <c r="E186" t="s">
        <v>179</v>
      </c>
      <c r="F186" t="s">
        <v>1968</v>
      </c>
      <c r="G186" t="s">
        <v>1969</v>
      </c>
      <c r="H186" t="s">
        <v>664</v>
      </c>
      <c r="I186" t="s">
        <v>665</v>
      </c>
      <c r="J186" t="s">
        <v>103</v>
      </c>
      <c r="K186" t="s">
        <v>104</v>
      </c>
      <c r="L186" t="s">
        <v>50</v>
      </c>
      <c r="M186" s="2">
        <v>4598.33</v>
      </c>
      <c r="N186" t="s">
        <v>1972</v>
      </c>
      <c r="O186" t="s">
        <v>52</v>
      </c>
      <c r="P186" t="str">
        <f>CONCATENATE("'",Tabla1[[#This Row],[Codigo]],"',")</f>
        <v>'00368',</v>
      </c>
    </row>
    <row r="187" spans="1:16" x14ac:dyDescent="0.25">
      <c r="A187" t="s">
        <v>1973</v>
      </c>
      <c r="B187" t="s">
        <v>1974</v>
      </c>
      <c r="C187" t="s">
        <v>1974</v>
      </c>
      <c r="D187" t="s">
        <v>569</v>
      </c>
      <c r="E187" t="s">
        <v>570</v>
      </c>
      <c r="F187" t="s">
        <v>1975</v>
      </c>
      <c r="G187" t="s">
        <v>38</v>
      </c>
      <c r="H187" t="s">
        <v>40</v>
      </c>
      <c r="I187" t="s">
        <v>41</v>
      </c>
      <c r="J187" t="s">
        <v>61</v>
      </c>
      <c r="K187" t="s">
        <v>62</v>
      </c>
      <c r="L187" t="s">
        <v>50</v>
      </c>
      <c r="M187" s="2">
        <v>107973.19</v>
      </c>
      <c r="N187" t="s">
        <v>1978</v>
      </c>
      <c r="O187" t="s">
        <v>52</v>
      </c>
      <c r="P187" t="str">
        <f>CONCATENATE("'",Tabla1[[#This Row],[Codigo]],"',")</f>
        <v>'00369',</v>
      </c>
    </row>
    <row r="188" spans="1:16" x14ac:dyDescent="0.25">
      <c r="A188" t="s">
        <v>1979</v>
      </c>
      <c r="B188" t="s">
        <v>1980</v>
      </c>
      <c r="C188" t="s">
        <v>1980</v>
      </c>
      <c r="D188" t="s">
        <v>153</v>
      </c>
      <c r="E188" t="s">
        <v>272</v>
      </c>
      <c r="F188" t="s">
        <v>1981</v>
      </c>
      <c r="G188" t="s">
        <v>265</v>
      </c>
      <c r="H188" t="s">
        <v>267</v>
      </c>
      <c r="I188" t="s">
        <v>268</v>
      </c>
      <c r="J188" t="s">
        <v>103</v>
      </c>
      <c r="K188" t="s">
        <v>104</v>
      </c>
      <c r="L188" t="s">
        <v>50</v>
      </c>
      <c r="M188" s="2">
        <v>60185.01</v>
      </c>
      <c r="N188" t="s">
        <v>1984</v>
      </c>
      <c r="O188" t="s">
        <v>115</v>
      </c>
      <c r="P188" t="str">
        <f>CONCATENATE("'",Tabla1[[#This Row],[Codigo]],"',")</f>
        <v>'00370',</v>
      </c>
    </row>
    <row r="189" spans="1:16" x14ac:dyDescent="0.25">
      <c r="A189" t="s">
        <v>1985</v>
      </c>
      <c r="B189" t="s">
        <v>1986</v>
      </c>
      <c r="C189" t="s">
        <v>1986</v>
      </c>
      <c r="D189" t="s">
        <v>498</v>
      </c>
      <c r="E189" t="s">
        <v>190</v>
      </c>
      <c r="F189" t="s">
        <v>1987</v>
      </c>
      <c r="G189" t="s">
        <v>1988</v>
      </c>
      <c r="H189" t="s">
        <v>1306</v>
      </c>
      <c r="I189" t="s">
        <v>1304</v>
      </c>
      <c r="J189" t="s">
        <v>120</v>
      </c>
      <c r="K189" t="s">
        <v>121</v>
      </c>
      <c r="L189" t="s">
        <v>50</v>
      </c>
      <c r="M189" s="2">
        <v>12036.64</v>
      </c>
      <c r="N189" t="s">
        <v>1991</v>
      </c>
      <c r="O189" t="s">
        <v>115</v>
      </c>
      <c r="P189" t="str">
        <f>CONCATENATE("'",Tabla1[[#This Row],[Codigo]],"',")</f>
        <v>'00371',</v>
      </c>
    </row>
    <row r="190" spans="1:16" x14ac:dyDescent="0.25">
      <c r="A190" t="s">
        <v>1999</v>
      </c>
      <c r="B190" t="s">
        <v>2000</v>
      </c>
      <c r="C190" t="s">
        <v>2000</v>
      </c>
      <c r="D190" t="s">
        <v>125</v>
      </c>
      <c r="E190" t="s">
        <v>126</v>
      </c>
      <c r="F190" t="s">
        <v>2001</v>
      </c>
      <c r="G190" t="s">
        <v>2002</v>
      </c>
      <c r="H190" t="s">
        <v>101</v>
      </c>
      <c r="I190" t="s">
        <v>102</v>
      </c>
      <c r="J190" t="s">
        <v>103</v>
      </c>
      <c r="K190" t="s">
        <v>104</v>
      </c>
      <c r="L190" t="s">
        <v>50</v>
      </c>
      <c r="M190" s="2">
        <v>950974.1</v>
      </c>
      <c r="N190" t="s">
        <v>2004</v>
      </c>
      <c r="O190" t="s">
        <v>52</v>
      </c>
      <c r="P190" t="str">
        <f>CONCATENATE("'",Tabla1[[#This Row],[Codigo]],"',")</f>
        <v>'00373',</v>
      </c>
    </row>
    <row r="191" spans="1:16" x14ac:dyDescent="0.25">
      <c r="A191" t="s">
        <v>2005</v>
      </c>
      <c r="B191" t="s">
        <v>2006</v>
      </c>
      <c r="C191" t="s">
        <v>2006</v>
      </c>
      <c r="D191" t="s">
        <v>125</v>
      </c>
      <c r="E191" t="s">
        <v>126</v>
      </c>
      <c r="F191" t="s">
        <v>2007</v>
      </c>
      <c r="G191" t="s">
        <v>1062</v>
      </c>
      <c r="H191" t="s">
        <v>1064</v>
      </c>
      <c r="I191" t="s">
        <v>1062</v>
      </c>
      <c r="J191" t="s">
        <v>304</v>
      </c>
      <c r="K191" t="s">
        <v>72</v>
      </c>
      <c r="L191" t="s">
        <v>50</v>
      </c>
      <c r="M191" s="2">
        <v>134641.69</v>
      </c>
      <c r="N191" t="s">
        <v>2010</v>
      </c>
      <c r="O191" t="s">
        <v>52</v>
      </c>
      <c r="P191" t="str">
        <f>CONCATENATE("'",Tabla1[[#This Row],[Codigo]],"',")</f>
        <v>'00374',</v>
      </c>
    </row>
    <row r="192" spans="1:16" x14ac:dyDescent="0.25">
      <c r="A192" t="s">
        <v>2015</v>
      </c>
      <c r="B192" t="s">
        <v>2016</v>
      </c>
      <c r="C192" t="s">
        <v>2016</v>
      </c>
      <c r="D192" t="s">
        <v>299</v>
      </c>
      <c r="E192" t="s">
        <v>167</v>
      </c>
      <c r="F192" t="s">
        <v>2017</v>
      </c>
      <c r="G192" t="s">
        <v>1062</v>
      </c>
      <c r="H192" t="s">
        <v>1064</v>
      </c>
      <c r="I192" t="s">
        <v>1062</v>
      </c>
      <c r="J192" t="s">
        <v>304</v>
      </c>
      <c r="K192" t="s">
        <v>72</v>
      </c>
      <c r="L192" t="s">
        <v>50</v>
      </c>
      <c r="M192" s="2">
        <v>302070.87</v>
      </c>
      <c r="N192" t="s">
        <v>2020</v>
      </c>
      <c r="O192" t="s">
        <v>52</v>
      </c>
      <c r="P192" t="str">
        <f>CONCATENATE("'",Tabla1[[#This Row],[Codigo]],"',")</f>
        <v>'00377',</v>
      </c>
    </row>
    <row r="193" spans="1:16" x14ac:dyDescent="0.25">
      <c r="A193" t="s">
        <v>2021</v>
      </c>
      <c r="B193" t="s">
        <v>2022</v>
      </c>
      <c r="C193" t="s">
        <v>2022</v>
      </c>
      <c r="D193" t="s">
        <v>153</v>
      </c>
      <c r="E193" t="s">
        <v>272</v>
      </c>
      <c r="F193" t="s">
        <v>2023</v>
      </c>
      <c r="G193" t="s">
        <v>443</v>
      </c>
      <c r="H193" t="s">
        <v>445</v>
      </c>
      <c r="I193" t="s">
        <v>446</v>
      </c>
      <c r="J193" t="s">
        <v>69</v>
      </c>
      <c r="K193" t="s">
        <v>70</v>
      </c>
      <c r="L193" t="s">
        <v>50</v>
      </c>
      <c r="M193" s="2">
        <v>38316.959999999999</v>
      </c>
      <c r="N193" t="s">
        <v>2026</v>
      </c>
      <c r="O193" t="s">
        <v>52</v>
      </c>
      <c r="P193" t="str">
        <f>CONCATENATE("'",Tabla1[[#This Row],[Codigo]],"',")</f>
        <v>'00378',</v>
      </c>
    </row>
    <row r="194" spans="1:16" x14ac:dyDescent="0.25">
      <c r="A194" t="s">
        <v>2027</v>
      </c>
      <c r="B194" t="s">
        <v>2028</v>
      </c>
      <c r="C194" t="s">
        <v>2028</v>
      </c>
      <c r="D194" t="s">
        <v>153</v>
      </c>
      <c r="E194" t="s">
        <v>272</v>
      </c>
      <c r="F194" t="s">
        <v>2029</v>
      </c>
      <c r="G194" t="s">
        <v>312</v>
      </c>
      <c r="H194" t="s">
        <v>314</v>
      </c>
      <c r="I194" t="s">
        <v>315</v>
      </c>
      <c r="J194" t="s">
        <v>316</v>
      </c>
      <c r="K194" t="s">
        <v>317</v>
      </c>
      <c r="L194" t="s">
        <v>50</v>
      </c>
      <c r="M194" s="2">
        <v>124567.08</v>
      </c>
      <c r="N194" t="s">
        <v>2032</v>
      </c>
      <c r="P194" t="str">
        <f>CONCATENATE("'",Tabla1[[#This Row],[Codigo]],"',")</f>
        <v>'00379',</v>
      </c>
    </row>
    <row r="195" spans="1:16" x14ac:dyDescent="0.25">
      <c r="A195" t="s">
        <v>2040</v>
      </c>
      <c r="B195" t="s">
        <v>2041</v>
      </c>
      <c r="C195" t="s">
        <v>2041</v>
      </c>
      <c r="D195" t="s">
        <v>478</v>
      </c>
      <c r="E195" t="s">
        <v>190</v>
      </c>
      <c r="F195" t="s">
        <v>2042</v>
      </c>
      <c r="G195" t="s">
        <v>584</v>
      </c>
      <c r="H195" t="s">
        <v>585</v>
      </c>
      <c r="I195" t="s">
        <v>584</v>
      </c>
      <c r="J195" t="s">
        <v>158</v>
      </c>
      <c r="K195" t="s">
        <v>159</v>
      </c>
      <c r="L195" t="s">
        <v>50</v>
      </c>
      <c r="M195" s="2">
        <v>237750</v>
      </c>
      <c r="N195" t="s">
        <v>64</v>
      </c>
      <c r="P195" t="str">
        <f>CONCATENATE("'",Tabla1[[#This Row],[Codigo]],"',")</f>
        <v>'00382',</v>
      </c>
    </row>
    <row r="196" spans="1:16" x14ac:dyDescent="0.25">
      <c r="A196" t="s">
        <v>2050</v>
      </c>
      <c r="B196" t="s">
        <v>2051</v>
      </c>
      <c r="C196" t="s">
        <v>2051</v>
      </c>
      <c r="D196" t="s">
        <v>166</v>
      </c>
      <c r="E196" t="s">
        <v>167</v>
      </c>
      <c r="F196" t="s">
        <v>2052</v>
      </c>
      <c r="G196" t="s">
        <v>2053</v>
      </c>
      <c r="H196" t="s">
        <v>883</v>
      </c>
      <c r="I196" t="s">
        <v>881</v>
      </c>
      <c r="J196" t="s">
        <v>158</v>
      </c>
      <c r="K196" t="s">
        <v>159</v>
      </c>
      <c r="L196" t="s">
        <v>50</v>
      </c>
      <c r="M196" s="2">
        <v>1832</v>
      </c>
      <c r="N196" t="s">
        <v>64</v>
      </c>
      <c r="P196" t="str">
        <f>CONCATENATE("'",Tabla1[[#This Row],[Codigo]],"',")</f>
        <v>'00386',</v>
      </c>
    </row>
    <row r="197" spans="1:16" x14ac:dyDescent="0.25">
      <c r="A197" t="s">
        <v>2055</v>
      </c>
      <c r="B197" t="s">
        <v>2056</v>
      </c>
      <c r="C197" t="s">
        <v>2056</v>
      </c>
      <c r="D197" t="s">
        <v>125</v>
      </c>
      <c r="E197" t="s">
        <v>126</v>
      </c>
      <c r="F197" t="s">
        <v>2057</v>
      </c>
      <c r="G197" t="s">
        <v>41</v>
      </c>
      <c r="H197" t="s">
        <v>40</v>
      </c>
      <c r="I197" t="s">
        <v>41</v>
      </c>
      <c r="J197" t="s">
        <v>61</v>
      </c>
      <c r="K197" t="s">
        <v>62</v>
      </c>
      <c r="L197" t="s">
        <v>50</v>
      </c>
      <c r="M197" s="2">
        <v>22621.52</v>
      </c>
      <c r="N197" t="s">
        <v>2060</v>
      </c>
      <c r="O197" t="s">
        <v>115</v>
      </c>
      <c r="P197" t="str">
        <f>CONCATENATE("'",Tabla1[[#This Row],[Codigo]],"',")</f>
        <v>'00387',</v>
      </c>
    </row>
    <row r="198" spans="1:16" x14ac:dyDescent="0.25">
      <c r="A198" t="s">
        <v>2061</v>
      </c>
      <c r="B198" t="s">
        <v>2062</v>
      </c>
      <c r="C198" t="s">
        <v>2062</v>
      </c>
      <c r="D198" t="s">
        <v>153</v>
      </c>
      <c r="E198" t="s">
        <v>272</v>
      </c>
      <c r="F198" t="s">
        <v>2063</v>
      </c>
      <c r="G198" t="s">
        <v>881</v>
      </c>
      <c r="H198" t="s">
        <v>883</v>
      </c>
      <c r="I198" t="s">
        <v>881</v>
      </c>
      <c r="J198" t="s">
        <v>158</v>
      </c>
      <c r="K198" t="s">
        <v>159</v>
      </c>
      <c r="L198" t="s">
        <v>50</v>
      </c>
      <c r="M198" s="2">
        <v>314853.19</v>
      </c>
      <c r="N198" t="s">
        <v>2066</v>
      </c>
      <c r="O198" t="s">
        <v>52</v>
      </c>
      <c r="P198" t="str">
        <f>CONCATENATE("'",Tabla1[[#This Row],[Codigo]],"',")</f>
        <v>'00388',</v>
      </c>
    </row>
    <row r="199" spans="1:16" x14ac:dyDescent="0.25">
      <c r="A199" t="s">
        <v>2079</v>
      </c>
      <c r="B199" t="s">
        <v>2080</v>
      </c>
      <c r="C199" t="s">
        <v>2080</v>
      </c>
      <c r="D199" t="s">
        <v>178</v>
      </c>
      <c r="E199" t="s">
        <v>179</v>
      </c>
      <c r="F199" t="s">
        <v>2081</v>
      </c>
      <c r="G199" t="s">
        <v>41</v>
      </c>
      <c r="H199" t="s">
        <v>40</v>
      </c>
      <c r="I199" t="s">
        <v>41</v>
      </c>
      <c r="J199" t="s">
        <v>61</v>
      </c>
      <c r="K199" t="s">
        <v>62</v>
      </c>
      <c r="L199" t="s">
        <v>50</v>
      </c>
      <c r="M199" s="2">
        <v>87268</v>
      </c>
      <c r="N199" t="s">
        <v>64</v>
      </c>
      <c r="P199" t="str">
        <f>CONCATENATE("'",Tabla1[[#This Row],[Codigo]],"',")</f>
        <v>'00392',</v>
      </c>
    </row>
    <row r="200" spans="1:16" x14ac:dyDescent="0.25">
      <c r="A200" s="15" t="s">
        <v>2084</v>
      </c>
      <c r="B200" s="15" t="s">
        <v>2085</v>
      </c>
      <c r="C200" s="15" t="s">
        <v>2085</v>
      </c>
      <c r="D200" s="15" t="s">
        <v>55</v>
      </c>
      <c r="E200" s="15" t="s">
        <v>56</v>
      </c>
      <c r="F200" s="15" t="s">
        <v>2086</v>
      </c>
      <c r="G200" s="15" t="s">
        <v>277</v>
      </c>
      <c r="H200" s="15" t="s">
        <v>276</v>
      </c>
      <c r="I200" s="15" t="s">
        <v>277</v>
      </c>
      <c r="J200" s="15" t="s">
        <v>103</v>
      </c>
      <c r="K200" s="15" t="s">
        <v>104</v>
      </c>
      <c r="L200" s="15" t="s">
        <v>50</v>
      </c>
      <c r="M200" s="16">
        <v>-30761.74</v>
      </c>
      <c r="N200" s="15" t="s">
        <v>2089</v>
      </c>
      <c r="O200" s="15" t="s">
        <v>115</v>
      </c>
      <c r="P200" t="str">
        <f>CONCATENATE("'",Tabla1[[#This Row],[Codigo]],"',")</f>
        <v>'00393',</v>
      </c>
    </row>
    <row r="201" spans="1:16" x14ac:dyDescent="0.25">
      <c r="A201" t="s">
        <v>2095</v>
      </c>
      <c r="B201" t="s">
        <v>2096</v>
      </c>
      <c r="C201" t="s">
        <v>2096</v>
      </c>
      <c r="D201" t="s">
        <v>125</v>
      </c>
      <c r="E201" t="s">
        <v>126</v>
      </c>
      <c r="F201" t="s">
        <v>2097</v>
      </c>
      <c r="G201" t="s">
        <v>245</v>
      </c>
      <c r="H201" t="s">
        <v>40</v>
      </c>
      <c r="I201" t="s">
        <v>41</v>
      </c>
      <c r="J201" t="s">
        <v>1109</v>
      </c>
      <c r="K201" t="s">
        <v>1110</v>
      </c>
      <c r="L201" t="s">
        <v>50</v>
      </c>
      <c r="M201" s="2">
        <v>158967.04999999999</v>
      </c>
      <c r="N201" t="s">
        <v>2100</v>
      </c>
      <c r="O201" t="s">
        <v>52</v>
      </c>
      <c r="P201" t="str">
        <f>CONCATENATE("'",Tabla1[[#This Row],[Codigo]],"',")</f>
        <v>'00397',</v>
      </c>
    </row>
    <row r="202" spans="1:16" x14ac:dyDescent="0.25">
      <c r="A202" t="s">
        <v>2116</v>
      </c>
      <c r="B202" t="s">
        <v>2117</v>
      </c>
      <c r="C202" t="s">
        <v>2117</v>
      </c>
      <c r="D202" t="s">
        <v>2118</v>
      </c>
      <c r="E202" t="s">
        <v>871</v>
      </c>
      <c r="F202" t="s">
        <v>2119</v>
      </c>
      <c r="G202" t="s">
        <v>119</v>
      </c>
      <c r="H202" t="s">
        <v>118</v>
      </c>
      <c r="I202" t="s">
        <v>119</v>
      </c>
      <c r="J202" t="s">
        <v>120</v>
      </c>
      <c r="K202" t="s">
        <v>121</v>
      </c>
      <c r="L202" t="s">
        <v>50</v>
      </c>
      <c r="M202" s="2">
        <v>436340</v>
      </c>
      <c r="N202" t="s">
        <v>64</v>
      </c>
      <c r="P202" t="str">
        <f>CONCATENATE("'",Tabla1[[#This Row],[Codigo]],"',")</f>
        <v>'00404',</v>
      </c>
    </row>
    <row r="203" spans="1:16" x14ac:dyDescent="0.25">
      <c r="A203" t="s">
        <v>2123</v>
      </c>
      <c r="B203" t="s">
        <v>2124</v>
      </c>
      <c r="C203" t="s">
        <v>2124</v>
      </c>
      <c r="D203" t="s">
        <v>166</v>
      </c>
      <c r="E203" t="s">
        <v>167</v>
      </c>
      <c r="F203" t="s">
        <v>2125</v>
      </c>
      <c r="G203" t="s">
        <v>157</v>
      </c>
      <c r="H203" t="s">
        <v>156</v>
      </c>
      <c r="I203" t="s">
        <v>157</v>
      </c>
      <c r="J203" t="s">
        <v>158</v>
      </c>
      <c r="K203" t="s">
        <v>159</v>
      </c>
      <c r="L203" t="s">
        <v>50</v>
      </c>
      <c r="M203" s="2">
        <v>60698.1</v>
      </c>
      <c r="N203" t="s">
        <v>2129</v>
      </c>
      <c r="P203" t="str">
        <f>CONCATENATE("'",Tabla1[[#This Row],[Codigo]],"',")</f>
        <v>'00405',</v>
      </c>
    </row>
    <row r="204" spans="1:16" x14ac:dyDescent="0.25">
      <c r="A204" t="s">
        <v>2130</v>
      </c>
      <c r="B204" t="s">
        <v>2131</v>
      </c>
      <c r="C204" t="s">
        <v>2131</v>
      </c>
      <c r="D204" t="s">
        <v>125</v>
      </c>
      <c r="E204" t="s">
        <v>126</v>
      </c>
      <c r="F204" t="s">
        <v>2132</v>
      </c>
      <c r="G204" t="s">
        <v>2133</v>
      </c>
      <c r="H204" t="s">
        <v>1306</v>
      </c>
      <c r="I204" t="s">
        <v>1304</v>
      </c>
      <c r="J204" t="s">
        <v>120</v>
      </c>
      <c r="K204" t="s">
        <v>121</v>
      </c>
      <c r="L204" t="s">
        <v>50</v>
      </c>
      <c r="M204" s="2">
        <v>-33068.769999999997</v>
      </c>
      <c r="N204" t="s">
        <v>2136</v>
      </c>
      <c r="O204" t="s">
        <v>52</v>
      </c>
      <c r="P204" t="str">
        <f>CONCATENATE("'",Tabla1[[#This Row],[Codigo]],"',")</f>
        <v>'00406',</v>
      </c>
    </row>
    <row r="205" spans="1:16" x14ac:dyDescent="0.25">
      <c r="A205" t="s">
        <v>2137</v>
      </c>
      <c r="B205" t="s">
        <v>2138</v>
      </c>
      <c r="C205" t="s">
        <v>2138</v>
      </c>
      <c r="D205" t="s">
        <v>2139</v>
      </c>
      <c r="E205" t="s">
        <v>134</v>
      </c>
      <c r="F205" t="s">
        <v>2140</v>
      </c>
      <c r="G205" t="s">
        <v>300</v>
      </c>
      <c r="H205" t="s">
        <v>302</v>
      </c>
      <c r="I205" t="s">
        <v>303</v>
      </c>
      <c r="J205" t="s">
        <v>304</v>
      </c>
      <c r="K205" t="s">
        <v>72</v>
      </c>
      <c r="L205" t="s">
        <v>50</v>
      </c>
      <c r="M205" s="2">
        <v>32726</v>
      </c>
      <c r="N205" t="s">
        <v>64</v>
      </c>
      <c r="P205" t="str">
        <f>CONCATENATE("'",Tabla1[[#This Row],[Codigo]],"',")</f>
        <v>'00407',</v>
      </c>
    </row>
    <row r="206" spans="1:16" x14ac:dyDescent="0.25">
      <c r="A206" t="s">
        <v>2145</v>
      </c>
      <c r="B206" t="s">
        <v>2146</v>
      </c>
      <c r="C206" t="s">
        <v>2146</v>
      </c>
      <c r="D206" t="s">
        <v>125</v>
      </c>
      <c r="E206" t="s">
        <v>126</v>
      </c>
      <c r="F206" t="s">
        <v>2147</v>
      </c>
      <c r="G206" t="s">
        <v>349</v>
      </c>
      <c r="H206" t="s">
        <v>348</v>
      </c>
      <c r="I206" t="s">
        <v>349</v>
      </c>
      <c r="J206" t="s">
        <v>316</v>
      </c>
      <c r="K206" t="s">
        <v>317</v>
      </c>
      <c r="L206" t="s">
        <v>50</v>
      </c>
      <c r="M206" s="2">
        <v>58908.01</v>
      </c>
      <c r="N206" t="s">
        <v>2150</v>
      </c>
      <c r="O206" t="s">
        <v>52</v>
      </c>
      <c r="P206" t="str">
        <f>CONCATENATE("'",Tabla1[[#This Row],[Codigo]],"',")</f>
        <v>'00409',</v>
      </c>
    </row>
    <row r="207" spans="1:16" x14ac:dyDescent="0.25">
      <c r="A207" t="s">
        <v>2151</v>
      </c>
      <c r="B207" t="s">
        <v>2152</v>
      </c>
      <c r="C207" t="s">
        <v>2152</v>
      </c>
      <c r="D207" t="s">
        <v>153</v>
      </c>
      <c r="E207" t="s">
        <v>272</v>
      </c>
      <c r="F207" t="s">
        <v>2153</v>
      </c>
      <c r="G207" t="s">
        <v>41</v>
      </c>
      <c r="H207" t="s">
        <v>40</v>
      </c>
      <c r="I207" t="s">
        <v>41</v>
      </c>
      <c r="J207" t="s">
        <v>42</v>
      </c>
      <c r="K207" t="s">
        <v>43</v>
      </c>
      <c r="L207" t="s">
        <v>50</v>
      </c>
      <c r="M207" s="2">
        <v>32694.21</v>
      </c>
      <c r="N207" t="s">
        <v>2156</v>
      </c>
      <c r="P207" t="str">
        <f>CONCATENATE("'",Tabla1[[#This Row],[Codigo]],"',")</f>
        <v>'00410',</v>
      </c>
    </row>
    <row r="208" spans="1:16" x14ac:dyDescent="0.25">
      <c r="A208" t="s">
        <v>2162</v>
      </c>
      <c r="B208" t="s">
        <v>2163</v>
      </c>
      <c r="C208" t="s">
        <v>2163</v>
      </c>
      <c r="D208" t="s">
        <v>569</v>
      </c>
      <c r="E208" t="s">
        <v>570</v>
      </c>
      <c r="F208" t="s">
        <v>2164</v>
      </c>
      <c r="G208" t="s">
        <v>1036</v>
      </c>
      <c r="H208" t="s">
        <v>1038</v>
      </c>
      <c r="I208" t="s">
        <v>1039</v>
      </c>
      <c r="J208" t="s">
        <v>304</v>
      </c>
      <c r="K208" t="s">
        <v>72</v>
      </c>
      <c r="L208" t="s">
        <v>50</v>
      </c>
      <c r="M208" s="2">
        <v>218170</v>
      </c>
      <c r="N208" t="s">
        <v>64</v>
      </c>
      <c r="P208" t="str">
        <f>CONCATENATE("'",Tabla1[[#This Row],[Codigo]],"',")</f>
        <v>'00412',</v>
      </c>
    </row>
    <row r="209" spans="1:16" x14ac:dyDescent="0.25">
      <c r="A209" t="s">
        <v>2167</v>
      </c>
      <c r="B209" t="s">
        <v>2168</v>
      </c>
      <c r="C209" t="s">
        <v>2168</v>
      </c>
      <c r="D209" t="s">
        <v>553</v>
      </c>
      <c r="E209" t="s">
        <v>167</v>
      </c>
      <c r="F209" t="s">
        <v>2169</v>
      </c>
      <c r="G209" t="s">
        <v>41</v>
      </c>
      <c r="H209" t="s">
        <v>40</v>
      </c>
      <c r="I209" t="s">
        <v>41</v>
      </c>
      <c r="J209" t="s">
        <v>61</v>
      </c>
      <c r="K209" t="s">
        <v>62</v>
      </c>
      <c r="L209" t="s">
        <v>50</v>
      </c>
      <c r="M209" s="2">
        <v>90448.58</v>
      </c>
      <c r="N209" t="s">
        <v>2172</v>
      </c>
      <c r="O209" t="s">
        <v>52</v>
      </c>
      <c r="P209" t="str">
        <f>CONCATENATE("'",Tabla1[[#This Row],[Codigo]],"',")</f>
        <v>'00413',</v>
      </c>
    </row>
    <row r="210" spans="1:16" x14ac:dyDescent="0.25">
      <c r="A210" t="s">
        <v>2173</v>
      </c>
      <c r="B210" t="s">
        <v>2174</v>
      </c>
      <c r="C210" t="s">
        <v>1486</v>
      </c>
      <c r="D210" t="s">
        <v>1243</v>
      </c>
      <c r="E210" t="s">
        <v>871</v>
      </c>
      <c r="F210" t="s">
        <v>1159</v>
      </c>
      <c r="G210" t="s">
        <v>170</v>
      </c>
      <c r="H210" t="s">
        <v>172</v>
      </c>
      <c r="I210" t="s">
        <v>173</v>
      </c>
      <c r="J210" t="s">
        <v>158</v>
      </c>
      <c r="K210" t="s">
        <v>159</v>
      </c>
      <c r="L210" t="s">
        <v>50</v>
      </c>
      <c r="M210" s="2">
        <v>381491.52</v>
      </c>
      <c r="N210" t="s">
        <v>2177</v>
      </c>
      <c r="P210" t="str">
        <f>CONCATENATE("'",Tabla1[[#This Row],[Codigo]],"',")</f>
        <v>'00414',</v>
      </c>
    </row>
    <row r="211" spans="1:16" x14ac:dyDescent="0.25">
      <c r="A211" t="s">
        <v>2178</v>
      </c>
      <c r="B211" t="s">
        <v>2179</v>
      </c>
      <c r="C211" t="s">
        <v>2179</v>
      </c>
      <c r="D211" t="s">
        <v>773</v>
      </c>
      <c r="E211" t="s">
        <v>224</v>
      </c>
      <c r="F211" t="s">
        <v>2180</v>
      </c>
      <c r="G211" t="s">
        <v>881</v>
      </c>
      <c r="H211" t="s">
        <v>883</v>
      </c>
      <c r="I211" t="s">
        <v>881</v>
      </c>
      <c r="J211" t="s">
        <v>158</v>
      </c>
      <c r="K211" t="s">
        <v>159</v>
      </c>
      <c r="L211" t="s">
        <v>50</v>
      </c>
      <c r="M211" s="2">
        <v>327255</v>
      </c>
      <c r="N211" t="s">
        <v>64</v>
      </c>
      <c r="P211" t="str">
        <f>CONCATENATE("'",Tabla1[[#This Row],[Codigo]],"',")</f>
        <v>'00415',</v>
      </c>
    </row>
    <row r="212" spans="1:16" x14ac:dyDescent="0.25">
      <c r="A212" t="s">
        <v>2183</v>
      </c>
      <c r="B212" t="s">
        <v>2184</v>
      </c>
      <c r="C212" t="s">
        <v>2184</v>
      </c>
      <c r="D212" t="s">
        <v>984</v>
      </c>
      <c r="E212" t="s">
        <v>985</v>
      </c>
      <c r="F212" t="s">
        <v>2185</v>
      </c>
      <c r="G212" t="s">
        <v>1557</v>
      </c>
      <c r="H212" t="s">
        <v>1556</v>
      </c>
      <c r="I212" t="s">
        <v>1557</v>
      </c>
      <c r="J212" t="s">
        <v>316</v>
      </c>
      <c r="K212" t="s">
        <v>317</v>
      </c>
      <c r="L212" t="s">
        <v>50</v>
      </c>
      <c r="M212" s="2">
        <v>305438</v>
      </c>
      <c r="N212" t="s">
        <v>64</v>
      </c>
      <c r="P212" t="str">
        <f>CONCATENATE("'",Tabla1[[#This Row],[Codigo]],"',")</f>
        <v>'00416',</v>
      </c>
    </row>
    <row r="213" spans="1:16" x14ac:dyDescent="0.25">
      <c r="A213" t="s">
        <v>2188</v>
      </c>
      <c r="B213" t="s">
        <v>2189</v>
      </c>
      <c r="C213" t="s">
        <v>2189</v>
      </c>
      <c r="D213" t="s">
        <v>323</v>
      </c>
      <c r="E213" t="s">
        <v>77</v>
      </c>
      <c r="F213" t="s">
        <v>2190</v>
      </c>
      <c r="G213" t="s">
        <v>881</v>
      </c>
      <c r="H213" t="s">
        <v>883</v>
      </c>
      <c r="I213" t="s">
        <v>881</v>
      </c>
      <c r="J213" t="s">
        <v>158</v>
      </c>
      <c r="K213" t="s">
        <v>159</v>
      </c>
      <c r="L213" t="s">
        <v>50</v>
      </c>
      <c r="M213" s="2">
        <v>654510</v>
      </c>
      <c r="N213" t="s">
        <v>64</v>
      </c>
      <c r="P213" t="str">
        <f>CONCATENATE("'",Tabla1[[#This Row],[Codigo]],"',")</f>
        <v>'00417',</v>
      </c>
    </row>
    <row r="214" spans="1:16" x14ac:dyDescent="0.25">
      <c r="A214" t="s">
        <v>2195</v>
      </c>
      <c r="B214" t="s">
        <v>2196</v>
      </c>
      <c r="C214" t="s">
        <v>2196</v>
      </c>
      <c r="D214" t="s">
        <v>35</v>
      </c>
      <c r="E214" t="s">
        <v>36</v>
      </c>
      <c r="F214" t="s">
        <v>2197</v>
      </c>
      <c r="G214" t="s">
        <v>87</v>
      </c>
      <c r="H214" t="s">
        <v>89</v>
      </c>
      <c r="I214" t="s">
        <v>90</v>
      </c>
      <c r="J214" t="s">
        <v>91</v>
      </c>
      <c r="K214" t="s">
        <v>92</v>
      </c>
      <c r="L214" t="s">
        <v>50</v>
      </c>
      <c r="M214" s="2">
        <v>997424.44</v>
      </c>
      <c r="N214" t="s">
        <v>2200</v>
      </c>
      <c r="O214" t="s">
        <v>52</v>
      </c>
      <c r="P214" t="str">
        <f>CONCATENATE("'",Tabla1[[#This Row],[Codigo]],"',")</f>
        <v>'00419',</v>
      </c>
    </row>
    <row r="215" spans="1:16" x14ac:dyDescent="0.25">
      <c r="A215" t="s">
        <v>2201</v>
      </c>
      <c r="B215" t="s">
        <v>2202</v>
      </c>
      <c r="C215" t="s">
        <v>2202</v>
      </c>
      <c r="D215" t="s">
        <v>847</v>
      </c>
      <c r="E215" t="s">
        <v>848</v>
      </c>
      <c r="F215" t="s">
        <v>2203</v>
      </c>
      <c r="G215" t="s">
        <v>38</v>
      </c>
      <c r="H215" t="s">
        <v>40</v>
      </c>
      <c r="I215" t="s">
        <v>41</v>
      </c>
      <c r="J215" t="s">
        <v>42</v>
      </c>
      <c r="K215" t="s">
        <v>43</v>
      </c>
      <c r="L215" t="s">
        <v>50</v>
      </c>
      <c r="M215" s="2">
        <v>21817</v>
      </c>
      <c r="N215" t="s">
        <v>64</v>
      </c>
      <c r="P215" t="str">
        <f>CONCATENATE("'",Tabla1[[#This Row],[Codigo]],"',")</f>
        <v>'00420',</v>
      </c>
    </row>
    <row r="216" spans="1:16" x14ac:dyDescent="0.25">
      <c r="A216" t="s">
        <v>2206</v>
      </c>
      <c r="B216" t="s">
        <v>2207</v>
      </c>
      <c r="C216" t="s">
        <v>2207</v>
      </c>
      <c r="D216" t="s">
        <v>569</v>
      </c>
      <c r="E216" t="s">
        <v>570</v>
      </c>
      <c r="F216" t="s">
        <v>2208</v>
      </c>
      <c r="G216" t="s">
        <v>1312</v>
      </c>
      <c r="H216" t="s">
        <v>883</v>
      </c>
      <c r="I216" t="s">
        <v>881</v>
      </c>
      <c r="J216" t="s">
        <v>158</v>
      </c>
      <c r="K216" t="s">
        <v>159</v>
      </c>
      <c r="L216" t="s">
        <v>50</v>
      </c>
      <c r="M216" s="2">
        <v>1876250.58</v>
      </c>
      <c r="N216" t="s">
        <v>2211</v>
      </c>
      <c r="P216" t="str">
        <f>CONCATENATE("'",Tabla1[[#This Row],[Codigo]],"',")</f>
        <v>'00421',</v>
      </c>
    </row>
    <row r="217" spans="1:16" x14ac:dyDescent="0.25">
      <c r="A217" t="s">
        <v>2223</v>
      </c>
      <c r="B217" t="s">
        <v>2224</v>
      </c>
      <c r="C217" t="s">
        <v>2224</v>
      </c>
      <c r="D217" t="s">
        <v>169</v>
      </c>
      <c r="E217" t="s">
        <v>190</v>
      </c>
      <c r="F217" t="s">
        <v>2225</v>
      </c>
      <c r="G217" t="s">
        <v>2218</v>
      </c>
      <c r="H217" t="s">
        <v>664</v>
      </c>
      <c r="I217" t="s">
        <v>665</v>
      </c>
      <c r="J217" t="s">
        <v>103</v>
      </c>
      <c r="K217" t="s">
        <v>104</v>
      </c>
      <c r="L217" t="s">
        <v>50</v>
      </c>
      <c r="M217" s="2">
        <v>76134.53</v>
      </c>
      <c r="N217" t="s">
        <v>2228</v>
      </c>
      <c r="O217" t="s">
        <v>52</v>
      </c>
      <c r="P217" t="str">
        <f>CONCATENATE("'",Tabla1[[#This Row],[Codigo]],"',")</f>
        <v>'00425',</v>
      </c>
    </row>
    <row r="218" spans="1:16" x14ac:dyDescent="0.25">
      <c r="A218" t="s">
        <v>2229</v>
      </c>
      <c r="B218" t="s">
        <v>2230</v>
      </c>
      <c r="C218" t="s">
        <v>2230</v>
      </c>
      <c r="D218" t="s">
        <v>153</v>
      </c>
      <c r="E218" t="s">
        <v>272</v>
      </c>
      <c r="F218" t="s">
        <v>2231</v>
      </c>
      <c r="G218" t="s">
        <v>102</v>
      </c>
      <c r="H218" t="s">
        <v>101</v>
      </c>
      <c r="I218" t="s">
        <v>102</v>
      </c>
      <c r="J218" t="s">
        <v>103</v>
      </c>
      <c r="K218" t="s">
        <v>104</v>
      </c>
      <c r="L218" t="s">
        <v>50</v>
      </c>
      <c r="M218" s="2">
        <v>576642.97</v>
      </c>
      <c r="N218" t="s">
        <v>2233</v>
      </c>
      <c r="O218" t="s">
        <v>52</v>
      </c>
      <c r="P218" t="str">
        <f>CONCATENATE("'",Tabla1[[#This Row],[Codigo]],"',")</f>
        <v>'00426',</v>
      </c>
    </row>
    <row r="219" spans="1:16" x14ac:dyDescent="0.25">
      <c r="A219" t="s">
        <v>2237</v>
      </c>
      <c r="B219" t="s">
        <v>2238</v>
      </c>
      <c r="C219" t="s">
        <v>2238</v>
      </c>
      <c r="D219" t="s">
        <v>1854</v>
      </c>
      <c r="E219" t="s">
        <v>224</v>
      </c>
      <c r="F219" t="s">
        <v>2239</v>
      </c>
      <c r="G219" t="s">
        <v>181</v>
      </c>
      <c r="H219" t="s">
        <v>183</v>
      </c>
      <c r="I219" t="s">
        <v>184</v>
      </c>
      <c r="J219" t="s">
        <v>158</v>
      </c>
      <c r="K219" t="s">
        <v>159</v>
      </c>
      <c r="L219" t="s">
        <v>50</v>
      </c>
      <c r="M219" s="2">
        <v>109085</v>
      </c>
      <c r="N219" t="s">
        <v>64</v>
      </c>
      <c r="P219" t="str">
        <f>CONCATENATE("'",Tabla1[[#This Row],[Codigo]],"',")</f>
        <v>'00428',</v>
      </c>
    </row>
    <row r="220" spans="1:16" x14ac:dyDescent="0.25">
      <c r="A220" t="s">
        <v>2242</v>
      </c>
      <c r="B220" t="s">
        <v>2243</v>
      </c>
      <c r="C220" t="s">
        <v>2243</v>
      </c>
      <c r="D220" t="s">
        <v>178</v>
      </c>
      <c r="E220" t="s">
        <v>179</v>
      </c>
      <c r="F220" t="s">
        <v>2244</v>
      </c>
      <c r="G220" t="s">
        <v>1531</v>
      </c>
      <c r="H220" t="s">
        <v>585</v>
      </c>
      <c r="I220" t="s">
        <v>584</v>
      </c>
      <c r="J220" t="s">
        <v>158</v>
      </c>
      <c r="K220" t="s">
        <v>159</v>
      </c>
      <c r="L220" t="s">
        <v>50</v>
      </c>
      <c r="M220" s="2">
        <v>405658.24</v>
      </c>
      <c r="N220" t="s">
        <v>2247</v>
      </c>
      <c r="O220" t="s">
        <v>52</v>
      </c>
      <c r="P220" t="str">
        <f>CONCATENATE("'",Tabla1[[#This Row],[Codigo]],"',")</f>
        <v>'00429',</v>
      </c>
    </row>
    <row r="221" spans="1:16" x14ac:dyDescent="0.25">
      <c r="A221" t="s">
        <v>2259</v>
      </c>
      <c r="B221" t="s">
        <v>2260</v>
      </c>
      <c r="C221" t="s">
        <v>2260</v>
      </c>
      <c r="D221" t="s">
        <v>125</v>
      </c>
      <c r="E221" t="s">
        <v>126</v>
      </c>
      <c r="F221" t="s">
        <v>2261</v>
      </c>
      <c r="G221" t="s">
        <v>38</v>
      </c>
      <c r="H221" t="s">
        <v>40</v>
      </c>
      <c r="I221" t="s">
        <v>41</v>
      </c>
      <c r="J221" t="s">
        <v>61</v>
      </c>
      <c r="K221" t="s">
        <v>62</v>
      </c>
      <c r="L221" t="s">
        <v>50</v>
      </c>
      <c r="M221" s="2">
        <v>149738.18</v>
      </c>
      <c r="N221" t="s">
        <v>2264</v>
      </c>
      <c r="O221" t="s">
        <v>52</v>
      </c>
      <c r="P221" t="str">
        <f>CONCATENATE("'",Tabla1[[#This Row],[Codigo]],"',")</f>
        <v>'00432',</v>
      </c>
    </row>
    <row r="222" spans="1:16" x14ac:dyDescent="0.25">
      <c r="A222" t="s">
        <v>2284</v>
      </c>
      <c r="B222" t="s">
        <v>2285</v>
      </c>
      <c r="C222" t="s">
        <v>2285</v>
      </c>
      <c r="D222" t="s">
        <v>2286</v>
      </c>
      <c r="E222" t="s">
        <v>134</v>
      </c>
      <c r="F222" t="s">
        <v>2287</v>
      </c>
      <c r="G222" t="s">
        <v>87</v>
      </c>
      <c r="H222" t="s">
        <v>89</v>
      </c>
      <c r="I222" t="s">
        <v>90</v>
      </c>
      <c r="J222" t="s">
        <v>91</v>
      </c>
      <c r="K222" t="s">
        <v>92</v>
      </c>
      <c r="L222" t="s">
        <v>50</v>
      </c>
      <c r="M222" s="2">
        <v>43446.18</v>
      </c>
      <c r="N222" t="s">
        <v>2291</v>
      </c>
      <c r="O222" t="s">
        <v>115</v>
      </c>
      <c r="P222" t="str">
        <f>CONCATENATE("'",Tabla1[[#This Row],[Codigo]],"',")</f>
        <v>'00439',</v>
      </c>
    </row>
    <row r="223" spans="1:16" x14ac:dyDescent="0.25">
      <c r="A223" t="s">
        <v>2298</v>
      </c>
      <c r="B223" t="s">
        <v>2299</v>
      </c>
      <c r="C223" t="s">
        <v>2299</v>
      </c>
      <c r="D223" t="s">
        <v>153</v>
      </c>
      <c r="E223" t="s">
        <v>272</v>
      </c>
      <c r="F223" t="s">
        <v>2300</v>
      </c>
      <c r="G223" t="s">
        <v>521</v>
      </c>
      <c r="H223" t="s">
        <v>523</v>
      </c>
      <c r="I223" t="s">
        <v>524</v>
      </c>
      <c r="J223" t="s">
        <v>91</v>
      </c>
      <c r="K223" t="s">
        <v>92</v>
      </c>
      <c r="L223" t="s">
        <v>50</v>
      </c>
      <c r="M223" s="2">
        <v>316936.42</v>
      </c>
      <c r="N223" t="s">
        <v>2303</v>
      </c>
      <c r="O223" t="s">
        <v>115</v>
      </c>
      <c r="P223" t="str">
        <f>CONCATENATE("'",Tabla1[[#This Row],[Codigo]],"',")</f>
        <v>'00441',</v>
      </c>
    </row>
    <row r="224" spans="1:16" x14ac:dyDescent="0.25">
      <c r="A224" t="s">
        <v>2304</v>
      </c>
      <c r="B224" t="s">
        <v>2305</v>
      </c>
      <c r="C224" t="s">
        <v>2305</v>
      </c>
      <c r="D224" t="s">
        <v>773</v>
      </c>
      <c r="E224" t="s">
        <v>224</v>
      </c>
      <c r="F224" t="s">
        <v>2306</v>
      </c>
      <c r="G224" t="s">
        <v>87</v>
      </c>
      <c r="H224" t="s">
        <v>89</v>
      </c>
      <c r="I224" t="s">
        <v>90</v>
      </c>
      <c r="J224" t="s">
        <v>91</v>
      </c>
      <c r="K224" t="s">
        <v>92</v>
      </c>
      <c r="L224" t="s">
        <v>50</v>
      </c>
      <c r="M224" s="2">
        <v>29075</v>
      </c>
      <c r="N224" t="s">
        <v>64</v>
      </c>
      <c r="P224" t="str">
        <f>CONCATENATE("'",Tabla1[[#This Row],[Codigo]],"',")</f>
        <v>'00443',</v>
      </c>
    </row>
    <row r="225" spans="1:16" x14ac:dyDescent="0.25">
      <c r="A225" t="s">
        <v>2309</v>
      </c>
      <c r="B225" t="s">
        <v>2310</v>
      </c>
      <c r="C225" t="s">
        <v>2310</v>
      </c>
      <c r="D225" t="s">
        <v>125</v>
      </c>
      <c r="E225" t="s">
        <v>126</v>
      </c>
      <c r="F225" t="s">
        <v>2311</v>
      </c>
      <c r="G225" t="s">
        <v>1312</v>
      </c>
      <c r="H225" t="s">
        <v>883</v>
      </c>
      <c r="I225" t="s">
        <v>881</v>
      </c>
      <c r="J225" t="s">
        <v>158</v>
      </c>
      <c r="K225" t="s">
        <v>159</v>
      </c>
      <c r="L225" t="s">
        <v>50</v>
      </c>
      <c r="M225" s="2">
        <v>567948.81000000006</v>
      </c>
      <c r="N225" t="s">
        <v>2314</v>
      </c>
      <c r="P225" t="str">
        <f>CONCATENATE("'",Tabla1[[#This Row],[Codigo]],"',")</f>
        <v>'00444',</v>
      </c>
    </row>
    <row r="226" spans="1:16" x14ac:dyDescent="0.25">
      <c r="A226" t="s">
        <v>2315</v>
      </c>
      <c r="B226" t="s">
        <v>2316</v>
      </c>
      <c r="C226" t="s">
        <v>2316</v>
      </c>
      <c r="D226" t="s">
        <v>819</v>
      </c>
      <c r="E226" t="s">
        <v>224</v>
      </c>
      <c r="F226" t="s">
        <v>2317</v>
      </c>
      <c r="G226" t="s">
        <v>2318</v>
      </c>
      <c r="H226" t="s">
        <v>2159</v>
      </c>
      <c r="I226" t="s">
        <v>2160</v>
      </c>
      <c r="J226" t="s">
        <v>2320</v>
      </c>
      <c r="K226" t="s">
        <v>2321</v>
      </c>
      <c r="L226" t="s">
        <v>50</v>
      </c>
      <c r="M226" s="2">
        <v>3054380</v>
      </c>
      <c r="N226" t="s">
        <v>64</v>
      </c>
      <c r="P226" t="str">
        <f>CONCATENATE("'",Tabla1[[#This Row],[Codigo]],"',")</f>
        <v>'00445',</v>
      </c>
    </row>
    <row r="227" spans="1:16" x14ac:dyDescent="0.25">
      <c r="A227" t="s">
        <v>2337</v>
      </c>
      <c r="B227" t="s">
        <v>2338</v>
      </c>
      <c r="C227" t="s">
        <v>2338</v>
      </c>
      <c r="D227" t="s">
        <v>2339</v>
      </c>
      <c r="E227" t="s">
        <v>134</v>
      </c>
      <c r="F227" t="s">
        <v>2340</v>
      </c>
      <c r="G227" t="s">
        <v>87</v>
      </c>
      <c r="H227" t="s">
        <v>89</v>
      </c>
      <c r="I227" t="s">
        <v>90</v>
      </c>
      <c r="J227" t="s">
        <v>91</v>
      </c>
      <c r="K227" t="s">
        <v>92</v>
      </c>
      <c r="L227" t="s">
        <v>50</v>
      </c>
      <c r="M227" s="2">
        <v>218170</v>
      </c>
      <c r="N227" t="s">
        <v>64</v>
      </c>
      <c r="P227" t="str">
        <f>CONCATENATE("'",Tabla1[[#This Row],[Codigo]],"',")</f>
        <v>'00450',</v>
      </c>
    </row>
    <row r="228" spans="1:16" x14ac:dyDescent="0.25">
      <c r="A228" t="s">
        <v>2350</v>
      </c>
      <c r="B228" t="s">
        <v>2351</v>
      </c>
      <c r="C228" t="s">
        <v>2351</v>
      </c>
      <c r="D228" t="s">
        <v>153</v>
      </c>
      <c r="E228" t="s">
        <v>272</v>
      </c>
      <c r="F228" t="s">
        <v>2352</v>
      </c>
      <c r="G228" t="s">
        <v>102</v>
      </c>
      <c r="H228" t="s">
        <v>101</v>
      </c>
      <c r="I228" t="s">
        <v>102</v>
      </c>
      <c r="J228" t="s">
        <v>103</v>
      </c>
      <c r="K228" t="s">
        <v>104</v>
      </c>
      <c r="L228" t="s">
        <v>50</v>
      </c>
      <c r="M228" s="2">
        <v>429221.47</v>
      </c>
      <c r="N228" t="s">
        <v>2354</v>
      </c>
      <c r="O228" t="s">
        <v>52</v>
      </c>
      <c r="P228" t="str">
        <f>CONCATENATE("'",Tabla1[[#This Row],[Codigo]],"',")</f>
        <v>'00453',</v>
      </c>
    </row>
    <row r="229" spans="1:16" x14ac:dyDescent="0.25">
      <c r="A229" t="s">
        <v>2355</v>
      </c>
      <c r="B229" t="s">
        <v>2356</v>
      </c>
      <c r="C229" t="s">
        <v>2356</v>
      </c>
      <c r="D229" t="s">
        <v>649</v>
      </c>
      <c r="E229" t="s">
        <v>871</v>
      </c>
      <c r="F229" t="s">
        <v>2357</v>
      </c>
      <c r="G229" t="s">
        <v>1312</v>
      </c>
      <c r="H229" t="s">
        <v>883</v>
      </c>
      <c r="I229" t="s">
        <v>881</v>
      </c>
      <c r="J229" t="s">
        <v>158</v>
      </c>
      <c r="K229" t="s">
        <v>159</v>
      </c>
      <c r="L229" t="s">
        <v>50</v>
      </c>
      <c r="M229" s="2">
        <v>1212383.6100000001</v>
      </c>
      <c r="N229" t="s">
        <v>2360</v>
      </c>
      <c r="P229" t="str">
        <f>CONCATENATE("'",Tabla1[[#This Row],[Codigo]],"',")</f>
        <v>'00454',</v>
      </c>
    </row>
    <row r="230" spans="1:16" x14ac:dyDescent="0.25">
      <c r="A230" t="s">
        <v>2361</v>
      </c>
      <c r="B230" t="s">
        <v>2362</v>
      </c>
      <c r="C230" t="s">
        <v>2362</v>
      </c>
      <c r="D230" t="s">
        <v>35</v>
      </c>
      <c r="E230" t="s">
        <v>36</v>
      </c>
      <c r="F230" t="s">
        <v>2363</v>
      </c>
      <c r="G230" t="s">
        <v>300</v>
      </c>
      <c r="H230" t="s">
        <v>302</v>
      </c>
      <c r="I230" t="s">
        <v>303</v>
      </c>
      <c r="J230" t="s">
        <v>304</v>
      </c>
      <c r="K230" t="s">
        <v>72</v>
      </c>
      <c r="L230" t="s">
        <v>50</v>
      </c>
      <c r="M230" s="2">
        <v>10303.11</v>
      </c>
      <c r="N230" t="s">
        <v>2366</v>
      </c>
      <c r="O230" t="s">
        <v>115</v>
      </c>
      <c r="P230" t="str">
        <f>CONCATENATE("'",Tabla1[[#This Row],[Codigo]],"',")</f>
        <v>'00455',</v>
      </c>
    </row>
    <row r="231" spans="1:16" x14ac:dyDescent="0.25">
      <c r="A231" t="s">
        <v>2367</v>
      </c>
      <c r="B231" t="s">
        <v>2368</v>
      </c>
      <c r="C231" t="s">
        <v>2368</v>
      </c>
      <c r="D231" t="s">
        <v>125</v>
      </c>
      <c r="E231" t="s">
        <v>126</v>
      </c>
      <c r="F231" t="s">
        <v>2369</v>
      </c>
      <c r="G231" t="s">
        <v>274</v>
      </c>
      <c r="H231" t="s">
        <v>276</v>
      </c>
      <c r="I231" t="s">
        <v>277</v>
      </c>
      <c r="J231" t="s">
        <v>103</v>
      </c>
      <c r="K231" t="s">
        <v>104</v>
      </c>
      <c r="L231" t="s">
        <v>50</v>
      </c>
      <c r="M231" s="2">
        <v>918352.24</v>
      </c>
      <c r="N231" t="s">
        <v>2372</v>
      </c>
      <c r="O231" t="s">
        <v>52</v>
      </c>
      <c r="P231" t="str">
        <f>CONCATENATE("'",Tabla1[[#This Row],[Codigo]],"',")</f>
        <v>'00456',</v>
      </c>
    </row>
    <row r="232" spans="1:16" x14ac:dyDescent="0.25">
      <c r="A232" t="s">
        <v>2373</v>
      </c>
      <c r="B232" t="s">
        <v>2374</v>
      </c>
      <c r="C232" t="s">
        <v>2374</v>
      </c>
      <c r="D232" t="s">
        <v>35</v>
      </c>
      <c r="E232" t="s">
        <v>36</v>
      </c>
      <c r="F232" t="s">
        <v>2375</v>
      </c>
      <c r="G232" t="s">
        <v>1547</v>
      </c>
      <c r="H232" t="s">
        <v>1546</v>
      </c>
      <c r="I232" t="s">
        <v>1547</v>
      </c>
      <c r="J232" t="s">
        <v>103</v>
      </c>
      <c r="K232" t="s">
        <v>104</v>
      </c>
      <c r="L232" t="s">
        <v>50</v>
      </c>
      <c r="M232" s="2">
        <v>63803.6</v>
      </c>
      <c r="N232" t="s">
        <v>2378</v>
      </c>
      <c r="O232" t="s">
        <v>52</v>
      </c>
      <c r="P232" t="str">
        <f>CONCATENATE("'",Tabla1[[#This Row],[Codigo]],"',")</f>
        <v>'00457',</v>
      </c>
    </row>
    <row r="233" spans="1:16" x14ac:dyDescent="0.25">
      <c r="A233" t="s">
        <v>2379</v>
      </c>
      <c r="B233" t="s">
        <v>2380</v>
      </c>
      <c r="C233" t="s">
        <v>2380</v>
      </c>
      <c r="D233" t="s">
        <v>2118</v>
      </c>
      <c r="E233" t="s">
        <v>871</v>
      </c>
      <c r="F233" t="s">
        <v>2381</v>
      </c>
      <c r="G233" t="s">
        <v>2382</v>
      </c>
      <c r="H233" t="s">
        <v>2384</v>
      </c>
      <c r="I233" t="s">
        <v>2385</v>
      </c>
      <c r="J233" t="s">
        <v>103</v>
      </c>
      <c r="K233" t="s">
        <v>104</v>
      </c>
      <c r="L233" t="s">
        <v>50</v>
      </c>
      <c r="M233" s="2">
        <v>436340</v>
      </c>
      <c r="N233" t="s">
        <v>64</v>
      </c>
      <c r="P233" t="str">
        <f>CONCATENATE("'",Tabla1[[#This Row],[Codigo]],"',")</f>
        <v>'00458',</v>
      </c>
    </row>
    <row r="234" spans="1:16" x14ac:dyDescent="0.25">
      <c r="A234" t="s">
        <v>2387</v>
      </c>
      <c r="B234" t="s">
        <v>2388</v>
      </c>
      <c r="C234" t="s">
        <v>2388</v>
      </c>
      <c r="D234" t="s">
        <v>2389</v>
      </c>
      <c r="E234" t="s">
        <v>134</v>
      </c>
      <c r="F234" t="s">
        <v>2390</v>
      </c>
      <c r="G234" t="s">
        <v>2391</v>
      </c>
      <c r="H234" t="s">
        <v>2393</v>
      </c>
      <c r="I234" t="s">
        <v>2394</v>
      </c>
      <c r="J234" t="s">
        <v>61</v>
      </c>
      <c r="K234" t="s">
        <v>62</v>
      </c>
      <c r="L234" t="s">
        <v>50</v>
      </c>
      <c r="M234" s="2">
        <v>76360</v>
      </c>
      <c r="N234" t="s">
        <v>64</v>
      </c>
      <c r="P234" t="str">
        <f>CONCATENATE("'",Tabla1[[#This Row],[Codigo]],"',")</f>
        <v>'00459',</v>
      </c>
    </row>
    <row r="235" spans="1:16" x14ac:dyDescent="0.25">
      <c r="A235" t="s">
        <v>2401</v>
      </c>
      <c r="B235" t="s">
        <v>2402</v>
      </c>
      <c r="C235" t="s">
        <v>803</v>
      </c>
      <c r="D235" t="s">
        <v>498</v>
      </c>
      <c r="E235" t="s">
        <v>190</v>
      </c>
      <c r="F235" t="s">
        <v>2403</v>
      </c>
      <c r="G235" t="s">
        <v>2382</v>
      </c>
      <c r="H235" t="s">
        <v>2384</v>
      </c>
      <c r="I235" t="s">
        <v>2385</v>
      </c>
      <c r="J235" t="s">
        <v>103</v>
      </c>
      <c r="K235" t="s">
        <v>104</v>
      </c>
      <c r="L235" t="s">
        <v>50</v>
      </c>
      <c r="M235" s="2">
        <v>47716.5</v>
      </c>
      <c r="N235" t="s">
        <v>2406</v>
      </c>
      <c r="O235" t="s">
        <v>52</v>
      </c>
      <c r="P235" t="str">
        <f>CONCATENATE("'",Tabla1[[#This Row],[Codigo]],"',")</f>
        <v>'00461',</v>
      </c>
    </row>
    <row r="236" spans="1:16" x14ac:dyDescent="0.25">
      <c r="A236" t="s">
        <v>2409</v>
      </c>
      <c r="B236" t="s">
        <v>2410</v>
      </c>
      <c r="C236" t="s">
        <v>2410</v>
      </c>
      <c r="D236" t="s">
        <v>498</v>
      </c>
      <c r="E236" t="s">
        <v>190</v>
      </c>
      <c r="F236" t="s">
        <v>2411</v>
      </c>
      <c r="G236" t="s">
        <v>1581</v>
      </c>
      <c r="H236" t="s">
        <v>203</v>
      </c>
      <c r="I236" t="s">
        <v>204</v>
      </c>
      <c r="J236" t="s">
        <v>205</v>
      </c>
      <c r="K236" t="s">
        <v>206</v>
      </c>
      <c r="L236" t="s">
        <v>50</v>
      </c>
      <c r="M236" s="2">
        <v>130890.91</v>
      </c>
      <c r="N236" t="s">
        <v>2414</v>
      </c>
      <c r="O236" t="s">
        <v>115</v>
      </c>
      <c r="P236" t="str">
        <f>CONCATENATE("'",Tabla1[[#This Row],[Codigo]],"',")</f>
        <v>'00463',</v>
      </c>
    </row>
    <row r="237" spans="1:16" x14ac:dyDescent="0.25">
      <c r="A237" t="s">
        <v>2415</v>
      </c>
      <c r="B237" t="s">
        <v>2416</v>
      </c>
      <c r="C237" t="s">
        <v>2416</v>
      </c>
      <c r="D237" t="s">
        <v>35</v>
      </c>
      <c r="E237" t="s">
        <v>36</v>
      </c>
      <c r="F237" t="s">
        <v>2417</v>
      </c>
      <c r="G237" t="s">
        <v>402</v>
      </c>
      <c r="H237" t="s">
        <v>403</v>
      </c>
      <c r="I237" t="s">
        <v>404</v>
      </c>
      <c r="J237" t="s">
        <v>205</v>
      </c>
      <c r="K237" t="s">
        <v>206</v>
      </c>
      <c r="L237" t="s">
        <v>50</v>
      </c>
      <c r="M237" s="2">
        <v>61781.71</v>
      </c>
      <c r="N237" t="s">
        <v>2420</v>
      </c>
      <c r="O237" t="s">
        <v>115</v>
      </c>
      <c r="P237" t="str">
        <f>CONCATENATE("'",Tabla1[[#This Row],[Codigo]],"',")</f>
        <v>'00464',</v>
      </c>
    </row>
    <row r="238" spans="1:16" x14ac:dyDescent="0.25">
      <c r="A238" t="s">
        <v>2421</v>
      </c>
      <c r="B238" t="s">
        <v>2422</v>
      </c>
      <c r="C238" t="s">
        <v>2422</v>
      </c>
      <c r="D238" t="s">
        <v>764</v>
      </c>
      <c r="E238" t="s">
        <v>77</v>
      </c>
      <c r="F238" t="s">
        <v>2423</v>
      </c>
      <c r="G238" t="s">
        <v>2424</v>
      </c>
      <c r="H238" t="s">
        <v>2426</v>
      </c>
      <c r="I238" t="s">
        <v>2427</v>
      </c>
      <c r="J238" t="s">
        <v>103</v>
      </c>
      <c r="K238" t="s">
        <v>104</v>
      </c>
      <c r="L238" t="s">
        <v>50</v>
      </c>
      <c r="M238" s="2">
        <v>1728</v>
      </c>
      <c r="N238" t="s">
        <v>64</v>
      </c>
      <c r="P238" t="str">
        <f>CONCATENATE("'",Tabla1[[#This Row],[Codigo]],"',")</f>
        <v>'00465',</v>
      </c>
    </row>
    <row r="239" spans="1:16" x14ac:dyDescent="0.25">
      <c r="A239" t="s">
        <v>2437</v>
      </c>
      <c r="B239" t="s">
        <v>2438</v>
      </c>
      <c r="C239" t="s">
        <v>2438</v>
      </c>
      <c r="D239" t="s">
        <v>847</v>
      </c>
      <c r="E239" t="s">
        <v>848</v>
      </c>
      <c r="F239" t="s">
        <v>2439</v>
      </c>
      <c r="G239" t="s">
        <v>358</v>
      </c>
      <c r="H239" t="s">
        <v>360</v>
      </c>
      <c r="I239" t="s">
        <v>361</v>
      </c>
      <c r="J239" t="s">
        <v>61</v>
      </c>
      <c r="K239" t="s">
        <v>62</v>
      </c>
      <c r="L239" t="s">
        <v>50</v>
      </c>
      <c r="M239" s="2">
        <v>21652.18</v>
      </c>
      <c r="N239" t="s">
        <v>2442</v>
      </c>
      <c r="P239" t="str">
        <f>CONCATENATE("'",Tabla1[[#This Row],[Codigo]],"',")</f>
        <v>'00469',</v>
      </c>
    </row>
    <row r="240" spans="1:16" x14ac:dyDescent="0.25">
      <c r="A240" t="s">
        <v>2450</v>
      </c>
      <c r="B240" t="s">
        <v>2451</v>
      </c>
      <c r="C240" t="s">
        <v>2451</v>
      </c>
      <c r="D240" t="s">
        <v>153</v>
      </c>
      <c r="E240" t="s">
        <v>272</v>
      </c>
      <c r="F240" t="s">
        <v>2452</v>
      </c>
      <c r="G240" t="s">
        <v>277</v>
      </c>
      <c r="H240" t="s">
        <v>276</v>
      </c>
      <c r="I240" t="s">
        <v>277</v>
      </c>
      <c r="J240" t="s">
        <v>103</v>
      </c>
      <c r="K240" t="s">
        <v>104</v>
      </c>
      <c r="L240" t="s">
        <v>50</v>
      </c>
      <c r="M240" s="2">
        <v>443290.39</v>
      </c>
      <c r="N240" t="s">
        <v>2454</v>
      </c>
      <c r="O240" t="s">
        <v>52</v>
      </c>
      <c r="P240" t="str">
        <f>CONCATENATE("'",Tabla1[[#This Row],[Codigo]],"',")</f>
        <v>'00472',</v>
      </c>
    </row>
    <row r="241" spans="1:16" x14ac:dyDescent="0.25">
      <c r="A241" t="s">
        <v>2455</v>
      </c>
      <c r="B241" t="s">
        <v>2456</v>
      </c>
      <c r="C241" t="s">
        <v>2456</v>
      </c>
      <c r="D241" t="s">
        <v>35</v>
      </c>
      <c r="E241" t="s">
        <v>36</v>
      </c>
      <c r="F241" t="s">
        <v>2457</v>
      </c>
      <c r="G241" t="s">
        <v>277</v>
      </c>
      <c r="H241" t="s">
        <v>276</v>
      </c>
      <c r="I241" t="s">
        <v>277</v>
      </c>
      <c r="J241" t="s">
        <v>103</v>
      </c>
      <c r="K241" t="s">
        <v>104</v>
      </c>
      <c r="L241" t="s">
        <v>50</v>
      </c>
      <c r="M241" s="2">
        <v>379512.93</v>
      </c>
      <c r="N241" t="s">
        <v>2459</v>
      </c>
      <c r="O241" t="s">
        <v>52</v>
      </c>
      <c r="P241" t="str">
        <f>CONCATENATE("'",Tabla1[[#This Row],[Codigo]],"',")</f>
        <v>'00473',</v>
      </c>
    </row>
    <row r="242" spans="1:16" x14ac:dyDescent="0.25">
      <c r="A242" s="15" t="s">
        <v>2467</v>
      </c>
      <c r="B242" s="15" t="s">
        <v>2468</v>
      </c>
      <c r="C242" s="15" t="s">
        <v>2468</v>
      </c>
      <c r="D242" s="15" t="s">
        <v>55</v>
      </c>
      <c r="E242" s="15" t="s">
        <v>56</v>
      </c>
      <c r="F242" s="15" t="s">
        <v>2469</v>
      </c>
      <c r="G242" s="15" t="s">
        <v>2470</v>
      </c>
      <c r="H242" s="15" t="s">
        <v>2472</v>
      </c>
      <c r="I242" s="15" t="s">
        <v>2473</v>
      </c>
      <c r="J242" s="15" t="s">
        <v>1363</v>
      </c>
      <c r="K242" s="15" t="s">
        <v>1364</v>
      </c>
      <c r="L242" s="15" t="s">
        <v>50</v>
      </c>
      <c r="M242" s="16">
        <v>21392.11</v>
      </c>
      <c r="N242" s="15" t="s">
        <v>2476</v>
      </c>
      <c r="O242" s="15" t="s">
        <v>115</v>
      </c>
      <c r="P242" t="str">
        <f>CONCATENATE("'",Tabla1[[#This Row],[Codigo]],"',")</f>
        <v>'00476',</v>
      </c>
    </row>
    <row r="243" spans="1:16" x14ac:dyDescent="0.25">
      <c r="A243" t="s">
        <v>2477</v>
      </c>
      <c r="B243" t="s">
        <v>2478</v>
      </c>
      <c r="C243" t="s">
        <v>2478</v>
      </c>
      <c r="D243" t="s">
        <v>478</v>
      </c>
      <c r="E243" t="s">
        <v>190</v>
      </c>
      <c r="F243" t="s">
        <v>2479</v>
      </c>
      <c r="G243" t="s">
        <v>1531</v>
      </c>
      <c r="H243" t="s">
        <v>585</v>
      </c>
      <c r="I243" t="s">
        <v>584</v>
      </c>
      <c r="J243" t="s">
        <v>158</v>
      </c>
      <c r="K243" t="s">
        <v>159</v>
      </c>
      <c r="L243" t="s">
        <v>50</v>
      </c>
      <c r="M243" s="2">
        <v>356625</v>
      </c>
      <c r="N243" t="s">
        <v>64</v>
      </c>
      <c r="P243" t="str">
        <f>CONCATENATE("'",Tabla1[[#This Row],[Codigo]],"',")</f>
        <v>'00477',</v>
      </c>
    </row>
    <row r="244" spans="1:16" x14ac:dyDescent="0.25">
      <c r="A244" t="s">
        <v>2482</v>
      </c>
      <c r="B244" t="s">
        <v>2483</v>
      </c>
      <c r="C244" t="s">
        <v>2484</v>
      </c>
      <c r="D244" t="s">
        <v>817</v>
      </c>
      <c r="E244" t="s">
        <v>224</v>
      </c>
      <c r="F244" t="s">
        <v>2267</v>
      </c>
      <c r="G244" t="s">
        <v>1607</v>
      </c>
      <c r="H244" t="s">
        <v>1221</v>
      </c>
      <c r="I244" t="s">
        <v>1222</v>
      </c>
      <c r="J244" t="s">
        <v>205</v>
      </c>
      <c r="K244" t="s">
        <v>206</v>
      </c>
      <c r="L244" t="s">
        <v>50</v>
      </c>
      <c r="M244" s="2">
        <v>1090225.2</v>
      </c>
      <c r="N244" t="s">
        <v>2488</v>
      </c>
      <c r="P244" t="str">
        <f>CONCATENATE("'",Tabla1[[#This Row],[Codigo]],"',")</f>
        <v>'00478',</v>
      </c>
    </row>
    <row r="245" spans="1:16" x14ac:dyDescent="0.25">
      <c r="A245" t="s">
        <v>2494</v>
      </c>
      <c r="B245" t="s">
        <v>2495</v>
      </c>
      <c r="C245" t="s">
        <v>2495</v>
      </c>
      <c r="D245" t="s">
        <v>153</v>
      </c>
      <c r="E245" t="s">
        <v>272</v>
      </c>
      <c r="F245" t="s">
        <v>2496</v>
      </c>
      <c r="G245" t="s">
        <v>277</v>
      </c>
      <c r="H245" t="s">
        <v>276</v>
      </c>
      <c r="I245" t="s">
        <v>277</v>
      </c>
      <c r="J245" t="s">
        <v>103</v>
      </c>
      <c r="K245" t="s">
        <v>104</v>
      </c>
      <c r="L245" t="s">
        <v>50</v>
      </c>
      <c r="M245" s="2">
        <v>173300.88</v>
      </c>
      <c r="N245" t="s">
        <v>2498</v>
      </c>
      <c r="O245" t="s">
        <v>52</v>
      </c>
      <c r="P245" t="str">
        <f>CONCATENATE("'",Tabla1[[#This Row],[Codigo]],"',")</f>
        <v>'00480',</v>
      </c>
    </row>
    <row r="246" spans="1:16" x14ac:dyDescent="0.25">
      <c r="A246" t="s">
        <v>2499</v>
      </c>
      <c r="B246" t="s">
        <v>2500</v>
      </c>
      <c r="C246" t="s">
        <v>2500</v>
      </c>
      <c r="D246" t="s">
        <v>153</v>
      </c>
      <c r="E246" t="s">
        <v>272</v>
      </c>
      <c r="F246" t="s">
        <v>2501</v>
      </c>
      <c r="G246" t="s">
        <v>38</v>
      </c>
      <c r="H246" t="s">
        <v>40</v>
      </c>
      <c r="I246" t="s">
        <v>41</v>
      </c>
      <c r="J246" t="s">
        <v>61</v>
      </c>
      <c r="K246" t="s">
        <v>62</v>
      </c>
      <c r="L246" t="s">
        <v>50</v>
      </c>
      <c r="M246" s="2">
        <v>-961.48</v>
      </c>
      <c r="N246" t="s">
        <v>2504</v>
      </c>
      <c r="O246" t="s">
        <v>115</v>
      </c>
      <c r="P246" t="str">
        <f>CONCATENATE("'",Tabla1[[#This Row],[Codigo]],"',")</f>
        <v>'00481',</v>
      </c>
    </row>
    <row r="247" spans="1:16" x14ac:dyDescent="0.25">
      <c r="A247" t="s">
        <v>2511</v>
      </c>
      <c r="B247" t="s">
        <v>2512</v>
      </c>
      <c r="C247" t="s">
        <v>2512</v>
      </c>
      <c r="D247" t="s">
        <v>569</v>
      </c>
      <c r="E247" t="s">
        <v>570</v>
      </c>
      <c r="F247" t="s">
        <v>2513</v>
      </c>
      <c r="G247" t="s">
        <v>1581</v>
      </c>
      <c r="H247" t="s">
        <v>203</v>
      </c>
      <c r="I247" t="s">
        <v>204</v>
      </c>
      <c r="J247" t="s">
        <v>205</v>
      </c>
      <c r="K247" t="s">
        <v>206</v>
      </c>
      <c r="L247" t="s">
        <v>50</v>
      </c>
      <c r="M247" s="2">
        <v>74967.47</v>
      </c>
      <c r="N247" t="s">
        <v>2516</v>
      </c>
      <c r="O247" t="s">
        <v>115</v>
      </c>
      <c r="P247" t="str">
        <f>CONCATENATE("'",Tabla1[[#This Row],[Codigo]],"',")</f>
        <v>'00483',</v>
      </c>
    </row>
    <row r="248" spans="1:16" x14ac:dyDescent="0.25">
      <c r="A248" t="s">
        <v>2522</v>
      </c>
      <c r="B248" t="s">
        <v>2523</v>
      </c>
      <c r="C248" t="s">
        <v>2524</v>
      </c>
      <c r="D248" t="s">
        <v>569</v>
      </c>
      <c r="E248" t="s">
        <v>570</v>
      </c>
      <c r="F248" t="s">
        <v>2525</v>
      </c>
      <c r="G248" t="s">
        <v>65</v>
      </c>
      <c r="H248" t="s">
        <v>67</v>
      </c>
      <c r="I248" t="s">
        <v>68</v>
      </c>
      <c r="J248" t="s">
        <v>69</v>
      </c>
      <c r="K248" t="s">
        <v>70</v>
      </c>
      <c r="L248" t="s">
        <v>50</v>
      </c>
      <c r="M248" s="2">
        <v>660714.38</v>
      </c>
      <c r="N248" t="s">
        <v>2528</v>
      </c>
      <c r="P248" t="str">
        <f>CONCATENATE("'",Tabla1[[#This Row],[Codigo]],"',")</f>
        <v>'00485',</v>
      </c>
    </row>
    <row r="249" spans="1:16" x14ac:dyDescent="0.25">
      <c r="A249" t="s">
        <v>2535</v>
      </c>
      <c r="B249" t="s">
        <v>2536</v>
      </c>
      <c r="C249" t="s">
        <v>2537</v>
      </c>
      <c r="D249" t="s">
        <v>569</v>
      </c>
      <c r="E249" t="s">
        <v>570</v>
      </c>
      <c r="F249" t="s">
        <v>2538</v>
      </c>
      <c r="G249" t="s">
        <v>2539</v>
      </c>
      <c r="H249" t="s">
        <v>2541</v>
      </c>
      <c r="I249" t="s">
        <v>2542</v>
      </c>
      <c r="J249" t="s">
        <v>120</v>
      </c>
      <c r="K249" t="s">
        <v>121</v>
      </c>
      <c r="L249" t="s">
        <v>50</v>
      </c>
      <c r="M249" s="2">
        <v>228480</v>
      </c>
      <c r="N249" t="s">
        <v>64</v>
      </c>
      <c r="P249" t="str">
        <f>CONCATENATE("'",Tabla1[[#This Row],[Codigo]],"',")</f>
        <v>'00489',</v>
      </c>
    </row>
    <row r="250" spans="1:16" x14ac:dyDescent="0.25">
      <c r="A250" t="s">
        <v>2544</v>
      </c>
      <c r="B250" t="s">
        <v>2545</v>
      </c>
      <c r="C250" t="s">
        <v>2545</v>
      </c>
      <c r="D250" t="s">
        <v>35</v>
      </c>
      <c r="E250" t="s">
        <v>36</v>
      </c>
      <c r="F250" t="s">
        <v>2546</v>
      </c>
      <c r="G250" t="s">
        <v>1029</v>
      </c>
      <c r="H250" t="s">
        <v>1031</v>
      </c>
      <c r="I250" t="s">
        <v>1029</v>
      </c>
      <c r="J250" t="s">
        <v>103</v>
      </c>
      <c r="K250" t="s">
        <v>104</v>
      </c>
      <c r="L250" t="s">
        <v>50</v>
      </c>
      <c r="M250" s="2">
        <v>696778.63</v>
      </c>
      <c r="N250" t="s">
        <v>2549</v>
      </c>
      <c r="O250" t="s">
        <v>115</v>
      </c>
      <c r="P250" t="str">
        <f>CONCATENATE("'",Tabla1[[#This Row],[Codigo]],"',")</f>
        <v>'00490',</v>
      </c>
    </row>
    <row r="251" spans="1:16" x14ac:dyDescent="0.25">
      <c r="A251" t="s">
        <v>2555</v>
      </c>
      <c r="B251" t="s">
        <v>2556</v>
      </c>
      <c r="C251" t="s">
        <v>2556</v>
      </c>
      <c r="D251" t="s">
        <v>569</v>
      </c>
      <c r="E251" t="s">
        <v>570</v>
      </c>
      <c r="F251" t="s">
        <v>2557</v>
      </c>
      <c r="G251" t="s">
        <v>1554</v>
      </c>
      <c r="H251" t="s">
        <v>1556</v>
      </c>
      <c r="I251" t="s">
        <v>1557</v>
      </c>
      <c r="J251" t="s">
        <v>316</v>
      </c>
      <c r="K251" t="s">
        <v>317</v>
      </c>
      <c r="L251" t="s">
        <v>50</v>
      </c>
      <c r="M251" s="2">
        <v>133113.62</v>
      </c>
      <c r="N251" t="s">
        <v>2560</v>
      </c>
      <c r="O251" t="s">
        <v>52</v>
      </c>
      <c r="P251" t="str">
        <f>CONCATENATE("'",Tabla1[[#This Row],[Codigo]],"',")</f>
        <v>'00492',</v>
      </c>
    </row>
    <row r="252" spans="1:16" x14ac:dyDescent="0.25">
      <c r="A252" t="s">
        <v>2573</v>
      </c>
      <c r="B252" t="s">
        <v>2574</v>
      </c>
      <c r="C252" t="s">
        <v>2574</v>
      </c>
      <c r="D252" t="s">
        <v>153</v>
      </c>
      <c r="E252" t="s">
        <v>272</v>
      </c>
      <c r="F252" t="s">
        <v>2575</v>
      </c>
      <c r="G252" t="s">
        <v>181</v>
      </c>
      <c r="H252" t="s">
        <v>183</v>
      </c>
      <c r="I252" t="s">
        <v>184</v>
      </c>
      <c r="J252" t="s">
        <v>158</v>
      </c>
      <c r="K252" t="s">
        <v>159</v>
      </c>
      <c r="L252" t="s">
        <v>50</v>
      </c>
      <c r="M252" s="2">
        <v>559320</v>
      </c>
      <c r="N252" t="s">
        <v>64</v>
      </c>
      <c r="P252" t="str">
        <f>CONCATENATE("'",Tabla1[[#This Row],[Codigo]],"',")</f>
        <v>'00495',</v>
      </c>
    </row>
    <row r="253" spans="1:16" x14ac:dyDescent="0.25">
      <c r="A253" t="s">
        <v>2578</v>
      </c>
      <c r="B253" t="s">
        <v>2579</v>
      </c>
      <c r="C253" t="s">
        <v>2579</v>
      </c>
      <c r="D253" t="s">
        <v>1939</v>
      </c>
      <c r="E253" t="s">
        <v>224</v>
      </c>
      <c r="F253" t="s">
        <v>2580</v>
      </c>
      <c r="G253" t="s">
        <v>911</v>
      </c>
      <c r="H253" t="s">
        <v>913</v>
      </c>
      <c r="I253" t="s">
        <v>914</v>
      </c>
      <c r="J253" t="s">
        <v>103</v>
      </c>
      <c r="K253" t="s">
        <v>104</v>
      </c>
      <c r="L253" t="s">
        <v>50</v>
      </c>
      <c r="M253" s="2">
        <v>65451</v>
      </c>
      <c r="N253" t="s">
        <v>64</v>
      </c>
      <c r="P253" t="str">
        <f>CONCATENATE("'",Tabla1[[#This Row],[Codigo]],"',")</f>
        <v>'00496',</v>
      </c>
    </row>
    <row r="254" spans="1:16" x14ac:dyDescent="0.25">
      <c r="A254" t="s">
        <v>2597</v>
      </c>
      <c r="B254" t="s">
        <v>2598</v>
      </c>
      <c r="C254" t="s">
        <v>2598</v>
      </c>
      <c r="D254" t="s">
        <v>153</v>
      </c>
      <c r="E254" t="s">
        <v>272</v>
      </c>
      <c r="F254" t="s">
        <v>1580</v>
      </c>
      <c r="G254" t="s">
        <v>1607</v>
      </c>
      <c r="H254" t="s">
        <v>1221</v>
      </c>
      <c r="I254" t="s">
        <v>1222</v>
      </c>
      <c r="J254" t="s">
        <v>205</v>
      </c>
      <c r="K254" t="s">
        <v>206</v>
      </c>
      <c r="L254" t="s">
        <v>50</v>
      </c>
      <c r="M254" s="2">
        <v>768269.86</v>
      </c>
      <c r="N254" t="s">
        <v>2601</v>
      </c>
      <c r="O254" t="s">
        <v>52</v>
      </c>
      <c r="P254" t="str">
        <f>CONCATENATE("'",Tabla1[[#This Row],[Codigo]],"',")</f>
        <v>'00504',</v>
      </c>
    </row>
    <row r="255" spans="1:16" x14ac:dyDescent="0.25">
      <c r="A255" t="s">
        <v>2602</v>
      </c>
      <c r="B255" t="s">
        <v>2603</v>
      </c>
      <c r="C255" t="s">
        <v>2603</v>
      </c>
      <c r="D255" t="s">
        <v>223</v>
      </c>
      <c r="E255" t="s">
        <v>224</v>
      </c>
      <c r="F255" t="s">
        <v>2604</v>
      </c>
      <c r="G255" t="s">
        <v>1607</v>
      </c>
      <c r="H255" t="s">
        <v>1221</v>
      </c>
      <c r="I255" t="s">
        <v>1222</v>
      </c>
      <c r="J255" t="s">
        <v>205</v>
      </c>
      <c r="K255" t="s">
        <v>206</v>
      </c>
      <c r="L255" t="s">
        <v>50</v>
      </c>
      <c r="M255" s="2">
        <v>38609.29</v>
      </c>
      <c r="N255" t="s">
        <v>2607</v>
      </c>
      <c r="P255" t="str">
        <f>CONCATENATE("'",Tabla1[[#This Row],[Codigo]],"',")</f>
        <v>'00505',</v>
      </c>
    </row>
    <row r="256" spans="1:16" x14ac:dyDescent="0.25">
      <c r="A256" t="s">
        <v>2608</v>
      </c>
      <c r="B256" t="s">
        <v>2609</v>
      </c>
      <c r="C256" t="s">
        <v>2609</v>
      </c>
      <c r="D256" t="s">
        <v>35</v>
      </c>
      <c r="E256" t="s">
        <v>36</v>
      </c>
      <c r="F256" t="s">
        <v>2610</v>
      </c>
      <c r="G256" t="s">
        <v>402</v>
      </c>
      <c r="H256" t="s">
        <v>403</v>
      </c>
      <c r="I256" t="s">
        <v>404</v>
      </c>
      <c r="J256" t="s">
        <v>205</v>
      </c>
      <c r="K256" t="s">
        <v>206</v>
      </c>
      <c r="L256" t="s">
        <v>50</v>
      </c>
      <c r="M256" s="2">
        <v>149450.10999999999</v>
      </c>
      <c r="N256" t="s">
        <v>2613</v>
      </c>
      <c r="O256" t="s">
        <v>52</v>
      </c>
      <c r="P256" t="str">
        <f>CONCATENATE("'",Tabla1[[#This Row],[Codigo]],"',")</f>
        <v>'00506',</v>
      </c>
    </row>
    <row r="257" spans="1:16" x14ac:dyDescent="0.25">
      <c r="A257" t="s">
        <v>2614</v>
      </c>
      <c r="B257" t="s">
        <v>2615</v>
      </c>
      <c r="C257" t="s">
        <v>2615</v>
      </c>
      <c r="D257" t="s">
        <v>125</v>
      </c>
      <c r="E257" t="s">
        <v>126</v>
      </c>
      <c r="F257" t="s">
        <v>2616</v>
      </c>
      <c r="G257" t="s">
        <v>2617</v>
      </c>
      <c r="H257" t="s">
        <v>2619</v>
      </c>
      <c r="I257" t="s">
        <v>2620</v>
      </c>
      <c r="J257" t="s">
        <v>103</v>
      </c>
      <c r="K257" t="s">
        <v>104</v>
      </c>
      <c r="L257" t="s">
        <v>50</v>
      </c>
      <c r="M257" s="2">
        <v>29224.87</v>
      </c>
      <c r="N257" t="s">
        <v>2622</v>
      </c>
      <c r="P257" t="str">
        <f>CONCATENATE("'",Tabla1[[#This Row],[Codigo]],"',")</f>
        <v>'00507',</v>
      </c>
    </row>
    <row r="258" spans="1:16" x14ac:dyDescent="0.25">
      <c r="A258" t="s">
        <v>2623</v>
      </c>
      <c r="B258" t="s">
        <v>2624</v>
      </c>
      <c r="C258" t="s">
        <v>2624</v>
      </c>
      <c r="D258" t="s">
        <v>125</v>
      </c>
      <c r="E258" t="s">
        <v>126</v>
      </c>
      <c r="F258" t="s">
        <v>2625</v>
      </c>
      <c r="G258" t="s">
        <v>300</v>
      </c>
      <c r="H258" t="s">
        <v>302</v>
      </c>
      <c r="I258" t="s">
        <v>303</v>
      </c>
      <c r="J258" t="s">
        <v>304</v>
      </c>
      <c r="K258" t="s">
        <v>72</v>
      </c>
      <c r="L258" t="s">
        <v>50</v>
      </c>
      <c r="M258" s="2">
        <v>236839.94</v>
      </c>
      <c r="N258" t="s">
        <v>2628</v>
      </c>
      <c r="P258" t="str">
        <f>CONCATENATE("'",Tabla1[[#This Row],[Codigo]],"',")</f>
        <v>'00508',</v>
      </c>
    </row>
    <row r="259" spans="1:16" x14ac:dyDescent="0.25">
      <c r="A259" t="s">
        <v>2641</v>
      </c>
      <c r="B259" t="s">
        <v>2642</v>
      </c>
      <c r="C259" t="s">
        <v>2642</v>
      </c>
      <c r="D259" t="s">
        <v>153</v>
      </c>
      <c r="E259" t="s">
        <v>272</v>
      </c>
      <c r="F259" t="s">
        <v>2643</v>
      </c>
      <c r="G259" t="s">
        <v>38</v>
      </c>
      <c r="H259" t="s">
        <v>40</v>
      </c>
      <c r="I259" t="s">
        <v>41</v>
      </c>
      <c r="J259" t="s">
        <v>42</v>
      </c>
      <c r="K259" t="s">
        <v>43</v>
      </c>
      <c r="L259" t="s">
        <v>50</v>
      </c>
      <c r="M259" s="2">
        <v>1981180.24</v>
      </c>
      <c r="N259" t="s">
        <v>2645</v>
      </c>
      <c r="P259" t="str">
        <f>CONCATENATE("'",Tabla1[[#This Row],[Codigo]],"',")</f>
        <v>'00514',</v>
      </c>
    </row>
    <row r="260" spans="1:16" x14ac:dyDescent="0.25">
      <c r="A260" t="s">
        <v>2653</v>
      </c>
      <c r="B260" t="s">
        <v>2654</v>
      </c>
      <c r="C260" t="s">
        <v>2655</v>
      </c>
      <c r="D260" t="s">
        <v>1504</v>
      </c>
      <c r="E260" t="s">
        <v>77</v>
      </c>
      <c r="F260" t="s">
        <v>2656</v>
      </c>
      <c r="G260" t="s">
        <v>116</v>
      </c>
      <c r="H260" t="s">
        <v>118</v>
      </c>
      <c r="I260" t="s">
        <v>119</v>
      </c>
      <c r="J260" t="s">
        <v>120</v>
      </c>
      <c r="K260" t="s">
        <v>121</v>
      </c>
      <c r="L260" t="s">
        <v>50</v>
      </c>
      <c r="M260" s="2">
        <v>218170</v>
      </c>
      <c r="N260" t="s">
        <v>64</v>
      </c>
      <c r="P260" t="str">
        <f>CONCATENATE("'",Tabla1[[#This Row],[Codigo]],"',")</f>
        <v>'00520',</v>
      </c>
    </row>
    <row r="261" spans="1:16" x14ac:dyDescent="0.25">
      <c r="A261" t="s">
        <v>2659</v>
      </c>
      <c r="B261" t="s">
        <v>2660</v>
      </c>
      <c r="C261" t="s">
        <v>2660</v>
      </c>
      <c r="D261" t="s">
        <v>2661</v>
      </c>
      <c r="E261" t="s">
        <v>134</v>
      </c>
      <c r="F261" t="s">
        <v>2662</v>
      </c>
      <c r="G261" t="s">
        <v>1581</v>
      </c>
      <c r="H261" t="s">
        <v>203</v>
      </c>
      <c r="I261" t="s">
        <v>204</v>
      </c>
      <c r="J261" t="s">
        <v>205</v>
      </c>
      <c r="K261" t="s">
        <v>206</v>
      </c>
      <c r="L261" t="s">
        <v>50</v>
      </c>
      <c r="M261" s="2">
        <v>21817</v>
      </c>
      <c r="N261" t="s">
        <v>64</v>
      </c>
      <c r="P261" t="str">
        <f>CONCATENATE("'",Tabla1[[#This Row],[Codigo]],"',")</f>
        <v>'00521',</v>
      </c>
    </row>
    <row r="262" spans="1:16" x14ac:dyDescent="0.25">
      <c r="A262" t="s">
        <v>2665</v>
      </c>
      <c r="B262" t="s">
        <v>2666</v>
      </c>
      <c r="C262" t="s">
        <v>2666</v>
      </c>
      <c r="D262" t="s">
        <v>153</v>
      </c>
      <c r="E262" t="s">
        <v>272</v>
      </c>
      <c r="F262" t="s">
        <v>2667</v>
      </c>
      <c r="G262" t="s">
        <v>881</v>
      </c>
      <c r="H262" t="s">
        <v>883</v>
      </c>
      <c r="I262" t="s">
        <v>881</v>
      </c>
      <c r="J262" t="s">
        <v>158</v>
      </c>
      <c r="K262" t="s">
        <v>159</v>
      </c>
      <c r="L262" t="s">
        <v>50</v>
      </c>
      <c r="M262" s="2">
        <v>123297.26</v>
      </c>
      <c r="N262" t="s">
        <v>2670</v>
      </c>
      <c r="O262" t="s">
        <v>52</v>
      </c>
      <c r="P262" t="str">
        <f>CONCATENATE("'",Tabla1[[#This Row],[Codigo]],"',")</f>
        <v>'00522',</v>
      </c>
    </row>
    <row r="263" spans="1:16" x14ac:dyDescent="0.25">
      <c r="A263" t="s">
        <v>2671</v>
      </c>
      <c r="B263" t="s">
        <v>2672</v>
      </c>
      <c r="C263" t="s">
        <v>2672</v>
      </c>
      <c r="D263" t="s">
        <v>553</v>
      </c>
      <c r="E263" t="s">
        <v>167</v>
      </c>
      <c r="F263" t="s">
        <v>2673</v>
      </c>
      <c r="G263" t="s">
        <v>38</v>
      </c>
      <c r="H263" t="s">
        <v>40</v>
      </c>
      <c r="I263" t="s">
        <v>41</v>
      </c>
      <c r="J263" t="s">
        <v>61</v>
      </c>
      <c r="K263" t="s">
        <v>62</v>
      </c>
      <c r="L263" t="s">
        <v>50</v>
      </c>
      <c r="M263" s="2">
        <v>125510.3</v>
      </c>
      <c r="N263" t="s">
        <v>2676</v>
      </c>
      <c r="P263" t="str">
        <f>CONCATENATE("'",Tabla1[[#This Row],[Codigo]],"',")</f>
        <v>'00523',</v>
      </c>
    </row>
    <row r="264" spans="1:16" x14ac:dyDescent="0.25">
      <c r="A264" s="15" t="s">
        <v>2677</v>
      </c>
      <c r="B264" s="15" t="s">
        <v>2678</v>
      </c>
      <c r="C264" s="15" t="s">
        <v>2678</v>
      </c>
      <c r="D264" s="15" t="s">
        <v>55</v>
      </c>
      <c r="E264" s="15" t="s">
        <v>56</v>
      </c>
      <c r="F264" s="15" t="s">
        <v>2679</v>
      </c>
      <c r="G264" s="15" t="s">
        <v>265</v>
      </c>
      <c r="H264" s="15" t="s">
        <v>267</v>
      </c>
      <c r="I264" s="15" t="s">
        <v>268</v>
      </c>
      <c r="J264" s="15" t="s">
        <v>2220</v>
      </c>
      <c r="K264" s="15" t="s">
        <v>2221</v>
      </c>
      <c r="L264" s="15" t="s">
        <v>50</v>
      </c>
      <c r="M264" s="16">
        <v>-65262.77</v>
      </c>
      <c r="N264" s="15" t="s">
        <v>2682</v>
      </c>
      <c r="O264" s="15" t="s">
        <v>115</v>
      </c>
      <c r="P264" t="str">
        <f>CONCATENATE("'",Tabla1[[#This Row],[Codigo]],"',")</f>
        <v>'00524',</v>
      </c>
    </row>
    <row r="265" spans="1:16" x14ac:dyDescent="0.25">
      <c r="A265" t="s">
        <v>2685</v>
      </c>
      <c r="B265" t="s">
        <v>2686</v>
      </c>
      <c r="C265" t="s">
        <v>2686</v>
      </c>
      <c r="D265" t="s">
        <v>2687</v>
      </c>
      <c r="E265" t="s">
        <v>190</v>
      </c>
      <c r="F265" t="s">
        <v>2688</v>
      </c>
      <c r="G265" t="s">
        <v>170</v>
      </c>
      <c r="H265" t="s">
        <v>172</v>
      </c>
      <c r="I265" t="s">
        <v>173</v>
      </c>
      <c r="J265" t="s">
        <v>158</v>
      </c>
      <c r="K265" t="s">
        <v>159</v>
      </c>
      <c r="L265" t="s">
        <v>50</v>
      </c>
      <c r="M265" s="2">
        <v>327255</v>
      </c>
      <c r="N265" t="s">
        <v>64</v>
      </c>
      <c r="P265" t="str">
        <f>CONCATENATE("'",Tabla1[[#This Row],[Codigo]],"',")</f>
        <v>'00526',</v>
      </c>
    </row>
    <row r="266" spans="1:16" x14ac:dyDescent="0.25">
      <c r="A266" t="s">
        <v>2693</v>
      </c>
      <c r="B266" t="s">
        <v>2694</v>
      </c>
      <c r="C266" t="s">
        <v>2694</v>
      </c>
      <c r="D266" t="s">
        <v>166</v>
      </c>
      <c r="E266" t="s">
        <v>167</v>
      </c>
      <c r="F266" t="s">
        <v>2695</v>
      </c>
      <c r="G266" t="s">
        <v>2696</v>
      </c>
      <c r="H266" t="s">
        <v>1849</v>
      </c>
      <c r="I266" t="s">
        <v>1847</v>
      </c>
      <c r="J266" t="s">
        <v>120</v>
      </c>
      <c r="K266" t="s">
        <v>121</v>
      </c>
      <c r="L266" t="s">
        <v>50</v>
      </c>
      <c r="M266" s="2">
        <v>157461.66</v>
      </c>
      <c r="N266" t="s">
        <v>2699</v>
      </c>
      <c r="P266" t="str">
        <f>CONCATENATE("'",Tabla1[[#This Row],[Codigo]],"',")</f>
        <v>'00528',</v>
      </c>
    </row>
    <row r="267" spans="1:16" x14ac:dyDescent="0.25">
      <c r="A267" t="s">
        <v>2700</v>
      </c>
      <c r="B267" t="s">
        <v>2701</v>
      </c>
      <c r="C267" t="s">
        <v>2702</v>
      </c>
      <c r="D267" t="s">
        <v>166</v>
      </c>
      <c r="E267" t="s">
        <v>167</v>
      </c>
      <c r="F267" t="s">
        <v>2703</v>
      </c>
      <c r="G267" t="s">
        <v>402</v>
      </c>
      <c r="H267" t="s">
        <v>403</v>
      </c>
      <c r="I267" t="s">
        <v>404</v>
      </c>
      <c r="J267" t="s">
        <v>205</v>
      </c>
      <c r="K267" t="s">
        <v>206</v>
      </c>
      <c r="L267" t="s">
        <v>50</v>
      </c>
      <c r="M267" s="2">
        <v>227399.8</v>
      </c>
      <c r="N267" t="s">
        <v>2706</v>
      </c>
      <c r="P267" t="str">
        <f>CONCATENATE("'",Tabla1[[#This Row],[Codigo]],"',")</f>
        <v>'00529',</v>
      </c>
    </row>
    <row r="268" spans="1:16" x14ac:dyDescent="0.25">
      <c r="A268" t="s">
        <v>2709</v>
      </c>
      <c r="B268" t="s">
        <v>2710</v>
      </c>
      <c r="C268" t="s">
        <v>2710</v>
      </c>
      <c r="D268" t="s">
        <v>297</v>
      </c>
      <c r="E268" t="s">
        <v>167</v>
      </c>
      <c r="F268" t="s">
        <v>2711</v>
      </c>
      <c r="G268" t="s">
        <v>2105</v>
      </c>
      <c r="H268" t="s">
        <v>1546</v>
      </c>
      <c r="I268" t="s">
        <v>1547</v>
      </c>
      <c r="J268" t="s">
        <v>103</v>
      </c>
      <c r="K268" t="s">
        <v>104</v>
      </c>
      <c r="L268" t="s">
        <v>50</v>
      </c>
      <c r="M268" s="2">
        <v>327255</v>
      </c>
      <c r="N268" t="s">
        <v>64</v>
      </c>
      <c r="P268" t="str">
        <f>CONCATENATE("'",Tabla1[[#This Row],[Codigo]],"',")</f>
        <v>'00531',</v>
      </c>
    </row>
    <row r="269" spans="1:16" x14ac:dyDescent="0.25">
      <c r="A269" t="s">
        <v>2716</v>
      </c>
      <c r="B269" t="s">
        <v>2717</v>
      </c>
      <c r="C269" t="s">
        <v>2717</v>
      </c>
      <c r="D269" t="s">
        <v>299</v>
      </c>
      <c r="E269" t="s">
        <v>167</v>
      </c>
      <c r="F269" t="s">
        <v>2718</v>
      </c>
      <c r="G269" t="s">
        <v>2218</v>
      </c>
      <c r="H269" t="s">
        <v>664</v>
      </c>
      <c r="I269" t="s">
        <v>665</v>
      </c>
      <c r="J269" t="s">
        <v>103</v>
      </c>
      <c r="K269" t="s">
        <v>104</v>
      </c>
      <c r="L269" t="s">
        <v>50</v>
      </c>
      <c r="M269" s="2">
        <v>92249.600000000006</v>
      </c>
      <c r="N269" t="s">
        <v>2721</v>
      </c>
      <c r="O269" t="s">
        <v>52</v>
      </c>
      <c r="P269" t="str">
        <f>CONCATENATE("'",Tabla1[[#This Row],[Codigo]],"',")</f>
        <v>'00533',</v>
      </c>
    </row>
    <row r="270" spans="1:16" x14ac:dyDescent="0.25">
      <c r="A270" t="s">
        <v>2724</v>
      </c>
      <c r="B270" t="s">
        <v>2725</v>
      </c>
      <c r="C270" t="s">
        <v>2726</v>
      </c>
      <c r="D270" t="s">
        <v>153</v>
      </c>
      <c r="E270" t="s">
        <v>272</v>
      </c>
      <c r="F270" t="s">
        <v>2727</v>
      </c>
      <c r="G270" t="s">
        <v>1607</v>
      </c>
      <c r="H270" t="s">
        <v>1221</v>
      </c>
      <c r="I270" t="s">
        <v>1222</v>
      </c>
      <c r="J270" t="s">
        <v>205</v>
      </c>
      <c r="K270" t="s">
        <v>206</v>
      </c>
      <c r="L270" t="s">
        <v>50</v>
      </c>
      <c r="M270" s="2">
        <v>261884.58</v>
      </c>
      <c r="N270" t="s">
        <v>2730</v>
      </c>
      <c r="O270" t="s">
        <v>52</v>
      </c>
      <c r="P270" t="str">
        <f>CONCATENATE("'",Tabla1[[#This Row],[Codigo]],"',")</f>
        <v>'00535',</v>
      </c>
    </row>
    <row r="271" spans="1:16" x14ac:dyDescent="0.25">
      <c r="A271" t="s">
        <v>2731</v>
      </c>
      <c r="B271" t="s">
        <v>2732</v>
      </c>
      <c r="C271" t="s">
        <v>2732</v>
      </c>
      <c r="D271" t="s">
        <v>984</v>
      </c>
      <c r="E271" t="s">
        <v>985</v>
      </c>
      <c r="F271" t="s">
        <v>2733</v>
      </c>
      <c r="G271" t="s">
        <v>443</v>
      </c>
      <c r="H271" t="s">
        <v>445</v>
      </c>
      <c r="I271" t="s">
        <v>446</v>
      </c>
      <c r="J271" t="s">
        <v>69</v>
      </c>
      <c r="K271" t="s">
        <v>70</v>
      </c>
      <c r="L271" t="s">
        <v>50</v>
      </c>
      <c r="M271" s="2">
        <v>670759.62</v>
      </c>
      <c r="N271" t="s">
        <v>2736</v>
      </c>
      <c r="O271" t="s">
        <v>115</v>
      </c>
      <c r="P271" t="str">
        <f>CONCATENATE("'",Tabla1[[#This Row],[Codigo]],"',")</f>
        <v>'00536',</v>
      </c>
    </row>
    <row r="272" spans="1:16" x14ac:dyDescent="0.25">
      <c r="A272" t="s">
        <v>2741</v>
      </c>
      <c r="B272" t="s">
        <v>2742</v>
      </c>
      <c r="C272" t="s">
        <v>2743</v>
      </c>
      <c r="D272" t="s">
        <v>125</v>
      </c>
      <c r="E272" t="s">
        <v>126</v>
      </c>
      <c r="F272" t="s">
        <v>2744</v>
      </c>
      <c r="G272" t="s">
        <v>265</v>
      </c>
      <c r="H272" t="s">
        <v>267</v>
      </c>
      <c r="I272" t="s">
        <v>268</v>
      </c>
      <c r="J272" t="s">
        <v>103</v>
      </c>
      <c r="K272" t="s">
        <v>104</v>
      </c>
      <c r="L272" t="s">
        <v>50</v>
      </c>
      <c r="M272" s="2">
        <v>2803353.35</v>
      </c>
      <c r="N272" t="s">
        <v>2747</v>
      </c>
      <c r="O272" t="s">
        <v>115</v>
      </c>
      <c r="P272" t="str">
        <f>CONCATENATE("'",Tabla1[[#This Row],[Codigo]],"',")</f>
        <v>'00539',</v>
      </c>
    </row>
    <row r="273" spans="1:16" x14ac:dyDescent="0.25">
      <c r="A273" t="s">
        <v>2750</v>
      </c>
      <c r="B273" t="s">
        <v>2751</v>
      </c>
      <c r="C273" t="s">
        <v>2752</v>
      </c>
      <c r="D273" t="s">
        <v>1734</v>
      </c>
      <c r="E273" t="s">
        <v>224</v>
      </c>
      <c r="F273" t="s">
        <v>2753</v>
      </c>
      <c r="G273" t="s">
        <v>65</v>
      </c>
      <c r="H273" t="s">
        <v>67</v>
      </c>
      <c r="I273" t="s">
        <v>68</v>
      </c>
      <c r="J273" t="s">
        <v>69</v>
      </c>
      <c r="K273" t="s">
        <v>70</v>
      </c>
      <c r="L273" t="s">
        <v>50</v>
      </c>
      <c r="M273" s="2">
        <v>410984</v>
      </c>
      <c r="N273" t="s">
        <v>64</v>
      </c>
      <c r="P273" t="str">
        <f>CONCATENATE("'",Tabla1[[#This Row],[Codigo]],"',")</f>
        <v>'00541',</v>
      </c>
    </row>
    <row r="274" spans="1:16" x14ac:dyDescent="0.25">
      <c r="A274" t="s">
        <v>2757</v>
      </c>
      <c r="B274" t="s">
        <v>2758</v>
      </c>
      <c r="C274" t="s">
        <v>2758</v>
      </c>
      <c r="D274" t="s">
        <v>321</v>
      </c>
      <c r="E274" t="s">
        <v>224</v>
      </c>
      <c r="F274" t="s">
        <v>2759</v>
      </c>
      <c r="G274" t="s">
        <v>1425</v>
      </c>
      <c r="H274" t="s">
        <v>1427</v>
      </c>
      <c r="I274" t="s">
        <v>1428</v>
      </c>
      <c r="J274" t="s">
        <v>82</v>
      </c>
      <c r="K274" t="s">
        <v>83</v>
      </c>
      <c r="L274" t="s">
        <v>50</v>
      </c>
      <c r="M274" s="2">
        <v>109085</v>
      </c>
      <c r="N274" t="s">
        <v>64</v>
      </c>
      <c r="P274" t="str">
        <f>CONCATENATE("'",Tabla1[[#This Row],[Codigo]],"',")</f>
        <v>'00542',</v>
      </c>
    </row>
    <row r="275" spans="1:16" x14ac:dyDescent="0.25">
      <c r="A275" t="s">
        <v>2772</v>
      </c>
      <c r="B275" t="s">
        <v>2773</v>
      </c>
      <c r="C275" t="s">
        <v>2773</v>
      </c>
      <c r="D275" t="s">
        <v>153</v>
      </c>
      <c r="E275" t="s">
        <v>272</v>
      </c>
      <c r="F275" t="s">
        <v>2774</v>
      </c>
      <c r="G275" t="s">
        <v>2218</v>
      </c>
      <c r="H275" t="s">
        <v>664</v>
      </c>
      <c r="I275" t="s">
        <v>665</v>
      </c>
      <c r="J275" t="s">
        <v>103</v>
      </c>
      <c r="K275" t="s">
        <v>104</v>
      </c>
      <c r="L275" t="s">
        <v>50</v>
      </c>
      <c r="M275" s="2">
        <v>152719</v>
      </c>
      <c r="N275" t="s">
        <v>64</v>
      </c>
      <c r="P275" t="str">
        <f>CONCATENATE("'",Tabla1[[#This Row],[Codigo]],"',")</f>
        <v>'00545',</v>
      </c>
    </row>
    <row r="276" spans="1:16" x14ac:dyDescent="0.25">
      <c r="A276" t="s">
        <v>2787</v>
      </c>
      <c r="B276" t="s">
        <v>2788</v>
      </c>
      <c r="C276" t="s">
        <v>2788</v>
      </c>
      <c r="D276" t="s">
        <v>888</v>
      </c>
      <c r="E276" t="s">
        <v>167</v>
      </c>
      <c r="F276" t="s">
        <v>2789</v>
      </c>
      <c r="G276" t="s">
        <v>443</v>
      </c>
      <c r="H276" t="s">
        <v>445</v>
      </c>
      <c r="I276" t="s">
        <v>446</v>
      </c>
      <c r="J276" t="s">
        <v>69</v>
      </c>
      <c r="K276" t="s">
        <v>70</v>
      </c>
      <c r="L276" t="s">
        <v>50</v>
      </c>
      <c r="M276" s="2">
        <v>3718.41</v>
      </c>
      <c r="N276" t="s">
        <v>2792</v>
      </c>
      <c r="O276" t="s">
        <v>52</v>
      </c>
      <c r="P276" t="str">
        <f>CONCATENATE("'",Tabla1[[#This Row],[Codigo]],"',")</f>
        <v>'00550',</v>
      </c>
    </row>
    <row r="277" spans="1:16" x14ac:dyDescent="0.25">
      <c r="A277" t="s">
        <v>2796</v>
      </c>
      <c r="B277" t="s">
        <v>2797</v>
      </c>
      <c r="C277" t="s">
        <v>2797</v>
      </c>
      <c r="D277" t="s">
        <v>125</v>
      </c>
      <c r="E277" t="s">
        <v>126</v>
      </c>
      <c r="F277" t="s">
        <v>2798</v>
      </c>
      <c r="G277" t="s">
        <v>300</v>
      </c>
      <c r="H277" t="s">
        <v>302</v>
      </c>
      <c r="I277" t="s">
        <v>303</v>
      </c>
      <c r="J277" t="s">
        <v>304</v>
      </c>
      <c r="K277" t="s">
        <v>72</v>
      </c>
      <c r="L277" t="s">
        <v>50</v>
      </c>
      <c r="M277" s="2">
        <v>290888.78999999998</v>
      </c>
      <c r="N277" t="s">
        <v>2801</v>
      </c>
      <c r="O277" t="s">
        <v>52</v>
      </c>
      <c r="P277" t="str">
        <f>CONCATENATE("'",Tabla1[[#This Row],[Codigo]],"',")</f>
        <v>'00552',</v>
      </c>
    </row>
    <row r="278" spans="1:16" x14ac:dyDescent="0.25">
      <c r="A278" t="s">
        <v>2802</v>
      </c>
      <c r="B278" t="s">
        <v>2803</v>
      </c>
      <c r="C278" t="s">
        <v>2803</v>
      </c>
      <c r="D278" t="s">
        <v>817</v>
      </c>
      <c r="E278" t="s">
        <v>224</v>
      </c>
      <c r="F278" t="s">
        <v>2804</v>
      </c>
      <c r="G278" t="s">
        <v>2805</v>
      </c>
      <c r="H278" t="s">
        <v>2806</v>
      </c>
      <c r="I278" t="s">
        <v>2805</v>
      </c>
      <c r="J278" t="s">
        <v>61</v>
      </c>
      <c r="K278" t="s">
        <v>62</v>
      </c>
      <c r="L278" t="s">
        <v>50</v>
      </c>
      <c r="M278" s="2">
        <v>188017.08</v>
      </c>
      <c r="N278" t="s">
        <v>2808</v>
      </c>
      <c r="P278" t="str">
        <f>CONCATENATE("'",Tabla1[[#This Row],[Codigo]],"',")</f>
        <v>'00553',</v>
      </c>
    </row>
    <row r="279" spans="1:16" x14ac:dyDescent="0.25">
      <c r="A279" t="s">
        <v>2809</v>
      </c>
      <c r="B279" t="s">
        <v>2810</v>
      </c>
      <c r="C279" t="s">
        <v>2810</v>
      </c>
      <c r="D279" t="s">
        <v>125</v>
      </c>
      <c r="E279" t="s">
        <v>126</v>
      </c>
      <c r="F279" t="s">
        <v>2811</v>
      </c>
      <c r="G279" t="s">
        <v>41</v>
      </c>
      <c r="H279" t="s">
        <v>40</v>
      </c>
      <c r="I279" t="s">
        <v>41</v>
      </c>
      <c r="J279" t="s">
        <v>61</v>
      </c>
      <c r="K279" t="s">
        <v>62</v>
      </c>
      <c r="L279" t="s">
        <v>50</v>
      </c>
      <c r="M279" s="2">
        <v>448961.84</v>
      </c>
      <c r="N279" t="s">
        <v>2814</v>
      </c>
      <c r="O279" t="s">
        <v>52</v>
      </c>
      <c r="P279" t="str">
        <f>CONCATENATE("'",Tabla1[[#This Row],[Codigo]],"',")</f>
        <v>'00554',</v>
      </c>
    </row>
    <row r="280" spans="1:16" x14ac:dyDescent="0.25">
      <c r="A280" t="s">
        <v>2822</v>
      </c>
      <c r="B280" t="s">
        <v>2823</v>
      </c>
      <c r="C280" t="s">
        <v>2823</v>
      </c>
      <c r="D280" t="s">
        <v>1939</v>
      </c>
      <c r="E280" t="s">
        <v>224</v>
      </c>
      <c r="F280" t="s">
        <v>2824</v>
      </c>
      <c r="G280" t="s">
        <v>2696</v>
      </c>
      <c r="H280" t="s">
        <v>1849</v>
      </c>
      <c r="I280" t="s">
        <v>1847</v>
      </c>
      <c r="J280" t="s">
        <v>120</v>
      </c>
      <c r="K280" t="s">
        <v>121</v>
      </c>
      <c r="L280" t="s">
        <v>50</v>
      </c>
      <c r="M280" s="2">
        <v>21504.37</v>
      </c>
      <c r="N280" t="s">
        <v>2827</v>
      </c>
      <c r="P280" t="str">
        <f>CONCATENATE("'",Tabla1[[#This Row],[Codigo]],"',")</f>
        <v>'00557',</v>
      </c>
    </row>
    <row r="281" spans="1:16" x14ac:dyDescent="0.25">
      <c r="A281" t="s">
        <v>2834</v>
      </c>
      <c r="B281" t="s">
        <v>2835</v>
      </c>
      <c r="C281" t="s">
        <v>2835</v>
      </c>
      <c r="D281" t="s">
        <v>35</v>
      </c>
      <c r="E281" t="s">
        <v>36</v>
      </c>
      <c r="F281" t="s">
        <v>2836</v>
      </c>
      <c r="G281" t="s">
        <v>2837</v>
      </c>
      <c r="H281" t="s">
        <v>966</v>
      </c>
      <c r="I281" t="s">
        <v>964</v>
      </c>
      <c r="J281" t="s">
        <v>304</v>
      </c>
      <c r="K281" t="s">
        <v>72</v>
      </c>
      <c r="L281" t="s">
        <v>50</v>
      </c>
      <c r="M281" s="2">
        <v>577696.68999999994</v>
      </c>
      <c r="N281" t="s">
        <v>2840</v>
      </c>
      <c r="O281" t="s">
        <v>115</v>
      </c>
      <c r="P281" t="str">
        <f>CONCATENATE("'",Tabla1[[#This Row],[Codigo]],"',")</f>
        <v>'00559',</v>
      </c>
    </row>
    <row r="282" spans="1:16" x14ac:dyDescent="0.25">
      <c r="A282" s="15" t="s">
        <v>2841</v>
      </c>
      <c r="B282" s="15" t="s">
        <v>2842</v>
      </c>
      <c r="C282" s="15" t="s">
        <v>2842</v>
      </c>
      <c r="D282" s="15" t="s">
        <v>55</v>
      </c>
      <c r="E282" s="15" t="s">
        <v>56</v>
      </c>
      <c r="F282" s="15" t="s">
        <v>2843</v>
      </c>
      <c r="G282" s="15" t="s">
        <v>2844</v>
      </c>
      <c r="H282" s="15" t="s">
        <v>2846</v>
      </c>
      <c r="I282" s="15" t="s">
        <v>2844</v>
      </c>
      <c r="J282" s="15" t="s">
        <v>256</v>
      </c>
      <c r="K282" s="15" t="s">
        <v>255</v>
      </c>
      <c r="L282" s="15" t="s">
        <v>50</v>
      </c>
      <c r="M282" s="16">
        <v>-31625.79</v>
      </c>
      <c r="N282" s="15" t="s">
        <v>2848</v>
      </c>
      <c r="O282" s="15" t="s">
        <v>115</v>
      </c>
      <c r="P282" t="str">
        <f>CONCATENATE("'",Tabla1[[#This Row],[Codigo]],"',")</f>
        <v>'00560',</v>
      </c>
    </row>
    <row r="283" spans="1:16" x14ac:dyDescent="0.25">
      <c r="A283" t="s">
        <v>2853</v>
      </c>
      <c r="B283" t="s">
        <v>2854</v>
      </c>
      <c r="C283" t="s">
        <v>2484</v>
      </c>
      <c r="D283" t="s">
        <v>297</v>
      </c>
      <c r="E283" t="s">
        <v>167</v>
      </c>
      <c r="F283" t="s">
        <v>2267</v>
      </c>
      <c r="G283" t="s">
        <v>1607</v>
      </c>
      <c r="H283" t="s">
        <v>1221</v>
      </c>
      <c r="I283" t="s">
        <v>1222</v>
      </c>
      <c r="J283" t="s">
        <v>205</v>
      </c>
      <c r="K283" t="s">
        <v>206</v>
      </c>
      <c r="L283" t="s">
        <v>50</v>
      </c>
      <c r="M283" s="2">
        <v>196931.48</v>
      </c>
      <c r="N283" t="s">
        <v>2857</v>
      </c>
      <c r="O283" t="s">
        <v>52</v>
      </c>
      <c r="P283" t="str">
        <f>CONCATENATE("'",Tabla1[[#This Row],[Codigo]],"',")</f>
        <v>'00563',</v>
      </c>
    </row>
    <row r="284" spans="1:16" x14ac:dyDescent="0.25">
      <c r="A284" t="s">
        <v>2868</v>
      </c>
      <c r="B284" t="s">
        <v>2869</v>
      </c>
      <c r="C284" t="s">
        <v>2870</v>
      </c>
      <c r="D284" t="s">
        <v>153</v>
      </c>
      <c r="E284" t="s">
        <v>272</v>
      </c>
      <c r="F284" t="s">
        <v>2871</v>
      </c>
      <c r="G284" t="s">
        <v>402</v>
      </c>
      <c r="H284" t="s">
        <v>403</v>
      </c>
      <c r="I284" t="s">
        <v>404</v>
      </c>
      <c r="J284" t="s">
        <v>205</v>
      </c>
      <c r="K284" t="s">
        <v>206</v>
      </c>
      <c r="L284" t="s">
        <v>50</v>
      </c>
      <c r="M284" s="2">
        <v>179694.69</v>
      </c>
      <c r="N284" t="s">
        <v>2874</v>
      </c>
      <c r="O284" t="s">
        <v>52</v>
      </c>
      <c r="P284" t="str">
        <f>CONCATENATE("'",Tabla1[[#This Row],[Codigo]],"',")</f>
        <v>'00567',</v>
      </c>
    </row>
    <row r="285" spans="1:16" x14ac:dyDescent="0.25">
      <c r="A285" t="s">
        <v>2875</v>
      </c>
      <c r="B285" t="s">
        <v>2876</v>
      </c>
      <c r="C285" t="s">
        <v>2877</v>
      </c>
      <c r="D285" t="s">
        <v>35</v>
      </c>
      <c r="E285" t="s">
        <v>36</v>
      </c>
      <c r="F285" t="s">
        <v>2867</v>
      </c>
      <c r="G285" t="s">
        <v>1581</v>
      </c>
      <c r="H285" t="s">
        <v>203</v>
      </c>
      <c r="I285" t="s">
        <v>204</v>
      </c>
      <c r="J285" t="s">
        <v>205</v>
      </c>
      <c r="K285" t="s">
        <v>206</v>
      </c>
      <c r="L285" t="s">
        <v>50</v>
      </c>
      <c r="M285" s="2">
        <v>362975.4</v>
      </c>
      <c r="N285" t="s">
        <v>2880</v>
      </c>
      <c r="O285" t="s">
        <v>52</v>
      </c>
      <c r="P285" t="str">
        <f>CONCATENATE("'",Tabla1[[#This Row],[Codigo]],"',")</f>
        <v>'00568',</v>
      </c>
    </row>
    <row r="286" spans="1:16" x14ac:dyDescent="0.25">
      <c r="A286" t="s">
        <v>2883</v>
      </c>
      <c r="B286" t="s">
        <v>2884</v>
      </c>
      <c r="C286" t="s">
        <v>2877</v>
      </c>
      <c r="D286" t="s">
        <v>1291</v>
      </c>
      <c r="E286" t="s">
        <v>134</v>
      </c>
      <c r="F286" t="s">
        <v>2867</v>
      </c>
      <c r="G286" t="s">
        <v>1581</v>
      </c>
      <c r="H286" t="s">
        <v>203</v>
      </c>
      <c r="I286" t="s">
        <v>204</v>
      </c>
      <c r="J286" t="s">
        <v>205</v>
      </c>
      <c r="K286" t="s">
        <v>206</v>
      </c>
      <c r="L286" t="s">
        <v>50</v>
      </c>
      <c r="M286" s="2">
        <v>436340</v>
      </c>
      <c r="N286" t="s">
        <v>64</v>
      </c>
      <c r="P286" t="str">
        <f>CONCATENATE("'",Tabla1[[#This Row],[Codigo]],"',")</f>
        <v>'00570',</v>
      </c>
    </row>
    <row r="287" spans="1:16" x14ac:dyDescent="0.25">
      <c r="A287" t="s">
        <v>2889</v>
      </c>
      <c r="B287" t="s">
        <v>2890</v>
      </c>
      <c r="C287" t="s">
        <v>2877</v>
      </c>
      <c r="D287" t="s">
        <v>153</v>
      </c>
      <c r="E287" t="s">
        <v>272</v>
      </c>
      <c r="F287" t="s">
        <v>2867</v>
      </c>
      <c r="G287" t="s">
        <v>1581</v>
      </c>
      <c r="H287" t="s">
        <v>203</v>
      </c>
      <c r="I287" t="s">
        <v>204</v>
      </c>
      <c r="J287" t="s">
        <v>205</v>
      </c>
      <c r="K287" t="s">
        <v>206</v>
      </c>
      <c r="L287" t="s">
        <v>50</v>
      </c>
      <c r="M287" s="2">
        <v>178844.24</v>
      </c>
      <c r="N287" t="s">
        <v>2893</v>
      </c>
      <c r="O287" t="s">
        <v>52</v>
      </c>
      <c r="P287" t="str">
        <f>CONCATENATE("'",Tabla1[[#This Row],[Codigo]],"',")</f>
        <v>'00572',</v>
      </c>
    </row>
    <row r="288" spans="1:16" x14ac:dyDescent="0.25">
      <c r="A288" t="s">
        <v>2894</v>
      </c>
      <c r="B288" t="s">
        <v>2895</v>
      </c>
      <c r="C288" t="s">
        <v>2896</v>
      </c>
      <c r="D288" t="s">
        <v>35</v>
      </c>
      <c r="E288" t="s">
        <v>36</v>
      </c>
      <c r="F288" t="s">
        <v>2897</v>
      </c>
      <c r="G288" t="s">
        <v>1312</v>
      </c>
      <c r="H288" t="s">
        <v>883</v>
      </c>
      <c r="I288" t="s">
        <v>881</v>
      </c>
      <c r="J288" t="s">
        <v>158</v>
      </c>
      <c r="K288" t="s">
        <v>159</v>
      </c>
      <c r="L288" t="s">
        <v>50</v>
      </c>
      <c r="M288" s="2">
        <v>89631.65</v>
      </c>
      <c r="N288" t="s">
        <v>2899</v>
      </c>
      <c r="O288" t="s">
        <v>52</v>
      </c>
      <c r="P288" t="str">
        <f>CONCATENATE("'",Tabla1[[#This Row],[Codigo]],"',")</f>
        <v>'00573',</v>
      </c>
    </row>
    <row r="289" spans="1:16" x14ac:dyDescent="0.25">
      <c r="A289" t="s">
        <v>2900</v>
      </c>
      <c r="B289" t="s">
        <v>2901</v>
      </c>
      <c r="C289" t="s">
        <v>2902</v>
      </c>
      <c r="D289" t="s">
        <v>153</v>
      </c>
      <c r="E289" t="s">
        <v>272</v>
      </c>
      <c r="F289" t="s">
        <v>1700</v>
      </c>
      <c r="G289" t="s">
        <v>1607</v>
      </c>
      <c r="H289" t="s">
        <v>1221</v>
      </c>
      <c r="I289" t="s">
        <v>1222</v>
      </c>
      <c r="J289" t="s">
        <v>205</v>
      </c>
      <c r="K289" t="s">
        <v>206</v>
      </c>
      <c r="L289" t="s">
        <v>50</v>
      </c>
      <c r="M289" s="2">
        <v>241271.6</v>
      </c>
      <c r="N289" t="s">
        <v>2904</v>
      </c>
      <c r="O289" t="s">
        <v>52</v>
      </c>
      <c r="P289" t="str">
        <f>CONCATENATE("'",Tabla1[[#This Row],[Codigo]],"',")</f>
        <v>'00574',</v>
      </c>
    </row>
    <row r="290" spans="1:16" x14ac:dyDescent="0.25">
      <c r="A290" t="s">
        <v>2905</v>
      </c>
      <c r="B290" t="s">
        <v>2906</v>
      </c>
      <c r="C290" t="s">
        <v>2906</v>
      </c>
      <c r="D290" t="s">
        <v>166</v>
      </c>
      <c r="E290" t="s">
        <v>167</v>
      </c>
      <c r="F290" t="s">
        <v>1684</v>
      </c>
      <c r="G290" t="s">
        <v>2382</v>
      </c>
      <c r="H290" t="s">
        <v>2384</v>
      </c>
      <c r="I290" t="s">
        <v>2385</v>
      </c>
      <c r="J290" t="s">
        <v>103</v>
      </c>
      <c r="K290" t="s">
        <v>104</v>
      </c>
      <c r="L290" t="s">
        <v>50</v>
      </c>
      <c r="M290" s="2">
        <v>189624.91</v>
      </c>
      <c r="N290" t="s">
        <v>2909</v>
      </c>
      <c r="O290" t="s">
        <v>52</v>
      </c>
      <c r="P290" t="str">
        <f>CONCATENATE("'",Tabla1[[#This Row],[Codigo]],"',")</f>
        <v>'00575',</v>
      </c>
    </row>
    <row r="291" spans="1:16" x14ac:dyDescent="0.25">
      <c r="A291" t="s">
        <v>2912</v>
      </c>
      <c r="B291" t="s">
        <v>2913</v>
      </c>
      <c r="C291" t="s">
        <v>2913</v>
      </c>
      <c r="D291" t="s">
        <v>498</v>
      </c>
      <c r="E291" t="s">
        <v>190</v>
      </c>
      <c r="F291" t="s">
        <v>2914</v>
      </c>
      <c r="G291" t="s">
        <v>1607</v>
      </c>
      <c r="H291" t="s">
        <v>1221</v>
      </c>
      <c r="I291" t="s">
        <v>1222</v>
      </c>
      <c r="J291" t="s">
        <v>205</v>
      </c>
      <c r="K291" t="s">
        <v>206</v>
      </c>
      <c r="L291" t="s">
        <v>50</v>
      </c>
      <c r="M291" s="2">
        <v>460.96</v>
      </c>
      <c r="N291" t="s">
        <v>2917</v>
      </c>
      <c r="O291" t="s">
        <v>115</v>
      </c>
      <c r="P291" t="str">
        <f>CONCATENATE("'",Tabla1[[#This Row],[Codigo]],"',")</f>
        <v>'00577',</v>
      </c>
    </row>
    <row r="292" spans="1:16" x14ac:dyDescent="0.25">
      <c r="A292" t="s">
        <v>2929</v>
      </c>
      <c r="B292" t="s">
        <v>2930</v>
      </c>
      <c r="C292" t="s">
        <v>2861</v>
      </c>
      <c r="D292" t="s">
        <v>153</v>
      </c>
      <c r="E292" t="s">
        <v>272</v>
      </c>
      <c r="F292" t="s">
        <v>2862</v>
      </c>
      <c r="G292" t="s">
        <v>38</v>
      </c>
      <c r="H292" t="s">
        <v>40</v>
      </c>
      <c r="I292" t="s">
        <v>41</v>
      </c>
      <c r="J292" t="s">
        <v>61</v>
      </c>
      <c r="K292" t="s">
        <v>62</v>
      </c>
      <c r="L292" t="s">
        <v>50</v>
      </c>
      <c r="M292" s="2">
        <v>353846.29</v>
      </c>
      <c r="N292" t="s">
        <v>2933</v>
      </c>
      <c r="O292" t="s">
        <v>52</v>
      </c>
      <c r="P292" t="str">
        <f>CONCATENATE("'",Tabla1[[#This Row],[Codigo]],"',")</f>
        <v>'00581',</v>
      </c>
    </row>
    <row r="293" spans="1:16" x14ac:dyDescent="0.25">
      <c r="A293" s="15" t="s">
        <v>2934</v>
      </c>
      <c r="B293" s="15" t="s">
        <v>2935</v>
      </c>
      <c r="C293" s="15" t="s">
        <v>2935</v>
      </c>
      <c r="D293" s="15" t="s">
        <v>55</v>
      </c>
      <c r="E293" s="15" t="s">
        <v>56</v>
      </c>
      <c r="F293" s="15" t="s">
        <v>2936</v>
      </c>
      <c r="G293" s="15" t="s">
        <v>2647</v>
      </c>
      <c r="H293" s="15" t="s">
        <v>1362</v>
      </c>
      <c r="I293" s="15" t="s">
        <v>1360</v>
      </c>
      <c r="J293" s="15" t="s">
        <v>669</v>
      </c>
      <c r="K293" s="15" t="s">
        <v>670</v>
      </c>
      <c r="L293" s="15" t="s">
        <v>50</v>
      </c>
      <c r="M293" s="16">
        <v>-3195.36</v>
      </c>
      <c r="N293" s="15" t="s">
        <v>2939</v>
      </c>
      <c r="O293" s="15" t="s">
        <v>115</v>
      </c>
      <c r="P293" t="str">
        <f>CONCATENATE("'",Tabla1[[#This Row],[Codigo]],"',")</f>
        <v>'00582',</v>
      </c>
    </row>
    <row r="294" spans="1:16" x14ac:dyDescent="0.25">
      <c r="A294" s="15" t="s">
        <v>2942</v>
      </c>
      <c r="B294" s="15" t="s">
        <v>2943</v>
      </c>
      <c r="C294" s="15" t="s">
        <v>2943</v>
      </c>
      <c r="D294" s="15" t="s">
        <v>55</v>
      </c>
      <c r="E294" s="15" t="s">
        <v>56</v>
      </c>
      <c r="F294" s="15" t="s">
        <v>2944</v>
      </c>
      <c r="G294" s="15" t="s">
        <v>2647</v>
      </c>
      <c r="H294" s="15" t="s">
        <v>1362</v>
      </c>
      <c r="I294" s="15" t="s">
        <v>1360</v>
      </c>
      <c r="J294" s="15" t="s">
        <v>669</v>
      </c>
      <c r="K294" s="15" t="s">
        <v>670</v>
      </c>
      <c r="L294" s="15" t="s">
        <v>50</v>
      </c>
      <c r="M294" s="16">
        <v>599.77</v>
      </c>
      <c r="N294" s="15" t="s">
        <v>2947</v>
      </c>
      <c r="O294" s="15" t="s">
        <v>115</v>
      </c>
      <c r="P294" t="str">
        <f>CONCATENATE("'",Tabla1[[#This Row],[Codigo]],"',")</f>
        <v>'00584',</v>
      </c>
    </row>
    <row r="295" spans="1:16" x14ac:dyDescent="0.25">
      <c r="A295" t="s">
        <v>2948</v>
      </c>
      <c r="B295" t="s">
        <v>2949</v>
      </c>
      <c r="C295" t="s">
        <v>2949</v>
      </c>
      <c r="D295" t="s">
        <v>125</v>
      </c>
      <c r="E295" t="s">
        <v>126</v>
      </c>
      <c r="F295" t="s">
        <v>2950</v>
      </c>
      <c r="G295" t="s">
        <v>2951</v>
      </c>
      <c r="H295" t="s">
        <v>1725</v>
      </c>
      <c r="I295" t="s">
        <v>1723</v>
      </c>
      <c r="J295" t="s">
        <v>120</v>
      </c>
      <c r="K295" t="s">
        <v>121</v>
      </c>
      <c r="L295" t="s">
        <v>50</v>
      </c>
      <c r="M295" s="2">
        <v>751397.1</v>
      </c>
      <c r="N295" t="s">
        <v>2954</v>
      </c>
      <c r="O295" t="s">
        <v>52</v>
      </c>
      <c r="P295" t="str">
        <f>CONCATENATE("'",Tabla1[[#This Row],[Codigo]],"',")</f>
        <v>'00585',</v>
      </c>
    </row>
    <row r="296" spans="1:16" x14ac:dyDescent="0.25">
      <c r="A296" s="15" t="s">
        <v>2960</v>
      </c>
      <c r="B296" s="15" t="s">
        <v>2961</v>
      </c>
      <c r="C296" s="15" t="s">
        <v>2961</v>
      </c>
      <c r="D296" s="15" t="s">
        <v>55</v>
      </c>
      <c r="E296" s="15" t="s">
        <v>56</v>
      </c>
      <c r="F296" s="15" t="s">
        <v>2962</v>
      </c>
      <c r="G296" s="15" t="s">
        <v>2647</v>
      </c>
      <c r="H296" s="15" t="s">
        <v>1362</v>
      </c>
      <c r="I296" s="15" t="s">
        <v>1360</v>
      </c>
      <c r="J296" s="15" t="s">
        <v>669</v>
      </c>
      <c r="K296" s="15" t="s">
        <v>670</v>
      </c>
      <c r="L296" s="15" t="s">
        <v>50</v>
      </c>
      <c r="M296" s="16">
        <v>-19255.66</v>
      </c>
      <c r="N296" s="15" t="s">
        <v>2965</v>
      </c>
      <c r="O296" s="15" t="s">
        <v>115</v>
      </c>
      <c r="P296" t="str">
        <f>CONCATENATE("'",Tabla1[[#This Row],[Codigo]],"',")</f>
        <v>'00587',</v>
      </c>
    </row>
    <row r="297" spans="1:16" x14ac:dyDescent="0.25">
      <c r="A297" t="s">
        <v>2966</v>
      </c>
      <c r="B297" t="s">
        <v>2967</v>
      </c>
      <c r="C297" t="s">
        <v>2967</v>
      </c>
      <c r="D297" t="s">
        <v>2389</v>
      </c>
      <c r="E297" t="s">
        <v>134</v>
      </c>
      <c r="F297" t="s">
        <v>2968</v>
      </c>
      <c r="G297" t="s">
        <v>2969</v>
      </c>
      <c r="H297" t="s">
        <v>2846</v>
      </c>
      <c r="I297" t="s">
        <v>2844</v>
      </c>
      <c r="J297" t="s">
        <v>2320</v>
      </c>
      <c r="K297" t="s">
        <v>2321</v>
      </c>
      <c r="L297" t="s">
        <v>50</v>
      </c>
      <c r="M297" s="2">
        <v>218170</v>
      </c>
      <c r="N297" t="s">
        <v>64</v>
      </c>
      <c r="P297" t="str">
        <f>CONCATENATE("'",Tabla1[[#This Row],[Codigo]],"',")</f>
        <v>'00588',</v>
      </c>
    </row>
    <row r="298" spans="1:16" x14ac:dyDescent="0.25">
      <c r="A298" t="s">
        <v>2973</v>
      </c>
      <c r="B298" t="s">
        <v>2974</v>
      </c>
      <c r="C298" t="s">
        <v>2974</v>
      </c>
      <c r="D298" t="s">
        <v>178</v>
      </c>
      <c r="E298" t="s">
        <v>179</v>
      </c>
      <c r="F298" t="s">
        <v>2975</v>
      </c>
      <c r="G298" t="s">
        <v>1312</v>
      </c>
      <c r="H298" t="s">
        <v>883</v>
      </c>
      <c r="I298" t="s">
        <v>881</v>
      </c>
      <c r="J298" t="s">
        <v>158</v>
      </c>
      <c r="K298" t="s">
        <v>159</v>
      </c>
      <c r="L298" t="s">
        <v>50</v>
      </c>
      <c r="M298" s="2">
        <v>2117524.41</v>
      </c>
      <c r="N298" t="s">
        <v>2977</v>
      </c>
      <c r="P298" t="str">
        <f>CONCATENATE("'",Tabla1[[#This Row],[Codigo]],"',")</f>
        <v>'00590',</v>
      </c>
    </row>
    <row r="299" spans="1:16" x14ac:dyDescent="0.25">
      <c r="A299" t="s">
        <v>2978</v>
      </c>
      <c r="B299" t="s">
        <v>2979</v>
      </c>
      <c r="C299" t="s">
        <v>2980</v>
      </c>
      <c r="D299" t="s">
        <v>189</v>
      </c>
      <c r="E299" t="s">
        <v>190</v>
      </c>
      <c r="F299" t="s">
        <v>2860</v>
      </c>
      <c r="G299" t="s">
        <v>2981</v>
      </c>
      <c r="H299" t="s">
        <v>302</v>
      </c>
      <c r="I299" t="s">
        <v>303</v>
      </c>
      <c r="J299" t="s">
        <v>2320</v>
      </c>
      <c r="K299" t="s">
        <v>2321</v>
      </c>
      <c r="L299" t="s">
        <v>50</v>
      </c>
      <c r="M299" s="2">
        <v>585453.35</v>
      </c>
      <c r="N299" t="s">
        <v>2984</v>
      </c>
      <c r="O299" t="s">
        <v>115</v>
      </c>
      <c r="P299" t="str">
        <f>CONCATENATE("'",Tabla1[[#This Row],[Codigo]],"',")</f>
        <v>'00591',</v>
      </c>
    </row>
    <row r="300" spans="1:16" x14ac:dyDescent="0.25">
      <c r="A300" t="s">
        <v>2985</v>
      </c>
      <c r="B300" t="s">
        <v>2986</v>
      </c>
      <c r="C300" t="s">
        <v>2986</v>
      </c>
      <c r="D300" t="s">
        <v>153</v>
      </c>
      <c r="E300" t="s">
        <v>272</v>
      </c>
      <c r="F300" t="s">
        <v>2987</v>
      </c>
      <c r="G300" t="s">
        <v>1312</v>
      </c>
      <c r="H300" t="s">
        <v>883</v>
      </c>
      <c r="I300" t="s">
        <v>881</v>
      </c>
      <c r="J300" t="s">
        <v>158</v>
      </c>
      <c r="K300" t="s">
        <v>159</v>
      </c>
      <c r="L300" t="s">
        <v>50</v>
      </c>
      <c r="M300" s="2">
        <v>109083.98</v>
      </c>
      <c r="N300" t="s">
        <v>2989</v>
      </c>
      <c r="P300" t="str">
        <f>CONCATENATE("'",Tabla1[[#This Row],[Codigo]],"',")</f>
        <v>'00592',</v>
      </c>
    </row>
    <row r="301" spans="1:16" x14ac:dyDescent="0.25">
      <c r="A301" t="s">
        <v>2990</v>
      </c>
      <c r="B301" t="s">
        <v>2991</v>
      </c>
      <c r="C301" t="s">
        <v>2991</v>
      </c>
      <c r="D301" t="s">
        <v>153</v>
      </c>
      <c r="E301" t="s">
        <v>272</v>
      </c>
      <c r="F301" t="s">
        <v>2992</v>
      </c>
      <c r="G301" t="s">
        <v>443</v>
      </c>
      <c r="H301" t="s">
        <v>445</v>
      </c>
      <c r="I301" t="s">
        <v>446</v>
      </c>
      <c r="J301" t="s">
        <v>69</v>
      </c>
      <c r="K301" t="s">
        <v>70</v>
      </c>
      <c r="L301" t="s">
        <v>50</v>
      </c>
      <c r="M301" s="2">
        <v>1196557.95</v>
      </c>
      <c r="N301" t="s">
        <v>2995</v>
      </c>
      <c r="O301" t="s">
        <v>52</v>
      </c>
      <c r="P301" t="str">
        <f>CONCATENATE("'",Tabla1[[#This Row],[Codigo]],"',")</f>
        <v>'00593',</v>
      </c>
    </row>
    <row r="302" spans="1:16" x14ac:dyDescent="0.25">
      <c r="A302" t="s">
        <v>2996</v>
      </c>
      <c r="B302" t="s">
        <v>2997</v>
      </c>
      <c r="C302" t="s">
        <v>2997</v>
      </c>
      <c r="D302" t="s">
        <v>649</v>
      </c>
      <c r="E302" t="s">
        <v>871</v>
      </c>
      <c r="F302" t="s">
        <v>2998</v>
      </c>
      <c r="G302" t="s">
        <v>300</v>
      </c>
      <c r="H302" t="s">
        <v>302</v>
      </c>
      <c r="I302" t="s">
        <v>303</v>
      </c>
      <c r="J302" t="s">
        <v>304</v>
      </c>
      <c r="K302" t="s">
        <v>72</v>
      </c>
      <c r="L302" t="s">
        <v>50</v>
      </c>
      <c r="M302" s="2">
        <v>327255</v>
      </c>
      <c r="N302" t="s">
        <v>64</v>
      </c>
      <c r="P302" t="str">
        <f>CONCATENATE("'",Tabla1[[#This Row],[Codigo]],"',")</f>
        <v>'00594',</v>
      </c>
    </row>
    <row r="303" spans="1:16" x14ac:dyDescent="0.25">
      <c r="A303" t="s">
        <v>3005</v>
      </c>
      <c r="B303" t="s">
        <v>3006</v>
      </c>
      <c r="C303" t="s">
        <v>3006</v>
      </c>
      <c r="D303" t="s">
        <v>35</v>
      </c>
      <c r="E303" t="s">
        <v>36</v>
      </c>
      <c r="F303" t="s">
        <v>3007</v>
      </c>
      <c r="G303" t="s">
        <v>366</v>
      </c>
      <c r="H303" t="s">
        <v>348</v>
      </c>
      <c r="I303" t="s">
        <v>349</v>
      </c>
      <c r="J303" t="s">
        <v>316</v>
      </c>
      <c r="K303" t="s">
        <v>317</v>
      </c>
      <c r="L303" t="s">
        <v>50</v>
      </c>
      <c r="M303" s="2">
        <v>126840.79</v>
      </c>
      <c r="N303" t="s">
        <v>3010</v>
      </c>
      <c r="O303" t="s">
        <v>52</v>
      </c>
      <c r="P303" t="str">
        <f>CONCATENATE("'",Tabla1[[#This Row],[Codigo]],"',")</f>
        <v>'00597',</v>
      </c>
    </row>
    <row r="304" spans="1:16" x14ac:dyDescent="0.25">
      <c r="A304" t="s">
        <v>3011</v>
      </c>
      <c r="B304" t="s">
        <v>3012</v>
      </c>
      <c r="C304" t="s">
        <v>2980</v>
      </c>
      <c r="D304" t="s">
        <v>35</v>
      </c>
      <c r="E304" t="s">
        <v>36</v>
      </c>
      <c r="F304" t="s">
        <v>2860</v>
      </c>
      <c r="G304" t="s">
        <v>1581</v>
      </c>
      <c r="H304" t="s">
        <v>203</v>
      </c>
      <c r="I304" t="s">
        <v>204</v>
      </c>
      <c r="J304" t="s">
        <v>205</v>
      </c>
      <c r="K304" t="s">
        <v>206</v>
      </c>
      <c r="L304" t="s">
        <v>50</v>
      </c>
      <c r="M304" s="2">
        <v>157558.79</v>
      </c>
      <c r="N304" t="s">
        <v>3015</v>
      </c>
      <c r="O304" t="s">
        <v>52</v>
      </c>
      <c r="P304" t="str">
        <f>CONCATENATE("'",Tabla1[[#This Row],[Codigo]],"',")</f>
        <v>'00598',</v>
      </c>
    </row>
    <row r="305" spans="1:16" x14ac:dyDescent="0.25">
      <c r="A305" t="s">
        <v>3016</v>
      </c>
      <c r="B305" t="s">
        <v>3017</v>
      </c>
      <c r="C305" t="s">
        <v>3017</v>
      </c>
      <c r="D305" t="s">
        <v>331</v>
      </c>
      <c r="E305" t="s">
        <v>224</v>
      </c>
      <c r="F305" t="s">
        <v>3018</v>
      </c>
      <c r="G305" t="s">
        <v>252</v>
      </c>
      <c r="H305" t="s">
        <v>254</v>
      </c>
      <c r="I305" t="s">
        <v>255</v>
      </c>
      <c r="J305" t="s">
        <v>256</v>
      </c>
      <c r="K305" t="s">
        <v>255</v>
      </c>
      <c r="L305" t="s">
        <v>50</v>
      </c>
      <c r="M305" s="2">
        <v>65449.58</v>
      </c>
      <c r="N305" t="s">
        <v>3021</v>
      </c>
      <c r="O305" t="s">
        <v>115</v>
      </c>
      <c r="P305" t="str">
        <f>CONCATENATE("'",Tabla1[[#This Row],[Codigo]],"',")</f>
        <v>'00599',</v>
      </c>
    </row>
    <row r="306" spans="1:16" x14ac:dyDescent="0.25">
      <c r="A306" t="s">
        <v>3033</v>
      </c>
      <c r="B306" t="s">
        <v>3034</v>
      </c>
      <c r="C306" t="s">
        <v>3034</v>
      </c>
      <c r="D306" t="s">
        <v>153</v>
      </c>
      <c r="E306" t="s">
        <v>272</v>
      </c>
      <c r="F306" t="s">
        <v>3035</v>
      </c>
      <c r="G306" t="s">
        <v>300</v>
      </c>
      <c r="H306" t="s">
        <v>302</v>
      </c>
      <c r="I306" t="s">
        <v>303</v>
      </c>
      <c r="J306" t="s">
        <v>304</v>
      </c>
      <c r="K306" t="s">
        <v>72</v>
      </c>
      <c r="L306" t="s">
        <v>50</v>
      </c>
      <c r="M306" s="2">
        <v>20784.240000000002</v>
      </c>
      <c r="N306" t="s">
        <v>3038</v>
      </c>
      <c r="O306" t="s">
        <v>52</v>
      </c>
      <c r="P306" t="str">
        <f>CONCATENATE("'",Tabla1[[#This Row],[Codigo]],"',")</f>
        <v>'00604',</v>
      </c>
    </row>
    <row r="307" spans="1:16" x14ac:dyDescent="0.25">
      <c r="A307" t="s">
        <v>3041</v>
      </c>
      <c r="B307" t="s">
        <v>3042</v>
      </c>
      <c r="C307" t="s">
        <v>3043</v>
      </c>
      <c r="D307" t="s">
        <v>1289</v>
      </c>
      <c r="E307" t="s">
        <v>224</v>
      </c>
      <c r="F307" t="s">
        <v>3044</v>
      </c>
      <c r="G307" t="s">
        <v>324</v>
      </c>
      <c r="H307" t="s">
        <v>326</v>
      </c>
      <c r="I307" t="s">
        <v>327</v>
      </c>
      <c r="J307" t="s">
        <v>120</v>
      </c>
      <c r="K307" t="s">
        <v>121</v>
      </c>
      <c r="L307" t="s">
        <v>50</v>
      </c>
      <c r="M307" s="2">
        <v>303417.68</v>
      </c>
      <c r="N307" t="s">
        <v>3047</v>
      </c>
      <c r="O307" t="s">
        <v>115</v>
      </c>
      <c r="P307" t="str">
        <f>CONCATENATE("'",Tabla1[[#This Row],[Codigo]],"',")</f>
        <v>'00606',</v>
      </c>
    </row>
    <row r="308" spans="1:16" x14ac:dyDescent="0.25">
      <c r="A308" t="s">
        <v>3048</v>
      </c>
      <c r="B308" t="s">
        <v>3049</v>
      </c>
      <c r="C308" t="s">
        <v>3049</v>
      </c>
      <c r="D308" t="s">
        <v>166</v>
      </c>
      <c r="E308" t="s">
        <v>167</v>
      </c>
      <c r="F308" t="s">
        <v>3050</v>
      </c>
      <c r="G308" t="s">
        <v>1312</v>
      </c>
      <c r="H308" t="s">
        <v>883</v>
      </c>
      <c r="I308" t="s">
        <v>881</v>
      </c>
      <c r="J308" t="s">
        <v>158</v>
      </c>
      <c r="K308" t="s">
        <v>159</v>
      </c>
      <c r="L308" t="s">
        <v>50</v>
      </c>
      <c r="M308" s="2">
        <v>159736.38</v>
      </c>
      <c r="N308" t="s">
        <v>3053</v>
      </c>
      <c r="P308" t="str">
        <f>CONCATENATE("'",Tabla1[[#This Row],[Codigo]],"',")</f>
        <v>'00607',</v>
      </c>
    </row>
    <row r="309" spans="1:16" x14ac:dyDescent="0.25">
      <c r="A309" t="s">
        <v>3054</v>
      </c>
      <c r="B309" t="s">
        <v>3055</v>
      </c>
      <c r="C309" t="s">
        <v>3055</v>
      </c>
      <c r="D309" t="s">
        <v>569</v>
      </c>
      <c r="E309" t="s">
        <v>570</v>
      </c>
      <c r="F309" t="s">
        <v>3056</v>
      </c>
      <c r="G309" t="s">
        <v>1095</v>
      </c>
      <c r="H309" t="s">
        <v>1038</v>
      </c>
      <c r="I309" t="s">
        <v>1039</v>
      </c>
      <c r="J309" t="s">
        <v>304</v>
      </c>
      <c r="K309" t="s">
        <v>72</v>
      </c>
      <c r="L309" t="s">
        <v>50</v>
      </c>
      <c r="M309" s="2">
        <v>760451.96</v>
      </c>
      <c r="N309" t="s">
        <v>3060</v>
      </c>
      <c r="O309" t="s">
        <v>115</v>
      </c>
      <c r="P309" t="str">
        <f>CONCATENATE("'",Tabla1[[#This Row],[Codigo]],"',")</f>
        <v>'00608',</v>
      </c>
    </row>
    <row r="310" spans="1:16" x14ac:dyDescent="0.25">
      <c r="A310" t="s">
        <v>3061</v>
      </c>
      <c r="B310" t="s">
        <v>3062</v>
      </c>
      <c r="C310" t="s">
        <v>3062</v>
      </c>
      <c r="D310" t="s">
        <v>125</v>
      </c>
      <c r="E310" t="s">
        <v>126</v>
      </c>
      <c r="F310" t="s">
        <v>3063</v>
      </c>
      <c r="G310" t="s">
        <v>2105</v>
      </c>
      <c r="H310" t="s">
        <v>1546</v>
      </c>
      <c r="I310" t="s">
        <v>1547</v>
      </c>
      <c r="J310" t="s">
        <v>103</v>
      </c>
      <c r="K310" t="s">
        <v>104</v>
      </c>
      <c r="L310" t="s">
        <v>50</v>
      </c>
      <c r="M310" s="2">
        <v>1019698.4</v>
      </c>
      <c r="N310" t="s">
        <v>3066</v>
      </c>
      <c r="O310" t="s">
        <v>52</v>
      </c>
      <c r="P310" t="str">
        <f>CONCATENATE("'",Tabla1[[#This Row],[Codigo]],"',")</f>
        <v>'00609',</v>
      </c>
    </row>
    <row r="311" spans="1:16" x14ac:dyDescent="0.25">
      <c r="A311" t="s">
        <v>3067</v>
      </c>
      <c r="B311" t="s">
        <v>3068</v>
      </c>
      <c r="C311" t="s">
        <v>3069</v>
      </c>
      <c r="D311" t="s">
        <v>153</v>
      </c>
      <c r="E311" t="s">
        <v>272</v>
      </c>
      <c r="F311" t="s">
        <v>3070</v>
      </c>
      <c r="G311" t="s">
        <v>3071</v>
      </c>
      <c r="H311" t="s">
        <v>3073</v>
      </c>
      <c r="I311" t="s">
        <v>3074</v>
      </c>
      <c r="J311" t="s">
        <v>103</v>
      </c>
      <c r="K311" t="s">
        <v>104</v>
      </c>
      <c r="L311" t="s">
        <v>50</v>
      </c>
      <c r="M311" s="2">
        <v>1020813.88</v>
      </c>
      <c r="N311" t="s">
        <v>3076</v>
      </c>
      <c r="O311" t="s">
        <v>52</v>
      </c>
      <c r="P311" t="str">
        <f>CONCATENATE("'",Tabla1[[#This Row],[Codigo]],"',")</f>
        <v>'00610',</v>
      </c>
    </row>
    <row r="312" spans="1:16" x14ac:dyDescent="0.25">
      <c r="A312" t="s">
        <v>3077</v>
      </c>
      <c r="B312" t="s">
        <v>3078</v>
      </c>
      <c r="C312" t="s">
        <v>3078</v>
      </c>
      <c r="D312" t="s">
        <v>569</v>
      </c>
      <c r="E312" t="s">
        <v>570</v>
      </c>
      <c r="F312" t="s">
        <v>3079</v>
      </c>
      <c r="G312" t="s">
        <v>446</v>
      </c>
      <c r="H312" t="s">
        <v>445</v>
      </c>
      <c r="I312" t="s">
        <v>446</v>
      </c>
      <c r="J312" t="s">
        <v>69</v>
      </c>
      <c r="K312" t="s">
        <v>70</v>
      </c>
      <c r="L312" t="s">
        <v>50</v>
      </c>
      <c r="M312" s="2">
        <v>218170</v>
      </c>
      <c r="N312" t="s">
        <v>64</v>
      </c>
      <c r="P312" t="str">
        <f>CONCATENATE("'",Tabla1[[#This Row],[Codigo]],"',")</f>
        <v>'00611',</v>
      </c>
    </row>
    <row r="313" spans="1:16" x14ac:dyDescent="0.25">
      <c r="A313" t="s">
        <v>3082</v>
      </c>
      <c r="B313" t="s">
        <v>3083</v>
      </c>
      <c r="C313" t="s">
        <v>3083</v>
      </c>
      <c r="D313" t="s">
        <v>984</v>
      </c>
      <c r="E313" t="s">
        <v>985</v>
      </c>
      <c r="F313" t="s">
        <v>3084</v>
      </c>
      <c r="G313" t="s">
        <v>650</v>
      </c>
      <c r="H313" t="s">
        <v>652</v>
      </c>
      <c r="I313" t="s">
        <v>653</v>
      </c>
      <c r="J313" t="s">
        <v>69</v>
      </c>
      <c r="K313" t="s">
        <v>70</v>
      </c>
      <c r="L313" t="s">
        <v>50</v>
      </c>
      <c r="M313" s="2">
        <v>1067440.23</v>
      </c>
      <c r="N313" t="s">
        <v>3086</v>
      </c>
      <c r="O313" t="s">
        <v>115</v>
      </c>
      <c r="P313" t="str">
        <f>CONCATENATE("'",Tabla1[[#This Row],[Codigo]],"',")</f>
        <v>'00612',</v>
      </c>
    </row>
    <row r="314" spans="1:16" x14ac:dyDescent="0.25">
      <c r="A314" t="s">
        <v>3087</v>
      </c>
      <c r="B314" t="s">
        <v>3088</v>
      </c>
      <c r="C314" t="s">
        <v>3088</v>
      </c>
      <c r="D314" t="s">
        <v>125</v>
      </c>
      <c r="E314" t="s">
        <v>126</v>
      </c>
      <c r="F314" t="s">
        <v>3089</v>
      </c>
      <c r="G314" t="s">
        <v>41</v>
      </c>
      <c r="H314" t="s">
        <v>40</v>
      </c>
      <c r="I314" t="s">
        <v>41</v>
      </c>
      <c r="J314" t="s">
        <v>61</v>
      </c>
      <c r="K314" t="s">
        <v>62</v>
      </c>
      <c r="L314" t="s">
        <v>50</v>
      </c>
      <c r="M314" s="2">
        <v>308115.94</v>
      </c>
      <c r="N314" t="s">
        <v>3092</v>
      </c>
      <c r="O314" t="s">
        <v>52</v>
      </c>
      <c r="P314" t="str">
        <f>CONCATENATE("'",Tabla1[[#This Row],[Codigo]],"',")</f>
        <v>'00613',</v>
      </c>
    </row>
    <row r="315" spans="1:16" x14ac:dyDescent="0.25">
      <c r="A315" t="s">
        <v>3095</v>
      </c>
      <c r="B315" t="s">
        <v>3096</v>
      </c>
      <c r="C315" t="s">
        <v>3096</v>
      </c>
      <c r="D315" t="s">
        <v>498</v>
      </c>
      <c r="E315" t="s">
        <v>190</v>
      </c>
      <c r="F315" t="s">
        <v>3097</v>
      </c>
      <c r="G315" t="s">
        <v>443</v>
      </c>
      <c r="H315" t="s">
        <v>445</v>
      </c>
      <c r="I315" t="s">
        <v>446</v>
      </c>
      <c r="J315" t="s">
        <v>69</v>
      </c>
      <c r="K315" t="s">
        <v>70</v>
      </c>
      <c r="L315" t="s">
        <v>50</v>
      </c>
      <c r="M315" s="2">
        <v>14482.46</v>
      </c>
      <c r="N315" t="s">
        <v>3100</v>
      </c>
      <c r="P315" t="str">
        <f>CONCATENATE("'",Tabla1[[#This Row],[Codigo]],"',")</f>
        <v>'00615',</v>
      </c>
    </row>
    <row r="316" spans="1:16" x14ac:dyDescent="0.25">
      <c r="A316" t="s">
        <v>3110</v>
      </c>
      <c r="B316" t="s">
        <v>3111</v>
      </c>
      <c r="C316" t="s">
        <v>3111</v>
      </c>
      <c r="D316" t="s">
        <v>166</v>
      </c>
      <c r="E316" t="s">
        <v>167</v>
      </c>
      <c r="F316" t="s">
        <v>3112</v>
      </c>
      <c r="G316" t="s">
        <v>1312</v>
      </c>
      <c r="H316" t="s">
        <v>883</v>
      </c>
      <c r="I316" t="s">
        <v>881</v>
      </c>
      <c r="J316" t="s">
        <v>158</v>
      </c>
      <c r="K316" t="s">
        <v>159</v>
      </c>
      <c r="L316" t="s">
        <v>50</v>
      </c>
      <c r="M316" s="2">
        <v>102418.07</v>
      </c>
      <c r="N316" t="s">
        <v>3115</v>
      </c>
      <c r="P316" t="str">
        <f>CONCATENATE("'",Tabla1[[#This Row],[Codigo]],"',")</f>
        <v>'00619',</v>
      </c>
    </row>
    <row r="317" spans="1:16" x14ac:dyDescent="0.25">
      <c r="A317" s="15" t="s">
        <v>3116</v>
      </c>
      <c r="B317" s="15" t="s">
        <v>3117</v>
      </c>
      <c r="C317" s="15" t="s">
        <v>3117</v>
      </c>
      <c r="D317" s="15" t="s">
        <v>55</v>
      </c>
      <c r="E317" s="15" t="s">
        <v>56</v>
      </c>
      <c r="F317" s="15" t="s">
        <v>3118</v>
      </c>
      <c r="G317" s="15" t="s">
        <v>3119</v>
      </c>
      <c r="H317" s="15" t="s">
        <v>3121</v>
      </c>
      <c r="I317" s="15" t="s">
        <v>3122</v>
      </c>
      <c r="J317" s="15" t="s">
        <v>1363</v>
      </c>
      <c r="K317" s="15" t="s">
        <v>1364</v>
      </c>
      <c r="L317" s="15" t="s">
        <v>50</v>
      </c>
      <c r="M317" s="16">
        <v>19470.330000000002</v>
      </c>
      <c r="N317" s="15" t="s">
        <v>3125</v>
      </c>
      <c r="O317" s="15" t="s">
        <v>115</v>
      </c>
      <c r="P317" t="str">
        <f>CONCATENATE("'",Tabla1[[#This Row],[Codigo]],"',")</f>
        <v>'00622',</v>
      </c>
    </row>
    <row r="318" spans="1:16" x14ac:dyDescent="0.25">
      <c r="A318" t="s">
        <v>3131</v>
      </c>
      <c r="B318" t="s">
        <v>3132</v>
      </c>
      <c r="C318" t="s">
        <v>3132</v>
      </c>
      <c r="D318" t="s">
        <v>153</v>
      </c>
      <c r="E318" t="s">
        <v>272</v>
      </c>
      <c r="F318" t="s">
        <v>3133</v>
      </c>
      <c r="G318" t="s">
        <v>1312</v>
      </c>
      <c r="H318" t="s">
        <v>883</v>
      </c>
      <c r="I318" t="s">
        <v>881</v>
      </c>
      <c r="J318" t="s">
        <v>158</v>
      </c>
      <c r="K318" t="s">
        <v>159</v>
      </c>
      <c r="L318" t="s">
        <v>50</v>
      </c>
      <c r="M318" s="2">
        <v>165485.1</v>
      </c>
      <c r="N318" t="s">
        <v>3136</v>
      </c>
      <c r="O318" t="s">
        <v>52</v>
      </c>
      <c r="P318" t="str">
        <f>CONCATENATE("'",Tabla1[[#This Row],[Codigo]],"',")</f>
        <v>'00624',</v>
      </c>
    </row>
    <row r="319" spans="1:16" x14ac:dyDescent="0.25">
      <c r="A319" t="s">
        <v>3139</v>
      </c>
      <c r="B319" t="s">
        <v>3140</v>
      </c>
      <c r="C319" t="s">
        <v>3140</v>
      </c>
      <c r="D319" t="s">
        <v>344</v>
      </c>
      <c r="E319" t="s">
        <v>167</v>
      </c>
      <c r="F319" t="s">
        <v>3141</v>
      </c>
      <c r="G319" t="s">
        <v>1312</v>
      </c>
      <c r="H319" t="s">
        <v>883</v>
      </c>
      <c r="I319" t="s">
        <v>881</v>
      </c>
      <c r="J319" t="s">
        <v>158</v>
      </c>
      <c r="K319" t="s">
        <v>159</v>
      </c>
      <c r="L319" t="s">
        <v>50</v>
      </c>
      <c r="M319" s="2">
        <v>116451.2</v>
      </c>
      <c r="N319" t="s">
        <v>3144</v>
      </c>
      <c r="O319" t="s">
        <v>52</v>
      </c>
      <c r="P319" t="str">
        <f>CONCATENATE("'",Tabla1[[#This Row],[Codigo]],"',")</f>
        <v>'00626',</v>
      </c>
    </row>
    <row r="320" spans="1:16" x14ac:dyDescent="0.25">
      <c r="A320" t="s">
        <v>3145</v>
      </c>
      <c r="B320" t="s">
        <v>3146</v>
      </c>
      <c r="C320" t="s">
        <v>2484</v>
      </c>
      <c r="D320" t="s">
        <v>35</v>
      </c>
      <c r="E320" t="s">
        <v>36</v>
      </c>
      <c r="F320" t="s">
        <v>2267</v>
      </c>
      <c r="G320" t="s">
        <v>1607</v>
      </c>
      <c r="H320" t="s">
        <v>1221</v>
      </c>
      <c r="I320" t="s">
        <v>1222</v>
      </c>
      <c r="J320" t="s">
        <v>2320</v>
      </c>
      <c r="K320" t="s">
        <v>2321</v>
      </c>
      <c r="L320" t="s">
        <v>50</v>
      </c>
      <c r="M320" s="2">
        <v>1185048.4099999999</v>
      </c>
      <c r="N320" t="s">
        <v>3149</v>
      </c>
      <c r="O320" t="s">
        <v>52</v>
      </c>
      <c r="P320" t="str">
        <f>CONCATENATE("'",Tabla1[[#This Row],[Codigo]],"',")</f>
        <v>'00627',</v>
      </c>
    </row>
    <row r="321" spans="1:16" x14ac:dyDescent="0.25">
      <c r="A321" t="s">
        <v>3150</v>
      </c>
      <c r="B321" t="s">
        <v>3151</v>
      </c>
      <c r="C321" t="s">
        <v>3151</v>
      </c>
      <c r="D321" t="s">
        <v>35</v>
      </c>
      <c r="E321" t="s">
        <v>36</v>
      </c>
      <c r="F321" t="s">
        <v>3152</v>
      </c>
      <c r="G321" t="s">
        <v>181</v>
      </c>
      <c r="H321" t="s">
        <v>183</v>
      </c>
      <c r="I321" t="s">
        <v>184</v>
      </c>
      <c r="J321" t="s">
        <v>158</v>
      </c>
      <c r="K321" t="s">
        <v>159</v>
      </c>
      <c r="L321" t="s">
        <v>50</v>
      </c>
      <c r="M321" s="2">
        <v>512098.77</v>
      </c>
      <c r="N321" t="s">
        <v>3154</v>
      </c>
      <c r="O321" t="s">
        <v>52</v>
      </c>
      <c r="P321" t="str">
        <f>CONCATENATE("'",Tabla1[[#This Row],[Codigo]],"',")</f>
        <v>'00628',</v>
      </c>
    </row>
    <row r="322" spans="1:16" x14ac:dyDescent="0.25">
      <c r="A322" t="s">
        <v>3155</v>
      </c>
      <c r="B322" t="s">
        <v>3156</v>
      </c>
      <c r="C322" t="s">
        <v>3156</v>
      </c>
      <c r="D322" t="s">
        <v>125</v>
      </c>
      <c r="E322" t="s">
        <v>126</v>
      </c>
      <c r="F322" t="s">
        <v>658</v>
      </c>
      <c r="G322" t="s">
        <v>300</v>
      </c>
      <c r="H322" t="s">
        <v>302</v>
      </c>
      <c r="I322" t="s">
        <v>303</v>
      </c>
      <c r="J322" t="s">
        <v>304</v>
      </c>
      <c r="K322" t="s">
        <v>72</v>
      </c>
      <c r="L322" t="s">
        <v>50</v>
      </c>
      <c r="M322" s="2">
        <v>141429.14000000001</v>
      </c>
      <c r="N322" t="s">
        <v>3159</v>
      </c>
      <c r="O322" t="s">
        <v>52</v>
      </c>
      <c r="P322" t="str">
        <f>CONCATENATE("'",Tabla1[[#This Row],[Codigo]],"',")</f>
        <v>'00629',</v>
      </c>
    </row>
    <row r="323" spans="1:16" x14ac:dyDescent="0.25">
      <c r="A323" t="s">
        <v>3162</v>
      </c>
      <c r="B323" t="s">
        <v>3163</v>
      </c>
      <c r="C323" t="s">
        <v>3163</v>
      </c>
      <c r="D323" t="s">
        <v>847</v>
      </c>
      <c r="E323" t="s">
        <v>848</v>
      </c>
      <c r="F323" t="s">
        <v>3164</v>
      </c>
      <c r="G323" t="s">
        <v>902</v>
      </c>
      <c r="H323" t="s">
        <v>904</v>
      </c>
      <c r="I323" t="s">
        <v>905</v>
      </c>
      <c r="J323" t="s">
        <v>304</v>
      </c>
      <c r="K323" t="s">
        <v>72</v>
      </c>
      <c r="L323" t="s">
        <v>50</v>
      </c>
      <c r="M323" s="2">
        <v>-5334.26</v>
      </c>
      <c r="N323" t="s">
        <v>3167</v>
      </c>
      <c r="O323" t="s">
        <v>52</v>
      </c>
      <c r="P323" t="str">
        <f>CONCATENATE("'",Tabla1[[#This Row],[Codigo]],"',")</f>
        <v>'00631',</v>
      </c>
    </row>
    <row r="324" spans="1:16" x14ac:dyDescent="0.25">
      <c r="A324" t="s">
        <v>3168</v>
      </c>
      <c r="B324" t="s">
        <v>3169</v>
      </c>
      <c r="C324" t="s">
        <v>3169</v>
      </c>
      <c r="D324" t="s">
        <v>847</v>
      </c>
      <c r="E324" t="s">
        <v>848</v>
      </c>
      <c r="F324" t="s">
        <v>3170</v>
      </c>
      <c r="G324" t="s">
        <v>116</v>
      </c>
      <c r="H324" t="s">
        <v>118</v>
      </c>
      <c r="I324" t="s">
        <v>119</v>
      </c>
      <c r="J324" t="s">
        <v>120</v>
      </c>
      <c r="K324" t="s">
        <v>121</v>
      </c>
      <c r="L324" t="s">
        <v>50</v>
      </c>
      <c r="M324" s="2">
        <v>165571.35999999999</v>
      </c>
      <c r="N324" t="s">
        <v>3173</v>
      </c>
      <c r="O324" t="s">
        <v>52</v>
      </c>
      <c r="P324" t="str">
        <f>CONCATENATE("'",Tabla1[[#This Row],[Codigo]],"',")</f>
        <v>'00632',</v>
      </c>
    </row>
    <row r="325" spans="1:16" x14ac:dyDescent="0.25">
      <c r="A325" t="s">
        <v>3174</v>
      </c>
      <c r="B325" t="s">
        <v>3175</v>
      </c>
      <c r="C325" t="s">
        <v>2877</v>
      </c>
      <c r="D325" t="s">
        <v>153</v>
      </c>
      <c r="E325" t="s">
        <v>272</v>
      </c>
      <c r="F325" t="s">
        <v>2867</v>
      </c>
      <c r="G325" t="s">
        <v>402</v>
      </c>
      <c r="H325" t="s">
        <v>403</v>
      </c>
      <c r="I325" t="s">
        <v>404</v>
      </c>
      <c r="J325" t="s">
        <v>205</v>
      </c>
      <c r="K325" t="s">
        <v>206</v>
      </c>
      <c r="L325" t="s">
        <v>50</v>
      </c>
      <c r="M325" s="2">
        <v>278460.95</v>
      </c>
      <c r="N325" t="s">
        <v>3178</v>
      </c>
      <c r="O325" t="s">
        <v>52</v>
      </c>
      <c r="P325" t="str">
        <f>CONCATENATE("'",Tabla1[[#This Row],[Codigo]],"',")</f>
        <v>'00633',</v>
      </c>
    </row>
    <row r="326" spans="1:16" x14ac:dyDescent="0.25">
      <c r="A326" t="s">
        <v>3179</v>
      </c>
      <c r="B326" t="s">
        <v>3180</v>
      </c>
      <c r="C326" t="s">
        <v>2980</v>
      </c>
      <c r="D326" t="s">
        <v>847</v>
      </c>
      <c r="E326" t="s">
        <v>848</v>
      </c>
      <c r="F326" t="s">
        <v>2860</v>
      </c>
      <c r="G326" t="s">
        <v>1444</v>
      </c>
      <c r="H326" t="s">
        <v>1064</v>
      </c>
      <c r="I326" t="s">
        <v>1062</v>
      </c>
      <c r="J326" t="s">
        <v>2320</v>
      </c>
      <c r="K326" t="s">
        <v>2321</v>
      </c>
      <c r="L326" t="s">
        <v>50</v>
      </c>
      <c r="M326" s="2">
        <v>614265.55000000005</v>
      </c>
      <c r="N326" t="s">
        <v>3181</v>
      </c>
      <c r="P326" t="str">
        <f>CONCATENATE("'",Tabla1[[#This Row],[Codigo]],"',")</f>
        <v>'00634',</v>
      </c>
    </row>
    <row r="327" spans="1:16" x14ac:dyDescent="0.25">
      <c r="A327" t="s">
        <v>3184</v>
      </c>
      <c r="B327" t="s">
        <v>3185</v>
      </c>
      <c r="C327" t="s">
        <v>3185</v>
      </c>
      <c r="D327" t="s">
        <v>299</v>
      </c>
      <c r="E327" t="s">
        <v>167</v>
      </c>
      <c r="F327" t="s">
        <v>3186</v>
      </c>
      <c r="G327" t="s">
        <v>2508</v>
      </c>
      <c r="H327" t="s">
        <v>700</v>
      </c>
      <c r="I327" t="s">
        <v>699</v>
      </c>
      <c r="J327" t="s">
        <v>69</v>
      </c>
      <c r="K327" t="s">
        <v>70</v>
      </c>
      <c r="L327" t="s">
        <v>50</v>
      </c>
      <c r="M327" s="2">
        <v>-27983.439999999999</v>
      </c>
      <c r="N327" t="s">
        <v>3189</v>
      </c>
      <c r="O327" t="s">
        <v>52</v>
      </c>
      <c r="P327" t="str">
        <f>CONCATENATE("'",Tabla1[[#This Row],[Codigo]],"',")</f>
        <v>'00636',</v>
      </c>
    </row>
    <row r="328" spans="1:16" x14ac:dyDescent="0.25">
      <c r="A328" t="s">
        <v>3190</v>
      </c>
      <c r="B328" t="s">
        <v>3191</v>
      </c>
      <c r="C328" t="s">
        <v>3191</v>
      </c>
      <c r="D328" t="s">
        <v>3192</v>
      </c>
      <c r="E328" t="s">
        <v>224</v>
      </c>
      <c r="F328" t="s">
        <v>3193</v>
      </c>
      <c r="G328" t="s">
        <v>2831</v>
      </c>
      <c r="H328" t="s">
        <v>80</v>
      </c>
      <c r="I328" t="s">
        <v>81</v>
      </c>
      <c r="J328" t="s">
        <v>557</v>
      </c>
      <c r="K328" t="s">
        <v>558</v>
      </c>
      <c r="L328" t="s">
        <v>50</v>
      </c>
      <c r="M328" s="2">
        <v>174536</v>
      </c>
      <c r="N328" t="s">
        <v>64</v>
      </c>
      <c r="P328" t="str">
        <f>CONCATENATE("'",Tabla1[[#This Row],[Codigo]],"',")</f>
        <v>'00637',</v>
      </c>
    </row>
    <row r="329" spans="1:16" x14ac:dyDescent="0.25">
      <c r="A329" t="s">
        <v>3197</v>
      </c>
      <c r="B329" t="s">
        <v>3198</v>
      </c>
      <c r="C329" t="s">
        <v>3199</v>
      </c>
      <c r="D329" t="s">
        <v>153</v>
      </c>
      <c r="E329" t="s">
        <v>272</v>
      </c>
      <c r="F329" t="s">
        <v>1700</v>
      </c>
      <c r="G329" t="s">
        <v>1607</v>
      </c>
      <c r="H329" t="s">
        <v>1221</v>
      </c>
      <c r="I329" t="s">
        <v>1222</v>
      </c>
      <c r="J329" t="s">
        <v>205</v>
      </c>
      <c r="K329" t="s">
        <v>206</v>
      </c>
      <c r="L329" t="s">
        <v>50</v>
      </c>
      <c r="M329" s="2">
        <v>328999.53000000003</v>
      </c>
      <c r="N329" t="s">
        <v>3202</v>
      </c>
      <c r="O329" t="s">
        <v>115</v>
      </c>
      <c r="P329" t="str">
        <f>CONCATENATE("'",Tabla1[[#This Row],[Codigo]],"',")</f>
        <v>'00638',</v>
      </c>
    </row>
    <row r="330" spans="1:16" x14ac:dyDescent="0.25">
      <c r="A330" t="s">
        <v>3203</v>
      </c>
      <c r="B330" t="s">
        <v>3204</v>
      </c>
      <c r="C330" t="s">
        <v>1242</v>
      </c>
      <c r="D330" t="s">
        <v>819</v>
      </c>
      <c r="E330" t="s">
        <v>224</v>
      </c>
      <c r="F330" t="s">
        <v>1244</v>
      </c>
      <c r="G330" t="s">
        <v>1444</v>
      </c>
      <c r="H330" t="s">
        <v>1064</v>
      </c>
      <c r="I330" t="s">
        <v>1062</v>
      </c>
      <c r="J330" t="s">
        <v>304</v>
      </c>
      <c r="K330" t="s">
        <v>72</v>
      </c>
      <c r="L330" t="s">
        <v>50</v>
      </c>
      <c r="M330" s="2">
        <v>218170</v>
      </c>
      <c r="N330" t="s">
        <v>64</v>
      </c>
      <c r="P330" t="str">
        <f>CONCATENATE("'",Tabla1[[#This Row],[Codigo]],"',")</f>
        <v>'00639',</v>
      </c>
    </row>
    <row r="331" spans="1:16" x14ac:dyDescent="0.25">
      <c r="A331" t="s">
        <v>3208</v>
      </c>
      <c r="B331" t="s">
        <v>3209</v>
      </c>
      <c r="C331" t="s">
        <v>3209</v>
      </c>
      <c r="D331" t="s">
        <v>133</v>
      </c>
      <c r="E331" t="s">
        <v>134</v>
      </c>
      <c r="F331" t="s">
        <v>3210</v>
      </c>
      <c r="G331" t="s">
        <v>402</v>
      </c>
      <c r="H331" t="s">
        <v>403</v>
      </c>
      <c r="I331" t="s">
        <v>404</v>
      </c>
      <c r="J331" t="s">
        <v>205</v>
      </c>
      <c r="K331" t="s">
        <v>206</v>
      </c>
      <c r="L331" t="s">
        <v>50</v>
      </c>
      <c r="M331" s="2">
        <v>10909</v>
      </c>
      <c r="N331" t="s">
        <v>64</v>
      </c>
      <c r="P331" t="str">
        <f>CONCATENATE("'",Tabla1[[#This Row],[Codigo]],"',")</f>
        <v>'00641',</v>
      </c>
    </row>
    <row r="332" spans="1:16" x14ac:dyDescent="0.25">
      <c r="A332" t="s">
        <v>3213</v>
      </c>
      <c r="B332" t="s">
        <v>3214</v>
      </c>
      <c r="C332" t="s">
        <v>3214</v>
      </c>
      <c r="D332" t="s">
        <v>153</v>
      </c>
      <c r="E332" t="s">
        <v>272</v>
      </c>
      <c r="F332" t="s">
        <v>3215</v>
      </c>
      <c r="G332" t="s">
        <v>184</v>
      </c>
      <c r="H332" t="s">
        <v>183</v>
      </c>
      <c r="I332" t="s">
        <v>184</v>
      </c>
      <c r="J332" t="s">
        <v>158</v>
      </c>
      <c r="K332" t="s">
        <v>159</v>
      </c>
      <c r="L332" t="s">
        <v>50</v>
      </c>
      <c r="M332" s="2">
        <v>186666.73</v>
      </c>
      <c r="N332" t="s">
        <v>3217</v>
      </c>
      <c r="O332" t="s">
        <v>52</v>
      </c>
      <c r="P332" t="str">
        <f>CONCATENATE("'",Tabla1[[#This Row],[Codigo]],"',")</f>
        <v>'00642',</v>
      </c>
    </row>
    <row r="333" spans="1:16" x14ac:dyDescent="0.25">
      <c r="A333" t="s">
        <v>3218</v>
      </c>
      <c r="B333" t="s">
        <v>3219</v>
      </c>
      <c r="C333" t="s">
        <v>3219</v>
      </c>
      <c r="D333" t="s">
        <v>1939</v>
      </c>
      <c r="E333" t="s">
        <v>224</v>
      </c>
      <c r="F333" t="s">
        <v>3220</v>
      </c>
      <c r="G333" t="s">
        <v>2831</v>
      </c>
      <c r="H333" t="s">
        <v>80</v>
      </c>
      <c r="I333" t="s">
        <v>81</v>
      </c>
      <c r="J333" t="s">
        <v>557</v>
      </c>
      <c r="K333" t="s">
        <v>558</v>
      </c>
      <c r="L333" t="s">
        <v>50</v>
      </c>
      <c r="M333" s="2">
        <v>174536</v>
      </c>
      <c r="N333" t="s">
        <v>64</v>
      </c>
      <c r="P333" t="str">
        <f>CONCATENATE("'",Tabla1[[#This Row],[Codigo]],"',")</f>
        <v>'00643',</v>
      </c>
    </row>
    <row r="334" spans="1:16" x14ac:dyDescent="0.25">
      <c r="A334" t="s">
        <v>3226</v>
      </c>
      <c r="B334" t="s">
        <v>3227</v>
      </c>
      <c r="C334" t="s">
        <v>3228</v>
      </c>
      <c r="D334" t="s">
        <v>125</v>
      </c>
      <c r="E334" t="s">
        <v>126</v>
      </c>
      <c r="F334" t="s">
        <v>3229</v>
      </c>
      <c r="G334" t="s">
        <v>3230</v>
      </c>
      <c r="H334" t="s">
        <v>3232</v>
      </c>
      <c r="I334" t="s">
        <v>3233</v>
      </c>
      <c r="J334" t="s">
        <v>1212</v>
      </c>
      <c r="K334" t="s">
        <v>1213</v>
      </c>
      <c r="L334" t="s">
        <v>50</v>
      </c>
      <c r="M334" s="2">
        <v>-9138.5300000000007</v>
      </c>
      <c r="N334" t="s">
        <v>3235</v>
      </c>
      <c r="O334" t="s">
        <v>52</v>
      </c>
      <c r="P334" t="str">
        <f>CONCATENATE("'",Tabla1[[#This Row],[Codigo]],"',")</f>
        <v>'00645',</v>
      </c>
    </row>
    <row r="335" spans="1:16" x14ac:dyDescent="0.25">
      <c r="A335" t="s">
        <v>3236</v>
      </c>
      <c r="B335" t="s">
        <v>3237</v>
      </c>
      <c r="C335" t="s">
        <v>3237</v>
      </c>
      <c r="D335" t="s">
        <v>125</v>
      </c>
      <c r="E335" t="s">
        <v>126</v>
      </c>
      <c r="F335" t="s">
        <v>3238</v>
      </c>
      <c r="G335" t="s">
        <v>65</v>
      </c>
      <c r="H335" t="s">
        <v>67</v>
      </c>
      <c r="I335" t="s">
        <v>68</v>
      </c>
      <c r="J335" t="s">
        <v>69</v>
      </c>
      <c r="K335" t="s">
        <v>70</v>
      </c>
      <c r="L335" t="s">
        <v>50</v>
      </c>
      <c r="M335" s="2">
        <v>614383.67000000004</v>
      </c>
      <c r="N335" t="s">
        <v>3241</v>
      </c>
      <c r="O335" t="s">
        <v>52</v>
      </c>
      <c r="P335" t="str">
        <f>CONCATENATE("'",Tabla1[[#This Row],[Codigo]],"',")</f>
        <v>'00646',</v>
      </c>
    </row>
    <row r="336" spans="1:16" x14ac:dyDescent="0.25">
      <c r="A336" t="s">
        <v>3242</v>
      </c>
      <c r="B336" t="s">
        <v>3243</v>
      </c>
      <c r="C336" t="s">
        <v>3243</v>
      </c>
      <c r="D336" t="s">
        <v>2126</v>
      </c>
      <c r="E336" t="s">
        <v>77</v>
      </c>
      <c r="F336" t="s">
        <v>3244</v>
      </c>
      <c r="G336" t="s">
        <v>2385</v>
      </c>
      <c r="H336" t="s">
        <v>2384</v>
      </c>
      <c r="I336" t="s">
        <v>2385</v>
      </c>
      <c r="J336" t="s">
        <v>103</v>
      </c>
      <c r="K336" t="s">
        <v>104</v>
      </c>
      <c r="L336" t="s">
        <v>50</v>
      </c>
      <c r="M336" s="2">
        <v>27136</v>
      </c>
      <c r="N336" t="s">
        <v>64</v>
      </c>
      <c r="P336" t="str">
        <f>CONCATENATE("'",Tabla1[[#This Row],[Codigo]],"',")</f>
        <v>'00647',</v>
      </c>
    </row>
    <row r="337" spans="1:16" x14ac:dyDescent="0.25">
      <c r="A337" t="s">
        <v>3247</v>
      </c>
      <c r="B337" t="s">
        <v>3248</v>
      </c>
      <c r="C337" t="s">
        <v>3249</v>
      </c>
      <c r="D337" t="s">
        <v>35</v>
      </c>
      <c r="E337" t="s">
        <v>36</v>
      </c>
      <c r="F337" t="s">
        <v>3250</v>
      </c>
      <c r="G337" t="s">
        <v>2831</v>
      </c>
      <c r="H337" t="s">
        <v>80</v>
      </c>
      <c r="I337" t="s">
        <v>81</v>
      </c>
      <c r="J337" t="s">
        <v>557</v>
      </c>
      <c r="K337" t="s">
        <v>558</v>
      </c>
      <c r="L337" t="s">
        <v>50</v>
      </c>
      <c r="M337" s="2">
        <v>189959.29</v>
      </c>
      <c r="N337" t="s">
        <v>3253</v>
      </c>
      <c r="O337" t="s">
        <v>52</v>
      </c>
      <c r="P337" t="str">
        <f>CONCATENATE("'",Tabla1[[#This Row],[Codigo]],"',")</f>
        <v>'00648',</v>
      </c>
    </row>
    <row r="338" spans="1:16" x14ac:dyDescent="0.25">
      <c r="A338" t="s">
        <v>3259</v>
      </c>
      <c r="B338" t="s">
        <v>3260</v>
      </c>
      <c r="C338" t="s">
        <v>3260</v>
      </c>
      <c r="D338" t="s">
        <v>35</v>
      </c>
      <c r="E338" t="s">
        <v>36</v>
      </c>
      <c r="F338" t="s">
        <v>3261</v>
      </c>
      <c r="G338" t="s">
        <v>402</v>
      </c>
      <c r="H338" t="s">
        <v>403</v>
      </c>
      <c r="I338" t="s">
        <v>404</v>
      </c>
      <c r="J338" t="s">
        <v>205</v>
      </c>
      <c r="K338" t="s">
        <v>206</v>
      </c>
      <c r="L338" t="s">
        <v>50</v>
      </c>
      <c r="M338" s="2">
        <v>-28329.84</v>
      </c>
      <c r="N338" t="s">
        <v>3263</v>
      </c>
      <c r="O338" t="s">
        <v>115</v>
      </c>
      <c r="P338" t="str">
        <f>CONCATENATE("'",Tabla1[[#This Row],[Codigo]],"',")</f>
        <v>'00650',</v>
      </c>
    </row>
    <row r="339" spans="1:16" x14ac:dyDescent="0.25">
      <c r="A339" t="s">
        <v>3264</v>
      </c>
      <c r="B339" t="s">
        <v>3265</v>
      </c>
      <c r="C339" t="s">
        <v>3265</v>
      </c>
      <c r="D339" t="s">
        <v>125</v>
      </c>
      <c r="E339" t="s">
        <v>126</v>
      </c>
      <c r="F339" t="s">
        <v>3266</v>
      </c>
      <c r="G339" t="s">
        <v>170</v>
      </c>
      <c r="H339" t="s">
        <v>172</v>
      </c>
      <c r="I339" t="s">
        <v>173</v>
      </c>
      <c r="J339" t="s">
        <v>158</v>
      </c>
      <c r="K339" t="s">
        <v>159</v>
      </c>
      <c r="L339" t="s">
        <v>50</v>
      </c>
      <c r="M339" s="2">
        <v>44907.199999999997</v>
      </c>
      <c r="N339" t="s">
        <v>3269</v>
      </c>
      <c r="O339" t="s">
        <v>52</v>
      </c>
      <c r="P339" t="str">
        <f>CONCATENATE("'",Tabla1[[#This Row],[Codigo]],"',")</f>
        <v>'00651',</v>
      </c>
    </row>
    <row r="340" spans="1:16" x14ac:dyDescent="0.25">
      <c r="A340" t="s">
        <v>3270</v>
      </c>
      <c r="B340" t="s">
        <v>3271</v>
      </c>
      <c r="C340" t="s">
        <v>3272</v>
      </c>
      <c r="D340" t="s">
        <v>1243</v>
      </c>
      <c r="E340" t="s">
        <v>871</v>
      </c>
      <c r="F340" t="s">
        <v>2860</v>
      </c>
      <c r="G340" t="s">
        <v>1444</v>
      </c>
      <c r="H340" t="s">
        <v>1064</v>
      </c>
      <c r="I340" t="s">
        <v>1062</v>
      </c>
      <c r="J340" t="s">
        <v>2320</v>
      </c>
      <c r="K340" t="s">
        <v>2321</v>
      </c>
      <c r="L340" t="s">
        <v>50</v>
      </c>
      <c r="M340" s="2">
        <v>588627.52</v>
      </c>
      <c r="N340" t="s">
        <v>3274</v>
      </c>
      <c r="O340" t="s">
        <v>115</v>
      </c>
      <c r="P340" t="str">
        <f>CONCATENATE("'",Tabla1[[#This Row],[Codigo]],"',")</f>
        <v>'00652',</v>
      </c>
    </row>
    <row r="341" spans="1:16" x14ac:dyDescent="0.25">
      <c r="A341" s="15" t="s">
        <v>3275</v>
      </c>
      <c r="B341" s="15" t="s">
        <v>3276</v>
      </c>
      <c r="C341" s="15" t="s">
        <v>3276</v>
      </c>
      <c r="D341" s="15" t="s">
        <v>55</v>
      </c>
      <c r="E341" s="15" t="s">
        <v>56</v>
      </c>
      <c r="F341" s="15" t="s">
        <v>3277</v>
      </c>
      <c r="G341" s="15" t="s">
        <v>402</v>
      </c>
      <c r="H341" s="15" t="s">
        <v>403</v>
      </c>
      <c r="I341" s="15" t="s">
        <v>404</v>
      </c>
      <c r="J341" s="15" t="s">
        <v>205</v>
      </c>
      <c r="K341" s="15" t="s">
        <v>206</v>
      </c>
      <c r="L341" s="15" t="s">
        <v>50</v>
      </c>
      <c r="M341" s="16">
        <v>-32875.279999999999</v>
      </c>
      <c r="N341" s="15" t="s">
        <v>3280</v>
      </c>
      <c r="O341" s="15" t="s">
        <v>115</v>
      </c>
      <c r="P341" t="str">
        <f>CONCATENATE("'",Tabla1[[#This Row],[Codigo]],"',")</f>
        <v>'00653',</v>
      </c>
    </row>
    <row r="342" spans="1:16" x14ac:dyDescent="0.25">
      <c r="A342" t="s">
        <v>3281</v>
      </c>
      <c r="B342" t="s">
        <v>3282</v>
      </c>
      <c r="C342" t="s">
        <v>3282</v>
      </c>
      <c r="D342" t="s">
        <v>321</v>
      </c>
      <c r="E342" t="s">
        <v>224</v>
      </c>
      <c r="F342" t="s">
        <v>2860</v>
      </c>
      <c r="G342" t="s">
        <v>1444</v>
      </c>
      <c r="H342" t="s">
        <v>1064</v>
      </c>
      <c r="I342" t="s">
        <v>1062</v>
      </c>
      <c r="J342" t="s">
        <v>2320</v>
      </c>
      <c r="K342" t="s">
        <v>2321</v>
      </c>
      <c r="L342" t="s">
        <v>50</v>
      </c>
      <c r="M342" s="2">
        <v>641367.96</v>
      </c>
      <c r="N342" t="s">
        <v>3284</v>
      </c>
      <c r="P342" t="str">
        <f>CONCATENATE("'",Tabla1[[#This Row],[Codigo]],"',")</f>
        <v>'00654',</v>
      </c>
    </row>
    <row r="343" spans="1:16" x14ac:dyDescent="0.25">
      <c r="A343" t="s">
        <v>3287</v>
      </c>
      <c r="B343" t="s">
        <v>3288</v>
      </c>
      <c r="C343" t="s">
        <v>3289</v>
      </c>
      <c r="D343" t="s">
        <v>125</v>
      </c>
      <c r="E343" t="s">
        <v>126</v>
      </c>
      <c r="F343" t="s">
        <v>3290</v>
      </c>
      <c r="G343" t="s">
        <v>2696</v>
      </c>
      <c r="H343" t="s">
        <v>1849</v>
      </c>
      <c r="I343" t="s">
        <v>1847</v>
      </c>
      <c r="J343" t="s">
        <v>120</v>
      </c>
      <c r="K343" t="s">
        <v>121</v>
      </c>
      <c r="L343" t="s">
        <v>50</v>
      </c>
      <c r="M343" s="2">
        <v>22629.07</v>
      </c>
      <c r="N343" t="s">
        <v>3293</v>
      </c>
      <c r="O343" t="s">
        <v>52</v>
      </c>
      <c r="P343" t="str">
        <f>CONCATENATE("'",Tabla1[[#This Row],[Codigo]],"',")</f>
        <v>'00656',</v>
      </c>
    </row>
    <row r="344" spans="1:16" x14ac:dyDescent="0.25">
      <c r="A344" t="s">
        <v>3297</v>
      </c>
      <c r="B344" t="s">
        <v>3298</v>
      </c>
      <c r="C344" t="s">
        <v>2726</v>
      </c>
      <c r="D344" t="s">
        <v>299</v>
      </c>
      <c r="E344" t="s">
        <v>167</v>
      </c>
      <c r="F344" t="s">
        <v>2727</v>
      </c>
      <c r="G344" t="s">
        <v>3299</v>
      </c>
      <c r="H344" t="s">
        <v>3301</v>
      </c>
      <c r="I344" t="s">
        <v>3302</v>
      </c>
      <c r="J344" t="s">
        <v>205</v>
      </c>
      <c r="K344" t="s">
        <v>206</v>
      </c>
      <c r="L344" t="s">
        <v>50</v>
      </c>
      <c r="M344" s="2">
        <v>366506.27</v>
      </c>
      <c r="N344" t="s">
        <v>3304</v>
      </c>
      <c r="O344" t="s">
        <v>52</v>
      </c>
      <c r="P344" t="str">
        <f>CONCATENATE("'",Tabla1[[#This Row],[Codigo]],"',")</f>
        <v>'00658',</v>
      </c>
    </row>
    <row r="345" spans="1:16" x14ac:dyDescent="0.25">
      <c r="A345" t="s">
        <v>3307</v>
      </c>
      <c r="B345" t="s">
        <v>3308</v>
      </c>
      <c r="C345" t="s">
        <v>3308</v>
      </c>
      <c r="D345" t="s">
        <v>35</v>
      </c>
      <c r="E345" t="s">
        <v>36</v>
      </c>
      <c r="F345" t="s">
        <v>3309</v>
      </c>
      <c r="G345" t="s">
        <v>65</v>
      </c>
      <c r="H345" t="s">
        <v>67</v>
      </c>
      <c r="I345" t="s">
        <v>68</v>
      </c>
      <c r="J345" t="s">
        <v>69</v>
      </c>
      <c r="K345" t="s">
        <v>70</v>
      </c>
      <c r="L345" t="s">
        <v>50</v>
      </c>
      <c r="M345" s="2">
        <v>199954.81</v>
      </c>
      <c r="N345" t="s">
        <v>3312</v>
      </c>
      <c r="O345" t="s">
        <v>52</v>
      </c>
      <c r="P345" t="str">
        <f>CONCATENATE("'",Tabla1[[#This Row],[Codigo]],"',")</f>
        <v>'00660',</v>
      </c>
    </row>
    <row r="346" spans="1:16" x14ac:dyDescent="0.25">
      <c r="A346" t="s">
        <v>3313</v>
      </c>
      <c r="B346" t="s">
        <v>3314</v>
      </c>
      <c r="C346" t="s">
        <v>3314</v>
      </c>
      <c r="D346" t="s">
        <v>153</v>
      </c>
      <c r="E346" t="s">
        <v>272</v>
      </c>
      <c r="F346" t="s">
        <v>3315</v>
      </c>
      <c r="G346" t="s">
        <v>1531</v>
      </c>
      <c r="H346" t="s">
        <v>585</v>
      </c>
      <c r="I346" t="s">
        <v>584</v>
      </c>
      <c r="J346" t="s">
        <v>158</v>
      </c>
      <c r="K346" t="s">
        <v>159</v>
      </c>
      <c r="L346" t="s">
        <v>50</v>
      </c>
      <c r="M346" s="2">
        <v>288065.44</v>
      </c>
      <c r="N346" t="s">
        <v>3317</v>
      </c>
      <c r="O346" t="s">
        <v>115</v>
      </c>
      <c r="P346" t="str">
        <f>CONCATENATE("'",Tabla1[[#This Row],[Codigo]],"',")</f>
        <v>'00661',</v>
      </c>
    </row>
    <row r="347" spans="1:16" x14ac:dyDescent="0.25">
      <c r="A347" t="s">
        <v>3319</v>
      </c>
      <c r="B347" t="s">
        <v>3320</v>
      </c>
      <c r="C347" t="s">
        <v>3321</v>
      </c>
      <c r="D347" t="s">
        <v>569</v>
      </c>
      <c r="E347" t="s">
        <v>570</v>
      </c>
      <c r="F347" t="s">
        <v>3322</v>
      </c>
      <c r="G347" t="s">
        <v>402</v>
      </c>
      <c r="H347" t="s">
        <v>403</v>
      </c>
      <c r="I347" t="s">
        <v>404</v>
      </c>
      <c r="J347" t="s">
        <v>205</v>
      </c>
      <c r="K347" t="s">
        <v>206</v>
      </c>
      <c r="L347" t="s">
        <v>50</v>
      </c>
      <c r="M347" s="2">
        <v>123781.61</v>
      </c>
      <c r="N347" t="s">
        <v>3325</v>
      </c>
      <c r="P347" t="str">
        <f>CONCATENATE("'",Tabla1[[#This Row],[Codigo]],"',")</f>
        <v>'00663',</v>
      </c>
    </row>
    <row r="348" spans="1:16" x14ac:dyDescent="0.25">
      <c r="A348" t="s">
        <v>3328</v>
      </c>
      <c r="B348" t="s">
        <v>3329</v>
      </c>
      <c r="C348" t="s">
        <v>3329</v>
      </c>
      <c r="D348" t="s">
        <v>2288</v>
      </c>
      <c r="E348" t="s">
        <v>134</v>
      </c>
      <c r="F348" t="s">
        <v>3330</v>
      </c>
      <c r="G348" t="s">
        <v>303</v>
      </c>
      <c r="H348" t="s">
        <v>302</v>
      </c>
      <c r="I348" t="s">
        <v>303</v>
      </c>
      <c r="J348" t="s">
        <v>304</v>
      </c>
      <c r="K348" t="s">
        <v>72</v>
      </c>
      <c r="L348" t="s">
        <v>50</v>
      </c>
      <c r="M348" s="2">
        <v>652455.01</v>
      </c>
      <c r="N348" t="s">
        <v>3332</v>
      </c>
      <c r="P348" t="str">
        <f>CONCATENATE("'",Tabla1[[#This Row],[Codigo]],"',")</f>
        <v>'00665',</v>
      </c>
    </row>
    <row r="349" spans="1:16" x14ac:dyDescent="0.25">
      <c r="A349" t="s">
        <v>3333</v>
      </c>
      <c r="B349" t="s">
        <v>3334</v>
      </c>
      <c r="C349" t="s">
        <v>3334</v>
      </c>
      <c r="D349" t="s">
        <v>166</v>
      </c>
      <c r="E349" t="s">
        <v>167</v>
      </c>
      <c r="F349" t="s">
        <v>3335</v>
      </c>
      <c r="G349" t="s">
        <v>170</v>
      </c>
      <c r="H349" t="s">
        <v>172</v>
      </c>
      <c r="I349" t="s">
        <v>173</v>
      </c>
      <c r="J349" t="s">
        <v>158</v>
      </c>
      <c r="K349" t="s">
        <v>159</v>
      </c>
      <c r="L349" t="s">
        <v>50</v>
      </c>
      <c r="M349" s="2">
        <v>1068940.4099999999</v>
      </c>
      <c r="N349" t="s">
        <v>3338</v>
      </c>
      <c r="P349" t="str">
        <f>CONCATENATE("'",Tabla1[[#This Row],[Codigo]],"',")</f>
        <v>'00666',</v>
      </c>
    </row>
    <row r="350" spans="1:16" x14ac:dyDescent="0.25">
      <c r="A350" t="s">
        <v>3339</v>
      </c>
      <c r="B350" t="s">
        <v>3340</v>
      </c>
      <c r="C350" t="s">
        <v>3340</v>
      </c>
      <c r="D350" t="s">
        <v>35</v>
      </c>
      <c r="E350" t="s">
        <v>36</v>
      </c>
      <c r="F350" t="s">
        <v>3341</v>
      </c>
      <c r="G350" t="s">
        <v>1901</v>
      </c>
      <c r="H350" t="s">
        <v>1900</v>
      </c>
      <c r="I350" t="s">
        <v>1901</v>
      </c>
      <c r="J350" t="s">
        <v>158</v>
      </c>
      <c r="K350" t="s">
        <v>159</v>
      </c>
      <c r="L350" t="s">
        <v>50</v>
      </c>
      <c r="M350" s="2">
        <v>906527.14</v>
      </c>
      <c r="N350" t="s">
        <v>3344</v>
      </c>
      <c r="O350" t="s">
        <v>52</v>
      </c>
      <c r="P350" t="str">
        <f>CONCATENATE("'",Tabla1[[#This Row],[Codigo]],"',")</f>
        <v>'00667',</v>
      </c>
    </row>
    <row r="351" spans="1:16" x14ac:dyDescent="0.25">
      <c r="A351" t="s">
        <v>3345</v>
      </c>
      <c r="B351" t="s">
        <v>3346</v>
      </c>
      <c r="C351" t="s">
        <v>3346</v>
      </c>
      <c r="D351" t="s">
        <v>1454</v>
      </c>
      <c r="E351" t="s">
        <v>224</v>
      </c>
      <c r="F351" t="s">
        <v>3347</v>
      </c>
      <c r="G351" t="s">
        <v>1444</v>
      </c>
      <c r="H351" t="s">
        <v>1064</v>
      </c>
      <c r="I351" t="s">
        <v>1062</v>
      </c>
      <c r="J351" t="s">
        <v>304</v>
      </c>
      <c r="K351" t="s">
        <v>72</v>
      </c>
      <c r="L351" t="s">
        <v>50</v>
      </c>
      <c r="M351" s="2">
        <v>23646</v>
      </c>
      <c r="N351" t="s">
        <v>64</v>
      </c>
      <c r="P351" t="str">
        <f>CONCATENATE("'",Tabla1[[#This Row],[Codigo]],"',")</f>
        <v>'00668',</v>
      </c>
    </row>
    <row r="352" spans="1:16" x14ac:dyDescent="0.25">
      <c r="A352" t="s">
        <v>3350</v>
      </c>
      <c r="B352" t="s">
        <v>3351</v>
      </c>
      <c r="C352" t="s">
        <v>3352</v>
      </c>
      <c r="D352" t="s">
        <v>35</v>
      </c>
      <c r="E352" t="s">
        <v>36</v>
      </c>
      <c r="F352" t="s">
        <v>3353</v>
      </c>
      <c r="G352" t="s">
        <v>38</v>
      </c>
      <c r="H352" t="s">
        <v>40</v>
      </c>
      <c r="I352" t="s">
        <v>41</v>
      </c>
      <c r="J352" t="s">
        <v>61</v>
      </c>
      <c r="K352" t="s">
        <v>62</v>
      </c>
      <c r="L352" t="s">
        <v>50</v>
      </c>
      <c r="M352" s="2">
        <v>-389256.03</v>
      </c>
      <c r="N352" t="s">
        <v>3356</v>
      </c>
      <c r="O352" t="s">
        <v>52</v>
      </c>
      <c r="P352" t="str">
        <f>CONCATENATE("'",Tabla1[[#This Row],[Codigo]],"',")</f>
        <v>'00669',</v>
      </c>
    </row>
    <row r="353" spans="1:16" x14ac:dyDescent="0.25">
      <c r="A353" t="s">
        <v>3358</v>
      </c>
      <c r="B353" t="s">
        <v>3359</v>
      </c>
      <c r="C353" t="s">
        <v>3359</v>
      </c>
      <c r="D353" t="s">
        <v>569</v>
      </c>
      <c r="E353" t="s">
        <v>570</v>
      </c>
      <c r="F353" t="s">
        <v>3360</v>
      </c>
      <c r="G353" t="s">
        <v>38</v>
      </c>
      <c r="H353" t="s">
        <v>40</v>
      </c>
      <c r="I353" t="s">
        <v>41</v>
      </c>
      <c r="J353" t="s">
        <v>61</v>
      </c>
      <c r="K353" t="s">
        <v>62</v>
      </c>
      <c r="L353" t="s">
        <v>50</v>
      </c>
      <c r="M353" s="2">
        <v>95946.03</v>
      </c>
      <c r="N353" t="s">
        <v>3363</v>
      </c>
      <c r="O353" t="s">
        <v>115</v>
      </c>
      <c r="P353" t="str">
        <f>CONCATENATE("'",Tabla1[[#This Row],[Codigo]],"',")</f>
        <v>'00671',</v>
      </c>
    </row>
    <row r="354" spans="1:16" x14ac:dyDescent="0.25">
      <c r="A354" t="s">
        <v>3364</v>
      </c>
      <c r="B354" t="s">
        <v>3365</v>
      </c>
      <c r="C354" t="s">
        <v>3365</v>
      </c>
      <c r="D354" t="s">
        <v>125</v>
      </c>
      <c r="E354" t="s">
        <v>126</v>
      </c>
      <c r="F354" t="s">
        <v>3366</v>
      </c>
      <c r="G354" t="s">
        <v>1312</v>
      </c>
      <c r="H354" t="s">
        <v>883</v>
      </c>
      <c r="I354" t="s">
        <v>881</v>
      </c>
      <c r="J354" t="s">
        <v>158</v>
      </c>
      <c r="K354" t="s">
        <v>159</v>
      </c>
      <c r="L354" t="s">
        <v>50</v>
      </c>
      <c r="M354" s="2">
        <v>148574.23000000001</v>
      </c>
      <c r="N354" t="s">
        <v>3369</v>
      </c>
      <c r="P354" t="str">
        <f>CONCATENATE("'",Tabla1[[#This Row],[Codigo]],"',")</f>
        <v>'00672',</v>
      </c>
    </row>
    <row r="355" spans="1:16" x14ac:dyDescent="0.25">
      <c r="A355" t="s">
        <v>3371</v>
      </c>
      <c r="B355" t="s">
        <v>3372</v>
      </c>
      <c r="C355" t="s">
        <v>3372</v>
      </c>
      <c r="D355" t="s">
        <v>498</v>
      </c>
      <c r="E355" t="s">
        <v>190</v>
      </c>
      <c r="F355" t="s">
        <v>3373</v>
      </c>
      <c r="G355" t="s">
        <v>300</v>
      </c>
      <c r="H355" t="s">
        <v>302</v>
      </c>
      <c r="I355" t="s">
        <v>303</v>
      </c>
      <c r="J355" t="s">
        <v>304</v>
      </c>
      <c r="K355" t="s">
        <v>72</v>
      </c>
      <c r="L355" t="s">
        <v>50</v>
      </c>
      <c r="M355" s="2">
        <v>428443.72</v>
      </c>
      <c r="N355" t="s">
        <v>3376</v>
      </c>
      <c r="P355" t="str">
        <f>CONCATENATE("'",Tabla1[[#This Row],[Codigo]],"',")</f>
        <v>'00674',</v>
      </c>
    </row>
    <row r="356" spans="1:16" x14ac:dyDescent="0.25">
      <c r="A356" t="s">
        <v>3377</v>
      </c>
      <c r="B356" t="s">
        <v>3378</v>
      </c>
      <c r="C356" t="s">
        <v>3378</v>
      </c>
      <c r="D356" t="s">
        <v>153</v>
      </c>
      <c r="E356" t="s">
        <v>272</v>
      </c>
      <c r="F356" t="s">
        <v>3379</v>
      </c>
      <c r="G356" t="s">
        <v>81</v>
      </c>
      <c r="H356" t="s">
        <v>80</v>
      </c>
      <c r="I356" t="s">
        <v>81</v>
      </c>
      <c r="J356" t="s">
        <v>82</v>
      </c>
      <c r="K356" t="s">
        <v>83</v>
      </c>
      <c r="L356" t="s">
        <v>50</v>
      </c>
      <c r="M356" s="2">
        <v>17151.599999999999</v>
      </c>
      <c r="N356" t="s">
        <v>3382</v>
      </c>
      <c r="O356" t="s">
        <v>52</v>
      </c>
      <c r="P356" t="str">
        <f>CONCATENATE("'",Tabla1[[#This Row],[Codigo]],"',")</f>
        <v>'00675',</v>
      </c>
    </row>
    <row r="357" spans="1:16" x14ac:dyDescent="0.25">
      <c r="A357" t="s">
        <v>3383</v>
      </c>
      <c r="B357" t="s">
        <v>3384</v>
      </c>
      <c r="C357" t="s">
        <v>3384</v>
      </c>
      <c r="D357" t="s">
        <v>125</v>
      </c>
      <c r="E357" t="s">
        <v>126</v>
      </c>
      <c r="F357" t="s">
        <v>3385</v>
      </c>
      <c r="G357" t="s">
        <v>1531</v>
      </c>
      <c r="H357" t="s">
        <v>585</v>
      </c>
      <c r="I357" t="s">
        <v>584</v>
      </c>
      <c r="J357" t="s">
        <v>158</v>
      </c>
      <c r="K357" t="s">
        <v>159</v>
      </c>
      <c r="L357" t="s">
        <v>50</v>
      </c>
      <c r="M357" s="2">
        <v>494885.42</v>
      </c>
      <c r="N357" t="s">
        <v>3388</v>
      </c>
      <c r="O357" t="s">
        <v>52</v>
      </c>
      <c r="P357" t="str">
        <f>CONCATENATE("'",Tabla1[[#This Row],[Codigo]],"',")</f>
        <v>'00676',</v>
      </c>
    </row>
    <row r="358" spans="1:16" x14ac:dyDescent="0.25">
      <c r="A358" t="s">
        <v>3401</v>
      </c>
      <c r="B358" t="s">
        <v>491</v>
      </c>
      <c r="C358" t="s">
        <v>491</v>
      </c>
      <c r="D358" t="s">
        <v>262</v>
      </c>
      <c r="E358" t="s">
        <v>134</v>
      </c>
      <c r="F358" t="s">
        <v>401</v>
      </c>
      <c r="G358" t="s">
        <v>402</v>
      </c>
      <c r="H358" t="s">
        <v>403</v>
      </c>
      <c r="I358" t="s">
        <v>404</v>
      </c>
      <c r="J358" t="s">
        <v>205</v>
      </c>
      <c r="K358" t="s">
        <v>206</v>
      </c>
      <c r="L358" t="s">
        <v>50</v>
      </c>
      <c r="M358" s="2">
        <v>1527190</v>
      </c>
      <c r="N358" t="s">
        <v>64</v>
      </c>
      <c r="P358" t="str">
        <f>CONCATENATE("'",Tabla1[[#This Row],[Codigo]],"',")</f>
        <v>'00681',</v>
      </c>
    </row>
    <row r="359" spans="1:16" x14ac:dyDescent="0.25">
      <c r="A359" t="s">
        <v>3405</v>
      </c>
      <c r="B359" t="s">
        <v>3406</v>
      </c>
      <c r="C359" t="s">
        <v>3406</v>
      </c>
      <c r="D359" t="s">
        <v>344</v>
      </c>
      <c r="E359" t="s">
        <v>167</v>
      </c>
      <c r="F359" t="s">
        <v>3407</v>
      </c>
      <c r="G359" t="s">
        <v>1444</v>
      </c>
      <c r="H359" t="s">
        <v>1064</v>
      </c>
      <c r="I359" t="s">
        <v>1062</v>
      </c>
      <c r="J359" t="s">
        <v>304</v>
      </c>
      <c r="K359" t="s">
        <v>72</v>
      </c>
      <c r="L359" t="s">
        <v>50</v>
      </c>
      <c r="M359" s="2">
        <v>60462.59</v>
      </c>
      <c r="N359" t="s">
        <v>3410</v>
      </c>
      <c r="P359" t="str">
        <f>CONCATENATE("'",Tabla1[[#This Row],[Codigo]],"',")</f>
        <v>'00682',</v>
      </c>
    </row>
    <row r="360" spans="1:16" x14ac:dyDescent="0.25">
      <c r="A360" t="s">
        <v>3411</v>
      </c>
      <c r="B360" t="s">
        <v>3412</v>
      </c>
      <c r="C360" t="s">
        <v>3412</v>
      </c>
      <c r="D360" t="s">
        <v>125</v>
      </c>
      <c r="E360" t="s">
        <v>126</v>
      </c>
      <c r="F360" t="s">
        <v>3413</v>
      </c>
      <c r="G360" t="s">
        <v>119</v>
      </c>
      <c r="H360" t="s">
        <v>118</v>
      </c>
      <c r="I360" t="s">
        <v>119</v>
      </c>
      <c r="J360" t="s">
        <v>120</v>
      </c>
      <c r="K360" t="s">
        <v>121</v>
      </c>
      <c r="L360" t="s">
        <v>50</v>
      </c>
      <c r="M360" s="2">
        <v>59041.53</v>
      </c>
      <c r="N360" t="s">
        <v>3415</v>
      </c>
      <c r="O360" t="s">
        <v>52</v>
      </c>
      <c r="P360" t="str">
        <f>CONCATENATE("'",Tabla1[[#This Row],[Codigo]],"',")</f>
        <v>'00683',</v>
      </c>
    </row>
    <row r="361" spans="1:16" x14ac:dyDescent="0.25">
      <c r="A361" t="s">
        <v>3416</v>
      </c>
      <c r="B361" t="s">
        <v>3417</v>
      </c>
      <c r="C361" t="s">
        <v>3417</v>
      </c>
      <c r="D361" t="s">
        <v>297</v>
      </c>
      <c r="E361" t="s">
        <v>167</v>
      </c>
      <c r="F361" t="s">
        <v>3418</v>
      </c>
      <c r="G361" t="s">
        <v>300</v>
      </c>
      <c r="H361" t="s">
        <v>302</v>
      </c>
      <c r="I361" t="s">
        <v>303</v>
      </c>
      <c r="J361" t="s">
        <v>304</v>
      </c>
      <c r="K361" t="s">
        <v>72</v>
      </c>
      <c r="L361" t="s">
        <v>50</v>
      </c>
      <c r="M361" s="2">
        <v>385933.74</v>
      </c>
      <c r="N361" t="s">
        <v>3421</v>
      </c>
      <c r="O361" t="s">
        <v>52</v>
      </c>
      <c r="P361" t="str">
        <f>CONCATENATE("'",Tabla1[[#This Row],[Codigo]],"',")</f>
        <v>'00684',</v>
      </c>
    </row>
    <row r="362" spans="1:16" x14ac:dyDescent="0.25">
      <c r="A362" t="s">
        <v>3424</v>
      </c>
      <c r="B362" t="s">
        <v>3425</v>
      </c>
      <c r="C362" t="s">
        <v>3425</v>
      </c>
      <c r="D362" t="s">
        <v>125</v>
      </c>
      <c r="E362" t="s">
        <v>126</v>
      </c>
      <c r="F362" t="s">
        <v>3426</v>
      </c>
      <c r="G362" t="s">
        <v>181</v>
      </c>
      <c r="H362" t="s">
        <v>183</v>
      </c>
      <c r="I362" t="s">
        <v>184</v>
      </c>
      <c r="J362" t="s">
        <v>158</v>
      </c>
      <c r="K362" t="s">
        <v>159</v>
      </c>
      <c r="L362" t="s">
        <v>50</v>
      </c>
      <c r="M362" s="2">
        <v>76389.09</v>
      </c>
      <c r="N362" t="s">
        <v>3428</v>
      </c>
      <c r="O362" t="s">
        <v>52</v>
      </c>
      <c r="P362" t="str">
        <f>CONCATENATE("'",Tabla1[[#This Row],[Codigo]],"',")</f>
        <v>'00686',</v>
      </c>
    </row>
    <row r="363" spans="1:16" x14ac:dyDescent="0.25">
      <c r="A363" t="s">
        <v>3430</v>
      </c>
      <c r="B363" t="s">
        <v>3431</v>
      </c>
      <c r="C363" t="s">
        <v>3431</v>
      </c>
      <c r="D363" t="s">
        <v>3402</v>
      </c>
      <c r="E363" t="s">
        <v>134</v>
      </c>
      <c r="F363" t="s">
        <v>3432</v>
      </c>
      <c r="G363" t="s">
        <v>1444</v>
      </c>
      <c r="H363" t="s">
        <v>1064</v>
      </c>
      <c r="I363" t="s">
        <v>1062</v>
      </c>
      <c r="J363" t="s">
        <v>304</v>
      </c>
      <c r="K363" t="s">
        <v>72</v>
      </c>
      <c r="L363" t="s">
        <v>50</v>
      </c>
      <c r="M363" s="2">
        <v>152719</v>
      </c>
      <c r="N363" t="s">
        <v>64</v>
      </c>
      <c r="P363" t="str">
        <f>CONCATENATE("'",Tabla1[[#This Row],[Codigo]],"',")</f>
        <v>'00688',</v>
      </c>
    </row>
    <row r="364" spans="1:16" x14ac:dyDescent="0.25">
      <c r="A364" t="s">
        <v>3437</v>
      </c>
      <c r="B364" t="s">
        <v>3438</v>
      </c>
      <c r="C364" t="s">
        <v>3438</v>
      </c>
      <c r="D364" t="s">
        <v>153</v>
      </c>
      <c r="E364" t="s">
        <v>272</v>
      </c>
      <c r="F364" t="s">
        <v>3439</v>
      </c>
      <c r="G364" t="s">
        <v>1607</v>
      </c>
      <c r="H364" t="s">
        <v>1221</v>
      </c>
      <c r="I364" t="s">
        <v>1222</v>
      </c>
      <c r="J364" t="s">
        <v>205</v>
      </c>
      <c r="K364" t="s">
        <v>206</v>
      </c>
      <c r="L364" t="s">
        <v>50</v>
      </c>
      <c r="M364" s="2">
        <v>483899.22</v>
      </c>
      <c r="N364" t="s">
        <v>3442</v>
      </c>
      <c r="O364" t="s">
        <v>52</v>
      </c>
      <c r="P364" t="str">
        <f>CONCATENATE("'",Tabla1[[#This Row],[Codigo]],"',")</f>
        <v>'00690',</v>
      </c>
    </row>
    <row r="365" spans="1:16" x14ac:dyDescent="0.25">
      <c r="A365" t="s">
        <v>3443</v>
      </c>
      <c r="B365" t="s">
        <v>3444</v>
      </c>
      <c r="C365" t="s">
        <v>3444</v>
      </c>
      <c r="D365" t="s">
        <v>1941</v>
      </c>
      <c r="E365" t="s">
        <v>224</v>
      </c>
      <c r="F365" t="s">
        <v>3445</v>
      </c>
      <c r="G365" t="s">
        <v>1095</v>
      </c>
      <c r="H365" t="s">
        <v>1038</v>
      </c>
      <c r="I365" t="s">
        <v>1039</v>
      </c>
      <c r="J365" t="s">
        <v>304</v>
      </c>
      <c r="K365" t="s">
        <v>72</v>
      </c>
      <c r="L365" t="s">
        <v>50</v>
      </c>
      <c r="M365" s="2">
        <v>32726</v>
      </c>
      <c r="N365" t="s">
        <v>64</v>
      </c>
      <c r="P365" t="str">
        <f>CONCATENATE("'",Tabla1[[#This Row],[Codigo]],"',")</f>
        <v>'00691',</v>
      </c>
    </row>
    <row r="366" spans="1:16" x14ac:dyDescent="0.25">
      <c r="A366" t="s">
        <v>3450</v>
      </c>
      <c r="B366" t="s">
        <v>3451</v>
      </c>
      <c r="C366" t="s">
        <v>3451</v>
      </c>
      <c r="D366" t="s">
        <v>125</v>
      </c>
      <c r="E366" t="s">
        <v>126</v>
      </c>
      <c r="F366" t="s">
        <v>3452</v>
      </c>
      <c r="G366" t="s">
        <v>324</v>
      </c>
      <c r="H366" t="s">
        <v>326</v>
      </c>
      <c r="I366" t="s">
        <v>327</v>
      </c>
      <c r="J366" t="s">
        <v>120</v>
      </c>
      <c r="K366" t="s">
        <v>121</v>
      </c>
      <c r="L366" t="s">
        <v>50</v>
      </c>
      <c r="M366" s="2">
        <v>1622433.75</v>
      </c>
      <c r="N366" t="s">
        <v>3455</v>
      </c>
      <c r="O366" t="s">
        <v>52</v>
      </c>
      <c r="P366" t="str">
        <f>CONCATENATE("'",Tabla1[[#This Row],[Codigo]],"',")</f>
        <v>'00693',</v>
      </c>
    </row>
    <row r="367" spans="1:16" x14ac:dyDescent="0.25">
      <c r="A367" t="s">
        <v>3456</v>
      </c>
      <c r="B367" t="s">
        <v>3457</v>
      </c>
      <c r="C367" t="s">
        <v>3457</v>
      </c>
      <c r="D367" t="s">
        <v>153</v>
      </c>
      <c r="E367" t="s">
        <v>272</v>
      </c>
      <c r="F367" t="s">
        <v>3458</v>
      </c>
      <c r="G367" t="s">
        <v>300</v>
      </c>
      <c r="H367" t="s">
        <v>302</v>
      </c>
      <c r="I367" t="s">
        <v>303</v>
      </c>
      <c r="J367" t="s">
        <v>304</v>
      </c>
      <c r="K367" t="s">
        <v>72</v>
      </c>
      <c r="L367" t="s">
        <v>50</v>
      </c>
      <c r="M367" s="2">
        <v>910419.09</v>
      </c>
      <c r="N367" t="s">
        <v>3461</v>
      </c>
      <c r="O367" t="s">
        <v>52</v>
      </c>
      <c r="P367" t="str">
        <f>CONCATENATE("'",Tabla1[[#This Row],[Codigo]],"',")</f>
        <v>'00694',</v>
      </c>
    </row>
    <row r="368" spans="1:16" x14ac:dyDescent="0.25">
      <c r="A368" t="s">
        <v>3462</v>
      </c>
      <c r="B368" t="s">
        <v>3463</v>
      </c>
      <c r="C368" t="s">
        <v>3464</v>
      </c>
      <c r="D368" t="s">
        <v>35</v>
      </c>
      <c r="E368" t="s">
        <v>36</v>
      </c>
      <c r="F368" t="s">
        <v>3465</v>
      </c>
      <c r="G368" t="s">
        <v>300</v>
      </c>
      <c r="H368" t="s">
        <v>302</v>
      </c>
      <c r="I368" t="s">
        <v>303</v>
      </c>
      <c r="J368" t="s">
        <v>304</v>
      </c>
      <c r="K368" t="s">
        <v>72</v>
      </c>
      <c r="L368" t="s">
        <v>50</v>
      </c>
      <c r="M368" s="2">
        <v>5448.12</v>
      </c>
      <c r="N368" t="s">
        <v>3468</v>
      </c>
      <c r="O368" t="s">
        <v>115</v>
      </c>
      <c r="P368" t="str">
        <f>CONCATENATE("'",Tabla1[[#This Row],[Codigo]],"',")</f>
        <v>'00695',</v>
      </c>
    </row>
    <row r="369" spans="1:16" x14ac:dyDescent="0.25">
      <c r="A369" t="s">
        <v>3469</v>
      </c>
      <c r="B369" t="s">
        <v>3470</v>
      </c>
      <c r="C369" t="s">
        <v>3470</v>
      </c>
      <c r="D369" t="s">
        <v>125</v>
      </c>
      <c r="E369" t="s">
        <v>126</v>
      </c>
      <c r="F369" t="s">
        <v>3471</v>
      </c>
      <c r="G369" t="s">
        <v>300</v>
      </c>
      <c r="H369" t="s">
        <v>302</v>
      </c>
      <c r="I369" t="s">
        <v>303</v>
      </c>
      <c r="J369" t="s">
        <v>304</v>
      </c>
      <c r="K369" t="s">
        <v>72</v>
      </c>
      <c r="L369" t="s">
        <v>50</v>
      </c>
      <c r="M369" s="2">
        <v>462258.6</v>
      </c>
      <c r="N369" t="s">
        <v>3475</v>
      </c>
      <c r="P369" t="str">
        <f>CONCATENATE("'",Tabla1[[#This Row],[Codigo]],"',")</f>
        <v>'00696',</v>
      </c>
    </row>
    <row r="370" spans="1:16" x14ac:dyDescent="0.25">
      <c r="A370" t="s">
        <v>3478</v>
      </c>
      <c r="B370" t="s">
        <v>3479</v>
      </c>
      <c r="C370" t="s">
        <v>3479</v>
      </c>
      <c r="D370" t="s">
        <v>297</v>
      </c>
      <c r="E370" t="s">
        <v>167</v>
      </c>
      <c r="F370" t="s">
        <v>3480</v>
      </c>
      <c r="G370" t="s">
        <v>300</v>
      </c>
      <c r="H370" t="s">
        <v>302</v>
      </c>
      <c r="I370" t="s">
        <v>303</v>
      </c>
      <c r="J370" t="s">
        <v>304</v>
      </c>
      <c r="K370" t="s">
        <v>72</v>
      </c>
      <c r="L370" t="s">
        <v>50</v>
      </c>
      <c r="M370" s="2">
        <v>420229.17</v>
      </c>
      <c r="N370" t="s">
        <v>3483</v>
      </c>
      <c r="O370" t="s">
        <v>52</v>
      </c>
      <c r="P370" t="str">
        <f>CONCATENATE("'",Tabla1[[#This Row],[Codigo]],"',")</f>
        <v>'00698',</v>
      </c>
    </row>
    <row r="371" spans="1:16" x14ac:dyDescent="0.25">
      <c r="A371" t="s">
        <v>3494</v>
      </c>
      <c r="B371" t="s">
        <v>3495</v>
      </c>
      <c r="C371" t="s">
        <v>3495</v>
      </c>
      <c r="D371" t="s">
        <v>35</v>
      </c>
      <c r="E371" t="s">
        <v>36</v>
      </c>
      <c r="F371" t="s">
        <v>3496</v>
      </c>
      <c r="G371" t="s">
        <v>402</v>
      </c>
      <c r="H371" t="s">
        <v>403</v>
      </c>
      <c r="I371" t="s">
        <v>404</v>
      </c>
      <c r="J371" t="s">
        <v>205</v>
      </c>
      <c r="K371" t="s">
        <v>206</v>
      </c>
      <c r="L371" t="s">
        <v>50</v>
      </c>
      <c r="M371" s="2">
        <v>70278.06</v>
      </c>
      <c r="N371" t="s">
        <v>3499</v>
      </c>
      <c r="O371" t="s">
        <v>52</v>
      </c>
      <c r="P371" t="str">
        <f>CONCATENATE("'",Tabla1[[#This Row],[Codigo]],"',")</f>
        <v>'00705',</v>
      </c>
    </row>
    <row r="372" spans="1:16" x14ac:dyDescent="0.25">
      <c r="A372" t="s">
        <v>3500</v>
      </c>
      <c r="B372" t="s">
        <v>3501</v>
      </c>
      <c r="C372" t="s">
        <v>3501</v>
      </c>
      <c r="D372" t="s">
        <v>153</v>
      </c>
      <c r="E372" t="s">
        <v>272</v>
      </c>
      <c r="F372" t="s">
        <v>3502</v>
      </c>
      <c r="G372" t="s">
        <v>3503</v>
      </c>
      <c r="H372" t="s">
        <v>3505</v>
      </c>
      <c r="I372" t="s">
        <v>3506</v>
      </c>
      <c r="J372" t="s">
        <v>304</v>
      </c>
      <c r="K372" t="s">
        <v>72</v>
      </c>
      <c r="L372" t="s">
        <v>50</v>
      </c>
      <c r="M372" s="2">
        <v>143485.48000000001</v>
      </c>
      <c r="N372" t="s">
        <v>3508</v>
      </c>
      <c r="O372" t="s">
        <v>115</v>
      </c>
      <c r="P372" t="str">
        <f>CONCATENATE("'",Tabla1[[#This Row],[Codigo]],"',")</f>
        <v>'00706',</v>
      </c>
    </row>
    <row r="373" spans="1:16" x14ac:dyDescent="0.25">
      <c r="A373" t="s">
        <v>3520</v>
      </c>
      <c r="B373" t="s">
        <v>3521</v>
      </c>
      <c r="C373" t="s">
        <v>3522</v>
      </c>
      <c r="D373" t="s">
        <v>153</v>
      </c>
      <c r="E373" t="s">
        <v>272</v>
      </c>
      <c r="F373" t="s">
        <v>2267</v>
      </c>
      <c r="G373" t="s">
        <v>1607</v>
      </c>
      <c r="H373" t="s">
        <v>1221</v>
      </c>
      <c r="I373" t="s">
        <v>1222</v>
      </c>
      <c r="J373" t="s">
        <v>205</v>
      </c>
      <c r="K373" t="s">
        <v>206</v>
      </c>
      <c r="L373" t="s">
        <v>50</v>
      </c>
      <c r="M373" s="2">
        <v>375605.98</v>
      </c>
      <c r="N373" t="s">
        <v>3524</v>
      </c>
      <c r="O373" t="s">
        <v>52</v>
      </c>
      <c r="P373" t="str">
        <f>CONCATENATE("'",Tabla1[[#This Row],[Codigo]],"',")</f>
        <v>'00711',</v>
      </c>
    </row>
    <row r="374" spans="1:16" x14ac:dyDescent="0.25">
      <c r="A374" t="s">
        <v>3525</v>
      </c>
      <c r="B374" t="s">
        <v>3526</v>
      </c>
      <c r="C374" t="s">
        <v>2870</v>
      </c>
      <c r="D374" t="s">
        <v>153</v>
      </c>
      <c r="E374" t="s">
        <v>272</v>
      </c>
      <c r="F374" t="s">
        <v>2871</v>
      </c>
      <c r="G374" t="s">
        <v>1607</v>
      </c>
      <c r="H374" t="s">
        <v>1221</v>
      </c>
      <c r="I374" t="s">
        <v>1222</v>
      </c>
      <c r="J374" t="s">
        <v>205</v>
      </c>
      <c r="K374" t="s">
        <v>206</v>
      </c>
      <c r="L374" t="s">
        <v>50</v>
      </c>
      <c r="M374" s="2">
        <v>243521.13</v>
      </c>
      <c r="N374" t="s">
        <v>3529</v>
      </c>
      <c r="O374" t="s">
        <v>52</v>
      </c>
      <c r="P374" t="str">
        <f>CONCATENATE("'",Tabla1[[#This Row],[Codigo]],"',")</f>
        <v>'00712',</v>
      </c>
    </row>
    <row r="375" spans="1:16" x14ac:dyDescent="0.25">
      <c r="A375" s="15" t="s">
        <v>3530</v>
      </c>
      <c r="B375" s="15" t="s">
        <v>3531</v>
      </c>
      <c r="C375" s="15" t="s">
        <v>3531</v>
      </c>
      <c r="D375" s="15" t="s">
        <v>55</v>
      </c>
      <c r="E375" s="15" t="s">
        <v>56</v>
      </c>
      <c r="F375" s="15" t="s">
        <v>3532</v>
      </c>
      <c r="G375" s="15" t="s">
        <v>1444</v>
      </c>
      <c r="H375" s="15" t="s">
        <v>1064</v>
      </c>
      <c r="I375" s="15" t="s">
        <v>1062</v>
      </c>
      <c r="J375" s="15" t="s">
        <v>3534</v>
      </c>
      <c r="K375" s="15" t="s">
        <v>3535</v>
      </c>
      <c r="L375" s="15" t="s">
        <v>50</v>
      </c>
      <c r="M375" s="16">
        <v>21281.82</v>
      </c>
      <c r="N375" s="15" t="s">
        <v>3537</v>
      </c>
      <c r="O375" s="15" t="s">
        <v>115</v>
      </c>
      <c r="P375" t="str">
        <f>CONCATENATE("'",Tabla1[[#This Row],[Codigo]],"',")</f>
        <v>'00713',</v>
      </c>
    </row>
    <row r="376" spans="1:16" x14ac:dyDescent="0.25">
      <c r="A376" t="s">
        <v>3538</v>
      </c>
      <c r="B376" t="s">
        <v>3539</v>
      </c>
      <c r="C376" t="s">
        <v>3540</v>
      </c>
      <c r="D376" t="s">
        <v>847</v>
      </c>
      <c r="E376" t="s">
        <v>848</v>
      </c>
      <c r="F376" t="s">
        <v>2860</v>
      </c>
      <c r="G376" t="s">
        <v>402</v>
      </c>
      <c r="H376" t="s">
        <v>403</v>
      </c>
      <c r="I376" t="s">
        <v>404</v>
      </c>
      <c r="J376" t="s">
        <v>205</v>
      </c>
      <c r="K376" t="s">
        <v>206</v>
      </c>
      <c r="L376" t="s">
        <v>50</v>
      </c>
      <c r="M376" s="2">
        <v>415591.81</v>
      </c>
      <c r="N376" t="s">
        <v>3543</v>
      </c>
      <c r="P376" t="str">
        <f>CONCATENATE("'",Tabla1[[#This Row],[Codigo]],"',")</f>
        <v>'00714',</v>
      </c>
    </row>
    <row r="377" spans="1:16" x14ac:dyDescent="0.25">
      <c r="A377" t="s">
        <v>3546</v>
      </c>
      <c r="B377" t="s">
        <v>3547</v>
      </c>
      <c r="C377" t="s">
        <v>2997</v>
      </c>
      <c r="D377" t="s">
        <v>125</v>
      </c>
      <c r="E377" t="s">
        <v>126</v>
      </c>
      <c r="F377" t="s">
        <v>2998</v>
      </c>
      <c r="G377" t="s">
        <v>1444</v>
      </c>
      <c r="H377" t="s">
        <v>1064</v>
      </c>
      <c r="I377" t="s">
        <v>1062</v>
      </c>
      <c r="J377" t="s">
        <v>304</v>
      </c>
      <c r="K377" t="s">
        <v>72</v>
      </c>
      <c r="L377" t="s">
        <v>50</v>
      </c>
      <c r="M377" s="2">
        <v>214047.94</v>
      </c>
      <c r="N377" t="s">
        <v>3550</v>
      </c>
      <c r="O377" t="s">
        <v>115</v>
      </c>
      <c r="P377" t="str">
        <f>CONCATENATE("'",Tabla1[[#This Row],[Codigo]],"',")</f>
        <v>'00716',</v>
      </c>
    </row>
    <row r="378" spans="1:16" x14ac:dyDescent="0.25">
      <c r="A378" t="s">
        <v>3551</v>
      </c>
      <c r="B378" t="s">
        <v>3552</v>
      </c>
      <c r="C378" t="s">
        <v>3552</v>
      </c>
      <c r="D378" t="s">
        <v>125</v>
      </c>
      <c r="E378" t="s">
        <v>126</v>
      </c>
      <c r="F378" t="s">
        <v>3553</v>
      </c>
      <c r="G378" t="s">
        <v>300</v>
      </c>
      <c r="H378" t="s">
        <v>302</v>
      </c>
      <c r="I378" t="s">
        <v>303</v>
      </c>
      <c r="J378" t="s">
        <v>304</v>
      </c>
      <c r="K378" t="s">
        <v>72</v>
      </c>
      <c r="L378" t="s">
        <v>50</v>
      </c>
      <c r="M378" s="2">
        <v>106979.92</v>
      </c>
      <c r="N378" t="s">
        <v>3556</v>
      </c>
      <c r="O378" t="s">
        <v>115</v>
      </c>
      <c r="P378" t="str">
        <f>CONCATENATE("'",Tabla1[[#This Row],[Codigo]],"',")</f>
        <v>'00717',</v>
      </c>
    </row>
    <row r="379" spans="1:16" x14ac:dyDescent="0.25">
      <c r="A379" t="s">
        <v>3560</v>
      </c>
      <c r="B379" t="s">
        <v>3561</v>
      </c>
      <c r="C379" t="s">
        <v>3562</v>
      </c>
      <c r="D379" t="s">
        <v>555</v>
      </c>
      <c r="E379" t="s">
        <v>1502</v>
      </c>
      <c r="F379" t="s">
        <v>3563</v>
      </c>
      <c r="G379" t="s">
        <v>300</v>
      </c>
      <c r="H379" t="s">
        <v>302</v>
      </c>
      <c r="I379" t="s">
        <v>303</v>
      </c>
      <c r="J379" t="s">
        <v>304</v>
      </c>
      <c r="K379" t="s">
        <v>72</v>
      </c>
      <c r="L379" t="s">
        <v>50</v>
      </c>
      <c r="M379" s="2">
        <v>22396</v>
      </c>
      <c r="N379" t="s">
        <v>64</v>
      </c>
      <c r="P379" t="str">
        <f>CONCATENATE("'",Tabla1[[#This Row],[Codigo]],"',")</f>
        <v>'00720',</v>
      </c>
    </row>
    <row r="380" spans="1:16" x14ac:dyDescent="0.25">
      <c r="A380" t="s">
        <v>3568</v>
      </c>
      <c r="B380" t="s">
        <v>3569</v>
      </c>
      <c r="C380" t="s">
        <v>3569</v>
      </c>
      <c r="D380" t="s">
        <v>577</v>
      </c>
      <c r="E380" t="s">
        <v>134</v>
      </c>
      <c r="F380" t="s">
        <v>3570</v>
      </c>
      <c r="G380" t="s">
        <v>3571</v>
      </c>
      <c r="H380" t="s">
        <v>2113</v>
      </c>
      <c r="I380" t="s">
        <v>2114</v>
      </c>
      <c r="J380" t="s">
        <v>103</v>
      </c>
      <c r="K380" t="s">
        <v>104</v>
      </c>
      <c r="L380" t="s">
        <v>50</v>
      </c>
      <c r="M380" s="2">
        <v>130902</v>
      </c>
      <c r="N380" t="s">
        <v>64</v>
      </c>
      <c r="P380" t="str">
        <f>CONCATENATE("'",Tabla1[[#This Row],[Codigo]],"',")</f>
        <v>'00722',</v>
      </c>
    </row>
    <row r="381" spans="1:16" x14ac:dyDescent="0.25">
      <c r="A381" t="s">
        <v>3576</v>
      </c>
      <c r="B381" t="s">
        <v>3577</v>
      </c>
      <c r="C381" t="s">
        <v>3577</v>
      </c>
      <c r="D381" t="s">
        <v>125</v>
      </c>
      <c r="E381" t="s">
        <v>126</v>
      </c>
      <c r="F381" t="s">
        <v>3578</v>
      </c>
      <c r="G381" t="s">
        <v>902</v>
      </c>
      <c r="H381" t="s">
        <v>904</v>
      </c>
      <c r="I381" t="s">
        <v>905</v>
      </c>
      <c r="J381" t="s">
        <v>304</v>
      </c>
      <c r="K381" t="s">
        <v>72</v>
      </c>
      <c r="L381" t="s">
        <v>50</v>
      </c>
      <c r="M381" s="2">
        <v>848232.36</v>
      </c>
      <c r="N381" t="s">
        <v>3581</v>
      </c>
      <c r="O381" t="s">
        <v>52</v>
      </c>
      <c r="P381" t="str">
        <f>CONCATENATE("'",Tabla1[[#This Row],[Codigo]],"',")</f>
        <v>'00724',</v>
      </c>
    </row>
    <row r="382" spans="1:16" x14ac:dyDescent="0.25">
      <c r="A382" s="15" t="s">
        <v>3582</v>
      </c>
      <c r="B382" s="15" t="s">
        <v>3583</v>
      </c>
      <c r="C382" s="15" t="s">
        <v>3583</v>
      </c>
      <c r="D382" s="15" t="s">
        <v>55</v>
      </c>
      <c r="E382" s="15" t="s">
        <v>56</v>
      </c>
      <c r="F382" s="15" t="s">
        <v>3584</v>
      </c>
      <c r="G382" s="15" t="s">
        <v>402</v>
      </c>
      <c r="H382" s="15" t="s">
        <v>403</v>
      </c>
      <c r="I382" s="15" t="s">
        <v>404</v>
      </c>
      <c r="J382" s="15" t="s">
        <v>205</v>
      </c>
      <c r="K382" s="15" t="s">
        <v>206</v>
      </c>
      <c r="L382" s="15" t="s">
        <v>50</v>
      </c>
      <c r="M382" s="16">
        <v>3483.78</v>
      </c>
      <c r="N382" s="15" t="s">
        <v>3587</v>
      </c>
      <c r="O382" s="15" t="s">
        <v>115</v>
      </c>
      <c r="P382" t="str">
        <f>CONCATENATE("'",Tabla1[[#This Row],[Codigo]],"',")</f>
        <v>'00725',</v>
      </c>
    </row>
    <row r="383" spans="1:16" x14ac:dyDescent="0.25">
      <c r="A383" s="15" t="s">
        <v>3588</v>
      </c>
      <c r="B383" s="15" t="s">
        <v>3589</v>
      </c>
      <c r="C383" s="15" t="s">
        <v>3589</v>
      </c>
      <c r="D383" s="15" t="s">
        <v>55</v>
      </c>
      <c r="E383" s="15" t="s">
        <v>56</v>
      </c>
      <c r="F383" s="15" t="s">
        <v>3590</v>
      </c>
      <c r="G383" s="15" t="s">
        <v>300</v>
      </c>
      <c r="H383" s="15" t="s">
        <v>302</v>
      </c>
      <c r="I383" s="15" t="s">
        <v>303</v>
      </c>
      <c r="J383" s="15" t="s">
        <v>304</v>
      </c>
      <c r="K383" s="15" t="s">
        <v>72</v>
      </c>
      <c r="L383" s="15" t="s">
        <v>50</v>
      </c>
      <c r="M383" s="16">
        <v>-8076.03</v>
      </c>
      <c r="N383" s="15" t="s">
        <v>3593</v>
      </c>
      <c r="O383" s="15" t="s">
        <v>115</v>
      </c>
      <c r="P383" t="str">
        <f>CONCATENATE("'",Tabla1[[#This Row],[Codigo]],"',")</f>
        <v>'00726',</v>
      </c>
    </row>
    <row r="384" spans="1:16" x14ac:dyDescent="0.25">
      <c r="A384" t="s">
        <v>3596</v>
      </c>
      <c r="B384" t="s">
        <v>3597</v>
      </c>
      <c r="C384" t="s">
        <v>3597</v>
      </c>
      <c r="D384" t="s">
        <v>847</v>
      </c>
      <c r="E384" t="s">
        <v>848</v>
      </c>
      <c r="F384" t="s">
        <v>3598</v>
      </c>
      <c r="G384" t="s">
        <v>1444</v>
      </c>
      <c r="H384" t="s">
        <v>1064</v>
      </c>
      <c r="I384" t="s">
        <v>1062</v>
      </c>
      <c r="J384" t="s">
        <v>304</v>
      </c>
      <c r="K384" t="s">
        <v>72</v>
      </c>
      <c r="L384" t="s">
        <v>50</v>
      </c>
      <c r="M384" s="2">
        <v>417649.03</v>
      </c>
      <c r="N384" t="s">
        <v>3601</v>
      </c>
      <c r="O384" t="s">
        <v>52</v>
      </c>
      <c r="P384" t="str">
        <f>CONCATENATE("'",Tabla1[[#This Row],[Codigo]],"',")</f>
        <v>'00728',</v>
      </c>
    </row>
    <row r="385" spans="1:16" x14ac:dyDescent="0.25">
      <c r="A385" t="s">
        <v>3604</v>
      </c>
      <c r="B385" t="s">
        <v>3605</v>
      </c>
      <c r="C385" t="s">
        <v>3605</v>
      </c>
      <c r="D385" t="s">
        <v>35</v>
      </c>
      <c r="E385" t="s">
        <v>36</v>
      </c>
      <c r="F385" t="s">
        <v>3606</v>
      </c>
      <c r="G385" t="s">
        <v>1444</v>
      </c>
      <c r="H385" t="s">
        <v>1064</v>
      </c>
      <c r="I385" t="s">
        <v>1062</v>
      </c>
      <c r="J385" t="s">
        <v>304</v>
      </c>
      <c r="K385" t="s">
        <v>72</v>
      </c>
      <c r="L385" t="s">
        <v>50</v>
      </c>
      <c r="M385" s="2">
        <v>10055.219999999999</v>
      </c>
      <c r="N385" t="s">
        <v>3609</v>
      </c>
      <c r="O385" t="s">
        <v>115</v>
      </c>
      <c r="P385" t="str">
        <f>CONCATENATE("'",Tabla1[[#This Row],[Codigo]],"',")</f>
        <v>'00730',</v>
      </c>
    </row>
    <row r="386" spans="1:16" x14ac:dyDescent="0.25">
      <c r="A386" t="s">
        <v>3612</v>
      </c>
      <c r="B386" t="s">
        <v>3613</v>
      </c>
      <c r="C386" t="s">
        <v>3613</v>
      </c>
      <c r="D386" t="s">
        <v>1245</v>
      </c>
      <c r="E386" t="s">
        <v>224</v>
      </c>
      <c r="F386" t="s">
        <v>3614</v>
      </c>
      <c r="G386" t="s">
        <v>300</v>
      </c>
      <c r="H386" t="s">
        <v>302</v>
      </c>
      <c r="I386" t="s">
        <v>303</v>
      </c>
      <c r="J386" t="s">
        <v>304</v>
      </c>
      <c r="K386" t="s">
        <v>72</v>
      </c>
      <c r="L386" t="s">
        <v>50</v>
      </c>
      <c r="M386" s="2">
        <v>218170</v>
      </c>
      <c r="N386" t="s">
        <v>64</v>
      </c>
      <c r="P386" t="str">
        <f>CONCATENATE("'",Tabla1[[#This Row],[Codigo]],"',")</f>
        <v>'00732',</v>
      </c>
    </row>
    <row r="387" spans="1:16" x14ac:dyDescent="0.25">
      <c r="A387" t="s">
        <v>3617</v>
      </c>
      <c r="B387" t="s">
        <v>3618</v>
      </c>
      <c r="C387" t="s">
        <v>3618</v>
      </c>
      <c r="D387" t="s">
        <v>870</v>
      </c>
      <c r="E387" t="s">
        <v>871</v>
      </c>
      <c r="F387" t="s">
        <v>3619</v>
      </c>
      <c r="G387" t="s">
        <v>65</v>
      </c>
      <c r="H387" t="s">
        <v>67</v>
      </c>
      <c r="I387" t="s">
        <v>68</v>
      </c>
      <c r="J387" t="s">
        <v>69</v>
      </c>
      <c r="K387" t="s">
        <v>70</v>
      </c>
      <c r="L387" t="s">
        <v>50</v>
      </c>
      <c r="M387" s="2">
        <v>54543</v>
      </c>
      <c r="N387" t="s">
        <v>64</v>
      </c>
      <c r="P387" t="str">
        <f>CONCATENATE("'",Tabla1[[#This Row],[Codigo]],"',")</f>
        <v>'00733',</v>
      </c>
    </row>
    <row r="388" spans="1:16" x14ac:dyDescent="0.25">
      <c r="A388" t="s">
        <v>3624</v>
      </c>
      <c r="B388" t="s">
        <v>3625</v>
      </c>
      <c r="C388" t="s">
        <v>3625</v>
      </c>
      <c r="D388" t="s">
        <v>125</v>
      </c>
      <c r="E388" t="s">
        <v>126</v>
      </c>
      <c r="F388" t="s">
        <v>3626</v>
      </c>
      <c r="G388" t="s">
        <v>38</v>
      </c>
      <c r="H388" t="s">
        <v>40</v>
      </c>
      <c r="I388" t="s">
        <v>41</v>
      </c>
      <c r="J388" t="s">
        <v>61</v>
      </c>
      <c r="K388" t="s">
        <v>62</v>
      </c>
      <c r="L388" t="s">
        <v>50</v>
      </c>
      <c r="M388" s="2">
        <v>142167.51</v>
      </c>
      <c r="N388" t="s">
        <v>3629</v>
      </c>
      <c r="O388" t="s">
        <v>52</v>
      </c>
      <c r="P388" t="str">
        <f>CONCATENATE("'",Tabla1[[#This Row],[Codigo]],"',")</f>
        <v>'00735',</v>
      </c>
    </row>
    <row r="389" spans="1:16" x14ac:dyDescent="0.25">
      <c r="A389" t="s">
        <v>3630</v>
      </c>
      <c r="B389" t="s">
        <v>3631</v>
      </c>
      <c r="C389" t="s">
        <v>3631</v>
      </c>
      <c r="D389" t="s">
        <v>569</v>
      </c>
      <c r="E389" t="s">
        <v>570</v>
      </c>
      <c r="F389" t="s">
        <v>3632</v>
      </c>
      <c r="G389" t="s">
        <v>1607</v>
      </c>
      <c r="H389" t="s">
        <v>1221</v>
      </c>
      <c r="I389" t="s">
        <v>1222</v>
      </c>
      <c r="J389" t="s">
        <v>205</v>
      </c>
      <c r="K389" t="s">
        <v>206</v>
      </c>
      <c r="L389" t="s">
        <v>50</v>
      </c>
      <c r="M389" s="2">
        <v>65451</v>
      </c>
      <c r="N389" t="s">
        <v>64</v>
      </c>
      <c r="P389" t="str">
        <f>CONCATENATE("'",Tabla1[[#This Row],[Codigo]],"',")</f>
        <v>'00736',</v>
      </c>
    </row>
    <row r="390" spans="1:16" x14ac:dyDescent="0.25">
      <c r="A390" t="s">
        <v>3635</v>
      </c>
      <c r="B390" t="s">
        <v>3636</v>
      </c>
      <c r="C390" t="s">
        <v>3636</v>
      </c>
      <c r="D390" t="s">
        <v>125</v>
      </c>
      <c r="E390" t="s">
        <v>126</v>
      </c>
      <c r="F390" t="s">
        <v>3637</v>
      </c>
      <c r="G390" t="s">
        <v>38</v>
      </c>
      <c r="H390" t="s">
        <v>40</v>
      </c>
      <c r="I390" t="s">
        <v>41</v>
      </c>
      <c r="J390" t="s">
        <v>61</v>
      </c>
      <c r="K390" t="s">
        <v>62</v>
      </c>
      <c r="L390" t="s">
        <v>50</v>
      </c>
      <c r="M390" s="2">
        <v>109084.42</v>
      </c>
      <c r="N390" t="s">
        <v>3640</v>
      </c>
      <c r="P390" t="str">
        <f>CONCATENATE("'",Tabla1[[#This Row],[Codigo]],"',")</f>
        <v>'00737',</v>
      </c>
    </row>
    <row r="391" spans="1:16" x14ac:dyDescent="0.25">
      <c r="A391" t="s">
        <v>3652</v>
      </c>
      <c r="B391" t="s">
        <v>3653</v>
      </c>
      <c r="C391" t="s">
        <v>3653</v>
      </c>
      <c r="D391" t="s">
        <v>498</v>
      </c>
      <c r="E391" t="s">
        <v>190</v>
      </c>
      <c r="F391" t="s">
        <v>3654</v>
      </c>
      <c r="G391" t="s">
        <v>358</v>
      </c>
      <c r="H391" t="s">
        <v>360</v>
      </c>
      <c r="I391" t="s">
        <v>361</v>
      </c>
      <c r="J391" t="s">
        <v>61</v>
      </c>
      <c r="K391" t="s">
        <v>62</v>
      </c>
      <c r="L391" t="s">
        <v>50</v>
      </c>
      <c r="M391" s="2">
        <v>21817</v>
      </c>
      <c r="N391" t="s">
        <v>64</v>
      </c>
      <c r="P391" t="str">
        <f>CONCATENATE("'",Tabla1[[#This Row],[Codigo]],"',")</f>
        <v>'00741',</v>
      </c>
    </row>
    <row r="392" spans="1:16" x14ac:dyDescent="0.25">
      <c r="A392" t="s">
        <v>3663</v>
      </c>
      <c r="B392" t="s">
        <v>3664</v>
      </c>
      <c r="C392" t="s">
        <v>3664</v>
      </c>
      <c r="D392" t="s">
        <v>1410</v>
      </c>
      <c r="E392" t="s">
        <v>871</v>
      </c>
      <c r="F392" t="s">
        <v>3665</v>
      </c>
      <c r="G392" t="s">
        <v>3302</v>
      </c>
      <c r="H392" t="s">
        <v>3301</v>
      </c>
      <c r="I392" t="s">
        <v>3302</v>
      </c>
      <c r="J392" t="s">
        <v>205</v>
      </c>
      <c r="K392" t="s">
        <v>206</v>
      </c>
      <c r="L392" t="s">
        <v>50</v>
      </c>
      <c r="M392" s="2">
        <v>491260.34</v>
      </c>
      <c r="N392" t="s">
        <v>3668</v>
      </c>
      <c r="P392" t="str">
        <f>CONCATENATE("'",Tabla1[[#This Row],[Codigo]],"',")</f>
        <v>'00745',</v>
      </c>
    </row>
    <row r="393" spans="1:16" x14ac:dyDescent="0.25">
      <c r="A393" t="s">
        <v>3670</v>
      </c>
      <c r="B393" t="s">
        <v>3671</v>
      </c>
      <c r="C393" t="s">
        <v>2870</v>
      </c>
      <c r="D393" t="s">
        <v>35</v>
      </c>
      <c r="E393" t="s">
        <v>36</v>
      </c>
      <c r="F393" t="s">
        <v>2871</v>
      </c>
      <c r="G393" t="s">
        <v>1581</v>
      </c>
      <c r="H393" t="s">
        <v>203</v>
      </c>
      <c r="I393" t="s">
        <v>204</v>
      </c>
      <c r="J393" t="s">
        <v>205</v>
      </c>
      <c r="K393" t="s">
        <v>206</v>
      </c>
      <c r="L393" t="s">
        <v>50</v>
      </c>
      <c r="M393" s="2">
        <v>379867.3</v>
      </c>
      <c r="N393" t="s">
        <v>3674</v>
      </c>
      <c r="O393" t="s">
        <v>52</v>
      </c>
      <c r="P393" t="str">
        <f>CONCATENATE("'",Tabla1[[#This Row],[Codigo]],"',")</f>
        <v>'00747',</v>
      </c>
    </row>
    <row r="394" spans="1:16" x14ac:dyDescent="0.25">
      <c r="A394" t="s">
        <v>3675</v>
      </c>
      <c r="B394" t="s">
        <v>3676</v>
      </c>
      <c r="C394" t="s">
        <v>3676</v>
      </c>
      <c r="D394" t="s">
        <v>125</v>
      </c>
      <c r="E394" t="s">
        <v>126</v>
      </c>
      <c r="F394" t="s">
        <v>3677</v>
      </c>
      <c r="G394" t="s">
        <v>324</v>
      </c>
      <c r="H394" t="s">
        <v>326</v>
      </c>
      <c r="I394" t="s">
        <v>327</v>
      </c>
      <c r="J394" t="s">
        <v>120</v>
      </c>
      <c r="K394" t="s">
        <v>121</v>
      </c>
      <c r="L394" t="s">
        <v>50</v>
      </c>
      <c r="M394" s="2">
        <v>72478.240000000005</v>
      </c>
      <c r="N394" t="s">
        <v>3680</v>
      </c>
      <c r="O394" t="s">
        <v>52</v>
      </c>
      <c r="P394" t="str">
        <f>CONCATENATE("'",Tabla1[[#This Row],[Codigo]],"',")</f>
        <v>'00748',</v>
      </c>
    </row>
    <row r="395" spans="1:16" x14ac:dyDescent="0.25">
      <c r="A395" t="s">
        <v>3681</v>
      </c>
      <c r="B395" t="s">
        <v>3682</v>
      </c>
      <c r="C395" t="s">
        <v>3682</v>
      </c>
      <c r="D395" t="s">
        <v>297</v>
      </c>
      <c r="E395" t="s">
        <v>167</v>
      </c>
      <c r="F395" t="s">
        <v>3683</v>
      </c>
      <c r="G395" t="s">
        <v>402</v>
      </c>
      <c r="H395" t="s">
        <v>403</v>
      </c>
      <c r="I395" t="s">
        <v>404</v>
      </c>
      <c r="J395" t="s">
        <v>205</v>
      </c>
      <c r="K395" t="s">
        <v>206</v>
      </c>
      <c r="L395" t="s">
        <v>50</v>
      </c>
      <c r="M395" s="2">
        <v>124372.56</v>
      </c>
      <c r="N395" t="s">
        <v>3686</v>
      </c>
      <c r="O395" t="s">
        <v>115</v>
      </c>
      <c r="P395" t="str">
        <f>CONCATENATE("'",Tabla1[[#This Row],[Codigo]],"',")</f>
        <v>'00749',</v>
      </c>
    </row>
    <row r="396" spans="1:16" x14ac:dyDescent="0.25">
      <c r="A396" t="s">
        <v>3696</v>
      </c>
      <c r="B396" t="s">
        <v>3697</v>
      </c>
      <c r="C396" t="s">
        <v>2726</v>
      </c>
      <c r="D396" t="s">
        <v>178</v>
      </c>
      <c r="E396" t="s">
        <v>179</v>
      </c>
      <c r="F396" t="s">
        <v>2727</v>
      </c>
      <c r="G396" t="s">
        <v>1607</v>
      </c>
      <c r="H396" t="s">
        <v>1221</v>
      </c>
      <c r="I396" t="s">
        <v>1222</v>
      </c>
      <c r="J396" t="s">
        <v>205</v>
      </c>
      <c r="K396" t="s">
        <v>206</v>
      </c>
      <c r="L396" t="s">
        <v>50</v>
      </c>
      <c r="M396" s="2">
        <v>343126.44</v>
      </c>
      <c r="N396" t="s">
        <v>3700</v>
      </c>
      <c r="O396" t="s">
        <v>52</v>
      </c>
      <c r="P396" t="str">
        <f>CONCATENATE("'",Tabla1[[#This Row],[Codigo]],"',")</f>
        <v>'00753',</v>
      </c>
    </row>
    <row r="397" spans="1:16" x14ac:dyDescent="0.25">
      <c r="A397" t="s">
        <v>3701</v>
      </c>
      <c r="B397" t="s">
        <v>3702</v>
      </c>
      <c r="C397" t="s">
        <v>2484</v>
      </c>
      <c r="D397" t="s">
        <v>35</v>
      </c>
      <c r="E397" t="s">
        <v>36</v>
      </c>
      <c r="F397" t="s">
        <v>2267</v>
      </c>
      <c r="G397" t="s">
        <v>1222</v>
      </c>
      <c r="H397" t="s">
        <v>1221</v>
      </c>
      <c r="I397" t="s">
        <v>1222</v>
      </c>
      <c r="J397" t="s">
        <v>2320</v>
      </c>
      <c r="K397" t="s">
        <v>2321</v>
      </c>
      <c r="L397" t="s">
        <v>50</v>
      </c>
      <c r="M397" s="2">
        <v>78270.740000000005</v>
      </c>
      <c r="N397" t="s">
        <v>3704</v>
      </c>
      <c r="O397" t="s">
        <v>52</v>
      </c>
      <c r="P397" t="str">
        <f>CONCATENATE("'",Tabla1[[#This Row],[Codigo]],"',")</f>
        <v>'00754',</v>
      </c>
    </row>
    <row r="398" spans="1:16" x14ac:dyDescent="0.25">
      <c r="A398" t="s">
        <v>3705</v>
      </c>
      <c r="B398" t="s">
        <v>3706</v>
      </c>
      <c r="C398" t="s">
        <v>3706</v>
      </c>
      <c r="D398" t="s">
        <v>2118</v>
      </c>
      <c r="E398" t="s">
        <v>871</v>
      </c>
      <c r="F398" t="s">
        <v>3707</v>
      </c>
      <c r="G398" t="s">
        <v>1330</v>
      </c>
      <c r="H398" t="s">
        <v>1332</v>
      </c>
      <c r="I398" t="s">
        <v>1330</v>
      </c>
      <c r="J398" t="s">
        <v>69</v>
      </c>
      <c r="K398" t="s">
        <v>70</v>
      </c>
      <c r="L398" t="s">
        <v>50</v>
      </c>
      <c r="M398" s="2">
        <v>32726</v>
      </c>
      <c r="N398" t="s">
        <v>64</v>
      </c>
      <c r="P398" t="str">
        <f>CONCATENATE("'",Tabla1[[#This Row],[Codigo]],"',")</f>
        <v>'00755',</v>
      </c>
    </row>
    <row r="399" spans="1:16" x14ac:dyDescent="0.25">
      <c r="A399" t="s">
        <v>3712</v>
      </c>
      <c r="B399" t="s">
        <v>3713</v>
      </c>
      <c r="C399" t="s">
        <v>3713</v>
      </c>
      <c r="D399" t="s">
        <v>153</v>
      </c>
      <c r="E399" t="s">
        <v>272</v>
      </c>
      <c r="F399" t="s">
        <v>3714</v>
      </c>
      <c r="G399" t="s">
        <v>2382</v>
      </c>
      <c r="H399" t="s">
        <v>2384</v>
      </c>
      <c r="I399" t="s">
        <v>2385</v>
      </c>
      <c r="J399" t="s">
        <v>103</v>
      </c>
      <c r="K399" t="s">
        <v>104</v>
      </c>
      <c r="L399" t="s">
        <v>50</v>
      </c>
      <c r="M399" s="2">
        <v>20262.080000000002</v>
      </c>
      <c r="N399" t="s">
        <v>3717</v>
      </c>
      <c r="O399" t="s">
        <v>52</v>
      </c>
      <c r="P399" t="str">
        <f>CONCATENATE("'",Tabla1[[#This Row],[Codigo]],"',")</f>
        <v>'00757',</v>
      </c>
    </row>
    <row r="400" spans="1:16" x14ac:dyDescent="0.25">
      <c r="A400" t="s">
        <v>3720</v>
      </c>
      <c r="B400" t="s">
        <v>3721</v>
      </c>
      <c r="C400" t="s">
        <v>3721</v>
      </c>
      <c r="D400" t="s">
        <v>169</v>
      </c>
      <c r="E400" t="s">
        <v>190</v>
      </c>
      <c r="F400" t="s">
        <v>3722</v>
      </c>
      <c r="G400" t="s">
        <v>1039</v>
      </c>
      <c r="H400" t="s">
        <v>1038</v>
      </c>
      <c r="I400" t="s">
        <v>1039</v>
      </c>
      <c r="J400" t="s">
        <v>304</v>
      </c>
      <c r="K400" t="s">
        <v>72</v>
      </c>
      <c r="L400" t="s">
        <v>50</v>
      </c>
      <c r="M400" s="2">
        <v>55463.19</v>
      </c>
      <c r="N400" t="s">
        <v>3725</v>
      </c>
      <c r="O400" t="s">
        <v>52</v>
      </c>
      <c r="P400" t="str">
        <f>CONCATENATE("'",Tabla1[[#This Row],[Codigo]],"',")</f>
        <v>'00759',</v>
      </c>
    </row>
    <row r="401" spans="1:16" x14ac:dyDescent="0.25">
      <c r="A401" t="s">
        <v>3726</v>
      </c>
      <c r="B401" t="s">
        <v>3727</v>
      </c>
      <c r="C401" t="s">
        <v>3727</v>
      </c>
      <c r="D401" t="s">
        <v>35</v>
      </c>
      <c r="E401" t="s">
        <v>36</v>
      </c>
      <c r="F401" t="s">
        <v>3728</v>
      </c>
      <c r="G401" t="s">
        <v>3729</v>
      </c>
      <c r="H401" t="s">
        <v>1332</v>
      </c>
      <c r="I401" t="s">
        <v>1330</v>
      </c>
      <c r="J401" t="s">
        <v>69</v>
      </c>
      <c r="K401" t="s">
        <v>70</v>
      </c>
      <c r="L401" t="s">
        <v>50</v>
      </c>
      <c r="M401" s="2">
        <v>49766</v>
      </c>
      <c r="N401" t="s">
        <v>3731</v>
      </c>
      <c r="P401" t="str">
        <f>CONCATENATE("'",Tabla1[[#This Row],[Codigo]],"',")</f>
        <v>'00760',</v>
      </c>
    </row>
    <row r="402" spans="1:16" x14ac:dyDescent="0.25">
      <c r="A402" t="s">
        <v>3739</v>
      </c>
      <c r="B402" t="s">
        <v>3740</v>
      </c>
      <c r="C402" t="s">
        <v>3740</v>
      </c>
      <c r="D402" t="s">
        <v>847</v>
      </c>
      <c r="E402" t="s">
        <v>848</v>
      </c>
      <c r="F402" t="s">
        <v>3741</v>
      </c>
      <c r="G402" t="s">
        <v>38</v>
      </c>
      <c r="H402" t="s">
        <v>40</v>
      </c>
      <c r="I402" t="s">
        <v>41</v>
      </c>
      <c r="J402" t="s">
        <v>61</v>
      </c>
      <c r="K402" t="s">
        <v>62</v>
      </c>
      <c r="L402" t="s">
        <v>50</v>
      </c>
      <c r="M402" s="2">
        <v>262309.88</v>
      </c>
      <c r="N402" t="s">
        <v>3744</v>
      </c>
      <c r="O402" t="s">
        <v>52</v>
      </c>
      <c r="P402" t="str">
        <f>CONCATENATE("'",Tabla1[[#This Row],[Codigo]],"',")</f>
        <v>'00763',</v>
      </c>
    </row>
    <row r="403" spans="1:16" x14ac:dyDescent="0.25">
      <c r="A403" t="s">
        <v>3747</v>
      </c>
      <c r="B403" t="s">
        <v>3748</v>
      </c>
      <c r="C403" t="s">
        <v>3748</v>
      </c>
      <c r="D403" t="s">
        <v>35</v>
      </c>
      <c r="E403" t="s">
        <v>36</v>
      </c>
      <c r="F403" t="s">
        <v>3749</v>
      </c>
      <c r="G403" t="s">
        <v>3750</v>
      </c>
      <c r="H403" t="s">
        <v>3752</v>
      </c>
      <c r="I403" t="s">
        <v>3753</v>
      </c>
      <c r="J403" t="s">
        <v>158</v>
      </c>
      <c r="K403" t="s">
        <v>159</v>
      </c>
      <c r="L403" t="s">
        <v>50</v>
      </c>
      <c r="M403" s="2">
        <v>902893.27</v>
      </c>
      <c r="N403" t="s">
        <v>3755</v>
      </c>
      <c r="O403" t="s">
        <v>52</v>
      </c>
      <c r="P403" t="str">
        <f>CONCATENATE("'",Tabla1[[#This Row],[Codigo]],"',")</f>
        <v>'00765',</v>
      </c>
    </row>
    <row r="404" spans="1:16" x14ac:dyDescent="0.25">
      <c r="A404" t="s">
        <v>3758</v>
      </c>
      <c r="B404" t="s">
        <v>3759</v>
      </c>
      <c r="C404" t="s">
        <v>3759</v>
      </c>
      <c r="D404" t="s">
        <v>519</v>
      </c>
      <c r="E404" t="s">
        <v>77</v>
      </c>
      <c r="F404" t="s">
        <v>3760</v>
      </c>
      <c r="G404" t="s">
        <v>402</v>
      </c>
      <c r="H404" t="s">
        <v>403</v>
      </c>
      <c r="I404" t="s">
        <v>404</v>
      </c>
      <c r="J404" t="s">
        <v>205</v>
      </c>
      <c r="K404" t="s">
        <v>206</v>
      </c>
      <c r="L404" t="s">
        <v>50</v>
      </c>
      <c r="M404" s="2">
        <v>89034.79</v>
      </c>
      <c r="N404" t="s">
        <v>3763</v>
      </c>
      <c r="O404" t="s">
        <v>115</v>
      </c>
      <c r="P404" t="str">
        <f>CONCATENATE("'",Tabla1[[#This Row],[Codigo]],"',")</f>
        <v>'00767',</v>
      </c>
    </row>
    <row r="405" spans="1:16" x14ac:dyDescent="0.25">
      <c r="A405" t="s">
        <v>3766</v>
      </c>
      <c r="B405" t="s">
        <v>3767</v>
      </c>
      <c r="C405" t="s">
        <v>3767</v>
      </c>
      <c r="D405" t="s">
        <v>297</v>
      </c>
      <c r="E405" t="s">
        <v>167</v>
      </c>
      <c r="F405" t="s">
        <v>3768</v>
      </c>
      <c r="G405" t="s">
        <v>1581</v>
      </c>
      <c r="H405" t="s">
        <v>203</v>
      </c>
      <c r="I405" t="s">
        <v>204</v>
      </c>
      <c r="J405" t="s">
        <v>205</v>
      </c>
      <c r="K405" t="s">
        <v>206</v>
      </c>
      <c r="L405" t="s">
        <v>50</v>
      </c>
      <c r="M405" s="2">
        <v>21817</v>
      </c>
      <c r="N405" t="s">
        <v>64</v>
      </c>
      <c r="P405" t="str">
        <f>CONCATENATE("'",Tabla1[[#This Row],[Codigo]],"',")</f>
        <v>'00769',</v>
      </c>
    </row>
    <row r="406" spans="1:16" x14ac:dyDescent="0.25">
      <c r="A406" t="s">
        <v>3773</v>
      </c>
      <c r="B406" t="s">
        <v>3774</v>
      </c>
      <c r="C406" t="s">
        <v>3774</v>
      </c>
      <c r="D406" t="s">
        <v>35</v>
      </c>
      <c r="E406" t="s">
        <v>36</v>
      </c>
      <c r="F406" t="s">
        <v>3775</v>
      </c>
      <c r="G406" t="s">
        <v>1961</v>
      </c>
      <c r="H406" t="s">
        <v>1592</v>
      </c>
      <c r="I406" t="s">
        <v>280</v>
      </c>
      <c r="J406" t="s">
        <v>103</v>
      </c>
      <c r="K406" t="s">
        <v>104</v>
      </c>
      <c r="L406" t="s">
        <v>50</v>
      </c>
      <c r="M406" s="2">
        <v>232668.9</v>
      </c>
      <c r="N406" t="s">
        <v>3778</v>
      </c>
      <c r="O406" t="s">
        <v>52</v>
      </c>
      <c r="P406" t="str">
        <f>CONCATENATE("'",Tabla1[[#This Row],[Codigo]],"',")</f>
        <v>'00771',</v>
      </c>
    </row>
    <row r="407" spans="1:16" x14ac:dyDescent="0.25">
      <c r="A407" t="s">
        <v>3779</v>
      </c>
      <c r="B407" t="s">
        <v>3780</v>
      </c>
      <c r="C407" t="s">
        <v>3780</v>
      </c>
      <c r="D407" t="s">
        <v>1245</v>
      </c>
      <c r="E407" t="s">
        <v>224</v>
      </c>
      <c r="F407" t="s">
        <v>3781</v>
      </c>
      <c r="G407" t="s">
        <v>3750</v>
      </c>
      <c r="H407" t="s">
        <v>3752</v>
      </c>
      <c r="I407" t="s">
        <v>3753</v>
      </c>
      <c r="J407" t="s">
        <v>158</v>
      </c>
      <c r="K407" t="s">
        <v>159</v>
      </c>
      <c r="L407" t="s">
        <v>50</v>
      </c>
      <c r="M407" s="2">
        <v>174536</v>
      </c>
      <c r="N407" t="s">
        <v>64</v>
      </c>
      <c r="P407" t="str">
        <f>CONCATENATE("'",Tabla1[[#This Row],[Codigo]],"',")</f>
        <v>'00772',</v>
      </c>
    </row>
    <row r="408" spans="1:16" x14ac:dyDescent="0.25">
      <c r="A408" t="s">
        <v>3791</v>
      </c>
      <c r="B408" t="s">
        <v>3792</v>
      </c>
      <c r="C408" t="s">
        <v>3792</v>
      </c>
      <c r="D408" t="s">
        <v>344</v>
      </c>
      <c r="E408" t="s">
        <v>167</v>
      </c>
      <c r="F408" t="s">
        <v>3793</v>
      </c>
      <c r="G408" t="s">
        <v>1312</v>
      </c>
      <c r="H408" t="s">
        <v>883</v>
      </c>
      <c r="I408" t="s">
        <v>881</v>
      </c>
      <c r="J408" t="s">
        <v>158</v>
      </c>
      <c r="K408" t="s">
        <v>159</v>
      </c>
      <c r="L408" t="s">
        <v>50</v>
      </c>
      <c r="M408" s="2">
        <v>653515.38</v>
      </c>
      <c r="N408" t="s">
        <v>3795</v>
      </c>
      <c r="P408" t="str">
        <f>CONCATENATE("'",Tabla1[[#This Row],[Codigo]],"',")</f>
        <v>'00775',</v>
      </c>
    </row>
    <row r="409" spans="1:16" x14ac:dyDescent="0.25">
      <c r="A409" t="s">
        <v>3796</v>
      </c>
      <c r="B409" t="s">
        <v>3797</v>
      </c>
      <c r="C409" t="s">
        <v>3797</v>
      </c>
      <c r="D409" t="s">
        <v>166</v>
      </c>
      <c r="E409" t="s">
        <v>167</v>
      </c>
      <c r="F409" t="s">
        <v>3798</v>
      </c>
      <c r="G409" t="s">
        <v>3233</v>
      </c>
      <c r="H409" t="s">
        <v>3232</v>
      </c>
      <c r="I409" t="s">
        <v>3233</v>
      </c>
      <c r="J409" t="s">
        <v>1421</v>
      </c>
      <c r="K409" t="s">
        <v>1422</v>
      </c>
      <c r="L409" t="s">
        <v>50</v>
      </c>
      <c r="M409" s="2">
        <v>55440.160000000003</v>
      </c>
      <c r="N409" t="s">
        <v>3801</v>
      </c>
      <c r="O409" t="s">
        <v>52</v>
      </c>
      <c r="P409" t="str">
        <f>CONCATENATE("'",Tabla1[[#This Row],[Codigo]],"',")</f>
        <v>'00776',</v>
      </c>
    </row>
    <row r="410" spans="1:16" x14ac:dyDescent="0.25">
      <c r="A410" t="s">
        <v>3807</v>
      </c>
      <c r="B410" t="s">
        <v>3808</v>
      </c>
      <c r="C410" t="s">
        <v>3808</v>
      </c>
      <c r="D410" t="s">
        <v>1245</v>
      </c>
      <c r="E410" t="s">
        <v>224</v>
      </c>
      <c r="F410" t="s">
        <v>3809</v>
      </c>
      <c r="G410" t="s">
        <v>3571</v>
      </c>
      <c r="H410" t="s">
        <v>2113</v>
      </c>
      <c r="I410" t="s">
        <v>2114</v>
      </c>
      <c r="J410" t="s">
        <v>103</v>
      </c>
      <c r="K410" t="s">
        <v>104</v>
      </c>
      <c r="L410" t="s">
        <v>50</v>
      </c>
      <c r="M410" s="2">
        <v>130902</v>
      </c>
      <c r="N410" t="s">
        <v>64</v>
      </c>
      <c r="P410" t="str">
        <f>CONCATENATE("'",Tabla1[[#This Row],[Codigo]],"',")</f>
        <v>'00778',</v>
      </c>
    </row>
    <row r="411" spans="1:16" x14ac:dyDescent="0.25">
      <c r="A411" t="s">
        <v>3818</v>
      </c>
      <c r="B411" t="s">
        <v>3819</v>
      </c>
      <c r="C411" t="s">
        <v>3819</v>
      </c>
      <c r="D411" t="s">
        <v>2687</v>
      </c>
      <c r="E411" t="s">
        <v>190</v>
      </c>
      <c r="F411" t="s">
        <v>3820</v>
      </c>
      <c r="G411" t="s">
        <v>99</v>
      </c>
      <c r="H411" t="s">
        <v>101</v>
      </c>
      <c r="I411" t="s">
        <v>102</v>
      </c>
      <c r="J411" t="s">
        <v>103</v>
      </c>
      <c r="K411" t="s">
        <v>104</v>
      </c>
      <c r="L411" t="s">
        <v>50</v>
      </c>
      <c r="M411" s="2">
        <v>43634</v>
      </c>
      <c r="N411" t="s">
        <v>64</v>
      </c>
      <c r="P411" t="str">
        <f>CONCATENATE("'",Tabla1[[#This Row],[Codigo]],"',")</f>
        <v>'00782',</v>
      </c>
    </row>
    <row r="412" spans="1:16" x14ac:dyDescent="0.25">
      <c r="A412" t="s">
        <v>3828</v>
      </c>
      <c r="B412" t="s">
        <v>3829</v>
      </c>
      <c r="C412" t="s">
        <v>3830</v>
      </c>
      <c r="D412" t="s">
        <v>344</v>
      </c>
      <c r="E412" t="s">
        <v>167</v>
      </c>
      <c r="F412" t="s">
        <v>3827</v>
      </c>
      <c r="G412" t="s">
        <v>1444</v>
      </c>
      <c r="H412" t="s">
        <v>1064</v>
      </c>
      <c r="I412" t="s">
        <v>1062</v>
      </c>
      <c r="J412" t="s">
        <v>304</v>
      </c>
      <c r="K412" t="s">
        <v>72</v>
      </c>
      <c r="L412" t="s">
        <v>50</v>
      </c>
      <c r="M412" s="2">
        <v>511308.14</v>
      </c>
      <c r="N412" t="s">
        <v>3833</v>
      </c>
      <c r="O412" t="s">
        <v>52</v>
      </c>
      <c r="P412" t="str">
        <f>CONCATENATE("'",Tabla1[[#This Row],[Codigo]],"',")</f>
        <v>'00785',</v>
      </c>
    </row>
    <row r="413" spans="1:16" x14ac:dyDescent="0.25">
      <c r="A413" t="s">
        <v>3834</v>
      </c>
      <c r="B413" t="s">
        <v>3835</v>
      </c>
      <c r="C413" t="s">
        <v>3835</v>
      </c>
      <c r="D413" t="s">
        <v>153</v>
      </c>
      <c r="E413" t="s">
        <v>272</v>
      </c>
      <c r="F413" t="s">
        <v>3827</v>
      </c>
      <c r="G413" t="s">
        <v>300</v>
      </c>
      <c r="H413" t="s">
        <v>302</v>
      </c>
      <c r="I413" t="s">
        <v>303</v>
      </c>
      <c r="J413" t="s">
        <v>304</v>
      </c>
      <c r="K413" t="s">
        <v>72</v>
      </c>
      <c r="L413" t="s">
        <v>50</v>
      </c>
      <c r="M413" s="2">
        <v>497961.42</v>
      </c>
      <c r="N413" t="s">
        <v>3836</v>
      </c>
      <c r="O413" t="s">
        <v>52</v>
      </c>
      <c r="P413" t="str">
        <f>CONCATENATE("'",Tabla1[[#This Row],[Codigo]],"',")</f>
        <v>'00786',</v>
      </c>
    </row>
    <row r="414" spans="1:16" x14ac:dyDescent="0.25">
      <c r="A414" t="s">
        <v>3837</v>
      </c>
      <c r="B414" t="s">
        <v>3838</v>
      </c>
      <c r="C414" t="s">
        <v>3839</v>
      </c>
      <c r="D414" t="s">
        <v>847</v>
      </c>
      <c r="E414" t="s">
        <v>848</v>
      </c>
      <c r="F414" t="s">
        <v>3840</v>
      </c>
      <c r="G414" t="s">
        <v>358</v>
      </c>
      <c r="H414" t="s">
        <v>360</v>
      </c>
      <c r="I414" t="s">
        <v>361</v>
      </c>
      <c r="J414" t="s">
        <v>61</v>
      </c>
      <c r="K414" t="s">
        <v>62</v>
      </c>
      <c r="L414" t="s">
        <v>50</v>
      </c>
      <c r="M414" s="2">
        <v>217079.29</v>
      </c>
      <c r="N414" t="s">
        <v>3843</v>
      </c>
      <c r="O414" t="s">
        <v>115</v>
      </c>
      <c r="P414" t="str">
        <f>CONCATENATE("'",Tabla1[[#This Row],[Codigo]],"',")</f>
        <v>'00787',</v>
      </c>
    </row>
    <row r="415" spans="1:16" x14ac:dyDescent="0.25">
      <c r="A415" t="s">
        <v>3846</v>
      </c>
      <c r="B415" t="s">
        <v>3847</v>
      </c>
      <c r="C415" t="s">
        <v>3847</v>
      </c>
      <c r="D415" t="s">
        <v>35</v>
      </c>
      <c r="E415" t="s">
        <v>36</v>
      </c>
      <c r="F415" t="s">
        <v>3848</v>
      </c>
      <c r="G415" t="s">
        <v>653</v>
      </c>
      <c r="H415" t="s">
        <v>652</v>
      </c>
      <c r="I415" t="s">
        <v>653</v>
      </c>
      <c r="J415" t="s">
        <v>69</v>
      </c>
      <c r="K415" t="s">
        <v>70</v>
      </c>
      <c r="L415" t="s">
        <v>50</v>
      </c>
      <c r="M415" s="2">
        <v>2627297.2000000002</v>
      </c>
      <c r="N415" t="s">
        <v>3850</v>
      </c>
      <c r="O415" t="s">
        <v>115</v>
      </c>
      <c r="P415" t="str">
        <f>CONCATENATE("'",Tabla1[[#This Row],[Codigo]],"',")</f>
        <v>'00789',</v>
      </c>
    </row>
    <row r="416" spans="1:16" x14ac:dyDescent="0.25">
      <c r="A416" t="s">
        <v>3853</v>
      </c>
      <c r="B416" t="s">
        <v>3854</v>
      </c>
      <c r="C416" t="s">
        <v>3854</v>
      </c>
      <c r="D416" t="s">
        <v>3855</v>
      </c>
      <c r="E416" t="s">
        <v>134</v>
      </c>
      <c r="F416" t="s">
        <v>3856</v>
      </c>
      <c r="G416" t="s">
        <v>38</v>
      </c>
      <c r="H416" t="s">
        <v>40</v>
      </c>
      <c r="I416" t="s">
        <v>41</v>
      </c>
      <c r="J416" t="s">
        <v>61</v>
      </c>
      <c r="K416" t="s">
        <v>62</v>
      </c>
      <c r="L416" t="s">
        <v>50</v>
      </c>
      <c r="M416" s="2">
        <v>109085</v>
      </c>
      <c r="N416" t="s">
        <v>64</v>
      </c>
      <c r="P416" t="str">
        <f>CONCATENATE("'",Tabla1[[#This Row],[Codigo]],"',")</f>
        <v>'00791',</v>
      </c>
    </row>
    <row r="417" spans="1:16" x14ac:dyDescent="0.25">
      <c r="A417" t="s">
        <v>3864</v>
      </c>
      <c r="B417" t="s">
        <v>3865</v>
      </c>
      <c r="C417" t="s">
        <v>3865</v>
      </c>
      <c r="D417" t="s">
        <v>498</v>
      </c>
      <c r="E417" t="s">
        <v>190</v>
      </c>
      <c r="F417" t="s">
        <v>3866</v>
      </c>
      <c r="G417" t="s">
        <v>1312</v>
      </c>
      <c r="H417" t="s">
        <v>883</v>
      </c>
      <c r="I417" t="s">
        <v>881</v>
      </c>
      <c r="J417" t="s">
        <v>158</v>
      </c>
      <c r="K417" t="s">
        <v>159</v>
      </c>
      <c r="L417" t="s">
        <v>50</v>
      </c>
      <c r="M417" s="2">
        <v>528585.64</v>
      </c>
      <c r="N417" t="s">
        <v>3868</v>
      </c>
      <c r="P417" t="str">
        <f>CONCATENATE("'",Tabla1[[#This Row],[Codigo]],"',")</f>
        <v>'00794',</v>
      </c>
    </row>
    <row r="418" spans="1:16" x14ac:dyDescent="0.25">
      <c r="A418" t="s">
        <v>3869</v>
      </c>
      <c r="B418" t="s">
        <v>3870</v>
      </c>
      <c r="C418" t="s">
        <v>3871</v>
      </c>
      <c r="D418" t="s">
        <v>125</v>
      </c>
      <c r="E418" t="s">
        <v>126</v>
      </c>
      <c r="F418" t="s">
        <v>3872</v>
      </c>
      <c r="G418" t="s">
        <v>939</v>
      </c>
      <c r="H418" t="s">
        <v>879</v>
      </c>
      <c r="I418" t="s">
        <v>877</v>
      </c>
      <c r="J418" t="s">
        <v>69</v>
      </c>
      <c r="K418" t="s">
        <v>70</v>
      </c>
      <c r="L418" t="s">
        <v>50</v>
      </c>
      <c r="M418" s="2">
        <v>224645.53</v>
      </c>
      <c r="N418" t="s">
        <v>3875</v>
      </c>
      <c r="O418" t="s">
        <v>52</v>
      </c>
      <c r="P418" t="str">
        <f>CONCATENATE("'",Tabla1[[#This Row],[Codigo]],"',")</f>
        <v>'00795',</v>
      </c>
    </row>
    <row r="419" spans="1:16" x14ac:dyDescent="0.25">
      <c r="A419" t="s">
        <v>3876</v>
      </c>
      <c r="B419" t="s">
        <v>3877</v>
      </c>
      <c r="C419" t="s">
        <v>3877</v>
      </c>
      <c r="D419" t="s">
        <v>1734</v>
      </c>
      <c r="E419" t="s">
        <v>224</v>
      </c>
      <c r="F419" t="s">
        <v>3878</v>
      </c>
      <c r="G419" t="s">
        <v>1607</v>
      </c>
      <c r="H419" t="s">
        <v>1221</v>
      </c>
      <c r="I419" t="s">
        <v>1222</v>
      </c>
      <c r="J419" t="s">
        <v>205</v>
      </c>
      <c r="K419" t="s">
        <v>206</v>
      </c>
      <c r="L419" t="s">
        <v>50</v>
      </c>
      <c r="M419" s="2">
        <v>21816.639999999999</v>
      </c>
      <c r="N419" t="s">
        <v>3881</v>
      </c>
      <c r="P419" t="str">
        <f>CONCATENATE("'",Tabla1[[#This Row],[Codigo]],"',")</f>
        <v>'00796',</v>
      </c>
    </row>
    <row r="420" spans="1:16" x14ac:dyDescent="0.25">
      <c r="A420" t="s">
        <v>3882</v>
      </c>
      <c r="B420" t="s">
        <v>3883</v>
      </c>
      <c r="C420" t="s">
        <v>3884</v>
      </c>
      <c r="D420" t="s">
        <v>153</v>
      </c>
      <c r="E420" t="s">
        <v>272</v>
      </c>
      <c r="F420" t="s">
        <v>2860</v>
      </c>
      <c r="G420" t="s">
        <v>1581</v>
      </c>
      <c r="H420" t="s">
        <v>203</v>
      </c>
      <c r="I420" t="s">
        <v>204</v>
      </c>
      <c r="J420" t="s">
        <v>205</v>
      </c>
      <c r="K420" t="s">
        <v>206</v>
      </c>
      <c r="L420" t="s">
        <v>50</v>
      </c>
      <c r="M420" s="2">
        <v>400256.3</v>
      </c>
      <c r="N420" t="s">
        <v>3886</v>
      </c>
      <c r="O420" t="s">
        <v>52</v>
      </c>
      <c r="P420" t="str">
        <f>CONCATENATE("'",Tabla1[[#This Row],[Codigo]],"',")</f>
        <v>'00797',</v>
      </c>
    </row>
    <row r="421" spans="1:16" x14ac:dyDescent="0.25">
      <c r="A421" t="s">
        <v>3895</v>
      </c>
      <c r="B421" t="s">
        <v>3896</v>
      </c>
      <c r="C421" t="s">
        <v>3897</v>
      </c>
      <c r="D421" t="s">
        <v>178</v>
      </c>
      <c r="E421" t="s">
        <v>179</v>
      </c>
      <c r="F421" t="s">
        <v>3898</v>
      </c>
      <c r="G421" t="s">
        <v>611</v>
      </c>
      <c r="H421" t="s">
        <v>613</v>
      </c>
      <c r="I421" t="s">
        <v>614</v>
      </c>
      <c r="J421" t="s">
        <v>91</v>
      </c>
      <c r="K421" t="s">
        <v>92</v>
      </c>
      <c r="L421" t="s">
        <v>50</v>
      </c>
      <c r="M421" s="2">
        <v>109085</v>
      </c>
      <c r="N421" t="s">
        <v>64</v>
      </c>
      <c r="P421" t="str">
        <f>CONCATENATE("'",Tabla1[[#This Row],[Codigo]],"',")</f>
        <v>'00801',</v>
      </c>
    </row>
    <row r="422" spans="1:16" x14ac:dyDescent="0.25">
      <c r="A422" t="s">
        <v>3901</v>
      </c>
      <c r="B422" t="s">
        <v>3902</v>
      </c>
      <c r="C422" t="s">
        <v>3902</v>
      </c>
      <c r="D422" t="s">
        <v>35</v>
      </c>
      <c r="E422" t="s">
        <v>36</v>
      </c>
      <c r="F422" t="s">
        <v>3903</v>
      </c>
      <c r="G422" t="s">
        <v>3904</v>
      </c>
      <c r="H422" t="s">
        <v>2324</v>
      </c>
      <c r="I422" t="s">
        <v>2325</v>
      </c>
      <c r="J422" t="s">
        <v>42</v>
      </c>
      <c r="K422" t="s">
        <v>43</v>
      </c>
      <c r="L422" t="s">
        <v>50</v>
      </c>
      <c r="M422" s="2">
        <v>82595.75</v>
      </c>
      <c r="N422" t="s">
        <v>3907</v>
      </c>
      <c r="O422" t="s">
        <v>115</v>
      </c>
      <c r="P422" t="str">
        <f>CONCATENATE("'",Tabla1[[#This Row],[Codigo]],"',")</f>
        <v>'00802',</v>
      </c>
    </row>
    <row r="423" spans="1:16" x14ac:dyDescent="0.25">
      <c r="A423" t="s">
        <v>3909</v>
      </c>
      <c r="B423" t="s">
        <v>3910</v>
      </c>
      <c r="C423" t="s">
        <v>1486</v>
      </c>
      <c r="D423" t="s">
        <v>178</v>
      </c>
      <c r="E423" t="s">
        <v>179</v>
      </c>
      <c r="F423" t="s">
        <v>1159</v>
      </c>
      <c r="G423" t="s">
        <v>3911</v>
      </c>
      <c r="H423" t="s">
        <v>585</v>
      </c>
      <c r="I423" t="s">
        <v>584</v>
      </c>
      <c r="J423" t="s">
        <v>158</v>
      </c>
      <c r="K423" t="s">
        <v>159</v>
      </c>
      <c r="L423" t="s">
        <v>50</v>
      </c>
      <c r="M423" s="2">
        <v>97905.37</v>
      </c>
      <c r="N423" t="s">
        <v>3914</v>
      </c>
      <c r="O423" t="s">
        <v>52</v>
      </c>
      <c r="P423" t="str">
        <f>CONCATENATE("'",Tabla1[[#This Row],[Codigo]],"',")</f>
        <v>'00804',</v>
      </c>
    </row>
    <row r="424" spans="1:16" x14ac:dyDescent="0.25">
      <c r="A424" s="15" t="s">
        <v>3920</v>
      </c>
      <c r="B424" s="15" t="s">
        <v>3921</v>
      </c>
      <c r="C424" s="15" t="s">
        <v>3921</v>
      </c>
      <c r="D424" s="15" t="s">
        <v>55</v>
      </c>
      <c r="E424" s="15" t="s">
        <v>56</v>
      </c>
      <c r="F424" s="15" t="s">
        <v>3922</v>
      </c>
      <c r="G424" s="15" t="s">
        <v>38</v>
      </c>
      <c r="H424" s="15" t="s">
        <v>40</v>
      </c>
      <c r="I424" s="15" t="s">
        <v>41</v>
      </c>
      <c r="J424" s="15" t="s">
        <v>42</v>
      </c>
      <c r="K424" s="15" t="s">
        <v>43</v>
      </c>
      <c r="L424" s="15" t="s">
        <v>50</v>
      </c>
      <c r="M424" s="16">
        <v>-3895.79</v>
      </c>
      <c r="N424" s="15" t="s">
        <v>3925</v>
      </c>
      <c r="O424" s="15" t="s">
        <v>115</v>
      </c>
      <c r="P424" t="str">
        <f>CONCATENATE("'",Tabla1[[#This Row],[Codigo]],"',")</f>
        <v>'00806',</v>
      </c>
    </row>
    <row r="425" spans="1:16" x14ac:dyDescent="0.25">
      <c r="A425" t="s">
        <v>3926</v>
      </c>
      <c r="B425" t="s">
        <v>3927</v>
      </c>
      <c r="C425" t="s">
        <v>3927</v>
      </c>
      <c r="D425" t="s">
        <v>125</v>
      </c>
      <c r="E425" t="s">
        <v>126</v>
      </c>
      <c r="F425" t="s">
        <v>3928</v>
      </c>
      <c r="G425" t="s">
        <v>3750</v>
      </c>
      <c r="H425" t="s">
        <v>3752</v>
      </c>
      <c r="I425" t="s">
        <v>3753</v>
      </c>
      <c r="J425" t="s">
        <v>158</v>
      </c>
      <c r="K425" t="s">
        <v>159</v>
      </c>
      <c r="L425" t="s">
        <v>50</v>
      </c>
      <c r="M425" s="2">
        <v>646185.99</v>
      </c>
      <c r="N425" t="s">
        <v>3930</v>
      </c>
      <c r="O425" t="s">
        <v>52</v>
      </c>
      <c r="P425" t="str">
        <f>CONCATENATE("'",Tabla1[[#This Row],[Codigo]],"',")</f>
        <v>'00807',</v>
      </c>
    </row>
    <row r="426" spans="1:16" x14ac:dyDescent="0.25">
      <c r="A426" t="s">
        <v>3931</v>
      </c>
      <c r="B426" t="s">
        <v>3932</v>
      </c>
      <c r="C426" t="s">
        <v>3932</v>
      </c>
      <c r="D426" t="s">
        <v>35</v>
      </c>
      <c r="E426" t="s">
        <v>36</v>
      </c>
      <c r="F426" t="s">
        <v>3933</v>
      </c>
      <c r="G426" t="s">
        <v>650</v>
      </c>
      <c r="H426" t="s">
        <v>652</v>
      </c>
      <c r="I426" t="s">
        <v>653</v>
      </c>
      <c r="J426" t="s">
        <v>69</v>
      </c>
      <c r="K426" t="s">
        <v>70</v>
      </c>
      <c r="L426" t="s">
        <v>50</v>
      </c>
      <c r="M426" s="2">
        <v>113018.98</v>
      </c>
      <c r="N426" t="s">
        <v>3936</v>
      </c>
      <c r="O426" t="s">
        <v>52</v>
      </c>
      <c r="P426" t="str">
        <f>CONCATENATE("'",Tabla1[[#This Row],[Codigo]],"',")</f>
        <v>'00808',</v>
      </c>
    </row>
    <row r="427" spans="1:16" x14ac:dyDescent="0.25">
      <c r="A427" t="s">
        <v>3937</v>
      </c>
      <c r="B427" t="s">
        <v>3938</v>
      </c>
      <c r="C427" t="s">
        <v>3938</v>
      </c>
      <c r="D427" t="s">
        <v>569</v>
      </c>
      <c r="E427" t="s">
        <v>570</v>
      </c>
      <c r="F427" t="s">
        <v>3939</v>
      </c>
      <c r="G427" t="s">
        <v>87</v>
      </c>
      <c r="H427" t="s">
        <v>89</v>
      </c>
      <c r="I427" t="s">
        <v>90</v>
      </c>
      <c r="J427" t="s">
        <v>91</v>
      </c>
      <c r="K427" t="s">
        <v>92</v>
      </c>
      <c r="L427" t="s">
        <v>50</v>
      </c>
      <c r="M427" s="2">
        <v>885810.77</v>
      </c>
      <c r="N427" t="s">
        <v>3942</v>
      </c>
      <c r="O427" t="s">
        <v>52</v>
      </c>
      <c r="P427" t="str">
        <f>CONCATENATE("'",Tabla1[[#This Row],[Codigo]],"',")</f>
        <v>'00809',</v>
      </c>
    </row>
    <row r="428" spans="1:16" x14ac:dyDescent="0.25">
      <c r="A428" t="s">
        <v>3945</v>
      </c>
      <c r="B428" t="s">
        <v>3946</v>
      </c>
      <c r="C428" t="s">
        <v>3947</v>
      </c>
      <c r="D428" t="s">
        <v>35</v>
      </c>
      <c r="E428" t="s">
        <v>36</v>
      </c>
      <c r="F428" t="s">
        <v>3948</v>
      </c>
      <c r="G428" t="s">
        <v>248</v>
      </c>
      <c r="H428" t="s">
        <v>249</v>
      </c>
      <c r="I428" t="s">
        <v>250</v>
      </c>
      <c r="J428" t="s">
        <v>91</v>
      </c>
      <c r="K428" t="s">
        <v>92</v>
      </c>
      <c r="L428" t="s">
        <v>50</v>
      </c>
      <c r="M428" s="2">
        <v>94483.5</v>
      </c>
      <c r="N428" t="s">
        <v>3951</v>
      </c>
      <c r="O428" t="s">
        <v>52</v>
      </c>
      <c r="P428" t="str">
        <f>CONCATENATE("'",Tabla1[[#This Row],[Codigo]],"',")</f>
        <v>'00811',</v>
      </c>
    </row>
    <row r="429" spans="1:16" x14ac:dyDescent="0.25">
      <c r="A429" t="s">
        <v>3952</v>
      </c>
      <c r="B429" t="s">
        <v>3953</v>
      </c>
      <c r="C429" t="s">
        <v>3953</v>
      </c>
      <c r="D429" t="s">
        <v>153</v>
      </c>
      <c r="E429" t="s">
        <v>272</v>
      </c>
      <c r="F429" t="s">
        <v>3954</v>
      </c>
      <c r="G429" t="s">
        <v>300</v>
      </c>
      <c r="H429" t="s">
        <v>302</v>
      </c>
      <c r="I429" t="s">
        <v>303</v>
      </c>
      <c r="J429" t="s">
        <v>304</v>
      </c>
      <c r="K429" t="s">
        <v>72</v>
      </c>
      <c r="L429" t="s">
        <v>50</v>
      </c>
      <c r="M429" s="2">
        <v>114084.54</v>
      </c>
      <c r="N429" t="s">
        <v>3956</v>
      </c>
      <c r="O429" t="s">
        <v>52</v>
      </c>
      <c r="P429" t="str">
        <f>CONCATENATE("'",Tabla1[[#This Row],[Codigo]],"',")</f>
        <v>'00812',</v>
      </c>
    </row>
    <row r="430" spans="1:16" x14ac:dyDescent="0.25">
      <c r="A430" t="s">
        <v>3958</v>
      </c>
      <c r="B430" t="s">
        <v>3959</v>
      </c>
      <c r="C430" t="s">
        <v>3959</v>
      </c>
      <c r="D430" t="s">
        <v>125</v>
      </c>
      <c r="E430" t="s">
        <v>126</v>
      </c>
      <c r="F430" t="s">
        <v>3960</v>
      </c>
      <c r="G430" t="s">
        <v>38</v>
      </c>
      <c r="H430" t="s">
        <v>40</v>
      </c>
      <c r="I430" t="s">
        <v>41</v>
      </c>
      <c r="J430" t="s">
        <v>42</v>
      </c>
      <c r="K430" t="s">
        <v>43</v>
      </c>
      <c r="L430" t="s">
        <v>50</v>
      </c>
      <c r="M430" s="2">
        <v>18370.57</v>
      </c>
      <c r="N430" t="s">
        <v>3961</v>
      </c>
      <c r="P430" t="str">
        <f>CONCATENATE("'",Tabla1[[#This Row],[Codigo]],"',")</f>
        <v>'00814',</v>
      </c>
    </row>
    <row r="431" spans="1:16" x14ac:dyDescent="0.25">
      <c r="A431" t="s">
        <v>3965</v>
      </c>
      <c r="B431" t="s">
        <v>3966</v>
      </c>
      <c r="C431" t="s">
        <v>3966</v>
      </c>
      <c r="D431" t="s">
        <v>569</v>
      </c>
      <c r="E431" t="s">
        <v>570</v>
      </c>
      <c r="F431" t="s">
        <v>3967</v>
      </c>
      <c r="G431" t="s">
        <v>3968</v>
      </c>
      <c r="H431" t="s">
        <v>3752</v>
      </c>
      <c r="I431" t="s">
        <v>3753</v>
      </c>
      <c r="J431" t="s">
        <v>158</v>
      </c>
      <c r="K431" t="s">
        <v>159</v>
      </c>
      <c r="L431" t="s">
        <v>50</v>
      </c>
      <c r="M431" s="2">
        <v>360223.11</v>
      </c>
      <c r="N431" t="s">
        <v>3971</v>
      </c>
      <c r="O431" t="s">
        <v>52</v>
      </c>
      <c r="P431" t="str">
        <f>CONCATENATE("'",Tabla1[[#This Row],[Codigo]],"',")</f>
        <v>'00816',</v>
      </c>
    </row>
    <row r="432" spans="1:16" x14ac:dyDescent="0.25">
      <c r="A432" t="s">
        <v>3972</v>
      </c>
      <c r="B432" t="s">
        <v>3973</v>
      </c>
      <c r="C432" t="s">
        <v>3973</v>
      </c>
      <c r="D432" t="s">
        <v>35</v>
      </c>
      <c r="E432" t="s">
        <v>36</v>
      </c>
      <c r="F432" t="s">
        <v>3974</v>
      </c>
      <c r="G432" t="s">
        <v>181</v>
      </c>
      <c r="H432" t="s">
        <v>183</v>
      </c>
      <c r="I432" t="s">
        <v>184</v>
      </c>
      <c r="J432" t="s">
        <v>158</v>
      </c>
      <c r="K432" t="s">
        <v>159</v>
      </c>
      <c r="L432" t="s">
        <v>50</v>
      </c>
      <c r="M432" s="2">
        <v>-93385.85</v>
      </c>
      <c r="N432" t="s">
        <v>3977</v>
      </c>
      <c r="O432" t="s">
        <v>52</v>
      </c>
      <c r="P432" t="str">
        <f>CONCATENATE("'",Tabla1[[#This Row],[Codigo]],"',")</f>
        <v>'00817',</v>
      </c>
    </row>
    <row r="433" spans="1:16" x14ac:dyDescent="0.25">
      <c r="A433" t="s">
        <v>3982</v>
      </c>
      <c r="B433" t="s">
        <v>3983</v>
      </c>
      <c r="C433" t="s">
        <v>3983</v>
      </c>
      <c r="D433" t="s">
        <v>1846</v>
      </c>
      <c r="E433" t="s">
        <v>134</v>
      </c>
      <c r="F433" t="s">
        <v>3984</v>
      </c>
      <c r="G433" t="s">
        <v>922</v>
      </c>
      <c r="H433" t="s">
        <v>822</v>
      </c>
      <c r="I433" t="s">
        <v>820</v>
      </c>
      <c r="J433" t="s">
        <v>91</v>
      </c>
      <c r="K433" t="s">
        <v>92</v>
      </c>
      <c r="L433" t="s">
        <v>50</v>
      </c>
      <c r="M433" s="2">
        <v>21817</v>
      </c>
      <c r="N433" t="s">
        <v>64</v>
      </c>
      <c r="P433" t="str">
        <f>CONCATENATE("'",Tabla1[[#This Row],[Codigo]],"',")</f>
        <v>'00820',</v>
      </c>
    </row>
    <row r="434" spans="1:16" x14ac:dyDescent="0.25">
      <c r="A434" t="s">
        <v>3987</v>
      </c>
      <c r="B434" t="s">
        <v>3988</v>
      </c>
      <c r="C434" t="s">
        <v>3988</v>
      </c>
      <c r="D434" t="s">
        <v>153</v>
      </c>
      <c r="E434" t="s">
        <v>272</v>
      </c>
      <c r="F434" t="s">
        <v>3989</v>
      </c>
      <c r="G434" t="s">
        <v>181</v>
      </c>
      <c r="H434" t="s">
        <v>183</v>
      </c>
      <c r="I434" t="s">
        <v>184</v>
      </c>
      <c r="J434" t="s">
        <v>158</v>
      </c>
      <c r="K434" t="s">
        <v>159</v>
      </c>
      <c r="L434" t="s">
        <v>50</v>
      </c>
      <c r="M434" s="2">
        <v>-26342.28</v>
      </c>
      <c r="N434" t="s">
        <v>3992</v>
      </c>
      <c r="O434" t="s">
        <v>52</v>
      </c>
      <c r="P434" t="str">
        <f>CONCATENATE("'",Tabla1[[#This Row],[Codigo]],"',")</f>
        <v>'00821',</v>
      </c>
    </row>
    <row r="435" spans="1:16" x14ac:dyDescent="0.25">
      <c r="A435" t="s">
        <v>3993</v>
      </c>
      <c r="B435" t="s">
        <v>3994</v>
      </c>
      <c r="C435" t="s">
        <v>2997</v>
      </c>
      <c r="D435" t="s">
        <v>153</v>
      </c>
      <c r="E435" t="s">
        <v>272</v>
      </c>
      <c r="F435" t="s">
        <v>2998</v>
      </c>
      <c r="G435" t="s">
        <v>300</v>
      </c>
      <c r="H435" t="s">
        <v>302</v>
      </c>
      <c r="I435" t="s">
        <v>303</v>
      </c>
      <c r="J435" t="s">
        <v>304</v>
      </c>
      <c r="K435" t="s">
        <v>72</v>
      </c>
      <c r="L435" t="s">
        <v>50</v>
      </c>
      <c r="M435" s="2">
        <v>157008.57</v>
      </c>
      <c r="N435" t="s">
        <v>3996</v>
      </c>
      <c r="O435" t="s">
        <v>52</v>
      </c>
      <c r="P435" t="str">
        <f>CONCATENATE("'",Tabla1[[#This Row],[Codigo]],"',")</f>
        <v>'00822',</v>
      </c>
    </row>
    <row r="436" spans="1:16" x14ac:dyDescent="0.25">
      <c r="A436" t="s">
        <v>4002</v>
      </c>
      <c r="B436" t="s">
        <v>4003</v>
      </c>
      <c r="C436" t="s">
        <v>4003</v>
      </c>
      <c r="D436" t="s">
        <v>478</v>
      </c>
      <c r="E436" t="s">
        <v>190</v>
      </c>
      <c r="F436" t="s">
        <v>4004</v>
      </c>
      <c r="G436" t="s">
        <v>638</v>
      </c>
      <c r="H436" t="s">
        <v>640</v>
      </c>
      <c r="I436" t="s">
        <v>641</v>
      </c>
      <c r="J436" t="s">
        <v>91</v>
      </c>
      <c r="K436" t="s">
        <v>92</v>
      </c>
      <c r="L436" t="s">
        <v>50</v>
      </c>
      <c r="M436" s="2">
        <v>1090850</v>
      </c>
      <c r="N436" t="s">
        <v>64</v>
      </c>
      <c r="P436" t="str">
        <f>CONCATENATE("'",Tabla1[[#This Row],[Codigo]],"',")</f>
        <v>'00825',</v>
      </c>
    </row>
    <row r="437" spans="1:16" x14ac:dyDescent="0.25">
      <c r="A437" t="s">
        <v>4015</v>
      </c>
      <c r="B437" t="s">
        <v>4016</v>
      </c>
      <c r="C437" t="s">
        <v>4016</v>
      </c>
      <c r="D437" t="s">
        <v>569</v>
      </c>
      <c r="E437" t="s">
        <v>570</v>
      </c>
      <c r="F437" t="s">
        <v>4017</v>
      </c>
      <c r="G437" t="s">
        <v>38</v>
      </c>
      <c r="H437" t="s">
        <v>40</v>
      </c>
      <c r="I437" t="s">
        <v>41</v>
      </c>
      <c r="J437" t="s">
        <v>61</v>
      </c>
      <c r="K437" t="s">
        <v>62</v>
      </c>
      <c r="L437" t="s">
        <v>50</v>
      </c>
      <c r="M437" s="2">
        <v>167950.18</v>
      </c>
      <c r="N437" t="s">
        <v>4019</v>
      </c>
      <c r="O437" t="s">
        <v>52</v>
      </c>
      <c r="P437" t="str">
        <f>CONCATENATE("'",Tabla1[[#This Row],[Codigo]],"',")</f>
        <v>'00829',</v>
      </c>
    </row>
    <row r="438" spans="1:16" x14ac:dyDescent="0.25">
      <c r="A438" t="s">
        <v>4020</v>
      </c>
      <c r="B438" t="s">
        <v>4021</v>
      </c>
      <c r="C438" t="s">
        <v>4021</v>
      </c>
      <c r="D438" t="s">
        <v>35</v>
      </c>
      <c r="E438" t="s">
        <v>36</v>
      </c>
      <c r="F438" t="s">
        <v>4022</v>
      </c>
      <c r="G438" t="s">
        <v>402</v>
      </c>
      <c r="H438" t="s">
        <v>403</v>
      </c>
      <c r="I438" t="s">
        <v>404</v>
      </c>
      <c r="J438" t="s">
        <v>205</v>
      </c>
      <c r="K438" t="s">
        <v>206</v>
      </c>
      <c r="L438" t="s">
        <v>50</v>
      </c>
      <c r="M438" s="2">
        <v>173187.47</v>
      </c>
      <c r="N438" t="s">
        <v>4024</v>
      </c>
      <c r="O438" t="s">
        <v>52</v>
      </c>
      <c r="P438" t="str">
        <f>CONCATENATE("'",Tabla1[[#This Row],[Codigo]],"',")</f>
        <v>'00830',</v>
      </c>
    </row>
    <row r="439" spans="1:16" x14ac:dyDescent="0.25">
      <c r="A439" t="s">
        <v>4025</v>
      </c>
      <c r="B439" t="s">
        <v>4026</v>
      </c>
      <c r="C439" t="s">
        <v>4026</v>
      </c>
      <c r="D439" t="s">
        <v>847</v>
      </c>
      <c r="E439" t="s">
        <v>848</v>
      </c>
      <c r="F439" t="s">
        <v>4027</v>
      </c>
      <c r="G439" t="s">
        <v>87</v>
      </c>
      <c r="H439" t="s">
        <v>89</v>
      </c>
      <c r="I439" t="s">
        <v>90</v>
      </c>
      <c r="J439" t="s">
        <v>91</v>
      </c>
      <c r="K439" t="s">
        <v>92</v>
      </c>
      <c r="L439" t="s">
        <v>50</v>
      </c>
      <c r="M439" s="2">
        <v>168642.8</v>
      </c>
      <c r="N439" t="s">
        <v>4030</v>
      </c>
      <c r="O439" t="s">
        <v>115</v>
      </c>
      <c r="P439" t="str">
        <f>CONCATENATE("'",Tabla1[[#This Row],[Codigo]],"',")</f>
        <v>'00831',</v>
      </c>
    </row>
    <row r="440" spans="1:16" x14ac:dyDescent="0.25">
      <c r="A440" t="s">
        <v>4033</v>
      </c>
      <c r="B440" t="s">
        <v>4034</v>
      </c>
      <c r="C440" t="s">
        <v>4034</v>
      </c>
      <c r="D440" t="s">
        <v>178</v>
      </c>
      <c r="E440" t="s">
        <v>179</v>
      </c>
      <c r="F440" t="s">
        <v>4035</v>
      </c>
      <c r="G440" t="s">
        <v>1312</v>
      </c>
      <c r="H440" t="s">
        <v>883</v>
      </c>
      <c r="I440" t="s">
        <v>881</v>
      </c>
      <c r="J440" t="s">
        <v>158</v>
      </c>
      <c r="K440" t="s">
        <v>159</v>
      </c>
      <c r="L440" t="s">
        <v>50</v>
      </c>
      <c r="M440" s="2">
        <v>-3515.01</v>
      </c>
      <c r="N440" t="s">
        <v>4037</v>
      </c>
      <c r="O440" t="s">
        <v>52</v>
      </c>
      <c r="P440" t="str">
        <f>CONCATENATE("'",Tabla1[[#This Row],[Codigo]],"',")</f>
        <v>'00833',</v>
      </c>
    </row>
    <row r="441" spans="1:16" x14ac:dyDescent="0.25">
      <c r="A441" t="s">
        <v>4038</v>
      </c>
      <c r="B441" t="s">
        <v>4039</v>
      </c>
      <c r="C441" t="s">
        <v>4039</v>
      </c>
      <c r="D441" t="s">
        <v>35</v>
      </c>
      <c r="E441" t="s">
        <v>36</v>
      </c>
      <c r="F441" t="s">
        <v>4040</v>
      </c>
      <c r="G441" t="s">
        <v>443</v>
      </c>
      <c r="H441" t="s">
        <v>445</v>
      </c>
      <c r="I441" t="s">
        <v>446</v>
      </c>
      <c r="J441" t="s">
        <v>69</v>
      </c>
      <c r="K441" t="s">
        <v>70</v>
      </c>
      <c r="L441" t="s">
        <v>50</v>
      </c>
      <c r="M441" s="2">
        <v>39344.120000000003</v>
      </c>
      <c r="N441" t="s">
        <v>4043</v>
      </c>
      <c r="O441" t="s">
        <v>52</v>
      </c>
      <c r="P441" t="str">
        <f>CONCATENATE("'",Tabla1[[#This Row],[Codigo]],"',")</f>
        <v>'00834',</v>
      </c>
    </row>
    <row r="442" spans="1:16" x14ac:dyDescent="0.25">
      <c r="A442" t="s">
        <v>4044</v>
      </c>
      <c r="B442" t="s">
        <v>4045</v>
      </c>
      <c r="C442" t="s">
        <v>4046</v>
      </c>
      <c r="D442" t="s">
        <v>569</v>
      </c>
      <c r="E442" t="s">
        <v>570</v>
      </c>
      <c r="F442" t="s">
        <v>4047</v>
      </c>
      <c r="G442" t="s">
        <v>443</v>
      </c>
      <c r="H442" t="s">
        <v>445</v>
      </c>
      <c r="I442" t="s">
        <v>446</v>
      </c>
      <c r="J442" t="s">
        <v>69</v>
      </c>
      <c r="K442" t="s">
        <v>70</v>
      </c>
      <c r="L442" t="s">
        <v>50</v>
      </c>
      <c r="M442" s="2">
        <v>152337.07999999999</v>
      </c>
      <c r="N442" t="s">
        <v>4050</v>
      </c>
      <c r="O442" t="s">
        <v>115</v>
      </c>
      <c r="P442" t="str">
        <f>CONCATENATE("'",Tabla1[[#This Row],[Codigo]],"',")</f>
        <v>'00835',</v>
      </c>
    </row>
    <row r="443" spans="1:16" x14ac:dyDescent="0.25">
      <c r="A443" t="s">
        <v>4051</v>
      </c>
      <c r="B443" t="s">
        <v>4052</v>
      </c>
      <c r="C443" t="s">
        <v>4052</v>
      </c>
      <c r="D443" t="s">
        <v>773</v>
      </c>
      <c r="E443" t="s">
        <v>224</v>
      </c>
      <c r="F443" t="s">
        <v>4053</v>
      </c>
      <c r="G443" t="s">
        <v>4054</v>
      </c>
      <c r="H443" t="s">
        <v>4055</v>
      </c>
      <c r="I443" t="s">
        <v>4056</v>
      </c>
      <c r="J443" t="s">
        <v>205</v>
      </c>
      <c r="K443" t="s">
        <v>206</v>
      </c>
      <c r="L443" t="s">
        <v>50</v>
      </c>
      <c r="M443" s="2">
        <v>436340</v>
      </c>
      <c r="N443" t="s">
        <v>64</v>
      </c>
      <c r="P443" t="str">
        <f>CONCATENATE("'",Tabla1[[#This Row],[Codigo]],"',")</f>
        <v>'00836',</v>
      </c>
    </row>
    <row r="444" spans="1:16" x14ac:dyDescent="0.25">
      <c r="A444" t="s">
        <v>4068</v>
      </c>
      <c r="B444" t="s">
        <v>15140</v>
      </c>
      <c r="C444" t="s">
        <v>4069</v>
      </c>
      <c r="D444" t="s">
        <v>485</v>
      </c>
      <c r="E444" t="s">
        <v>224</v>
      </c>
      <c r="F444" t="s">
        <v>4070</v>
      </c>
      <c r="G444" t="s">
        <v>662</v>
      </c>
      <c r="H444" t="s">
        <v>664</v>
      </c>
      <c r="I444" t="s">
        <v>665</v>
      </c>
      <c r="J444" t="s">
        <v>103</v>
      </c>
      <c r="K444" t="s">
        <v>104</v>
      </c>
      <c r="L444" t="s">
        <v>50</v>
      </c>
      <c r="M444" s="2">
        <v>109085</v>
      </c>
      <c r="N444" t="s">
        <v>64</v>
      </c>
      <c r="P444" t="str">
        <f>CONCATENATE("'",Tabla1[[#This Row],[Codigo]],"',")</f>
        <v>'00842',</v>
      </c>
    </row>
    <row r="445" spans="1:16" x14ac:dyDescent="0.25">
      <c r="A445" t="s">
        <v>4073</v>
      </c>
      <c r="B445" t="s">
        <v>4074</v>
      </c>
      <c r="C445" t="s">
        <v>4074</v>
      </c>
      <c r="D445" t="s">
        <v>2389</v>
      </c>
      <c r="E445" t="s">
        <v>134</v>
      </c>
      <c r="F445" t="s">
        <v>4075</v>
      </c>
      <c r="G445" t="s">
        <v>154</v>
      </c>
      <c r="H445" t="s">
        <v>156</v>
      </c>
      <c r="I445" t="s">
        <v>157</v>
      </c>
      <c r="J445" t="s">
        <v>158</v>
      </c>
      <c r="K445" t="s">
        <v>159</v>
      </c>
      <c r="L445" t="s">
        <v>50</v>
      </c>
      <c r="M445" s="2">
        <v>109085</v>
      </c>
      <c r="N445" t="s">
        <v>64</v>
      </c>
      <c r="P445" t="str">
        <f>CONCATENATE("'",Tabla1[[#This Row],[Codigo]],"',")</f>
        <v>'00843',</v>
      </c>
    </row>
    <row r="446" spans="1:16" x14ac:dyDescent="0.25">
      <c r="A446" t="s">
        <v>4078</v>
      </c>
      <c r="B446" t="s">
        <v>4079</v>
      </c>
      <c r="C446" t="s">
        <v>4079</v>
      </c>
      <c r="D446" t="s">
        <v>153</v>
      </c>
      <c r="E446" t="s">
        <v>272</v>
      </c>
      <c r="F446" t="s">
        <v>4080</v>
      </c>
      <c r="G446" t="s">
        <v>4081</v>
      </c>
      <c r="H446" t="s">
        <v>4083</v>
      </c>
      <c r="I446" t="s">
        <v>4084</v>
      </c>
      <c r="J446" t="s">
        <v>103</v>
      </c>
      <c r="K446" t="s">
        <v>104</v>
      </c>
      <c r="L446" t="s">
        <v>50</v>
      </c>
      <c r="M446" s="2">
        <v>22995.95</v>
      </c>
      <c r="N446" t="s">
        <v>4086</v>
      </c>
      <c r="O446" t="s">
        <v>52</v>
      </c>
      <c r="P446" t="str">
        <f>CONCATENATE("'",Tabla1[[#This Row],[Codigo]],"',")</f>
        <v>'00844',</v>
      </c>
    </row>
    <row r="447" spans="1:16" x14ac:dyDescent="0.25">
      <c r="A447" t="s">
        <v>4095</v>
      </c>
      <c r="B447" t="s">
        <v>4096</v>
      </c>
      <c r="C447" t="s">
        <v>4096</v>
      </c>
      <c r="D447" t="s">
        <v>35</v>
      </c>
      <c r="E447" t="s">
        <v>36</v>
      </c>
      <c r="F447" t="s">
        <v>4097</v>
      </c>
      <c r="G447" t="s">
        <v>90</v>
      </c>
      <c r="H447" t="s">
        <v>89</v>
      </c>
      <c r="I447" t="s">
        <v>90</v>
      </c>
      <c r="J447" t="s">
        <v>91</v>
      </c>
      <c r="K447" t="s">
        <v>92</v>
      </c>
      <c r="L447" t="s">
        <v>50</v>
      </c>
      <c r="M447" s="2">
        <v>521574.56</v>
      </c>
      <c r="N447" t="s">
        <v>4100</v>
      </c>
      <c r="O447" t="s">
        <v>115</v>
      </c>
      <c r="P447" t="str">
        <f>CONCATENATE("'",Tabla1[[#This Row],[Codigo]],"',")</f>
        <v>'00848',</v>
      </c>
    </row>
    <row r="448" spans="1:16" x14ac:dyDescent="0.25">
      <c r="A448" t="s">
        <v>4107</v>
      </c>
      <c r="B448" t="s">
        <v>4108</v>
      </c>
      <c r="C448" t="s">
        <v>4108</v>
      </c>
      <c r="D448" t="s">
        <v>297</v>
      </c>
      <c r="E448" t="s">
        <v>167</v>
      </c>
      <c r="F448" t="s">
        <v>4109</v>
      </c>
      <c r="G448" t="s">
        <v>87</v>
      </c>
      <c r="H448" t="s">
        <v>89</v>
      </c>
      <c r="I448" t="s">
        <v>90</v>
      </c>
      <c r="J448" t="s">
        <v>91</v>
      </c>
      <c r="K448" t="s">
        <v>92</v>
      </c>
      <c r="L448" t="s">
        <v>50</v>
      </c>
      <c r="M448" s="2">
        <v>-1035.02</v>
      </c>
      <c r="N448" t="s">
        <v>4112</v>
      </c>
      <c r="O448" t="s">
        <v>115</v>
      </c>
      <c r="P448" t="str">
        <f>CONCATENATE("'",Tabla1[[#This Row],[Codigo]],"',")</f>
        <v>'00852',</v>
      </c>
    </row>
    <row r="449" spans="1:16" x14ac:dyDescent="0.25">
      <c r="A449" t="s">
        <v>4122</v>
      </c>
      <c r="B449" t="s">
        <v>4123</v>
      </c>
      <c r="C449" t="s">
        <v>4123</v>
      </c>
      <c r="D449" t="s">
        <v>847</v>
      </c>
      <c r="E449" t="s">
        <v>848</v>
      </c>
      <c r="F449" t="s">
        <v>4124</v>
      </c>
      <c r="H449" t="s">
        <v>40</v>
      </c>
      <c r="I449" t="s">
        <v>41</v>
      </c>
      <c r="J449" t="s">
        <v>42</v>
      </c>
      <c r="K449" t="s">
        <v>43</v>
      </c>
      <c r="L449" t="s">
        <v>50</v>
      </c>
      <c r="M449" s="2">
        <v>54543</v>
      </c>
      <c r="N449" t="s">
        <v>64</v>
      </c>
      <c r="P449" t="str">
        <f>CONCATENATE("'",Tabla1[[#This Row],[Codigo]],"',")</f>
        <v>'00856',</v>
      </c>
    </row>
    <row r="450" spans="1:16" x14ac:dyDescent="0.25">
      <c r="A450" t="s">
        <v>4125</v>
      </c>
      <c r="B450" t="s">
        <v>4126</v>
      </c>
      <c r="C450" t="s">
        <v>4126</v>
      </c>
      <c r="D450" t="s">
        <v>153</v>
      </c>
      <c r="E450" t="s">
        <v>272</v>
      </c>
      <c r="F450" t="s">
        <v>4127</v>
      </c>
      <c r="G450" t="s">
        <v>38</v>
      </c>
      <c r="H450" t="s">
        <v>40</v>
      </c>
      <c r="I450" t="s">
        <v>41</v>
      </c>
      <c r="J450" t="s">
        <v>42</v>
      </c>
      <c r="K450" t="s">
        <v>43</v>
      </c>
      <c r="L450" t="s">
        <v>50</v>
      </c>
      <c r="M450" s="2">
        <v>21817</v>
      </c>
      <c r="N450" t="s">
        <v>64</v>
      </c>
      <c r="P450" t="str">
        <f>CONCATENATE("'",Tabla1[[#This Row],[Codigo]],"',")</f>
        <v>'00857',</v>
      </c>
    </row>
    <row r="451" spans="1:16" x14ac:dyDescent="0.25">
      <c r="A451" t="s">
        <v>4132</v>
      </c>
      <c r="B451" t="s">
        <v>4133</v>
      </c>
      <c r="C451" t="s">
        <v>4133</v>
      </c>
      <c r="D451" t="s">
        <v>569</v>
      </c>
      <c r="E451" t="s">
        <v>570</v>
      </c>
      <c r="F451" t="s">
        <v>4134</v>
      </c>
      <c r="G451" t="s">
        <v>4135</v>
      </c>
      <c r="H451" t="s">
        <v>596</v>
      </c>
      <c r="I451" t="s">
        <v>597</v>
      </c>
      <c r="J451" t="s">
        <v>91</v>
      </c>
      <c r="K451" t="s">
        <v>92</v>
      </c>
      <c r="L451" t="s">
        <v>50</v>
      </c>
      <c r="M451" s="2">
        <v>251492.89</v>
      </c>
      <c r="N451" t="s">
        <v>4138</v>
      </c>
      <c r="O451" t="s">
        <v>52</v>
      </c>
      <c r="P451" t="str">
        <f>CONCATENATE("'",Tabla1[[#This Row],[Codigo]],"',")</f>
        <v>'00859',</v>
      </c>
    </row>
    <row r="452" spans="1:16" x14ac:dyDescent="0.25">
      <c r="A452" t="s">
        <v>4144</v>
      </c>
      <c r="B452" t="s">
        <v>4145</v>
      </c>
      <c r="C452" t="s">
        <v>4145</v>
      </c>
      <c r="D452" t="s">
        <v>35</v>
      </c>
      <c r="E452" t="s">
        <v>36</v>
      </c>
      <c r="F452" t="s">
        <v>4146</v>
      </c>
      <c r="G452" t="s">
        <v>922</v>
      </c>
      <c r="H452" t="s">
        <v>822</v>
      </c>
      <c r="I452" t="s">
        <v>820</v>
      </c>
      <c r="J452" t="s">
        <v>91</v>
      </c>
      <c r="K452" t="s">
        <v>92</v>
      </c>
      <c r="L452" t="s">
        <v>50</v>
      </c>
      <c r="M452" s="2">
        <v>767870.43</v>
      </c>
      <c r="N452" t="s">
        <v>4149</v>
      </c>
      <c r="O452" t="s">
        <v>115</v>
      </c>
      <c r="P452" t="str">
        <f>CONCATENATE("'",Tabla1[[#This Row],[Codigo]],"',")</f>
        <v>'00863',</v>
      </c>
    </row>
    <row r="453" spans="1:16" x14ac:dyDescent="0.25">
      <c r="A453" t="s">
        <v>4152</v>
      </c>
      <c r="B453" t="s">
        <v>4153</v>
      </c>
      <c r="C453" t="s">
        <v>4154</v>
      </c>
      <c r="D453" t="s">
        <v>297</v>
      </c>
      <c r="E453" t="s">
        <v>167</v>
      </c>
      <c r="F453" t="s">
        <v>1722</v>
      </c>
      <c r="G453" t="s">
        <v>116</v>
      </c>
      <c r="H453" t="s">
        <v>118</v>
      </c>
      <c r="I453" t="s">
        <v>119</v>
      </c>
      <c r="J453" t="s">
        <v>120</v>
      </c>
      <c r="K453" t="s">
        <v>121</v>
      </c>
      <c r="L453" t="s">
        <v>50</v>
      </c>
      <c r="M453" s="2">
        <v>90667.14</v>
      </c>
      <c r="N453" t="s">
        <v>4155</v>
      </c>
      <c r="O453" t="s">
        <v>52</v>
      </c>
      <c r="P453" t="str">
        <f>CONCATENATE("'",Tabla1[[#This Row],[Codigo]],"',")</f>
        <v>'00865',</v>
      </c>
    </row>
    <row r="454" spans="1:16" x14ac:dyDescent="0.25">
      <c r="A454" t="s">
        <v>4159</v>
      </c>
      <c r="B454" t="s">
        <v>4160</v>
      </c>
      <c r="C454" t="s">
        <v>4160</v>
      </c>
      <c r="D454" t="s">
        <v>262</v>
      </c>
      <c r="E454" t="s">
        <v>134</v>
      </c>
      <c r="F454" t="s">
        <v>4161</v>
      </c>
      <c r="G454" t="s">
        <v>402</v>
      </c>
      <c r="H454" t="s">
        <v>403</v>
      </c>
      <c r="I454" t="s">
        <v>404</v>
      </c>
      <c r="J454" t="s">
        <v>205</v>
      </c>
      <c r="K454" t="s">
        <v>206</v>
      </c>
      <c r="L454" t="s">
        <v>50</v>
      </c>
      <c r="M454" s="2">
        <v>43634</v>
      </c>
      <c r="N454" t="s">
        <v>64</v>
      </c>
      <c r="P454" t="str">
        <f>CONCATENATE("'",Tabla1[[#This Row],[Codigo]],"',")</f>
        <v>'00869',</v>
      </c>
    </row>
    <row r="455" spans="1:16" x14ac:dyDescent="0.25">
      <c r="A455" t="s">
        <v>4164</v>
      </c>
      <c r="B455" t="s">
        <v>4165</v>
      </c>
      <c r="C455" t="s">
        <v>4165</v>
      </c>
      <c r="D455" t="s">
        <v>35</v>
      </c>
      <c r="E455" t="s">
        <v>36</v>
      </c>
      <c r="F455" t="s">
        <v>4166</v>
      </c>
      <c r="G455" t="s">
        <v>443</v>
      </c>
      <c r="H455" t="s">
        <v>445</v>
      </c>
      <c r="I455" t="s">
        <v>446</v>
      </c>
      <c r="J455" t="s">
        <v>69</v>
      </c>
      <c r="K455" t="s">
        <v>70</v>
      </c>
      <c r="L455" t="s">
        <v>50</v>
      </c>
      <c r="M455" s="2">
        <v>1902296.21</v>
      </c>
      <c r="N455" t="s">
        <v>4169</v>
      </c>
      <c r="O455" t="s">
        <v>52</v>
      </c>
      <c r="P455" t="str">
        <f>CONCATENATE("'",Tabla1[[#This Row],[Codigo]],"',")</f>
        <v>'00870',</v>
      </c>
    </row>
    <row r="456" spans="1:16" x14ac:dyDescent="0.25">
      <c r="A456" t="s">
        <v>4170</v>
      </c>
      <c r="B456" t="s">
        <v>4171</v>
      </c>
      <c r="C456" t="s">
        <v>4171</v>
      </c>
      <c r="D456" t="s">
        <v>178</v>
      </c>
      <c r="E456" t="s">
        <v>179</v>
      </c>
      <c r="F456" t="s">
        <v>4172</v>
      </c>
      <c r="G456" t="s">
        <v>366</v>
      </c>
      <c r="H456" t="s">
        <v>348</v>
      </c>
      <c r="I456" t="s">
        <v>349</v>
      </c>
      <c r="J456" t="s">
        <v>316</v>
      </c>
      <c r="K456" t="s">
        <v>317</v>
      </c>
      <c r="L456" t="s">
        <v>50</v>
      </c>
      <c r="M456" s="2">
        <v>101388.19</v>
      </c>
      <c r="N456" t="s">
        <v>4175</v>
      </c>
      <c r="O456" t="s">
        <v>52</v>
      </c>
      <c r="P456" t="str">
        <f>CONCATENATE("'",Tabla1[[#This Row],[Codigo]],"',")</f>
        <v>'00871',</v>
      </c>
    </row>
    <row r="457" spans="1:16" x14ac:dyDescent="0.25">
      <c r="A457" t="s">
        <v>4176</v>
      </c>
      <c r="B457" t="s">
        <v>4177</v>
      </c>
      <c r="C457" t="s">
        <v>4178</v>
      </c>
      <c r="D457" t="s">
        <v>1846</v>
      </c>
      <c r="E457" t="s">
        <v>134</v>
      </c>
      <c r="F457" t="s">
        <v>4179</v>
      </c>
      <c r="G457" t="s">
        <v>4180</v>
      </c>
      <c r="H457" t="s">
        <v>1398</v>
      </c>
      <c r="I457" t="s">
        <v>1396</v>
      </c>
      <c r="J457" t="s">
        <v>2320</v>
      </c>
      <c r="K457" t="s">
        <v>2321</v>
      </c>
      <c r="L457" t="s">
        <v>50</v>
      </c>
      <c r="M457" s="2">
        <v>1090850</v>
      </c>
      <c r="N457" t="s">
        <v>64</v>
      </c>
      <c r="P457" t="str">
        <f>CONCATENATE("'",Tabla1[[#This Row],[Codigo]],"',")</f>
        <v>'00872',</v>
      </c>
    </row>
    <row r="458" spans="1:16" x14ac:dyDescent="0.25">
      <c r="A458" t="s">
        <v>4183</v>
      </c>
      <c r="B458" t="s">
        <v>4184</v>
      </c>
      <c r="C458" t="s">
        <v>4185</v>
      </c>
      <c r="D458" t="s">
        <v>1094</v>
      </c>
      <c r="E458" t="s">
        <v>134</v>
      </c>
      <c r="F458" t="s">
        <v>4186</v>
      </c>
      <c r="G458" t="s">
        <v>324</v>
      </c>
      <c r="H458" t="s">
        <v>326</v>
      </c>
      <c r="I458" t="s">
        <v>327</v>
      </c>
      <c r="J458" t="s">
        <v>2320</v>
      </c>
      <c r="K458" t="s">
        <v>2321</v>
      </c>
      <c r="L458" t="s">
        <v>50</v>
      </c>
      <c r="M458" s="2">
        <v>1090850</v>
      </c>
      <c r="N458" t="s">
        <v>64</v>
      </c>
      <c r="P458" t="str">
        <f>CONCATENATE("'",Tabla1[[#This Row],[Codigo]],"',")</f>
        <v>'00873',</v>
      </c>
    </row>
    <row r="459" spans="1:16" x14ac:dyDescent="0.25">
      <c r="A459" t="s">
        <v>4188</v>
      </c>
      <c r="B459" t="s">
        <v>4189</v>
      </c>
      <c r="C459" t="s">
        <v>4189</v>
      </c>
      <c r="D459" t="s">
        <v>888</v>
      </c>
      <c r="E459" t="s">
        <v>167</v>
      </c>
      <c r="F459" t="s">
        <v>4190</v>
      </c>
      <c r="G459" t="s">
        <v>38</v>
      </c>
      <c r="H459" t="s">
        <v>40</v>
      </c>
      <c r="I459" t="s">
        <v>41</v>
      </c>
      <c r="J459" t="s">
        <v>61</v>
      </c>
      <c r="K459" t="s">
        <v>62</v>
      </c>
      <c r="L459" t="s">
        <v>50</v>
      </c>
      <c r="M459" s="2">
        <v>600231.62</v>
      </c>
      <c r="N459" t="s">
        <v>4192</v>
      </c>
      <c r="O459" t="s">
        <v>52</v>
      </c>
      <c r="P459" t="str">
        <f>CONCATENATE("'",Tabla1[[#This Row],[Codigo]],"',")</f>
        <v>'00874',</v>
      </c>
    </row>
    <row r="460" spans="1:16" x14ac:dyDescent="0.25">
      <c r="A460" s="15" t="s">
        <v>4193</v>
      </c>
      <c r="B460" s="15" t="s">
        <v>4194</v>
      </c>
      <c r="C460" s="15" t="s">
        <v>4194</v>
      </c>
      <c r="D460" s="15" t="s">
        <v>55</v>
      </c>
      <c r="E460" s="15" t="s">
        <v>56</v>
      </c>
      <c r="F460" s="15" t="s">
        <v>4195</v>
      </c>
      <c r="G460" s="15" t="s">
        <v>41</v>
      </c>
      <c r="H460" s="15" t="s">
        <v>40</v>
      </c>
      <c r="I460" s="15" t="s">
        <v>41</v>
      </c>
      <c r="J460" s="15" t="s">
        <v>42</v>
      </c>
      <c r="K460" s="15" t="s">
        <v>43</v>
      </c>
      <c r="L460" s="15" t="s">
        <v>50</v>
      </c>
      <c r="M460" s="16">
        <v>999.73</v>
      </c>
      <c r="N460" s="15" t="s">
        <v>4196</v>
      </c>
      <c r="O460" s="15" t="s">
        <v>115</v>
      </c>
      <c r="P460" t="str">
        <f>CONCATENATE("'",Tabla1[[#This Row],[Codigo]],"',")</f>
        <v>'00875',</v>
      </c>
    </row>
    <row r="461" spans="1:16" x14ac:dyDescent="0.25">
      <c r="A461" t="s">
        <v>4203</v>
      </c>
      <c r="B461" t="s">
        <v>4204</v>
      </c>
      <c r="C461" t="s">
        <v>4204</v>
      </c>
      <c r="D461" t="s">
        <v>297</v>
      </c>
      <c r="E461" t="s">
        <v>167</v>
      </c>
      <c r="F461" t="s">
        <v>4205</v>
      </c>
      <c r="G461" t="s">
        <v>87</v>
      </c>
      <c r="H461" t="s">
        <v>89</v>
      </c>
      <c r="I461" t="s">
        <v>90</v>
      </c>
      <c r="J461" t="s">
        <v>91</v>
      </c>
      <c r="K461" t="s">
        <v>92</v>
      </c>
      <c r="L461" t="s">
        <v>50</v>
      </c>
      <c r="M461" s="2">
        <v>350734.45</v>
      </c>
      <c r="N461" t="s">
        <v>4208</v>
      </c>
      <c r="P461" t="str">
        <f>CONCATENATE("'",Tabla1[[#This Row],[Codigo]],"',")</f>
        <v>'00879',</v>
      </c>
    </row>
    <row r="462" spans="1:16" x14ac:dyDescent="0.25">
      <c r="A462" t="s">
        <v>4211</v>
      </c>
      <c r="B462" t="s">
        <v>4212</v>
      </c>
      <c r="C462" t="s">
        <v>4212</v>
      </c>
      <c r="D462" t="s">
        <v>125</v>
      </c>
      <c r="E462" t="s">
        <v>126</v>
      </c>
      <c r="F462" t="s">
        <v>4213</v>
      </c>
      <c r="G462" t="s">
        <v>238</v>
      </c>
      <c r="H462" t="s">
        <v>118</v>
      </c>
      <c r="I462" t="s">
        <v>119</v>
      </c>
      <c r="J462" t="s">
        <v>120</v>
      </c>
      <c r="K462" t="s">
        <v>121</v>
      </c>
      <c r="L462" t="s">
        <v>50</v>
      </c>
      <c r="M462" s="2">
        <v>933191.83</v>
      </c>
      <c r="N462" t="s">
        <v>4216</v>
      </c>
      <c r="O462" t="s">
        <v>52</v>
      </c>
      <c r="P462" t="str">
        <f>CONCATENATE("'",Tabla1[[#This Row],[Codigo]],"',")</f>
        <v>'00882',</v>
      </c>
    </row>
    <row r="463" spans="1:16" x14ac:dyDescent="0.25">
      <c r="A463" t="s">
        <v>4219</v>
      </c>
      <c r="B463" t="s">
        <v>4220</v>
      </c>
      <c r="C463" t="s">
        <v>4220</v>
      </c>
      <c r="D463" t="s">
        <v>4221</v>
      </c>
      <c r="E463" t="s">
        <v>77</v>
      </c>
      <c r="F463" t="s">
        <v>4222</v>
      </c>
      <c r="G463" t="s">
        <v>4223</v>
      </c>
      <c r="H463" t="s">
        <v>4225</v>
      </c>
      <c r="I463" t="s">
        <v>4226</v>
      </c>
      <c r="J463" t="s">
        <v>82</v>
      </c>
      <c r="K463" t="s">
        <v>83</v>
      </c>
      <c r="L463" t="s">
        <v>50</v>
      </c>
      <c r="M463" s="2">
        <v>109085</v>
      </c>
      <c r="N463" t="s">
        <v>64</v>
      </c>
      <c r="P463" t="str">
        <f>CONCATENATE("'",Tabla1[[#This Row],[Codigo]],"',")</f>
        <v>'00884',</v>
      </c>
    </row>
    <row r="464" spans="1:16" x14ac:dyDescent="0.25">
      <c r="A464" t="s">
        <v>4230</v>
      </c>
      <c r="B464" t="s">
        <v>4231</v>
      </c>
      <c r="C464" t="s">
        <v>4231</v>
      </c>
      <c r="D464" t="s">
        <v>35</v>
      </c>
      <c r="E464" t="s">
        <v>36</v>
      </c>
      <c r="F464" t="s">
        <v>4232</v>
      </c>
      <c r="G464" t="s">
        <v>300</v>
      </c>
      <c r="H464" t="s">
        <v>302</v>
      </c>
      <c r="I464" t="s">
        <v>303</v>
      </c>
      <c r="J464" t="s">
        <v>304</v>
      </c>
      <c r="K464" t="s">
        <v>72</v>
      </c>
      <c r="L464" t="s">
        <v>50</v>
      </c>
      <c r="M464" s="2">
        <v>133179.20000000001</v>
      </c>
      <c r="N464" t="s">
        <v>4235</v>
      </c>
      <c r="O464" t="s">
        <v>52</v>
      </c>
      <c r="P464" t="str">
        <f>CONCATENATE("'",Tabla1[[#This Row],[Codigo]],"',")</f>
        <v>'00886',</v>
      </c>
    </row>
    <row r="465" spans="1:16" x14ac:dyDescent="0.25">
      <c r="A465" t="s">
        <v>4246</v>
      </c>
      <c r="B465" t="s">
        <v>4247</v>
      </c>
      <c r="C465" t="s">
        <v>4248</v>
      </c>
      <c r="D465" t="s">
        <v>125</v>
      </c>
      <c r="E465" t="s">
        <v>126</v>
      </c>
      <c r="F465" t="s">
        <v>4245</v>
      </c>
      <c r="G465" t="s">
        <v>116</v>
      </c>
      <c r="H465" t="s">
        <v>118</v>
      </c>
      <c r="I465" t="s">
        <v>119</v>
      </c>
      <c r="J465" t="s">
        <v>120</v>
      </c>
      <c r="K465" t="s">
        <v>121</v>
      </c>
      <c r="L465" t="s">
        <v>50</v>
      </c>
      <c r="M465" s="2">
        <v>21809.439999999999</v>
      </c>
      <c r="N465" t="s">
        <v>4251</v>
      </c>
      <c r="O465" t="s">
        <v>52</v>
      </c>
      <c r="P465" t="str">
        <f>CONCATENATE("'",Tabla1[[#This Row],[Codigo]],"',")</f>
        <v>'00890',</v>
      </c>
    </row>
    <row r="466" spans="1:16" x14ac:dyDescent="0.25">
      <c r="A466" t="s">
        <v>4254</v>
      </c>
      <c r="B466" t="s">
        <v>4255</v>
      </c>
      <c r="C466" t="s">
        <v>4255</v>
      </c>
      <c r="D466" t="s">
        <v>153</v>
      </c>
      <c r="E466" t="s">
        <v>272</v>
      </c>
      <c r="F466" t="s">
        <v>4256</v>
      </c>
      <c r="G466" t="s">
        <v>443</v>
      </c>
      <c r="H466" t="s">
        <v>445</v>
      </c>
      <c r="I466" t="s">
        <v>446</v>
      </c>
      <c r="J466" t="s">
        <v>69</v>
      </c>
      <c r="K466" t="s">
        <v>70</v>
      </c>
      <c r="L466" t="s">
        <v>50</v>
      </c>
      <c r="M466" s="2">
        <v>25046.959999999999</v>
      </c>
      <c r="N466" t="s">
        <v>4259</v>
      </c>
      <c r="O466" t="s">
        <v>52</v>
      </c>
      <c r="P466" t="str">
        <f>CONCATENATE("'",Tabla1[[#This Row],[Codigo]],"',")</f>
        <v>'00893',</v>
      </c>
    </row>
    <row r="467" spans="1:16" x14ac:dyDescent="0.25">
      <c r="A467" t="s">
        <v>4261</v>
      </c>
      <c r="B467" t="s">
        <v>4262</v>
      </c>
      <c r="C467" t="s">
        <v>4262</v>
      </c>
      <c r="D467" t="s">
        <v>35</v>
      </c>
      <c r="E467" t="s">
        <v>36</v>
      </c>
      <c r="F467" t="s">
        <v>4263</v>
      </c>
      <c r="G467" t="s">
        <v>3299</v>
      </c>
      <c r="H467" t="s">
        <v>3301</v>
      </c>
      <c r="I467" t="s">
        <v>3302</v>
      </c>
      <c r="J467" t="s">
        <v>205</v>
      </c>
      <c r="K467" t="s">
        <v>206</v>
      </c>
      <c r="L467" t="s">
        <v>50</v>
      </c>
      <c r="M467" s="2">
        <v>379867.52</v>
      </c>
      <c r="N467" t="s">
        <v>4266</v>
      </c>
      <c r="O467" t="s">
        <v>52</v>
      </c>
      <c r="P467" t="str">
        <f>CONCATENATE("'",Tabla1[[#This Row],[Codigo]],"',")</f>
        <v>'00896',</v>
      </c>
    </row>
    <row r="468" spans="1:16" x14ac:dyDescent="0.25">
      <c r="A468" t="s">
        <v>4267</v>
      </c>
      <c r="B468" t="s">
        <v>4268</v>
      </c>
      <c r="C468" t="s">
        <v>4268</v>
      </c>
      <c r="D468" t="s">
        <v>178</v>
      </c>
      <c r="E468" t="s">
        <v>179</v>
      </c>
      <c r="F468" t="s">
        <v>4269</v>
      </c>
      <c r="G468" t="s">
        <v>1444</v>
      </c>
      <c r="H468" t="s">
        <v>1064</v>
      </c>
      <c r="I468" t="s">
        <v>1062</v>
      </c>
      <c r="J468" t="s">
        <v>304</v>
      </c>
      <c r="K468" t="s">
        <v>72</v>
      </c>
      <c r="L468" t="s">
        <v>50</v>
      </c>
      <c r="M468" s="2">
        <v>86279.05</v>
      </c>
      <c r="N468" t="s">
        <v>4272</v>
      </c>
      <c r="O468" t="s">
        <v>52</v>
      </c>
      <c r="P468" t="str">
        <f>CONCATENATE("'",Tabla1[[#This Row],[Codigo]],"',")</f>
        <v>'00897',</v>
      </c>
    </row>
    <row r="469" spans="1:16" x14ac:dyDescent="0.25">
      <c r="A469" t="s">
        <v>4273</v>
      </c>
      <c r="B469" t="s">
        <v>4274</v>
      </c>
      <c r="C469" t="s">
        <v>4275</v>
      </c>
      <c r="D469" t="s">
        <v>35</v>
      </c>
      <c r="E469" t="s">
        <v>36</v>
      </c>
      <c r="F469" t="s">
        <v>4276</v>
      </c>
      <c r="G469" t="s">
        <v>1898</v>
      </c>
      <c r="H469" t="s">
        <v>1900</v>
      </c>
      <c r="I469" t="s">
        <v>1901</v>
      </c>
      <c r="J469" t="s">
        <v>158</v>
      </c>
      <c r="K469" t="s">
        <v>159</v>
      </c>
      <c r="L469" t="s">
        <v>50</v>
      </c>
      <c r="M469" s="2">
        <v>534074.1</v>
      </c>
      <c r="N469" t="s">
        <v>4279</v>
      </c>
      <c r="O469" t="s">
        <v>52</v>
      </c>
      <c r="P469" t="str">
        <f>CONCATENATE("'",Tabla1[[#This Row],[Codigo]],"',")</f>
        <v>'00898',</v>
      </c>
    </row>
    <row r="470" spans="1:16" x14ac:dyDescent="0.25">
      <c r="A470" t="s">
        <v>4280</v>
      </c>
      <c r="B470" t="s">
        <v>4281</v>
      </c>
      <c r="C470" t="s">
        <v>4281</v>
      </c>
      <c r="D470" t="s">
        <v>153</v>
      </c>
      <c r="E470" t="s">
        <v>272</v>
      </c>
      <c r="F470" t="s">
        <v>4282</v>
      </c>
      <c r="G470" t="s">
        <v>1898</v>
      </c>
      <c r="H470" t="s">
        <v>1900</v>
      </c>
      <c r="I470" t="s">
        <v>1901</v>
      </c>
      <c r="J470" t="s">
        <v>158</v>
      </c>
      <c r="K470" t="s">
        <v>159</v>
      </c>
      <c r="L470" t="s">
        <v>50</v>
      </c>
      <c r="M470" s="2">
        <v>919428.91</v>
      </c>
      <c r="N470" t="s">
        <v>4285</v>
      </c>
      <c r="O470" t="s">
        <v>52</v>
      </c>
      <c r="P470" t="str">
        <f>CONCATENATE("'",Tabla1[[#This Row],[Codigo]],"',")</f>
        <v>'00899',</v>
      </c>
    </row>
    <row r="471" spans="1:16" x14ac:dyDescent="0.25">
      <c r="A471" t="s">
        <v>4286</v>
      </c>
      <c r="B471" t="s">
        <v>4287</v>
      </c>
      <c r="C471" t="s">
        <v>4287</v>
      </c>
      <c r="D471" t="s">
        <v>2288</v>
      </c>
      <c r="E471" t="s">
        <v>134</v>
      </c>
      <c r="F471" t="s">
        <v>4288</v>
      </c>
      <c r="G471" t="s">
        <v>653</v>
      </c>
      <c r="H471" t="s">
        <v>652</v>
      </c>
      <c r="I471" t="s">
        <v>653</v>
      </c>
      <c r="J471" t="s">
        <v>69</v>
      </c>
      <c r="K471" t="s">
        <v>70</v>
      </c>
      <c r="L471" t="s">
        <v>50</v>
      </c>
      <c r="M471" s="2">
        <v>174536</v>
      </c>
      <c r="N471" t="s">
        <v>64</v>
      </c>
      <c r="P471" t="str">
        <f>CONCATENATE("'",Tabla1[[#This Row],[Codigo]],"',")</f>
        <v>'00900',</v>
      </c>
    </row>
    <row r="472" spans="1:16" x14ac:dyDescent="0.25">
      <c r="A472" t="s">
        <v>4291</v>
      </c>
      <c r="B472" t="s">
        <v>4292</v>
      </c>
      <c r="C472" t="s">
        <v>4292</v>
      </c>
      <c r="D472" t="s">
        <v>153</v>
      </c>
      <c r="E472" t="s">
        <v>272</v>
      </c>
      <c r="F472" t="s">
        <v>4293</v>
      </c>
      <c r="G472" t="s">
        <v>300</v>
      </c>
      <c r="H472" t="s">
        <v>302</v>
      </c>
      <c r="I472" t="s">
        <v>303</v>
      </c>
      <c r="J472" t="s">
        <v>304</v>
      </c>
      <c r="K472" t="s">
        <v>72</v>
      </c>
      <c r="L472" t="s">
        <v>50</v>
      </c>
      <c r="M472" s="2">
        <v>218170</v>
      </c>
      <c r="N472" t="s">
        <v>64</v>
      </c>
      <c r="O472" t="s">
        <v>115</v>
      </c>
      <c r="P472" t="str">
        <f>CONCATENATE("'",Tabla1[[#This Row],[Codigo]],"',")</f>
        <v>'00901',</v>
      </c>
    </row>
    <row r="473" spans="1:16" x14ac:dyDescent="0.25">
      <c r="A473" t="s">
        <v>4296</v>
      </c>
      <c r="B473" t="s">
        <v>4297</v>
      </c>
      <c r="C473" t="s">
        <v>4298</v>
      </c>
      <c r="D473" t="s">
        <v>35</v>
      </c>
      <c r="E473" t="s">
        <v>36</v>
      </c>
      <c r="F473" t="s">
        <v>4299</v>
      </c>
      <c r="G473" t="s">
        <v>4300</v>
      </c>
      <c r="H473" t="s">
        <v>4301</v>
      </c>
      <c r="I473" t="s">
        <v>4302</v>
      </c>
      <c r="J473" t="s">
        <v>158</v>
      </c>
      <c r="K473" t="s">
        <v>159</v>
      </c>
      <c r="L473" t="s">
        <v>50</v>
      </c>
      <c r="M473" s="2">
        <v>618576.55000000005</v>
      </c>
      <c r="N473" t="s">
        <v>4304</v>
      </c>
      <c r="O473" t="s">
        <v>52</v>
      </c>
      <c r="P473" t="str">
        <f>CONCATENATE("'",Tabla1[[#This Row],[Codigo]],"',")</f>
        <v>'00902',</v>
      </c>
    </row>
    <row r="474" spans="1:16" x14ac:dyDescent="0.25">
      <c r="A474" t="s">
        <v>4310</v>
      </c>
      <c r="B474" t="s">
        <v>4311</v>
      </c>
      <c r="C474" t="s">
        <v>4311</v>
      </c>
      <c r="D474" t="s">
        <v>569</v>
      </c>
      <c r="E474" t="s">
        <v>570</v>
      </c>
      <c r="F474" t="s">
        <v>4312</v>
      </c>
      <c r="G474" t="s">
        <v>4313</v>
      </c>
      <c r="H474" t="s">
        <v>624</v>
      </c>
      <c r="I474" t="s">
        <v>622</v>
      </c>
      <c r="J474" t="s">
        <v>4315</v>
      </c>
      <c r="K474" t="s">
        <v>4316</v>
      </c>
      <c r="L474" t="s">
        <v>50</v>
      </c>
      <c r="M474" s="2">
        <v>100123</v>
      </c>
      <c r="N474" t="s">
        <v>64</v>
      </c>
      <c r="P474" t="str">
        <f>CONCATENATE("'",Tabla1[[#This Row],[Codigo]],"',")</f>
        <v>'00906',</v>
      </c>
    </row>
    <row r="475" spans="1:16" x14ac:dyDescent="0.25">
      <c r="A475" t="s">
        <v>4318</v>
      </c>
      <c r="B475" t="s">
        <v>4319</v>
      </c>
      <c r="C475" t="s">
        <v>4319</v>
      </c>
      <c r="D475" t="s">
        <v>35</v>
      </c>
      <c r="E475" t="s">
        <v>36</v>
      </c>
      <c r="F475" t="s">
        <v>4320</v>
      </c>
      <c r="G475" t="s">
        <v>38</v>
      </c>
      <c r="H475" t="s">
        <v>40</v>
      </c>
      <c r="I475" t="s">
        <v>41</v>
      </c>
      <c r="J475" t="s">
        <v>42</v>
      </c>
      <c r="K475" t="s">
        <v>43</v>
      </c>
      <c r="L475" t="s">
        <v>50</v>
      </c>
      <c r="M475" s="2">
        <v>20609.18</v>
      </c>
      <c r="N475" t="s">
        <v>4323</v>
      </c>
      <c r="P475" t="str">
        <f>CONCATENATE("'",Tabla1[[#This Row],[Codigo]],"',")</f>
        <v>'00907',</v>
      </c>
    </row>
    <row r="476" spans="1:16" x14ac:dyDescent="0.25">
      <c r="A476" t="s">
        <v>4324</v>
      </c>
      <c r="B476" t="s">
        <v>4325</v>
      </c>
      <c r="C476" t="s">
        <v>4325</v>
      </c>
      <c r="D476" t="s">
        <v>35</v>
      </c>
      <c r="E476" t="s">
        <v>36</v>
      </c>
      <c r="F476" t="s">
        <v>4326</v>
      </c>
      <c r="G476" t="s">
        <v>1062</v>
      </c>
      <c r="H476" t="s">
        <v>1064</v>
      </c>
      <c r="I476" t="s">
        <v>1062</v>
      </c>
      <c r="J476" t="s">
        <v>304</v>
      </c>
      <c r="K476" t="s">
        <v>72</v>
      </c>
      <c r="L476" t="s">
        <v>50</v>
      </c>
      <c r="M476" s="2">
        <v>87409.23</v>
      </c>
      <c r="N476" t="s">
        <v>4329</v>
      </c>
      <c r="O476" t="s">
        <v>115</v>
      </c>
      <c r="P476" t="str">
        <f>CONCATENATE("'",Tabla1[[#This Row],[Codigo]],"',")</f>
        <v>'00908',</v>
      </c>
    </row>
    <row r="477" spans="1:16" x14ac:dyDescent="0.25">
      <c r="A477" t="s">
        <v>4330</v>
      </c>
      <c r="B477" t="s">
        <v>4331</v>
      </c>
      <c r="C477" t="s">
        <v>4331</v>
      </c>
      <c r="D477" t="s">
        <v>344</v>
      </c>
      <c r="E477" t="s">
        <v>167</v>
      </c>
      <c r="F477" t="s">
        <v>4332</v>
      </c>
      <c r="G477" t="s">
        <v>1581</v>
      </c>
      <c r="H477" t="s">
        <v>203</v>
      </c>
      <c r="I477" t="s">
        <v>204</v>
      </c>
      <c r="J477" t="s">
        <v>205</v>
      </c>
      <c r="K477" t="s">
        <v>206</v>
      </c>
      <c r="L477" t="s">
        <v>50</v>
      </c>
      <c r="M477" s="2">
        <v>97791.26</v>
      </c>
      <c r="N477" t="s">
        <v>4335</v>
      </c>
      <c r="O477" t="s">
        <v>52</v>
      </c>
      <c r="P477" t="str">
        <f>CONCATENATE("'",Tabla1[[#This Row],[Codigo]],"',")</f>
        <v>'00909',</v>
      </c>
    </row>
    <row r="478" spans="1:16" x14ac:dyDescent="0.25">
      <c r="A478" t="s">
        <v>4341</v>
      </c>
      <c r="B478" t="s">
        <v>4342</v>
      </c>
      <c r="C478" t="s">
        <v>4342</v>
      </c>
      <c r="D478" t="s">
        <v>870</v>
      </c>
      <c r="E478" t="s">
        <v>871</v>
      </c>
      <c r="F478" t="s">
        <v>4343</v>
      </c>
      <c r="G478" t="s">
        <v>1898</v>
      </c>
      <c r="H478" t="s">
        <v>1900</v>
      </c>
      <c r="I478" t="s">
        <v>1901</v>
      </c>
      <c r="J478" t="s">
        <v>158</v>
      </c>
      <c r="K478" t="s">
        <v>159</v>
      </c>
      <c r="L478" t="s">
        <v>50</v>
      </c>
      <c r="M478" s="2">
        <v>1399774.33</v>
      </c>
      <c r="N478" t="s">
        <v>4346</v>
      </c>
      <c r="P478" t="str">
        <f>CONCATENATE("'",Tabla1[[#This Row],[Codigo]],"',")</f>
        <v>'00911',</v>
      </c>
    </row>
    <row r="479" spans="1:16" x14ac:dyDescent="0.25">
      <c r="A479" t="s">
        <v>4347</v>
      </c>
      <c r="B479" t="s">
        <v>4348</v>
      </c>
      <c r="C479" t="s">
        <v>4348</v>
      </c>
      <c r="D479" t="s">
        <v>870</v>
      </c>
      <c r="E479" t="s">
        <v>871</v>
      </c>
      <c r="F479" t="s">
        <v>4349</v>
      </c>
      <c r="G479" t="s">
        <v>443</v>
      </c>
      <c r="H479" t="s">
        <v>445</v>
      </c>
      <c r="I479" t="s">
        <v>446</v>
      </c>
      <c r="J479" t="s">
        <v>69</v>
      </c>
      <c r="K479" t="s">
        <v>70</v>
      </c>
      <c r="L479" t="s">
        <v>50</v>
      </c>
      <c r="M479" s="2">
        <v>76360</v>
      </c>
      <c r="N479" t="s">
        <v>64</v>
      </c>
      <c r="P479" t="str">
        <f>CONCATENATE("'",Tabla1[[#This Row],[Codigo]],"',")</f>
        <v>'00912',</v>
      </c>
    </row>
    <row r="480" spans="1:16" x14ac:dyDescent="0.25">
      <c r="A480" t="s">
        <v>4352</v>
      </c>
      <c r="B480" t="s">
        <v>4353</v>
      </c>
      <c r="C480" t="s">
        <v>4353</v>
      </c>
      <c r="D480" t="s">
        <v>153</v>
      </c>
      <c r="E480" t="s">
        <v>272</v>
      </c>
      <c r="F480" t="s">
        <v>4354</v>
      </c>
      <c r="G480" t="s">
        <v>116</v>
      </c>
      <c r="H480" t="s">
        <v>118</v>
      </c>
      <c r="I480" t="s">
        <v>119</v>
      </c>
      <c r="J480" t="s">
        <v>120</v>
      </c>
      <c r="K480" t="s">
        <v>121</v>
      </c>
      <c r="L480" t="s">
        <v>50</v>
      </c>
      <c r="M480" s="2">
        <v>72716.77</v>
      </c>
      <c r="N480" t="s">
        <v>4357</v>
      </c>
      <c r="O480" t="s">
        <v>52</v>
      </c>
      <c r="P480" t="str">
        <f>CONCATENATE("'",Tabla1[[#This Row],[Codigo]],"',")</f>
        <v>'00913',</v>
      </c>
    </row>
    <row r="481" spans="1:16" x14ac:dyDescent="0.25">
      <c r="A481" t="s">
        <v>4362</v>
      </c>
      <c r="B481" t="s">
        <v>4363</v>
      </c>
      <c r="C481" t="s">
        <v>4363</v>
      </c>
      <c r="D481" t="s">
        <v>35</v>
      </c>
      <c r="E481" t="s">
        <v>36</v>
      </c>
      <c r="F481" t="s">
        <v>4364</v>
      </c>
      <c r="G481" t="s">
        <v>402</v>
      </c>
      <c r="H481" t="s">
        <v>403</v>
      </c>
      <c r="I481" t="s">
        <v>404</v>
      </c>
      <c r="J481" t="s">
        <v>205</v>
      </c>
      <c r="K481" t="s">
        <v>206</v>
      </c>
      <c r="L481" t="s">
        <v>50</v>
      </c>
      <c r="M481" s="2">
        <v>-10227.89</v>
      </c>
      <c r="N481" t="s">
        <v>4367</v>
      </c>
      <c r="O481" t="s">
        <v>52</v>
      </c>
      <c r="P481" t="str">
        <f>CONCATENATE("'",Tabla1[[#This Row],[Codigo]],"',")</f>
        <v>'00916',</v>
      </c>
    </row>
    <row r="482" spans="1:16" x14ac:dyDescent="0.25">
      <c r="A482" t="s">
        <v>4377</v>
      </c>
      <c r="B482" t="s">
        <v>4378</v>
      </c>
      <c r="C482" t="s">
        <v>4378</v>
      </c>
      <c r="D482" t="s">
        <v>153</v>
      </c>
      <c r="E482" t="s">
        <v>272</v>
      </c>
      <c r="F482" t="s">
        <v>4379</v>
      </c>
      <c r="G482" t="s">
        <v>4054</v>
      </c>
      <c r="H482" t="s">
        <v>4055</v>
      </c>
      <c r="I482" t="s">
        <v>4056</v>
      </c>
      <c r="J482" t="s">
        <v>205</v>
      </c>
      <c r="K482" t="s">
        <v>206</v>
      </c>
      <c r="L482" t="s">
        <v>50</v>
      </c>
      <c r="M482" s="2">
        <v>545424.05000000005</v>
      </c>
      <c r="N482" t="s">
        <v>4382</v>
      </c>
      <c r="P482" t="str">
        <f>CONCATENATE("'",Tabla1[[#This Row],[Codigo]],"',")</f>
        <v>'00919',</v>
      </c>
    </row>
    <row r="483" spans="1:16" x14ac:dyDescent="0.25">
      <c r="A483" t="s">
        <v>4388</v>
      </c>
      <c r="B483" t="s">
        <v>4389</v>
      </c>
      <c r="C483" t="s">
        <v>4390</v>
      </c>
      <c r="D483" t="s">
        <v>2120</v>
      </c>
      <c r="E483" t="s">
        <v>224</v>
      </c>
      <c r="F483" t="s">
        <v>505</v>
      </c>
      <c r="G483" t="s">
        <v>87</v>
      </c>
      <c r="H483" t="s">
        <v>89</v>
      </c>
      <c r="I483" t="s">
        <v>90</v>
      </c>
      <c r="J483" t="s">
        <v>91</v>
      </c>
      <c r="K483" t="s">
        <v>92</v>
      </c>
      <c r="L483" t="s">
        <v>50</v>
      </c>
      <c r="M483" s="2">
        <v>155104.57</v>
      </c>
      <c r="N483" t="s">
        <v>4394</v>
      </c>
      <c r="P483" t="str">
        <f>CONCATENATE("'",Tabla1[[#This Row],[Codigo]],"',")</f>
        <v>'00922',</v>
      </c>
    </row>
    <row r="484" spans="1:16" x14ac:dyDescent="0.25">
      <c r="A484" t="s">
        <v>4395</v>
      </c>
      <c r="B484" t="s">
        <v>4396</v>
      </c>
      <c r="C484" t="s">
        <v>4396</v>
      </c>
      <c r="D484" t="s">
        <v>569</v>
      </c>
      <c r="E484" t="s">
        <v>570</v>
      </c>
      <c r="F484" t="s">
        <v>4397</v>
      </c>
      <c r="G484" t="s">
        <v>358</v>
      </c>
      <c r="H484" t="s">
        <v>360</v>
      </c>
      <c r="I484" t="s">
        <v>361</v>
      </c>
      <c r="J484" t="s">
        <v>61</v>
      </c>
      <c r="K484" t="s">
        <v>62</v>
      </c>
      <c r="L484" t="s">
        <v>50</v>
      </c>
      <c r="M484" s="2">
        <v>301704.78000000003</v>
      </c>
      <c r="N484" t="s">
        <v>4399</v>
      </c>
      <c r="O484" t="s">
        <v>115</v>
      </c>
      <c r="P484" t="str">
        <f>CONCATENATE("'",Tabla1[[#This Row],[Codigo]],"',")</f>
        <v>'00923',</v>
      </c>
    </row>
    <row r="485" spans="1:16" x14ac:dyDescent="0.25">
      <c r="A485" t="s">
        <v>4400</v>
      </c>
      <c r="B485" t="s">
        <v>4401</v>
      </c>
      <c r="C485" t="s">
        <v>4401</v>
      </c>
      <c r="D485" t="s">
        <v>4402</v>
      </c>
      <c r="E485" t="s">
        <v>134</v>
      </c>
      <c r="F485" t="s">
        <v>4403</v>
      </c>
      <c r="G485" t="s">
        <v>255</v>
      </c>
      <c r="H485" t="s">
        <v>254</v>
      </c>
      <c r="I485" t="s">
        <v>255</v>
      </c>
      <c r="J485" t="s">
        <v>3534</v>
      </c>
      <c r="K485" t="s">
        <v>3535</v>
      </c>
      <c r="L485" t="s">
        <v>50</v>
      </c>
      <c r="M485" s="2">
        <v>24372.81</v>
      </c>
      <c r="N485" t="s">
        <v>4405</v>
      </c>
      <c r="O485" t="s">
        <v>115</v>
      </c>
      <c r="P485" t="str">
        <f>CONCATENATE("'",Tabla1[[#This Row],[Codigo]],"',")</f>
        <v>'00924',</v>
      </c>
    </row>
    <row r="486" spans="1:16" x14ac:dyDescent="0.25">
      <c r="A486" t="s">
        <v>4408</v>
      </c>
      <c r="B486" t="s">
        <v>4409</v>
      </c>
      <c r="C486" t="s">
        <v>4409</v>
      </c>
      <c r="D486" t="s">
        <v>35</v>
      </c>
      <c r="E486" t="s">
        <v>36</v>
      </c>
      <c r="F486" t="s">
        <v>4410</v>
      </c>
      <c r="G486" t="s">
        <v>4411</v>
      </c>
      <c r="H486" t="s">
        <v>4412</v>
      </c>
      <c r="I486" t="s">
        <v>4413</v>
      </c>
      <c r="J486" t="s">
        <v>91</v>
      </c>
      <c r="K486" t="s">
        <v>92</v>
      </c>
      <c r="L486" t="s">
        <v>50</v>
      </c>
      <c r="M486" s="2">
        <v>118388.61</v>
      </c>
      <c r="N486" t="s">
        <v>4415</v>
      </c>
      <c r="O486" t="s">
        <v>52</v>
      </c>
      <c r="P486" t="str">
        <f>CONCATENATE("'",Tabla1[[#This Row],[Codigo]],"',")</f>
        <v>'00926',</v>
      </c>
    </row>
    <row r="487" spans="1:16" x14ac:dyDescent="0.25">
      <c r="A487" t="s">
        <v>4418</v>
      </c>
      <c r="B487" t="s">
        <v>4419</v>
      </c>
      <c r="C487" t="s">
        <v>4419</v>
      </c>
      <c r="D487" t="s">
        <v>35</v>
      </c>
      <c r="E487" t="s">
        <v>36</v>
      </c>
      <c r="F487" t="s">
        <v>4420</v>
      </c>
      <c r="G487" t="s">
        <v>4421</v>
      </c>
      <c r="H487" t="s">
        <v>4423</v>
      </c>
      <c r="I487" t="s">
        <v>4424</v>
      </c>
      <c r="J487" t="s">
        <v>120</v>
      </c>
      <c r="K487" t="s">
        <v>121</v>
      </c>
      <c r="L487" t="s">
        <v>50</v>
      </c>
      <c r="M487" s="2">
        <v>152688.71</v>
      </c>
      <c r="N487" t="s">
        <v>4426</v>
      </c>
      <c r="P487" t="str">
        <f>CONCATENATE("'",Tabla1[[#This Row],[Codigo]],"',")</f>
        <v>'00928',</v>
      </c>
    </row>
    <row r="488" spans="1:16" x14ac:dyDescent="0.25">
      <c r="A488" t="s">
        <v>4427</v>
      </c>
      <c r="B488" t="s">
        <v>4428</v>
      </c>
      <c r="C488" t="s">
        <v>4428</v>
      </c>
      <c r="D488" t="s">
        <v>344</v>
      </c>
      <c r="E488" t="s">
        <v>167</v>
      </c>
      <c r="F488" t="s">
        <v>4429</v>
      </c>
      <c r="G488" t="s">
        <v>324</v>
      </c>
      <c r="H488" t="s">
        <v>326</v>
      </c>
      <c r="I488" t="s">
        <v>327</v>
      </c>
      <c r="J488" t="s">
        <v>120</v>
      </c>
      <c r="K488" t="s">
        <v>121</v>
      </c>
      <c r="L488" t="s">
        <v>50</v>
      </c>
      <c r="M488" s="2">
        <v>138807.60999999999</v>
      </c>
      <c r="N488" t="s">
        <v>4432</v>
      </c>
      <c r="O488" t="s">
        <v>52</v>
      </c>
      <c r="P488" t="str">
        <f>CONCATENATE("'",Tabla1[[#This Row],[Codigo]],"',")</f>
        <v>'00929',</v>
      </c>
    </row>
    <row r="489" spans="1:16" x14ac:dyDescent="0.25">
      <c r="A489" t="s">
        <v>4435</v>
      </c>
      <c r="B489" t="s">
        <v>4436</v>
      </c>
      <c r="C489" t="s">
        <v>4437</v>
      </c>
      <c r="D489" t="s">
        <v>35</v>
      </c>
      <c r="E489" t="s">
        <v>36</v>
      </c>
      <c r="F489" t="s">
        <v>4438</v>
      </c>
      <c r="G489" t="s">
        <v>4421</v>
      </c>
      <c r="H489" t="s">
        <v>4423</v>
      </c>
      <c r="I489" t="s">
        <v>4424</v>
      </c>
      <c r="J489" t="s">
        <v>120</v>
      </c>
      <c r="K489" t="s">
        <v>121</v>
      </c>
      <c r="L489" t="s">
        <v>50</v>
      </c>
      <c r="M489" s="2">
        <v>138555.84</v>
      </c>
      <c r="N489" t="s">
        <v>4441</v>
      </c>
      <c r="P489" t="str">
        <f>CONCATENATE("'",Tabla1[[#This Row],[Codigo]],"',")</f>
        <v>'00931',</v>
      </c>
    </row>
    <row r="490" spans="1:16" x14ac:dyDescent="0.25">
      <c r="A490" t="s">
        <v>4442</v>
      </c>
      <c r="B490" t="s">
        <v>4443</v>
      </c>
      <c r="C490" t="s">
        <v>4443</v>
      </c>
      <c r="D490" t="s">
        <v>125</v>
      </c>
      <c r="E490" t="s">
        <v>126</v>
      </c>
      <c r="F490" t="s">
        <v>4444</v>
      </c>
      <c r="G490" t="s">
        <v>324</v>
      </c>
      <c r="H490" t="s">
        <v>326</v>
      </c>
      <c r="I490" t="s">
        <v>327</v>
      </c>
      <c r="J490" t="s">
        <v>120</v>
      </c>
      <c r="K490" t="s">
        <v>121</v>
      </c>
      <c r="L490" t="s">
        <v>50</v>
      </c>
      <c r="M490" s="2">
        <v>95446.46</v>
      </c>
      <c r="N490" t="s">
        <v>4447</v>
      </c>
      <c r="O490" t="s">
        <v>115</v>
      </c>
      <c r="P490" t="str">
        <f>CONCATENATE("'",Tabla1[[#This Row],[Codigo]],"',")</f>
        <v>'00932',</v>
      </c>
    </row>
    <row r="491" spans="1:16" x14ac:dyDescent="0.25">
      <c r="A491" t="s">
        <v>4452</v>
      </c>
      <c r="B491" t="s">
        <v>4453</v>
      </c>
      <c r="C491" t="s">
        <v>4453</v>
      </c>
      <c r="D491" t="s">
        <v>189</v>
      </c>
      <c r="E491" t="s">
        <v>190</v>
      </c>
      <c r="F491" t="s">
        <v>4454</v>
      </c>
      <c r="G491" t="s">
        <v>1607</v>
      </c>
      <c r="H491" t="s">
        <v>1221</v>
      </c>
      <c r="I491" t="s">
        <v>1222</v>
      </c>
      <c r="J491" t="s">
        <v>158</v>
      </c>
      <c r="K491" t="s">
        <v>159</v>
      </c>
      <c r="L491" t="s">
        <v>50</v>
      </c>
      <c r="M491" s="2">
        <v>234870</v>
      </c>
      <c r="N491" t="s">
        <v>64</v>
      </c>
      <c r="P491" t="str">
        <f>CONCATENATE("'",Tabla1[[#This Row],[Codigo]],"',")</f>
        <v>'00934',</v>
      </c>
    </row>
    <row r="492" spans="1:16" x14ac:dyDescent="0.25">
      <c r="A492" t="s">
        <v>4461</v>
      </c>
      <c r="B492" t="s">
        <v>4462</v>
      </c>
      <c r="C492" t="s">
        <v>4462</v>
      </c>
      <c r="D492" t="s">
        <v>569</v>
      </c>
      <c r="E492" t="s">
        <v>570</v>
      </c>
      <c r="F492" t="s">
        <v>4463</v>
      </c>
      <c r="G492" t="s">
        <v>41</v>
      </c>
      <c r="H492" t="s">
        <v>40</v>
      </c>
      <c r="I492" t="s">
        <v>41</v>
      </c>
      <c r="J492" t="s">
        <v>61</v>
      </c>
      <c r="K492" t="s">
        <v>62</v>
      </c>
      <c r="L492" t="s">
        <v>50</v>
      </c>
      <c r="M492" s="2">
        <v>90310.66</v>
      </c>
      <c r="N492" t="s">
        <v>4466</v>
      </c>
      <c r="O492" t="s">
        <v>52</v>
      </c>
      <c r="P492" t="str">
        <f>CONCATENATE("'",Tabla1[[#This Row],[Codigo]],"',")</f>
        <v>'00938',</v>
      </c>
    </row>
    <row r="493" spans="1:16" x14ac:dyDescent="0.25">
      <c r="A493" t="s">
        <v>4467</v>
      </c>
      <c r="B493" t="s">
        <v>4468</v>
      </c>
      <c r="C493" t="s">
        <v>4468</v>
      </c>
      <c r="D493" t="s">
        <v>125</v>
      </c>
      <c r="E493" t="s">
        <v>126</v>
      </c>
      <c r="F493" t="s">
        <v>4469</v>
      </c>
      <c r="G493" t="s">
        <v>2647</v>
      </c>
      <c r="H493" t="s">
        <v>1362</v>
      </c>
      <c r="I493" t="s">
        <v>1360</v>
      </c>
      <c r="J493" t="s">
        <v>1421</v>
      </c>
      <c r="K493" t="s">
        <v>1422</v>
      </c>
      <c r="L493" t="s">
        <v>50</v>
      </c>
      <c r="M493" s="2">
        <v>32771.019999999997</v>
      </c>
      <c r="N493" t="s">
        <v>4472</v>
      </c>
      <c r="O493" t="s">
        <v>52</v>
      </c>
      <c r="P493" t="str">
        <f>CONCATENATE("'",Tabla1[[#This Row],[Codigo]],"',")</f>
        <v>'00939',</v>
      </c>
    </row>
    <row r="494" spans="1:16" x14ac:dyDescent="0.25">
      <c r="A494" t="s">
        <v>4473</v>
      </c>
      <c r="B494" t="s">
        <v>4474</v>
      </c>
      <c r="C494" t="s">
        <v>4474</v>
      </c>
      <c r="D494" t="s">
        <v>35</v>
      </c>
      <c r="E494" t="s">
        <v>36</v>
      </c>
      <c r="F494" t="s">
        <v>4475</v>
      </c>
      <c r="G494" t="s">
        <v>2831</v>
      </c>
      <c r="H494" t="s">
        <v>80</v>
      </c>
      <c r="I494" t="s">
        <v>81</v>
      </c>
      <c r="J494" t="s">
        <v>557</v>
      </c>
      <c r="K494" t="s">
        <v>558</v>
      </c>
      <c r="L494" t="s">
        <v>50</v>
      </c>
      <c r="M494" s="2">
        <v>109085</v>
      </c>
      <c r="N494" t="s">
        <v>64</v>
      </c>
      <c r="P494" t="str">
        <f>CONCATENATE("'",Tabla1[[#This Row],[Codigo]],"',")</f>
        <v>'00940',</v>
      </c>
    </row>
    <row r="495" spans="1:16" x14ac:dyDescent="0.25">
      <c r="A495" t="s">
        <v>4477</v>
      </c>
      <c r="B495" t="s">
        <v>4478</v>
      </c>
      <c r="C495" t="s">
        <v>4478</v>
      </c>
      <c r="D495" t="s">
        <v>344</v>
      </c>
      <c r="E495" t="s">
        <v>167</v>
      </c>
      <c r="F495" t="s">
        <v>4479</v>
      </c>
      <c r="G495" t="s">
        <v>1607</v>
      </c>
      <c r="H495" t="s">
        <v>1221</v>
      </c>
      <c r="I495" t="s">
        <v>1222</v>
      </c>
      <c r="J495" t="s">
        <v>205</v>
      </c>
      <c r="K495" t="s">
        <v>206</v>
      </c>
      <c r="L495" t="s">
        <v>50</v>
      </c>
      <c r="M495" s="2">
        <v>48983.45</v>
      </c>
      <c r="N495" t="s">
        <v>4481</v>
      </c>
      <c r="O495" t="s">
        <v>52</v>
      </c>
      <c r="P495" t="str">
        <f>CONCATENATE("'",Tabla1[[#This Row],[Codigo]],"',")</f>
        <v>'00941',</v>
      </c>
    </row>
    <row r="496" spans="1:16" x14ac:dyDescent="0.25">
      <c r="A496" t="s">
        <v>4484</v>
      </c>
      <c r="B496" t="s">
        <v>4485</v>
      </c>
      <c r="C496" t="s">
        <v>4485</v>
      </c>
      <c r="D496" t="s">
        <v>553</v>
      </c>
      <c r="E496" t="s">
        <v>167</v>
      </c>
      <c r="F496" t="s">
        <v>4486</v>
      </c>
      <c r="G496" t="s">
        <v>4487</v>
      </c>
      <c r="H496" t="s">
        <v>4488</v>
      </c>
      <c r="I496" t="s">
        <v>4487</v>
      </c>
      <c r="J496" t="s">
        <v>103</v>
      </c>
      <c r="K496" t="s">
        <v>104</v>
      </c>
      <c r="L496" t="s">
        <v>50</v>
      </c>
      <c r="M496" s="2">
        <v>41577.32</v>
      </c>
      <c r="N496" t="s">
        <v>4490</v>
      </c>
      <c r="O496" t="s">
        <v>52</v>
      </c>
      <c r="P496" t="str">
        <f>CONCATENATE("'",Tabla1[[#This Row],[Codigo]],"',")</f>
        <v>'00943',</v>
      </c>
    </row>
    <row r="497" spans="1:16" x14ac:dyDescent="0.25">
      <c r="A497" t="s">
        <v>4491</v>
      </c>
      <c r="B497" t="s">
        <v>4492</v>
      </c>
      <c r="C497" t="s">
        <v>4492</v>
      </c>
      <c r="D497" t="s">
        <v>262</v>
      </c>
      <c r="E497" t="s">
        <v>134</v>
      </c>
      <c r="F497" t="s">
        <v>4493</v>
      </c>
      <c r="G497" t="s">
        <v>4495</v>
      </c>
      <c r="H497" t="s">
        <v>254</v>
      </c>
      <c r="I497" t="s">
        <v>255</v>
      </c>
      <c r="J497" t="s">
        <v>4374</v>
      </c>
      <c r="K497" t="s">
        <v>4375</v>
      </c>
      <c r="L497" t="s">
        <v>50</v>
      </c>
      <c r="M497" s="2">
        <v>218170</v>
      </c>
      <c r="N497" t="s">
        <v>64</v>
      </c>
      <c r="P497" t="str">
        <f>CONCATENATE("'",Tabla1[[#This Row],[Codigo]],"',")</f>
        <v>'00944',</v>
      </c>
    </row>
    <row r="498" spans="1:16" x14ac:dyDescent="0.25">
      <c r="A498" t="s">
        <v>4499</v>
      </c>
      <c r="B498" t="s">
        <v>4500</v>
      </c>
      <c r="C498" t="s">
        <v>4500</v>
      </c>
      <c r="D498" t="s">
        <v>569</v>
      </c>
      <c r="E498" t="s">
        <v>570</v>
      </c>
      <c r="F498" t="s">
        <v>4501</v>
      </c>
      <c r="G498" t="s">
        <v>4502</v>
      </c>
      <c r="H498" t="s">
        <v>4504</v>
      </c>
      <c r="I498" t="s">
        <v>4505</v>
      </c>
      <c r="J498" t="s">
        <v>91</v>
      </c>
      <c r="K498" t="s">
        <v>92</v>
      </c>
      <c r="L498" t="s">
        <v>50</v>
      </c>
      <c r="M498" s="2">
        <v>2564.0700000000002</v>
      </c>
      <c r="N498" t="s">
        <v>4507</v>
      </c>
      <c r="O498" t="s">
        <v>52</v>
      </c>
      <c r="P498" t="str">
        <f>CONCATENATE("'",Tabla1[[#This Row],[Codigo]],"',")</f>
        <v>'00946',</v>
      </c>
    </row>
    <row r="499" spans="1:16" x14ac:dyDescent="0.25">
      <c r="A499" t="s">
        <v>4510</v>
      </c>
      <c r="B499" t="s">
        <v>4511</v>
      </c>
      <c r="C499" t="s">
        <v>4511</v>
      </c>
      <c r="D499" t="s">
        <v>153</v>
      </c>
      <c r="E499" t="s">
        <v>272</v>
      </c>
      <c r="F499" t="s">
        <v>4512</v>
      </c>
      <c r="G499" t="s">
        <v>1062</v>
      </c>
      <c r="H499" t="s">
        <v>1064</v>
      </c>
      <c r="I499" t="s">
        <v>1062</v>
      </c>
      <c r="J499" t="s">
        <v>304</v>
      </c>
      <c r="K499" t="s">
        <v>72</v>
      </c>
      <c r="L499" t="s">
        <v>50</v>
      </c>
      <c r="M499" s="2">
        <v>115943.55</v>
      </c>
      <c r="N499" t="s">
        <v>4515</v>
      </c>
      <c r="O499" t="s">
        <v>52</v>
      </c>
      <c r="P499" t="str">
        <f>CONCATENATE("'",Tabla1[[#This Row],[Codigo]],"',")</f>
        <v>'00948',</v>
      </c>
    </row>
    <row r="500" spans="1:16" x14ac:dyDescent="0.25">
      <c r="A500" t="s">
        <v>4516</v>
      </c>
      <c r="B500" t="s">
        <v>4517</v>
      </c>
      <c r="C500" t="s">
        <v>4517</v>
      </c>
      <c r="D500" t="s">
        <v>4391</v>
      </c>
      <c r="E500" t="s">
        <v>134</v>
      </c>
      <c r="F500" t="s">
        <v>4518</v>
      </c>
      <c r="G500" t="s">
        <v>300</v>
      </c>
      <c r="H500" t="s">
        <v>302</v>
      </c>
      <c r="I500" t="s">
        <v>303</v>
      </c>
      <c r="J500" t="s">
        <v>304</v>
      </c>
      <c r="K500" t="s">
        <v>72</v>
      </c>
      <c r="L500" t="s">
        <v>50</v>
      </c>
      <c r="M500" s="2">
        <v>109085</v>
      </c>
      <c r="N500" t="s">
        <v>64</v>
      </c>
      <c r="P500" t="str">
        <f>CONCATENATE("'",Tabla1[[#This Row],[Codigo]],"',")</f>
        <v>'00949',</v>
      </c>
    </row>
    <row r="501" spans="1:16" x14ac:dyDescent="0.25">
      <c r="A501" t="s">
        <v>4525</v>
      </c>
      <c r="B501" t="s">
        <v>4526</v>
      </c>
      <c r="C501" t="s">
        <v>4526</v>
      </c>
      <c r="D501" t="s">
        <v>478</v>
      </c>
      <c r="E501" t="s">
        <v>190</v>
      </c>
      <c r="F501" t="s">
        <v>4527</v>
      </c>
      <c r="G501" t="s">
        <v>721</v>
      </c>
      <c r="H501" t="s">
        <v>722</v>
      </c>
      <c r="I501" t="s">
        <v>721</v>
      </c>
      <c r="J501" t="s">
        <v>205</v>
      </c>
      <c r="K501" t="s">
        <v>206</v>
      </c>
      <c r="L501" t="s">
        <v>50</v>
      </c>
      <c r="M501" s="2">
        <v>342309.52</v>
      </c>
      <c r="N501" t="s">
        <v>4530</v>
      </c>
      <c r="O501" t="s">
        <v>52</v>
      </c>
      <c r="P501" t="str">
        <f>CONCATENATE("'",Tabla1[[#This Row],[Codigo]],"',")</f>
        <v>'00952',</v>
      </c>
    </row>
    <row r="502" spans="1:16" x14ac:dyDescent="0.25">
      <c r="A502" t="s">
        <v>4531</v>
      </c>
      <c r="B502" t="s">
        <v>4532</v>
      </c>
      <c r="C502" t="s">
        <v>4532</v>
      </c>
      <c r="D502" t="s">
        <v>847</v>
      </c>
      <c r="E502" t="s">
        <v>848</v>
      </c>
      <c r="F502" t="s">
        <v>4533</v>
      </c>
      <c r="G502" t="s">
        <v>38</v>
      </c>
      <c r="H502" t="s">
        <v>40</v>
      </c>
      <c r="I502" t="s">
        <v>41</v>
      </c>
      <c r="J502" t="s">
        <v>42</v>
      </c>
      <c r="K502" t="s">
        <v>43</v>
      </c>
      <c r="L502" t="s">
        <v>50</v>
      </c>
      <c r="M502" s="2">
        <v>21306.32</v>
      </c>
      <c r="N502" t="s">
        <v>4535</v>
      </c>
      <c r="P502" t="str">
        <f>CONCATENATE("'",Tabla1[[#This Row],[Codigo]],"',")</f>
        <v>'00953',</v>
      </c>
    </row>
    <row r="503" spans="1:16" x14ac:dyDescent="0.25">
      <c r="A503" t="s">
        <v>4536</v>
      </c>
      <c r="B503" t="s">
        <v>4537</v>
      </c>
      <c r="C503" t="s">
        <v>4538</v>
      </c>
      <c r="D503" t="s">
        <v>125</v>
      </c>
      <c r="E503" t="s">
        <v>126</v>
      </c>
      <c r="F503" t="s">
        <v>4539</v>
      </c>
      <c r="G503" t="s">
        <v>38</v>
      </c>
      <c r="H503" t="s">
        <v>40</v>
      </c>
      <c r="I503" t="s">
        <v>41</v>
      </c>
      <c r="J503" t="s">
        <v>61</v>
      </c>
      <c r="K503" t="s">
        <v>62</v>
      </c>
      <c r="L503" t="s">
        <v>50</v>
      </c>
      <c r="M503" s="2">
        <v>112047.34</v>
      </c>
      <c r="N503" t="s">
        <v>4542</v>
      </c>
      <c r="O503" t="s">
        <v>52</v>
      </c>
      <c r="P503" t="str">
        <f>CONCATENATE("'",Tabla1[[#This Row],[Codigo]],"',")</f>
        <v>'00954',</v>
      </c>
    </row>
    <row r="504" spans="1:16" x14ac:dyDescent="0.25">
      <c r="A504" t="s">
        <v>4543</v>
      </c>
      <c r="B504" t="s">
        <v>4544</v>
      </c>
      <c r="C504" t="s">
        <v>4538</v>
      </c>
      <c r="D504" t="s">
        <v>847</v>
      </c>
      <c r="E504" t="s">
        <v>848</v>
      </c>
      <c r="F504" t="s">
        <v>4539</v>
      </c>
      <c r="G504" t="s">
        <v>38</v>
      </c>
      <c r="H504" t="s">
        <v>40</v>
      </c>
      <c r="I504" t="s">
        <v>41</v>
      </c>
      <c r="J504" t="s">
        <v>61</v>
      </c>
      <c r="K504" t="s">
        <v>62</v>
      </c>
      <c r="L504" t="s">
        <v>50</v>
      </c>
      <c r="M504" s="2">
        <v>502756.72</v>
      </c>
      <c r="N504" t="s">
        <v>4546</v>
      </c>
      <c r="O504" t="s">
        <v>52</v>
      </c>
      <c r="P504" t="str">
        <f>CONCATENATE("'",Tabla1[[#This Row],[Codigo]],"',")</f>
        <v>'00955',</v>
      </c>
    </row>
    <row r="505" spans="1:16" x14ac:dyDescent="0.25">
      <c r="A505" t="s">
        <v>4547</v>
      </c>
      <c r="B505" t="s">
        <v>4548</v>
      </c>
      <c r="C505" t="s">
        <v>4548</v>
      </c>
      <c r="D505" t="s">
        <v>178</v>
      </c>
      <c r="E505" t="s">
        <v>179</v>
      </c>
      <c r="F505" t="s">
        <v>4549</v>
      </c>
      <c r="G505" t="s">
        <v>1607</v>
      </c>
      <c r="H505" t="s">
        <v>1221</v>
      </c>
      <c r="I505" t="s">
        <v>1222</v>
      </c>
      <c r="J505" t="s">
        <v>205</v>
      </c>
      <c r="K505" t="s">
        <v>206</v>
      </c>
      <c r="L505" t="s">
        <v>50</v>
      </c>
      <c r="M505" s="2">
        <v>45732.91</v>
      </c>
      <c r="N505" t="s">
        <v>4552</v>
      </c>
      <c r="O505" t="s">
        <v>52</v>
      </c>
      <c r="P505" t="str">
        <f>CONCATENATE("'",Tabla1[[#This Row],[Codigo]],"',")</f>
        <v>'00956',</v>
      </c>
    </row>
    <row r="506" spans="1:16" x14ac:dyDescent="0.25">
      <c r="A506" t="s">
        <v>4553</v>
      </c>
      <c r="B506" t="s">
        <v>4554</v>
      </c>
      <c r="C506" t="s">
        <v>4554</v>
      </c>
      <c r="D506" t="s">
        <v>153</v>
      </c>
      <c r="E506" t="s">
        <v>272</v>
      </c>
      <c r="F506" t="s">
        <v>4555</v>
      </c>
      <c r="G506" t="s">
        <v>41</v>
      </c>
      <c r="H506" t="s">
        <v>40</v>
      </c>
      <c r="I506" t="s">
        <v>41</v>
      </c>
      <c r="J506" t="s">
        <v>42</v>
      </c>
      <c r="K506" t="s">
        <v>43</v>
      </c>
      <c r="L506" t="s">
        <v>50</v>
      </c>
      <c r="M506" s="2">
        <v>21817</v>
      </c>
      <c r="N506" t="s">
        <v>64</v>
      </c>
      <c r="P506" t="str">
        <f>CONCATENATE("'",Tabla1[[#This Row],[Codigo]],"',")</f>
        <v>'00957',</v>
      </c>
    </row>
    <row r="507" spans="1:16" x14ac:dyDescent="0.25">
      <c r="A507" t="s">
        <v>4557</v>
      </c>
      <c r="B507" t="s">
        <v>4558</v>
      </c>
      <c r="C507" t="s">
        <v>4558</v>
      </c>
      <c r="D507" t="s">
        <v>847</v>
      </c>
      <c r="E507" t="s">
        <v>848</v>
      </c>
      <c r="F507" t="s">
        <v>4559</v>
      </c>
      <c r="G507" t="s">
        <v>38</v>
      </c>
      <c r="H507" t="s">
        <v>40</v>
      </c>
      <c r="I507" t="s">
        <v>41</v>
      </c>
      <c r="J507" t="s">
        <v>42</v>
      </c>
      <c r="K507" t="s">
        <v>43</v>
      </c>
      <c r="L507" t="s">
        <v>50</v>
      </c>
      <c r="M507" s="2">
        <v>21817</v>
      </c>
      <c r="N507" t="s">
        <v>64</v>
      </c>
      <c r="P507" t="str">
        <f>CONCATENATE("'",Tabla1[[#This Row],[Codigo]],"',")</f>
        <v>'00958',</v>
      </c>
    </row>
    <row r="508" spans="1:16" x14ac:dyDescent="0.25">
      <c r="A508" t="s">
        <v>4560</v>
      </c>
      <c r="B508" t="s">
        <v>4561</v>
      </c>
      <c r="C508" t="s">
        <v>4561</v>
      </c>
      <c r="D508" t="s">
        <v>178</v>
      </c>
      <c r="E508" t="s">
        <v>179</v>
      </c>
      <c r="F508" t="s">
        <v>4562</v>
      </c>
      <c r="G508" t="s">
        <v>4563</v>
      </c>
      <c r="H508" t="s">
        <v>4565</v>
      </c>
      <c r="I508" t="s">
        <v>4566</v>
      </c>
      <c r="J508" t="s">
        <v>103</v>
      </c>
      <c r="K508" t="s">
        <v>104</v>
      </c>
      <c r="L508" t="s">
        <v>50</v>
      </c>
      <c r="M508" s="2">
        <v>1728</v>
      </c>
      <c r="N508" t="s">
        <v>64</v>
      </c>
      <c r="P508" t="str">
        <f>CONCATENATE("'",Tabla1[[#This Row],[Codigo]],"',")</f>
        <v>'00959',</v>
      </c>
    </row>
    <row r="509" spans="1:16" x14ac:dyDescent="0.25">
      <c r="A509" t="s">
        <v>4568</v>
      </c>
      <c r="B509" t="s">
        <v>4569</v>
      </c>
      <c r="C509" t="s">
        <v>4569</v>
      </c>
      <c r="D509" t="s">
        <v>35</v>
      </c>
      <c r="E509" t="s">
        <v>36</v>
      </c>
      <c r="F509" t="s">
        <v>4570</v>
      </c>
      <c r="G509" t="s">
        <v>418</v>
      </c>
      <c r="H509" t="s">
        <v>417</v>
      </c>
      <c r="I509" t="s">
        <v>418</v>
      </c>
      <c r="J509" t="s">
        <v>61</v>
      </c>
      <c r="K509" t="s">
        <v>62</v>
      </c>
      <c r="L509" t="s">
        <v>50</v>
      </c>
      <c r="M509" s="2">
        <v>61126.41</v>
      </c>
      <c r="N509" t="s">
        <v>4572</v>
      </c>
      <c r="O509" t="s">
        <v>52</v>
      </c>
      <c r="P509" t="str">
        <f>CONCATENATE("'",Tabla1[[#This Row],[Codigo]],"',")</f>
        <v>'00960',</v>
      </c>
    </row>
    <row r="510" spans="1:16" x14ac:dyDescent="0.25">
      <c r="A510" t="s">
        <v>4573</v>
      </c>
      <c r="B510" t="s">
        <v>4574</v>
      </c>
      <c r="C510" t="s">
        <v>4574</v>
      </c>
      <c r="D510" t="s">
        <v>125</v>
      </c>
      <c r="E510" t="s">
        <v>126</v>
      </c>
      <c r="F510" t="s">
        <v>4575</v>
      </c>
      <c r="G510" t="s">
        <v>1444</v>
      </c>
      <c r="H510" t="s">
        <v>1064</v>
      </c>
      <c r="I510" t="s">
        <v>1062</v>
      </c>
      <c r="J510" t="s">
        <v>304</v>
      </c>
      <c r="K510" t="s">
        <v>72</v>
      </c>
      <c r="L510" t="s">
        <v>50</v>
      </c>
      <c r="M510" s="2">
        <v>429120.34</v>
      </c>
      <c r="N510" t="s">
        <v>4577</v>
      </c>
      <c r="O510" t="s">
        <v>52</v>
      </c>
      <c r="P510" t="str">
        <f>CONCATENATE("'",Tabla1[[#This Row],[Codigo]],"',")</f>
        <v>'00961',</v>
      </c>
    </row>
    <row r="511" spans="1:16" x14ac:dyDescent="0.25">
      <c r="A511" t="s">
        <v>4578</v>
      </c>
      <c r="B511" t="s">
        <v>4579</v>
      </c>
      <c r="C511" t="s">
        <v>4579</v>
      </c>
      <c r="D511" t="s">
        <v>2120</v>
      </c>
      <c r="E511" t="s">
        <v>224</v>
      </c>
      <c r="F511" t="s">
        <v>4580</v>
      </c>
      <c r="G511" t="s">
        <v>1312</v>
      </c>
      <c r="H511" t="s">
        <v>883</v>
      </c>
      <c r="I511" t="s">
        <v>881</v>
      </c>
      <c r="J511" t="s">
        <v>158</v>
      </c>
      <c r="K511" t="s">
        <v>159</v>
      </c>
      <c r="L511" t="s">
        <v>50</v>
      </c>
      <c r="M511" s="2">
        <v>218170</v>
      </c>
      <c r="N511" t="s">
        <v>64</v>
      </c>
      <c r="P511" t="str">
        <f>CONCATENATE("'",Tabla1[[#This Row],[Codigo]],"',")</f>
        <v>'00962',</v>
      </c>
    </row>
    <row r="512" spans="1:16" x14ac:dyDescent="0.25">
      <c r="A512" t="s">
        <v>4588</v>
      </c>
      <c r="B512" t="s">
        <v>4589</v>
      </c>
      <c r="C512" t="s">
        <v>2484</v>
      </c>
      <c r="D512" t="s">
        <v>299</v>
      </c>
      <c r="E512" t="s">
        <v>167</v>
      </c>
      <c r="F512" t="s">
        <v>2267</v>
      </c>
      <c r="G512" t="s">
        <v>1607</v>
      </c>
      <c r="H512" t="s">
        <v>1221</v>
      </c>
      <c r="I512" t="s">
        <v>1222</v>
      </c>
      <c r="J512" t="s">
        <v>205</v>
      </c>
      <c r="K512" t="s">
        <v>206</v>
      </c>
      <c r="L512" t="s">
        <v>50</v>
      </c>
      <c r="M512" s="2">
        <v>274304.82</v>
      </c>
      <c r="N512" t="s">
        <v>4592</v>
      </c>
      <c r="O512" t="s">
        <v>52</v>
      </c>
      <c r="P512" t="str">
        <f>CONCATENATE("'",Tabla1[[#This Row],[Codigo]],"',")</f>
        <v>'00964',</v>
      </c>
    </row>
    <row r="513" spans="1:16" x14ac:dyDescent="0.25">
      <c r="A513" t="s">
        <v>4593</v>
      </c>
      <c r="B513" t="s">
        <v>15141</v>
      </c>
      <c r="C513" t="s">
        <v>4594</v>
      </c>
      <c r="D513" t="s">
        <v>569</v>
      </c>
      <c r="E513" t="s">
        <v>570</v>
      </c>
      <c r="F513" t="s">
        <v>4595</v>
      </c>
      <c r="G513" t="s">
        <v>402</v>
      </c>
      <c r="H513" t="s">
        <v>403</v>
      </c>
      <c r="I513" t="s">
        <v>404</v>
      </c>
      <c r="J513" t="s">
        <v>205</v>
      </c>
      <c r="K513" t="s">
        <v>206</v>
      </c>
      <c r="L513" t="s">
        <v>50</v>
      </c>
      <c r="M513" s="2">
        <v>109085</v>
      </c>
      <c r="N513" t="s">
        <v>64</v>
      </c>
      <c r="P513" t="str">
        <f>CONCATENATE("'",Tabla1[[#This Row],[Codigo]],"',")</f>
        <v>'00965',</v>
      </c>
    </row>
    <row r="514" spans="1:16" x14ac:dyDescent="0.25">
      <c r="A514" t="s">
        <v>4605</v>
      </c>
      <c r="B514" t="s">
        <v>4606</v>
      </c>
      <c r="C514" t="s">
        <v>4606</v>
      </c>
      <c r="D514" t="s">
        <v>125</v>
      </c>
      <c r="E514" t="s">
        <v>126</v>
      </c>
      <c r="F514" t="s">
        <v>4607</v>
      </c>
      <c r="G514" t="s">
        <v>41</v>
      </c>
      <c r="H514" t="s">
        <v>40</v>
      </c>
      <c r="I514" t="s">
        <v>41</v>
      </c>
      <c r="J514" t="s">
        <v>61</v>
      </c>
      <c r="K514" t="s">
        <v>62</v>
      </c>
      <c r="L514" t="s">
        <v>50</v>
      </c>
      <c r="M514" s="2">
        <v>1671.42</v>
      </c>
      <c r="N514" t="s">
        <v>4610</v>
      </c>
      <c r="O514" t="s">
        <v>52</v>
      </c>
      <c r="P514" t="str">
        <f>CONCATENATE("'",Tabla1[[#This Row],[Codigo]],"',")</f>
        <v>'00968',</v>
      </c>
    </row>
    <row r="515" spans="1:16" x14ac:dyDescent="0.25">
      <c r="A515" t="s">
        <v>4611</v>
      </c>
      <c r="B515" t="s">
        <v>4612</v>
      </c>
      <c r="C515" t="s">
        <v>4612</v>
      </c>
      <c r="D515" t="s">
        <v>153</v>
      </c>
      <c r="E515" t="s">
        <v>272</v>
      </c>
      <c r="F515" t="s">
        <v>4613</v>
      </c>
      <c r="G515" t="s">
        <v>1531</v>
      </c>
      <c r="H515" t="s">
        <v>585</v>
      </c>
      <c r="I515" t="s">
        <v>584</v>
      </c>
      <c r="J515" t="s">
        <v>158</v>
      </c>
      <c r="K515" t="s">
        <v>159</v>
      </c>
      <c r="L515" t="s">
        <v>50</v>
      </c>
      <c r="M515" s="2">
        <v>2208.91</v>
      </c>
      <c r="N515" t="s">
        <v>4616</v>
      </c>
      <c r="O515" t="s">
        <v>115</v>
      </c>
      <c r="P515" t="str">
        <f>CONCATENATE("'",Tabla1[[#This Row],[Codigo]],"',")</f>
        <v>'00969',</v>
      </c>
    </row>
    <row r="516" spans="1:16" x14ac:dyDescent="0.25">
      <c r="A516" t="s">
        <v>4617</v>
      </c>
      <c r="B516" t="s">
        <v>4618</v>
      </c>
      <c r="C516" t="s">
        <v>4618</v>
      </c>
      <c r="D516" t="s">
        <v>35</v>
      </c>
      <c r="E516" t="s">
        <v>36</v>
      </c>
      <c r="F516" t="s">
        <v>4619</v>
      </c>
      <c r="G516" t="s">
        <v>4620</v>
      </c>
      <c r="H516" t="s">
        <v>4621</v>
      </c>
      <c r="I516" t="s">
        <v>4622</v>
      </c>
      <c r="J516" t="s">
        <v>205</v>
      </c>
      <c r="K516" t="s">
        <v>206</v>
      </c>
      <c r="L516" t="s">
        <v>50</v>
      </c>
      <c r="M516" s="2">
        <v>189094.36</v>
      </c>
      <c r="N516" t="s">
        <v>4624</v>
      </c>
      <c r="P516" t="str">
        <f>CONCATENATE("'",Tabla1[[#This Row],[Codigo]],"',")</f>
        <v>'00970',</v>
      </c>
    </row>
    <row r="517" spans="1:16" x14ac:dyDescent="0.25">
      <c r="A517" t="s">
        <v>4625</v>
      </c>
      <c r="B517" t="s">
        <v>4626</v>
      </c>
      <c r="C517" t="s">
        <v>4626</v>
      </c>
      <c r="D517" t="s">
        <v>35</v>
      </c>
      <c r="E517" t="s">
        <v>36</v>
      </c>
      <c r="F517" t="s">
        <v>4627</v>
      </c>
      <c r="G517" t="s">
        <v>751</v>
      </c>
      <c r="H517" t="s">
        <v>753</v>
      </c>
      <c r="I517" t="s">
        <v>754</v>
      </c>
      <c r="J517" t="s">
        <v>61</v>
      </c>
      <c r="K517" t="s">
        <v>62</v>
      </c>
      <c r="L517" t="s">
        <v>50</v>
      </c>
      <c r="M517" s="2">
        <v>6117.32</v>
      </c>
      <c r="N517" t="s">
        <v>4630</v>
      </c>
      <c r="O517" t="s">
        <v>115</v>
      </c>
      <c r="P517" t="str">
        <f>CONCATENATE("'",Tabla1[[#This Row],[Codigo]],"',")</f>
        <v>'00971',</v>
      </c>
    </row>
    <row r="518" spans="1:16" x14ac:dyDescent="0.25">
      <c r="A518" t="s">
        <v>4633</v>
      </c>
      <c r="B518" t="s">
        <v>4634</v>
      </c>
      <c r="C518" t="s">
        <v>4635</v>
      </c>
      <c r="D518" t="s">
        <v>619</v>
      </c>
      <c r="E518" t="s">
        <v>77</v>
      </c>
      <c r="F518" t="s">
        <v>4636</v>
      </c>
      <c r="G518" t="s">
        <v>2831</v>
      </c>
      <c r="H518" t="s">
        <v>80</v>
      </c>
      <c r="I518" t="s">
        <v>81</v>
      </c>
      <c r="J518" t="s">
        <v>82</v>
      </c>
      <c r="K518" t="s">
        <v>83</v>
      </c>
      <c r="L518" t="s">
        <v>50</v>
      </c>
      <c r="M518" s="2">
        <v>174536</v>
      </c>
      <c r="N518" t="s">
        <v>64</v>
      </c>
      <c r="P518" t="str">
        <f>CONCATENATE("'",Tabla1[[#This Row],[Codigo]],"',")</f>
        <v>'00973',</v>
      </c>
    </row>
    <row r="519" spans="1:16" x14ac:dyDescent="0.25">
      <c r="A519" t="s">
        <v>4639</v>
      </c>
      <c r="B519" t="s">
        <v>15142</v>
      </c>
      <c r="C519" t="s">
        <v>4640</v>
      </c>
      <c r="D519" t="s">
        <v>569</v>
      </c>
      <c r="E519" t="s">
        <v>570</v>
      </c>
      <c r="F519" t="s">
        <v>4641</v>
      </c>
      <c r="G519" t="s">
        <v>932</v>
      </c>
      <c r="H519" t="s">
        <v>933</v>
      </c>
      <c r="I519" t="s">
        <v>932</v>
      </c>
      <c r="J519" t="s">
        <v>103</v>
      </c>
      <c r="K519" t="s">
        <v>104</v>
      </c>
      <c r="L519" t="s">
        <v>50</v>
      </c>
      <c r="M519" s="2">
        <v>140627.1</v>
      </c>
      <c r="N519" t="s">
        <v>4644</v>
      </c>
      <c r="O519" t="s">
        <v>52</v>
      </c>
      <c r="P519" t="str">
        <f>CONCATENATE("'",Tabla1[[#This Row],[Codigo]],"',")</f>
        <v>'00974',</v>
      </c>
    </row>
    <row r="520" spans="1:16" x14ac:dyDescent="0.25">
      <c r="A520" t="s">
        <v>4645</v>
      </c>
      <c r="B520" t="s">
        <v>4646</v>
      </c>
      <c r="C520" t="s">
        <v>4646</v>
      </c>
      <c r="D520" t="s">
        <v>4647</v>
      </c>
      <c r="E520" t="s">
        <v>224</v>
      </c>
      <c r="F520" t="s">
        <v>4648</v>
      </c>
      <c r="G520" t="s">
        <v>41</v>
      </c>
      <c r="H520" t="s">
        <v>40</v>
      </c>
      <c r="I520" t="s">
        <v>41</v>
      </c>
      <c r="J520" t="s">
        <v>61</v>
      </c>
      <c r="K520" t="s">
        <v>62</v>
      </c>
      <c r="L520" t="s">
        <v>50</v>
      </c>
      <c r="M520" s="2">
        <v>32726</v>
      </c>
      <c r="N520" t="s">
        <v>64</v>
      </c>
      <c r="P520" t="str">
        <f>CONCATENATE("'",Tabla1[[#This Row],[Codigo]],"',")</f>
        <v>'00975',</v>
      </c>
    </row>
    <row r="521" spans="1:16" x14ac:dyDescent="0.25">
      <c r="A521" t="s">
        <v>4651</v>
      </c>
      <c r="B521" t="s">
        <v>4652</v>
      </c>
      <c r="C521" t="s">
        <v>4652</v>
      </c>
      <c r="D521" t="s">
        <v>847</v>
      </c>
      <c r="E521" t="s">
        <v>848</v>
      </c>
      <c r="F521" t="s">
        <v>4653</v>
      </c>
      <c r="G521" t="s">
        <v>361</v>
      </c>
      <c r="H521" t="s">
        <v>360</v>
      </c>
      <c r="I521" t="s">
        <v>361</v>
      </c>
      <c r="J521" t="s">
        <v>61</v>
      </c>
      <c r="K521" t="s">
        <v>62</v>
      </c>
      <c r="L521" t="s">
        <v>50</v>
      </c>
      <c r="M521" s="2">
        <v>218170</v>
      </c>
      <c r="N521" t="s">
        <v>64</v>
      </c>
      <c r="P521" t="str">
        <f>CONCATENATE("'",Tabla1[[#This Row],[Codigo]],"',")</f>
        <v>'00976',</v>
      </c>
    </row>
    <row r="522" spans="1:16" x14ac:dyDescent="0.25">
      <c r="A522" t="s">
        <v>4656</v>
      </c>
      <c r="B522" t="s">
        <v>4657</v>
      </c>
      <c r="C522" t="s">
        <v>4658</v>
      </c>
      <c r="D522" t="s">
        <v>35</v>
      </c>
      <c r="E522" t="s">
        <v>36</v>
      </c>
      <c r="F522" t="s">
        <v>338</v>
      </c>
      <c r="G522" t="s">
        <v>2012</v>
      </c>
      <c r="H522" t="s">
        <v>2013</v>
      </c>
      <c r="I522" t="s">
        <v>2012</v>
      </c>
      <c r="J522" t="s">
        <v>61</v>
      </c>
      <c r="K522" t="s">
        <v>62</v>
      </c>
      <c r="L522" t="s">
        <v>50</v>
      </c>
      <c r="M522" s="2">
        <v>91759.86</v>
      </c>
      <c r="N522" t="s">
        <v>4661</v>
      </c>
      <c r="O522" t="s">
        <v>52</v>
      </c>
      <c r="P522" t="str">
        <f>CONCATENATE("'",Tabla1[[#This Row],[Codigo]],"',")</f>
        <v>'00977',</v>
      </c>
    </row>
    <row r="523" spans="1:16" x14ac:dyDescent="0.25">
      <c r="A523" t="s">
        <v>4662</v>
      </c>
      <c r="B523" t="s">
        <v>4663</v>
      </c>
      <c r="C523" t="s">
        <v>4664</v>
      </c>
      <c r="D523" t="s">
        <v>847</v>
      </c>
      <c r="E523" t="s">
        <v>848</v>
      </c>
      <c r="F523" t="s">
        <v>4665</v>
      </c>
      <c r="G523" t="s">
        <v>443</v>
      </c>
      <c r="H523" t="s">
        <v>445</v>
      </c>
      <c r="I523" t="s">
        <v>446</v>
      </c>
      <c r="J523" t="s">
        <v>69</v>
      </c>
      <c r="K523" t="s">
        <v>70</v>
      </c>
      <c r="L523" t="s">
        <v>50</v>
      </c>
      <c r="M523" s="2">
        <v>152567.24</v>
      </c>
      <c r="N523" t="s">
        <v>4667</v>
      </c>
      <c r="O523" t="s">
        <v>115</v>
      </c>
      <c r="P523" t="str">
        <f>CONCATENATE("'",Tabla1[[#This Row],[Codigo]],"',")</f>
        <v>'00978',</v>
      </c>
    </row>
    <row r="524" spans="1:16" x14ac:dyDescent="0.25">
      <c r="A524" t="s">
        <v>4668</v>
      </c>
      <c r="B524" t="s">
        <v>4669</v>
      </c>
      <c r="C524" t="s">
        <v>4669</v>
      </c>
      <c r="D524" t="s">
        <v>2687</v>
      </c>
      <c r="E524" t="s">
        <v>190</v>
      </c>
      <c r="F524" t="s">
        <v>4670</v>
      </c>
      <c r="G524" t="s">
        <v>1222</v>
      </c>
      <c r="H524" t="s">
        <v>1221</v>
      </c>
      <c r="I524" t="s">
        <v>1222</v>
      </c>
      <c r="J524" t="s">
        <v>205</v>
      </c>
      <c r="K524" t="s">
        <v>206</v>
      </c>
      <c r="L524" t="s">
        <v>50</v>
      </c>
      <c r="M524" s="2">
        <v>218170</v>
      </c>
      <c r="N524" t="s">
        <v>64</v>
      </c>
      <c r="P524" t="str">
        <f>CONCATENATE("'",Tabla1[[#This Row],[Codigo]],"',")</f>
        <v>'00979',</v>
      </c>
    </row>
    <row r="525" spans="1:16" x14ac:dyDescent="0.25">
      <c r="A525" t="s">
        <v>4673</v>
      </c>
      <c r="B525" t="s">
        <v>4674</v>
      </c>
      <c r="C525" t="s">
        <v>4674</v>
      </c>
      <c r="D525" t="s">
        <v>178</v>
      </c>
      <c r="E525" t="s">
        <v>179</v>
      </c>
      <c r="F525" t="s">
        <v>4675</v>
      </c>
      <c r="G525" t="s">
        <v>1901</v>
      </c>
      <c r="H525" t="s">
        <v>1900</v>
      </c>
      <c r="I525" t="s">
        <v>1901</v>
      </c>
      <c r="J525" t="s">
        <v>158</v>
      </c>
      <c r="K525" t="s">
        <v>159</v>
      </c>
      <c r="L525" t="s">
        <v>50</v>
      </c>
      <c r="M525" s="2">
        <v>1527189.9</v>
      </c>
      <c r="N525" t="s">
        <v>4678</v>
      </c>
      <c r="P525" t="str">
        <f>CONCATENATE("'",Tabla1[[#This Row],[Codigo]],"',")</f>
        <v>'00980',</v>
      </c>
    </row>
    <row r="526" spans="1:16" x14ac:dyDescent="0.25">
      <c r="A526" t="s">
        <v>4679</v>
      </c>
      <c r="B526" t="s">
        <v>4680</v>
      </c>
      <c r="C526" t="s">
        <v>4680</v>
      </c>
      <c r="D526" t="s">
        <v>569</v>
      </c>
      <c r="E526" t="s">
        <v>570</v>
      </c>
      <c r="F526" t="s">
        <v>4681</v>
      </c>
      <c r="G526" t="s">
        <v>404</v>
      </c>
      <c r="H526" t="s">
        <v>403</v>
      </c>
      <c r="I526" t="s">
        <v>404</v>
      </c>
      <c r="J526" t="s">
        <v>205</v>
      </c>
      <c r="K526" t="s">
        <v>206</v>
      </c>
      <c r="L526" t="s">
        <v>50</v>
      </c>
      <c r="M526" s="2">
        <v>109085</v>
      </c>
      <c r="N526" t="s">
        <v>64</v>
      </c>
      <c r="P526" t="str">
        <f>CONCATENATE("'",Tabla1[[#This Row],[Codigo]],"',")</f>
        <v>'00981',</v>
      </c>
    </row>
    <row r="527" spans="1:16" x14ac:dyDescent="0.25">
      <c r="A527" t="s">
        <v>4688</v>
      </c>
      <c r="B527" t="s">
        <v>4689</v>
      </c>
      <c r="C527" t="s">
        <v>4689</v>
      </c>
      <c r="D527" t="s">
        <v>344</v>
      </c>
      <c r="E527" t="s">
        <v>167</v>
      </c>
      <c r="F527" t="s">
        <v>4690</v>
      </c>
      <c r="G527" t="s">
        <v>2920</v>
      </c>
      <c r="H527" t="s">
        <v>2919</v>
      </c>
      <c r="I527" t="s">
        <v>2920</v>
      </c>
      <c r="J527" t="s">
        <v>304</v>
      </c>
      <c r="K527" t="s">
        <v>72</v>
      </c>
      <c r="L527" t="s">
        <v>50</v>
      </c>
      <c r="M527" s="2">
        <v>192304.1</v>
      </c>
      <c r="N527" t="s">
        <v>4693</v>
      </c>
      <c r="O527" t="s">
        <v>52</v>
      </c>
      <c r="P527" t="str">
        <f>CONCATENATE("'",Tabla1[[#This Row],[Codigo]],"',")</f>
        <v>'00984',</v>
      </c>
    </row>
    <row r="528" spans="1:16" x14ac:dyDescent="0.25">
      <c r="A528" t="s">
        <v>4694</v>
      </c>
      <c r="B528" t="s">
        <v>4695</v>
      </c>
      <c r="C528" t="s">
        <v>4538</v>
      </c>
      <c r="D528" t="s">
        <v>153</v>
      </c>
      <c r="E528" t="s">
        <v>272</v>
      </c>
      <c r="F528" t="s">
        <v>4539</v>
      </c>
      <c r="G528" t="s">
        <v>38</v>
      </c>
      <c r="H528" t="s">
        <v>40</v>
      </c>
      <c r="I528" t="s">
        <v>41</v>
      </c>
      <c r="J528" t="s">
        <v>61</v>
      </c>
      <c r="K528" t="s">
        <v>62</v>
      </c>
      <c r="L528" t="s">
        <v>50</v>
      </c>
      <c r="M528" s="2">
        <v>467081.02</v>
      </c>
      <c r="N528" t="s">
        <v>4698</v>
      </c>
      <c r="O528" t="s">
        <v>52</v>
      </c>
      <c r="P528" t="str">
        <f>CONCATENATE("'",Tabla1[[#This Row],[Codigo]],"',")</f>
        <v>'00985',</v>
      </c>
    </row>
    <row r="529" spans="1:16" x14ac:dyDescent="0.25">
      <c r="A529" t="s">
        <v>4699</v>
      </c>
      <c r="B529" t="s">
        <v>4700</v>
      </c>
      <c r="C529" t="s">
        <v>4701</v>
      </c>
      <c r="D529" t="s">
        <v>35</v>
      </c>
      <c r="E529" t="s">
        <v>36</v>
      </c>
      <c r="F529" t="s">
        <v>4702</v>
      </c>
      <c r="G529" t="s">
        <v>404</v>
      </c>
      <c r="H529" t="s">
        <v>403</v>
      </c>
      <c r="I529" t="s">
        <v>404</v>
      </c>
      <c r="J529" t="s">
        <v>205</v>
      </c>
      <c r="K529" t="s">
        <v>206</v>
      </c>
      <c r="L529" t="s">
        <v>50</v>
      </c>
      <c r="M529" s="2">
        <v>187901.92</v>
      </c>
      <c r="N529" t="s">
        <v>4704</v>
      </c>
      <c r="O529" t="s">
        <v>115</v>
      </c>
      <c r="P529" t="str">
        <f>CONCATENATE("'",Tabla1[[#This Row],[Codigo]],"',")</f>
        <v>'00986',</v>
      </c>
    </row>
    <row r="530" spans="1:16" x14ac:dyDescent="0.25">
      <c r="A530" s="15" t="s">
        <v>4721</v>
      </c>
      <c r="B530" s="15" t="s">
        <v>4722</v>
      </c>
      <c r="C530" s="15" t="s">
        <v>4723</v>
      </c>
      <c r="D530" s="15" t="s">
        <v>55</v>
      </c>
      <c r="E530" s="15" t="s">
        <v>56</v>
      </c>
      <c r="F530" s="15" t="s">
        <v>4724</v>
      </c>
      <c r="G530" s="15" t="s">
        <v>614</v>
      </c>
      <c r="H530" s="15" t="s">
        <v>613</v>
      </c>
      <c r="I530" s="15" t="s">
        <v>614</v>
      </c>
      <c r="J530" s="15" t="s">
        <v>91</v>
      </c>
      <c r="K530" s="15" t="s">
        <v>92</v>
      </c>
      <c r="L530" s="15" t="s">
        <v>50</v>
      </c>
      <c r="M530" s="16">
        <v>20286.46</v>
      </c>
      <c r="N530" s="15" t="s">
        <v>4726</v>
      </c>
      <c r="O530" s="15" t="s">
        <v>115</v>
      </c>
      <c r="P530" t="str">
        <f>CONCATENATE("'",Tabla1[[#This Row],[Codigo]],"',")</f>
        <v>'00993',</v>
      </c>
    </row>
    <row r="531" spans="1:16" x14ac:dyDescent="0.25">
      <c r="A531" t="s">
        <v>4728</v>
      </c>
      <c r="B531" t="s">
        <v>4729</v>
      </c>
      <c r="C531" t="s">
        <v>4729</v>
      </c>
      <c r="D531" t="s">
        <v>344</v>
      </c>
      <c r="E531" t="s">
        <v>167</v>
      </c>
      <c r="F531" t="s">
        <v>4730</v>
      </c>
      <c r="G531" t="s">
        <v>1123</v>
      </c>
      <c r="H531" t="s">
        <v>1125</v>
      </c>
      <c r="I531" t="s">
        <v>1123</v>
      </c>
      <c r="J531" t="s">
        <v>158</v>
      </c>
      <c r="K531" t="s">
        <v>159</v>
      </c>
      <c r="L531" t="s">
        <v>50</v>
      </c>
      <c r="M531" s="2">
        <v>654510</v>
      </c>
      <c r="N531" t="s">
        <v>64</v>
      </c>
      <c r="P531" t="str">
        <f>CONCATENATE("'",Tabla1[[#This Row],[Codigo]],"',")</f>
        <v>'00995',</v>
      </c>
    </row>
    <row r="532" spans="1:16" x14ac:dyDescent="0.25">
      <c r="A532" t="s">
        <v>4744</v>
      </c>
      <c r="B532" t="s">
        <v>4745</v>
      </c>
      <c r="C532" t="s">
        <v>4745</v>
      </c>
      <c r="D532" t="s">
        <v>1289</v>
      </c>
      <c r="E532" t="s">
        <v>224</v>
      </c>
      <c r="F532" t="s">
        <v>4746</v>
      </c>
      <c r="G532" t="s">
        <v>1396</v>
      </c>
      <c r="H532" t="s">
        <v>1398</v>
      </c>
      <c r="I532" t="s">
        <v>1396</v>
      </c>
      <c r="J532" t="s">
        <v>120</v>
      </c>
      <c r="K532" t="s">
        <v>121</v>
      </c>
      <c r="L532" t="s">
        <v>50</v>
      </c>
      <c r="M532" s="2">
        <v>218170</v>
      </c>
      <c r="N532" t="s">
        <v>64</v>
      </c>
      <c r="P532" t="str">
        <f>CONCATENATE("'",Tabla1[[#This Row],[Codigo]],"',")</f>
        <v>'01000',</v>
      </c>
    </row>
    <row r="533" spans="1:16" x14ac:dyDescent="0.25">
      <c r="A533" t="s">
        <v>4749</v>
      </c>
      <c r="B533" t="s">
        <v>4750</v>
      </c>
      <c r="C533" t="s">
        <v>4750</v>
      </c>
      <c r="D533" t="s">
        <v>35</v>
      </c>
      <c r="E533" t="s">
        <v>36</v>
      </c>
      <c r="F533" t="s">
        <v>4751</v>
      </c>
      <c r="G533" t="s">
        <v>820</v>
      </c>
      <c r="H533" t="s">
        <v>822</v>
      </c>
      <c r="I533" t="s">
        <v>820</v>
      </c>
      <c r="J533" t="s">
        <v>91</v>
      </c>
      <c r="K533" t="s">
        <v>92</v>
      </c>
      <c r="L533" t="s">
        <v>50</v>
      </c>
      <c r="M533" s="2">
        <v>459374.51</v>
      </c>
      <c r="N533" t="s">
        <v>4754</v>
      </c>
      <c r="O533" t="s">
        <v>52</v>
      </c>
      <c r="P533" t="str">
        <f>CONCATENATE("'",Tabla1[[#This Row],[Codigo]],"',")</f>
        <v>'01001',</v>
      </c>
    </row>
    <row r="534" spans="1:16" x14ac:dyDescent="0.25">
      <c r="A534" t="s">
        <v>4770</v>
      </c>
      <c r="B534" t="s">
        <v>4771</v>
      </c>
      <c r="C534" t="s">
        <v>4771</v>
      </c>
      <c r="D534" t="s">
        <v>4221</v>
      </c>
      <c r="E534" t="s">
        <v>77</v>
      </c>
      <c r="F534" t="s">
        <v>4772</v>
      </c>
      <c r="G534" t="s">
        <v>4773</v>
      </c>
      <c r="H534" t="s">
        <v>4775</v>
      </c>
      <c r="I534" t="s">
        <v>4773</v>
      </c>
      <c r="J534" t="s">
        <v>256</v>
      </c>
      <c r="K534" t="s">
        <v>255</v>
      </c>
      <c r="L534" t="s">
        <v>50</v>
      </c>
      <c r="M534" s="2">
        <v>65451</v>
      </c>
      <c r="N534" t="s">
        <v>64</v>
      </c>
      <c r="P534" t="str">
        <f>CONCATENATE("'",Tabla1[[#This Row],[Codigo]],"',")</f>
        <v>'01007',</v>
      </c>
    </row>
    <row r="535" spans="1:16" x14ac:dyDescent="0.25">
      <c r="A535" t="s">
        <v>4777</v>
      </c>
      <c r="B535" t="s">
        <v>4778</v>
      </c>
      <c r="C535" t="s">
        <v>4778</v>
      </c>
      <c r="D535" t="s">
        <v>35</v>
      </c>
      <c r="E535" t="s">
        <v>36</v>
      </c>
      <c r="F535" t="s">
        <v>4779</v>
      </c>
      <c r="G535" t="s">
        <v>653</v>
      </c>
      <c r="H535" t="s">
        <v>652</v>
      </c>
      <c r="I535" t="s">
        <v>653</v>
      </c>
      <c r="J535" t="s">
        <v>69</v>
      </c>
      <c r="K535" t="s">
        <v>70</v>
      </c>
      <c r="L535" t="s">
        <v>50</v>
      </c>
      <c r="M535" s="2">
        <v>48096.08</v>
      </c>
      <c r="N535" t="s">
        <v>4782</v>
      </c>
      <c r="O535" t="s">
        <v>52</v>
      </c>
      <c r="P535" t="str">
        <f>CONCATENATE("'",Tabla1[[#This Row],[Codigo]],"',")</f>
        <v>'01008',</v>
      </c>
    </row>
    <row r="536" spans="1:16" x14ac:dyDescent="0.25">
      <c r="A536" t="s">
        <v>4783</v>
      </c>
      <c r="B536" t="s">
        <v>4784</v>
      </c>
      <c r="C536" t="s">
        <v>4784</v>
      </c>
      <c r="D536" t="s">
        <v>297</v>
      </c>
      <c r="E536" t="s">
        <v>167</v>
      </c>
      <c r="F536" t="s">
        <v>4785</v>
      </c>
      <c r="G536" t="s">
        <v>4386</v>
      </c>
      <c r="H536" t="s">
        <v>4385</v>
      </c>
      <c r="I536" t="s">
        <v>4386</v>
      </c>
      <c r="J536" t="s">
        <v>304</v>
      </c>
      <c r="K536" t="s">
        <v>72</v>
      </c>
      <c r="L536" t="s">
        <v>50</v>
      </c>
      <c r="M536" s="2">
        <v>-9681.09</v>
      </c>
      <c r="N536" t="s">
        <v>4788</v>
      </c>
      <c r="O536" t="s">
        <v>52</v>
      </c>
      <c r="P536" t="str">
        <f>CONCATENATE("'",Tabla1[[#This Row],[Codigo]],"',")</f>
        <v>'01009',</v>
      </c>
    </row>
    <row r="537" spans="1:16" x14ac:dyDescent="0.25">
      <c r="A537" t="s">
        <v>4789</v>
      </c>
      <c r="B537" t="s">
        <v>4790</v>
      </c>
      <c r="C537" t="s">
        <v>4790</v>
      </c>
      <c r="D537" t="s">
        <v>2687</v>
      </c>
      <c r="E537" t="s">
        <v>190</v>
      </c>
      <c r="F537" t="s">
        <v>4791</v>
      </c>
      <c r="G537" t="s">
        <v>90</v>
      </c>
      <c r="H537" t="s">
        <v>89</v>
      </c>
      <c r="I537" t="s">
        <v>90</v>
      </c>
      <c r="J537" t="s">
        <v>91</v>
      </c>
      <c r="K537" t="s">
        <v>92</v>
      </c>
      <c r="L537" t="s">
        <v>50</v>
      </c>
      <c r="M537" s="2">
        <v>-144987.57</v>
      </c>
      <c r="N537" t="s">
        <v>4794</v>
      </c>
      <c r="O537" t="s">
        <v>115</v>
      </c>
      <c r="P537" t="str">
        <f>CONCATENATE("'",Tabla1[[#This Row],[Codigo]],"',")</f>
        <v>'01010',</v>
      </c>
    </row>
    <row r="538" spans="1:16" x14ac:dyDescent="0.25">
      <c r="A538" s="15" t="s">
        <v>4809</v>
      </c>
      <c r="B538" s="15" t="s">
        <v>4810</v>
      </c>
      <c r="C538" s="15" t="s">
        <v>4810</v>
      </c>
      <c r="D538" s="15" t="s">
        <v>55</v>
      </c>
      <c r="E538" s="15" t="s">
        <v>56</v>
      </c>
      <c r="F538" s="15" t="s">
        <v>4811</v>
      </c>
      <c r="G538" s="15" t="s">
        <v>1360</v>
      </c>
      <c r="H538" s="15" t="s">
        <v>1362</v>
      </c>
      <c r="I538" s="15" t="s">
        <v>1360</v>
      </c>
      <c r="J538" s="15" t="s">
        <v>1363</v>
      </c>
      <c r="K538" s="15" t="s">
        <v>1364</v>
      </c>
      <c r="L538" s="15" t="s">
        <v>50</v>
      </c>
      <c r="M538" s="16">
        <v>-14823.49</v>
      </c>
      <c r="N538" s="15" t="s">
        <v>4814</v>
      </c>
      <c r="O538" s="15" t="s">
        <v>115</v>
      </c>
      <c r="P538" t="str">
        <f>CONCATENATE("'",Tabla1[[#This Row],[Codigo]],"',")</f>
        <v>'01015',</v>
      </c>
    </row>
    <row r="539" spans="1:16" x14ac:dyDescent="0.25">
      <c r="A539" t="s">
        <v>4817</v>
      </c>
      <c r="B539" t="s">
        <v>4818</v>
      </c>
      <c r="C539" t="s">
        <v>4818</v>
      </c>
      <c r="D539" t="s">
        <v>764</v>
      </c>
      <c r="E539" t="s">
        <v>77</v>
      </c>
      <c r="F539" t="s">
        <v>4819</v>
      </c>
      <c r="G539" t="s">
        <v>1123</v>
      </c>
      <c r="H539" t="s">
        <v>1125</v>
      </c>
      <c r="I539" t="s">
        <v>1123</v>
      </c>
      <c r="J539" t="s">
        <v>158</v>
      </c>
      <c r="K539" t="s">
        <v>159</v>
      </c>
      <c r="L539" t="s">
        <v>50</v>
      </c>
      <c r="M539" s="2">
        <v>21983</v>
      </c>
      <c r="N539" t="s">
        <v>64</v>
      </c>
      <c r="P539" t="str">
        <f>CONCATENATE("'",Tabla1[[#This Row],[Codigo]],"',")</f>
        <v>'01017',</v>
      </c>
    </row>
    <row r="540" spans="1:16" x14ac:dyDescent="0.25">
      <c r="A540" t="s">
        <v>4821</v>
      </c>
      <c r="B540" t="s">
        <v>4822</v>
      </c>
      <c r="C540" t="s">
        <v>4822</v>
      </c>
      <c r="D540" t="s">
        <v>498</v>
      </c>
      <c r="E540" t="s">
        <v>190</v>
      </c>
      <c r="F540" t="s">
        <v>4823</v>
      </c>
      <c r="G540" t="s">
        <v>4824</v>
      </c>
      <c r="H540" t="s">
        <v>4826</v>
      </c>
      <c r="I540" t="s">
        <v>4827</v>
      </c>
      <c r="J540" t="s">
        <v>256</v>
      </c>
      <c r="K540" t="s">
        <v>255</v>
      </c>
      <c r="L540" t="s">
        <v>50</v>
      </c>
      <c r="M540" s="2">
        <v>1000</v>
      </c>
      <c r="N540" t="s">
        <v>64</v>
      </c>
      <c r="P540" t="str">
        <f>CONCATENATE("'",Tabla1[[#This Row],[Codigo]],"',")</f>
        <v>'01018',</v>
      </c>
    </row>
    <row r="541" spans="1:16" x14ac:dyDescent="0.25">
      <c r="A541" t="s">
        <v>4833</v>
      </c>
      <c r="B541" t="s">
        <v>4834</v>
      </c>
      <c r="C541" t="s">
        <v>4834</v>
      </c>
      <c r="D541" t="s">
        <v>153</v>
      </c>
      <c r="E541" t="s">
        <v>272</v>
      </c>
      <c r="F541" t="s">
        <v>4835</v>
      </c>
      <c r="G541" t="s">
        <v>324</v>
      </c>
      <c r="H541" t="s">
        <v>326</v>
      </c>
      <c r="I541" t="s">
        <v>327</v>
      </c>
      <c r="J541" t="s">
        <v>120</v>
      </c>
      <c r="K541" t="s">
        <v>121</v>
      </c>
      <c r="L541" t="s">
        <v>50</v>
      </c>
      <c r="M541" s="2">
        <v>20397.8</v>
      </c>
      <c r="N541" t="s">
        <v>4838</v>
      </c>
      <c r="O541" t="s">
        <v>52</v>
      </c>
      <c r="P541" t="str">
        <f>CONCATENATE("'",Tabla1[[#This Row],[Codigo]],"',")</f>
        <v>'01020',</v>
      </c>
    </row>
    <row r="542" spans="1:16" x14ac:dyDescent="0.25">
      <c r="A542" t="s">
        <v>4843</v>
      </c>
      <c r="B542" t="s">
        <v>15143</v>
      </c>
      <c r="C542" t="s">
        <v>4844</v>
      </c>
      <c r="D542" t="s">
        <v>35</v>
      </c>
      <c r="E542" t="s">
        <v>36</v>
      </c>
      <c r="F542" t="s">
        <v>4199</v>
      </c>
      <c r="G542" t="s">
        <v>303</v>
      </c>
      <c r="H542" t="s">
        <v>302</v>
      </c>
      <c r="I542" t="s">
        <v>303</v>
      </c>
      <c r="J542" t="s">
        <v>304</v>
      </c>
      <c r="K542" t="s">
        <v>72</v>
      </c>
      <c r="L542" t="s">
        <v>50</v>
      </c>
      <c r="M542" s="2">
        <v>267942.19</v>
      </c>
      <c r="N542" t="s">
        <v>4847</v>
      </c>
      <c r="O542" t="s">
        <v>52</v>
      </c>
      <c r="P542" t="str">
        <f>CONCATENATE("'",Tabla1[[#This Row],[Codigo]],"',")</f>
        <v>'01022',</v>
      </c>
    </row>
    <row r="543" spans="1:16" x14ac:dyDescent="0.25">
      <c r="A543" t="s">
        <v>4848</v>
      </c>
      <c r="B543" t="s">
        <v>4849</v>
      </c>
      <c r="C543" t="s">
        <v>4849</v>
      </c>
      <c r="D543" t="s">
        <v>125</v>
      </c>
      <c r="E543" t="s">
        <v>126</v>
      </c>
      <c r="F543" t="s">
        <v>4850</v>
      </c>
      <c r="G543" t="s">
        <v>4851</v>
      </c>
      <c r="H543" t="s">
        <v>4852</v>
      </c>
      <c r="I543" t="s">
        <v>4851</v>
      </c>
      <c r="J543" t="s">
        <v>4853</v>
      </c>
      <c r="K543" t="s">
        <v>4854</v>
      </c>
      <c r="L543" t="s">
        <v>50</v>
      </c>
      <c r="M543" s="2">
        <v>71272.89</v>
      </c>
      <c r="N543" t="s">
        <v>4856</v>
      </c>
      <c r="O543" t="s">
        <v>52</v>
      </c>
      <c r="P543" t="str">
        <f>CONCATENATE("'",Tabla1[[#This Row],[Codigo]],"',")</f>
        <v>'01023',</v>
      </c>
    </row>
    <row r="544" spans="1:16" x14ac:dyDescent="0.25">
      <c r="A544" s="15" t="s">
        <v>4857</v>
      </c>
      <c r="B544" s="15" t="s">
        <v>4858</v>
      </c>
      <c r="C544" s="15" t="s">
        <v>4858</v>
      </c>
      <c r="D544" s="15" t="s">
        <v>55</v>
      </c>
      <c r="E544" s="15" t="s">
        <v>56</v>
      </c>
      <c r="F544" s="15" t="s">
        <v>4859</v>
      </c>
      <c r="G544" s="15" t="s">
        <v>1360</v>
      </c>
      <c r="H544" s="15" t="s">
        <v>1362</v>
      </c>
      <c r="I544" s="15" t="s">
        <v>1360</v>
      </c>
      <c r="J544" s="15" t="s">
        <v>1363</v>
      </c>
      <c r="K544" s="15" t="s">
        <v>1364</v>
      </c>
      <c r="L544" s="15" t="s">
        <v>50</v>
      </c>
      <c r="M544" s="16">
        <v>4554.3999999999996</v>
      </c>
      <c r="N544" s="15" t="s">
        <v>4862</v>
      </c>
      <c r="O544" s="15" t="s">
        <v>115</v>
      </c>
      <c r="P544" t="str">
        <f>CONCATENATE("'",Tabla1[[#This Row],[Codigo]],"',")</f>
        <v>'01024',</v>
      </c>
    </row>
    <row r="545" spans="1:16" x14ac:dyDescent="0.25">
      <c r="A545" t="s">
        <v>4867</v>
      </c>
      <c r="B545" t="s">
        <v>15144</v>
      </c>
      <c r="C545" t="s">
        <v>4868</v>
      </c>
      <c r="D545" t="s">
        <v>153</v>
      </c>
      <c r="E545" t="s">
        <v>272</v>
      </c>
      <c r="F545" t="s">
        <v>4815</v>
      </c>
      <c r="G545" t="s">
        <v>1581</v>
      </c>
      <c r="H545" t="s">
        <v>203</v>
      </c>
      <c r="I545" t="s">
        <v>204</v>
      </c>
      <c r="J545" t="s">
        <v>205</v>
      </c>
      <c r="K545" t="s">
        <v>206</v>
      </c>
      <c r="L545" t="s">
        <v>50</v>
      </c>
      <c r="M545" s="2">
        <v>489.9</v>
      </c>
      <c r="N545" t="s">
        <v>4870</v>
      </c>
      <c r="O545" t="s">
        <v>52</v>
      </c>
      <c r="P545" t="str">
        <f>CONCATENATE("'",Tabla1[[#This Row],[Codigo]],"',")</f>
        <v>'01027',</v>
      </c>
    </row>
    <row r="546" spans="1:16" x14ac:dyDescent="0.25">
      <c r="A546" t="s">
        <v>4871</v>
      </c>
      <c r="B546" t="s">
        <v>4872</v>
      </c>
      <c r="C546" t="s">
        <v>4872</v>
      </c>
      <c r="D546" t="s">
        <v>125</v>
      </c>
      <c r="E546" t="s">
        <v>126</v>
      </c>
      <c r="F546" t="s">
        <v>4873</v>
      </c>
      <c r="G546" t="s">
        <v>4874</v>
      </c>
      <c r="H546" t="s">
        <v>4385</v>
      </c>
      <c r="I546" t="s">
        <v>4386</v>
      </c>
      <c r="J546" t="s">
        <v>304</v>
      </c>
      <c r="K546" t="s">
        <v>72</v>
      </c>
      <c r="L546" t="s">
        <v>50</v>
      </c>
      <c r="M546" s="2">
        <v>-2600.0700000000002</v>
      </c>
      <c r="N546" t="s">
        <v>4876</v>
      </c>
      <c r="O546" t="s">
        <v>52</v>
      </c>
      <c r="P546" t="str">
        <f>CONCATENATE("'",Tabla1[[#This Row],[Codigo]],"',")</f>
        <v>'01028',</v>
      </c>
    </row>
    <row r="547" spans="1:16" x14ac:dyDescent="0.25">
      <c r="A547" t="s">
        <v>4877</v>
      </c>
      <c r="B547" t="s">
        <v>15145</v>
      </c>
      <c r="C547" t="s">
        <v>4878</v>
      </c>
      <c r="D547" t="s">
        <v>125</v>
      </c>
      <c r="E547" t="s">
        <v>126</v>
      </c>
      <c r="F547" t="s">
        <v>4879</v>
      </c>
      <c r="G547" t="s">
        <v>4880</v>
      </c>
      <c r="H547" t="s">
        <v>4881</v>
      </c>
      <c r="I547" t="s">
        <v>4882</v>
      </c>
      <c r="J547" t="s">
        <v>4853</v>
      </c>
      <c r="K547" t="s">
        <v>4854</v>
      </c>
      <c r="L547" t="s">
        <v>50</v>
      </c>
      <c r="M547" s="2">
        <v>63659.51</v>
      </c>
      <c r="N547" t="s">
        <v>4884</v>
      </c>
      <c r="O547" t="s">
        <v>52</v>
      </c>
      <c r="P547" t="str">
        <f>CONCATENATE("'",Tabla1[[#This Row],[Codigo]],"',")</f>
        <v>'01029',</v>
      </c>
    </row>
    <row r="548" spans="1:16" x14ac:dyDescent="0.25">
      <c r="A548" t="s">
        <v>4885</v>
      </c>
      <c r="B548" t="s">
        <v>4886</v>
      </c>
      <c r="C548" t="s">
        <v>4886</v>
      </c>
      <c r="D548" t="s">
        <v>192</v>
      </c>
      <c r="E548" t="s">
        <v>224</v>
      </c>
      <c r="F548" t="s">
        <v>4887</v>
      </c>
      <c r="G548" t="s">
        <v>41</v>
      </c>
      <c r="H548" t="s">
        <v>40</v>
      </c>
      <c r="I548" t="s">
        <v>41</v>
      </c>
      <c r="J548" t="s">
        <v>42</v>
      </c>
      <c r="K548" t="s">
        <v>43</v>
      </c>
      <c r="L548" t="s">
        <v>50</v>
      </c>
      <c r="M548" s="2">
        <v>32726</v>
      </c>
      <c r="N548" t="s">
        <v>64</v>
      </c>
      <c r="P548" t="str">
        <f>CONCATENATE("'",Tabla1[[#This Row],[Codigo]],"',")</f>
        <v>'01030',</v>
      </c>
    </row>
    <row r="549" spans="1:16" x14ac:dyDescent="0.25">
      <c r="A549" t="s">
        <v>4889</v>
      </c>
      <c r="B549" t="s">
        <v>4890</v>
      </c>
      <c r="C549" t="s">
        <v>4890</v>
      </c>
      <c r="D549" t="s">
        <v>4891</v>
      </c>
      <c r="E549" t="s">
        <v>77</v>
      </c>
      <c r="F549" t="s">
        <v>4892</v>
      </c>
      <c r="G549" t="s">
        <v>4761</v>
      </c>
      <c r="H549" t="s">
        <v>4763</v>
      </c>
      <c r="I549" t="s">
        <v>4764</v>
      </c>
      <c r="J549" t="s">
        <v>1421</v>
      </c>
      <c r="K549" t="s">
        <v>1422</v>
      </c>
      <c r="L549" t="s">
        <v>50</v>
      </c>
      <c r="M549" s="2">
        <v>65451</v>
      </c>
      <c r="N549" t="s">
        <v>64</v>
      </c>
      <c r="P549" t="str">
        <f>CONCATENATE("'",Tabla1[[#This Row],[Codigo]],"',")</f>
        <v>'01031',</v>
      </c>
    </row>
    <row r="550" spans="1:16" x14ac:dyDescent="0.25">
      <c r="A550" t="s">
        <v>4899</v>
      </c>
      <c r="B550" t="s">
        <v>4900</v>
      </c>
      <c r="C550" t="s">
        <v>4900</v>
      </c>
      <c r="D550" t="s">
        <v>984</v>
      </c>
      <c r="E550" t="s">
        <v>985</v>
      </c>
      <c r="F550" t="s">
        <v>4901</v>
      </c>
      <c r="G550" t="s">
        <v>4902</v>
      </c>
      <c r="H550" t="s">
        <v>4903</v>
      </c>
      <c r="I550" t="s">
        <v>4904</v>
      </c>
      <c r="J550" t="s">
        <v>256</v>
      </c>
      <c r="K550" t="s">
        <v>255</v>
      </c>
      <c r="L550" t="s">
        <v>50</v>
      </c>
      <c r="M550" s="2">
        <v>297466.12</v>
      </c>
      <c r="N550" t="s">
        <v>4906</v>
      </c>
      <c r="O550" t="s">
        <v>52</v>
      </c>
      <c r="P550" t="str">
        <f>CONCATENATE("'",Tabla1[[#This Row],[Codigo]],"',")</f>
        <v>'01034',</v>
      </c>
    </row>
    <row r="551" spans="1:16" x14ac:dyDescent="0.25">
      <c r="A551" t="s">
        <v>4910</v>
      </c>
      <c r="B551" t="s">
        <v>4911</v>
      </c>
      <c r="C551" t="s">
        <v>4911</v>
      </c>
      <c r="D551" t="s">
        <v>2120</v>
      </c>
      <c r="E551" t="s">
        <v>224</v>
      </c>
      <c r="F551" t="s">
        <v>4912</v>
      </c>
      <c r="G551" t="s">
        <v>1728</v>
      </c>
      <c r="H551" t="s">
        <v>1730</v>
      </c>
      <c r="I551" t="s">
        <v>1728</v>
      </c>
      <c r="J551" t="s">
        <v>120</v>
      </c>
      <c r="K551" t="s">
        <v>121</v>
      </c>
      <c r="L551" t="s">
        <v>50</v>
      </c>
      <c r="M551" s="2">
        <v>32726</v>
      </c>
      <c r="N551" t="s">
        <v>64</v>
      </c>
      <c r="P551" t="str">
        <f>CONCATENATE("'",Tabla1[[#This Row],[Codigo]],"',")</f>
        <v>'01036',</v>
      </c>
    </row>
    <row r="552" spans="1:16" x14ac:dyDescent="0.25">
      <c r="A552" t="s">
        <v>4917</v>
      </c>
      <c r="B552" t="s">
        <v>4918</v>
      </c>
      <c r="C552" t="s">
        <v>4918</v>
      </c>
      <c r="D552" t="s">
        <v>166</v>
      </c>
      <c r="E552" t="s">
        <v>167</v>
      </c>
      <c r="F552" t="s">
        <v>4919</v>
      </c>
      <c r="G552" t="s">
        <v>255</v>
      </c>
      <c r="H552" t="s">
        <v>254</v>
      </c>
      <c r="I552" t="s">
        <v>255</v>
      </c>
      <c r="J552" t="s">
        <v>256</v>
      </c>
      <c r="K552" t="s">
        <v>255</v>
      </c>
      <c r="L552" t="s">
        <v>50</v>
      </c>
      <c r="M552" s="2">
        <v>-20454.07</v>
      </c>
      <c r="N552" t="s">
        <v>4922</v>
      </c>
      <c r="O552" t="s">
        <v>52</v>
      </c>
      <c r="P552" t="str">
        <f>CONCATENATE("'",Tabla1[[#This Row],[Codigo]],"',")</f>
        <v>'01038',</v>
      </c>
    </row>
    <row r="553" spans="1:16" x14ac:dyDescent="0.25">
      <c r="A553" t="s">
        <v>4923</v>
      </c>
      <c r="B553" t="s">
        <v>4924</v>
      </c>
      <c r="C553" t="s">
        <v>4924</v>
      </c>
      <c r="D553" t="s">
        <v>153</v>
      </c>
      <c r="E553" t="s">
        <v>272</v>
      </c>
      <c r="F553" t="s">
        <v>4925</v>
      </c>
      <c r="G553" t="s">
        <v>255</v>
      </c>
      <c r="H553" t="s">
        <v>254</v>
      </c>
      <c r="I553" t="s">
        <v>255</v>
      </c>
      <c r="J553" t="s">
        <v>256</v>
      </c>
      <c r="K553" t="s">
        <v>255</v>
      </c>
      <c r="L553" t="s">
        <v>50</v>
      </c>
      <c r="M553" s="2">
        <v>131996.04</v>
      </c>
      <c r="N553" t="s">
        <v>4928</v>
      </c>
      <c r="O553" t="s">
        <v>52</v>
      </c>
      <c r="P553" t="str">
        <f>CONCATENATE("'",Tabla1[[#This Row],[Codigo]],"',")</f>
        <v>'01039',</v>
      </c>
    </row>
    <row r="554" spans="1:16" x14ac:dyDescent="0.25">
      <c r="A554" t="s">
        <v>4932</v>
      </c>
      <c r="B554" t="s">
        <v>15146</v>
      </c>
      <c r="C554" t="s">
        <v>4933</v>
      </c>
      <c r="D554" t="s">
        <v>153</v>
      </c>
      <c r="E554" t="s">
        <v>272</v>
      </c>
      <c r="F554" t="s">
        <v>4931</v>
      </c>
      <c r="G554" t="s">
        <v>3122</v>
      </c>
      <c r="H554" t="s">
        <v>3121</v>
      </c>
      <c r="I554" t="s">
        <v>3122</v>
      </c>
      <c r="J554" t="s">
        <v>1421</v>
      </c>
      <c r="K554" t="s">
        <v>1422</v>
      </c>
      <c r="L554" t="s">
        <v>50</v>
      </c>
      <c r="M554" s="2">
        <v>283648.83</v>
      </c>
      <c r="N554" t="s">
        <v>4936</v>
      </c>
      <c r="O554" t="s">
        <v>115</v>
      </c>
      <c r="P554" t="str">
        <f>CONCATENATE("'",Tabla1[[#This Row],[Codigo]],"',")</f>
        <v>'01041',</v>
      </c>
    </row>
    <row r="555" spans="1:16" x14ac:dyDescent="0.25">
      <c r="A555" t="s">
        <v>4937</v>
      </c>
      <c r="B555" t="s">
        <v>15147</v>
      </c>
      <c r="C555" t="s">
        <v>4938</v>
      </c>
      <c r="D555" t="s">
        <v>847</v>
      </c>
      <c r="E555" t="s">
        <v>848</v>
      </c>
      <c r="F555" t="s">
        <v>4931</v>
      </c>
      <c r="G555" t="s">
        <v>1360</v>
      </c>
      <c r="H555" t="s">
        <v>1362</v>
      </c>
      <c r="I555" t="s">
        <v>1360</v>
      </c>
      <c r="J555" t="s">
        <v>1421</v>
      </c>
      <c r="K555" t="s">
        <v>1422</v>
      </c>
      <c r="L555" t="s">
        <v>50</v>
      </c>
      <c r="M555" s="2">
        <v>4072.7</v>
      </c>
      <c r="N555" t="s">
        <v>4940</v>
      </c>
      <c r="O555" t="s">
        <v>115</v>
      </c>
      <c r="P555" t="str">
        <f>CONCATENATE("'",Tabla1[[#This Row],[Codigo]],"',")</f>
        <v>'01042',</v>
      </c>
    </row>
    <row r="556" spans="1:16" x14ac:dyDescent="0.25">
      <c r="A556" t="s">
        <v>4944</v>
      </c>
      <c r="B556" t="s">
        <v>15148</v>
      </c>
      <c r="C556" t="s">
        <v>4945</v>
      </c>
      <c r="D556" t="s">
        <v>153</v>
      </c>
      <c r="E556" t="s">
        <v>272</v>
      </c>
      <c r="F556" t="s">
        <v>4931</v>
      </c>
      <c r="G556" t="s">
        <v>4943</v>
      </c>
      <c r="H556" t="s">
        <v>3121</v>
      </c>
      <c r="I556" t="s">
        <v>3122</v>
      </c>
      <c r="J556" t="s">
        <v>1421</v>
      </c>
      <c r="K556" t="s">
        <v>1422</v>
      </c>
      <c r="L556" t="s">
        <v>50</v>
      </c>
      <c r="M556" s="2">
        <v>228244.58</v>
      </c>
      <c r="N556" t="s">
        <v>4946</v>
      </c>
      <c r="O556" t="s">
        <v>52</v>
      </c>
      <c r="P556" t="str">
        <f>CONCATENATE("'",Tabla1[[#This Row],[Codigo]],"',")</f>
        <v>'01044',</v>
      </c>
    </row>
    <row r="557" spans="1:16" x14ac:dyDescent="0.25">
      <c r="A557" t="s">
        <v>4947</v>
      </c>
      <c r="B557" t="s">
        <v>4948</v>
      </c>
      <c r="C557" t="s">
        <v>4948</v>
      </c>
      <c r="D557" t="s">
        <v>166</v>
      </c>
      <c r="E557" t="s">
        <v>167</v>
      </c>
      <c r="F557" t="s">
        <v>4949</v>
      </c>
      <c r="G557" t="s">
        <v>1123</v>
      </c>
      <c r="H557" t="s">
        <v>1125</v>
      </c>
      <c r="I557" t="s">
        <v>1123</v>
      </c>
      <c r="J557" t="s">
        <v>158</v>
      </c>
      <c r="K557" t="s">
        <v>159</v>
      </c>
      <c r="L557" t="s">
        <v>50</v>
      </c>
      <c r="M557" s="2">
        <v>218170</v>
      </c>
      <c r="N557" t="s">
        <v>64</v>
      </c>
      <c r="P557" t="str">
        <f>CONCATENATE("'",Tabla1[[#This Row],[Codigo]],"',")</f>
        <v>'01046',</v>
      </c>
    </row>
    <row r="558" spans="1:16" x14ac:dyDescent="0.25">
      <c r="A558" t="s">
        <v>4957</v>
      </c>
      <c r="B558" t="s">
        <v>4958</v>
      </c>
      <c r="C558" t="s">
        <v>4958</v>
      </c>
      <c r="D558" t="s">
        <v>35</v>
      </c>
      <c r="E558" t="s">
        <v>36</v>
      </c>
      <c r="F558" t="s">
        <v>4959</v>
      </c>
      <c r="G558" t="s">
        <v>1123</v>
      </c>
      <c r="H558" t="s">
        <v>1125</v>
      </c>
      <c r="I558" t="s">
        <v>1123</v>
      </c>
      <c r="J558" t="s">
        <v>158</v>
      </c>
      <c r="K558" t="s">
        <v>159</v>
      </c>
      <c r="L558" t="s">
        <v>50</v>
      </c>
      <c r="M558" s="2">
        <v>187945.25</v>
      </c>
      <c r="N558" t="s">
        <v>4962</v>
      </c>
      <c r="O558" t="s">
        <v>52</v>
      </c>
      <c r="P558" t="str">
        <f>CONCATENATE("'",Tabla1[[#This Row],[Codigo]],"',")</f>
        <v>'01048',</v>
      </c>
    </row>
    <row r="559" spans="1:16" x14ac:dyDescent="0.25">
      <c r="A559" t="s">
        <v>4963</v>
      </c>
      <c r="B559" t="s">
        <v>4964</v>
      </c>
      <c r="C559" t="s">
        <v>4964</v>
      </c>
      <c r="D559" t="s">
        <v>847</v>
      </c>
      <c r="E559" t="s">
        <v>848</v>
      </c>
      <c r="F559" t="s">
        <v>4965</v>
      </c>
      <c r="G559" t="s">
        <v>1360</v>
      </c>
      <c r="H559" t="s">
        <v>1362</v>
      </c>
      <c r="I559" t="s">
        <v>1360</v>
      </c>
      <c r="J559" t="s">
        <v>1421</v>
      </c>
      <c r="K559" t="s">
        <v>1422</v>
      </c>
      <c r="L559" t="s">
        <v>50</v>
      </c>
      <c r="M559" s="2">
        <v>-3683.68</v>
      </c>
      <c r="N559" t="s">
        <v>4968</v>
      </c>
      <c r="O559" t="s">
        <v>115</v>
      </c>
      <c r="P559" t="str">
        <f>CONCATENATE("'",Tabla1[[#This Row],[Codigo]],"',")</f>
        <v>'01049',</v>
      </c>
    </row>
    <row r="560" spans="1:16" x14ac:dyDescent="0.25">
      <c r="A560" t="s">
        <v>4969</v>
      </c>
      <c r="B560" t="s">
        <v>4970</v>
      </c>
      <c r="C560" t="s">
        <v>4970</v>
      </c>
      <c r="D560" t="s">
        <v>153</v>
      </c>
      <c r="E560" t="s">
        <v>272</v>
      </c>
      <c r="F560" t="s">
        <v>4971</v>
      </c>
      <c r="G560" t="s">
        <v>1123</v>
      </c>
      <c r="H560" t="s">
        <v>1125</v>
      </c>
      <c r="I560" t="s">
        <v>1123</v>
      </c>
      <c r="J560" t="s">
        <v>158</v>
      </c>
      <c r="K560" t="s">
        <v>159</v>
      </c>
      <c r="L560" t="s">
        <v>50</v>
      </c>
      <c r="M560" s="2">
        <v>430069.71</v>
      </c>
      <c r="N560" t="s">
        <v>4974</v>
      </c>
      <c r="O560" t="s">
        <v>52</v>
      </c>
      <c r="P560" t="str">
        <f>CONCATENATE("'",Tabla1[[#This Row],[Codigo]],"',")</f>
        <v>'01050',</v>
      </c>
    </row>
    <row r="561" spans="1:16" x14ac:dyDescent="0.25">
      <c r="A561" t="s">
        <v>4975</v>
      </c>
      <c r="B561" t="s">
        <v>15149</v>
      </c>
      <c r="C561" t="s">
        <v>4976</v>
      </c>
      <c r="D561" t="s">
        <v>178</v>
      </c>
      <c r="E561" t="s">
        <v>179</v>
      </c>
      <c r="F561" t="s">
        <v>4977</v>
      </c>
      <c r="G561" t="s">
        <v>4978</v>
      </c>
      <c r="H561" t="s">
        <v>4980</v>
      </c>
      <c r="I561" t="s">
        <v>4981</v>
      </c>
      <c r="J561" t="s">
        <v>103</v>
      </c>
      <c r="K561" t="s">
        <v>104</v>
      </c>
      <c r="L561" t="s">
        <v>50</v>
      </c>
      <c r="M561" s="2">
        <v>3080.6</v>
      </c>
      <c r="N561" t="s">
        <v>4983</v>
      </c>
      <c r="O561" t="s">
        <v>52</v>
      </c>
      <c r="P561" t="str">
        <f>CONCATENATE("'",Tabla1[[#This Row],[Codigo]],"',")</f>
        <v>'01051',</v>
      </c>
    </row>
    <row r="562" spans="1:16" x14ac:dyDescent="0.25">
      <c r="A562" t="s">
        <v>4984</v>
      </c>
      <c r="B562" t="s">
        <v>15150</v>
      </c>
      <c r="C562" t="s">
        <v>4985</v>
      </c>
      <c r="D562" t="s">
        <v>1454</v>
      </c>
      <c r="E562" t="s">
        <v>224</v>
      </c>
      <c r="F562" t="s">
        <v>4986</v>
      </c>
      <c r="G562" t="s">
        <v>4987</v>
      </c>
      <c r="H562" t="s">
        <v>1125</v>
      </c>
      <c r="I562" t="s">
        <v>1123</v>
      </c>
      <c r="J562" t="s">
        <v>158</v>
      </c>
      <c r="K562" t="s">
        <v>159</v>
      </c>
      <c r="L562" t="s">
        <v>50</v>
      </c>
      <c r="M562" s="2">
        <v>1011083.34</v>
      </c>
      <c r="N562" t="s">
        <v>4990</v>
      </c>
      <c r="P562" t="str">
        <f>CONCATENATE("'",Tabla1[[#This Row],[Codigo]],"',")</f>
        <v>'01052',</v>
      </c>
    </row>
    <row r="563" spans="1:16" x14ac:dyDescent="0.25">
      <c r="A563" t="s">
        <v>4991</v>
      </c>
      <c r="B563" t="s">
        <v>4992</v>
      </c>
      <c r="C563" t="s">
        <v>4992</v>
      </c>
      <c r="D563" t="s">
        <v>35</v>
      </c>
      <c r="E563" t="s">
        <v>36</v>
      </c>
      <c r="F563" t="s">
        <v>4993</v>
      </c>
      <c r="G563" t="s">
        <v>4994</v>
      </c>
      <c r="H563" t="s">
        <v>4996</v>
      </c>
      <c r="I563" t="s">
        <v>4997</v>
      </c>
      <c r="J563" t="s">
        <v>1212</v>
      </c>
      <c r="K563" t="s">
        <v>1213</v>
      </c>
      <c r="L563" t="s">
        <v>50</v>
      </c>
      <c r="M563" s="2">
        <v>117733.81</v>
      </c>
      <c r="N563" t="s">
        <v>4999</v>
      </c>
      <c r="O563" t="s">
        <v>115</v>
      </c>
      <c r="P563" t="str">
        <f>CONCATENATE("'",Tabla1[[#This Row],[Codigo]],"',")</f>
        <v>'01053',</v>
      </c>
    </row>
    <row r="564" spans="1:16" x14ac:dyDescent="0.25">
      <c r="A564" t="s">
        <v>5000</v>
      </c>
      <c r="B564" t="s">
        <v>15151</v>
      </c>
      <c r="C564" t="s">
        <v>5001</v>
      </c>
      <c r="D564" t="s">
        <v>888</v>
      </c>
      <c r="E564" t="s">
        <v>167</v>
      </c>
      <c r="F564" t="s">
        <v>5002</v>
      </c>
      <c r="G564" t="s">
        <v>5003</v>
      </c>
      <c r="H564" t="s">
        <v>5005</v>
      </c>
      <c r="I564" t="s">
        <v>5006</v>
      </c>
      <c r="J564" t="s">
        <v>256</v>
      </c>
      <c r="K564" t="s">
        <v>255</v>
      </c>
      <c r="L564" t="s">
        <v>50</v>
      </c>
      <c r="M564" s="2">
        <v>193003.67</v>
      </c>
      <c r="N564" t="s">
        <v>5008</v>
      </c>
      <c r="O564" t="s">
        <v>115</v>
      </c>
      <c r="P564" t="str">
        <f>CONCATENATE("'",Tabla1[[#This Row],[Codigo]],"',")</f>
        <v>'01054',</v>
      </c>
    </row>
    <row r="565" spans="1:16" x14ac:dyDescent="0.25">
      <c r="A565" t="s">
        <v>5012</v>
      </c>
      <c r="B565" t="s">
        <v>15152</v>
      </c>
      <c r="C565" t="s">
        <v>5013</v>
      </c>
      <c r="D565" t="s">
        <v>125</v>
      </c>
      <c r="E565" t="s">
        <v>126</v>
      </c>
      <c r="F565" t="s">
        <v>5014</v>
      </c>
      <c r="G565" t="s">
        <v>5015</v>
      </c>
      <c r="H565" t="s">
        <v>4826</v>
      </c>
      <c r="I565" t="s">
        <v>4827</v>
      </c>
      <c r="J565" t="s">
        <v>256</v>
      </c>
      <c r="K565" t="s">
        <v>255</v>
      </c>
      <c r="L565" t="s">
        <v>50</v>
      </c>
      <c r="M565" s="2">
        <v>410104.21</v>
      </c>
      <c r="N565" t="s">
        <v>5018</v>
      </c>
      <c r="O565" t="s">
        <v>52</v>
      </c>
      <c r="P565" t="str">
        <f>CONCATENATE("'",Tabla1[[#This Row],[Codigo]],"',")</f>
        <v>'01056',</v>
      </c>
    </row>
    <row r="566" spans="1:16" x14ac:dyDescent="0.25">
      <c r="A566" t="s">
        <v>5019</v>
      </c>
      <c r="B566" t="s">
        <v>5020</v>
      </c>
      <c r="C566" t="s">
        <v>5020</v>
      </c>
      <c r="D566" t="s">
        <v>153</v>
      </c>
      <c r="E566" t="s">
        <v>272</v>
      </c>
      <c r="F566" t="s">
        <v>5021</v>
      </c>
      <c r="G566" t="s">
        <v>1123</v>
      </c>
      <c r="H566" t="s">
        <v>1125</v>
      </c>
      <c r="I566" t="s">
        <v>1123</v>
      </c>
      <c r="J566" t="s">
        <v>158</v>
      </c>
      <c r="K566" t="s">
        <v>159</v>
      </c>
      <c r="L566" t="s">
        <v>50</v>
      </c>
      <c r="M566" s="2">
        <v>533084.82999999996</v>
      </c>
      <c r="N566" t="s">
        <v>5024</v>
      </c>
      <c r="O566" t="s">
        <v>52</v>
      </c>
      <c r="P566" t="str">
        <f>CONCATENATE("'",Tabla1[[#This Row],[Codigo]],"',")</f>
        <v>'01057',</v>
      </c>
    </row>
    <row r="567" spans="1:16" x14ac:dyDescent="0.25">
      <c r="A567" t="s">
        <v>5025</v>
      </c>
      <c r="B567" t="s">
        <v>15153</v>
      </c>
      <c r="C567" t="s">
        <v>5026</v>
      </c>
      <c r="D567" t="s">
        <v>35</v>
      </c>
      <c r="E567" t="s">
        <v>36</v>
      </c>
      <c r="F567" t="s">
        <v>5027</v>
      </c>
      <c r="G567" t="s">
        <v>4487</v>
      </c>
      <c r="H567" t="s">
        <v>4488</v>
      </c>
      <c r="I567" t="s">
        <v>4487</v>
      </c>
      <c r="J567" t="s">
        <v>103</v>
      </c>
      <c r="K567" t="s">
        <v>104</v>
      </c>
      <c r="L567" t="s">
        <v>50</v>
      </c>
      <c r="M567" s="2">
        <v>-10200.9</v>
      </c>
      <c r="N567" t="s">
        <v>5030</v>
      </c>
      <c r="O567" t="s">
        <v>52</v>
      </c>
      <c r="P567" t="str">
        <f>CONCATENATE("'",Tabla1[[#This Row],[Codigo]],"',")</f>
        <v>'01058',</v>
      </c>
    </row>
    <row r="568" spans="1:16" x14ac:dyDescent="0.25">
      <c r="A568" t="s">
        <v>5031</v>
      </c>
      <c r="B568" t="s">
        <v>5032</v>
      </c>
      <c r="C568" t="s">
        <v>5032</v>
      </c>
      <c r="D568" t="s">
        <v>35</v>
      </c>
      <c r="E568" t="s">
        <v>36</v>
      </c>
      <c r="F568" t="s">
        <v>5033</v>
      </c>
      <c r="G568" t="s">
        <v>4487</v>
      </c>
      <c r="H568" t="s">
        <v>4488</v>
      </c>
      <c r="I568" t="s">
        <v>4487</v>
      </c>
      <c r="J568" t="s">
        <v>103</v>
      </c>
      <c r="K568" t="s">
        <v>104</v>
      </c>
      <c r="L568" t="s">
        <v>50</v>
      </c>
      <c r="M568" s="2">
        <v>199051.6</v>
      </c>
      <c r="N568" t="s">
        <v>5035</v>
      </c>
      <c r="O568" t="s">
        <v>52</v>
      </c>
      <c r="P568" t="str">
        <f>CONCATENATE("'",Tabla1[[#This Row],[Codigo]],"',")</f>
        <v>'01059',</v>
      </c>
    </row>
    <row r="569" spans="1:16" x14ac:dyDescent="0.25">
      <c r="A569" t="s">
        <v>5036</v>
      </c>
      <c r="B569" t="s">
        <v>5037</v>
      </c>
      <c r="C569" t="s">
        <v>5037</v>
      </c>
      <c r="D569" t="s">
        <v>35</v>
      </c>
      <c r="E569" t="s">
        <v>36</v>
      </c>
      <c r="F569" t="s">
        <v>5038</v>
      </c>
      <c r="G569" t="s">
        <v>4978</v>
      </c>
      <c r="H569" t="s">
        <v>4980</v>
      </c>
      <c r="I569" t="s">
        <v>4981</v>
      </c>
      <c r="J569" t="s">
        <v>103</v>
      </c>
      <c r="K569" t="s">
        <v>104</v>
      </c>
      <c r="L569" t="s">
        <v>50</v>
      </c>
      <c r="M569" s="2">
        <v>81888.7</v>
      </c>
      <c r="N569" t="s">
        <v>5041</v>
      </c>
      <c r="O569" t="s">
        <v>52</v>
      </c>
      <c r="P569" t="str">
        <f>CONCATENATE("'",Tabla1[[#This Row],[Codigo]],"',")</f>
        <v>'01060',</v>
      </c>
    </row>
    <row r="570" spans="1:16" x14ac:dyDescent="0.25">
      <c r="A570" t="s">
        <v>5042</v>
      </c>
      <c r="B570" t="s">
        <v>15154</v>
      </c>
      <c r="C570" t="s">
        <v>5043</v>
      </c>
      <c r="D570" t="s">
        <v>153</v>
      </c>
      <c r="E570" t="s">
        <v>272</v>
      </c>
      <c r="F570" t="s">
        <v>4815</v>
      </c>
      <c r="G570" t="s">
        <v>402</v>
      </c>
      <c r="H570" t="s">
        <v>403</v>
      </c>
      <c r="I570" t="s">
        <v>404</v>
      </c>
      <c r="J570" t="s">
        <v>205</v>
      </c>
      <c r="K570" t="s">
        <v>206</v>
      </c>
      <c r="L570" t="s">
        <v>50</v>
      </c>
      <c r="M570" s="2">
        <v>15063.87</v>
      </c>
      <c r="N570" t="s">
        <v>5045</v>
      </c>
      <c r="O570" t="s">
        <v>52</v>
      </c>
      <c r="P570" t="str">
        <f>CONCATENATE("'",Tabla1[[#This Row],[Codigo]],"',")</f>
        <v>'01061',</v>
      </c>
    </row>
    <row r="571" spans="1:16" x14ac:dyDescent="0.25">
      <c r="A571" t="s">
        <v>5046</v>
      </c>
      <c r="B571" t="s">
        <v>15155</v>
      </c>
      <c r="C571" t="s">
        <v>1408</v>
      </c>
      <c r="D571" t="s">
        <v>35</v>
      </c>
      <c r="E571" t="s">
        <v>36</v>
      </c>
      <c r="F571" t="s">
        <v>1409</v>
      </c>
      <c r="G571" t="s">
        <v>1607</v>
      </c>
      <c r="H571" t="s">
        <v>1221</v>
      </c>
      <c r="I571" t="s">
        <v>1222</v>
      </c>
      <c r="J571" t="s">
        <v>205</v>
      </c>
      <c r="K571" t="s">
        <v>206</v>
      </c>
      <c r="L571" t="s">
        <v>50</v>
      </c>
      <c r="M571" s="2">
        <v>167.73</v>
      </c>
      <c r="N571" t="s">
        <v>5049</v>
      </c>
      <c r="O571" t="s">
        <v>52</v>
      </c>
      <c r="P571" t="str">
        <f>CONCATENATE("'",Tabla1[[#This Row],[Codigo]],"',")</f>
        <v>'01062',</v>
      </c>
    </row>
    <row r="572" spans="1:16" x14ac:dyDescent="0.25">
      <c r="A572" t="s">
        <v>5052</v>
      </c>
      <c r="B572" t="s">
        <v>5053</v>
      </c>
      <c r="C572" t="s">
        <v>5053</v>
      </c>
      <c r="D572" t="s">
        <v>153</v>
      </c>
      <c r="E572" t="s">
        <v>272</v>
      </c>
      <c r="F572" t="s">
        <v>5054</v>
      </c>
      <c r="G572" t="s">
        <v>881</v>
      </c>
      <c r="H572" t="s">
        <v>883</v>
      </c>
      <c r="I572" t="s">
        <v>881</v>
      </c>
      <c r="J572" t="s">
        <v>158</v>
      </c>
      <c r="K572" t="s">
        <v>159</v>
      </c>
      <c r="L572" t="s">
        <v>50</v>
      </c>
      <c r="M572" s="2">
        <v>139949.20000000001</v>
      </c>
      <c r="N572" t="s">
        <v>5055</v>
      </c>
      <c r="O572" t="s">
        <v>52</v>
      </c>
      <c r="P572" t="str">
        <f>CONCATENATE("'",Tabla1[[#This Row],[Codigo]],"',")</f>
        <v>'01064',</v>
      </c>
    </row>
    <row r="573" spans="1:16" x14ac:dyDescent="0.25">
      <c r="A573" t="s">
        <v>5056</v>
      </c>
      <c r="B573" t="s">
        <v>5057</v>
      </c>
      <c r="C573" t="s">
        <v>2861</v>
      </c>
      <c r="D573" t="s">
        <v>125</v>
      </c>
      <c r="E573" t="s">
        <v>126</v>
      </c>
      <c r="F573" t="s">
        <v>2862</v>
      </c>
      <c r="G573" t="s">
        <v>38</v>
      </c>
      <c r="H573" t="s">
        <v>40</v>
      </c>
      <c r="I573" t="s">
        <v>41</v>
      </c>
      <c r="J573" t="s">
        <v>61</v>
      </c>
      <c r="K573" t="s">
        <v>62</v>
      </c>
      <c r="L573" t="s">
        <v>50</v>
      </c>
      <c r="M573" s="2">
        <v>365887.03</v>
      </c>
      <c r="N573" t="s">
        <v>5058</v>
      </c>
      <c r="O573" t="s">
        <v>52</v>
      </c>
      <c r="P573" t="str">
        <f>CONCATENATE("'",Tabla1[[#This Row],[Codigo]],"',")</f>
        <v>'01065',</v>
      </c>
    </row>
    <row r="574" spans="1:16" x14ac:dyDescent="0.25">
      <c r="A574" t="s">
        <v>5059</v>
      </c>
      <c r="B574" t="s">
        <v>5060</v>
      </c>
      <c r="C574" t="s">
        <v>5060</v>
      </c>
      <c r="D574" t="s">
        <v>35</v>
      </c>
      <c r="E574" t="s">
        <v>36</v>
      </c>
      <c r="F574" t="s">
        <v>5061</v>
      </c>
      <c r="G574" t="s">
        <v>404</v>
      </c>
      <c r="H574" t="s">
        <v>403</v>
      </c>
      <c r="I574" t="s">
        <v>404</v>
      </c>
      <c r="J574" t="s">
        <v>205</v>
      </c>
      <c r="K574" t="s">
        <v>206</v>
      </c>
      <c r="L574" t="s">
        <v>50</v>
      </c>
      <c r="M574" s="2">
        <v>108623.38</v>
      </c>
      <c r="N574" t="s">
        <v>5063</v>
      </c>
      <c r="O574" t="s">
        <v>52</v>
      </c>
      <c r="P574" t="str">
        <f>CONCATENATE("'",Tabla1[[#This Row],[Codigo]],"',")</f>
        <v>'01066',</v>
      </c>
    </row>
    <row r="575" spans="1:16" x14ac:dyDescent="0.25">
      <c r="A575" t="s">
        <v>5064</v>
      </c>
      <c r="B575" t="s">
        <v>5065</v>
      </c>
      <c r="C575" t="s">
        <v>5065</v>
      </c>
      <c r="D575" t="s">
        <v>847</v>
      </c>
      <c r="E575" t="s">
        <v>848</v>
      </c>
      <c r="F575" t="s">
        <v>5066</v>
      </c>
      <c r="G575" t="s">
        <v>255</v>
      </c>
      <c r="H575" t="s">
        <v>254</v>
      </c>
      <c r="I575" t="s">
        <v>255</v>
      </c>
      <c r="J575" t="s">
        <v>256</v>
      </c>
      <c r="K575" t="s">
        <v>255</v>
      </c>
      <c r="L575" t="s">
        <v>50</v>
      </c>
      <c r="M575" s="2">
        <v>54712.67</v>
      </c>
      <c r="N575" t="s">
        <v>5068</v>
      </c>
      <c r="O575" t="s">
        <v>52</v>
      </c>
      <c r="P575" t="str">
        <f>CONCATENATE("'",Tabla1[[#This Row],[Codigo]],"',")</f>
        <v>'01067',</v>
      </c>
    </row>
    <row r="576" spans="1:16" x14ac:dyDescent="0.25">
      <c r="A576" t="s">
        <v>5069</v>
      </c>
      <c r="B576" t="s">
        <v>5070</v>
      </c>
      <c r="C576" t="s">
        <v>5070</v>
      </c>
      <c r="D576" t="s">
        <v>553</v>
      </c>
      <c r="E576" t="s">
        <v>167</v>
      </c>
      <c r="F576" t="s">
        <v>5071</v>
      </c>
      <c r="G576" t="s">
        <v>1222</v>
      </c>
      <c r="H576" t="s">
        <v>1221</v>
      </c>
      <c r="I576" t="s">
        <v>1222</v>
      </c>
      <c r="J576" t="s">
        <v>205</v>
      </c>
      <c r="K576" t="s">
        <v>206</v>
      </c>
      <c r="L576" t="s">
        <v>50</v>
      </c>
      <c r="M576" s="2">
        <v>395216.71</v>
      </c>
      <c r="N576" t="s">
        <v>5073</v>
      </c>
      <c r="O576" t="s">
        <v>52</v>
      </c>
      <c r="P576" t="str">
        <f>CONCATENATE("'",Tabla1[[#This Row],[Codigo]],"',")</f>
        <v>'01068',</v>
      </c>
    </row>
    <row r="577" spans="1:16" x14ac:dyDescent="0.25">
      <c r="A577" s="15" t="s">
        <v>5076</v>
      </c>
      <c r="B577" s="15" t="s">
        <v>5077</v>
      </c>
      <c r="C577" s="15" t="s">
        <v>5077</v>
      </c>
      <c r="D577" s="15" t="s">
        <v>55</v>
      </c>
      <c r="E577" s="15" t="s">
        <v>56</v>
      </c>
      <c r="F577" s="15" t="s">
        <v>5078</v>
      </c>
      <c r="G577" s="15" t="s">
        <v>255</v>
      </c>
      <c r="H577" s="15" t="s">
        <v>254</v>
      </c>
      <c r="I577" s="15" t="s">
        <v>255</v>
      </c>
      <c r="J577" s="15" t="s">
        <v>256</v>
      </c>
      <c r="K577" s="15" t="s">
        <v>255</v>
      </c>
      <c r="L577" s="15" t="s">
        <v>50</v>
      </c>
      <c r="M577" s="16">
        <v>-180246.55</v>
      </c>
      <c r="N577" s="15" t="s">
        <v>5080</v>
      </c>
      <c r="O577" s="15" t="s">
        <v>115</v>
      </c>
      <c r="P577" t="str">
        <f>CONCATENATE("'",Tabla1[[#This Row],[Codigo]],"',")</f>
        <v>'01070',</v>
      </c>
    </row>
    <row r="578" spans="1:16" x14ac:dyDescent="0.25">
      <c r="A578" t="s">
        <v>5081</v>
      </c>
      <c r="B578" t="s">
        <v>5082</v>
      </c>
      <c r="C578" t="s">
        <v>5082</v>
      </c>
      <c r="D578" t="s">
        <v>35</v>
      </c>
      <c r="E578" t="s">
        <v>36</v>
      </c>
      <c r="F578" t="s">
        <v>5083</v>
      </c>
      <c r="G578" t="s">
        <v>1360</v>
      </c>
      <c r="H578" t="s">
        <v>1362</v>
      </c>
      <c r="I578" t="s">
        <v>1360</v>
      </c>
      <c r="J578" t="s">
        <v>1363</v>
      </c>
      <c r="K578" t="s">
        <v>1364</v>
      </c>
      <c r="L578" t="s">
        <v>50</v>
      </c>
      <c r="M578" s="2">
        <v>8429.9699999999993</v>
      </c>
      <c r="N578" t="s">
        <v>5085</v>
      </c>
      <c r="O578" t="s">
        <v>115</v>
      </c>
      <c r="P578" t="str">
        <f>CONCATENATE("'",Tabla1[[#This Row],[Codigo]],"',")</f>
        <v>'01071',</v>
      </c>
    </row>
    <row r="579" spans="1:16" x14ac:dyDescent="0.25">
      <c r="A579" t="s">
        <v>5086</v>
      </c>
      <c r="B579" t="s">
        <v>15156</v>
      </c>
      <c r="C579" t="s">
        <v>5087</v>
      </c>
      <c r="D579" t="s">
        <v>847</v>
      </c>
      <c r="E579" t="s">
        <v>848</v>
      </c>
      <c r="F579" t="s">
        <v>1580</v>
      </c>
      <c r="G579" t="s">
        <v>1607</v>
      </c>
      <c r="H579" t="s">
        <v>1221</v>
      </c>
      <c r="I579" t="s">
        <v>1222</v>
      </c>
      <c r="J579" t="s">
        <v>205</v>
      </c>
      <c r="K579" t="s">
        <v>206</v>
      </c>
      <c r="L579" t="s">
        <v>50</v>
      </c>
      <c r="M579" s="2">
        <v>361732.45</v>
      </c>
      <c r="N579" t="s">
        <v>5089</v>
      </c>
      <c r="O579" t="s">
        <v>115</v>
      </c>
      <c r="P579" t="str">
        <f>CONCATENATE("'",Tabla1[[#This Row],[Codigo]],"',")</f>
        <v>'01072',</v>
      </c>
    </row>
    <row r="580" spans="1:16" x14ac:dyDescent="0.25">
      <c r="A580" s="15" t="s">
        <v>5091</v>
      </c>
      <c r="B580" s="15" t="s">
        <v>5092</v>
      </c>
      <c r="C580" s="15" t="s">
        <v>5092</v>
      </c>
      <c r="D580" s="15" t="s">
        <v>55</v>
      </c>
      <c r="E580" s="15" t="s">
        <v>56</v>
      </c>
      <c r="F580" s="15" t="s">
        <v>5093</v>
      </c>
      <c r="G580" s="15" t="s">
        <v>255</v>
      </c>
      <c r="H580" s="15" t="s">
        <v>254</v>
      </c>
      <c r="I580" s="15" t="s">
        <v>255</v>
      </c>
      <c r="J580" s="15" t="s">
        <v>256</v>
      </c>
      <c r="K580" s="15" t="s">
        <v>255</v>
      </c>
      <c r="L580" s="15" t="s">
        <v>50</v>
      </c>
      <c r="M580" s="16">
        <v>-9861.16</v>
      </c>
      <c r="N580" s="15" t="s">
        <v>5095</v>
      </c>
      <c r="O580" s="15" t="s">
        <v>115</v>
      </c>
      <c r="P580" t="str">
        <f>CONCATENATE("'",Tabla1[[#This Row],[Codigo]],"',")</f>
        <v>'01074',</v>
      </c>
    </row>
    <row r="581" spans="1:16" x14ac:dyDescent="0.25">
      <c r="A581" s="15" t="s">
        <v>5102</v>
      </c>
      <c r="B581" s="15" t="s">
        <v>5103</v>
      </c>
      <c r="C581" s="15" t="s">
        <v>5103</v>
      </c>
      <c r="D581" s="15" t="s">
        <v>55</v>
      </c>
      <c r="E581" s="15" t="s">
        <v>56</v>
      </c>
      <c r="F581" s="15" t="s">
        <v>5104</v>
      </c>
      <c r="G581" s="15" t="s">
        <v>1430</v>
      </c>
      <c r="H581" s="15" t="s">
        <v>1427</v>
      </c>
      <c r="I581" s="15" t="s">
        <v>1428</v>
      </c>
      <c r="J581" s="15" t="s">
        <v>1363</v>
      </c>
      <c r="K581" s="15" t="s">
        <v>1364</v>
      </c>
      <c r="L581" s="15" t="s">
        <v>50</v>
      </c>
      <c r="M581" s="16">
        <v>11486.3</v>
      </c>
      <c r="N581" s="15" t="s">
        <v>5106</v>
      </c>
      <c r="O581" s="15" t="s">
        <v>115</v>
      </c>
      <c r="P581" t="str">
        <f>CONCATENATE("'",Tabla1[[#This Row],[Codigo]],"',")</f>
        <v>'01080',</v>
      </c>
    </row>
    <row r="582" spans="1:16" x14ac:dyDescent="0.25">
      <c r="A582" t="s">
        <v>5107</v>
      </c>
      <c r="B582" t="s">
        <v>5108</v>
      </c>
      <c r="C582" t="s">
        <v>5108</v>
      </c>
      <c r="D582" t="s">
        <v>264</v>
      </c>
      <c r="E582" t="s">
        <v>134</v>
      </c>
      <c r="F582" t="s">
        <v>5109</v>
      </c>
      <c r="G582" t="s">
        <v>5110</v>
      </c>
      <c r="H582" t="s">
        <v>5112</v>
      </c>
      <c r="I582" t="s">
        <v>5110</v>
      </c>
      <c r="J582" t="s">
        <v>256</v>
      </c>
      <c r="K582" t="s">
        <v>255</v>
      </c>
      <c r="L582" t="s">
        <v>50</v>
      </c>
      <c r="M582" s="2">
        <v>-6824.24</v>
      </c>
      <c r="N582" t="s">
        <v>5114</v>
      </c>
      <c r="P582" t="str">
        <f>CONCATENATE("'",Tabla1[[#This Row],[Codigo]],"',")</f>
        <v>'01081',</v>
      </c>
    </row>
    <row r="583" spans="1:16" x14ac:dyDescent="0.25">
      <c r="A583" t="s">
        <v>5115</v>
      </c>
      <c r="B583" t="s">
        <v>5116</v>
      </c>
      <c r="C583" t="s">
        <v>5116</v>
      </c>
      <c r="D583" t="s">
        <v>35</v>
      </c>
      <c r="E583" t="s">
        <v>36</v>
      </c>
      <c r="F583" t="s">
        <v>5117</v>
      </c>
      <c r="H583" t="s">
        <v>5119</v>
      </c>
      <c r="I583" t="s">
        <v>1216</v>
      </c>
      <c r="J583" t="s">
        <v>1421</v>
      </c>
      <c r="K583" t="s">
        <v>1422</v>
      </c>
      <c r="L583" t="s">
        <v>50</v>
      </c>
      <c r="M583" s="2">
        <v>61697.7</v>
      </c>
      <c r="N583" t="s">
        <v>5121</v>
      </c>
      <c r="O583" t="s">
        <v>52</v>
      </c>
      <c r="P583" t="str">
        <f>CONCATENATE("'",Tabla1[[#This Row],[Codigo]],"',")</f>
        <v>'01082',</v>
      </c>
    </row>
    <row r="584" spans="1:16" x14ac:dyDescent="0.25">
      <c r="A584" t="s">
        <v>5124</v>
      </c>
      <c r="B584" t="s">
        <v>5125</v>
      </c>
      <c r="C584" t="s">
        <v>5125</v>
      </c>
      <c r="D584" t="s">
        <v>297</v>
      </c>
      <c r="E584" t="s">
        <v>167</v>
      </c>
      <c r="F584" t="s">
        <v>5126</v>
      </c>
      <c r="G584" t="s">
        <v>2920</v>
      </c>
      <c r="H584" t="s">
        <v>2919</v>
      </c>
      <c r="I584" t="s">
        <v>2920</v>
      </c>
      <c r="J584" t="s">
        <v>304</v>
      </c>
      <c r="K584" t="s">
        <v>72</v>
      </c>
      <c r="L584" t="s">
        <v>50</v>
      </c>
      <c r="M584" s="2">
        <v>215074.28</v>
      </c>
      <c r="N584" t="s">
        <v>5129</v>
      </c>
      <c r="P584" t="str">
        <f>CONCATENATE("'",Tabla1[[#This Row],[Codigo]],"',")</f>
        <v>'01084',</v>
      </c>
    </row>
    <row r="585" spans="1:16" x14ac:dyDescent="0.25">
      <c r="A585" t="s">
        <v>5130</v>
      </c>
      <c r="B585" t="s">
        <v>5131</v>
      </c>
      <c r="C585" t="s">
        <v>5131</v>
      </c>
      <c r="D585" t="s">
        <v>569</v>
      </c>
      <c r="E585" t="s">
        <v>570</v>
      </c>
      <c r="F585" t="s">
        <v>5132</v>
      </c>
      <c r="G585" t="s">
        <v>4798</v>
      </c>
      <c r="H585" t="s">
        <v>4797</v>
      </c>
      <c r="I585" t="s">
        <v>4798</v>
      </c>
      <c r="J585" t="s">
        <v>1421</v>
      </c>
      <c r="K585" t="s">
        <v>1422</v>
      </c>
      <c r="L585" t="s">
        <v>50</v>
      </c>
      <c r="M585" s="2">
        <v>296030.88</v>
      </c>
      <c r="N585" t="s">
        <v>5135</v>
      </c>
      <c r="P585" t="str">
        <f>CONCATENATE("'",Tabla1[[#This Row],[Codigo]],"',")</f>
        <v>'01085',</v>
      </c>
    </row>
    <row r="586" spans="1:16" x14ac:dyDescent="0.25">
      <c r="A586" t="s">
        <v>5136</v>
      </c>
      <c r="B586" t="s">
        <v>5137</v>
      </c>
      <c r="C586" t="s">
        <v>5137</v>
      </c>
      <c r="D586" t="s">
        <v>125</v>
      </c>
      <c r="E586" t="s">
        <v>126</v>
      </c>
      <c r="F586" t="s">
        <v>5138</v>
      </c>
      <c r="G586" t="s">
        <v>1123</v>
      </c>
      <c r="H586" t="s">
        <v>1125</v>
      </c>
      <c r="I586" t="s">
        <v>1123</v>
      </c>
      <c r="J586" t="s">
        <v>158</v>
      </c>
      <c r="K586" t="s">
        <v>159</v>
      </c>
      <c r="L586" t="s">
        <v>50</v>
      </c>
      <c r="M586" s="2">
        <v>430500.67</v>
      </c>
      <c r="N586" t="s">
        <v>5141</v>
      </c>
      <c r="O586" t="s">
        <v>52</v>
      </c>
      <c r="P586" t="str">
        <f>CONCATENATE("'",Tabla1[[#This Row],[Codigo]],"',")</f>
        <v>'01086',</v>
      </c>
    </row>
    <row r="587" spans="1:16" x14ac:dyDescent="0.25">
      <c r="A587" t="s">
        <v>5146</v>
      </c>
      <c r="B587" t="s">
        <v>5147</v>
      </c>
      <c r="C587" t="s">
        <v>5147</v>
      </c>
      <c r="D587" t="s">
        <v>1169</v>
      </c>
      <c r="E587" t="s">
        <v>77</v>
      </c>
      <c r="F587" t="s">
        <v>5148</v>
      </c>
      <c r="G587" t="s">
        <v>5149</v>
      </c>
      <c r="H587" t="s">
        <v>5151</v>
      </c>
      <c r="I587" t="s">
        <v>5152</v>
      </c>
      <c r="J587" t="s">
        <v>256</v>
      </c>
      <c r="K587" t="s">
        <v>255</v>
      </c>
      <c r="L587" t="s">
        <v>50</v>
      </c>
      <c r="M587" s="2">
        <v>-1589.31</v>
      </c>
      <c r="N587" t="s">
        <v>5154</v>
      </c>
      <c r="O587" t="s">
        <v>115</v>
      </c>
      <c r="P587" t="str">
        <f>CONCATENATE("'",Tabla1[[#This Row],[Codigo]],"',")</f>
        <v>'01088',</v>
      </c>
    </row>
    <row r="588" spans="1:16" x14ac:dyDescent="0.25">
      <c r="A588" t="s">
        <v>5155</v>
      </c>
      <c r="B588" t="s">
        <v>5156</v>
      </c>
      <c r="C588" t="s">
        <v>5156</v>
      </c>
      <c r="D588" t="s">
        <v>1941</v>
      </c>
      <c r="E588" t="s">
        <v>224</v>
      </c>
      <c r="F588" t="s">
        <v>5157</v>
      </c>
      <c r="G588" t="s">
        <v>1222</v>
      </c>
      <c r="H588" t="s">
        <v>1221</v>
      </c>
      <c r="I588" t="s">
        <v>1222</v>
      </c>
      <c r="J588" t="s">
        <v>205</v>
      </c>
      <c r="K588" t="s">
        <v>206</v>
      </c>
      <c r="L588" t="s">
        <v>50</v>
      </c>
      <c r="M588" s="2">
        <v>43634</v>
      </c>
      <c r="N588" t="s">
        <v>64</v>
      </c>
      <c r="P588" t="str">
        <f>CONCATENATE("'",Tabla1[[#This Row],[Codigo]],"',")</f>
        <v>'01089',</v>
      </c>
    </row>
    <row r="589" spans="1:16" x14ac:dyDescent="0.25">
      <c r="A589" t="s">
        <v>5164</v>
      </c>
      <c r="B589" t="s">
        <v>5165</v>
      </c>
      <c r="C589" t="s">
        <v>5165</v>
      </c>
      <c r="D589" t="s">
        <v>153</v>
      </c>
      <c r="E589" t="s">
        <v>272</v>
      </c>
      <c r="F589" t="s">
        <v>5166</v>
      </c>
      <c r="G589" t="s">
        <v>60</v>
      </c>
      <c r="H589" t="s">
        <v>59</v>
      </c>
      <c r="I589" t="s">
        <v>60</v>
      </c>
      <c r="J589" t="s">
        <v>61</v>
      </c>
      <c r="K589" t="s">
        <v>62</v>
      </c>
      <c r="L589" t="s">
        <v>50</v>
      </c>
      <c r="M589" s="2">
        <v>250389.27</v>
      </c>
      <c r="N589" t="s">
        <v>5168</v>
      </c>
      <c r="O589" t="s">
        <v>52</v>
      </c>
      <c r="P589" t="str">
        <f>CONCATENATE("'",Tabla1[[#This Row],[Codigo]],"',")</f>
        <v>'01092',</v>
      </c>
    </row>
    <row r="590" spans="1:16" x14ac:dyDescent="0.25">
      <c r="A590" t="s">
        <v>5170</v>
      </c>
      <c r="B590" t="s">
        <v>5171</v>
      </c>
      <c r="C590" t="s">
        <v>5171</v>
      </c>
      <c r="D590" t="s">
        <v>153</v>
      </c>
      <c r="E590" t="s">
        <v>272</v>
      </c>
      <c r="F590" t="s">
        <v>5172</v>
      </c>
      <c r="G590" t="s">
        <v>1123</v>
      </c>
      <c r="H590" t="s">
        <v>1125</v>
      </c>
      <c r="I590" t="s">
        <v>1123</v>
      </c>
      <c r="J590" t="s">
        <v>158</v>
      </c>
      <c r="K590" t="s">
        <v>159</v>
      </c>
      <c r="L590" t="s">
        <v>50</v>
      </c>
      <c r="M590" s="2">
        <v>381603.85</v>
      </c>
      <c r="N590" t="s">
        <v>5175</v>
      </c>
      <c r="O590" t="s">
        <v>52</v>
      </c>
      <c r="P590" t="str">
        <f>CONCATENATE("'",Tabla1[[#This Row],[Codigo]],"',")</f>
        <v>'01094',</v>
      </c>
    </row>
    <row r="591" spans="1:16" x14ac:dyDescent="0.25">
      <c r="A591" t="s">
        <v>5176</v>
      </c>
      <c r="B591" t="s">
        <v>5177</v>
      </c>
      <c r="C591" t="s">
        <v>5177</v>
      </c>
      <c r="D591" t="s">
        <v>153</v>
      </c>
      <c r="E591" t="s">
        <v>272</v>
      </c>
      <c r="F591" t="s">
        <v>5178</v>
      </c>
      <c r="G591" t="s">
        <v>277</v>
      </c>
      <c r="H591" t="s">
        <v>276</v>
      </c>
      <c r="I591" t="s">
        <v>277</v>
      </c>
      <c r="J591" t="s">
        <v>103</v>
      </c>
      <c r="K591" t="s">
        <v>104</v>
      </c>
      <c r="L591" t="s">
        <v>50</v>
      </c>
      <c r="M591" s="2">
        <v>318811.34000000003</v>
      </c>
      <c r="N591" t="s">
        <v>5181</v>
      </c>
      <c r="O591" t="s">
        <v>52</v>
      </c>
      <c r="P591" t="str">
        <f>CONCATENATE("'",Tabla1[[#This Row],[Codigo]],"',")</f>
        <v>'01095',</v>
      </c>
    </row>
    <row r="592" spans="1:16" x14ac:dyDescent="0.25">
      <c r="A592" t="s">
        <v>5182</v>
      </c>
      <c r="B592" t="s">
        <v>5183</v>
      </c>
      <c r="C592" t="s">
        <v>5183</v>
      </c>
      <c r="D592" t="s">
        <v>35</v>
      </c>
      <c r="E592" t="s">
        <v>36</v>
      </c>
      <c r="F592" t="s">
        <v>5184</v>
      </c>
      <c r="G592" t="s">
        <v>277</v>
      </c>
      <c r="H592" t="s">
        <v>276</v>
      </c>
      <c r="I592" t="s">
        <v>277</v>
      </c>
      <c r="J592" t="s">
        <v>103</v>
      </c>
      <c r="K592" t="s">
        <v>104</v>
      </c>
      <c r="L592" t="s">
        <v>50</v>
      </c>
      <c r="M592" s="2">
        <v>888625.13</v>
      </c>
      <c r="N592" t="s">
        <v>5186</v>
      </c>
      <c r="O592" t="s">
        <v>52</v>
      </c>
      <c r="P592" t="str">
        <f>CONCATENATE("'",Tabla1[[#This Row],[Codigo]],"',")</f>
        <v>'01096',</v>
      </c>
    </row>
    <row r="593" spans="1:16" x14ac:dyDescent="0.25">
      <c r="A593" t="s">
        <v>5196</v>
      </c>
      <c r="B593" t="s">
        <v>5197</v>
      </c>
      <c r="C593" t="s">
        <v>5197</v>
      </c>
      <c r="D593" t="s">
        <v>125</v>
      </c>
      <c r="E593" t="s">
        <v>126</v>
      </c>
      <c r="F593" t="s">
        <v>5198</v>
      </c>
      <c r="G593" t="s">
        <v>5199</v>
      </c>
      <c r="H593" t="s">
        <v>5201</v>
      </c>
      <c r="I593" t="s">
        <v>5202</v>
      </c>
      <c r="J593" t="s">
        <v>4853</v>
      </c>
      <c r="K593" t="s">
        <v>4854</v>
      </c>
      <c r="L593" t="s">
        <v>50</v>
      </c>
      <c r="M593" s="2">
        <v>68806.490000000005</v>
      </c>
      <c r="N593" t="s">
        <v>5204</v>
      </c>
      <c r="O593" t="s">
        <v>52</v>
      </c>
      <c r="P593" t="str">
        <f>CONCATENATE("'",Tabla1[[#This Row],[Codigo]],"',")</f>
        <v>'01101',</v>
      </c>
    </row>
    <row r="594" spans="1:16" x14ac:dyDescent="0.25">
      <c r="A594" t="s">
        <v>5205</v>
      </c>
      <c r="B594" t="s">
        <v>15157</v>
      </c>
      <c r="C594" t="s">
        <v>5206</v>
      </c>
      <c r="D594" t="s">
        <v>35</v>
      </c>
      <c r="E594" t="s">
        <v>36</v>
      </c>
      <c r="F594" t="s">
        <v>5207</v>
      </c>
      <c r="G594" t="s">
        <v>1208</v>
      </c>
      <c r="H594" t="s">
        <v>1210</v>
      </c>
      <c r="I594" t="s">
        <v>1211</v>
      </c>
      <c r="J594" t="s">
        <v>1212</v>
      </c>
      <c r="K594" t="s">
        <v>1213</v>
      </c>
      <c r="L594" t="s">
        <v>50</v>
      </c>
      <c r="M594" s="2">
        <v>169004.39</v>
      </c>
      <c r="N594" t="s">
        <v>5210</v>
      </c>
      <c r="O594" t="s">
        <v>52</v>
      </c>
      <c r="P594" t="str">
        <f>CONCATENATE("'",Tabla1[[#This Row],[Codigo]],"',")</f>
        <v>'01102',</v>
      </c>
    </row>
    <row r="595" spans="1:16" x14ac:dyDescent="0.25">
      <c r="A595" t="s">
        <v>5211</v>
      </c>
      <c r="B595" t="s">
        <v>5212</v>
      </c>
      <c r="C595" t="s">
        <v>5212</v>
      </c>
      <c r="D595" t="s">
        <v>5213</v>
      </c>
      <c r="E595" t="s">
        <v>190</v>
      </c>
      <c r="F595" t="s">
        <v>5214</v>
      </c>
      <c r="G595" t="s">
        <v>5149</v>
      </c>
      <c r="H595" t="s">
        <v>5151</v>
      </c>
      <c r="I595" t="s">
        <v>5152</v>
      </c>
      <c r="J595" t="s">
        <v>256</v>
      </c>
      <c r="K595" t="s">
        <v>255</v>
      </c>
      <c r="L595" t="s">
        <v>50</v>
      </c>
      <c r="M595" s="2">
        <v>597423.9</v>
      </c>
      <c r="N595" t="s">
        <v>5217</v>
      </c>
      <c r="O595" t="s">
        <v>115</v>
      </c>
      <c r="P595" t="str">
        <f>CONCATENATE("'",Tabla1[[#This Row],[Codigo]],"',")</f>
        <v>'01103',</v>
      </c>
    </row>
    <row r="596" spans="1:16" x14ac:dyDescent="0.25">
      <c r="A596" t="s">
        <v>5218</v>
      </c>
      <c r="B596" t="s">
        <v>5219</v>
      </c>
      <c r="C596" t="s">
        <v>5220</v>
      </c>
      <c r="D596" t="s">
        <v>125</v>
      </c>
      <c r="E596" t="s">
        <v>126</v>
      </c>
      <c r="F596" t="s">
        <v>2862</v>
      </c>
      <c r="G596" t="s">
        <v>38</v>
      </c>
      <c r="H596" t="s">
        <v>40</v>
      </c>
      <c r="I596" t="s">
        <v>41</v>
      </c>
      <c r="J596" t="s">
        <v>61</v>
      </c>
      <c r="K596" t="s">
        <v>62</v>
      </c>
      <c r="L596" t="s">
        <v>50</v>
      </c>
      <c r="M596" s="2">
        <v>400023.18</v>
      </c>
      <c r="N596" t="s">
        <v>5223</v>
      </c>
      <c r="O596" t="s">
        <v>52</v>
      </c>
      <c r="P596" t="str">
        <f>CONCATENATE("'",Tabla1[[#This Row],[Codigo]],"',")</f>
        <v>'01104',</v>
      </c>
    </row>
    <row r="597" spans="1:16" x14ac:dyDescent="0.25">
      <c r="A597" t="s">
        <v>5224</v>
      </c>
      <c r="B597" t="s">
        <v>5225</v>
      </c>
      <c r="C597" t="s">
        <v>5225</v>
      </c>
      <c r="D597" t="s">
        <v>153</v>
      </c>
      <c r="E597" t="s">
        <v>272</v>
      </c>
      <c r="F597" t="s">
        <v>5226</v>
      </c>
      <c r="G597" t="s">
        <v>1123</v>
      </c>
      <c r="H597" t="s">
        <v>1125</v>
      </c>
      <c r="I597" t="s">
        <v>1123</v>
      </c>
      <c r="J597" t="s">
        <v>158</v>
      </c>
      <c r="K597" t="s">
        <v>159</v>
      </c>
      <c r="L597" t="s">
        <v>50</v>
      </c>
      <c r="M597" s="2">
        <v>493916.2</v>
      </c>
      <c r="N597" t="s">
        <v>5229</v>
      </c>
      <c r="O597" t="s">
        <v>52</v>
      </c>
      <c r="P597" t="str">
        <f>CONCATENATE("'",Tabla1[[#This Row],[Codigo]],"',")</f>
        <v>'01105',</v>
      </c>
    </row>
    <row r="598" spans="1:16" x14ac:dyDescent="0.25">
      <c r="A598" t="s">
        <v>5230</v>
      </c>
      <c r="B598" t="s">
        <v>5231</v>
      </c>
      <c r="C598" t="s">
        <v>5231</v>
      </c>
      <c r="D598" t="s">
        <v>153</v>
      </c>
      <c r="E598" t="s">
        <v>272</v>
      </c>
      <c r="F598" t="s">
        <v>5232</v>
      </c>
      <c r="G598" t="s">
        <v>1123</v>
      </c>
      <c r="H598" t="s">
        <v>1125</v>
      </c>
      <c r="I598" t="s">
        <v>1123</v>
      </c>
      <c r="J598" t="s">
        <v>158</v>
      </c>
      <c r="K598" t="s">
        <v>159</v>
      </c>
      <c r="L598" t="s">
        <v>50</v>
      </c>
      <c r="M598" s="2">
        <v>188808.76</v>
      </c>
      <c r="N598" t="s">
        <v>5235</v>
      </c>
      <c r="O598" t="s">
        <v>52</v>
      </c>
      <c r="P598" t="str">
        <f>CONCATENATE("'",Tabla1[[#This Row],[Codigo]],"',")</f>
        <v>'01106',</v>
      </c>
    </row>
    <row r="599" spans="1:16" x14ac:dyDescent="0.25">
      <c r="A599" t="s">
        <v>5238</v>
      </c>
      <c r="B599" t="s">
        <v>5239</v>
      </c>
      <c r="C599" t="s">
        <v>5239</v>
      </c>
      <c r="D599" t="s">
        <v>125</v>
      </c>
      <c r="E599" t="s">
        <v>126</v>
      </c>
      <c r="F599" t="s">
        <v>5240</v>
      </c>
      <c r="G599" t="s">
        <v>303</v>
      </c>
      <c r="H599" t="s">
        <v>302</v>
      </c>
      <c r="I599" t="s">
        <v>303</v>
      </c>
      <c r="J599" t="s">
        <v>304</v>
      </c>
      <c r="K599" t="s">
        <v>72</v>
      </c>
      <c r="L599" t="s">
        <v>50</v>
      </c>
      <c r="M599" s="2">
        <v>44935.33</v>
      </c>
      <c r="N599" t="s">
        <v>5243</v>
      </c>
      <c r="O599" t="s">
        <v>52</v>
      </c>
      <c r="P599" t="str">
        <f>CONCATENATE("'",Tabla1[[#This Row],[Codigo]],"',")</f>
        <v>'01108',</v>
      </c>
    </row>
    <row r="600" spans="1:16" x14ac:dyDescent="0.25">
      <c r="A600" t="s">
        <v>5244</v>
      </c>
      <c r="B600" t="s">
        <v>5245</v>
      </c>
      <c r="C600" t="s">
        <v>5245</v>
      </c>
      <c r="D600" t="s">
        <v>847</v>
      </c>
      <c r="E600" t="s">
        <v>848</v>
      </c>
      <c r="F600" t="s">
        <v>5246</v>
      </c>
      <c r="G600" t="s">
        <v>714</v>
      </c>
      <c r="H600" t="s">
        <v>715</v>
      </c>
      <c r="I600" t="s">
        <v>714</v>
      </c>
      <c r="J600" t="s">
        <v>256</v>
      </c>
      <c r="K600" t="s">
        <v>255</v>
      </c>
      <c r="L600" t="s">
        <v>50</v>
      </c>
      <c r="M600" s="2">
        <v>3685.09</v>
      </c>
      <c r="N600" t="s">
        <v>5249</v>
      </c>
      <c r="O600" t="s">
        <v>52</v>
      </c>
      <c r="P600" t="str">
        <f>CONCATENATE("'",Tabla1[[#This Row],[Codigo]],"',")</f>
        <v>'01109',</v>
      </c>
    </row>
    <row r="601" spans="1:16" x14ac:dyDescent="0.25">
      <c r="A601" t="s">
        <v>5250</v>
      </c>
      <c r="B601" t="s">
        <v>15158</v>
      </c>
      <c r="C601" t="s">
        <v>5251</v>
      </c>
      <c r="D601" t="s">
        <v>569</v>
      </c>
      <c r="E601" t="s">
        <v>570</v>
      </c>
      <c r="F601" t="s">
        <v>5252</v>
      </c>
      <c r="G601" t="s">
        <v>5253</v>
      </c>
      <c r="H601" t="s">
        <v>5255</v>
      </c>
      <c r="I601" t="s">
        <v>5253</v>
      </c>
      <c r="J601" t="s">
        <v>205</v>
      </c>
      <c r="K601" t="s">
        <v>206</v>
      </c>
      <c r="L601" t="s">
        <v>50</v>
      </c>
      <c r="M601" s="2">
        <v>887994.15</v>
      </c>
      <c r="N601" t="s">
        <v>5257</v>
      </c>
      <c r="O601" t="s">
        <v>52</v>
      </c>
      <c r="P601" t="str">
        <f>CONCATENATE("'",Tabla1[[#This Row],[Codigo]],"',")</f>
        <v>'01110',</v>
      </c>
    </row>
    <row r="602" spans="1:16" x14ac:dyDescent="0.25">
      <c r="A602" t="s">
        <v>5258</v>
      </c>
      <c r="B602" t="s">
        <v>5259</v>
      </c>
      <c r="C602" t="s">
        <v>5259</v>
      </c>
      <c r="D602" t="s">
        <v>125</v>
      </c>
      <c r="E602" t="s">
        <v>126</v>
      </c>
      <c r="F602" t="s">
        <v>5260</v>
      </c>
      <c r="G602" t="s">
        <v>5261</v>
      </c>
      <c r="H602" t="s">
        <v>5263</v>
      </c>
      <c r="I602" t="s">
        <v>5264</v>
      </c>
      <c r="J602" t="s">
        <v>941</v>
      </c>
      <c r="K602" t="s">
        <v>139</v>
      </c>
      <c r="L602" t="s">
        <v>50</v>
      </c>
      <c r="M602" s="2">
        <v>96343.97</v>
      </c>
      <c r="N602" t="s">
        <v>5266</v>
      </c>
      <c r="O602" t="s">
        <v>52</v>
      </c>
      <c r="P602" t="str">
        <f>CONCATENATE("'",Tabla1[[#This Row],[Codigo]],"',")</f>
        <v>'01111',</v>
      </c>
    </row>
    <row r="603" spans="1:16" x14ac:dyDescent="0.25">
      <c r="A603" t="s">
        <v>5267</v>
      </c>
      <c r="B603" t="s">
        <v>5268</v>
      </c>
      <c r="C603" t="s">
        <v>5268</v>
      </c>
      <c r="D603" t="s">
        <v>153</v>
      </c>
      <c r="E603" t="s">
        <v>272</v>
      </c>
      <c r="F603" t="s">
        <v>5269</v>
      </c>
      <c r="G603" t="s">
        <v>446</v>
      </c>
      <c r="H603" t="s">
        <v>445</v>
      </c>
      <c r="I603" t="s">
        <v>446</v>
      </c>
      <c r="J603" t="s">
        <v>69</v>
      </c>
      <c r="K603" t="s">
        <v>70</v>
      </c>
      <c r="L603" t="s">
        <v>50</v>
      </c>
      <c r="M603" s="2">
        <v>360587.09</v>
      </c>
      <c r="N603" t="s">
        <v>5272</v>
      </c>
      <c r="O603" t="s">
        <v>52</v>
      </c>
      <c r="P603" t="str">
        <f>CONCATENATE("'",Tabla1[[#This Row],[Codigo]],"',")</f>
        <v>'01112',</v>
      </c>
    </row>
    <row r="604" spans="1:16" x14ac:dyDescent="0.25">
      <c r="A604" t="s">
        <v>5273</v>
      </c>
      <c r="B604" t="s">
        <v>5274</v>
      </c>
      <c r="C604" t="s">
        <v>5274</v>
      </c>
      <c r="D604" t="s">
        <v>3472</v>
      </c>
      <c r="E604" t="s">
        <v>871</v>
      </c>
      <c r="F604" t="s">
        <v>5275</v>
      </c>
      <c r="G604" t="s">
        <v>5276</v>
      </c>
      <c r="H604" t="s">
        <v>403</v>
      </c>
      <c r="I604" t="s">
        <v>404</v>
      </c>
      <c r="J604" t="s">
        <v>205</v>
      </c>
      <c r="K604" t="s">
        <v>206</v>
      </c>
      <c r="L604" t="s">
        <v>50</v>
      </c>
      <c r="M604" s="2">
        <v>80639.240000000005</v>
      </c>
      <c r="N604" t="s">
        <v>5279</v>
      </c>
      <c r="O604" t="s">
        <v>115</v>
      </c>
      <c r="P604" t="str">
        <f>CONCATENATE("'",Tabla1[[#This Row],[Codigo]],"',")</f>
        <v>'01113',</v>
      </c>
    </row>
    <row r="605" spans="1:16" x14ac:dyDescent="0.25">
      <c r="A605" t="s">
        <v>5280</v>
      </c>
      <c r="B605" t="s">
        <v>5281</v>
      </c>
      <c r="C605" t="s">
        <v>5281</v>
      </c>
      <c r="D605" t="s">
        <v>299</v>
      </c>
      <c r="E605" t="s">
        <v>167</v>
      </c>
      <c r="F605" t="s">
        <v>5282</v>
      </c>
      <c r="G605" t="s">
        <v>5261</v>
      </c>
      <c r="H605" t="s">
        <v>5263</v>
      </c>
      <c r="I605" t="s">
        <v>5264</v>
      </c>
      <c r="J605" t="s">
        <v>941</v>
      </c>
      <c r="K605" t="s">
        <v>139</v>
      </c>
      <c r="L605" t="s">
        <v>50</v>
      </c>
      <c r="M605" s="2">
        <v>183547.54</v>
      </c>
      <c r="N605" t="s">
        <v>5285</v>
      </c>
      <c r="P605" t="str">
        <f>CONCATENATE("'",Tabla1[[#This Row],[Codigo]],"',")</f>
        <v>'01114',</v>
      </c>
    </row>
    <row r="606" spans="1:16" x14ac:dyDescent="0.25">
      <c r="A606" s="15" t="s">
        <v>5286</v>
      </c>
      <c r="B606" s="15" t="s">
        <v>5287</v>
      </c>
      <c r="C606" s="15" t="s">
        <v>5287</v>
      </c>
      <c r="D606" s="15" t="s">
        <v>55</v>
      </c>
      <c r="E606" s="15" t="s">
        <v>56</v>
      </c>
      <c r="F606" s="15" t="s">
        <v>5288</v>
      </c>
      <c r="G606" s="15" t="s">
        <v>90</v>
      </c>
      <c r="H606" s="15" t="s">
        <v>89</v>
      </c>
      <c r="I606" s="15" t="s">
        <v>90</v>
      </c>
      <c r="J606" s="15" t="s">
        <v>91</v>
      </c>
      <c r="K606" s="15" t="s">
        <v>92</v>
      </c>
      <c r="L606" s="15" t="s">
        <v>50</v>
      </c>
      <c r="M606" s="16">
        <v>-8444.43</v>
      </c>
      <c r="N606" s="15" t="s">
        <v>5291</v>
      </c>
      <c r="O606" s="15" t="s">
        <v>115</v>
      </c>
      <c r="P606" t="str">
        <f>CONCATENATE("'",Tabla1[[#This Row],[Codigo]],"',")</f>
        <v>'01115',</v>
      </c>
    </row>
    <row r="607" spans="1:16" x14ac:dyDescent="0.25">
      <c r="A607" t="s">
        <v>5294</v>
      </c>
      <c r="B607" t="s">
        <v>5295</v>
      </c>
      <c r="C607" t="s">
        <v>5295</v>
      </c>
      <c r="D607" t="s">
        <v>569</v>
      </c>
      <c r="E607" t="s">
        <v>570</v>
      </c>
      <c r="F607" t="s">
        <v>5296</v>
      </c>
      <c r="G607" t="s">
        <v>877</v>
      </c>
      <c r="H607" t="s">
        <v>879</v>
      </c>
      <c r="I607" t="s">
        <v>877</v>
      </c>
      <c r="J607" t="s">
        <v>69</v>
      </c>
      <c r="K607" t="s">
        <v>70</v>
      </c>
      <c r="L607" t="s">
        <v>50</v>
      </c>
      <c r="M607" s="2">
        <v>59639.44</v>
      </c>
      <c r="N607" t="s">
        <v>5299</v>
      </c>
      <c r="O607" t="s">
        <v>52</v>
      </c>
      <c r="P607" t="str">
        <f>CONCATENATE("'",Tabla1[[#This Row],[Codigo]],"',")</f>
        <v>'01117',</v>
      </c>
    </row>
    <row r="608" spans="1:16" x14ac:dyDescent="0.25">
      <c r="A608" t="s">
        <v>5300</v>
      </c>
      <c r="B608" t="s">
        <v>5301</v>
      </c>
      <c r="C608" t="s">
        <v>5301</v>
      </c>
      <c r="D608" t="s">
        <v>847</v>
      </c>
      <c r="E608" t="s">
        <v>848</v>
      </c>
      <c r="F608" t="s">
        <v>5302</v>
      </c>
      <c r="G608" t="s">
        <v>714</v>
      </c>
      <c r="H608" t="s">
        <v>715</v>
      </c>
      <c r="I608" t="s">
        <v>714</v>
      </c>
      <c r="J608" t="s">
        <v>256</v>
      </c>
      <c r="K608" t="s">
        <v>255</v>
      </c>
      <c r="L608" t="s">
        <v>50</v>
      </c>
      <c r="M608" s="2">
        <v>149066.94</v>
      </c>
      <c r="N608" t="s">
        <v>5305</v>
      </c>
      <c r="O608" t="s">
        <v>115</v>
      </c>
      <c r="P608" t="str">
        <f>CONCATENATE("'",Tabla1[[#This Row],[Codigo]],"',")</f>
        <v>'01118',</v>
      </c>
    </row>
    <row r="609" spans="1:16" x14ac:dyDescent="0.25">
      <c r="A609" t="s">
        <v>5306</v>
      </c>
      <c r="B609" t="s">
        <v>5307</v>
      </c>
      <c r="C609" t="s">
        <v>5307</v>
      </c>
      <c r="D609" t="s">
        <v>35</v>
      </c>
      <c r="E609" t="s">
        <v>36</v>
      </c>
      <c r="F609" t="s">
        <v>5308</v>
      </c>
      <c r="G609" t="s">
        <v>255</v>
      </c>
      <c r="H609" t="s">
        <v>254</v>
      </c>
      <c r="I609" t="s">
        <v>255</v>
      </c>
      <c r="J609" t="s">
        <v>256</v>
      </c>
      <c r="K609" t="s">
        <v>255</v>
      </c>
      <c r="L609" t="s">
        <v>50</v>
      </c>
      <c r="M609" s="2">
        <v>203524.75</v>
      </c>
      <c r="N609" t="s">
        <v>5311</v>
      </c>
      <c r="O609" t="s">
        <v>52</v>
      </c>
      <c r="P609" t="str">
        <f>CONCATENATE("'",Tabla1[[#This Row],[Codigo]],"',")</f>
        <v>'01119',</v>
      </c>
    </row>
    <row r="610" spans="1:16" x14ac:dyDescent="0.25">
      <c r="A610" t="s">
        <v>5312</v>
      </c>
      <c r="B610" t="s">
        <v>5313</v>
      </c>
      <c r="C610" t="s">
        <v>5313</v>
      </c>
      <c r="D610" t="s">
        <v>553</v>
      </c>
      <c r="E610" t="s">
        <v>167</v>
      </c>
      <c r="F610" t="s">
        <v>5314</v>
      </c>
      <c r="G610" t="s">
        <v>665</v>
      </c>
      <c r="H610" t="s">
        <v>664</v>
      </c>
      <c r="I610" t="s">
        <v>665</v>
      </c>
      <c r="J610" t="s">
        <v>103</v>
      </c>
      <c r="K610" t="s">
        <v>104</v>
      </c>
      <c r="L610" t="s">
        <v>50</v>
      </c>
      <c r="M610" s="2">
        <v>129341.05</v>
      </c>
      <c r="N610" t="s">
        <v>5316</v>
      </c>
      <c r="O610" t="s">
        <v>52</v>
      </c>
      <c r="P610" t="str">
        <f>CONCATENATE("'",Tabla1[[#This Row],[Codigo]],"',")</f>
        <v>'01120',</v>
      </c>
    </row>
    <row r="611" spans="1:16" x14ac:dyDescent="0.25">
      <c r="A611" t="s">
        <v>5317</v>
      </c>
      <c r="B611" t="s">
        <v>5318</v>
      </c>
      <c r="C611" t="s">
        <v>5318</v>
      </c>
      <c r="D611" t="s">
        <v>153</v>
      </c>
      <c r="E611" t="s">
        <v>272</v>
      </c>
      <c r="F611" t="s">
        <v>5319</v>
      </c>
      <c r="G611" t="s">
        <v>255</v>
      </c>
      <c r="H611" t="s">
        <v>254</v>
      </c>
      <c r="I611" t="s">
        <v>255</v>
      </c>
      <c r="J611" t="s">
        <v>256</v>
      </c>
      <c r="K611" t="s">
        <v>255</v>
      </c>
      <c r="L611" t="s">
        <v>50</v>
      </c>
      <c r="M611" s="2">
        <v>41846.15</v>
      </c>
      <c r="N611" t="s">
        <v>5322</v>
      </c>
      <c r="O611" t="s">
        <v>115</v>
      </c>
      <c r="P611" t="str">
        <f>CONCATENATE("'",Tabla1[[#This Row],[Codigo]],"',")</f>
        <v>'01121',</v>
      </c>
    </row>
    <row r="612" spans="1:16" x14ac:dyDescent="0.25">
      <c r="A612" t="s">
        <v>5325</v>
      </c>
      <c r="B612" t="s">
        <v>15159</v>
      </c>
      <c r="C612" t="s">
        <v>5326</v>
      </c>
      <c r="D612" t="s">
        <v>153</v>
      </c>
      <c r="E612" t="s">
        <v>272</v>
      </c>
      <c r="F612" t="s">
        <v>4954</v>
      </c>
      <c r="G612" t="s">
        <v>1123</v>
      </c>
      <c r="H612" t="s">
        <v>1125</v>
      </c>
      <c r="I612" t="s">
        <v>1123</v>
      </c>
      <c r="J612" t="s">
        <v>158</v>
      </c>
      <c r="K612" t="s">
        <v>159</v>
      </c>
      <c r="L612" t="s">
        <v>50</v>
      </c>
      <c r="M612" s="2">
        <v>145380.73000000001</v>
      </c>
      <c r="N612" t="s">
        <v>5328</v>
      </c>
      <c r="O612" t="s">
        <v>52</v>
      </c>
      <c r="P612" t="str">
        <f>CONCATENATE("'",Tabla1[[#This Row],[Codigo]],"',")</f>
        <v>'01123',</v>
      </c>
    </row>
    <row r="613" spans="1:16" x14ac:dyDescent="0.25">
      <c r="A613" t="s">
        <v>5329</v>
      </c>
      <c r="B613" t="s">
        <v>5330</v>
      </c>
      <c r="C613" t="s">
        <v>5330</v>
      </c>
      <c r="D613" t="s">
        <v>478</v>
      </c>
      <c r="E613" t="s">
        <v>190</v>
      </c>
      <c r="F613" t="s">
        <v>5331</v>
      </c>
      <c r="G613" t="s">
        <v>4302</v>
      </c>
      <c r="H613" t="s">
        <v>4301</v>
      </c>
      <c r="I613" t="s">
        <v>4302</v>
      </c>
      <c r="J613" t="s">
        <v>158</v>
      </c>
      <c r="K613" t="s">
        <v>159</v>
      </c>
      <c r="L613" t="s">
        <v>50</v>
      </c>
      <c r="M613" s="2">
        <v>1933713.76</v>
      </c>
      <c r="N613" t="s">
        <v>5334</v>
      </c>
      <c r="P613" t="str">
        <f>CONCATENATE("'",Tabla1[[#This Row],[Codigo]],"',")</f>
        <v>'01124',</v>
      </c>
    </row>
    <row r="614" spans="1:16" x14ac:dyDescent="0.25">
      <c r="A614" t="s">
        <v>5339</v>
      </c>
      <c r="B614" t="s">
        <v>5340</v>
      </c>
      <c r="C614" t="s">
        <v>5340</v>
      </c>
      <c r="D614" t="s">
        <v>35</v>
      </c>
      <c r="E614" t="s">
        <v>36</v>
      </c>
      <c r="F614" t="s">
        <v>5341</v>
      </c>
      <c r="G614" t="s">
        <v>881</v>
      </c>
      <c r="H614" t="s">
        <v>883</v>
      </c>
      <c r="I614" t="s">
        <v>881</v>
      </c>
      <c r="J614" t="s">
        <v>158</v>
      </c>
      <c r="K614" t="s">
        <v>159</v>
      </c>
      <c r="L614" t="s">
        <v>50</v>
      </c>
      <c r="M614" s="2">
        <v>190776.76</v>
      </c>
      <c r="N614" t="s">
        <v>5344</v>
      </c>
      <c r="O614" t="s">
        <v>52</v>
      </c>
      <c r="P614" t="str">
        <f>CONCATENATE("'",Tabla1[[#This Row],[Codigo]],"',")</f>
        <v>'01126',</v>
      </c>
    </row>
    <row r="615" spans="1:16" x14ac:dyDescent="0.25">
      <c r="A615" t="s">
        <v>5345</v>
      </c>
      <c r="B615" t="s">
        <v>5346</v>
      </c>
      <c r="C615" t="s">
        <v>5346</v>
      </c>
      <c r="D615" t="s">
        <v>553</v>
      </c>
      <c r="E615" t="s">
        <v>167</v>
      </c>
      <c r="F615" t="s">
        <v>5347</v>
      </c>
      <c r="G615" t="s">
        <v>584</v>
      </c>
      <c r="H615" t="s">
        <v>585</v>
      </c>
      <c r="I615" t="s">
        <v>584</v>
      </c>
      <c r="J615" t="s">
        <v>158</v>
      </c>
      <c r="K615" t="s">
        <v>159</v>
      </c>
      <c r="L615" t="s">
        <v>50</v>
      </c>
      <c r="M615" s="2">
        <v>1079023.8400000001</v>
      </c>
      <c r="N615" t="s">
        <v>5349</v>
      </c>
      <c r="P615" t="str">
        <f>CONCATENATE("'",Tabla1[[#This Row],[Codigo]],"',")</f>
        <v>'01127',</v>
      </c>
    </row>
    <row r="616" spans="1:16" x14ac:dyDescent="0.25">
      <c r="A616" t="s">
        <v>5350</v>
      </c>
      <c r="B616" t="s">
        <v>5351</v>
      </c>
      <c r="C616" t="s">
        <v>5351</v>
      </c>
      <c r="D616" t="s">
        <v>569</v>
      </c>
      <c r="E616" t="s">
        <v>570</v>
      </c>
      <c r="F616" t="s">
        <v>5352</v>
      </c>
      <c r="G616" t="s">
        <v>90</v>
      </c>
      <c r="H616" t="s">
        <v>89</v>
      </c>
      <c r="I616" t="s">
        <v>90</v>
      </c>
      <c r="J616" t="s">
        <v>91</v>
      </c>
      <c r="K616" t="s">
        <v>92</v>
      </c>
      <c r="L616" t="s">
        <v>50</v>
      </c>
      <c r="M616" s="2">
        <v>962792.92</v>
      </c>
      <c r="N616" t="s">
        <v>5355</v>
      </c>
      <c r="O616" t="s">
        <v>52</v>
      </c>
      <c r="P616" t="str">
        <f>CONCATENATE("'",Tabla1[[#This Row],[Codigo]],"',")</f>
        <v>'01128',</v>
      </c>
    </row>
    <row r="617" spans="1:16" x14ac:dyDescent="0.25">
      <c r="A617" t="s">
        <v>5359</v>
      </c>
      <c r="B617" t="s">
        <v>5360</v>
      </c>
      <c r="C617" t="s">
        <v>5360</v>
      </c>
      <c r="D617" t="s">
        <v>569</v>
      </c>
      <c r="E617" t="s">
        <v>570</v>
      </c>
      <c r="F617" t="s">
        <v>5361</v>
      </c>
      <c r="G617" t="s">
        <v>597</v>
      </c>
      <c r="H617" t="s">
        <v>596</v>
      </c>
      <c r="I617" t="s">
        <v>597</v>
      </c>
      <c r="J617" t="s">
        <v>91</v>
      </c>
      <c r="K617" t="s">
        <v>92</v>
      </c>
      <c r="L617" t="s">
        <v>50</v>
      </c>
      <c r="M617" s="2">
        <v>430580.8</v>
      </c>
      <c r="N617" t="s">
        <v>5364</v>
      </c>
      <c r="O617" t="s">
        <v>115</v>
      </c>
      <c r="P617" t="str">
        <f>CONCATENATE("'",Tabla1[[#This Row],[Codigo]],"',")</f>
        <v>'01130',</v>
      </c>
    </row>
    <row r="618" spans="1:16" x14ac:dyDescent="0.25">
      <c r="A618" t="s">
        <v>5365</v>
      </c>
      <c r="B618" t="s">
        <v>5366</v>
      </c>
      <c r="C618" t="s">
        <v>5366</v>
      </c>
      <c r="D618" t="s">
        <v>153</v>
      </c>
      <c r="E618" t="s">
        <v>272</v>
      </c>
      <c r="F618" t="s">
        <v>5367</v>
      </c>
      <c r="G618" t="s">
        <v>277</v>
      </c>
      <c r="H618" t="s">
        <v>276</v>
      </c>
      <c r="I618" t="s">
        <v>277</v>
      </c>
      <c r="J618" t="s">
        <v>103</v>
      </c>
      <c r="K618" t="s">
        <v>104</v>
      </c>
      <c r="L618" t="s">
        <v>50</v>
      </c>
      <c r="M618" s="2">
        <v>90558.64</v>
      </c>
      <c r="N618" t="s">
        <v>5370</v>
      </c>
      <c r="O618" t="s">
        <v>52</v>
      </c>
      <c r="P618" t="str">
        <f>CONCATENATE("'",Tabla1[[#This Row],[Codigo]],"',")</f>
        <v>'01131',</v>
      </c>
    </row>
    <row r="619" spans="1:16" x14ac:dyDescent="0.25">
      <c r="A619" t="s">
        <v>5371</v>
      </c>
      <c r="B619" t="s">
        <v>5372</v>
      </c>
      <c r="C619" t="s">
        <v>5372</v>
      </c>
      <c r="D619" t="s">
        <v>773</v>
      </c>
      <c r="E619" t="s">
        <v>224</v>
      </c>
      <c r="F619" t="s">
        <v>5373</v>
      </c>
      <c r="G619" t="s">
        <v>820</v>
      </c>
      <c r="H619" t="s">
        <v>822</v>
      </c>
      <c r="I619" t="s">
        <v>820</v>
      </c>
      <c r="J619" t="s">
        <v>91</v>
      </c>
      <c r="K619" t="s">
        <v>92</v>
      </c>
      <c r="L619" t="s">
        <v>50</v>
      </c>
      <c r="M619" s="2">
        <v>341298.45</v>
      </c>
      <c r="N619" t="s">
        <v>5375</v>
      </c>
      <c r="P619" t="str">
        <f>CONCATENATE("'",Tabla1[[#This Row],[Codigo]],"',")</f>
        <v>'01132',</v>
      </c>
    </row>
    <row r="620" spans="1:16" x14ac:dyDescent="0.25">
      <c r="A620" t="s">
        <v>5376</v>
      </c>
      <c r="B620" t="s">
        <v>5377</v>
      </c>
      <c r="C620" t="s">
        <v>5220</v>
      </c>
      <c r="D620" t="s">
        <v>35</v>
      </c>
      <c r="E620" t="s">
        <v>36</v>
      </c>
      <c r="F620" t="s">
        <v>2862</v>
      </c>
      <c r="G620" t="s">
        <v>38</v>
      </c>
      <c r="H620" t="s">
        <v>40</v>
      </c>
      <c r="I620" t="s">
        <v>41</v>
      </c>
      <c r="J620" t="s">
        <v>61</v>
      </c>
      <c r="K620" t="s">
        <v>62</v>
      </c>
      <c r="L620" t="s">
        <v>50</v>
      </c>
      <c r="M620" s="2">
        <v>404351.37</v>
      </c>
      <c r="N620" t="s">
        <v>5379</v>
      </c>
      <c r="O620" t="s">
        <v>52</v>
      </c>
      <c r="P620" t="str">
        <f>CONCATENATE("'",Tabla1[[#This Row],[Codigo]],"',")</f>
        <v>'01133',</v>
      </c>
    </row>
    <row r="621" spans="1:16" x14ac:dyDescent="0.25">
      <c r="A621" t="s">
        <v>5383</v>
      </c>
      <c r="B621" t="s">
        <v>5384</v>
      </c>
      <c r="C621" t="s">
        <v>1751</v>
      </c>
      <c r="D621" t="s">
        <v>35</v>
      </c>
      <c r="E621" t="s">
        <v>36</v>
      </c>
      <c r="F621" t="s">
        <v>5385</v>
      </c>
      <c r="G621" t="s">
        <v>327</v>
      </c>
      <c r="H621" t="s">
        <v>326</v>
      </c>
      <c r="I621" t="s">
        <v>327</v>
      </c>
      <c r="J621" t="s">
        <v>120</v>
      </c>
      <c r="K621" t="s">
        <v>121</v>
      </c>
      <c r="L621" t="s">
        <v>50</v>
      </c>
      <c r="M621" s="2">
        <v>131708.73000000001</v>
      </c>
      <c r="N621" t="s">
        <v>5388</v>
      </c>
      <c r="O621" t="s">
        <v>115</v>
      </c>
      <c r="P621" t="str">
        <f>CONCATENATE("'",Tabla1[[#This Row],[Codigo]],"',")</f>
        <v>'01136',</v>
      </c>
    </row>
    <row r="622" spans="1:16" x14ac:dyDescent="0.25">
      <c r="A622" t="s">
        <v>5391</v>
      </c>
      <c r="B622" t="s">
        <v>5392</v>
      </c>
      <c r="C622" t="s">
        <v>5392</v>
      </c>
      <c r="D622" t="s">
        <v>125</v>
      </c>
      <c r="E622" t="s">
        <v>126</v>
      </c>
      <c r="F622" t="s">
        <v>5393</v>
      </c>
      <c r="G622" t="s">
        <v>255</v>
      </c>
      <c r="H622" t="s">
        <v>254</v>
      </c>
      <c r="I622" t="s">
        <v>255</v>
      </c>
      <c r="J622" t="s">
        <v>3534</v>
      </c>
      <c r="K622" t="s">
        <v>3535</v>
      </c>
      <c r="L622" t="s">
        <v>50</v>
      </c>
      <c r="M622" s="2">
        <v>50306.03</v>
      </c>
      <c r="N622" t="s">
        <v>5396</v>
      </c>
      <c r="O622" t="s">
        <v>52</v>
      </c>
      <c r="P622" t="str">
        <f>CONCATENATE("'",Tabla1[[#This Row],[Codigo]],"',")</f>
        <v>'01138',</v>
      </c>
    </row>
    <row r="623" spans="1:16" x14ac:dyDescent="0.25">
      <c r="A623" t="s">
        <v>5399</v>
      </c>
      <c r="B623" t="s">
        <v>15160</v>
      </c>
      <c r="C623" t="s">
        <v>5400</v>
      </c>
      <c r="D623" t="s">
        <v>299</v>
      </c>
      <c r="E623" t="s">
        <v>167</v>
      </c>
      <c r="F623" t="s">
        <v>5401</v>
      </c>
      <c r="G623" t="s">
        <v>932</v>
      </c>
      <c r="H623" t="s">
        <v>933</v>
      </c>
      <c r="I623" t="s">
        <v>932</v>
      </c>
      <c r="J623" t="s">
        <v>103</v>
      </c>
      <c r="K623" t="s">
        <v>104</v>
      </c>
      <c r="L623" t="s">
        <v>50</v>
      </c>
      <c r="M623" s="2">
        <v>96834.46</v>
      </c>
      <c r="N623" t="s">
        <v>5403</v>
      </c>
      <c r="O623" t="s">
        <v>52</v>
      </c>
      <c r="P623" t="str">
        <f>CONCATENATE("'",Tabla1[[#This Row],[Codigo]],"',")</f>
        <v>'01141',</v>
      </c>
    </row>
    <row r="624" spans="1:16" x14ac:dyDescent="0.25">
      <c r="A624" t="s">
        <v>5404</v>
      </c>
      <c r="B624" t="s">
        <v>5405</v>
      </c>
      <c r="C624" t="s">
        <v>5405</v>
      </c>
      <c r="D624" t="s">
        <v>153</v>
      </c>
      <c r="E624" t="s">
        <v>272</v>
      </c>
      <c r="F624" t="s">
        <v>5406</v>
      </c>
      <c r="G624" t="s">
        <v>1222</v>
      </c>
      <c r="H624" t="s">
        <v>1221</v>
      </c>
      <c r="I624" t="s">
        <v>1222</v>
      </c>
      <c r="J624" t="s">
        <v>205</v>
      </c>
      <c r="K624" t="s">
        <v>206</v>
      </c>
      <c r="L624" t="s">
        <v>50</v>
      </c>
      <c r="M624" s="2">
        <v>74421.69</v>
      </c>
      <c r="N624" t="s">
        <v>5409</v>
      </c>
      <c r="O624" t="s">
        <v>52</v>
      </c>
      <c r="P624" t="str">
        <f>CONCATENATE("'",Tabla1[[#This Row],[Codigo]],"',")</f>
        <v>'01142',</v>
      </c>
    </row>
    <row r="625" spans="1:16" x14ac:dyDescent="0.25">
      <c r="A625" t="s">
        <v>5410</v>
      </c>
      <c r="B625" t="s">
        <v>5411</v>
      </c>
      <c r="C625" t="s">
        <v>5411</v>
      </c>
      <c r="D625" t="s">
        <v>498</v>
      </c>
      <c r="E625" t="s">
        <v>190</v>
      </c>
      <c r="F625" t="s">
        <v>5412</v>
      </c>
      <c r="G625" t="s">
        <v>90</v>
      </c>
      <c r="H625" t="s">
        <v>89</v>
      </c>
      <c r="I625" t="s">
        <v>90</v>
      </c>
      <c r="J625" t="s">
        <v>91</v>
      </c>
      <c r="K625" t="s">
        <v>92</v>
      </c>
      <c r="L625" t="s">
        <v>50</v>
      </c>
      <c r="M625" s="2">
        <v>95036.59</v>
      </c>
      <c r="N625" t="s">
        <v>5414</v>
      </c>
      <c r="O625" t="s">
        <v>115</v>
      </c>
      <c r="P625" t="str">
        <f>CONCATENATE("'",Tabla1[[#This Row],[Codigo]],"',")</f>
        <v>'01143',</v>
      </c>
    </row>
    <row r="626" spans="1:16" x14ac:dyDescent="0.25">
      <c r="A626" t="s">
        <v>5415</v>
      </c>
      <c r="B626" t="s">
        <v>5416</v>
      </c>
      <c r="C626" t="s">
        <v>5416</v>
      </c>
      <c r="D626" t="s">
        <v>125</v>
      </c>
      <c r="E626" t="s">
        <v>126</v>
      </c>
      <c r="F626" t="s">
        <v>5417</v>
      </c>
      <c r="G626" t="s">
        <v>932</v>
      </c>
      <c r="H626" t="s">
        <v>933</v>
      </c>
      <c r="I626" t="s">
        <v>932</v>
      </c>
      <c r="J626" t="s">
        <v>103</v>
      </c>
      <c r="K626" t="s">
        <v>104</v>
      </c>
      <c r="L626" t="s">
        <v>50</v>
      </c>
      <c r="M626" s="2">
        <v>832754.79</v>
      </c>
      <c r="N626" t="s">
        <v>5419</v>
      </c>
      <c r="O626" t="s">
        <v>52</v>
      </c>
      <c r="P626" t="str">
        <f>CONCATENATE("'",Tabla1[[#This Row],[Codigo]],"',")</f>
        <v>'01144',</v>
      </c>
    </row>
    <row r="627" spans="1:16" x14ac:dyDescent="0.25">
      <c r="A627" t="s">
        <v>5420</v>
      </c>
      <c r="B627" t="s">
        <v>5421</v>
      </c>
      <c r="C627" t="s">
        <v>5421</v>
      </c>
      <c r="D627" t="s">
        <v>888</v>
      </c>
      <c r="E627" t="s">
        <v>167</v>
      </c>
      <c r="F627" t="s">
        <v>5422</v>
      </c>
      <c r="G627" t="s">
        <v>1123</v>
      </c>
      <c r="H627" t="s">
        <v>1125</v>
      </c>
      <c r="I627" t="s">
        <v>1123</v>
      </c>
      <c r="J627" t="s">
        <v>158</v>
      </c>
      <c r="K627" t="s">
        <v>159</v>
      </c>
      <c r="L627" t="s">
        <v>50</v>
      </c>
      <c r="M627" s="2">
        <v>194630.99</v>
      </c>
      <c r="N627" t="s">
        <v>5425</v>
      </c>
      <c r="P627" t="str">
        <f>CONCATENATE("'",Tabla1[[#This Row],[Codigo]],"',")</f>
        <v>'01145',</v>
      </c>
    </row>
    <row r="628" spans="1:16" x14ac:dyDescent="0.25">
      <c r="A628" t="s">
        <v>5426</v>
      </c>
      <c r="B628" t="s">
        <v>5427</v>
      </c>
      <c r="C628" t="s">
        <v>5427</v>
      </c>
      <c r="D628" t="s">
        <v>264</v>
      </c>
      <c r="E628" t="s">
        <v>134</v>
      </c>
      <c r="F628" t="s">
        <v>5428</v>
      </c>
      <c r="G628" t="s">
        <v>41</v>
      </c>
      <c r="H628" t="s">
        <v>40</v>
      </c>
      <c r="I628" t="s">
        <v>41</v>
      </c>
      <c r="J628" t="s">
        <v>61</v>
      </c>
      <c r="K628" t="s">
        <v>62</v>
      </c>
      <c r="L628" t="s">
        <v>50</v>
      </c>
      <c r="M628" s="2">
        <v>87268</v>
      </c>
      <c r="N628" t="s">
        <v>64</v>
      </c>
      <c r="P628" t="str">
        <f>CONCATENATE("'",Tabla1[[#This Row],[Codigo]],"',")</f>
        <v>'01146',</v>
      </c>
    </row>
    <row r="629" spans="1:16" x14ac:dyDescent="0.25">
      <c r="A629" t="s">
        <v>5431</v>
      </c>
      <c r="B629" t="s">
        <v>5432</v>
      </c>
      <c r="C629" t="s">
        <v>5432</v>
      </c>
      <c r="D629" t="s">
        <v>153</v>
      </c>
      <c r="E629" t="s">
        <v>272</v>
      </c>
      <c r="F629" t="s">
        <v>5433</v>
      </c>
      <c r="G629" t="s">
        <v>1222</v>
      </c>
      <c r="H629" t="s">
        <v>1221</v>
      </c>
      <c r="I629" t="s">
        <v>1222</v>
      </c>
      <c r="J629" t="s">
        <v>205</v>
      </c>
      <c r="K629" t="s">
        <v>206</v>
      </c>
      <c r="L629" t="s">
        <v>50</v>
      </c>
      <c r="M629" s="2">
        <v>457098.95</v>
      </c>
      <c r="N629" t="s">
        <v>5435</v>
      </c>
      <c r="O629" t="s">
        <v>52</v>
      </c>
      <c r="P629" t="str">
        <f>CONCATENATE("'",Tabla1[[#This Row],[Codigo]],"',")</f>
        <v>'01147',</v>
      </c>
    </row>
    <row r="630" spans="1:16" x14ac:dyDescent="0.25">
      <c r="A630" t="s">
        <v>5440</v>
      </c>
      <c r="B630" t="s">
        <v>5441</v>
      </c>
      <c r="C630" t="s">
        <v>5441</v>
      </c>
      <c r="D630" t="s">
        <v>297</v>
      </c>
      <c r="E630" t="s">
        <v>167</v>
      </c>
      <c r="F630" t="s">
        <v>5442</v>
      </c>
      <c r="G630" t="s">
        <v>622</v>
      </c>
      <c r="H630" t="s">
        <v>624</v>
      </c>
      <c r="I630" t="s">
        <v>622</v>
      </c>
      <c r="J630" t="s">
        <v>91</v>
      </c>
      <c r="K630" t="s">
        <v>92</v>
      </c>
      <c r="L630" t="s">
        <v>50</v>
      </c>
      <c r="M630" s="2">
        <v>208017.7</v>
      </c>
      <c r="N630" t="s">
        <v>5445</v>
      </c>
      <c r="O630" t="s">
        <v>115</v>
      </c>
      <c r="P630" t="str">
        <f>CONCATENATE("'",Tabla1[[#This Row],[Codigo]],"',")</f>
        <v>'01149',</v>
      </c>
    </row>
    <row r="631" spans="1:16" x14ac:dyDescent="0.25">
      <c r="A631" t="s">
        <v>5447</v>
      </c>
      <c r="B631" t="s">
        <v>5448</v>
      </c>
      <c r="C631" t="s">
        <v>5448</v>
      </c>
      <c r="D631" t="s">
        <v>125</v>
      </c>
      <c r="E631" t="s">
        <v>126</v>
      </c>
      <c r="F631" t="s">
        <v>5449</v>
      </c>
      <c r="G631" t="s">
        <v>446</v>
      </c>
      <c r="H631" t="s">
        <v>445</v>
      </c>
      <c r="I631" t="s">
        <v>446</v>
      </c>
      <c r="J631" t="s">
        <v>69</v>
      </c>
      <c r="K631" t="s">
        <v>70</v>
      </c>
      <c r="L631" t="s">
        <v>50</v>
      </c>
      <c r="M631" s="2">
        <v>2334641.27</v>
      </c>
      <c r="N631" t="s">
        <v>5452</v>
      </c>
      <c r="O631" t="s">
        <v>52</v>
      </c>
      <c r="P631" t="str">
        <f>CONCATENATE("'",Tabla1[[#This Row],[Codigo]],"',")</f>
        <v>'01151',</v>
      </c>
    </row>
    <row r="632" spans="1:16" x14ac:dyDescent="0.25">
      <c r="A632" t="s">
        <v>5458</v>
      </c>
      <c r="B632" t="s">
        <v>5459</v>
      </c>
      <c r="C632" t="s">
        <v>5459</v>
      </c>
      <c r="D632" t="s">
        <v>299</v>
      </c>
      <c r="E632" t="s">
        <v>167</v>
      </c>
      <c r="F632" t="s">
        <v>5460</v>
      </c>
      <c r="G632" t="s">
        <v>932</v>
      </c>
      <c r="H632" t="s">
        <v>933</v>
      </c>
      <c r="I632" t="s">
        <v>932</v>
      </c>
      <c r="J632" t="s">
        <v>103</v>
      </c>
      <c r="K632" t="s">
        <v>104</v>
      </c>
      <c r="L632" t="s">
        <v>50</v>
      </c>
      <c r="M632" s="2">
        <v>153268.84</v>
      </c>
      <c r="N632" t="s">
        <v>5463</v>
      </c>
      <c r="O632" t="s">
        <v>52</v>
      </c>
      <c r="P632" t="str">
        <f>CONCATENATE("'",Tabla1[[#This Row],[Codigo]],"',")</f>
        <v>'01153',</v>
      </c>
    </row>
    <row r="633" spans="1:16" x14ac:dyDescent="0.25">
      <c r="A633" t="s">
        <v>5464</v>
      </c>
      <c r="B633" t="s">
        <v>5465</v>
      </c>
      <c r="C633" t="s">
        <v>5465</v>
      </c>
      <c r="D633" t="s">
        <v>3472</v>
      </c>
      <c r="E633" t="s">
        <v>871</v>
      </c>
      <c r="F633" t="s">
        <v>5466</v>
      </c>
      <c r="G633" t="s">
        <v>5467</v>
      </c>
      <c r="H633" t="s">
        <v>5469</v>
      </c>
      <c r="I633" t="s">
        <v>5467</v>
      </c>
      <c r="J633" t="s">
        <v>256</v>
      </c>
      <c r="K633" t="s">
        <v>255</v>
      </c>
      <c r="L633" t="s">
        <v>50</v>
      </c>
      <c r="M633" s="2">
        <v>22756</v>
      </c>
      <c r="N633" t="s">
        <v>64</v>
      </c>
      <c r="P633" t="str">
        <f>CONCATENATE("'",Tabla1[[#This Row],[Codigo]],"',")</f>
        <v>'01154',</v>
      </c>
    </row>
    <row r="634" spans="1:16" x14ac:dyDescent="0.25">
      <c r="A634" t="s">
        <v>5471</v>
      </c>
      <c r="B634" t="s">
        <v>5472</v>
      </c>
      <c r="C634" t="s">
        <v>5472</v>
      </c>
      <c r="D634" t="s">
        <v>297</v>
      </c>
      <c r="E634" t="s">
        <v>167</v>
      </c>
      <c r="F634" t="s">
        <v>5473</v>
      </c>
      <c r="G634" t="s">
        <v>255</v>
      </c>
      <c r="H634" t="s">
        <v>254</v>
      </c>
      <c r="I634" t="s">
        <v>255</v>
      </c>
      <c r="J634" t="s">
        <v>256</v>
      </c>
      <c r="K634" t="s">
        <v>255</v>
      </c>
      <c r="L634" t="s">
        <v>50</v>
      </c>
      <c r="M634" s="2">
        <v>4105.63</v>
      </c>
      <c r="N634" t="s">
        <v>5476</v>
      </c>
      <c r="O634" t="s">
        <v>52</v>
      </c>
      <c r="P634" t="str">
        <f>CONCATENATE("'",Tabla1[[#This Row],[Codigo]],"',")</f>
        <v>'01155',</v>
      </c>
    </row>
    <row r="635" spans="1:16" x14ac:dyDescent="0.25">
      <c r="A635" t="s">
        <v>5477</v>
      </c>
      <c r="B635" t="s">
        <v>5478</v>
      </c>
      <c r="C635" t="s">
        <v>5478</v>
      </c>
      <c r="D635" t="s">
        <v>888</v>
      </c>
      <c r="E635" t="s">
        <v>167</v>
      </c>
      <c r="F635" t="s">
        <v>5479</v>
      </c>
      <c r="G635" t="s">
        <v>255</v>
      </c>
      <c r="H635" t="s">
        <v>254</v>
      </c>
      <c r="I635" t="s">
        <v>255</v>
      </c>
      <c r="J635" t="s">
        <v>256</v>
      </c>
      <c r="K635" t="s">
        <v>255</v>
      </c>
      <c r="L635" t="s">
        <v>50</v>
      </c>
      <c r="M635" s="2">
        <v>218170</v>
      </c>
      <c r="N635" t="s">
        <v>64</v>
      </c>
      <c r="P635" t="str">
        <f>CONCATENATE("'",Tabla1[[#This Row],[Codigo]],"',")</f>
        <v>'01156',</v>
      </c>
    </row>
    <row r="636" spans="1:16" x14ac:dyDescent="0.25">
      <c r="A636" t="s">
        <v>5482</v>
      </c>
      <c r="B636" t="s">
        <v>5483</v>
      </c>
      <c r="C636" t="s">
        <v>5483</v>
      </c>
      <c r="D636" t="s">
        <v>792</v>
      </c>
      <c r="E636" t="s">
        <v>190</v>
      </c>
      <c r="F636" t="s">
        <v>5484</v>
      </c>
      <c r="G636" t="s">
        <v>1360</v>
      </c>
      <c r="H636" t="s">
        <v>1362</v>
      </c>
      <c r="I636" t="s">
        <v>1360</v>
      </c>
      <c r="J636" t="s">
        <v>1212</v>
      </c>
      <c r="K636" t="s">
        <v>1213</v>
      </c>
      <c r="L636" t="s">
        <v>50</v>
      </c>
      <c r="M636" s="2">
        <v>261866.53</v>
      </c>
      <c r="N636" t="s">
        <v>5487</v>
      </c>
      <c r="O636" t="s">
        <v>52</v>
      </c>
      <c r="P636" t="str">
        <f>CONCATENATE("'",Tabla1[[#This Row],[Codigo]],"',")</f>
        <v>'01157',</v>
      </c>
    </row>
    <row r="637" spans="1:16" x14ac:dyDescent="0.25">
      <c r="A637" t="s">
        <v>5488</v>
      </c>
      <c r="B637" t="s">
        <v>5489</v>
      </c>
      <c r="C637" t="s">
        <v>5489</v>
      </c>
      <c r="D637" t="s">
        <v>35</v>
      </c>
      <c r="E637" t="s">
        <v>36</v>
      </c>
      <c r="F637" t="s">
        <v>5490</v>
      </c>
      <c r="G637" t="s">
        <v>255</v>
      </c>
      <c r="H637" t="s">
        <v>254</v>
      </c>
      <c r="I637" t="s">
        <v>255</v>
      </c>
      <c r="J637" t="s">
        <v>256</v>
      </c>
      <c r="K637" t="s">
        <v>255</v>
      </c>
      <c r="L637" t="s">
        <v>50</v>
      </c>
      <c r="M637" s="2">
        <v>35427.94</v>
      </c>
      <c r="N637" t="s">
        <v>5493</v>
      </c>
      <c r="O637" t="s">
        <v>115</v>
      </c>
      <c r="P637" t="str">
        <f>CONCATENATE("'",Tabla1[[#This Row],[Codigo]],"',")</f>
        <v>'01158',</v>
      </c>
    </row>
    <row r="638" spans="1:16" x14ac:dyDescent="0.25">
      <c r="A638" t="s">
        <v>5494</v>
      </c>
      <c r="B638" t="s">
        <v>15161</v>
      </c>
      <c r="C638" t="s">
        <v>5495</v>
      </c>
      <c r="D638" t="s">
        <v>153</v>
      </c>
      <c r="E638" t="s">
        <v>272</v>
      </c>
      <c r="F638" t="s">
        <v>4931</v>
      </c>
      <c r="G638" t="s">
        <v>2647</v>
      </c>
      <c r="H638" t="s">
        <v>1362</v>
      </c>
      <c r="I638" t="s">
        <v>1360</v>
      </c>
      <c r="J638" t="s">
        <v>1421</v>
      </c>
      <c r="K638" t="s">
        <v>1422</v>
      </c>
      <c r="L638" t="s">
        <v>50</v>
      </c>
      <c r="M638" s="2">
        <v>529798.48</v>
      </c>
      <c r="N638" t="s">
        <v>5497</v>
      </c>
      <c r="O638" t="s">
        <v>115</v>
      </c>
      <c r="P638" t="str">
        <f>CONCATENATE("'",Tabla1[[#This Row],[Codigo]],"',")</f>
        <v>'01159',</v>
      </c>
    </row>
    <row r="639" spans="1:16" x14ac:dyDescent="0.25">
      <c r="A639" t="s">
        <v>5498</v>
      </c>
      <c r="B639" t="s">
        <v>5499</v>
      </c>
      <c r="C639" t="s">
        <v>5499</v>
      </c>
      <c r="D639" t="s">
        <v>1734</v>
      </c>
      <c r="E639" t="s">
        <v>224</v>
      </c>
      <c r="F639" t="s">
        <v>5500</v>
      </c>
      <c r="G639" t="s">
        <v>1723</v>
      </c>
      <c r="H639" t="s">
        <v>1725</v>
      </c>
      <c r="I639" t="s">
        <v>1723</v>
      </c>
      <c r="J639" t="s">
        <v>120</v>
      </c>
      <c r="K639" t="s">
        <v>121</v>
      </c>
      <c r="L639" t="s">
        <v>50</v>
      </c>
      <c r="M639" s="2">
        <v>2613341.64</v>
      </c>
      <c r="N639" t="s">
        <v>5503</v>
      </c>
      <c r="P639" t="str">
        <f>CONCATENATE("'",Tabla1[[#This Row],[Codigo]],"',")</f>
        <v>'01160',</v>
      </c>
    </row>
    <row r="640" spans="1:16" x14ac:dyDescent="0.25">
      <c r="A640" t="s">
        <v>5510</v>
      </c>
      <c r="B640" t="s">
        <v>5511</v>
      </c>
      <c r="C640" t="s">
        <v>5512</v>
      </c>
      <c r="D640" t="s">
        <v>153</v>
      </c>
      <c r="E640" t="s">
        <v>272</v>
      </c>
      <c r="F640" t="s">
        <v>3089</v>
      </c>
      <c r="G640" t="s">
        <v>361</v>
      </c>
      <c r="H640" t="s">
        <v>360</v>
      </c>
      <c r="I640" t="s">
        <v>361</v>
      </c>
      <c r="J640" t="s">
        <v>61</v>
      </c>
      <c r="K640" t="s">
        <v>62</v>
      </c>
      <c r="L640" t="s">
        <v>50</v>
      </c>
      <c r="M640" s="2">
        <v>277222.84999999998</v>
      </c>
      <c r="N640" t="s">
        <v>5513</v>
      </c>
      <c r="P640" t="str">
        <f>CONCATENATE("'",Tabla1[[#This Row],[Codigo]],"',")</f>
        <v>'01163',</v>
      </c>
    </row>
    <row r="641" spans="1:16" x14ac:dyDescent="0.25">
      <c r="A641" t="s">
        <v>5514</v>
      </c>
      <c r="B641" t="s">
        <v>5515</v>
      </c>
      <c r="C641" t="s">
        <v>5515</v>
      </c>
      <c r="D641" t="s">
        <v>153</v>
      </c>
      <c r="E641" t="s">
        <v>272</v>
      </c>
      <c r="F641" t="s">
        <v>5516</v>
      </c>
      <c r="G641" t="s">
        <v>41</v>
      </c>
      <c r="H641" t="s">
        <v>40</v>
      </c>
      <c r="I641" t="s">
        <v>41</v>
      </c>
      <c r="J641" t="s">
        <v>42</v>
      </c>
      <c r="K641" t="s">
        <v>43</v>
      </c>
      <c r="L641" t="s">
        <v>50</v>
      </c>
      <c r="M641" s="2">
        <v>16621.3</v>
      </c>
      <c r="N641" t="s">
        <v>5517</v>
      </c>
      <c r="P641" t="str">
        <f>CONCATENATE("'",Tabla1[[#This Row],[Codigo]],"',")</f>
        <v>'01164',</v>
      </c>
    </row>
    <row r="642" spans="1:16" x14ac:dyDescent="0.25">
      <c r="A642" t="s">
        <v>5520</v>
      </c>
      <c r="B642" t="s">
        <v>5521</v>
      </c>
      <c r="C642" t="s">
        <v>5521</v>
      </c>
      <c r="D642" t="s">
        <v>125</v>
      </c>
      <c r="E642" t="s">
        <v>126</v>
      </c>
      <c r="F642" t="s">
        <v>5522</v>
      </c>
      <c r="G642" t="s">
        <v>41</v>
      </c>
      <c r="H642" t="s">
        <v>40</v>
      </c>
      <c r="I642" t="s">
        <v>41</v>
      </c>
      <c r="J642" t="s">
        <v>61</v>
      </c>
      <c r="K642" t="s">
        <v>62</v>
      </c>
      <c r="L642" t="s">
        <v>50</v>
      </c>
      <c r="M642" s="2">
        <v>296890.69</v>
      </c>
      <c r="N642" t="s">
        <v>5525</v>
      </c>
      <c r="O642" t="s">
        <v>52</v>
      </c>
      <c r="P642" t="str">
        <f>CONCATENATE("'",Tabla1[[#This Row],[Codigo]],"',")</f>
        <v>'01167',</v>
      </c>
    </row>
    <row r="643" spans="1:16" x14ac:dyDescent="0.25">
      <c r="A643" t="s">
        <v>5526</v>
      </c>
      <c r="B643" t="s">
        <v>5527</v>
      </c>
      <c r="C643" t="s">
        <v>5527</v>
      </c>
      <c r="D643" t="s">
        <v>178</v>
      </c>
      <c r="E643" t="s">
        <v>179</v>
      </c>
      <c r="F643" t="s">
        <v>5528</v>
      </c>
      <c r="G643" t="s">
        <v>446</v>
      </c>
      <c r="H643" t="s">
        <v>445</v>
      </c>
      <c r="I643" t="s">
        <v>446</v>
      </c>
      <c r="J643" t="s">
        <v>69</v>
      </c>
      <c r="K643" t="s">
        <v>70</v>
      </c>
      <c r="L643" t="s">
        <v>50</v>
      </c>
      <c r="M643" s="2">
        <v>436571.56</v>
      </c>
      <c r="N643" t="s">
        <v>5531</v>
      </c>
      <c r="O643" t="s">
        <v>52</v>
      </c>
      <c r="P643" t="str">
        <f>CONCATENATE("'",Tabla1[[#This Row],[Codigo]],"',")</f>
        <v>'01168',</v>
      </c>
    </row>
    <row r="644" spans="1:16" x14ac:dyDescent="0.25">
      <c r="A644" t="s">
        <v>5538</v>
      </c>
      <c r="B644" t="s">
        <v>5539</v>
      </c>
      <c r="C644" t="s">
        <v>5539</v>
      </c>
      <c r="D644" t="s">
        <v>178</v>
      </c>
      <c r="E644" t="s">
        <v>179</v>
      </c>
      <c r="F644" t="s">
        <v>5540</v>
      </c>
      <c r="G644" t="s">
        <v>303</v>
      </c>
      <c r="H644" t="s">
        <v>302</v>
      </c>
      <c r="I644" t="s">
        <v>303</v>
      </c>
      <c r="J644" t="s">
        <v>304</v>
      </c>
      <c r="K644" t="s">
        <v>72</v>
      </c>
      <c r="L644" t="s">
        <v>50</v>
      </c>
      <c r="M644" s="2">
        <v>177910.97</v>
      </c>
      <c r="N644" t="s">
        <v>5543</v>
      </c>
      <c r="O644" t="s">
        <v>52</v>
      </c>
      <c r="P644" t="str">
        <f>CONCATENATE("'",Tabla1[[#This Row],[Codigo]],"',")</f>
        <v>'01171',</v>
      </c>
    </row>
    <row r="645" spans="1:16" x14ac:dyDescent="0.25">
      <c r="A645" t="s">
        <v>5548</v>
      </c>
      <c r="B645" t="s">
        <v>5549</v>
      </c>
      <c r="C645" t="s">
        <v>5550</v>
      </c>
      <c r="D645" t="s">
        <v>35</v>
      </c>
      <c r="E645" t="s">
        <v>36</v>
      </c>
      <c r="F645" t="s">
        <v>4730</v>
      </c>
      <c r="G645" t="s">
        <v>1123</v>
      </c>
      <c r="H645" t="s">
        <v>1125</v>
      </c>
      <c r="I645" t="s">
        <v>1123</v>
      </c>
      <c r="J645" t="s">
        <v>158</v>
      </c>
      <c r="K645" t="s">
        <v>159</v>
      </c>
      <c r="L645" t="s">
        <v>50</v>
      </c>
      <c r="M645" s="2">
        <v>477725.48</v>
      </c>
      <c r="N645" t="s">
        <v>5552</v>
      </c>
      <c r="O645" t="s">
        <v>115</v>
      </c>
      <c r="P645" t="str">
        <f>CONCATENATE("'",Tabla1[[#This Row],[Codigo]],"',")</f>
        <v>'01174',</v>
      </c>
    </row>
    <row r="646" spans="1:16" x14ac:dyDescent="0.25">
      <c r="A646" t="s">
        <v>5553</v>
      </c>
      <c r="B646" t="s">
        <v>5554</v>
      </c>
      <c r="C646" t="s">
        <v>4729</v>
      </c>
      <c r="D646" t="s">
        <v>498</v>
      </c>
      <c r="E646" t="s">
        <v>190</v>
      </c>
      <c r="F646" t="s">
        <v>4730</v>
      </c>
      <c r="G646" t="s">
        <v>1123</v>
      </c>
      <c r="H646" t="s">
        <v>1125</v>
      </c>
      <c r="I646" t="s">
        <v>1123</v>
      </c>
      <c r="J646" t="s">
        <v>158</v>
      </c>
      <c r="K646" t="s">
        <v>159</v>
      </c>
      <c r="L646" t="s">
        <v>50</v>
      </c>
      <c r="M646" s="2">
        <v>496076.9</v>
      </c>
      <c r="N646" t="s">
        <v>5556</v>
      </c>
      <c r="O646" t="s">
        <v>52</v>
      </c>
      <c r="P646" t="str">
        <f>CONCATENATE("'",Tabla1[[#This Row],[Codigo]],"',")</f>
        <v>'01175',</v>
      </c>
    </row>
    <row r="647" spans="1:16" x14ac:dyDescent="0.25">
      <c r="A647" t="s">
        <v>5558</v>
      </c>
      <c r="B647" t="s">
        <v>5559</v>
      </c>
      <c r="C647" t="s">
        <v>5560</v>
      </c>
      <c r="D647" t="s">
        <v>344</v>
      </c>
      <c r="E647" t="s">
        <v>167</v>
      </c>
      <c r="F647" t="s">
        <v>5561</v>
      </c>
      <c r="G647" t="s">
        <v>2385</v>
      </c>
      <c r="H647" t="s">
        <v>2384</v>
      </c>
      <c r="I647" t="s">
        <v>2385</v>
      </c>
      <c r="J647" t="s">
        <v>103</v>
      </c>
      <c r="K647" t="s">
        <v>104</v>
      </c>
      <c r="L647" t="s">
        <v>50</v>
      </c>
      <c r="M647" s="2">
        <v>87775.85</v>
      </c>
      <c r="N647" t="s">
        <v>5564</v>
      </c>
      <c r="P647" t="str">
        <f>CONCATENATE("'",Tabla1[[#This Row],[Codigo]],"',")</f>
        <v>'01177',</v>
      </c>
    </row>
    <row r="648" spans="1:16" x14ac:dyDescent="0.25">
      <c r="A648" t="s">
        <v>5565</v>
      </c>
      <c r="B648" t="s">
        <v>5566</v>
      </c>
      <c r="C648" t="s">
        <v>5566</v>
      </c>
      <c r="D648" t="s">
        <v>178</v>
      </c>
      <c r="E648" t="s">
        <v>179</v>
      </c>
      <c r="F648" t="s">
        <v>5567</v>
      </c>
      <c r="G648" t="s">
        <v>184</v>
      </c>
      <c r="H648" t="s">
        <v>183</v>
      </c>
      <c r="I648" t="s">
        <v>184</v>
      </c>
      <c r="J648" t="s">
        <v>158</v>
      </c>
      <c r="K648" t="s">
        <v>159</v>
      </c>
      <c r="L648" t="s">
        <v>50</v>
      </c>
      <c r="M648" s="2">
        <v>218170</v>
      </c>
      <c r="N648" t="s">
        <v>64</v>
      </c>
      <c r="P648" t="str">
        <f>CONCATENATE("'",Tabla1[[#This Row],[Codigo]],"',")</f>
        <v>'01178',</v>
      </c>
    </row>
    <row r="649" spans="1:16" x14ac:dyDescent="0.25">
      <c r="A649" t="s">
        <v>5572</v>
      </c>
      <c r="B649" t="s">
        <v>5573</v>
      </c>
      <c r="C649" t="s">
        <v>5573</v>
      </c>
      <c r="D649" t="s">
        <v>984</v>
      </c>
      <c r="E649" t="s">
        <v>985</v>
      </c>
      <c r="F649" t="s">
        <v>5574</v>
      </c>
      <c r="G649" t="s">
        <v>584</v>
      </c>
      <c r="H649" t="s">
        <v>585</v>
      </c>
      <c r="I649" t="s">
        <v>584</v>
      </c>
      <c r="J649" t="s">
        <v>158</v>
      </c>
      <c r="K649" t="s">
        <v>159</v>
      </c>
      <c r="L649" t="s">
        <v>50</v>
      </c>
      <c r="M649" s="2">
        <v>229009.58</v>
      </c>
      <c r="N649" t="s">
        <v>5577</v>
      </c>
      <c r="O649" t="s">
        <v>52</v>
      </c>
      <c r="P649" t="str">
        <f>CONCATENATE("'",Tabla1[[#This Row],[Codigo]],"',")</f>
        <v>'01180',</v>
      </c>
    </row>
    <row r="650" spans="1:16" x14ac:dyDescent="0.25">
      <c r="A650" t="s">
        <v>5583</v>
      </c>
      <c r="B650" t="s">
        <v>5584</v>
      </c>
      <c r="C650" t="s">
        <v>5584</v>
      </c>
      <c r="D650" t="s">
        <v>1633</v>
      </c>
      <c r="E650" t="s">
        <v>1502</v>
      </c>
      <c r="F650" t="s">
        <v>5585</v>
      </c>
      <c r="G650" t="s">
        <v>255</v>
      </c>
      <c r="H650" t="s">
        <v>254</v>
      </c>
      <c r="I650" t="s">
        <v>255</v>
      </c>
      <c r="J650" t="s">
        <v>3534</v>
      </c>
      <c r="K650" t="s">
        <v>3535</v>
      </c>
      <c r="L650" t="s">
        <v>50</v>
      </c>
      <c r="M650" s="2">
        <v>209248.69</v>
      </c>
      <c r="N650" t="s">
        <v>5588</v>
      </c>
      <c r="P650" t="str">
        <f>CONCATENATE("'",Tabla1[[#This Row],[Codigo]],"',")</f>
        <v>'01182',</v>
      </c>
    </row>
    <row r="651" spans="1:16" x14ac:dyDescent="0.25">
      <c r="A651" t="s">
        <v>5589</v>
      </c>
      <c r="B651" t="s">
        <v>5590</v>
      </c>
      <c r="C651" t="s">
        <v>5590</v>
      </c>
      <c r="D651" t="s">
        <v>299</v>
      </c>
      <c r="E651" t="s">
        <v>167</v>
      </c>
      <c r="F651" t="s">
        <v>5591</v>
      </c>
      <c r="G651" t="s">
        <v>81</v>
      </c>
      <c r="H651" t="s">
        <v>80</v>
      </c>
      <c r="I651" t="s">
        <v>81</v>
      </c>
      <c r="J651" t="s">
        <v>82</v>
      </c>
      <c r="K651" t="s">
        <v>83</v>
      </c>
      <c r="L651" t="s">
        <v>50</v>
      </c>
      <c r="M651" s="2">
        <v>1039440.92</v>
      </c>
      <c r="N651" t="s">
        <v>5593</v>
      </c>
      <c r="P651" t="str">
        <f>CONCATENATE("'",Tabla1[[#This Row],[Codigo]],"',")</f>
        <v>'01183',</v>
      </c>
    </row>
    <row r="652" spans="1:16" x14ac:dyDescent="0.25">
      <c r="A652" t="s">
        <v>5594</v>
      </c>
      <c r="B652" t="s">
        <v>5595</v>
      </c>
      <c r="C652" t="s">
        <v>5595</v>
      </c>
      <c r="D652" t="s">
        <v>569</v>
      </c>
      <c r="E652" t="s">
        <v>570</v>
      </c>
      <c r="F652" t="s">
        <v>5596</v>
      </c>
      <c r="G652" t="s">
        <v>699</v>
      </c>
      <c r="H652" t="s">
        <v>700</v>
      </c>
      <c r="I652" t="s">
        <v>699</v>
      </c>
      <c r="J652" t="s">
        <v>69</v>
      </c>
      <c r="K652" t="s">
        <v>70</v>
      </c>
      <c r="L652" t="s">
        <v>50</v>
      </c>
      <c r="M652" s="2">
        <v>-120000.59</v>
      </c>
      <c r="N652" t="s">
        <v>5600</v>
      </c>
      <c r="O652" t="s">
        <v>115</v>
      </c>
      <c r="P652" t="str">
        <f>CONCATENATE("'",Tabla1[[#This Row],[Codigo]],"',")</f>
        <v>'01184',</v>
      </c>
    </row>
    <row r="653" spans="1:16" x14ac:dyDescent="0.25">
      <c r="A653" t="s">
        <v>5603</v>
      </c>
      <c r="B653" t="s">
        <v>5604</v>
      </c>
      <c r="C653" t="s">
        <v>5604</v>
      </c>
      <c r="D653" t="s">
        <v>847</v>
      </c>
      <c r="E653" t="s">
        <v>848</v>
      </c>
      <c r="F653" t="s">
        <v>5605</v>
      </c>
      <c r="G653" t="s">
        <v>41</v>
      </c>
      <c r="H653" t="s">
        <v>40</v>
      </c>
      <c r="I653" t="s">
        <v>41</v>
      </c>
      <c r="J653" t="s">
        <v>42</v>
      </c>
      <c r="K653" t="s">
        <v>43</v>
      </c>
      <c r="L653" t="s">
        <v>50</v>
      </c>
      <c r="M653" s="2">
        <v>25214.34</v>
      </c>
      <c r="N653" t="s">
        <v>5608</v>
      </c>
      <c r="P653" t="str">
        <f>CONCATENATE("'",Tabla1[[#This Row],[Codigo]],"',")</f>
        <v>'01186',</v>
      </c>
    </row>
    <row r="654" spans="1:16" x14ac:dyDescent="0.25">
      <c r="A654" t="s">
        <v>5609</v>
      </c>
      <c r="B654" t="s">
        <v>5610</v>
      </c>
      <c r="C654" t="s">
        <v>5610</v>
      </c>
      <c r="D654" t="s">
        <v>35</v>
      </c>
      <c r="E654" t="s">
        <v>36</v>
      </c>
      <c r="F654" t="s">
        <v>5611</v>
      </c>
      <c r="G654" t="s">
        <v>2394</v>
      </c>
      <c r="H654" t="s">
        <v>2393</v>
      </c>
      <c r="I654" t="s">
        <v>2394</v>
      </c>
      <c r="J654" t="s">
        <v>61</v>
      </c>
      <c r="K654" t="s">
        <v>62</v>
      </c>
      <c r="L654" t="s">
        <v>50</v>
      </c>
      <c r="M654" s="2">
        <v>118783.9</v>
      </c>
      <c r="N654" t="s">
        <v>5613</v>
      </c>
      <c r="O654" t="s">
        <v>52</v>
      </c>
      <c r="P654" t="str">
        <f>CONCATENATE("'",Tabla1[[#This Row],[Codigo]],"',")</f>
        <v>'01187',</v>
      </c>
    </row>
    <row r="655" spans="1:16" x14ac:dyDescent="0.25">
      <c r="A655" t="s">
        <v>5614</v>
      </c>
      <c r="B655" t="s">
        <v>5615</v>
      </c>
      <c r="C655" t="s">
        <v>5615</v>
      </c>
      <c r="D655" t="s">
        <v>125</v>
      </c>
      <c r="E655" t="s">
        <v>126</v>
      </c>
      <c r="F655" t="s">
        <v>5616</v>
      </c>
      <c r="G655" t="s">
        <v>1222</v>
      </c>
      <c r="H655" t="s">
        <v>1221</v>
      </c>
      <c r="I655" t="s">
        <v>1222</v>
      </c>
      <c r="J655" t="s">
        <v>205</v>
      </c>
      <c r="K655" t="s">
        <v>206</v>
      </c>
      <c r="L655" t="s">
        <v>50</v>
      </c>
      <c r="M655" s="2">
        <v>887854.36</v>
      </c>
      <c r="N655" t="s">
        <v>5619</v>
      </c>
      <c r="O655" t="s">
        <v>115</v>
      </c>
      <c r="P655" t="str">
        <f>CONCATENATE("'",Tabla1[[#This Row],[Codigo]],"',")</f>
        <v>'01188',</v>
      </c>
    </row>
    <row r="656" spans="1:16" x14ac:dyDescent="0.25">
      <c r="A656" t="s">
        <v>5620</v>
      </c>
      <c r="B656" t="s">
        <v>5621</v>
      </c>
      <c r="C656" t="s">
        <v>5621</v>
      </c>
      <c r="D656" t="s">
        <v>847</v>
      </c>
      <c r="E656" t="s">
        <v>848</v>
      </c>
      <c r="F656" t="s">
        <v>5622</v>
      </c>
      <c r="G656" t="s">
        <v>41</v>
      </c>
      <c r="H656" t="s">
        <v>40</v>
      </c>
      <c r="I656" t="s">
        <v>41</v>
      </c>
      <c r="J656" t="s">
        <v>42</v>
      </c>
      <c r="K656" t="s">
        <v>43</v>
      </c>
      <c r="L656" t="s">
        <v>50</v>
      </c>
      <c r="M656" s="2">
        <v>21752.57</v>
      </c>
      <c r="N656" t="s">
        <v>5623</v>
      </c>
      <c r="P656" t="str">
        <f>CONCATENATE("'",Tabla1[[#This Row],[Codigo]],"',")</f>
        <v>'01189',</v>
      </c>
    </row>
    <row r="657" spans="1:16" x14ac:dyDescent="0.25">
      <c r="A657" s="15" t="s">
        <v>5628</v>
      </c>
      <c r="B657" s="15" t="s">
        <v>5629</v>
      </c>
      <c r="C657" s="15" t="s">
        <v>5629</v>
      </c>
      <c r="D657" s="15" t="s">
        <v>55</v>
      </c>
      <c r="E657" s="15" t="s">
        <v>56</v>
      </c>
      <c r="F657" s="15" t="s">
        <v>5630</v>
      </c>
      <c r="G657" s="15" t="s">
        <v>2427</v>
      </c>
      <c r="H657" s="15" t="s">
        <v>2426</v>
      </c>
      <c r="I657" s="15" t="s">
        <v>2427</v>
      </c>
      <c r="J657" s="15" t="s">
        <v>103</v>
      </c>
      <c r="K657" s="15" t="s">
        <v>104</v>
      </c>
      <c r="L657" s="15" t="s">
        <v>50</v>
      </c>
      <c r="M657" s="16">
        <v>-11374.99</v>
      </c>
      <c r="N657" s="15" t="s">
        <v>5632</v>
      </c>
      <c r="O657" s="15" t="s">
        <v>115</v>
      </c>
      <c r="P657" t="str">
        <f>CONCATENATE("'",Tabla1[[#This Row],[Codigo]],"',")</f>
        <v>'01191',</v>
      </c>
    </row>
    <row r="658" spans="1:16" x14ac:dyDescent="0.25">
      <c r="A658" t="s">
        <v>5633</v>
      </c>
      <c r="B658" t="s">
        <v>5634</v>
      </c>
      <c r="C658" t="s">
        <v>5634</v>
      </c>
      <c r="D658" t="s">
        <v>847</v>
      </c>
      <c r="E658" t="s">
        <v>848</v>
      </c>
      <c r="F658" t="s">
        <v>5635</v>
      </c>
      <c r="G658" t="s">
        <v>41</v>
      </c>
      <c r="H658" t="s">
        <v>40</v>
      </c>
      <c r="I658" t="s">
        <v>41</v>
      </c>
      <c r="J658" t="s">
        <v>42</v>
      </c>
      <c r="K658" t="s">
        <v>43</v>
      </c>
      <c r="L658" t="s">
        <v>50</v>
      </c>
      <c r="M658" s="2">
        <v>70398.58</v>
      </c>
      <c r="N658" t="s">
        <v>5636</v>
      </c>
      <c r="P658" t="str">
        <f>CONCATENATE("'",Tabla1[[#This Row],[Codigo]],"',")</f>
        <v>'01192',</v>
      </c>
    </row>
    <row r="659" spans="1:16" x14ac:dyDescent="0.25">
      <c r="A659" t="s">
        <v>5637</v>
      </c>
      <c r="B659" t="s">
        <v>5638</v>
      </c>
      <c r="C659" t="s">
        <v>4538</v>
      </c>
      <c r="D659" t="s">
        <v>125</v>
      </c>
      <c r="E659" t="s">
        <v>126</v>
      </c>
      <c r="F659" t="s">
        <v>4539</v>
      </c>
      <c r="G659" t="s">
        <v>38</v>
      </c>
      <c r="H659" t="s">
        <v>40</v>
      </c>
      <c r="I659" t="s">
        <v>41</v>
      </c>
      <c r="J659" t="s">
        <v>61</v>
      </c>
      <c r="K659" t="s">
        <v>62</v>
      </c>
      <c r="L659" t="s">
        <v>50</v>
      </c>
      <c r="M659" s="2">
        <v>350883.28</v>
      </c>
      <c r="N659" t="s">
        <v>5640</v>
      </c>
      <c r="O659" t="s">
        <v>52</v>
      </c>
      <c r="P659" t="str">
        <f>CONCATENATE("'",Tabla1[[#This Row],[Codigo]],"',")</f>
        <v>'01193',</v>
      </c>
    </row>
    <row r="660" spans="1:16" x14ac:dyDescent="0.25">
      <c r="A660" t="s">
        <v>5643</v>
      </c>
      <c r="B660" t="s">
        <v>5644</v>
      </c>
      <c r="C660" t="s">
        <v>5644</v>
      </c>
      <c r="D660" t="s">
        <v>153</v>
      </c>
      <c r="E660" t="s">
        <v>272</v>
      </c>
      <c r="F660" t="s">
        <v>5645</v>
      </c>
      <c r="G660" t="s">
        <v>2385</v>
      </c>
      <c r="H660" t="s">
        <v>2384</v>
      </c>
      <c r="I660" t="s">
        <v>2385</v>
      </c>
      <c r="J660" t="s">
        <v>103</v>
      </c>
      <c r="K660" t="s">
        <v>104</v>
      </c>
      <c r="L660" t="s">
        <v>50</v>
      </c>
      <c r="M660" s="2">
        <v>76360</v>
      </c>
      <c r="N660" t="s">
        <v>64</v>
      </c>
      <c r="P660" t="str">
        <f>CONCATENATE("'",Tabla1[[#This Row],[Codigo]],"',")</f>
        <v>'01195',</v>
      </c>
    </row>
    <row r="661" spans="1:16" x14ac:dyDescent="0.25">
      <c r="A661" t="s">
        <v>5648</v>
      </c>
      <c r="B661" t="s">
        <v>5649</v>
      </c>
      <c r="C661" t="s">
        <v>5649</v>
      </c>
      <c r="D661" t="s">
        <v>178</v>
      </c>
      <c r="E661" t="s">
        <v>179</v>
      </c>
      <c r="F661" t="s">
        <v>5650</v>
      </c>
      <c r="G661" t="s">
        <v>5651</v>
      </c>
      <c r="H661" t="s">
        <v>254</v>
      </c>
      <c r="I661" t="s">
        <v>255</v>
      </c>
      <c r="J661" t="s">
        <v>4374</v>
      </c>
      <c r="K661" t="s">
        <v>4375</v>
      </c>
      <c r="L661" t="s">
        <v>50</v>
      </c>
      <c r="M661" s="2">
        <v>327255</v>
      </c>
      <c r="N661" t="s">
        <v>64</v>
      </c>
      <c r="P661" t="str">
        <f>CONCATENATE("'",Tabla1[[#This Row],[Codigo]],"',")</f>
        <v>'01196',</v>
      </c>
    </row>
    <row r="662" spans="1:16" x14ac:dyDescent="0.25">
      <c r="A662" t="s">
        <v>5654</v>
      </c>
      <c r="B662" t="s">
        <v>5655</v>
      </c>
      <c r="C662" t="s">
        <v>5656</v>
      </c>
      <c r="D662" t="s">
        <v>847</v>
      </c>
      <c r="E662" t="s">
        <v>848</v>
      </c>
      <c r="F662" t="s">
        <v>5657</v>
      </c>
      <c r="G662" t="s">
        <v>5188</v>
      </c>
      <c r="H662" t="s">
        <v>5190</v>
      </c>
      <c r="I662" t="s">
        <v>5188</v>
      </c>
      <c r="J662" t="s">
        <v>256</v>
      </c>
      <c r="K662" t="s">
        <v>255</v>
      </c>
      <c r="L662" t="s">
        <v>50</v>
      </c>
      <c r="M662" s="2">
        <v>12286.28</v>
      </c>
      <c r="N662" t="s">
        <v>5660</v>
      </c>
      <c r="O662" t="s">
        <v>115</v>
      </c>
      <c r="P662" t="str">
        <f>CONCATENATE("'",Tabla1[[#This Row],[Codigo]],"',")</f>
        <v>'01197',</v>
      </c>
    </row>
    <row r="663" spans="1:16" x14ac:dyDescent="0.25">
      <c r="A663" t="s">
        <v>5661</v>
      </c>
      <c r="B663" t="s">
        <v>5662</v>
      </c>
      <c r="C663" t="s">
        <v>5662</v>
      </c>
      <c r="D663" t="s">
        <v>847</v>
      </c>
      <c r="E663" t="s">
        <v>848</v>
      </c>
      <c r="F663" t="s">
        <v>5663</v>
      </c>
      <c r="G663" t="s">
        <v>5664</v>
      </c>
      <c r="H663" t="s">
        <v>5665</v>
      </c>
      <c r="I663" t="s">
        <v>5664</v>
      </c>
      <c r="J663" t="s">
        <v>256</v>
      </c>
      <c r="K663" t="s">
        <v>255</v>
      </c>
      <c r="L663" t="s">
        <v>50</v>
      </c>
      <c r="M663" s="2">
        <v>18288.77</v>
      </c>
      <c r="N663" t="s">
        <v>5667</v>
      </c>
      <c r="O663" t="s">
        <v>52</v>
      </c>
      <c r="P663" t="str">
        <f>CONCATENATE("'",Tabla1[[#This Row],[Codigo]],"',")</f>
        <v>'01198',</v>
      </c>
    </row>
    <row r="664" spans="1:16" x14ac:dyDescent="0.25">
      <c r="A664" t="s">
        <v>5671</v>
      </c>
      <c r="B664" t="s">
        <v>5672</v>
      </c>
      <c r="C664" t="s">
        <v>5672</v>
      </c>
      <c r="D664" t="s">
        <v>153</v>
      </c>
      <c r="E664" t="s">
        <v>272</v>
      </c>
      <c r="F664" t="s">
        <v>5673</v>
      </c>
      <c r="G664" t="s">
        <v>1396</v>
      </c>
      <c r="H664" t="s">
        <v>1398</v>
      </c>
      <c r="I664" t="s">
        <v>1396</v>
      </c>
      <c r="J664" t="s">
        <v>120</v>
      </c>
      <c r="K664" t="s">
        <v>121</v>
      </c>
      <c r="L664" t="s">
        <v>50</v>
      </c>
      <c r="M664" s="2">
        <v>150112.68</v>
      </c>
      <c r="N664" t="s">
        <v>5676</v>
      </c>
      <c r="O664" t="s">
        <v>52</v>
      </c>
      <c r="P664" t="str">
        <f>CONCATENATE("'",Tabla1[[#This Row],[Codigo]],"',")</f>
        <v>'01201',</v>
      </c>
    </row>
    <row r="665" spans="1:16" x14ac:dyDescent="0.25">
      <c r="A665" t="s">
        <v>5677</v>
      </c>
      <c r="B665" t="s">
        <v>5678</v>
      </c>
      <c r="C665" t="s">
        <v>5679</v>
      </c>
      <c r="D665" t="s">
        <v>35</v>
      </c>
      <c r="E665" t="s">
        <v>36</v>
      </c>
      <c r="F665" t="s">
        <v>5680</v>
      </c>
      <c r="G665" t="s">
        <v>641</v>
      </c>
      <c r="H665" t="s">
        <v>640</v>
      </c>
      <c r="I665" t="s">
        <v>641</v>
      </c>
      <c r="J665" t="s">
        <v>91</v>
      </c>
      <c r="K665" t="s">
        <v>92</v>
      </c>
      <c r="L665" t="s">
        <v>50</v>
      </c>
      <c r="M665" s="2">
        <v>215962.11</v>
      </c>
      <c r="N665" t="s">
        <v>5682</v>
      </c>
      <c r="O665" t="s">
        <v>115</v>
      </c>
      <c r="P665" t="str">
        <f>CONCATENATE("'",Tabla1[[#This Row],[Codigo]],"',")</f>
        <v>'01202',</v>
      </c>
    </row>
    <row r="666" spans="1:16" x14ac:dyDescent="0.25">
      <c r="A666" t="s">
        <v>5683</v>
      </c>
      <c r="B666" t="s">
        <v>5684</v>
      </c>
      <c r="C666" t="s">
        <v>5684</v>
      </c>
      <c r="D666" t="s">
        <v>125</v>
      </c>
      <c r="E666" t="s">
        <v>126</v>
      </c>
      <c r="F666" t="s">
        <v>5685</v>
      </c>
      <c r="G666" t="s">
        <v>1360</v>
      </c>
      <c r="H666" t="s">
        <v>1362</v>
      </c>
      <c r="I666" t="s">
        <v>1360</v>
      </c>
      <c r="J666" t="s">
        <v>1421</v>
      </c>
      <c r="K666" t="s">
        <v>1422</v>
      </c>
      <c r="L666" t="s">
        <v>50</v>
      </c>
      <c r="M666" s="2">
        <v>38890.839999999997</v>
      </c>
      <c r="N666" t="s">
        <v>5688</v>
      </c>
      <c r="O666" t="s">
        <v>115</v>
      </c>
      <c r="P666" t="str">
        <f>CONCATENATE("'",Tabla1[[#This Row],[Codigo]],"',")</f>
        <v>'01203',</v>
      </c>
    </row>
    <row r="667" spans="1:16" x14ac:dyDescent="0.25">
      <c r="A667" t="s">
        <v>5689</v>
      </c>
      <c r="B667" t="s">
        <v>5690</v>
      </c>
      <c r="C667" t="s">
        <v>5690</v>
      </c>
      <c r="D667" t="s">
        <v>847</v>
      </c>
      <c r="E667" t="s">
        <v>848</v>
      </c>
      <c r="F667" t="s">
        <v>5691</v>
      </c>
      <c r="G667" t="s">
        <v>41</v>
      </c>
      <c r="H667" t="s">
        <v>40</v>
      </c>
      <c r="I667" t="s">
        <v>41</v>
      </c>
      <c r="J667" t="s">
        <v>42</v>
      </c>
      <c r="K667" t="s">
        <v>43</v>
      </c>
      <c r="L667" t="s">
        <v>50</v>
      </c>
      <c r="M667" s="2">
        <v>10904.27</v>
      </c>
      <c r="N667" t="s">
        <v>5692</v>
      </c>
      <c r="P667" t="str">
        <f>CONCATENATE("'",Tabla1[[#This Row],[Codigo]],"',")</f>
        <v>'01204',</v>
      </c>
    </row>
    <row r="668" spans="1:16" x14ac:dyDescent="0.25">
      <c r="A668" t="s">
        <v>5693</v>
      </c>
      <c r="B668" t="s">
        <v>5694</v>
      </c>
      <c r="C668" t="s">
        <v>5694</v>
      </c>
      <c r="D668" t="s">
        <v>5597</v>
      </c>
      <c r="E668" t="s">
        <v>224</v>
      </c>
      <c r="F668" t="s">
        <v>5695</v>
      </c>
      <c r="G668" t="s">
        <v>303</v>
      </c>
      <c r="H668" t="s">
        <v>302</v>
      </c>
      <c r="I668" t="s">
        <v>303</v>
      </c>
      <c r="J668" t="s">
        <v>304</v>
      </c>
      <c r="K668" t="s">
        <v>72</v>
      </c>
      <c r="L668" t="s">
        <v>50</v>
      </c>
      <c r="M668" s="2">
        <v>774109.25</v>
      </c>
      <c r="N668" t="s">
        <v>5697</v>
      </c>
      <c r="P668" t="str">
        <f>CONCATENATE("'",Tabla1[[#This Row],[Codigo]],"',")</f>
        <v>'01205',</v>
      </c>
    </row>
    <row r="669" spans="1:16" x14ac:dyDescent="0.25">
      <c r="A669" t="s">
        <v>5698</v>
      </c>
      <c r="B669" t="s">
        <v>5699</v>
      </c>
      <c r="C669" t="s">
        <v>5700</v>
      </c>
      <c r="D669" t="s">
        <v>35</v>
      </c>
      <c r="E669" t="s">
        <v>36</v>
      </c>
      <c r="F669" t="s">
        <v>2871</v>
      </c>
      <c r="G669" t="s">
        <v>1607</v>
      </c>
      <c r="H669" t="s">
        <v>1221</v>
      </c>
      <c r="I669" t="s">
        <v>1222</v>
      </c>
      <c r="J669" t="s">
        <v>205</v>
      </c>
      <c r="K669" t="s">
        <v>206</v>
      </c>
      <c r="L669" t="s">
        <v>50</v>
      </c>
      <c r="M669" s="2">
        <v>300883.58</v>
      </c>
      <c r="N669" t="s">
        <v>5702</v>
      </c>
      <c r="O669" t="s">
        <v>52</v>
      </c>
      <c r="P669" t="str">
        <f>CONCATENATE("'",Tabla1[[#This Row],[Codigo]],"',")</f>
        <v>'01207',</v>
      </c>
    </row>
    <row r="670" spans="1:16" x14ac:dyDescent="0.25">
      <c r="A670" t="s">
        <v>5703</v>
      </c>
      <c r="B670" t="s">
        <v>5704</v>
      </c>
      <c r="C670" t="s">
        <v>5704</v>
      </c>
      <c r="D670" t="s">
        <v>153</v>
      </c>
      <c r="E670" t="s">
        <v>272</v>
      </c>
      <c r="F670" t="s">
        <v>5705</v>
      </c>
      <c r="G670" t="s">
        <v>5706</v>
      </c>
      <c r="H670" t="s">
        <v>5707</v>
      </c>
      <c r="I670" t="s">
        <v>5706</v>
      </c>
      <c r="J670" t="s">
        <v>120</v>
      </c>
      <c r="K670" t="s">
        <v>121</v>
      </c>
      <c r="L670" t="s">
        <v>50</v>
      </c>
      <c r="M670" s="2">
        <v>123861.28</v>
      </c>
      <c r="N670" t="s">
        <v>5709</v>
      </c>
      <c r="O670" t="s">
        <v>52</v>
      </c>
      <c r="P670" t="str">
        <f>CONCATENATE("'",Tabla1[[#This Row],[Codigo]],"',")</f>
        <v>'01208',</v>
      </c>
    </row>
    <row r="671" spans="1:16" x14ac:dyDescent="0.25">
      <c r="A671" t="s">
        <v>5710</v>
      </c>
      <c r="B671" t="s">
        <v>5711</v>
      </c>
      <c r="C671" t="s">
        <v>5711</v>
      </c>
      <c r="D671" t="s">
        <v>2687</v>
      </c>
      <c r="E671" t="s">
        <v>190</v>
      </c>
      <c r="F671" t="s">
        <v>5712</v>
      </c>
      <c r="G671" t="s">
        <v>404</v>
      </c>
      <c r="H671" t="s">
        <v>403</v>
      </c>
      <c r="I671" t="s">
        <v>404</v>
      </c>
      <c r="J671" t="s">
        <v>205</v>
      </c>
      <c r="K671" t="s">
        <v>206</v>
      </c>
      <c r="L671" t="s">
        <v>50</v>
      </c>
      <c r="M671" s="2">
        <v>21817</v>
      </c>
      <c r="N671" t="s">
        <v>64</v>
      </c>
      <c r="P671" t="str">
        <f>CONCATENATE("'",Tabla1[[#This Row],[Codigo]],"',")</f>
        <v>'01209',</v>
      </c>
    </row>
    <row r="672" spans="1:16" x14ac:dyDescent="0.25">
      <c r="A672" t="s">
        <v>5714</v>
      </c>
      <c r="B672" t="s">
        <v>5715</v>
      </c>
      <c r="C672" t="s">
        <v>5715</v>
      </c>
      <c r="D672" t="s">
        <v>125</v>
      </c>
      <c r="E672" t="s">
        <v>126</v>
      </c>
      <c r="F672" t="s">
        <v>5716</v>
      </c>
      <c r="G672" t="s">
        <v>255</v>
      </c>
      <c r="H672" t="s">
        <v>254</v>
      </c>
      <c r="I672" t="s">
        <v>255</v>
      </c>
      <c r="J672" t="s">
        <v>256</v>
      </c>
      <c r="K672" t="s">
        <v>255</v>
      </c>
      <c r="L672" t="s">
        <v>50</v>
      </c>
      <c r="M672" s="2">
        <v>59035.35</v>
      </c>
      <c r="N672" t="s">
        <v>5718</v>
      </c>
      <c r="O672" t="s">
        <v>115</v>
      </c>
      <c r="P672" t="str">
        <f>CONCATENATE("'",Tabla1[[#This Row],[Codigo]],"',")</f>
        <v>'01210',</v>
      </c>
    </row>
    <row r="673" spans="1:16" x14ac:dyDescent="0.25">
      <c r="A673" t="s">
        <v>5719</v>
      </c>
      <c r="B673" t="s">
        <v>5720</v>
      </c>
      <c r="C673" t="s">
        <v>5720</v>
      </c>
      <c r="D673" t="s">
        <v>153</v>
      </c>
      <c r="E673" t="s">
        <v>272</v>
      </c>
      <c r="F673" t="s">
        <v>5721</v>
      </c>
      <c r="H673" t="s">
        <v>5119</v>
      </c>
      <c r="I673" t="s">
        <v>1216</v>
      </c>
      <c r="J673" t="s">
        <v>1421</v>
      </c>
      <c r="K673" t="s">
        <v>1422</v>
      </c>
      <c r="L673" t="s">
        <v>50</v>
      </c>
      <c r="M673" s="2">
        <v>243351.97</v>
      </c>
      <c r="N673" t="s">
        <v>5724</v>
      </c>
      <c r="O673" t="s">
        <v>52</v>
      </c>
      <c r="P673" t="str">
        <f>CONCATENATE("'",Tabla1[[#This Row],[Codigo]],"',")</f>
        <v>'01211',</v>
      </c>
    </row>
    <row r="674" spans="1:16" x14ac:dyDescent="0.25">
      <c r="A674" t="s">
        <v>5725</v>
      </c>
      <c r="B674" t="s">
        <v>5726</v>
      </c>
      <c r="C674" t="s">
        <v>5726</v>
      </c>
      <c r="D674" t="s">
        <v>344</v>
      </c>
      <c r="E674" t="s">
        <v>167</v>
      </c>
      <c r="F674" t="s">
        <v>5727</v>
      </c>
      <c r="G674" t="s">
        <v>5728</v>
      </c>
      <c r="H674" t="s">
        <v>5730</v>
      </c>
      <c r="I674" t="s">
        <v>5728</v>
      </c>
      <c r="J674" t="s">
        <v>120</v>
      </c>
      <c r="K674" t="s">
        <v>121</v>
      </c>
      <c r="L674" t="s">
        <v>50</v>
      </c>
      <c r="M674" s="2">
        <v>34066.74</v>
      </c>
      <c r="N674" t="s">
        <v>5732</v>
      </c>
      <c r="O674" t="s">
        <v>52</v>
      </c>
      <c r="P674" t="str">
        <f>CONCATENATE("'",Tabla1[[#This Row],[Codigo]],"',")</f>
        <v>'01212',</v>
      </c>
    </row>
    <row r="675" spans="1:16" x14ac:dyDescent="0.25">
      <c r="A675" t="s">
        <v>5733</v>
      </c>
      <c r="B675" t="s">
        <v>5734</v>
      </c>
      <c r="C675" t="s">
        <v>5734</v>
      </c>
      <c r="D675" t="s">
        <v>847</v>
      </c>
      <c r="E675" t="s">
        <v>848</v>
      </c>
      <c r="F675" t="s">
        <v>5735</v>
      </c>
      <c r="G675" t="s">
        <v>41</v>
      </c>
      <c r="H675" t="s">
        <v>40</v>
      </c>
      <c r="I675" t="s">
        <v>41</v>
      </c>
      <c r="J675" t="s">
        <v>42</v>
      </c>
      <c r="K675" t="s">
        <v>43</v>
      </c>
      <c r="L675" t="s">
        <v>50</v>
      </c>
      <c r="M675" s="2">
        <v>21817</v>
      </c>
      <c r="N675" t="s">
        <v>64</v>
      </c>
      <c r="P675" t="str">
        <f>CONCATENATE("'",Tabla1[[#This Row],[Codigo]],"',")</f>
        <v>'01213',</v>
      </c>
    </row>
    <row r="676" spans="1:16" x14ac:dyDescent="0.25">
      <c r="A676" t="s">
        <v>5745</v>
      </c>
      <c r="B676" t="s">
        <v>5746</v>
      </c>
      <c r="C676" t="s">
        <v>5746</v>
      </c>
      <c r="D676" t="s">
        <v>2687</v>
      </c>
      <c r="E676" t="s">
        <v>190</v>
      </c>
      <c r="F676" t="s">
        <v>5747</v>
      </c>
      <c r="G676" t="s">
        <v>4487</v>
      </c>
      <c r="H676" t="s">
        <v>4488</v>
      </c>
      <c r="I676" t="s">
        <v>4487</v>
      </c>
      <c r="J676" t="s">
        <v>103</v>
      </c>
      <c r="K676" t="s">
        <v>104</v>
      </c>
      <c r="L676" t="s">
        <v>50</v>
      </c>
      <c r="M676" s="2">
        <v>872222.8</v>
      </c>
      <c r="N676" t="s">
        <v>5749</v>
      </c>
      <c r="P676" t="str">
        <f>CONCATENATE("'",Tabla1[[#This Row],[Codigo]],"',")</f>
        <v>'01216',</v>
      </c>
    </row>
    <row r="677" spans="1:16" x14ac:dyDescent="0.25">
      <c r="A677" t="s">
        <v>5750</v>
      </c>
      <c r="B677" t="s">
        <v>5751</v>
      </c>
      <c r="C677" t="s">
        <v>5751</v>
      </c>
      <c r="D677" t="s">
        <v>2118</v>
      </c>
      <c r="E677" t="s">
        <v>871</v>
      </c>
      <c r="F677" t="s">
        <v>5752</v>
      </c>
      <c r="G677" t="s">
        <v>1360</v>
      </c>
      <c r="H677" t="s">
        <v>1362</v>
      </c>
      <c r="I677" t="s">
        <v>1360</v>
      </c>
      <c r="J677" t="s">
        <v>82</v>
      </c>
      <c r="K677" t="s">
        <v>83</v>
      </c>
      <c r="L677" t="s">
        <v>50</v>
      </c>
      <c r="M677" s="2">
        <v>21817</v>
      </c>
      <c r="N677" t="s">
        <v>64</v>
      </c>
      <c r="P677" t="str">
        <f>CONCATENATE("'",Tabla1[[#This Row],[Codigo]],"',")</f>
        <v>'01217',</v>
      </c>
    </row>
    <row r="678" spans="1:16" x14ac:dyDescent="0.25">
      <c r="A678" t="s">
        <v>5759</v>
      </c>
      <c r="B678" t="s">
        <v>5760</v>
      </c>
      <c r="C678" t="s">
        <v>5760</v>
      </c>
      <c r="D678" t="s">
        <v>153</v>
      </c>
      <c r="E678" t="s">
        <v>272</v>
      </c>
      <c r="F678" t="s">
        <v>5761</v>
      </c>
      <c r="G678" t="s">
        <v>1062</v>
      </c>
      <c r="H678" t="s">
        <v>1064</v>
      </c>
      <c r="I678" t="s">
        <v>1062</v>
      </c>
      <c r="J678" t="s">
        <v>304</v>
      </c>
      <c r="K678" t="s">
        <v>72</v>
      </c>
      <c r="L678" t="s">
        <v>50</v>
      </c>
      <c r="M678" s="2">
        <v>1941.97</v>
      </c>
      <c r="N678" t="s">
        <v>5764</v>
      </c>
      <c r="O678" t="s">
        <v>52</v>
      </c>
      <c r="P678" t="str">
        <f>CONCATENATE("'",Tabla1[[#This Row],[Codigo]],"',")</f>
        <v>'01221',</v>
      </c>
    </row>
    <row r="679" spans="1:16" x14ac:dyDescent="0.25">
      <c r="A679" t="s">
        <v>5765</v>
      </c>
      <c r="B679" t="s">
        <v>5766</v>
      </c>
      <c r="C679" t="s">
        <v>5766</v>
      </c>
      <c r="D679" t="s">
        <v>873</v>
      </c>
      <c r="E679" t="s">
        <v>224</v>
      </c>
      <c r="F679" t="s">
        <v>5767</v>
      </c>
      <c r="G679" t="s">
        <v>446</v>
      </c>
      <c r="H679" t="s">
        <v>445</v>
      </c>
      <c r="I679" t="s">
        <v>446</v>
      </c>
      <c r="J679" t="s">
        <v>69</v>
      </c>
      <c r="K679" t="s">
        <v>70</v>
      </c>
      <c r="L679" t="s">
        <v>50</v>
      </c>
      <c r="M679" s="2">
        <v>218170</v>
      </c>
      <c r="N679" t="s">
        <v>64</v>
      </c>
      <c r="P679" t="str">
        <f>CONCATENATE("'",Tabla1[[#This Row],[Codigo]],"',")</f>
        <v>'01222',</v>
      </c>
    </row>
    <row r="680" spans="1:16" x14ac:dyDescent="0.25">
      <c r="A680" t="s">
        <v>5774</v>
      </c>
      <c r="B680" t="s">
        <v>5775</v>
      </c>
      <c r="C680" t="s">
        <v>5775</v>
      </c>
      <c r="D680" t="s">
        <v>847</v>
      </c>
      <c r="E680" t="s">
        <v>848</v>
      </c>
      <c r="F680" t="s">
        <v>5776</v>
      </c>
      <c r="G680" t="s">
        <v>41</v>
      </c>
      <c r="H680" t="s">
        <v>40</v>
      </c>
      <c r="I680" t="s">
        <v>41</v>
      </c>
      <c r="J680" t="s">
        <v>42</v>
      </c>
      <c r="K680" t="s">
        <v>43</v>
      </c>
      <c r="L680" t="s">
        <v>50</v>
      </c>
      <c r="M680" s="2">
        <v>21817</v>
      </c>
      <c r="N680" t="s">
        <v>64</v>
      </c>
      <c r="P680" t="str">
        <f>CONCATENATE("'",Tabla1[[#This Row],[Codigo]],"',")</f>
        <v>'01225',</v>
      </c>
    </row>
    <row r="681" spans="1:16" x14ac:dyDescent="0.25">
      <c r="A681" t="s">
        <v>5778</v>
      </c>
      <c r="B681" t="s">
        <v>5779</v>
      </c>
      <c r="C681" t="s">
        <v>5779</v>
      </c>
      <c r="D681" t="s">
        <v>125</v>
      </c>
      <c r="E681" t="s">
        <v>126</v>
      </c>
      <c r="F681" t="s">
        <v>5780</v>
      </c>
      <c r="G681" t="s">
        <v>41</v>
      </c>
      <c r="H681" t="s">
        <v>40</v>
      </c>
      <c r="I681" t="s">
        <v>41</v>
      </c>
      <c r="J681" t="s">
        <v>42</v>
      </c>
      <c r="K681" t="s">
        <v>43</v>
      </c>
      <c r="L681" t="s">
        <v>50</v>
      </c>
      <c r="M681" s="2">
        <v>3399.35</v>
      </c>
      <c r="N681" t="s">
        <v>5782</v>
      </c>
      <c r="P681" t="str">
        <f>CONCATENATE("'",Tabla1[[#This Row],[Codigo]],"',")</f>
        <v>'01226',</v>
      </c>
    </row>
    <row r="682" spans="1:16" x14ac:dyDescent="0.25">
      <c r="A682" t="s">
        <v>5793</v>
      </c>
      <c r="B682" t="s">
        <v>5794</v>
      </c>
      <c r="C682" t="s">
        <v>5794</v>
      </c>
      <c r="D682" t="s">
        <v>5795</v>
      </c>
      <c r="E682" t="s">
        <v>134</v>
      </c>
      <c r="F682" t="s">
        <v>5796</v>
      </c>
      <c r="G682" t="s">
        <v>255</v>
      </c>
      <c r="H682" t="s">
        <v>254</v>
      </c>
      <c r="I682" t="s">
        <v>255</v>
      </c>
      <c r="J682" t="s">
        <v>256</v>
      </c>
      <c r="K682" t="s">
        <v>255</v>
      </c>
      <c r="L682" t="s">
        <v>50</v>
      </c>
      <c r="M682" s="2">
        <v>218</v>
      </c>
      <c r="N682" t="s">
        <v>64</v>
      </c>
      <c r="P682" t="str">
        <f>CONCATENATE("'",Tabla1[[#This Row],[Codigo]],"',")</f>
        <v>'01230',</v>
      </c>
    </row>
    <row r="683" spans="1:16" x14ac:dyDescent="0.25">
      <c r="A683" t="s">
        <v>5798</v>
      </c>
      <c r="B683" t="s">
        <v>5799</v>
      </c>
      <c r="C683" t="s">
        <v>5799</v>
      </c>
      <c r="D683" t="s">
        <v>189</v>
      </c>
      <c r="E683" t="s">
        <v>190</v>
      </c>
      <c r="F683" t="s">
        <v>5800</v>
      </c>
      <c r="G683" t="s">
        <v>255</v>
      </c>
      <c r="H683" t="s">
        <v>254</v>
      </c>
      <c r="I683" t="s">
        <v>255</v>
      </c>
      <c r="J683" t="s">
        <v>256</v>
      </c>
      <c r="K683" t="s">
        <v>255</v>
      </c>
      <c r="L683" t="s">
        <v>50</v>
      </c>
      <c r="M683" s="2">
        <v>34644.14</v>
      </c>
      <c r="N683" t="s">
        <v>5803</v>
      </c>
      <c r="P683" t="str">
        <f>CONCATENATE("'",Tabla1[[#This Row],[Codigo]],"',")</f>
        <v>'01231',</v>
      </c>
    </row>
    <row r="684" spans="1:16" x14ac:dyDescent="0.25">
      <c r="A684" t="s">
        <v>5804</v>
      </c>
      <c r="B684" t="s">
        <v>5805</v>
      </c>
      <c r="C684" t="s">
        <v>5805</v>
      </c>
      <c r="D684" t="s">
        <v>153</v>
      </c>
      <c r="E684" t="s">
        <v>272</v>
      </c>
      <c r="F684" t="s">
        <v>5806</v>
      </c>
      <c r="G684" t="s">
        <v>90</v>
      </c>
      <c r="H684" t="s">
        <v>89</v>
      </c>
      <c r="I684" t="s">
        <v>90</v>
      </c>
      <c r="J684" t="s">
        <v>91</v>
      </c>
      <c r="K684" t="s">
        <v>92</v>
      </c>
      <c r="L684" t="s">
        <v>50</v>
      </c>
      <c r="M684" s="2">
        <v>473109.12</v>
      </c>
      <c r="N684" t="s">
        <v>5808</v>
      </c>
      <c r="O684" t="s">
        <v>52</v>
      </c>
      <c r="P684" t="str">
        <f>CONCATENATE("'",Tabla1[[#This Row],[Codigo]],"',")</f>
        <v>'01232',</v>
      </c>
    </row>
    <row r="685" spans="1:16" x14ac:dyDescent="0.25">
      <c r="A685" t="s">
        <v>5809</v>
      </c>
      <c r="B685" t="s">
        <v>5810</v>
      </c>
      <c r="C685" t="s">
        <v>5810</v>
      </c>
      <c r="D685" t="s">
        <v>35</v>
      </c>
      <c r="E685" t="s">
        <v>36</v>
      </c>
      <c r="F685" t="s">
        <v>5811</v>
      </c>
      <c r="G685" t="s">
        <v>90</v>
      </c>
      <c r="H685" t="s">
        <v>89</v>
      </c>
      <c r="I685" t="s">
        <v>90</v>
      </c>
      <c r="J685" t="s">
        <v>91</v>
      </c>
      <c r="K685" t="s">
        <v>92</v>
      </c>
      <c r="L685" t="s">
        <v>50</v>
      </c>
      <c r="M685" s="2">
        <v>-59961.58</v>
      </c>
      <c r="N685" t="s">
        <v>5813</v>
      </c>
      <c r="O685" t="s">
        <v>115</v>
      </c>
      <c r="P685" t="str">
        <f>CONCATENATE("'",Tabla1[[#This Row],[Codigo]],"',")</f>
        <v>'01233',</v>
      </c>
    </row>
    <row r="686" spans="1:16" x14ac:dyDescent="0.25">
      <c r="A686" t="s">
        <v>5814</v>
      </c>
      <c r="B686" t="s">
        <v>5815</v>
      </c>
      <c r="C686" t="s">
        <v>5815</v>
      </c>
      <c r="D686" t="s">
        <v>35</v>
      </c>
      <c r="E686" t="s">
        <v>36</v>
      </c>
      <c r="F686" t="s">
        <v>539</v>
      </c>
      <c r="G686" t="s">
        <v>90</v>
      </c>
      <c r="H686" t="s">
        <v>89</v>
      </c>
      <c r="I686" t="s">
        <v>90</v>
      </c>
      <c r="J686" t="s">
        <v>91</v>
      </c>
      <c r="K686" t="s">
        <v>92</v>
      </c>
      <c r="L686" t="s">
        <v>50</v>
      </c>
      <c r="M686" s="2">
        <v>-18021.43</v>
      </c>
      <c r="N686" t="s">
        <v>5817</v>
      </c>
      <c r="O686" t="s">
        <v>115</v>
      </c>
      <c r="P686" t="str">
        <f>CONCATENATE("'",Tabla1[[#This Row],[Codigo]],"',")</f>
        <v>'01234',</v>
      </c>
    </row>
    <row r="687" spans="1:16" x14ac:dyDescent="0.25">
      <c r="A687" t="s">
        <v>5818</v>
      </c>
      <c r="B687" t="s">
        <v>5819</v>
      </c>
      <c r="C687" t="s">
        <v>5819</v>
      </c>
      <c r="D687" t="s">
        <v>873</v>
      </c>
      <c r="E687" t="s">
        <v>224</v>
      </c>
      <c r="F687" t="s">
        <v>5820</v>
      </c>
      <c r="G687" t="s">
        <v>2768</v>
      </c>
      <c r="H687" t="s">
        <v>2767</v>
      </c>
      <c r="I687" t="s">
        <v>2768</v>
      </c>
      <c r="J687" t="s">
        <v>69</v>
      </c>
      <c r="K687" t="s">
        <v>70</v>
      </c>
      <c r="L687" t="s">
        <v>50</v>
      </c>
      <c r="M687" s="2">
        <v>44683.26</v>
      </c>
      <c r="N687" t="s">
        <v>5823</v>
      </c>
      <c r="P687" t="str">
        <f>CONCATENATE("'",Tabla1[[#This Row],[Codigo]],"',")</f>
        <v>'01235',</v>
      </c>
    </row>
    <row r="688" spans="1:16" x14ac:dyDescent="0.25">
      <c r="A688" t="s">
        <v>5824</v>
      </c>
      <c r="B688" t="s">
        <v>5825</v>
      </c>
      <c r="C688" t="s">
        <v>5825</v>
      </c>
      <c r="D688" t="s">
        <v>35</v>
      </c>
      <c r="E688" t="s">
        <v>36</v>
      </c>
      <c r="F688" t="s">
        <v>5826</v>
      </c>
      <c r="G688" t="s">
        <v>303</v>
      </c>
      <c r="H688" t="s">
        <v>302</v>
      </c>
      <c r="I688" t="s">
        <v>303</v>
      </c>
      <c r="J688" t="s">
        <v>304</v>
      </c>
      <c r="K688" t="s">
        <v>72</v>
      </c>
      <c r="L688" t="s">
        <v>50</v>
      </c>
      <c r="M688" s="2">
        <v>326934.5</v>
      </c>
      <c r="N688" t="s">
        <v>5829</v>
      </c>
      <c r="O688" t="s">
        <v>115</v>
      </c>
      <c r="P688" t="str">
        <f>CONCATENATE("'",Tabla1[[#This Row],[Codigo]],"',")</f>
        <v>'01236',</v>
      </c>
    </row>
    <row r="689" spans="1:16" x14ac:dyDescent="0.25">
      <c r="A689" t="s">
        <v>5834</v>
      </c>
      <c r="B689" t="s">
        <v>5835</v>
      </c>
      <c r="C689" t="s">
        <v>5835</v>
      </c>
      <c r="D689" t="s">
        <v>4891</v>
      </c>
      <c r="E689" t="s">
        <v>77</v>
      </c>
      <c r="F689" t="s">
        <v>5836</v>
      </c>
      <c r="G689" t="s">
        <v>41</v>
      </c>
      <c r="H689" t="s">
        <v>40</v>
      </c>
      <c r="I689" t="s">
        <v>41</v>
      </c>
      <c r="J689" t="s">
        <v>61</v>
      </c>
      <c r="K689" t="s">
        <v>62</v>
      </c>
      <c r="L689" t="s">
        <v>50</v>
      </c>
      <c r="M689" s="2">
        <v>43634</v>
      </c>
      <c r="N689" t="s">
        <v>64</v>
      </c>
      <c r="P689" t="str">
        <f>CONCATENATE("'",Tabla1[[#This Row],[Codigo]],"',")</f>
        <v>'01239',</v>
      </c>
    </row>
    <row r="690" spans="1:16" x14ac:dyDescent="0.25">
      <c r="A690" t="s">
        <v>5848</v>
      </c>
      <c r="B690" t="s">
        <v>5849</v>
      </c>
      <c r="C690" t="s">
        <v>5849</v>
      </c>
      <c r="D690" t="s">
        <v>35</v>
      </c>
      <c r="E690" t="s">
        <v>36</v>
      </c>
      <c r="F690" t="s">
        <v>5850</v>
      </c>
      <c r="G690" t="s">
        <v>1222</v>
      </c>
      <c r="H690" t="s">
        <v>1221</v>
      </c>
      <c r="I690" t="s">
        <v>1222</v>
      </c>
      <c r="J690" t="s">
        <v>205</v>
      </c>
      <c r="K690" t="s">
        <v>206</v>
      </c>
      <c r="L690" t="s">
        <v>50</v>
      </c>
      <c r="M690" s="2">
        <v>210562.61</v>
      </c>
      <c r="N690" t="s">
        <v>5852</v>
      </c>
      <c r="O690" t="s">
        <v>115</v>
      </c>
      <c r="P690" t="str">
        <f>CONCATENATE("'",Tabla1[[#This Row],[Codigo]],"',")</f>
        <v>'01246',</v>
      </c>
    </row>
    <row r="691" spans="1:16" x14ac:dyDescent="0.25">
      <c r="A691" t="s">
        <v>5853</v>
      </c>
      <c r="B691" t="s">
        <v>5854</v>
      </c>
      <c r="C691" t="s">
        <v>2980</v>
      </c>
      <c r="D691" t="s">
        <v>178</v>
      </c>
      <c r="E691" t="s">
        <v>179</v>
      </c>
      <c r="F691" t="s">
        <v>2860</v>
      </c>
      <c r="G691" t="s">
        <v>1444</v>
      </c>
      <c r="H691" t="s">
        <v>1064</v>
      </c>
      <c r="I691" t="s">
        <v>1062</v>
      </c>
      <c r="J691" t="s">
        <v>2320</v>
      </c>
      <c r="K691" t="s">
        <v>2321</v>
      </c>
      <c r="L691" t="s">
        <v>50</v>
      </c>
      <c r="M691" s="2">
        <v>646604.93000000005</v>
      </c>
      <c r="N691" t="s">
        <v>5855</v>
      </c>
      <c r="O691" t="s">
        <v>115</v>
      </c>
      <c r="P691" t="str">
        <f>CONCATENATE("'",Tabla1[[#This Row],[Codigo]],"',")</f>
        <v>'01249',</v>
      </c>
    </row>
    <row r="692" spans="1:16" x14ac:dyDescent="0.25">
      <c r="A692" t="s">
        <v>5856</v>
      </c>
      <c r="B692" t="s">
        <v>5857</v>
      </c>
      <c r="C692" t="s">
        <v>5858</v>
      </c>
      <c r="D692" t="s">
        <v>2687</v>
      </c>
      <c r="E692" t="s">
        <v>190</v>
      </c>
      <c r="F692" t="s">
        <v>2860</v>
      </c>
      <c r="G692" t="s">
        <v>1444</v>
      </c>
      <c r="H692" t="s">
        <v>1064</v>
      </c>
      <c r="I692" t="s">
        <v>1062</v>
      </c>
      <c r="J692" t="s">
        <v>2320</v>
      </c>
      <c r="K692" t="s">
        <v>2321</v>
      </c>
      <c r="L692" t="s">
        <v>50</v>
      </c>
      <c r="M692" s="2">
        <v>654130.16</v>
      </c>
      <c r="N692" t="s">
        <v>5859</v>
      </c>
      <c r="P692" t="str">
        <f>CONCATENATE("'",Tabla1[[#This Row],[Codigo]],"',")</f>
        <v>'01250',</v>
      </c>
    </row>
    <row r="693" spans="1:16" x14ac:dyDescent="0.25">
      <c r="A693" t="s">
        <v>5860</v>
      </c>
      <c r="B693" t="s">
        <v>5861</v>
      </c>
      <c r="C693" t="s">
        <v>2877</v>
      </c>
      <c r="D693" t="s">
        <v>847</v>
      </c>
      <c r="E693" t="s">
        <v>848</v>
      </c>
      <c r="F693" t="s">
        <v>2867</v>
      </c>
      <c r="G693" t="s">
        <v>1062</v>
      </c>
      <c r="H693" t="s">
        <v>1064</v>
      </c>
      <c r="I693" t="s">
        <v>1062</v>
      </c>
      <c r="J693" t="s">
        <v>2320</v>
      </c>
      <c r="K693" t="s">
        <v>2321</v>
      </c>
      <c r="L693" t="s">
        <v>50</v>
      </c>
      <c r="M693" s="2">
        <v>584448.17000000004</v>
      </c>
      <c r="N693" t="s">
        <v>5862</v>
      </c>
      <c r="P693" t="str">
        <f>CONCATENATE("'",Tabla1[[#This Row],[Codigo]],"',")</f>
        <v>'01251',</v>
      </c>
    </row>
    <row r="694" spans="1:16" x14ac:dyDescent="0.25">
      <c r="A694" t="s">
        <v>5864</v>
      </c>
      <c r="B694" t="s">
        <v>5865</v>
      </c>
      <c r="C694" t="s">
        <v>2877</v>
      </c>
      <c r="D694" t="s">
        <v>297</v>
      </c>
      <c r="E694" t="s">
        <v>167</v>
      </c>
      <c r="F694" t="s">
        <v>2867</v>
      </c>
      <c r="G694" t="s">
        <v>1444</v>
      </c>
      <c r="H694" t="s">
        <v>1064</v>
      </c>
      <c r="I694" t="s">
        <v>1062</v>
      </c>
      <c r="J694" t="s">
        <v>2320</v>
      </c>
      <c r="K694" t="s">
        <v>2321</v>
      </c>
      <c r="L694" t="s">
        <v>50</v>
      </c>
      <c r="M694" s="2">
        <v>582605.65</v>
      </c>
      <c r="N694" t="s">
        <v>5866</v>
      </c>
      <c r="P694" t="str">
        <f>CONCATENATE("'",Tabla1[[#This Row],[Codigo]],"',")</f>
        <v>'01253',</v>
      </c>
    </row>
    <row r="695" spans="1:16" x14ac:dyDescent="0.25">
      <c r="A695" t="s">
        <v>5870</v>
      </c>
      <c r="B695" t="s">
        <v>5871</v>
      </c>
      <c r="C695" t="s">
        <v>2980</v>
      </c>
      <c r="D695" t="s">
        <v>2687</v>
      </c>
      <c r="E695" t="s">
        <v>190</v>
      </c>
      <c r="F695" t="s">
        <v>2860</v>
      </c>
      <c r="G695" t="s">
        <v>300</v>
      </c>
      <c r="H695" t="s">
        <v>302</v>
      </c>
      <c r="I695" t="s">
        <v>303</v>
      </c>
      <c r="J695" t="s">
        <v>2320</v>
      </c>
      <c r="K695" t="s">
        <v>2321</v>
      </c>
      <c r="L695" t="s">
        <v>50</v>
      </c>
      <c r="M695" s="2">
        <v>579366.68999999994</v>
      </c>
      <c r="N695" t="s">
        <v>5872</v>
      </c>
      <c r="P695" t="str">
        <f>CONCATENATE("'",Tabla1[[#This Row],[Codigo]],"',")</f>
        <v>'01256',</v>
      </c>
    </row>
    <row r="696" spans="1:16" x14ac:dyDescent="0.25">
      <c r="A696" t="s">
        <v>5875</v>
      </c>
      <c r="B696" t="s">
        <v>5876</v>
      </c>
      <c r="C696" t="s">
        <v>5876</v>
      </c>
      <c r="D696" t="s">
        <v>35</v>
      </c>
      <c r="E696" t="s">
        <v>36</v>
      </c>
      <c r="F696" t="s">
        <v>5877</v>
      </c>
      <c r="G696" t="s">
        <v>81</v>
      </c>
      <c r="H696" t="s">
        <v>80</v>
      </c>
      <c r="I696" t="s">
        <v>81</v>
      </c>
      <c r="J696" t="s">
        <v>557</v>
      </c>
      <c r="K696" t="s">
        <v>558</v>
      </c>
      <c r="L696" t="s">
        <v>50</v>
      </c>
      <c r="M696" s="2">
        <v>126772.04</v>
      </c>
      <c r="N696" t="s">
        <v>5879</v>
      </c>
      <c r="O696" t="s">
        <v>115</v>
      </c>
      <c r="P696" t="str">
        <f>CONCATENATE("'",Tabla1[[#This Row],[Codigo]],"',")</f>
        <v>'01258',</v>
      </c>
    </row>
    <row r="697" spans="1:16" x14ac:dyDescent="0.25">
      <c r="A697" t="s">
        <v>5880</v>
      </c>
      <c r="B697" t="s">
        <v>5881</v>
      </c>
      <c r="C697" t="s">
        <v>5881</v>
      </c>
      <c r="D697" t="s">
        <v>189</v>
      </c>
      <c r="E697" t="s">
        <v>190</v>
      </c>
      <c r="F697" t="s">
        <v>5882</v>
      </c>
      <c r="G697" t="s">
        <v>2831</v>
      </c>
      <c r="H697" t="s">
        <v>80</v>
      </c>
      <c r="I697" t="s">
        <v>81</v>
      </c>
      <c r="J697" t="s">
        <v>557</v>
      </c>
      <c r="K697" t="s">
        <v>558</v>
      </c>
      <c r="L697" t="s">
        <v>50</v>
      </c>
      <c r="M697" s="2">
        <v>239987</v>
      </c>
      <c r="N697" t="s">
        <v>64</v>
      </c>
      <c r="P697" t="str">
        <f>CONCATENATE("'",Tabla1[[#This Row],[Codigo]],"',")</f>
        <v>'01259',</v>
      </c>
    </row>
    <row r="698" spans="1:16" x14ac:dyDescent="0.25">
      <c r="A698" t="s">
        <v>5885</v>
      </c>
      <c r="B698" t="s">
        <v>5886</v>
      </c>
      <c r="C698" t="s">
        <v>5887</v>
      </c>
      <c r="D698" t="s">
        <v>2687</v>
      </c>
      <c r="E698" t="s">
        <v>190</v>
      </c>
      <c r="F698" t="s">
        <v>2860</v>
      </c>
      <c r="G698" t="s">
        <v>1444</v>
      </c>
      <c r="H698" t="s">
        <v>1064</v>
      </c>
      <c r="I698" t="s">
        <v>1062</v>
      </c>
      <c r="J698" t="s">
        <v>2320</v>
      </c>
      <c r="K698" t="s">
        <v>2321</v>
      </c>
      <c r="L698" t="s">
        <v>50</v>
      </c>
      <c r="M698" s="2">
        <v>609813.91</v>
      </c>
      <c r="N698" t="s">
        <v>5888</v>
      </c>
      <c r="P698" t="str">
        <f>CONCATENATE("'",Tabla1[[#This Row],[Codigo]],"',")</f>
        <v>'01261',</v>
      </c>
    </row>
    <row r="699" spans="1:16" x14ac:dyDescent="0.25">
      <c r="A699" t="s">
        <v>5889</v>
      </c>
      <c r="B699" t="s">
        <v>5890</v>
      </c>
      <c r="C699" t="s">
        <v>5890</v>
      </c>
      <c r="D699" t="s">
        <v>819</v>
      </c>
      <c r="E699" t="s">
        <v>224</v>
      </c>
      <c r="F699" t="s">
        <v>5891</v>
      </c>
      <c r="G699" t="s">
        <v>5892</v>
      </c>
      <c r="H699" t="s">
        <v>722</v>
      </c>
      <c r="I699" t="s">
        <v>721</v>
      </c>
      <c r="J699" t="s">
        <v>205</v>
      </c>
      <c r="K699" t="s">
        <v>206</v>
      </c>
      <c r="L699" t="s">
        <v>50</v>
      </c>
      <c r="M699" s="2">
        <v>436340</v>
      </c>
      <c r="N699" t="s">
        <v>64</v>
      </c>
      <c r="P699" t="str">
        <f>CONCATENATE("'",Tabla1[[#This Row],[Codigo]],"',")</f>
        <v>'01262',</v>
      </c>
    </row>
    <row r="700" spans="1:16" x14ac:dyDescent="0.25">
      <c r="A700" t="s">
        <v>5895</v>
      </c>
      <c r="B700" t="s">
        <v>5896</v>
      </c>
      <c r="C700" t="s">
        <v>5896</v>
      </c>
      <c r="D700" t="s">
        <v>1291</v>
      </c>
      <c r="E700" t="s">
        <v>134</v>
      </c>
      <c r="F700" t="s">
        <v>5897</v>
      </c>
      <c r="G700" t="s">
        <v>5892</v>
      </c>
      <c r="H700" t="s">
        <v>722</v>
      </c>
      <c r="I700" t="s">
        <v>721</v>
      </c>
      <c r="J700" t="s">
        <v>205</v>
      </c>
      <c r="K700" t="s">
        <v>206</v>
      </c>
      <c r="L700" t="s">
        <v>50</v>
      </c>
      <c r="M700" s="2">
        <v>545425</v>
      </c>
      <c r="N700" t="s">
        <v>64</v>
      </c>
      <c r="P700" t="str">
        <f>CONCATENATE("'",Tabla1[[#This Row],[Codigo]],"',")</f>
        <v>'01263',</v>
      </c>
    </row>
    <row r="701" spans="1:16" x14ac:dyDescent="0.25">
      <c r="A701" t="s">
        <v>5899</v>
      </c>
      <c r="B701" t="s">
        <v>5900</v>
      </c>
      <c r="C701" t="s">
        <v>5901</v>
      </c>
      <c r="D701" t="s">
        <v>297</v>
      </c>
      <c r="E701" t="s">
        <v>167</v>
      </c>
      <c r="F701" t="s">
        <v>5902</v>
      </c>
      <c r="G701" t="s">
        <v>157</v>
      </c>
      <c r="H701" t="s">
        <v>156</v>
      </c>
      <c r="I701" t="s">
        <v>157</v>
      </c>
      <c r="J701" t="s">
        <v>158</v>
      </c>
      <c r="K701" t="s">
        <v>159</v>
      </c>
      <c r="L701" t="s">
        <v>50</v>
      </c>
      <c r="M701" s="2">
        <v>654510</v>
      </c>
      <c r="N701" t="s">
        <v>64</v>
      </c>
      <c r="P701" t="str">
        <f>CONCATENATE("'",Tabla1[[#This Row],[Codigo]],"',")</f>
        <v>'01264',</v>
      </c>
    </row>
    <row r="702" spans="1:16" x14ac:dyDescent="0.25">
      <c r="A702" t="s">
        <v>5907</v>
      </c>
      <c r="B702" t="s">
        <v>5908</v>
      </c>
      <c r="C702" t="s">
        <v>5908</v>
      </c>
      <c r="D702" t="s">
        <v>569</v>
      </c>
      <c r="E702" t="s">
        <v>570</v>
      </c>
      <c r="F702" t="s">
        <v>5909</v>
      </c>
      <c r="G702" t="s">
        <v>584</v>
      </c>
      <c r="H702" t="s">
        <v>585</v>
      </c>
      <c r="I702" t="s">
        <v>584</v>
      </c>
      <c r="J702" t="s">
        <v>158</v>
      </c>
      <c r="K702" t="s">
        <v>159</v>
      </c>
      <c r="L702" t="s">
        <v>50</v>
      </c>
      <c r="M702" s="2">
        <v>214294.65</v>
      </c>
      <c r="N702" t="s">
        <v>5912</v>
      </c>
      <c r="O702" t="s">
        <v>52</v>
      </c>
      <c r="P702" t="str">
        <f>CONCATENATE("'",Tabla1[[#This Row],[Codigo]],"',")</f>
        <v>'01266',</v>
      </c>
    </row>
    <row r="703" spans="1:16" x14ac:dyDescent="0.25">
      <c r="A703" t="s">
        <v>5913</v>
      </c>
      <c r="B703" t="s">
        <v>5914</v>
      </c>
      <c r="C703" t="s">
        <v>5914</v>
      </c>
      <c r="D703" t="s">
        <v>153</v>
      </c>
      <c r="E703" t="s">
        <v>272</v>
      </c>
      <c r="F703" t="s">
        <v>5915</v>
      </c>
      <c r="G703" t="s">
        <v>881</v>
      </c>
      <c r="H703" t="s">
        <v>883</v>
      </c>
      <c r="I703" t="s">
        <v>881</v>
      </c>
      <c r="J703" t="s">
        <v>158</v>
      </c>
      <c r="K703" t="s">
        <v>159</v>
      </c>
      <c r="L703" t="s">
        <v>50</v>
      </c>
      <c r="M703" s="2">
        <v>183102.38</v>
      </c>
      <c r="N703" t="s">
        <v>5918</v>
      </c>
      <c r="O703" t="s">
        <v>52</v>
      </c>
      <c r="P703" t="str">
        <f>CONCATENATE("'",Tabla1[[#This Row],[Codigo]],"',")</f>
        <v>'01267',</v>
      </c>
    </row>
    <row r="704" spans="1:16" x14ac:dyDescent="0.25">
      <c r="A704" t="s">
        <v>5919</v>
      </c>
      <c r="B704" t="s">
        <v>5920</v>
      </c>
      <c r="C704" t="s">
        <v>5920</v>
      </c>
      <c r="D704" t="s">
        <v>189</v>
      </c>
      <c r="E704" t="s">
        <v>190</v>
      </c>
      <c r="F704" t="s">
        <v>5921</v>
      </c>
      <c r="G704" t="s">
        <v>81</v>
      </c>
      <c r="H704" t="s">
        <v>80</v>
      </c>
      <c r="I704" t="s">
        <v>81</v>
      </c>
      <c r="J704" t="s">
        <v>557</v>
      </c>
      <c r="K704" t="s">
        <v>558</v>
      </c>
      <c r="L704" t="s">
        <v>50</v>
      </c>
      <c r="M704" s="2">
        <v>174536</v>
      </c>
      <c r="N704" t="s">
        <v>64</v>
      </c>
      <c r="P704" t="str">
        <f>CONCATENATE("'",Tabla1[[#This Row],[Codigo]],"',")</f>
        <v>'01268',</v>
      </c>
    </row>
    <row r="705" spans="1:16" x14ac:dyDescent="0.25">
      <c r="A705" s="15" t="s">
        <v>5924</v>
      </c>
      <c r="B705" s="15" t="s">
        <v>5925</v>
      </c>
      <c r="C705" s="15" t="s">
        <v>5925</v>
      </c>
      <c r="D705" s="15" t="s">
        <v>55</v>
      </c>
      <c r="E705" s="15" t="s">
        <v>56</v>
      </c>
      <c r="F705" s="15" t="s">
        <v>5926</v>
      </c>
      <c r="G705" s="15" t="s">
        <v>5927</v>
      </c>
      <c r="H705" s="15" t="s">
        <v>5929</v>
      </c>
      <c r="I705" s="15" t="s">
        <v>5930</v>
      </c>
      <c r="J705" s="15" t="s">
        <v>557</v>
      </c>
      <c r="K705" s="15" t="s">
        <v>558</v>
      </c>
      <c r="L705" s="15" t="s">
        <v>50</v>
      </c>
      <c r="M705" s="16">
        <v>-3217.73</v>
      </c>
      <c r="N705" s="15" t="s">
        <v>5932</v>
      </c>
      <c r="O705" s="15" t="s">
        <v>115</v>
      </c>
      <c r="P705" t="str">
        <f>CONCATENATE("'",Tabla1[[#This Row],[Codigo]],"',")</f>
        <v>'01269',</v>
      </c>
    </row>
    <row r="706" spans="1:16" x14ac:dyDescent="0.25">
      <c r="A706" t="s">
        <v>5933</v>
      </c>
      <c r="B706" t="s">
        <v>5934</v>
      </c>
      <c r="C706" t="s">
        <v>5934</v>
      </c>
      <c r="D706" t="s">
        <v>125</v>
      </c>
      <c r="E706" t="s">
        <v>126</v>
      </c>
      <c r="F706" t="s">
        <v>5935</v>
      </c>
      <c r="G706" t="s">
        <v>5936</v>
      </c>
      <c r="H706" t="s">
        <v>5938</v>
      </c>
      <c r="I706" t="s">
        <v>5939</v>
      </c>
      <c r="J706" t="s">
        <v>1363</v>
      </c>
      <c r="K706" t="s">
        <v>1364</v>
      </c>
      <c r="L706" t="s">
        <v>50</v>
      </c>
      <c r="M706" s="2">
        <v>14883.27</v>
      </c>
      <c r="N706" t="s">
        <v>5941</v>
      </c>
      <c r="O706" t="s">
        <v>52</v>
      </c>
      <c r="P706" t="str">
        <f>CONCATENATE("'",Tabla1[[#This Row],[Codigo]],"',")</f>
        <v>'01270',</v>
      </c>
    </row>
    <row r="707" spans="1:16" x14ac:dyDescent="0.25">
      <c r="A707" t="s">
        <v>5942</v>
      </c>
      <c r="B707" t="s">
        <v>5943</v>
      </c>
      <c r="C707" t="s">
        <v>5944</v>
      </c>
      <c r="D707" t="s">
        <v>569</v>
      </c>
      <c r="E707" t="s">
        <v>570</v>
      </c>
      <c r="F707" t="s">
        <v>1220</v>
      </c>
      <c r="G707" t="s">
        <v>1222</v>
      </c>
      <c r="H707" t="s">
        <v>1221</v>
      </c>
      <c r="I707" t="s">
        <v>1222</v>
      </c>
      <c r="J707" t="s">
        <v>205</v>
      </c>
      <c r="K707" t="s">
        <v>206</v>
      </c>
      <c r="L707" t="s">
        <v>50</v>
      </c>
      <c r="M707" s="2">
        <v>385098.38</v>
      </c>
      <c r="N707" t="s">
        <v>5947</v>
      </c>
      <c r="P707" t="str">
        <f>CONCATENATE("'",Tabla1[[#This Row],[Codigo]],"',")</f>
        <v>'01271',</v>
      </c>
    </row>
    <row r="708" spans="1:16" x14ac:dyDescent="0.25">
      <c r="A708" t="s">
        <v>5948</v>
      </c>
      <c r="B708" t="s">
        <v>5949</v>
      </c>
      <c r="C708" t="s">
        <v>5949</v>
      </c>
      <c r="D708" t="s">
        <v>817</v>
      </c>
      <c r="E708" t="s">
        <v>224</v>
      </c>
      <c r="F708" t="s">
        <v>5950</v>
      </c>
      <c r="G708" t="s">
        <v>2318</v>
      </c>
      <c r="H708" t="s">
        <v>2159</v>
      </c>
      <c r="I708" t="s">
        <v>2160</v>
      </c>
      <c r="J708" t="s">
        <v>5952</v>
      </c>
      <c r="K708" t="s">
        <v>5953</v>
      </c>
      <c r="L708" t="s">
        <v>50</v>
      </c>
      <c r="M708" s="2">
        <v>1000</v>
      </c>
      <c r="N708" t="s">
        <v>64</v>
      </c>
      <c r="P708" t="str">
        <f>CONCATENATE("'",Tabla1[[#This Row],[Codigo]],"',")</f>
        <v>'01272',</v>
      </c>
    </row>
    <row r="709" spans="1:16" x14ac:dyDescent="0.25">
      <c r="A709" t="s">
        <v>5968</v>
      </c>
      <c r="B709" t="s">
        <v>5969</v>
      </c>
      <c r="C709" t="s">
        <v>5969</v>
      </c>
      <c r="D709" t="s">
        <v>125</v>
      </c>
      <c r="E709" t="s">
        <v>126</v>
      </c>
      <c r="F709" t="s">
        <v>5970</v>
      </c>
      <c r="G709" t="s">
        <v>5739</v>
      </c>
      <c r="H709" t="s">
        <v>5741</v>
      </c>
      <c r="I709" t="s">
        <v>5739</v>
      </c>
      <c r="J709" t="s">
        <v>5966</v>
      </c>
      <c r="K709" t="s">
        <v>5739</v>
      </c>
      <c r="L709" t="s">
        <v>50</v>
      </c>
      <c r="M709" s="2">
        <v>46909.17</v>
      </c>
      <c r="N709" t="s">
        <v>5973</v>
      </c>
      <c r="O709" t="s">
        <v>52</v>
      </c>
      <c r="P709" t="str">
        <f>CONCATENATE("'",Tabla1[[#This Row],[Codigo]],"',")</f>
        <v>'01277',</v>
      </c>
    </row>
    <row r="710" spans="1:16" x14ac:dyDescent="0.25">
      <c r="A710" t="s">
        <v>5978</v>
      </c>
      <c r="B710" t="s">
        <v>5979</v>
      </c>
      <c r="C710" t="s">
        <v>5980</v>
      </c>
      <c r="D710" t="s">
        <v>1454</v>
      </c>
      <c r="E710" t="s">
        <v>224</v>
      </c>
      <c r="F710" t="s">
        <v>4053</v>
      </c>
      <c r="G710" t="s">
        <v>5892</v>
      </c>
      <c r="H710" t="s">
        <v>722</v>
      </c>
      <c r="I710" t="s">
        <v>721</v>
      </c>
      <c r="J710" t="s">
        <v>205</v>
      </c>
      <c r="K710" t="s">
        <v>206</v>
      </c>
      <c r="L710" t="s">
        <v>50</v>
      </c>
      <c r="M710" s="2">
        <v>436340</v>
      </c>
      <c r="N710" t="s">
        <v>64</v>
      </c>
      <c r="P710" t="str">
        <f>CONCATENATE("'",Tabla1[[#This Row],[Codigo]],"',")</f>
        <v>'01280',</v>
      </c>
    </row>
    <row r="711" spans="1:16" x14ac:dyDescent="0.25">
      <c r="A711" t="s">
        <v>5985</v>
      </c>
      <c r="B711" t="s">
        <v>5986</v>
      </c>
      <c r="C711" t="s">
        <v>4248</v>
      </c>
      <c r="D711" t="s">
        <v>125</v>
      </c>
      <c r="E711" t="s">
        <v>126</v>
      </c>
      <c r="F711" t="s">
        <v>4245</v>
      </c>
      <c r="G711" t="s">
        <v>119</v>
      </c>
      <c r="H711" t="s">
        <v>118</v>
      </c>
      <c r="I711" t="s">
        <v>119</v>
      </c>
      <c r="J711" t="s">
        <v>120</v>
      </c>
      <c r="K711" t="s">
        <v>121</v>
      </c>
      <c r="L711" t="s">
        <v>50</v>
      </c>
      <c r="M711" s="2">
        <v>-224190.19</v>
      </c>
      <c r="N711" t="s">
        <v>5987</v>
      </c>
      <c r="O711" t="s">
        <v>52</v>
      </c>
      <c r="P711" t="str">
        <f>CONCATENATE("'",Tabla1[[#This Row],[Codigo]],"',")</f>
        <v>'01282',</v>
      </c>
    </row>
    <row r="712" spans="1:16" x14ac:dyDescent="0.25">
      <c r="A712" t="s">
        <v>5990</v>
      </c>
      <c r="B712" t="s">
        <v>5991</v>
      </c>
      <c r="C712" t="s">
        <v>5944</v>
      </c>
      <c r="D712" t="s">
        <v>125</v>
      </c>
      <c r="E712" t="s">
        <v>126</v>
      </c>
      <c r="F712" t="s">
        <v>1220</v>
      </c>
      <c r="G712" t="s">
        <v>1607</v>
      </c>
      <c r="H712" t="s">
        <v>1221</v>
      </c>
      <c r="I712" t="s">
        <v>1222</v>
      </c>
      <c r="J712" t="s">
        <v>205</v>
      </c>
      <c r="K712" t="s">
        <v>206</v>
      </c>
      <c r="L712" t="s">
        <v>50</v>
      </c>
      <c r="M712" s="2">
        <v>-151234.44</v>
      </c>
      <c r="N712" t="s">
        <v>5992</v>
      </c>
      <c r="O712" t="s">
        <v>52</v>
      </c>
      <c r="P712" t="str">
        <f>CONCATENATE("'",Tabla1[[#This Row],[Codigo]],"',")</f>
        <v>'01284',</v>
      </c>
    </row>
    <row r="713" spans="1:16" x14ac:dyDescent="0.25">
      <c r="A713" t="s">
        <v>5998</v>
      </c>
      <c r="B713" t="s">
        <v>5999</v>
      </c>
      <c r="C713" t="s">
        <v>5999</v>
      </c>
      <c r="D713" t="s">
        <v>1854</v>
      </c>
      <c r="E713" t="s">
        <v>224</v>
      </c>
      <c r="F713" t="s">
        <v>5997</v>
      </c>
      <c r="G713" t="s">
        <v>5927</v>
      </c>
      <c r="H713" t="s">
        <v>5929</v>
      </c>
      <c r="I713" t="s">
        <v>5930</v>
      </c>
      <c r="J713" t="s">
        <v>82</v>
      </c>
      <c r="K713" t="s">
        <v>83</v>
      </c>
      <c r="L713" t="s">
        <v>50</v>
      </c>
      <c r="M713" s="2">
        <v>218</v>
      </c>
      <c r="N713" t="s">
        <v>64</v>
      </c>
      <c r="P713" t="str">
        <f>CONCATENATE("'",Tabla1[[#This Row],[Codigo]],"',")</f>
        <v>'01288',</v>
      </c>
    </row>
    <row r="714" spans="1:16" x14ac:dyDescent="0.25">
      <c r="A714" t="s">
        <v>6002</v>
      </c>
      <c r="B714" t="s">
        <v>6003</v>
      </c>
      <c r="C714" t="s">
        <v>5999</v>
      </c>
      <c r="D714" t="s">
        <v>870</v>
      </c>
      <c r="E714" t="s">
        <v>871</v>
      </c>
      <c r="F714" t="s">
        <v>5997</v>
      </c>
      <c r="G714" t="s">
        <v>5927</v>
      </c>
      <c r="H714" t="s">
        <v>5929</v>
      </c>
      <c r="I714" t="s">
        <v>5930</v>
      </c>
      <c r="J714" t="s">
        <v>82</v>
      </c>
      <c r="K714" t="s">
        <v>83</v>
      </c>
      <c r="L714" t="s">
        <v>50</v>
      </c>
      <c r="M714" s="2">
        <v>218</v>
      </c>
      <c r="N714" t="s">
        <v>64</v>
      </c>
      <c r="P714" t="str">
        <f>CONCATENATE("'",Tabla1[[#This Row],[Codigo]],"',")</f>
        <v>'01289',</v>
      </c>
    </row>
    <row r="715" spans="1:16" x14ac:dyDescent="0.25">
      <c r="A715" t="s">
        <v>6012</v>
      </c>
      <c r="B715" t="s">
        <v>15162</v>
      </c>
      <c r="C715" t="s">
        <v>6013</v>
      </c>
      <c r="D715" t="s">
        <v>847</v>
      </c>
      <c r="E715" t="s">
        <v>848</v>
      </c>
      <c r="F715" t="s">
        <v>6014</v>
      </c>
      <c r="G715" t="s">
        <v>1222</v>
      </c>
      <c r="H715" t="s">
        <v>1221</v>
      </c>
      <c r="I715" t="s">
        <v>1222</v>
      </c>
      <c r="J715" t="s">
        <v>205</v>
      </c>
      <c r="K715" t="s">
        <v>206</v>
      </c>
      <c r="L715" t="s">
        <v>50</v>
      </c>
      <c r="M715" s="2">
        <v>51865.22</v>
      </c>
      <c r="N715" t="s">
        <v>6017</v>
      </c>
      <c r="O715" t="s">
        <v>115</v>
      </c>
      <c r="P715" t="str">
        <f>CONCATENATE("'",Tabla1[[#This Row],[Codigo]],"',")</f>
        <v>'01293',</v>
      </c>
    </row>
    <row r="716" spans="1:16" x14ac:dyDescent="0.25">
      <c r="A716" t="s">
        <v>6018</v>
      </c>
      <c r="B716" t="s">
        <v>6019</v>
      </c>
      <c r="C716" t="s">
        <v>6019</v>
      </c>
      <c r="D716" t="s">
        <v>35</v>
      </c>
      <c r="E716" t="s">
        <v>36</v>
      </c>
      <c r="F716" t="s">
        <v>6020</v>
      </c>
      <c r="G716" t="s">
        <v>1430</v>
      </c>
      <c r="H716" t="s">
        <v>1427</v>
      </c>
      <c r="I716" t="s">
        <v>1428</v>
      </c>
      <c r="J716" t="s">
        <v>82</v>
      </c>
      <c r="K716" t="s">
        <v>83</v>
      </c>
      <c r="L716" t="s">
        <v>50</v>
      </c>
      <c r="M716" s="2">
        <v>372154.77</v>
      </c>
      <c r="N716" t="s">
        <v>6023</v>
      </c>
      <c r="O716" t="s">
        <v>52</v>
      </c>
      <c r="P716" t="str">
        <f>CONCATENATE("'",Tabla1[[#This Row],[Codigo]],"',")</f>
        <v>'01294',</v>
      </c>
    </row>
    <row r="717" spans="1:16" x14ac:dyDescent="0.25">
      <c r="A717" t="s">
        <v>6024</v>
      </c>
      <c r="B717" t="s">
        <v>6025</v>
      </c>
      <c r="C717" t="s">
        <v>6025</v>
      </c>
      <c r="D717" t="s">
        <v>297</v>
      </c>
      <c r="E717" t="s">
        <v>167</v>
      </c>
      <c r="F717" t="s">
        <v>6026</v>
      </c>
      <c r="G717" t="s">
        <v>6027</v>
      </c>
      <c r="H717" t="s">
        <v>6029</v>
      </c>
      <c r="I717" t="s">
        <v>6030</v>
      </c>
      <c r="J717" t="s">
        <v>82</v>
      </c>
      <c r="K717" t="s">
        <v>83</v>
      </c>
      <c r="L717" t="s">
        <v>50</v>
      </c>
      <c r="M717" s="2">
        <v>242837.17</v>
      </c>
      <c r="N717" t="s">
        <v>6032</v>
      </c>
      <c r="O717" t="s">
        <v>52</v>
      </c>
      <c r="P717" t="str">
        <f>CONCATENATE("'",Tabla1[[#This Row],[Codigo]],"',")</f>
        <v>'01295',</v>
      </c>
    </row>
    <row r="718" spans="1:16" x14ac:dyDescent="0.25">
      <c r="A718" t="s">
        <v>6033</v>
      </c>
      <c r="B718" t="s">
        <v>6034</v>
      </c>
      <c r="C718" t="s">
        <v>6034</v>
      </c>
      <c r="D718" t="s">
        <v>125</v>
      </c>
      <c r="E718" t="s">
        <v>126</v>
      </c>
      <c r="F718" t="s">
        <v>6035</v>
      </c>
      <c r="G718" t="s">
        <v>277</v>
      </c>
      <c r="H718" t="s">
        <v>276</v>
      </c>
      <c r="I718" t="s">
        <v>277</v>
      </c>
      <c r="J718" t="s">
        <v>103</v>
      </c>
      <c r="K718" t="s">
        <v>104</v>
      </c>
      <c r="L718" t="s">
        <v>50</v>
      </c>
      <c r="M718" s="2">
        <v>333004.77</v>
      </c>
      <c r="N718" t="s">
        <v>6038</v>
      </c>
      <c r="O718" t="s">
        <v>52</v>
      </c>
      <c r="P718" t="str">
        <f>CONCATENATE("'",Tabla1[[#This Row],[Codigo]],"',")</f>
        <v>'01296',</v>
      </c>
    </row>
    <row r="719" spans="1:16" x14ac:dyDescent="0.25">
      <c r="A719" t="s">
        <v>6039</v>
      </c>
      <c r="B719" t="s">
        <v>6040</v>
      </c>
      <c r="C719" t="s">
        <v>6040</v>
      </c>
      <c r="D719" t="s">
        <v>847</v>
      </c>
      <c r="E719" t="s">
        <v>848</v>
      </c>
      <c r="F719" t="s">
        <v>6041</v>
      </c>
      <c r="G719" t="s">
        <v>5739</v>
      </c>
      <c r="H719" t="s">
        <v>6042</v>
      </c>
      <c r="I719" t="s">
        <v>6043</v>
      </c>
      <c r="J719" t="s">
        <v>5966</v>
      </c>
      <c r="K719" t="s">
        <v>5739</v>
      </c>
      <c r="L719" t="s">
        <v>50</v>
      </c>
      <c r="M719" s="2">
        <v>-602.09</v>
      </c>
      <c r="N719" t="s">
        <v>6046</v>
      </c>
      <c r="O719" t="s">
        <v>115</v>
      </c>
      <c r="P719" t="str">
        <f>CONCATENATE("'",Tabla1[[#This Row],[Codigo]],"',")</f>
        <v>'01297',</v>
      </c>
    </row>
    <row r="720" spans="1:16" x14ac:dyDescent="0.25">
      <c r="A720" t="s">
        <v>6047</v>
      </c>
      <c r="B720" t="s">
        <v>6048</v>
      </c>
      <c r="C720" t="s">
        <v>6048</v>
      </c>
      <c r="D720" t="s">
        <v>35</v>
      </c>
      <c r="E720" t="s">
        <v>36</v>
      </c>
      <c r="F720" t="s">
        <v>6049</v>
      </c>
      <c r="G720" t="s">
        <v>614</v>
      </c>
      <c r="H720" t="s">
        <v>613</v>
      </c>
      <c r="I720" t="s">
        <v>614</v>
      </c>
      <c r="J720" t="s">
        <v>91</v>
      </c>
      <c r="K720" t="s">
        <v>92</v>
      </c>
      <c r="L720" t="s">
        <v>50</v>
      </c>
      <c r="M720" s="2">
        <v>755015.24</v>
      </c>
      <c r="N720" t="s">
        <v>6052</v>
      </c>
      <c r="O720" t="s">
        <v>52</v>
      </c>
      <c r="P720" t="str">
        <f>CONCATENATE("'",Tabla1[[#This Row],[Codigo]],"',")</f>
        <v>'01298',</v>
      </c>
    </row>
    <row r="721" spans="1:16" x14ac:dyDescent="0.25">
      <c r="A721" t="s">
        <v>6060</v>
      </c>
      <c r="B721" t="s">
        <v>6061</v>
      </c>
      <c r="C721" t="s">
        <v>6061</v>
      </c>
      <c r="D721" t="s">
        <v>1454</v>
      </c>
      <c r="E721" t="s">
        <v>224</v>
      </c>
      <c r="F721" t="s">
        <v>6062</v>
      </c>
      <c r="G721" t="s">
        <v>820</v>
      </c>
      <c r="H721" t="s">
        <v>822</v>
      </c>
      <c r="I721" t="s">
        <v>820</v>
      </c>
      <c r="J721" t="s">
        <v>91</v>
      </c>
      <c r="K721" t="s">
        <v>92</v>
      </c>
      <c r="L721" t="s">
        <v>50</v>
      </c>
      <c r="M721" s="2">
        <v>69814</v>
      </c>
      <c r="N721" t="s">
        <v>64</v>
      </c>
      <c r="P721" t="str">
        <f>CONCATENATE("'",Tabla1[[#This Row],[Codigo]],"',")</f>
        <v>'01301',</v>
      </c>
    </row>
    <row r="722" spans="1:16" x14ac:dyDescent="0.25">
      <c r="A722" t="s">
        <v>6067</v>
      </c>
      <c r="B722" t="s">
        <v>6068</v>
      </c>
      <c r="C722" t="s">
        <v>6068</v>
      </c>
      <c r="D722" t="s">
        <v>35</v>
      </c>
      <c r="E722" t="s">
        <v>36</v>
      </c>
      <c r="F722" t="s">
        <v>6069</v>
      </c>
      <c r="G722" t="s">
        <v>6070</v>
      </c>
      <c r="H722" t="s">
        <v>6072</v>
      </c>
      <c r="I722" t="s">
        <v>6073</v>
      </c>
      <c r="J722" t="s">
        <v>82</v>
      </c>
      <c r="K722" t="s">
        <v>83</v>
      </c>
      <c r="L722" t="s">
        <v>50</v>
      </c>
      <c r="M722" s="2">
        <v>21483.22</v>
      </c>
      <c r="N722" t="s">
        <v>6075</v>
      </c>
      <c r="O722" t="s">
        <v>115</v>
      </c>
      <c r="P722" t="str">
        <f>CONCATENATE("'",Tabla1[[#This Row],[Codigo]],"',")</f>
        <v>'01303',</v>
      </c>
    </row>
    <row r="723" spans="1:16" x14ac:dyDescent="0.25">
      <c r="A723" t="s">
        <v>6076</v>
      </c>
      <c r="B723" t="s">
        <v>6077</v>
      </c>
      <c r="C723" t="s">
        <v>6077</v>
      </c>
      <c r="D723" t="s">
        <v>35</v>
      </c>
      <c r="E723" t="s">
        <v>36</v>
      </c>
      <c r="F723" t="s">
        <v>6078</v>
      </c>
      <c r="G723" t="s">
        <v>6079</v>
      </c>
      <c r="H723" t="s">
        <v>6081</v>
      </c>
      <c r="I723" t="s">
        <v>6082</v>
      </c>
      <c r="J723" t="s">
        <v>5966</v>
      </c>
      <c r="K723" t="s">
        <v>5739</v>
      </c>
      <c r="L723" t="s">
        <v>50</v>
      </c>
      <c r="M723" s="2">
        <v>218170</v>
      </c>
      <c r="N723" t="s">
        <v>64</v>
      </c>
      <c r="P723" t="str">
        <f>CONCATENATE("'",Tabla1[[#This Row],[Codigo]],"',")</f>
        <v>'01304',</v>
      </c>
    </row>
    <row r="724" spans="1:16" x14ac:dyDescent="0.25">
      <c r="A724" t="s">
        <v>6084</v>
      </c>
      <c r="B724" t="s">
        <v>6085</v>
      </c>
      <c r="C724" t="s">
        <v>6085</v>
      </c>
      <c r="D724" t="s">
        <v>1939</v>
      </c>
      <c r="E724" t="s">
        <v>224</v>
      </c>
      <c r="F724" t="s">
        <v>6086</v>
      </c>
      <c r="G724" t="s">
        <v>41</v>
      </c>
      <c r="H724" t="s">
        <v>40</v>
      </c>
      <c r="I724" t="s">
        <v>41</v>
      </c>
      <c r="J724" t="s">
        <v>61</v>
      </c>
      <c r="K724" t="s">
        <v>62</v>
      </c>
      <c r="L724" t="s">
        <v>50</v>
      </c>
      <c r="M724" s="2">
        <v>502791.82</v>
      </c>
      <c r="N724" t="s">
        <v>6089</v>
      </c>
      <c r="P724" t="str">
        <f>CONCATENATE("'",Tabla1[[#This Row],[Codigo]],"',")</f>
        <v>'01305',</v>
      </c>
    </row>
    <row r="725" spans="1:16" x14ac:dyDescent="0.25">
      <c r="A725" t="s">
        <v>6090</v>
      </c>
      <c r="B725" t="s">
        <v>6091</v>
      </c>
      <c r="C725" t="s">
        <v>6091</v>
      </c>
      <c r="D725" t="s">
        <v>35</v>
      </c>
      <c r="E725" t="s">
        <v>36</v>
      </c>
      <c r="F725" t="s">
        <v>6092</v>
      </c>
      <c r="G725" t="s">
        <v>6093</v>
      </c>
      <c r="H725" t="s">
        <v>6094</v>
      </c>
      <c r="I725" t="s">
        <v>6095</v>
      </c>
      <c r="J725" t="s">
        <v>5966</v>
      </c>
      <c r="K725" t="s">
        <v>5739</v>
      </c>
      <c r="L725" t="s">
        <v>50</v>
      </c>
      <c r="M725" s="2">
        <v>2479258.96</v>
      </c>
      <c r="N725" t="s">
        <v>6097</v>
      </c>
      <c r="O725" t="s">
        <v>52</v>
      </c>
      <c r="P725" t="str">
        <f>CONCATENATE("'",Tabla1[[#This Row],[Codigo]],"',")</f>
        <v>'01306',</v>
      </c>
    </row>
    <row r="726" spans="1:16" x14ac:dyDescent="0.25">
      <c r="A726" t="s">
        <v>6101</v>
      </c>
      <c r="B726" t="s">
        <v>6102</v>
      </c>
      <c r="C726" t="s">
        <v>6102</v>
      </c>
      <c r="D726" t="s">
        <v>125</v>
      </c>
      <c r="E726" t="s">
        <v>126</v>
      </c>
      <c r="F726" t="s">
        <v>6103</v>
      </c>
      <c r="G726" t="s">
        <v>6104</v>
      </c>
      <c r="H726" t="s">
        <v>6106</v>
      </c>
      <c r="I726" t="s">
        <v>6107</v>
      </c>
      <c r="J726" t="s">
        <v>2320</v>
      </c>
      <c r="K726" t="s">
        <v>2321</v>
      </c>
      <c r="L726" t="s">
        <v>50</v>
      </c>
      <c r="M726" s="2">
        <v>254142.78</v>
      </c>
      <c r="N726" t="s">
        <v>6109</v>
      </c>
      <c r="O726" t="s">
        <v>52</v>
      </c>
      <c r="P726" t="str">
        <f>CONCATENATE("'",Tabla1[[#This Row],[Codigo]],"',")</f>
        <v>'01308',</v>
      </c>
    </row>
    <row r="727" spans="1:16" x14ac:dyDescent="0.25">
      <c r="A727" t="s">
        <v>6110</v>
      </c>
      <c r="B727" t="s">
        <v>6111</v>
      </c>
      <c r="C727" t="s">
        <v>6111</v>
      </c>
      <c r="D727" t="s">
        <v>1846</v>
      </c>
      <c r="E727" t="s">
        <v>134</v>
      </c>
      <c r="F727" t="s">
        <v>6112</v>
      </c>
      <c r="G727" t="s">
        <v>6113</v>
      </c>
      <c r="H727" t="s">
        <v>5741</v>
      </c>
      <c r="I727" t="s">
        <v>5739</v>
      </c>
      <c r="J727" t="s">
        <v>5966</v>
      </c>
      <c r="K727" t="s">
        <v>5739</v>
      </c>
      <c r="L727" t="s">
        <v>50</v>
      </c>
      <c r="M727" s="2">
        <v>43634</v>
      </c>
      <c r="N727" t="s">
        <v>64</v>
      </c>
      <c r="P727" t="str">
        <f>CONCATENATE("'",Tabla1[[#This Row],[Codigo]],"',")</f>
        <v>'01311',</v>
      </c>
    </row>
    <row r="728" spans="1:16" x14ac:dyDescent="0.25">
      <c r="A728" t="s">
        <v>6116</v>
      </c>
      <c r="B728" t="s">
        <v>6117</v>
      </c>
      <c r="C728" t="s">
        <v>6118</v>
      </c>
      <c r="D728" t="s">
        <v>888</v>
      </c>
      <c r="E728" t="s">
        <v>167</v>
      </c>
      <c r="F728" t="s">
        <v>6119</v>
      </c>
      <c r="G728" t="s">
        <v>303</v>
      </c>
      <c r="H728" t="s">
        <v>302</v>
      </c>
      <c r="I728" t="s">
        <v>303</v>
      </c>
      <c r="J728" t="s">
        <v>304</v>
      </c>
      <c r="K728" t="s">
        <v>72</v>
      </c>
      <c r="L728" t="s">
        <v>50</v>
      </c>
      <c r="M728" s="2">
        <v>64587.49</v>
      </c>
      <c r="N728" t="s">
        <v>6122</v>
      </c>
      <c r="P728" t="str">
        <f>CONCATENATE("'",Tabla1[[#This Row],[Codigo]],"',")</f>
        <v>'01312',</v>
      </c>
    </row>
    <row r="729" spans="1:16" x14ac:dyDescent="0.25">
      <c r="A729" t="s">
        <v>6125</v>
      </c>
      <c r="B729" t="s">
        <v>6126</v>
      </c>
      <c r="C729" t="s">
        <v>6126</v>
      </c>
      <c r="D729" t="s">
        <v>35</v>
      </c>
      <c r="E729" t="s">
        <v>36</v>
      </c>
      <c r="F729" t="s">
        <v>6127</v>
      </c>
      <c r="G729" t="s">
        <v>5936</v>
      </c>
      <c r="H729" t="s">
        <v>5938</v>
      </c>
      <c r="I729" t="s">
        <v>5939</v>
      </c>
      <c r="J729" t="s">
        <v>1363</v>
      </c>
      <c r="K729" t="s">
        <v>1364</v>
      </c>
      <c r="L729" t="s">
        <v>50</v>
      </c>
      <c r="M729" s="2">
        <v>25915.39</v>
      </c>
      <c r="N729" t="s">
        <v>6130</v>
      </c>
      <c r="O729" t="s">
        <v>52</v>
      </c>
      <c r="P729" t="str">
        <f>CONCATENATE("'",Tabla1[[#This Row],[Codigo]],"',")</f>
        <v>'01314',</v>
      </c>
    </row>
    <row r="730" spans="1:16" x14ac:dyDescent="0.25">
      <c r="A730" t="s">
        <v>6131</v>
      </c>
      <c r="B730" t="s">
        <v>6132</v>
      </c>
      <c r="C730" t="s">
        <v>6132</v>
      </c>
      <c r="D730" t="s">
        <v>847</v>
      </c>
      <c r="E730" t="s">
        <v>848</v>
      </c>
      <c r="F730" t="s">
        <v>6133</v>
      </c>
      <c r="G730" t="s">
        <v>6134</v>
      </c>
      <c r="H730" t="s">
        <v>6135</v>
      </c>
      <c r="I730" t="s">
        <v>6136</v>
      </c>
      <c r="J730" t="s">
        <v>2320</v>
      </c>
      <c r="K730" t="s">
        <v>2321</v>
      </c>
      <c r="L730" t="s">
        <v>50</v>
      </c>
      <c r="M730" s="2">
        <v>455305.88</v>
      </c>
      <c r="N730" t="s">
        <v>6138</v>
      </c>
      <c r="O730" t="s">
        <v>115</v>
      </c>
      <c r="P730" t="str">
        <f>CONCATENATE("'",Tabla1[[#This Row],[Codigo]],"',")</f>
        <v>'01315',</v>
      </c>
    </row>
    <row r="731" spans="1:16" x14ac:dyDescent="0.25">
      <c r="A731" t="s">
        <v>6139</v>
      </c>
      <c r="B731" t="s">
        <v>6140</v>
      </c>
      <c r="C731" t="s">
        <v>6140</v>
      </c>
      <c r="D731" t="s">
        <v>847</v>
      </c>
      <c r="E731" t="s">
        <v>848</v>
      </c>
      <c r="F731" t="s">
        <v>6141</v>
      </c>
      <c r="G731" t="s">
        <v>6113</v>
      </c>
      <c r="H731" t="s">
        <v>5741</v>
      </c>
      <c r="I731" t="s">
        <v>5739</v>
      </c>
      <c r="J731" t="s">
        <v>6143</v>
      </c>
      <c r="K731" t="s">
        <v>6144</v>
      </c>
      <c r="L731" t="s">
        <v>50</v>
      </c>
      <c r="M731" s="2">
        <v>96934.56</v>
      </c>
      <c r="N731" t="s">
        <v>6146</v>
      </c>
      <c r="O731" t="s">
        <v>52</v>
      </c>
      <c r="P731" t="str">
        <f>CONCATENATE("'",Tabla1[[#This Row],[Codigo]],"',")</f>
        <v>'01316',</v>
      </c>
    </row>
    <row r="732" spans="1:16" x14ac:dyDescent="0.25">
      <c r="A732" s="15" t="s">
        <v>6147</v>
      </c>
      <c r="B732" s="15" t="s">
        <v>15163</v>
      </c>
      <c r="C732" s="15" t="s">
        <v>6148</v>
      </c>
      <c r="D732" s="15" t="s">
        <v>55</v>
      </c>
      <c r="E732" s="15" t="s">
        <v>56</v>
      </c>
      <c r="F732" s="15" t="s">
        <v>6149</v>
      </c>
      <c r="G732" s="15" t="s">
        <v>6150</v>
      </c>
      <c r="H732" s="15" t="s">
        <v>5741</v>
      </c>
      <c r="I732" s="15" t="s">
        <v>5739</v>
      </c>
      <c r="J732" s="15" t="s">
        <v>5966</v>
      </c>
      <c r="K732" s="15" t="s">
        <v>5739</v>
      </c>
      <c r="L732" s="15" t="s">
        <v>50</v>
      </c>
      <c r="M732" s="16">
        <v>-5868.05</v>
      </c>
      <c r="N732" s="15" t="s">
        <v>6153</v>
      </c>
      <c r="O732" s="15" t="s">
        <v>115</v>
      </c>
      <c r="P732" t="str">
        <f>CONCATENATE("'",Tabla1[[#This Row],[Codigo]],"',")</f>
        <v>'01317',</v>
      </c>
    </row>
    <row r="733" spans="1:16" x14ac:dyDescent="0.25">
      <c r="A733" t="s">
        <v>6155</v>
      </c>
      <c r="B733" t="s">
        <v>6156</v>
      </c>
      <c r="C733" t="s">
        <v>6157</v>
      </c>
      <c r="D733" t="s">
        <v>35</v>
      </c>
      <c r="E733" t="s">
        <v>36</v>
      </c>
      <c r="F733" t="s">
        <v>648</v>
      </c>
      <c r="G733" t="s">
        <v>446</v>
      </c>
      <c r="H733" t="s">
        <v>445</v>
      </c>
      <c r="I733" t="s">
        <v>446</v>
      </c>
      <c r="J733" t="s">
        <v>69</v>
      </c>
      <c r="K733" t="s">
        <v>70</v>
      </c>
      <c r="L733" t="s">
        <v>50</v>
      </c>
      <c r="M733" s="2">
        <v>116593.8</v>
      </c>
      <c r="N733" t="s">
        <v>6159</v>
      </c>
      <c r="O733" t="s">
        <v>115</v>
      </c>
      <c r="P733" t="str">
        <f>CONCATENATE("'",Tabla1[[#This Row],[Codigo]],"',")</f>
        <v>'01319',</v>
      </c>
    </row>
    <row r="734" spans="1:16" x14ac:dyDescent="0.25">
      <c r="A734" t="s">
        <v>6162</v>
      </c>
      <c r="B734" t="s">
        <v>15164</v>
      </c>
      <c r="C734" t="s">
        <v>6163</v>
      </c>
      <c r="D734" t="s">
        <v>773</v>
      </c>
      <c r="E734" t="s">
        <v>224</v>
      </c>
      <c r="F734" t="s">
        <v>3056</v>
      </c>
      <c r="G734" t="s">
        <v>300</v>
      </c>
      <c r="H734" t="s">
        <v>302</v>
      </c>
      <c r="I734" t="s">
        <v>303</v>
      </c>
      <c r="J734" t="s">
        <v>304</v>
      </c>
      <c r="K734" t="s">
        <v>72</v>
      </c>
      <c r="L734" t="s">
        <v>50</v>
      </c>
      <c r="M734" s="2">
        <v>872680</v>
      </c>
      <c r="N734" t="s">
        <v>64</v>
      </c>
      <c r="P734" t="str">
        <f>CONCATENATE("'",Tabla1[[#This Row],[Codigo]],"',")</f>
        <v>'01321',</v>
      </c>
    </row>
    <row r="735" spans="1:16" x14ac:dyDescent="0.25">
      <c r="A735" t="s">
        <v>6169</v>
      </c>
      <c r="B735" t="s">
        <v>6170</v>
      </c>
      <c r="C735" t="s">
        <v>6170</v>
      </c>
      <c r="D735" t="s">
        <v>4891</v>
      </c>
      <c r="E735" t="s">
        <v>77</v>
      </c>
      <c r="F735" t="s">
        <v>6171</v>
      </c>
      <c r="G735" t="s">
        <v>6070</v>
      </c>
      <c r="H735" t="s">
        <v>6072</v>
      </c>
      <c r="I735" t="s">
        <v>6073</v>
      </c>
      <c r="J735" t="s">
        <v>557</v>
      </c>
      <c r="K735" t="s">
        <v>558</v>
      </c>
      <c r="L735" t="s">
        <v>50</v>
      </c>
      <c r="M735" s="2">
        <v>218</v>
      </c>
      <c r="N735" t="s">
        <v>64</v>
      </c>
      <c r="P735" t="str">
        <f>CONCATENATE("'",Tabla1[[#This Row],[Codigo]],"',")</f>
        <v>'01324',</v>
      </c>
    </row>
    <row r="736" spans="1:16" x14ac:dyDescent="0.25">
      <c r="A736" t="s">
        <v>6182</v>
      </c>
      <c r="B736" t="s">
        <v>6183</v>
      </c>
      <c r="C736" t="s">
        <v>6183</v>
      </c>
      <c r="D736" t="s">
        <v>2389</v>
      </c>
      <c r="E736" t="s">
        <v>134</v>
      </c>
      <c r="F736" t="s">
        <v>6184</v>
      </c>
      <c r="G736" t="s">
        <v>2844</v>
      </c>
      <c r="H736" t="s">
        <v>2846</v>
      </c>
      <c r="I736" t="s">
        <v>2844</v>
      </c>
      <c r="J736" t="s">
        <v>256</v>
      </c>
      <c r="K736" t="s">
        <v>255</v>
      </c>
      <c r="L736" t="s">
        <v>50</v>
      </c>
      <c r="M736" s="2">
        <v>26815.79</v>
      </c>
      <c r="N736" t="s">
        <v>6187</v>
      </c>
      <c r="O736" t="s">
        <v>115</v>
      </c>
      <c r="P736" t="str">
        <f>CONCATENATE("'",Tabla1[[#This Row],[Codigo]],"',")</f>
        <v>'01330',</v>
      </c>
    </row>
    <row r="737" spans="1:16" x14ac:dyDescent="0.25">
      <c r="A737" t="s">
        <v>6188</v>
      </c>
      <c r="B737" t="s">
        <v>6189</v>
      </c>
      <c r="C737" t="s">
        <v>6189</v>
      </c>
      <c r="D737" t="s">
        <v>125</v>
      </c>
      <c r="E737" t="s">
        <v>126</v>
      </c>
      <c r="F737" t="s">
        <v>6190</v>
      </c>
      <c r="G737" t="s">
        <v>327</v>
      </c>
      <c r="H737" t="s">
        <v>326</v>
      </c>
      <c r="I737" t="s">
        <v>327</v>
      </c>
      <c r="J737" t="s">
        <v>120</v>
      </c>
      <c r="K737" t="s">
        <v>121</v>
      </c>
      <c r="L737" t="s">
        <v>50</v>
      </c>
      <c r="M737" s="2">
        <v>205025.43</v>
      </c>
      <c r="N737" t="s">
        <v>6193</v>
      </c>
      <c r="O737" t="s">
        <v>52</v>
      </c>
      <c r="P737" t="str">
        <f>CONCATENATE("'",Tabla1[[#This Row],[Codigo]],"',")</f>
        <v>'01331',</v>
      </c>
    </row>
    <row r="738" spans="1:16" x14ac:dyDescent="0.25">
      <c r="A738" t="s">
        <v>6194</v>
      </c>
      <c r="B738" t="s">
        <v>6195</v>
      </c>
      <c r="C738" t="s">
        <v>6196</v>
      </c>
      <c r="D738" t="s">
        <v>847</v>
      </c>
      <c r="E738" t="s">
        <v>848</v>
      </c>
      <c r="F738" t="s">
        <v>6197</v>
      </c>
      <c r="G738" t="s">
        <v>6104</v>
      </c>
      <c r="H738" t="s">
        <v>6106</v>
      </c>
      <c r="I738" t="s">
        <v>6107</v>
      </c>
      <c r="J738" t="s">
        <v>2320</v>
      </c>
      <c r="K738" t="s">
        <v>2321</v>
      </c>
      <c r="L738" t="s">
        <v>50</v>
      </c>
      <c r="M738" s="2">
        <v>433116.1</v>
      </c>
      <c r="N738" t="s">
        <v>6200</v>
      </c>
      <c r="P738" t="str">
        <f>CONCATENATE("'",Tabla1[[#This Row],[Codigo]],"',")</f>
        <v>'01332',</v>
      </c>
    </row>
    <row r="739" spans="1:16" x14ac:dyDescent="0.25">
      <c r="A739" t="s">
        <v>6204</v>
      </c>
      <c r="B739" t="s">
        <v>6205</v>
      </c>
      <c r="C739" t="s">
        <v>6205</v>
      </c>
      <c r="D739" t="s">
        <v>166</v>
      </c>
      <c r="E739" t="s">
        <v>167</v>
      </c>
      <c r="F739" t="s">
        <v>6206</v>
      </c>
      <c r="G739" t="s">
        <v>2831</v>
      </c>
      <c r="H739" t="s">
        <v>80</v>
      </c>
      <c r="I739" t="s">
        <v>81</v>
      </c>
      <c r="J739" t="s">
        <v>557</v>
      </c>
      <c r="K739" t="s">
        <v>558</v>
      </c>
      <c r="L739" t="s">
        <v>50</v>
      </c>
      <c r="M739" s="2">
        <v>136974.5</v>
      </c>
      <c r="N739" t="s">
        <v>6209</v>
      </c>
      <c r="O739" t="s">
        <v>115</v>
      </c>
      <c r="P739" t="str">
        <f>CONCATENATE("'",Tabla1[[#This Row],[Codigo]],"',")</f>
        <v>'01335',</v>
      </c>
    </row>
    <row r="740" spans="1:16" x14ac:dyDescent="0.25">
      <c r="A740" t="s">
        <v>6210</v>
      </c>
      <c r="B740" t="s">
        <v>6211</v>
      </c>
      <c r="C740" t="s">
        <v>6211</v>
      </c>
      <c r="D740" t="s">
        <v>125</v>
      </c>
      <c r="E740" t="s">
        <v>126</v>
      </c>
      <c r="F740" t="s">
        <v>6212</v>
      </c>
      <c r="G740" t="s">
        <v>6027</v>
      </c>
      <c r="H740" t="s">
        <v>6029</v>
      </c>
      <c r="I740" t="s">
        <v>6030</v>
      </c>
      <c r="J740" t="s">
        <v>82</v>
      </c>
      <c r="K740" t="s">
        <v>83</v>
      </c>
      <c r="L740" t="s">
        <v>50</v>
      </c>
      <c r="M740" s="2">
        <v>48606.53</v>
      </c>
      <c r="N740" t="s">
        <v>6215</v>
      </c>
      <c r="O740" t="s">
        <v>115</v>
      </c>
      <c r="P740" t="str">
        <f>CONCATENATE("'",Tabla1[[#This Row],[Codigo]],"',")</f>
        <v>'01336',</v>
      </c>
    </row>
    <row r="741" spans="1:16" x14ac:dyDescent="0.25">
      <c r="A741" t="s">
        <v>6216</v>
      </c>
      <c r="B741" t="s">
        <v>6217</v>
      </c>
      <c r="C741" t="s">
        <v>6217</v>
      </c>
      <c r="D741" t="s">
        <v>125</v>
      </c>
      <c r="E741" t="s">
        <v>126</v>
      </c>
      <c r="F741" t="s">
        <v>6218</v>
      </c>
      <c r="G741" t="s">
        <v>303</v>
      </c>
      <c r="H741" t="s">
        <v>302</v>
      </c>
      <c r="I741" t="s">
        <v>303</v>
      </c>
      <c r="J741" t="s">
        <v>304</v>
      </c>
      <c r="K741" t="s">
        <v>72</v>
      </c>
      <c r="L741" t="s">
        <v>50</v>
      </c>
      <c r="M741" s="2">
        <v>226315.3</v>
      </c>
      <c r="N741" t="s">
        <v>6221</v>
      </c>
      <c r="O741" t="s">
        <v>52</v>
      </c>
      <c r="P741" t="str">
        <f>CONCATENATE("'",Tabla1[[#This Row],[Codigo]],"',")</f>
        <v>'01337',</v>
      </c>
    </row>
    <row r="742" spans="1:16" x14ac:dyDescent="0.25">
      <c r="A742" t="s">
        <v>6224</v>
      </c>
      <c r="B742" t="s">
        <v>6225</v>
      </c>
      <c r="C742" t="s">
        <v>6225</v>
      </c>
      <c r="D742" t="s">
        <v>2118</v>
      </c>
      <c r="E742" t="s">
        <v>871</v>
      </c>
      <c r="F742" t="s">
        <v>6226</v>
      </c>
      <c r="G742" t="s">
        <v>303</v>
      </c>
      <c r="H742" t="s">
        <v>302</v>
      </c>
      <c r="I742" t="s">
        <v>303</v>
      </c>
      <c r="J742" t="s">
        <v>304</v>
      </c>
      <c r="K742" t="s">
        <v>72</v>
      </c>
      <c r="L742" t="s">
        <v>50</v>
      </c>
      <c r="M742" s="2">
        <v>43634</v>
      </c>
      <c r="N742" t="s">
        <v>64</v>
      </c>
      <c r="P742" t="str">
        <f>CONCATENATE("'",Tabla1[[#This Row],[Codigo]],"',")</f>
        <v>'01339',</v>
      </c>
    </row>
    <row r="743" spans="1:16" x14ac:dyDescent="0.25">
      <c r="A743" t="s">
        <v>6229</v>
      </c>
      <c r="B743" t="s">
        <v>6230</v>
      </c>
      <c r="C743" t="s">
        <v>6230</v>
      </c>
      <c r="D743" t="s">
        <v>870</v>
      </c>
      <c r="E743" t="s">
        <v>871</v>
      </c>
      <c r="F743" t="s">
        <v>6231</v>
      </c>
      <c r="H743" t="s">
        <v>254</v>
      </c>
      <c r="I743" t="s">
        <v>255</v>
      </c>
      <c r="J743" t="s">
        <v>42</v>
      </c>
      <c r="K743" t="s">
        <v>43</v>
      </c>
      <c r="L743" t="s">
        <v>50</v>
      </c>
      <c r="M743" s="2">
        <v>3447345.52</v>
      </c>
      <c r="N743" t="s">
        <v>6233</v>
      </c>
      <c r="O743" t="s">
        <v>52</v>
      </c>
      <c r="P743" t="str">
        <f>CONCATENATE("'",Tabla1[[#This Row],[Codigo]],"',")</f>
        <v>'01340',</v>
      </c>
    </row>
    <row r="744" spans="1:16" x14ac:dyDescent="0.25">
      <c r="A744" t="s">
        <v>6234</v>
      </c>
      <c r="B744" t="s">
        <v>6235</v>
      </c>
      <c r="C744" t="s">
        <v>6235</v>
      </c>
      <c r="D744" t="s">
        <v>153</v>
      </c>
      <c r="E744" t="s">
        <v>272</v>
      </c>
      <c r="F744" t="s">
        <v>6236</v>
      </c>
      <c r="G744" t="s">
        <v>6237</v>
      </c>
      <c r="H744" t="s">
        <v>6239</v>
      </c>
      <c r="I744" t="s">
        <v>6240</v>
      </c>
      <c r="J744" t="s">
        <v>82</v>
      </c>
      <c r="K744" t="s">
        <v>83</v>
      </c>
      <c r="L744" t="s">
        <v>50</v>
      </c>
      <c r="M744" s="2">
        <v>113259.02</v>
      </c>
      <c r="N744" t="s">
        <v>6242</v>
      </c>
      <c r="O744" t="s">
        <v>52</v>
      </c>
      <c r="P744" t="str">
        <f>CONCATENATE("'",Tabla1[[#This Row],[Codigo]],"',")</f>
        <v>'01341',</v>
      </c>
    </row>
    <row r="745" spans="1:16" x14ac:dyDescent="0.25">
      <c r="A745" t="s">
        <v>6243</v>
      </c>
      <c r="B745" t="s">
        <v>6244</v>
      </c>
      <c r="C745" t="s">
        <v>6244</v>
      </c>
      <c r="D745" t="s">
        <v>166</v>
      </c>
      <c r="E745" t="s">
        <v>167</v>
      </c>
      <c r="F745" t="s">
        <v>6245</v>
      </c>
      <c r="G745" t="s">
        <v>6246</v>
      </c>
      <c r="H745" t="s">
        <v>6248</v>
      </c>
      <c r="I745" t="s">
        <v>6249</v>
      </c>
      <c r="J745" t="s">
        <v>1363</v>
      </c>
      <c r="K745" t="s">
        <v>1364</v>
      </c>
      <c r="L745" t="s">
        <v>50</v>
      </c>
      <c r="M745" s="2">
        <v>161146.92000000001</v>
      </c>
      <c r="N745" t="s">
        <v>6251</v>
      </c>
      <c r="O745" t="s">
        <v>52</v>
      </c>
      <c r="P745" t="str">
        <f>CONCATENATE("'",Tabla1[[#This Row],[Codigo]],"',")</f>
        <v>'01343',</v>
      </c>
    </row>
    <row r="746" spans="1:16" x14ac:dyDescent="0.25">
      <c r="A746" t="s">
        <v>6252</v>
      </c>
      <c r="B746" t="s">
        <v>6253</v>
      </c>
      <c r="C746" t="s">
        <v>6253</v>
      </c>
      <c r="D746" t="s">
        <v>2687</v>
      </c>
      <c r="E746" t="s">
        <v>190</v>
      </c>
      <c r="F746" t="s">
        <v>6254</v>
      </c>
      <c r="G746" t="s">
        <v>6255</v>
      </c>
      <c r="H746" t="s">
        <v>6257</v>
      </c>
      <c r="I746" t="s">
        <v>6258</v>
      </c>
      <c r="J746" t="s">
        <v>120</v>
      </c>
      <c r="K746" t="s">
        <v>121</v>
      </c>
      <c r="L746" t="s">
        <v>50</v>
      </c>
      <c r="M746" s="2">
        <v>109085</v>
      </c>
      <c r="N746" t="s">
        <v>64</v>
      </c>
      <c r="P746" t="str">
        <f>CONCATENATE("'",Tabla1[[#This Row],[Codigo]],"',")</f>
        <v>'01344',</v>
      </c>
    </row>
    <row r="747" spans="1:16" x14ac:dyDescent="0.25">
      <c r="A747" t="s">
        <v>6263</v>
      </c>
      <c r="B747" t="s">
        <v>6264</v>
      </c>
      <c r="C747" t="s">
        <v>4369</v>
      </c>
      <c r="D747" t="s">
        <v>817</v>
      </c>
      <c r="E747" t="s">
        <v>224</v>
      </c>
      <c r="F747" t="s">
        <v>4370</v>
      </c>
      <c r="G747" t="s">
        <v>6265</v>
      </c>
      <c r="H747" t="s">
        <v>6266</v>
      </c>
      <c r="I747" t="s">
        <v>6267</v>
      </c>
      <c r="J747" t="s">
        <v>4374</v>
      </c>
      <c r="K747" t="s">
        <v>4375</v>
      </c>
      <c r="L747" t="s">
        <v>50</v>
      </c>
      <c r="M747" s="2">
        <v>1119800</v>
      </c>
      <c r="N747" t="s">
        <v>64</v>
      </c>
      <c r="P747" t="str">
        <f>CONCATENATE("'",Tabla1[[#This Row],[Codigo]],"',")</f>
        <v>'01347',</v>
      </c>
    </row>
    <row r="748" spans="1:16" x14ac:dyDescent="0.25">
      <c r="A748" t="s">
        <v>6269</v>
      </c>
      <c r="B748" t="s">
        <v>6270</v>
      </c>
      <c r="C748" t="s">
        <v>6270</v>
      </c>
      <c r="D748" t="s">
        <v>299</v>
      </c>
      <c r="E748" t="s">
        <v>167</v>
      </c>
      <c r="F748" t="s">
        <v>6271</v>
      </c>
      <c r="G748" t="s">
        <v>1581</v>
      </c>
      <c r="H748" t="s">
        <v>203</v>
      </c>
      <c r="I748" t="s">
        <v>204</v>
      </c>
      <c r="J748" t="s">
        <v>205</v>
      </c>
      <c r="K748" t="s">
        <v>206</v>
      </c>
      <c r="L748" t="s">
        <v>50</v>
      </c>
      <c r="M748" s="2">
        <v>104208.19</v>
      </c>
      <c r="N748" t="s">
        <v>6273</v>
      </c>
      <c r="O748" t="s">
        <v>52</v>
      </c>
      <c r="P748" t="str">
        <f>CONCATENATE("'",Tabla1[[#This Row],[Codigo]],"',")</f>
        <v>'01348',</v>
      </c>
    </row>
    <row r="749" spans="1:16" x14ac:dyDescent="0.25">
      <c r="A749" t="s">
        <v>6274</v>
      </c>
      <c r="B749" t="s">
        <v>6275</v>
      </c>
      <c r="C749" t="s">
        <v>6275</v>
      </c>
      <c r="D749" t="s">
        <v>125</v>
      </c>
      <c r="E749" t="s">
        <v>126</v>
      </c>
      <c r="F749" t="s">
        <v>6276</v>
      </c>
      <c r="G749" t="s">
        <v>2318</v>
      </c>
      <c r="H749" t="s">
        <v>2159</v>
      </c>
      <c r="I749" t="s">
        <v>2160</v>
      </c>
      <c r="J749" t="s">
        <v>2320</v>
      </c>
      <c r="K749" t="s">
        <v>2321</v>
      </c>
      <c r="L749" t="s">
        <v>50</v>
      </c>
      <c r="M749" s="2">
        <v>407643.42</v>
      </c>
      <c r="N749" t="s">
        <v>6279</v>
      </c>
      <c r="O749" t="s">
        <v>115</v>
      </c>
      <c r="P749" t="str">
        <f>CONCATENATE("'",Tabla1[[#This Row],[Codigo]],"',")</f>
        <v>'01349',</v>
      </c>
    </row>
    <row r="750" spans="1:16" x14ac:dyDescent="0.25">
      <c r="A750" t="s">
        <v>6280</v>
      </c>
      <c r="B750" t="s">
        <v>6281</v>
      </c>
      <c r="C750" t="s">
        <v>6281</v>
      </c>
      <c r="D750" t="s">
        <v>817</v>
      </c>
      <c r="E750" t="s">
        <v>224</v>
      </c>
      <c r="F750" t="s">
        <v>6282</v>
      </c>
      <c r="G750" t="s">
        <v>2318</v>
      </c>
      <c r="H750" t="s">
        <v>2159</v>
      </c>
      <c r="I750" t="s">
        <v>2160</v>
      </c>
      <c r="J750" t="s">
        <v>42</v>
      </c>
      <c r="K750" t="s">
        <v>43</v>
      </c>
      <c r="L750" t="s">
        <v>50</v>
      </c>
      <c r="M750" s="2">
        <v>7400</v>
      </c>
      <c r="N750" t="s">
        <v>64</v>
      </c>
      <c r="P750" t="str">
        <f>CONCATENATE("'",Tabla1[[#This Row],[Codigo]],"',")</f>
        <v>'01350',</v>
      </c>
    </row>
    <row r="751" spans="1:16" x14ac:dyDescent="0.25">
      <c r="A751" t="s">
        <v>6293</v>
      </c>
      <c r="B751" t="s">
        <v>6294</v>
      </c>
      <c r="C751" t="s">
        <v>6294</v>
      </c>
      <c r="D751" t="s">
        <v>125</v>
      </c>
      <c r="E751" t="s">
        <v>126</v>
      </c>
      <c r="F751" t="s">
        <v>6295</v>
      </c>
      <c r="G751" t="s">
        <v>5936</v>
      </c>
      <c r="H751" t="s">
        <v>5938</v>
      </c>
      <c r="I751" t="s">
        <v>5939</v>
      </c>
      <c r="J751" t="s">
        <v>1363</v>
      </c>
      <c r="K751" t="s">
        <v>1364</v>
      </c>
      <c r="L751" t="s">
        <v>50</v>
      </c>
      <c r="M751" s="2">
        <v>208334.02</v>
      </c>
      <c r="N751" t="s">
        <v>6298</v>
      </c>
      <c r="O751" t="s">
        <v>52</v>
      </c>
      <c r="P751" t="str">
        <f>CONCATENATE("'",Tabla1[[#This Row],[Codigo]],"',")</f>
        <v>'01354',</v>
      </c>
    </row>
    <row r="752" spans="1:16" x14ac:dyDescent="0.25">
      <c r="A752" t="s">
        <v>6299</v>
      </c>
      <c r="B752" t="s">
        <v>6300</v>
      </c>
      <c r="C752" t="s">
        <v>6300</v>
      </c>
      <c r="D752" t="s">
        <v>125</v>
      </c>
      <c r="E752" t="s">
        <v>126</v>
      </c>
      <c r="F752" t="s">
        <v>6301</v>
      </c>
      <c r="G752" t="s">
        <v>255</v>
      </c>
      <c r="H752" t="s">
        <v>254</v>
      </c>
      <c r="I752" t="s">
        <v>255</v>
      </c>
      <c r="J752" t="s">
        <v>256</v>
      </c>
      <c r="K752" t="s">
        <v>255</v>
      </c>
      <c r="L752" t="s">
        <v>50</v>
      </c>
      <c r="M752" s="2">
        <v>15065.86</v>
      </c>
      <c r="N752" t="s">
        <v>6304</v>
      </c>
      <c r="O752" t="s">
        <v>115</v>
      </c>
      <c r="P752" t="str">
        <f>CONCATENATE("'",Tabla1[[#This Row],[Codigo]],"',")</f>
        <v>'01355',</v>
      </c>
    </row>
    <row r="753" spans="1:16" x14ac:dyDescent="0.25">
      <c r="A753" t="s">
        <v>6305</v>
      </c>
      <c r="B753" t="s">
        <v>6306</v>
      </c>
      <c r="C753" t="s">
        <v>6306</v>
      </c>
      <c r="D753" t="s">
        <v>344</v>
      </c>
      <c r="E753" t="s">
        <v>167</v>
      </c>
      <c r="F753" t="s">
        <v>6307</v>
      </c>
      <c r="G753" t="s">
        <v>116</v>
      </c>
      <c r="H753" t="s">
        <v>118</v>
      </c>
      <c r="I753" t="s">
        <v>119</v>
      </c>
      <c r="J753" t="s">
        <v>120</v>
      </c>
      <c r="K753" t="s">
        <v>121</v>
      </c>
      <c r="L753" t="s">
        <v>50</v>
      </c>
      <c r="M753" s="2">
        <v>76360</v>
      </c>
      <c r="N753" t="s">
        <v>64</v>
      </c>
      <c r="P753" t="str">
        <f>CONCATENATE("'",Tabla1[[#This Row],[Codigo]],"',")</f>
        <v>'01356',</v>
      </c>
    </row>
    <row r="754" spans="1:16" x14ac:dyDescent="0.25">
      <c r="A754" t="s">
        <v>6310</v>
      </c>
      <c r="B754" t="s">
        <v>6311</v>
      </c>
      <c r="C754" t="s">
        <v>6311</v>
      </c>
      <c r="D754" t="s">
        <v>153</v>
      </c>
      <c r="E754" t="s">
        <v>272</v>
      </c>
      <c r="F754" t="s">
        <v>6312</v>
      </c>
      <c r="G754" t="s">
        <v>6070</v>
      </c>
      <c r="H754" t="s">
        <v>6072</v>
      </c>
      <c r="I754" t="s">
        <v>6073</v>
      </c>
      <c r="J754" t="s">
        <v>557</v>
      </c>
      <c r="K754" t="s">
        <v>558</v>
      </c>
      <c r="L754" t="s">
        <v>50</v>
      </c>
      <c r="M754" s="2">
        <v>35531.18</v>
      </c>
      <c r="N754" t="s">
        <v>6315</v>
      </c>
      <c r="O754" t="s">
        <v>52</v>
      </c>
      <c r="P754" t="str">
        <f>CONCATENATE("'",Tabla1[[#This Row],[Codigo]],"',")</f>
        <v>'01357',</v>
      </c>
    </row>
    <row r="755" spans="1:16" x14ac:dyDescent="0.25">
      <c r="A755" t="s">
        <v>6316</v>
      </c>
      <c r="B755" t="s">
        <v>6317</v>
      </c>
      <c r="C755" t="s">
        <v>6317</v>
      </c>
      <c r="D755" t="s">
        <v>847</v>
      </c>
      <c r="E755" t="s">
        <v>848</v>
      </c>
      <c r="F755" t="s">
        <v>6318</v>
      </c>
      <c r="G755" t="s">
        <v>2831</v>
      </c>
      <c r="H755" t="s">
        <v>80</v>
      </c>
      <c r="I755" t="s">
        <v>81</v>
      </c>
      <c r="J755" t="s">
        <v>557</v>
      </c>
      <c r="K755" t="s">
        <v>558</v>
      </c>
      <c r="L755" t="s">
        <v>50</v>
      </c>
      <c r="M755" s="2">
        <v>69360.75</v>
      </c>
      <c r="N755" t="s">
        <v>6321</v>
      </c>
      <c r="O755" t="s">
        <v>52</v>
      </c>
      <c r="P755" t="str">
        <f>CONCATENATE("'",Tabla1[[#This Row],[Codigo]],"',")</f>
        <v>'01358',</v>
      </c>
    </row>
    <row r="756" spans="1:16" x14ac:dyDescent="0.25">
      <c r="A756" t="s">
        <v>6322</v>
      </c>
      <c r="B756" t="s">
        <v>6323</v>
      </c>
      <c r="C756" t="s">
        <v>6323</v>
      </c>
      <c r="D756" t="s">
        <v>35</v>
      </c>
      <c r="E756" t="s">
        <v>36</v>
      </c>
      <c r="F756" t="s">
        <v>6324</v>
      </c>
      <c r="G756" t="s">
        <v>1425</v>
      </c>
      <c r="H756" t="s">
        <v>1427</v>
      </c>
      <c r="I756" t="s">
        <v>1428</v>
      </c>
      <c r="J756" t="s">
        <v>557</v>
      </c>
      <c r="K756" t="s">
        <v>558</v>
      </c>
      <c r="L756" t="s">
        <v>50</v>
      </c>
      <c r="M756" s="2">
        <v>1014809.8</v>
      </c>
      <c r="N756" t="s">
        <v>6327</v>
      </c>
      <c r="O756" t="s">
        <v>52</v>
      </c>
      <c r="P756" t="str">
        <f>CONCATENATE("'",Tabla1[[#This Row],[Codigo]],"',")</f>
        <v>'01359',</v>
      </c>
    </row>
    <row r="757" spans="1:16" x14ac:dyDescent="0.25">
      <c r="A757" t="s">
        <v>6328</v>
      </c>
      <c r="B757" t="s">
        <v>6329</v>
      </c>
      <c r="C757" t="s">
        <v>6330</v>
      </c>
      <c r="D757" t="s">
        <v>847</v>
      </c>
      <c r="E757" t="s">
        <v>848</v>
      </c>
      <c r="F757" t="s">
        <v>3999</v>
      </c>
      <c r="G757" t="s">
        <v>6331</v>
      </c>
      <c r="H757" t="s">
        <v>6248</v>
      </c>
      <c r="I757" t="s">
        <v>6249</v>
      </c>
      <c r="J757" t="s">
        <v>557</v>
      </c>
      <c r="K757" t="s">
        <v>558</v>
      </c>
      <c r="L757" t="s">
        <v>50</v>
      </c>
      <c r="M757" s="2">
        <v>388520.81</v>
      </c>
      <c r="N757" t="s">
        <v>6333</v>
      </c>
      <c r="O757" t="s">
        <v>115</v>
      </c>
      <c r="P757" t="str">
        <f>CONCATENATE("'",Tabla1[[#This Row],[Codigo]],"',")</f>
        <v>'01360',</v>
      </c>
    </row>
    <row r="758" spans="1:16" x14ac:dyDescent="0.25">
      <c r="A758" t="s">
        <v>6334</v>
      </c>
      <c r="B758" t="s">
        <v>6335</v>
      </c>
      <c r="C758" t="s">
        <v>6330</v>
      </c>
      <c r="D758" t="s">
        <v>125</v>
      </c>
      <c r="E758" t="s">
        <v>126</v>
      </c>
      <c r="F758" t="s">
        <v>3999</v>
      </c>
      <c r="G758" t="s">
        <v>6027</v>
      </c>
      <c r="H758" t="s">
        <v>6029</v>
      </c>
      <c r="I758" t="s">
        <v>6030</v>
      </c>
      <c r="J758" t="s">
        <v>557</v>
      </c>
      <c r="K758" t="s">
        <v>558</v>
      </c>
      <c r="L758" t="s">
        <v>50</v>
      </c>
      <c r="M758" s="2">
        <v>497388.24</v>
      </c>
      <c r="N758" t="s">
        <v>6336</v>
      </c>
      <c r="O758" t="s">
        <v>52</v>
      </c>
      <c r="P758" t="str">
        <f>CONCATENATE("'",Tabla1[[#This Row],[Codigo]],"',")</f>
        <v>'01361',</v>
      </c>
    </row>
    <row r="759" spans="1:16" x14ac:dyDescent="0.25">
      <c r="A759" t="s">
        <v>6337</v>
      </c>
      <c r="B759" t="s">
        <v>6338</v>
      </c>
      <c r="C759" t="s">
        <v>6330</v>
      </c>
      <c r="D759" t="s">
        <v>847</v>
      </c>
      <c r="E759" t="s">
        <v>848</v>
      </c>
      <c r="F759" t="s">
        <v>3999</v>
      </c>
      <c r="G759" t="s">
        <v>1425</v>
      </c>
      <c r="H759" t="s">
        <v>1427</v>
      </c>
      <c r="I759" t="s">
        <v>1428</v>
      </c>
      <c r="J759" t="s">
        <v>557</v>
      </c>
      <c r="K759" t="s">
        <v>558</v>
      </c>
      <c r="L759" t="s">
        <v>50</v>
      </c>
      <c r="M759" s="2">
        <v>900495.59</v>
      </c>
      <c r="N759" t="s">
        <v>6339</v>
      </c>
      <c r="O759" t="s">
        <v>115</v>
      </c>
      <c r="P759" t="str">
        <f>CONCATENATE("'",Tabla1[[#This Row],[Codigo]],"',")</f>
        <v>'01362',</v>
      </c>
    </row>
    <row r="760" spans="1:16" x14ac:dyDescent="0.25">
      <c r="A760" t="s">
        <v>6344</v>
      </c>
      <c r="B760" t="s">
        <v>6345</v>
      </c>
      <c r="C760" t="s">
        <v>6345</v>
      </c>
      <c r="D760" t="s">
        <v>35</v>
      </c>
      <c r="E760" t="s">
        <v>36</v>
      </c>
      <c r="F760" t="s">
        <v>6346</v>
      </c>
      <c r="G760" t="s">
        <v>1123</v>
      </c>
      <c r="H760" t="s">
        <v>1125</v>
      </c>
      <c r="I760" t="s">
        <v>1123</v>
      </c>
      <c r="J760" t="s">
        <v>158</v>
      </c>
      <c r="K760" t="s">
        <v>159</v>
      </c>
      <c r="L760" t="s">
        <v>50</v>
      </c>
      <c r="M760" s="2">
        <v>515643.38</v>
      </c>
      <c r="N760" t="s">
        <v>6348</v>
      </c>
      <c r="O760" t="s">
        <v>52</v>
      </c>
      <c r="P760" t="str">
        <f>CONCATENATE("'",Tabla1[[#This Row],[Codigo]],"',")</f>
        <v>'01364',</v>
      </c>
    </row>
    <row r="761" spans="1:16" x14ac:dyDescent="0.25">
      <c r="A761" t="s">
        <v>6351</v>
      </c>
      <c r="B761" t="s">
        <v>6352</v>
      </c>
      <c r="C761" t="s">
        <v>6352</v>
      </c>
      <c r="D761" t="s">
        <v>223</v>
      </c>
      <c r="E761" t="s">
        <v>224</v>
      </c>
      <c r="F761" t="s">
        <v>6353</v>
      </c>
      <c r="G761" t="s">
        <v>1425</v>
      </c>
      <c r="H761" t="s">
        <v>1427</v>
      </c>
      <c r="I761" t="s">
        <v>1428</v>
      </c>
      <c r="J761" t="s">
        <v>82</v>
      </c>
      <c r="K761" t="s">
        <v>83</v>
      </c>
      <c r="L761" t="s">
        <v>50</v>
      </c>
      <c r="M761" s="2">
        <v>218</v>
      </c>
      <c r="N761" t="s">
        <v>64</v>
      </c>
      <c r="P761" t="str">
        <f>CONCATENATE("'",Tabla1[[#This Row],[Codigo]],"',")</f>
        <v>'01366',</v>
      </c>
    </row>
    <row r="762" spans="1:16" x14ac:dyDescent="0.25">
      <c r="A762" t="s">
        <v>6356</v>
      </c>
      <c r="B762" t="s">
        <v>6357</v>
      </c>
      <c r="C762" t="s">
        <v>6357</v>
      </c>
      <c r="D762" t="s">
        <v>153</v>
      </c>
      <c r="E762" t="s">
        <v>272</v>
      </c>
      <c r="F762" t="s">
        <v>6358</v>
      </c>
      <c r="G762" t="s">
        <v>653</v>
      </c>
      <c r="H762" t="s">
        <v>652</v>
      </c>
      <c r="I762" t="s">
        <v>653</v>
      </c>
      <c r="J762" t="s">
        <v>69</v>
      </c>
      <c r="K762" t="s">
        <v>70</v>
      </c>
      <c r="L762" t="s">
        <v>50</v>
      </c>
      <c r="M762" s="2">
        <v>151877.68</v>
      </c>
      <c r="N762" t="s">
        <v>6361</v>
      </c>
      <c r="O762" t="s">
        <v>115</v>
      </c>
      <c r="P762" t="str">
        <f>CONCATENATE("'",Tabla1[[#This Row],[Codigo]],"',")</f>
        <v>'01367',</v>
      </c>
    </row>
    <row r="763" spans="1:16" x14ac:dyDescent="0.25">
      <c r="A763" s="15" t="s">
        <v>6362</v>
      </c>
      <c r="B763" s="15" t="s">
        <v>6363</v>
      </c>
      <c r="C763" s="15" t="s">
        <v>6363</v>
      </c>
      <c r="D763" s="15" t="s">
        <v>55</v>
      </c>
      <c r="E763" s="15" t="s">
        <v>56</v>
      </c>
      <c r="F763" s="15" t="s">
        <v>6364</v>
      </c>
      <c r="G763" s="15" t="s">
        <v>6365</v>
      </c>
      <c r="H763" s="15" t="s">
        <v>6366</v>
      </c>
      <c r="I763" s="15" t="s">
        <v>6367</v>
      </c>
      <c r="J763" s="15" t="s">
        <v>557</v>
      </c>
      <c r="K763" s="15" t="s">
        <v>558</v>
      </c>
      <c r="L763" s="15" t="s">
        <v>50</v>
      </c>
      <c r="M763" s="16">
        <v>1243.58</v>
      </c>
      <c r="N763" s="15" t="s">
        <v>6369</v>
      </c>
      <c r="O763" s="15" t="s">
        <v>115</v>
      </c>
      <c r="P763" t="str">
        <f>CONCATENATE("'",Tabla1[[#This Row],[Codigo]],"',")</f>
        <v>'01368',</v>
      </c>
    </row>
    <row r="764" spans="1:16" x14ac:dyDescent="0.25">
      <c r="A764" t="s">
        <v>6372</v>
      </c>
      <c r="B764" t="s">
        <v>6373</v>
      </c>
      <c r="C764" t="s">
        <v>6373</v>
      </c>
      <c r="D764" t="s">
        <v>873</v>
      </c>
      <c r="E764" t="s">
        <v>224</v>
      </c>
      <c r="F764" t="s">
        <v>6374</v>
      </c>
      <c r="G764" t="s">
        <v>404</v>
      </c>
      <c r="H764" t="s">
        <v>403</v>
      </c>
      <c r="I764" t="s">
        <v>404</v>
      </c>
      <c r="J764" t="s">
        <v>205</v>
      </c>
      <c r="K764" t="s">
        <v>206</v>
      </c>
      <c r="L764" t="s">
        <v>50</v>
      </c>
      <c r="M764" s="2">
        <v>436340</v>
      </c>
      <c r="N764" t="s">
        <v>64</v>
      </c>
      <c r="P764" t="str">
        <f>CONCATENATE("'",Tabla1[[#This Row],[Codigo]],"',")</f>
        <v>'01370',</v>
      </c>
    </row>
    <row r="765" spans="1:16" x14ac:dyDescent="0.25">
      <c r="A765" t="s">
        <v>6377</v>
      </c>
      <c r="B765" t="s">
        <v>6378</v>
      </c>
      <c r="C765" t="s">
        <v>6379</v>
      </c>
      <c r="D765" t="s">
        <v>35</v>
      </c>
      <c r="E765" t="s">
        <v>36</v>
      </c>
      <c r="F765" t="s">
        <v>6380</v>
      </c>
      <c r="G765" t="s">
        <v>265</v>
      </c>
      <c r="H765" t="s">
        <v>267</v>
      </c>
      <c r="I765" t="s">
        <v>268</v>
      </c>
      <c r="J765" t="s">
        <v>103</v>
      </c>
      <c r="K765" t="s">
        <v>104</v>
      </c>
      <c r="L765" t="s">
        <v>50</v>
      </c>
      <c r="M765" s="2">
        <v>4310615.66</v>
      </c>
      <c r="N765" t="s">
        <v>6383</v>
      </c>
      <c r="O765" t="s">
        <v>52</v>
      </c>
      <c r="P765" t="str">
        <f>CONCATENATE("'",Tabla1[[#This Row],[Codigo]],"',")</f>
        <v>'01371',</v>
      </c>
    </row>
    <row r="766" spans="1:16" x14ac:dyDescent="0.25">
      <c r="A766" t="s">
        <v>6389</v>
      </c>
      <c r="B766" t="s">
        <v>6390</v>
      </c>
      <c r="C766" t="s">
        <v>6390</v>
      </c>
      <c r="D766" t="s">
        <v>189</v>
      </c>
      <c r="E766" t="s">
        <v>190</v>
      </c>
      <c r="F766" t="s">
        <v>6391</v>
      </c>
      <c r="G766" t="s">
        <v>81</v>
      </c>
      <c r="H766" t="s">
        <v>80</v>
      </c>
      <c r="I766" t="s">
        <v>81</v>
      </c>
      <c r="J766" t="s">
        <v>557</v>
      </c>
      <c r="K766" t="s">
        <v>558</v>
      </c>
      <c r="L766" t="s">
        <v>50</v>
      </c>
      <c r="M766" s="2">
        <v>109085</v>
      </c>
      <c r="N766" t="s">
        <v>64</v>
      </c>
      <c r="P766" t="str">
        <f>CONCATENATE("'",Tabla1[[#This Row],[Codigo]],"',")</f>
        <v>'01375',</v>
      </c>
    </row>
    <row r="767" spans="1:16" x14ac:dyDescent="0.25">
      <c r="A767" t="s">
        <v>6394</v>
      </c>
      <c r="B767" t="s">
        <v>6395</v>
      </c>
      <c r="C767" t="s">
        <v>6395</v>
      </c>
      <c r="D767" t="s">
        <v>2389</v>
      </c>
      <c r="E767" t="s">
        <v>134</v>
      </c>
      <c r="F767" t="s">
        <v>6396</v>
      </c>
      <c r="G767" t="s">
        <v>446</v>
      </c>
      <c r="H767" t="s">
        <v>445</v>
      </c>
      <c r="I767" t="s">
        <v>446</v>
      </c>
      <c r="J767" t="s">
        <v>69</v>
      </c>
      <c r="K767" t="s">
        <v>70</v>
      </c>
      <c r="L767" t="s">
        <v>50</v>
      </c>
      <c r="M767" s="2">
        <v>305438</v>
      </c>
      <c r="N767" t="s">
        <v>64</v>
      </c>
      <c r="P767" t="str">
        <f>CONCATENATE("'",Tabla1[[#This Row],[Codigo]],"',")</f>
        <v>'01376',</v>
      </c>
    </row>
    <row r="768" spans="1:16" x14ac:dyDescent="0.25">
      <c r="A768" t="s">
        <v>6399</v>
      </c>
      <c r="B768" t="s">
        <v>6400</v>
      </c>
      <c r="C768" t="s">
        <v>6400</v>
      </c>
      <c r="D768" t="s">
        <v>153</v>
      </c>
      <c r="E768" t="s">
        <v>272</v>
      </c>
      <c r="F768" t="s">
        <v>6401</v>
      </c>
      <c r="G768" t="s">
        <v>65</v>
      </c>
      <c r="H768" t="s">
        <v>67</v>
      </c>
      <c r="I768" t="s">
        <v>68</v>
      </c>
      <c r="J768" t="s">
        <v>69</v>
      </c>
      <c r="K768" t="s">
        <v>70</v>
      </c>
      <c r="L768" t="s">
        <v>50</v>
      </c>
      <c r="M768" s="2">
        <v>1377229.81</v>
      </c>
      <c r="N768" t="s">
        <v>6403</v>
      </c>
      <c r="O768" t="s">
        <v>52</v>
      </c>
      <c r="P768" t="str">
        <f>CONCATENATE("'",Tabla1[[#This Row],[Codigo]],"',")</f>
        <v>'01377',</v>
      </c>
    </row>
    <row r="769" spans="1:16" x14ac:dyDescent="0.25">
      <c r="A769" t="s">
        <v>6404</v>
      </c>
      <c r="B769" t="s">
        <v>6405</v>
      </c>
      <c r="C769" t="s">
        <v>6405</v>
      </c>
      <c r="D769" t="s">
        <v>125</v>
      </c>
      <c r="E769" t="s">
        <v>126</v>
      </c>
      <c r="F769" t="s">
        <v>6406</v>
      </c>
      <c r="G769" t="s">
        <v>2831</v>
      </c>
      <c r="H769" t="s">
        <v>80</v>
      </c>
      <c r="I769" t="s">
        <v>81</v>
      </c>
      <c r="J769" t="s">
        <v>82</v>
      </c>
      <c r="K769" t="s">
        <v>83</v>
      </c>
      <c r="L769" t="s">
        <v>50</v>
      </c>
      <c r="M769" s="2">
        <v>32776.1</v>
      </c>
      <c r="N769" t="s">
        <v>6409</v>
      </c>
      <c r="O769" t="s">
        <v>115</v>
      </c>
      <c r="P769" t="str">
        <f>CONCATENATE("'",Tabla1[[#This Row],[Codigo]],"',")</f>
        <v>'01378',</v>
      </c>
    </row>
    <row r="770" spans="1:16" x14ac:dyDescent="0.25">
      <c r="A770" t="s">
        <v>6410</v>
      </c>
      <c r="B770" t="s">
        <v>6411</v>
      </c>
      <c r="C770" t="s">
        <v>6411</v>
      </c>
      <c r="D770" t="s">
        <v>125</v>
      </c>
      <c r="E770" t="s">
        <v>126</v>
      </c>
      <c r="F770" t="s">
        <v>6412</v>
      </c>
      <c r="G770" t="s">
        <v>6237</v>
      </c>
      <c r="H770" t="s">
        <v>6239</v>
      </c>
      <c r="I770" t="s">
        <v>6240</v>
      </c>
      <c r="J770" t="s">
        <v>82</v>
      </c>
      <c r="K770" t="s">
        <v>83</v>
      </c>
      <c r="L770" t="s">
        <v>50</v>
      </c>
      <c r="M770" s="2">
        <v>157512.06</v>
      </c>
      <c r="N770" t="s">
        <v>6415</v>
      </c>
      <c r="O770" t="s">
        <v>52</v>
      </c>
      <c r="P770" t="str">
        <f>CONCATENATE("'",Tabla1[[#This Row],[Codigo]],"',")</f>
        <v>'01379',</v>
      </c>
    </row>
    <row r="771" spans="1:16" x14ac:dyDescent="0.25">
      <c r="A771" t="s">
        <v>6416</v>
      </c>
      <c r="B771" t="s">
        <v>6417</v>
      </c>
      <c r="C771" t="s">
        <v>6417</v>
      </c>
      <c r="D771" t="s">
        <v>2661</v>
      </c>
      <c r="E771" t="s">
        <v>134</v>
      </c>
      <c r="F771" t="s">
        <v>6418</v>
      </c>
      <c r="G771" t="s">
        <v>6419</v>
      </c>
      <c r="H771" t="s">
        <v>6029</v>
      </c>
      <c r="I771" t="s">
        <v>6030</v>
      </c>
      <c r="J771" t="s">
        <v>82</v>
      </c>
      <c r="K771" t="s">
        <v>83</v>
      </c>
      <c r="L771" t="s">
        <v>50</v>
      </c>
      <c r="M771" s="2">
        <v>130902</v>
      </c>
      <c r="N771" t="s">
        <v>64</v>
      </c>
      <c r="P771" t="str">
        <f>CONCATENATE("'",Tabla1[[#This Row],[Codigo]],"',")</f>
        <v>'01380',</v>
      </c>
    </row>
    <row r="772" spans="1:16" x14ac:dyDescent="0.25">
      <c r="A772" t="s">
        <v>6422</v>
      </c>
      <c r="B772" t="s">
        <v>6423</v>
      </c>
      <c r="C772" t="s">
        <v>6423</v>
      </c>
      <c r="D772" t="s">
        <v>498</v>
      </c>
      <c r="E772" t="s">
        <v>190</v>
      </c>
      <c r="F772" t="s">
        <v>6424</v>
      </c>
      <c r="G772" t="s">
        <v>255</v>
      </c>
      <c r="H772" t="s">
        <v>254</v>
      </c>
      <c r="I772" t="s">
        <v>255</v>
      </c>
      <c r="J772" t="s">
        <v>256</v>
      </c>
      <c r="K772" t="s">
        <v>255</v>
      </c>
      <c r="L772" t="s">
        <v>50</v>
      </c>
      <c r="M772" s="2">
        <v>126176.1</v>
      </c>
      <c r="N772" t="s">
        <v>6426</v>
      </c>
      <c r="O772" t="s">
        <v>115</v>
      </c>
      <c r="P772" t="str">
        <f>CONCATENATE("'",Tabla1[[#This Row],[Codigo]],"',")</f>
        <v>'01381',</v>
      </c>
    </row>
    <row r="773" spans="1:16" x14ac:dyDescent="0.25">
      <c r="A773" t="s">
        <v>6427</v>
      </c>
      <c r="B773" t="s">
        <v>6428</v>
      </c>
      <c r="C773" t="s">
        <v>6428</v>
      </c>
      <c r="D773" t="s">
        <v>153</v>
      </c>
      <c r="E773" t="s">
        <v>272</v>
      </c>
      <c r="F773" t="s">
        <v>6429</v>
      </c>
      <c r="G773" t="s">
        <v>41</v>
      </c>
      <c r="H773" t="s">
        <v>40</v>
      </c>
      <c r="I773" t="s">
        <v>41</v>
      </c>
      <c r="J773" t="s">
        <v>42</v>
      </c>
      <c r="K773" t="s">
        <v>43</v>
      </c>
      <c r="L773" t="s">
        <v>50</v>
      </c>
      <c r="M773" s="2">
        <v>55281.56</v>
      </c>
      <c r="N773" t="s">
        <v>6430</v>
      </c>
      <c r="P773" t="str">
        <f>CONCATENATE("'",Tabla1[[#This Row],[Codigo]],"',")</f>
        <v>'01382',</v>
      </c>
    </row>
    <row r="774" spans="1:16" x14ac:dyDescent="0.25">
      <c r="A774" t="s">
        <v>6436</v>
      </c>
      <c r="B774" t="s">
        <v>6437</v>
      </c>
      <c r="C774" t="s">
        <v>6437</v>
      </c>
      <c r="D774" t="s">
        <v>125</v>
      </c>
      <c r="E774" t="s">
        <v>126</v>
      </c>
      <c r="F774" t="s">
        <v>6438</v>
      </c>
      <c r="G774" t="s">
        <v>1417</v>
      </c>
      <c r="H774" t="s">
        <v>1419</v>
      </c>
      <c r="I774" t="s">
        <v>1420</v>
      </c>
      <c r="J774" t="s">
        <v>1421</v>
      </c>
      <c r="K774" t="s">
        <v>1422</v>
      </c>
      <c r="L774" t="s">
        <v>50</v>
      </c>
      <c r="M774" s="2">
        <v>856226.39</v>
      </c>
      <c r="N774" t="s">
        <v>6441</v>
      </c>
      <c r="P774" t="str">
        <f>CONCATENATE("'",Tabla1[[#This Row],[Codigo]],"',")</f>
        <v>'01385',</v>
      </c>
    </row>
    <row r="775" spans="1:16" x14ac:dyDescent="0.25">
      <c r="A775" t="s">
        <v>6442</v>
      </c>
      <c r="B775" t="s">
        <v>6443</v>
      </c>
      <c r="C775" t="s">
        <v>6443</v>
      </c>
      <c r="D775" t="s">
        <v>125</v>
      </c>
      <c r="E775" t="s">
        <v>126</v>
      </c>
      <c r="F775" t="s">
        <v>6444</v>
      </c>
      <c r="G775" t="s">
        <v>4223</v>
      </c>
      <c r="H775" t="s">
        <v>4225</v>
      </c>
      <c r="I775" t="s">
        <v>4226</v>
      </c>
      <c r="J775" t="s">
        <v>1363</v>
      </c>
      <c r="K775" t="s">
        <v>1364</v>
      </c>
      <c r="L775" t="s">
        <v>50</v>
      </c>
      <c r="M775" s="2">
        <v>174536</v>
      </c>
      <c r="N775" t="s">
        <v>64</v>
      </c>
      <c r="P775" t="str">
        <f>CONCATENATE("'",Tabla1[[#This Row],[Codigo]],"',")</f>
        <v>'01386',</v>
      </c>
    </row>
    <row r="776" spans="1:16" x14ac:dyDescent="0.25">
      <c r="A776" t="s">
        <v>6447</v>
      </c>
      <c r="B776" t="s">
        <v>6448</v>
      </c>
      <c r="C776" t="s">
        <v>6448</v>
      </c>
      <c r="D776" t="s">
        <v>35</v>
      </c>
      <c r="E776" t="s">
        <v>36</v>
      </c>
      <c r="F776" t="s">
        <v>6449</v>
      </c>
      <c r="G776" t="s">
        <v>1222</v>
      </c>
      <c r="H776" t="s">
        <v>1221</v>
      </c>
      <c r="I776" t="s">
        <v>1222</v>
      </c>
      <c r="J776" t="s">
        <v>205</v>
      </c>
      <c r="K776" t="s">
        <v>206</v>
      </c>
      <c r="L776" t="s">
        <v>50</v>
      </c>
      <c r="M776" s="2">
        <v>110161.77</v>
      </c>
      <c r="N776" t="s">
        <v>6452</v>
      </c>
      <c r="O776" t="s">
        <v>52</v>
      </c>
      <c r="P776" t="str">
        <f>CONCATENATE("'",Tabla1[[#This Row],[Codigo]],"',")</f>
        <v>'01387',</v>
      </c>
    </row>
    <row r="777" spans="1:16" x14ac:dyDescent="0.25">
      <c r="A777" t="s">
        <v>6453</v>
      </c>
      <c r="B777" t="s">
        <v>6454</v>
      </c>
      <c r="C777" t="s">
        <v>6454</v>
      </c>
      <c r="D777" t="s">
        <v>299</v>
      </c>
      <c r="E777" t="s">
        <v>167</v>
      </c>
      <c r="F777" t="s">
        <v>6455</v>
      </c>
      <c r="G777" t="s">
        <v>6456</v>
      </c>
      <c r="H777" t="s">
        <v>6458</v>
      </c>
      <c r="I777" t="s">
        <v>6459</v>
      </c>
      <c r="J777" t="s">
        <v>557</v>
      </c>
      <c r="K777" t="s">
        <v>558</v>
      </c>
      <c r="L777" t="s">
        <v>50</v>
      </c>
      <c r="M777" s="2">
        <v>183008.2</v>
      </c>
      <c r="N777" t="s">
        <v>6461</v>
      </c>
      <c r="O777" t="s">
        <v>52</v>
      </c>
      <c r="P777" t="str">
        <f>CONCATENATE("'",Tabla1[[#This Row],[Codigo]],"',")</f>
        <v>'01388',</v>
      </c>
    </row>
    <row r="778" spans="1:16" x14ac:dyDescent="0.25">
      <c r="A778" t="s">
        <v>6462</v>
      </c>
      <c r="B778" t="s">
        <v>15165</v>
      </c>
      <c r="C778" t="s">
        <v>6463</v>
      </c>
      <c r="D778" t="s">
        <v>569</v>
      </c>
      <c r="E778" t="s">
        <v>570</v>
      </c>
      <c r="F778" t="s">
        <v>6464</v>
      </c>
      <c r="G778" t="s">
        <v>665</v>
      </c>
      <c r="H778" t="s">
        <v>664</v>
      </c>
      <c r="I778" t="s">
        <v>665</v>
      </c>
      <c r="J778" t="s">
        <v>103</v>
      </c>
      <c r="K778" t="s">
        <v>104</v>
      </c>
      <c r="L778" t="s">
        <v>50</v>
      </c>
      <c r="M778" s="2">
        <v>86185.97</v>
      </c>
      <c r="N778" t="s">
        <v>6467</v>
      </c>
      <c r="P778" t="str">
        <f>CONCATENATE("'",Tabla1[[#This Row],[Codigo]],"',")</f>
        <v>'01389',</v>
      </c>
    </row>
    <row r="779" spans="1:16" x14ac:dyDescent="0.25">
      <c r="A779" t="s">
        <v>6468</v>
      </c>
      <c r="B779" t="s">
        <v>6469</v>
      </c>
      <c r="C779" t="s">
        <v>6469</v>
      </c>
      <c r="D779" t="s">
        <v>35</v>
      </c>
      <c r="E779" t="s">
        <v>36</v>
      </c>
      <c r="F779" t="s">
        <v>6470</v>
      </c>
      <c r="G779" t="s">
        <v>6237</v>
      </c>
      <c r="H779" t="s">
        <v>6239</v>
      </c>
      <c r="I779" t="s">
        <v>6240</v>
      </c>
      <c r="J779" t="s">
        <v>82</v>
      </c>
      <c r="K779" t="s">
        <v>83</v>
      </c>
      <c r="L779" t="s">
        <v>50</v>
      </c>
      <c r="M779" s="2">
        <v>203688.51</v>
      </c>
      <c r="N779" t="s">
        <v>6473</v>
      </c>
      <c r="P779" t="str">
        <f>CONCATENATE("'",Tabla1[[#This Row],[Codigo]],"',")</f>
        <v>'01390',</v>
      </c>
    </row>
    <row r="780" spans="1:16" x14ac:dyDescent="0.25">
      <c r="A780" t="s">
        <v>6474</v>
      </c>
      <c r="B780" t="s">
        <v>6475</v>
      </c>
      <c r="C780" t="s">
        <v>6475</v>
      </c>
      <c r="D780" t="s">
        <v>178</v>
      </c>
      <c r="E780" t="s">
        <v>179</v>
      </c>
      <c r="F780" t="s">
        <v>6476</v>
      </c>
      <c r="G780" t="s">
        <v>3571</v>
      </c>
      <c r="H780" t="s">
        <v>2113</v>
      </c>
      <c r="I780" t="s">
        <v>2114</v>
      </c>
      <c r="J780" t="s">
        <v>103</v>
      </c>
      <c r="K780" t="s">
        <v>104</v>
      </c>
      <c r="L780" t="s">
        <v>50</v>
      </c>
      <c r="M780" s="2">
        <v>1438</v>
      </c>
      <c r="N780" t="s">
        <v>64</v>
      </c>
      <c r="P780" t="str">
        <f>CONCATENATE("'",Tabla1[[#This Row],[Codigo]],"',")</f>
        <v>'01391',</v>
      </c>
    </row>
    <row r="781" spans="1:16" x14ac:dyDescent="0.25">
      <c r="A781" t="s">
        <v>6479</v>
      </c>
      <c r="B781" t="s">
        <v>6480</v>
      </c>
      <c r="C781" t="s">
        <v>6480</v>
      </c>
      <c r="D781" t="s">
        <v>35</v>
      </c>
      <c r="E781" t="s">
        <v>36</v>
      </c>
      <c r="F781" t="s">
        <v>6481</v>
      </c>
      <c r="G781" t="s">
        <v>3230</v>
      </c>
      <c r="H781" t="s">
        <v>3232</v>
      </c>
      <c r="I781" t="s">
        <v>3233</v>
      </c>
      <c r="J781" t="s">
        <v>1212</v>
      </c>
      <c r="K781" t="s">
        <v>1213</v>
      </c>
      <c r="L781" t="s">
        <v>50</v>
      </c>
      <c r="M781" s="2">
        <v>194714.11</v>
      </c>
      <c r="N781" t="s">
        <v>6484</v>
      </c>
      <c r="O781" t="s">
        <v>115</v>
      </c>
      <c r="P781" t="str">
        <f>CONCATENATE("'",Tabla1[[#This Row],[Codigo]],"',")</f>
        <v>'01392',</v>
      </c>
    </row>
    <row r="782" spans="1:16" x14ac:dyDescent="0.25">
      <c r="A782" t="s">
        <v>6488</v>
      </c>
      <c r="B782" t="s">
        <v>6489</v>
      </c>
      <c r="C782" t="s">
        <v>6490</v>
      </c>
      <c r="D782" t="s">
        <v>35</v>
      </c>
      <c r="E782" t="s">
        <v>36</v>
      </c>
      <c r="F782" t="s">
        <v>6491</v>
      </c>
      <c r="G782" t="s">
        <v>2831</v>
      </c>
      <c r="H782" t="s">
        <v>80</v>
      </c>
      <c r="I782" t="s">
        <v>81</v>
      </c>
      <c r="J782" t="s">
        <v>82</v>
      </c>
      <c r="K782" t="s">
        <v>83</v>
      </c>
      <c r="L782" t="s">
        <v>50</v>
      </c>
      <c r="M782" s="2">
        <v>74474.179999999993</v>
      </c>
      <c r="N782" t="s">
        <v>6494</v>
      </c>
      <c r="O782" t="s">
        <v>52</v>
      </c>
      <c r="P782" t="str">
        <f>CONCATENATE("'",Tabla1[[#This Row],[Codigo]],"',")</f>
        <v>'01395',</v>
      </c>
    </row>
    <row r="783" spans="1:16" x14ac:dyDescent="0.25">
      <c r="A783" t="s">
        <v>6495</v>
      </c>
      <c r="B783" t="s">
        <v>6496</v>
      </c>
      <c r="C783" t="s">
        <v>6496</v>
      </c>
      <c r="D783" t="s">
        <v>192</v>
      </c>
      <c r="E783" t="s">
        <v>224</v>
      </c>
      <c r="F783" t="s">
        <v>6497</v>
      </c>
      <c r="G783" t="s">
        <v>2831</v>
      </c>
      <c r="H783" t="s">
        <v>80</v>
      </c>
      <c r="I783" t="s">
        <v>81</v>
      </c>
      <c r="J783" t="s">
        <v>557</v>
      </c>
      <c r="K783" t="s">
        <v>558</v>
      </c>
      <c r="L783" t="s">
        <v>50</v>
      </c>
      <c r="M783" s="2">
        <v>2399870</v>
      </c>
      <c r="N783" t="s">
        <v>64</v>
      </c>
      <c r="P783" t="str">
        <f>CONCATENATE("'",Tabla1[[#This Row],[Codigo]],"',")</f>
        <v>'01396',</v>
      </c>
    </row>
    <row r="784" spans="1:16" x14ac:dyDescent="0.25">
      <c r="A784" t="s">
        <v>6506</v>
      </c>
      <c r="B784" t="s">
        <v>6507</v>
      </c>
      <c r="C784" t="s">
        <v>6507</v>
      </c>
      <c r="D784" t="s">
        <v>125</v>
      </c>
      <c r="E784" t="s">
        <v>126</v>
      </c>
      <c r="F784" t="s">
        <v>6508</v>
      </c>
      <c r="G784" t="s">
        <v>404</v>
      </c>
      <c r="H784" t="s">
        <v>403</v>
      </c>
      <c r="I784" t="s">
        <v>404</v>
      </c>
      <c r="J784" t="s">
        <v>205</v>
      </c>
      <c r="K784" t="s">
        <v>206</v>
      </c>
      <c r="L784" t="s">
        <v>50</v>
      </c>
      <c r="M784" s="2">
        <v>218169.19</v>
      </c>
      <c r="N784" t="s">
        <v>6511</v>
      </c>
      <c r="P784" t="str">
        <f>CONCATENATE("'",Tabla1[[#This Row],[Codigo]],"',")</f>
        <v>'01399',</v>
      </c>
    </row>
    <row r="785" spans="1:16" x14ac:dyDescent="0.25">
      <c r="A785" t="s">
        <v>6512</v>
      </c>
      <c r="B785" t="s">
        <v>6513</v>
      </c>
      <c r="C785" t="s">
        <v>6513</v>
      </c>
      <c r="D785" t="s">
        <v>847</v>
      </c>
      <c r="E785" t="s">
        <v>848</v>
      </c>
      <c r="F785" t="s">
        <v>6514</v>
      </c>
      <c r="G785" t="s">
        <v>964</v>
      </c>
      <c r="H785" t="s">
        <v>966</v>
      </c>
      <c r="I785" t="s">
        <v>964</v>
      </c>
      <c r="J785" t="s">
        <v>304</v>
      </c>
      <c r="K785" t="s">
        <v>72</v>
      </c>
      <c r="L785" t="s">
        <v>50</v>
      </c>
      <c r="M785" s="2">
        <v>65451</v>
      </c>
      <c r="N785" t="s">
        <v>64</v>
      </c>
      <c r="P785" t="str">
        <f>CONCATENATE("'",Tabla1[[#This Row],[Codigo]],"',")</f>
        <v>'01400',</v>
      </c>
    </row>
    <row r="786" spans="1:16" x14ac:dyDescent="0.25">
      <c r="A786" t="s">
        <v>6516</v>
      </c>
      <c r="B786" t="s">
        <v>6517</v>
      </c>
      <c r="C786" t="s">
        <v>6517</v>
      </c>
      <c r="D786" t="s">
        <v>125</v>
      </c>
      <c r="E786" t="s">
        <v>126</v>
      </c>
      <c r="F786" t="s">
        <v>6518</v>
      </c>
      <c r="G786" t="s">
        <v>6519</v>
      </c>
      <c r="H786" t="s">
        <v>5201</v>
      </c>
      <c r="I786" t="s">
        <v>5202</v>
      </c>
      <c r="J786" t="s">
        <v>1212</v>
      </c>
      <c r="K786" t="s">
        <v>1213</v>
      </c>
      <c r="L786" t="s">
        <v>50</v>
      </c>
      <c r="M786" s="2">
        <v>98441.39</v>
      </c>
      <c r="N786" t="s">
        <v>6522</v>
      </c>
      <c r="O786" t="s">
        <v>115</v>
      </c>
      <c r="P786" t="str">
        <f>CONCATENATE("'",Tabla1[[#This Row],[Codigo]],"',")</f>
        <v>'01401',</v>
      </c>
    </row>
    <row r="787" spans="1:16" x14ac:dyDescent="0.25">
      <c r="A787" t="s">
        <v>6523</v>
      </c>
      <c r="B787" t="s">
        <v>6524</v>
      </c>
      <c r="C787" t="s">
        <v>6524</v>
      </c>
      <c r="D787" t="s">
        <v>3472</v>
      </c>
      <c r="E787" t="s">
        <v>871</v>
      </c>
      <c r="F787" t="s">
        <v>6525</v>
      </c>
      <c r="G787" t="s">
        <v>81</v>
      </c>
      <c r="H787" t="s">
        <v>80</v>
      </c>
      <c r="I787" t="s">
        <v>81</v>
      </c>
      <c r="J787" t="s">
        <v>557</v>
      </c>
      <c r="K787" t="s">
        <v>558</v>
      </c>
      <c r="L787" t="s">
        <v>50</v>
      </c>
      <c r="M787" s="2">
        <v>158116.54</v>
      </c>
      <c r="N787" t="s">
        <v>6529</v>
      </c>
      <c r="O787" t="s">
        <v>115</v>
      </c>
      <c r="P787" t="str">
        <f>CONCATENATE("'",Tabla1[[#This Row],[Codigo]],"',")</f>
        <v>'01402',</v>
      </c>
    </row>
    <row r="788" spans="1:16" x14ac:dyDescent="0.25">
      <c r="A788" t="s">
        <v>6536</v>
      </c>
      <c r="B788" t="s">
        <v>6537</v>
      </c>
      <c r="C788" t="s">
        <v>6537</v>
      </c>
      <c r="D788" t="s">
        <v>125</v>
      </c>
      <c r="E788" t="s">
        <v>126</v>
      </c>
      <c r="F788" t="s">
        <v>6538</v>
      </c>
      <c r="G788" t="s">
        <v>4223</v>
      </c>
      <c r="H788" t="s">
        <v>4225</v>
      </c>
      <c r="I788" t="s">
        <v>4226</v>
      </c>
      <c r="J788" t="s">
        <v>1363</v>
      </c>
      <c r="K788" t="s">
        <v>1364</v>
      </c>
      <c r="L788" t="s">
        <v>50</v>
      </c>
      <c r="M788" s="2">
        <v>140329.79999999999</v>
      </c>
      <c r="N788" t="s">
        <v>6541</v>
      </c>
      <c r="O788" t="s">
        <v>52</v>
      </c>
      <c r="P788" t="str">
        <f>CONCATENATE("'",Tabla1[[#This Row],[Codigo]],"',")</f>
        <v>'01406',</v>
      </c>
    </row>
    <row r="789" spans="1:16" x14ac:dyDescent="0.25">
      <c r="A789" t="s">
        <v>6544</v>
      </c>
      <c r="B789" t="s">
        <v>6545</v>
      </c>
      <c r="C789" t="s">
        <v>6545</v>
      </c>
      <c r="D789" t="s">
        <v>125</v>
      </c>
      <c r="E789" t="s">
        <v>126</v>
      </c>
      <c r="F789" t="s">
        <v>6546</v>
      </c>
      <c r="G789" t="s">
        <v>6547</v>
      </c>
      <c r="H789" t="s">
        <v>212</v>
      </c>
      <c r="I789" t="s">
        <v>213</v>
      </c>
      <c r="J789" t="s">
        <v>61</v>
      </c>
      <c r="K789" t="s">
        <v>62</v>
      </c>
      <c r="L789" t="s">
        <v>50</v>
      </c>
      <c r="M789" s="2">
        <v>118522.71</v>
      </c>
      <c r="N789" t="s">
        <v>6549</v>
      </c>
      <c r="O789" t="s">
        <v>52</v>
      </c>
      <c r="P789" t="str">
        <f>CONCATENATE("'",Tabla1[[#This Row],[Codigo]],"',")</f>
        <v>'01408',</v>
      </c>
    </row>
    <row r="790" spans="1:16" x14ac:dyDescent="0.25">
      <c r="A790" t="s">
        <v>6556</v>
      </c>
      <c r="B790" t="s">
        <v>6557</v>
      </c>
      <c r="C790" t="s">
        <v>6557</v>
      </c>
      <c r="D790" t="s">
        <v>569</v>
      </c>
      <c r="E790" t="s">
        <v>570</v>
      </c>
      <c r="F790" t="s">
        <v>6558</v>
      </c>
      <c r="G790" t="s">
        <v>1222</v>
      </c>
      <c r="H790" t="s">
        <v>1221</v>
      </c>
      <c r="I790" t="s">
        <v>1222</v>
      </c>
      <c r="J790" t="s">
        <v>205</v>
      </c>
      <c r="K790" t="s">
        <v>206</v>
      </c>
      <c r="L790" t="s">
        <v>50</v>
      </c>
      <c r="M790" s="2">
        <v>130902</v>
      </c>
      <c r="N790" t="s">
        <v>64</v>
      </c>
      <c r="P790" t="str">
        <f>CONCATENATE("'",Tabla1[[#This Row],[Codigo]],"',")</f>
        <v>'01411',</v>
      </c>
    </row>
    <row r="791" spans="1:16" x14ac:dyDescent="0.25">
      <c r="A791" t="s">
        <v>6568</v>
      </c>
      <c r="B791" t="s">
        <v>6569</v>
      </c>
      <c r="C791" t="s">
        <v>6570</v>
      </c>
      <c r="D791" t="s">
        <v>1865</v>
      </c>
      <c r="E791" t="s">
        <v>224</v>
      </c>
      <c r="F791" t="s">
        <v>6571</v>
      </c>
      <c r="G791" t="s">
        <v>6055</v>
      </c>
      <c r="H791" t="s">
        <v>6057</v>
      </c>
      <c r="I791" t="s">
        <v>6058</v>
      </c>
      <c r="J791" t="s">
        <v>5966</v>
      </c>
      <c r="K791" t="s">
        <v>5739</v>
      </c>
      <c r="L791" t="s">
        <v>50</v>
      </c>
      <c r="M791" s="2">
        <v>109085</v>
      </c>
      <c r="N791" t="s">
        <v>64</v>
      </c>
      <c r="P791" t="str">
        <f>CONCATENATE("'",Tabla1[[#This Row],[Codigo]],"',")</f>
        <v>'01416',</v>
      </c>
    </row>
    <row r="792" spans="1:16" x14ac:dyDescent="0.25">
      <c r="A792" t="s">
        <v>6574</v>
      </c>
      <c r="B792" t="s">
        <v>6575</v>
      </c>
      <c r="C792" t="s">
        <v>6575</v>
      </c>
      <c r="D792" t="s">
        <v>35</v>
      </c>
      <c r="E792" t="s">
        <v>36</v>
      </c>
      <c r="F792" t="s">
        <v>6576</v>
      </c>
      <c r="G792" t="s">
        <v>1062</v>
      </c>
      <c r="H792" t="s">
        <v>1064</v>
      </c>
      <c r="I792" t="s">
        <v>1062</v>
      </c>
      <c r="J792" t="s">
        <v>304</v>
      </c>
      <c r="K792" t="s">
        <v>72</v>
      </c>
      <c r="L792" t="s">
        <v>50</v>
      </c>
      <c r="M792" s="2">
        <v>20660.73</v>
      </c>
      <c r="N792" t="s">
        <v>6579</v>
      </c>
      <c r="O792" t="s">
        <v>52</v>
      </c>
      <c r="P792" t="str">
        <f>CONCATENATE("'",Tabla1[[#This Row],[Codigo]],"',")</f>
        <v>'01417',</v>
      </c>
    </row>
    <row r="793" spans="1:16" x14ac:dyDescent="0.25">
      <c r="A793" t="s">
        <v>6587</v>
      </c>
      <c r="B793" t="s">
        <v>6588</v>
      </c>
      <c r="C793" t="s">
        <v>6588</v>
      </c>
      <c r="D793" t="s">
        <v>2485</v>
      </c>
      <c r="E793" t="s">
        <v>134</v>
      </c>
      <c r="F793" t="s">
        <v>6589</v>
      </c>
      <c r="G793" t="s">
        <v>2385</v>
      </c>
      <c r="H793" t="s">
        <v>2384</v>
      </c>
      <c r="I793" t="s">
        <v>2385</v>
      </c>
      <c r="J793" t="s">
        <v>103</v>
      </c>
      <c r="K793" t="s">
        <v>104</v>
      </c>
      <c r="L793" t="s">
        <v>50</v>
      </c>
      <c r="M793" s="2">
        <v>218170</v>
      </c>
      <c r="N793" t="s">
        <v>64</v>
      </c>
      <c r="P793" t="str">
        <f>CONCATENATE("'",Tabla1[[#This Row],[Codigo]],"',")</f>
        <v>'01420',</v>
      </c>
    </row>
    <row r="794" spans="1:16" x14ac:dyDescent="0.25">
      <c r="A794" t="s">
        <v>6591</v>
      </c>
      <c r="B794" t="s">
        <v>6592</v>
      </c>
      <c r="C794" t="s">
        <v>6592</v>
      </c>
      <c r="D794" t="s">
        <v>153</v>
      </c>
      <c r="E794" t="s">
        <v>272</v>
      </c>
      <c r="F794" t="s">
        <v>6593</v>
      </c>
      <c r="G794" t="s">
        <v>6594</v>
      </c>
      <c r="H794" t="s">
        <v>254</v>
      </c>
      <c r="I794" t="s">
        <v>255</v>
      </c>
      <c r="J794" t="s">
        <v>256</v>
      </c>
      <c r="K794" t="s">
        <v>255</v>
      </c>
      <c r="L794" t="s">
        <v>50</v>
      </c>
      <c r="M794" s="2">
        <v>87138.22</v>
      </c>
      <c r="N794" t="s">
        <v>6596</v>
      </c>
      <c r="O794" t="s">
        <v>115</v>
      </c>
      <c r="P794" t="str">
        <f>CONCATENATE("'",Tabla1[[#This Row],[Codigo]],"',")</f>
        <v>'01421',</v>
      </c>
    </row>
    <row r="795" spans="1:16" x14ac:dyDescent="0.25">
      <c r="A795" t="s">
        <v>6599</v>
      </c>
      <c r="B795" t="s">
        <v>6600</v>
      </c>
      <c r="C795" t="s">
        <v>6601</v>
      </c>
      <c r="D795" t="s">
        <v>153</v>
      </c>
      <c r="E795" t="s">
        <v>272</v>
      </c>
      <c r="F795" t="s">
        <v>4931</v>
      </c>
      <c r="G795" t="s">
        <v>1360</v>
      </c>
      <c r="H795" t="s">
        <v>1362</v>
      </c>
      <c r="I795" t="s">
        <v>1360</v>
      </c>
      <c r="J795" t="s">
        <v>1421</v>
      </c>
      <c r="K795" t="s">
        <v>1422</v>
      </c>
      <c r="L795" t="s">
        <v>50</v>
      </c>
      <c r="M795" s="2">
        <v>211259.2</v>
      </c>
      <c r="N795" t="s">
        <v>6602</v>
      </c>
      <c r="O795" t="s">
        <v>115</v>
      </c>
      <c r="P795" t="str">
        <f>CONCATENATE("'",Tabla1[[#This Row],[Codigo]],"',")</f>
        <v>'01423',</v>
      </c>
    </row>
    <row r="796" spans="1:16" x14ac:dyDescent="0.25">
      <c r="A796" t="s">
        <v>6603</v>
      </c>
      <c r="B796" t="s">
        <v>6604</v>
      </c>
      <c r="C796" t="s">
        <v>6604</v>
      </c>
      <c r="D796" t="s">
        <v>153</v>
      </c>
      <c r="E796" t="s">
        <v>272</v>
      </c>
      <c r="F796" t="s">
        <v>6605</v>
      </c>
      <c r="G796" t="s">
        <v>173</v>
      </c>
      <c r="H796" t="s">
        <v>172</v>
      </c>
      <c r="I796" t="s">
        <v>173</v>
      </c>
      <c r="J796" t="s">
        <v>158</v>
      </c>
      <c r="K796" t="s">
        <v>159</v>
      </c>
      <c r="L796" t="s">
        <v>50</v>
      </c>
      <c r="M796" s="2">
        <v>1110225.73</v>
      </c>
      <c r="N796" t="s">
        <v>6608</v>
      </c>
      <c r="O796" t="s">
        <v>52</v>
      </c>
      <c r="P796" t="str">
        <f>CONCATENATE("'",Tabla1[[#This Row],[Codigo]],"',")</f>
        <v>'01424',</v>
      </c>
    </row>
    <row r="797" spans="1:16" x14ac:dyDescent="0.25">
      <c r="A797" t="s">
        <v>6611</v>
      </c>
      <c r="B797" t="s">
        <v>6612</v>
      </c>
      <c r="C797" t="s">
        <v>6612</v>
      </c>
      <c r="D797" t="s">
        <v>125</v>
      </c>
      <c r="E797" t="s">
        <v>126</v>
      </c>
      <c r="F797" t="s">
        <v>6613</v>
      </c>
      <c r="G797" t="s">
        <v>41</v>
      </c>
      <c r="H797" t="s">
        <v>40</v>
      </c>
      <c r="I797" t="s">
        <v>41</v>
      </c>
      <c r="J797" t="s">
        <v>61</v>
      </c>
      <c r="K797" t="s">
        <v>62</v>
      </c>
      <c r="L797" t="s">
        <v>50</v>
      </c>
      <c r="M797" s="2">
        <v>38699.24</v>
      </c>
      <c r="N797" t="s">
        <v>6616</v>
      </c>
      <c r="O797" t="s">
        <v>52</v>
      </c>
      <c r="P797" t="str">
        <f>CONCATENATE("'",Tabla1[[#This Row],[Codigo]],"',")</f>
        <v>'01428',</v>
      </c>
    </row>
    <row r="798" spans="1:16" x14ac:dyDescent="0.25">
      <c r="A798" t="s">
        <v>6619</v>
      </c>
      <c r="B798" t="s">
        <v>6620</v>
      </c>
      <c r="C798" t="s">
        <v>6620</v>
      </c>
      <c r="D798" t="s">
        <v>153</v>
      </c>
      <c r="E798" t="s">
        <v>272</v>
      </c>
      <c r="F798" t="s">
        <v>6621</v>
      </c>
      <c r="G798" t="s">
        <v>404</v>
      </c>
      <c r="H798" t="s">
        <v>403</v>
      </c>
      <c r="I798" t="s">
        <v>404</v>
      </c>
      <c r="J798" t="s">
        <v>205</v>
      </c>
      <c r="K798" t="s">
        <v>206</v>
      </c>
      <c r="L798" t="s">
        <v>50</v>
      </c>
      <c r="M798" s="2">
        <v>179594.51</v>
      </c>
      <c r="N798" t="s">
        <v>6623</v>
      </c>
      <c r="O798" t="s">
        <v>52</v>
      </c>
      <c r="P798" t="str">
        <f>CONCATENATE("'",Tabla1[[#This Row],[Codigo]],"',")</f>
        <v>'01430',</v>
      </c>
    </row>
    <row r="799" spans="1:16" x14ac:dyDescent="0.25">
      <c r="A799" t="s">
        <v>6624</v>
      </c>
      <c r="B799" t="s">
        <v>6625</v>
      </c>
      <c r="C799" t="s">
        <v>6625</v>
      </c>
      <c r="D799" t="s">
        <v>125</v>
      </c>
      <c r="E799" t="s">
        <v>126</v>
      </c>
      <c r="F799" t="s">
        <v>6626</v>
      </c>
      <c r="G799" t="s">
        <v>6627</v>
      </c>
      <c r="H799" t="s">
        <v>6629</v>
      </c>
      <c r="I799" t="s">
        <v>6630</v>
      </c>
      <c r="J799" t="s">
        <v>3487</v>
      </c>
      <c r="K799" t="s">
        <v>3488</v>
      </c>
      <c r="L799" t="s">
        <v>50</v>
      </c>
      <c r="M799" s="2">
        <v>1948633.8</v>
      </c>
      <c r="N799" t="s">
        <v>6632</v>
      </c>
      <c r="O799" t="s">
        <v>52</v>
      </c>
      <c r="P799" t="str">
        <f>CONCATENATE("'",Tabla1[[#This Row],[Codigo]],"',")</f>
        <v>'01431',</v>
      </c>
    </row>
    <row r="800" spans="1:16" x14ac:dyDescent="0.25">
      <c r="A800" t="s">
        <v>6633</v>
      </c>
      <c r="B800" t="s">
        <v>6634</v>
      </c>
      <c r="C800" t="s">
        <v>6634</v>
      </c>
      <c r="D800" t="s">
        <v>125</v>
      </c>
      <c r="E800" t="s">
        <v>126</v>
      </c>
      <c r="F800" t="s">
        <v>6635</v>
      </c>
      <c r="G800" t="s">
        <v>6627</v>
      </c>
      <c r="H800" t="s">
        <v>6629</v>
      </c>
      <c r="I800" t="s">
        <v>6630</v>
      </c>
      <c r="J800" t="s">
        <v>3487</v>
      </c>
      <c r="K800" t="s">
        <v>3488</v>
      </c>
      <c r="L800" t="s">
        <v>50</v>
      </c>
      <c r="M800" s="2">
        <v>964831.65</v>
      </c>
      <c r="N800" t="s">
        <v>6638</v>
      </c>
      <c r="O800" t="s">
        <v>52</v>
      </c>
      <c r="P800" t="str">
        <f>CONCATENATE("'",Tabla1[[#This Row],[Codigo]],"',")</f>
        <v>'01432',</v>
      </c>
    </row>
    <row r="801" spans="1:16" x14ac:dyDescent="0.25">
      <c r="A801" t="s">
        <v>6639</v>
      </c>
      <c r="B801" t="s">
        <v>6640</v>
      </c>
      <c r="C801" t="s">
        <v>6640</v>
      </c>
      <c r="D801" t="s">
        <v>847</v>
      </c>
      <c r="E801" t="s">
        <v>848</v>
      </c>
      <c r="F801" t="s">
        <v>6641</v>
      </c>
      <c r="G801" t="s">
        <v>5927</v>
      </c>
      <c r="H801" t="s">
        <v>5929</v>
      </c>
      <c r="I801" t="s">
        <v>5930</v>
      </c>
      <c r="J801" t="s">
        <v>1363</v>
      </c>
      <c r="K801" t="s">
        <v>1364</v>
      </c>
      <c r="L801" t="s">
        <v>50</v>
      </c>
      <c r="M801" s="2">
        <v>-33672.879999999997</v>
      </c>
      <c r="N801" t="s">
        <v>6643</v>
      </c>
      <c r="O801" t="s">
        <v>52</v>
      </c>
      <c r="P801" t="str">
        <f>CONCATENATE("'",Tabla1[[#This Row],[Codigo]],"',")</f>
        <v>'01433',</v>
      </c>
    </row>
    <row r="802" spans="1:16" x14ac:dyDescent="0.25">
      <c r="A802" t="s">
        <v>6644</v>
      </c>
      <c r="B802" t="s">
        <v>6645</v>
      </c>
      <c r="C802" t="s">
        <v>6645</v>
      </c>
      <c r="D802" t="s">
        <v>35</v>
      </c>
      <c r="E802" t="s">
        <v>36</v>
      </c>
      <c r="F802" t="s">
        <v>6646</v>
      </c>
      <c r="G802" t="s">
        <v>6027</v>
      </c>
      <c r="H802" t="s">
        <v>6029</v>
      </c>
      <c r="I802" t="s">
        <v>6030</v>
      </c>
      <c r="J802" t="s">
        <v>1363</v>
      </c>
      <c r="K802" t="s">
        <v>1364</v>
      </c>
      <c r="L802" t="s">
        <v>50</v>
      </c>
      <c r="M802" s="2">
        <v>8586.52</v>
      </c>
      <c r="N802" t="s">
        <v>6649</v>
      </c>
      <c r="O802" t="s">
        <v>115</v>
      </c>
      <c r="P802" t="str">
        <f>CONCATENATE("'",Tabla1[[#This Row],[Codigo]],"',")</f>
        <v>'01434',</v>
      </c>
    </row>
    <row r="803" spans="1:16" x14ac:dyDescent="0.25">
      <c r="A803" t="s">
        <v>6650</v>
      </c>
      <c r="B803" t="s">
        <v>6651</v>
      </c>
      <c r="C803" t="s">
        <v>6651</v>
      </c>
      <c r="D803" t="s">
        <v>125</v>
      </c>
      <c r="E803" t="s">
        <v>126</v>
      </c>
      <c r="F803" t="s">
        <v>6652</v>
      </c>
      <c r="G803" t="s">
        <v>6627</v>
      </c>
      <c r="H803" t="s">
        <v>6629</v>
      </c>
      <c r="I803" t="s">
        <v>6630</v>
      </c>
      <c r="J803" t="s">
        <v>3487</v>
      </c>
      <c r="K803" t="s">
        <v>3488</v>
      </c>
      <c r="L803" t="s">
        <v>50</v>
      </c>
      <c r="M803" s="2">
        <v>933255.69</v>
      </c>
      <c r="N803" t="s">
        <v>6655</v>
      </c>
      <c r="O803" t="s">
        <v>52</v>
      </c>
      <c r="P803" t="str">
        <f>CONCATENATE("'",Tabla1[[#This Row],[Codigo]],"',")</f>
        <v>'01435',</v>
      </c>
    </row>
    <row r="804" spans="1:16" x14ac:dyDescent="0.25">
      <c r="A804" t="s">
        <v>6656</v>
      </c>
      <c r="B804" t="s">
        <v>6657</v>
      </c>
      <c r="C804" t="s">
        <v>6657</v>
      </c>
      <c r="D804" t="s">
        <v>178</v>
      </c>
      <c r="E804" t="s">
        <v>179</v>
      </c>
      <c r="F804" t="s">
        <v>6658</v>
      </c>
      <c r="G804" t="s">
        <v>1222</v>
      </c>
      <c r="H804" t="s">
        <v>1221</v>
      </c>
      <c r="I804" t="s">
        <v>1222</v>
      </c>
      <c r="J804" t="s">
        <v>205</v>
      </c>
      <c r="K804" t="s">
        <v>206</v>
      </c>
      <c r="L804" t="s">
        <v>50</v>
      </c>
      <c r="M804" s="2">
        <v>436340</v>
      </c>
      <c r="N804" t="s">
        <v>64</v>
      </c>
      <c r="P804" t="str">
        <f>CONCATENATE("'",Tabla1[[#This Row],[Codigo]],"',")</f>
        <v>'01436',</v>
      </c>
    </row>
    <row r="805" spans="1:16" x14ac:dyDescent="0.25">
      <c r="A805" t="s">
        <v>6661</v>
      </c>
      <c r="B805" t="s">
        <v>6662</v>
      </c>
      <c r="C805" t="s">
        <v>6662</v>
      </c>
      <c r="D805" t="s">
        <v>873</v>
      </c>
      <c r="E805" t="s">
        <v>224</v>
      </c>
      <c r="F805" t="s">
        <v>6663</v>
      </c>
      <c r="G805" t="s">
        <v>119</v>
      </c>
      <c r="H805" t="s">
        <v>118</v>
      </c>
      <c r="I805" t="s">
        <v>119</v>
      </c>
      <c r="J805" t="s">
        <v>120</v>
      </c>
      <c r="K805" t="s">
        <v>121</v>
      </c>
      <c r="L805" t="s">
        <v>50</v>
      </c>
      <c r="M805" s="2">
        <v>-9874.69</v>
      </c>
      <c r="N805" t="s">
        <v>6666</v>
      </c>
      <c r="O805" t="s">
        <v>115</v>
      </c>
      <c r="P805" t="str">
        <f>CONCATENATE("'",Tabla1[[#This Row],[Codigo]],"',")</f>
        <v>'01437',</v>
      </c>
    </row>
    <row r="806" spans="1:16" x14ac:dyDescent="0.25">
      <c r="A806" t="s">
        <v>6667</v>
      </c>
      <c r="B806" t="s">
        <v>6668</v>
      </c>
      <c r="C806" t="s">
        <v>6668</v>
      </c>
      <c r="D806" t="s">
        <v>888</v>
      </c>
      <c r="E806" t="s">
        <v>167</v>
      </c>
      <c r="F806" t="s">
        <v>6669</v>
      </c>
      <c r="G806" t="s">
        <v>6670</v>
      </c>
      <c r="H806" t="s">
        <v>5112</v>
      </c>
      <c r="I806" t="s">
        <v>5110</v>
      </c>
      <c r="J806" t="s">
        <v>256</v>
      </c>
      <c r="K806" t="s">
        <v>255</v>
      </c>
      <c r="L806" t="s">
        <v>50</v>
      </c>
      <c r="M806" s="2">
        <v>-45713.56</v>
      </c>
      <c r="N806" t="s">
        <v>6673</v>
      </c>
      <c r="O806" t="s">
        <v>115</v>
      </c>
      <c r="P806" t="str">
        <f>CONCATENATE("'",Tabla1[[#This Row],[Codigo]],"',")</f>
        <v>'01438',</v>
      </c>
    </row>
    <row r="807" spans="1:16" x14ac:dyDescent="0.25">
      <c r="A807" t="s">
        <v>6674</v>
      </c>
      <c r="B807" t="s">
        <v>6675</v>
      </c>
      <c r="C807" t="s">
        <v>6675</v>
      </c>
      <c r="D807" t="s">
        <v>2126</v>
      </c>
      <c r="E807" t="s">
        <v>77</v>
      </c>
      <c r="F807" t="s">
        <v>6676</v>
      </c>
      <c r="G807" t="s">
        <v>404</v>
      </c>
      <c r="H807" t="s">
        <v>403</v>
      </c>
      <c r="I807" t="s">
        <v>404</v>
      </c>
      <c r="J807" t="s">
        <v>205</v>
      </c>
      <c r="K807" t="s">
        <v>206</v>
      </c>
      <c r="L807" t="s">
        <v>50</v>
      </c>
      <c r="M807" s="2">
        <v>218</v>
      </c>
      <c r="N807" t="s">
        <v>64</v>
      </c>
      <c r="P807" t="str">
        <f>CONCATENATE("'",Tabla1[[#This Row],[Codigo]],"',")</f>
        <v>'01439',</v>
      </c>
    </row>
    <row r="808" spans="1:16" x14ac:dyDescent="0.25">
      <c r="A808" t="s">
        <v>6679</v>
      </c>
      <c r="B808" t="s">
        <v>6680</v>
      </c>
      <c r="C808" t="s">
        <v>6680</v>
      </c>
      <c r="D808" t="s">
        <v>297</v>
      </c>
      <c r="E808" t="s">
        <v>167</v>
      </c>
      <c r="F808" t="s">
        <v>6681</v>
      </c>
      <c r="G808" t="s">
        <v>2951</v>
      </c>
      <c r="H808" t="s">
        <v>1725</v>
      </c>
      <c r="I808" t="s">
        <v>1723</v>
      </c>
      <c r="J808" t="s">
        <v>120</v>
      </c>
      <c r="K808" t="s">
        <v>121</v>
      </c>
      <c r="L808" t="s">
        <v>50</v>
      </c>
      <c r="M808" s="2">
        <v>976978.07</v>
      </c>
      <c r="N808" t="s">
        <v>6684</v>
      </c>
      <c r="O808" t="s">
        <v>52</v>
      </c>
      <c r="P808" t="str">
        <f>CONCATENATE("'",Tabla1[[#This Row],[Codigo]],"',")</f>
        <v>'01440',</v>
      </c>
    </row>
    <row r="809" spans="1:16" x14ac:dyDescent="0.25">
      <c r="A809" t="s">
        <v>6688</v>
      </c>
      <c r="B809" t="s">
        <v>6689</v>
      </c>
      <c r="C809" t="s">
        <v>6689</v>
      </c>
      <c r="D809" t="s">
        <v>35</v>
      </c>
      <c r="E809" t="s">
        <v>36</v>
      </c>
      <c r="F809" t="s">
        <v>6690</v>
      </c>
      <c r="G809" t="s">
        <v>6093</v>
      </c>
      <c r="H809" t="s">
        <v>6094</v>
      </c>
      <c r="I809" t="s">
        <v>6095</v>
      </c>
      <c r="J809" t="s">
        <v>5966</v>
      </c>
      <c r="K809" t="s">
        <v>5739</v>
      </c>
      <c r="L809" t="s">
        <v>50</v>
      </c>
      <c r="M809" s="2">
        <v>1309020</v>
      </c>
      <c r="N809" t="s">
        <v>64</v>
      </c>
      <c r="P809" t="str">
        <f>CONCATENATE("'",Tabla1[[#This Row],[Codigo]],"',")</f>
        <v>'01442',</v>
      </c>
    </row>
    <row r="810" spans="1:16" x14ac:dyDescent="0.25">
      <c r="A810" t="s">
        <v>6693</v>
      </c>
      <c r="B810" t="s">
        <v>6694</v>
      </c>
      <c r="C810" t="s">
        <v>6694</v>
      </c>
      <c r="D810" t="s">
        <v>153</v>
      </c>
      <c r="E810" t="s">
        <v>272</v>
      </c>
      <c r="F810" t="s">
        <v>6695</v>
      </c>
      <c r="G810" t="s">
        <v>79</v>
      </c>
      <c r="H810" t="s">
        <v>495</v>
      </c>
      <c r="I810" t="s">
        <v>79</v>
      </c>
      <c r="J810" t="s">
        <v>3487</v>
      </c>
      <c r="K810" t="s">
        <v>3488</v>
      </c>
      <c r="L810" t="s">
        <v>50</v>
      </c>
      <c r="M810" s="2">
        <v>12704.02</v>
      </c>
      <c r="N810" t="s">
        <v>6698</v>
      </c>
      <c r="O810" t="s">
        <v>52</v>
      </c>
      <c r="P810" t="str">
        <f>CONCATENATE("'",Tabla1[[#This Row],[Codigo]],"',")</f>
        <v>'01443',</v>
      </c>
    </row>
    <row r="811" spans="1:16" x14ac:dyDescent="0.25">
      <c r="A811" t="s">
        <v>6699</v>
      </c>
      <c r="B811" t="s">
        <v>6700</v>
      </c>
      <c r="C811" t="s">
        <v>6700</v>
      </c>
      <c r="D811" t="s">
        <v>125</v>
      </c>
      <c r="E811" t="s">
        <v>126</v>
      </c>
      <c r="F811" t="s">
        <v>6701</v>
      </c>
      <c r="G811" t="s">
        <v>6702</v>
      </c>
      <c r="H811" t="s">
        <v>2806</v>
      </c>
      <c r="I811" t="s">
        <v>2805</v>
      </c>
      <c r="J811" t="s">
        <v>61</v>
      </c>
      <c r="K811" t="s">
        <v>62</v>
      </c>
      <c r="L811" t="s">
        <v>50</v>
      </c>
      <c r="M811" s="2">
        <v>207995.59</v>
      </c>
      <c r="N811" t="s">
        <v>6705</v>
      </c>
      <c r="O811" t="s">
        <v>115</v>
      </c>
      <c r="P811" t="str">
        <f>CONCATENATE("'",Tabla1[[#This Row],[Codigo]],"',")</f>
        <v>'01444',</v>
      </c>
    </row>
    <row r="812" spans="1:16" x14ac:dyDescent="0.25">
      <c r="A812" t="s">
        <v>6706</v>
      </c>
      <c r="B812" t="s">
        <v>6707</v>
      </c>
      <c r="C812" t="s">
        <v>6708</v>
      </c>
      <c r="D812" t="s">
        <v>888</v>
      </c>
      <c r="E812" t="s">
        <v>167</v>
      </c>
      <c r="F812" t="s">
        <v>6709</v>
      </c>
      <c r="G812" t="s">
        <v>820</v>
      </c>
      <c r="H812" t="s">
        <v>822</v>
      </c>
      <c r="I812" t="s">
        <v>820</v>
      </c>
      <c r="J812" t="s">
        <v>91</v>
      </c>
      <c r="K812" t="s">
        <v>92</v>
      </c>
      <c r="L812" t="s">
        <v>50</v>
      </c>
      <c r="M812" s="2">
        <v>90074.19</v>
      </c>
      <c r="N812" t="s">
        <v>6712</v>
      </c>
      <c r="O812" t="s">
        <v>52</v>
      </c>
      <c r="P812" t="str">
        <f>CONCATENATE("'",Tabla1[[#This Row],[Codigo]],"',")</f>
        <v>'01445',</v>
      </c>
    </row>
    <row r="813" spans="1:16" x14ac:dyDescent="0.25">
      <c r="A813" t="s">
        <v>6719</v>
      </c>
      <c r="B813" t="s">
        <v>6720</v>
      </c>
      <c r="C813" t="s">
        <v>6720</v>
      </c>
      <c r="D813" t="s">
        <v>6721</v>
      </c>
      <c r="E813" t="s">
        <v>77</v>
      </c>
      <c r="F813" t="s">
        <v>6722</v>
      </c>
      <c r="G813" t="s">
        <v>614</v>
      </c>
      <c r="H813" t="s">
        <v>613</v>
      </c>
      <c r="I813" t="s">
        <v>614</v>
      </c>
      <c r="J813" t="s">
        <v>91</v>
      </c>
      <c r="K813" t="s">
        <v>92</v>
      </c>
      <c r="L813" t="s">
        <v>50</v>
      </c>
      <c r="M813" s="2">
        <v>1090850</v>
      </c>
      <c r="N813" t="s">
        <v>64</v>
      </c>
      <c r="P813" t="str">
        <f>CONCATENATE("'",Tabla1[[#This Row],[Codigo]],"',")</f>
        <v>'01448',</v>
      </c>
    </row>
    <row r="814" spans="1:16" x14ac:dyDescent="0.25">
      <c r="A814" t="s">
        <v>6725</v>
      </c>
      <c r="B814" t="s">
        <v>15166</v>
      </c>
      <c r="C814" t="s">
        <v>6726</v>
      </c>
      <c r="D814" t="s">
        <v>847</v>
      </c>
      <c r="E814" t="s">
        <v>848</v>
      </c>
      <c r="F814" t="s">
        <v>6727</v>
      </c>
      <c r="G814" t="s">
        <v>6728</v>
      </c>
      <c r="H814" t="s">
        <v>6730</v>
      </c>
      <c r="I814" t="s">
        <v>6728</v>
      </c>
      <c r="J814" t="s">
        <v>557</v>
      </c>
      <c r="K814" t="s">
        <v>558</v>
      </c>
      <c r="L814" t="s">
        <v>50</v>
      </c>
      <c r="M814" s="2">
        <v>118015.67999999999</v>
      </c>
      <c r="N814" t="s">
        <v>6732</v>
      </c>
      <c r="O814" t="s">
        <v>52</v>
      </c>
      <c r="P814" t="str">
        <f>CONCATENATE("'",Tabla1[[#This Row],[Codigo]],"',")</f>
        <v>'01449',</v>
      </c>
    </row>
    <row r="815" spans="1:16" x14ac:dyDescent="0.25">
      <c r="A815" t="s">
        <v>6737</v>
      </c>
      <c r="B815" t="s">
        <v>6738</v>
      </c>
      <c r="C815" t="s">
        <v>6739</v>
      </c>
      <c r="D815" t="s">
        <v>847</v>
      </c>
      <c r="E815" t="s">
        <v>848</v>
      </c>
      <c r="F815" t="s">
        <v>6740</v>
      </c>
      <c r="G815" t="s">
        <v>79</v>
      </c>
      <c r="H815" t="s">
        <v>495</v>
      </c>
      <c r="I815" t="s">
        <v>79</v>
      </c>
      <c r="J815" t="s">
        <v>3487</v>
      </c>
      <c r="K815" t="s">
        <v>3488</v>
      </c>
      <c r="L815" t="s">
        <v>50</v>
      </c>
      <c r="M815" s="2">
        <v>42963.32</v>
      </c>
      <c r="N815" t="s">
        <v>6743</v>
      </c>
      <c r="O815" t="s">
        <v>52</v>
      </c>
      <c r="P815" t="str">
        <f>CONCATENATE("'",Tabla1[[#This Row],[Codigo]],"',")</f>
        <v>'01451',</v>
      </c>
    </row>
    <row r="816" spans="1:16" x14ac:dyDescent="0.25">
      <c r="A816" t="s">
        <v>6744</v>
      </c>
      <c r="B816" t="s">
        <v>6745</v>
      </c>
      <c r="C816" t="s">
        <v>6745</v>
      </c>
      <c r="D816" t="s">
        <v>35</v>
      </c>
      <c r="E816" t="s">
        <v>36</v>
      </c>
      <c r="F816" t="s">
        <v>6746</v>
      </c>
      <c r="G816" t="s">
        <v>584</v>
      </c>
      <c r="H816" t="s">
        <v>585</v>
      </c>
      <c r="I816" t="s">
        <v>584</v>
      </c>
      <c r="J816" t="s">
        <v>158</v>
      </c>
      <c r="K816" t="s">
        <v>159</v>
      </c>
      <c r="L816" t="s">
        <v>50</v>
      </c>
      <c r="M816" s="2">
        <v>1557112.1</v>
      </c>
      <c r="N816" t="s">
        <v>6748</v>
      </c>
      <c r="O816" t="s">
        <v>52</v>
      </c>
      <c r="P816" t="str">
        <f>CONCATENATE("'",Tabla1[[#This Row],[Codigo]],"',")</f>
        <v>'01452',</v>
      </c>
    </row>
    <row r="817" spans="1:16" x14ac:dyDescent="0.25">
      <c r="A817" s="15" t="s">
        <v>6749</v>
      </c>
      <c r="B817" s="15" t="s">
        <v>6750</v>
      </c>
      <c r="C817" s="15" t="s">
        <v>6750</v>
      </c>
      <c r="D817" s="15" t="s">
        <v>55</v>
      </c>
      <c r="E817" s="15" t="s">
        <v>56</v>
      </c>
      <c r="F817" s="15" t="s">
        <v>6751</v>
      </c>
      <c r="G817" s="15" t="s">
        <v>5110</v>
      </c>
      <c r="H817" s="15" t="s">
        <v>5112</v>
      </c>
      <c r="I817" s="15" t="s">
        <v>5110</v>
      </c>
      <c r="J817" s="15" t="s">
        <v>256</v>
      </c>
      <c r="K817" s="15" t="s">
        <v>255</v>
      </c>
      <c r="L817" s="15" t="s">
        <v>50</v>
      </c>
      <c r="M817" s="16">
        <v>-55811.02</v>
      </c>
      <c r="N817" s="15" t="s">
        <v>6754</v>
      </c>
      <c r="O817" s="15" t="s">
        <v>115</v>
      </c>
      <c r="P817" t="str">
        <f>CONCATENATE("'",Tabla1[[#This Row],[Codigo]],"',")</f>
        <v>'01453',</v>
      </c>
    </row>
    <row r="818" spans="1:16" x14ac:dyDescent="0.25">
      <c r="A818" t="s">
        <v>6760</v>
      </c>
      <c r="B818" t="s">
        <v>6761</v>
      </c>
      <c r="C818" t="s">
        <v>5416</v>
      </c>
      <c r="D818" t="s">
        <v>569</v>
      </c>
      <c r="E818" t="s">
        <v>570</v>
      </c>
      <c r="F818" t="s">
        <v>5417</v>
      </c>
      <c r="G818" t="s">
        <v>2105</v>
      </c>
      <c r="H818" t="s">
        <v>1546</v>
      </c>
      <c r="I818" t="s">
        <v>1547</v>
      </c>
      <c r="J818" t="s">
        <v>103</v>
      </c>
      <c r="K818" t="s">
        <v>104</v>
      </c>
      <c r="L818" t="s">
        <v>50</v>
      </c>
      <c r="M818" s="2">
        <v>624867.18000000005</v>
      </c>
      <c r="N818" t="s">
        <v>6762</v>
      </c>
      <c r="O818" t="s">
        <v>52</v>
      </c>
      <c r="P818" t="str">
        <f>CONCATENATE("'",Tabla1[[#This Row],[Codigo]],"',")</f>
        <v>'01457',</v>
      </c>
    </row>
    <row r="819" spans="1:16" x14ac:dyDescent="0.25">
      <c r="A819" t="s">
        <v>6765</v>
      </c>
      <c r="B819" t="s">
        <v>6766</v>
      </c>
      <c r="C819" t="s">
        <v>6767</v>
      </c>
      <c r="D819" t="s">
        <v>153</v>
      </c>
      <c r="E819" t="s">
        <v>272</v>
      </c>
      <c r="F819" t="s">
        <v>5850</v>
      </c>
      <c r="G819" t="s">
        <v>1607</v>
      </c>
      <c r="H819" t="s">
        <v>1221</v>
      </c>
      <c r="I819" t="s">
        <v>1222</v>
      </c>
      <c r="J819" t="s">
        <v>205</v>
      </c>
      <c r="K819" t="s">
        <v>206</v>
      </c>
      <c r="L819" t="s">
        <v>50</v>
      </c>
      <c r="M819" s="2">
        <v>359542.41</v>
      </c>
      <c r="N819" t="s">
        <v>6769</v>
      </c>
      <c r="O819" t="s">
        <v>115</v>
      </c>
      <c r="P819" t="str">
        <f>CONCATENATE("'",Tabla1[[#This Row],[Codigo]],"',")</f>
        <v>'01459',</v>
      </c>
    </row>
    <row r="820" spans="1:16" x14ac:dyDescent="0.25">
      <c r="A820" t="s">
        <v>6770</v>
      </c>
      <c r="B820" t="s">
        <v>6771</v>
      </c>
      <c r="C820" t="s">
        <v>6771</v>
      </c>
      <c r="D820" t="s">
        <v>35</v>
      </c>
      <c r="E820" t="s">
        <v>36</v>
      </c>
      <c r="F820" t="s">
        <v>6772</v>
      </c>
      <c r="G820" t="s">
        <v>79</v>
      </c>
      <c r="H820" t="s">
        <v>495</v>
      </c>
      <c r="I820" t="s">
        <v>79</v>
      </c>
      <c r="J820" t="s">
        <v>3487</v>
      </c>
      <c r="K820" t="s">
        <v>3488</v>
      </c>
      <c r="L820" t="s">
        <v>50</v>
      </c>
      <c r="M820" s="2">
        <v>314565.69</v>
      </c>
      <c r="N820" t="s">
        <v>6775</v>
      </c>
      <c r="O820" t="s">
        <v>115</v>
      </c>
      <c r="P820" t="str">
        <f>CONCATENATE("'",Tabla1[[#This Row],[Codigo]],"',")</f>
        <v>'01460',</v>
      </c>
    </row>
    <row r="821" spans="1:16" x14ac:dyDescent="0.25">
      <c r="A821" t="s">
        <v>6776</v>
      </c>
      <c r="B821" t="s">
        <v>6777</v>
      </c>
      <c r="C821" t="s">
        <v>6777</v>
      </c>
      <c r="D821" t="s">
        <v>153</v>
      </c>
      <c r="E821" t="s">
        <v>272</v>
      </c>
      <c r="F821" t="s">
        <v>6778</v>
      </c>
      <c r="G821" t="s">
        <v>6779</v>
      </c>
      <c r="H821" t="s">
        <v>541</v>
      </c>
      <c r="I821" t="s">
        <v>542</v>
      </c>
      <c r="J821" t="s">
        <v>91</v>
      </c>
      <c r="K821" t="s">
        <v>92</v>
      </c>
      <c r="L821" t="s">
        <v>50</v>
      </c>
      <c r="M821" s="2">
        <v>14670.39</v>
      </c>
      <c r="N821" t="s">
        <v>6781</v>
      </c>
      <c r="O821" t="s">
        <v>115</v>
      </c>
      <c r="P821" t="str">
        <f>CONCATENATE("'",Tabla1[[#This Row],[Codigo]],"',")</f>
        <v>'01461',</v>
      </c>
    </row>
    <row r="822" spans="1:16" x14ac:dyDescent="0.25">
      <c r="A822" t="s">
        <v>6782</v>
      </c>
      <c r="B822" t="s">
        <v>6783</v>
      </c>
      <c r="C822" t="s">
        <v>6784</v>
      </c>
      <c r="D822" t="s">
        <v>331</v>
      </c>
      <c r="E822" t="s">
        <v>224</v>
      </c>
      <c r="F822" t="s">
        <v>6785</v>
      </c>
      <c r="G822" t="s">
        <v>6627</v>
      </c>
      <c r="H822" t="s">
        <v>6629</v>
      </c>
      <c r="I822" t="s">
        <v>6630</v>
      </c>
      <c r="J822" t="s">
        <v>3487</v>
      </c>
      <c r="K822" t="s">
        <v>3488</v>
      </c>
      <c r="L822" t="s">
        <v>50</v>
      </c>
      <c r="M822" s="2">
        <v>111609.82</v>
      </c>
      <c r="N822" t="s">
        <v>6788</v>
      </c>
      <c r="P822" t="str">
        <f>CONCATENATE("'",Tabla1[[#This Row],[Codigo]],"',")</f>
        <v>'01462',</v>
      </c>
    </row>
    <row r="823" spans="1:16" x14ac:dyDescent="0.25">
      <c r="A823" t="s">
        <v>6793</v>
      </c>
      <c r="B823" t="s">
        <v>6794</v>
      </c>
      <c r="C823" t="s">
        <v>1974</v>
      </c>
      <c r="D823" t="s">
        <v>873</v>
      </c>
      <c r="E823" t="s">
        <v>224</v>
      </c>
      <c r="F823" t="s">
        <v>1975</v>
      </c>
      <c r="G823" t="s">
        <v>38</v>
      </c>
      <c r="H823" t="s">
        <v>40</v>
      </c>
      <c r="I823" t="s">
        <v>41</v>
      </c>
      <c r="J823" t="s">
        <v>61</v>
      </c>
      <c r="K823" t="s">
        <v>62</v>
      </c>
      <c r="L823" t="s">
        <v>50</v>
      </c>
      <c r="M823" s="2">
        <v>126941.21</v>
      </c>
      <c r="N823" t="s">
        <v>6796</v>
      </c>
      <c r="P823" t="str">
        <f>CONCATENATE("'",Tabla1[[#This Row],[Codigo]],"',")</f>
        <v>'01466',</v>
      </c>
    </row>
    <row r="824" spans="1:16" x14ac:dyDescent="0.25">
      <c r="A824" t="s">
        <v>6797</v>
      </c>
      <c r="B824" t="s">
        <v>6798</v>
      </c>
      <c r="C824" t="s">
        <v>6798</v>
      </c>
      <c r="D824" t="s">
        <v>153</v>
      </c>
      <c r="E824" t="s">
        <v>272</v>
      </c>
      <c r="F824" t="s">
        <v>6799</v>
      </c>
      <c r="G824" t="s">
        <v>327</v>
      </c>
      <c r="H824" t="s">
        <v>326</v>
      </c>
      <c r="I824" t="s">
        <v>327</v>
      </c>
      <c r="J824" t="s">
        <v>120</v>
      </c>
      <c r="K824" t="s">
        <v>121</v>
      </c>
      <c r="L824" t="s">
        <v>50</v>
      </c>
      <c r="M824" s="2">
        <v>118262.65</v>
      </c>
      <c r="N824" t="s">
        <v>6802</v>
      </c>
      <c r="O824" t="s">
        <v>52</v>
      </c>
      <c r="P824" t="str">
        <f>CONCATENATE("'",Tabla1[[#This Row],[Codigo]],"',")</f>
        <v>'01467',</v>
      </c>
    </row>
    <row r="825" spans="1:16" x14ac:dyDescent="0.25">
      <c r="A825" t="s">
        <v>6803</v>
      </c>
      <c r="B825" t="s">
        <v>6804</v>
      </c>
      <c r="C825" t="s">
        <v>6804</v>
      </c>
      <c r="D825" t="s">
        <v>125</v>
      </c>
      <c r="E825" t="s">
        <v>126</v>
      </c>
      <c r="F825" t="s">
        <v>6805</v>
      </c>
      <c r="G825" t="s">
        <v>6806</v>
      </c>
      <c r="H825" t="s">
        <v>6808</v>
      </c>
      <c r="I825" t="s">
        <v>6809</v>
      </c>
      <c r="J825" t="s">
        <v>5966</v>
      </c>
      <c r="K825" t="s">
        <v>5739</v>
      </c>
      <c r="L825" t="s">
        <v>50</v>
      </c>
      <c r="M825" s="2">
        <v>471158.71</v>
      </c>
      <c r="N825" t="s">
        <v>6811</v>
      </c>
      <c r="O825" t="s">
        <v>52</v>
      </c>
      <c r="P825" t="str">
        <f>CONCATENATE("'",Tabla1[[#This Row],[Codigo]],"',")</f>
        <v>'01468',</v>
      </c>
    </row>
    <row r="826" spans="1:16" x14ac:dyDescent="0.25">
      <c r="A826" t="s">
        <v>6812</v>
      </c>
      <c r="B826" t="s">
        <v>6813</v>
      </c>
      <c r="C826" t="s">
        <v>6813</v>
      </c>
      <c r="D826" t="s">
        <v>1245</v>
      </c>
      <c r="E826" t="s">
        <v>224</v>
      </c>
      <c r="F826" t="s">
        <v>6814</v>
      </c>
      <c r="G826" t="s">
        <v>119</v>
      </c>
      <c r="H826" t="s">
        <v>118</v>
      </c>
      <c r="I826" t="s">
        <v>119</v>
      </c>
      <c r="J826" t="s">
        <v>120</v>
      </c>
      <c r="K826" t="s">
        <v>121</v>
      </c>
      <c r="L826" t="s">
        <v>50</v>
      </c>
      <c r="M826" s="2">
        <v>130902</v>
      </c>
      <c r="N826" t="s">
        <v>64</v>
      </c>
      <c r="P826" t="str">
        <f>CONCATENATE("'",Tabla1[[#This Row],[Codigo]],"',")</f>
        <v>'01469',</v>
      </c>
    </row>
    <row r="827" spans="1:16" x14ac:dyDescent="0.25">
      <c r="A827" t="s">
        <v>6818</v>
      </c>
      <c r="B827" t="s">
        <v>6819</v>
      </c>
      <c r="C827" t="s">
        <v>6819</v>
      </c>
      <c r="D827" t="s">
        <v>847</v>
      </c>
      <c r="E827" t="s">
        <v>848</v>
      </c>
      <c r="F827" t="s">
        <v>6820</v>
      </c>
      <c r="G827" t="s">
        <v>5739</v>
      </c>
      <c r="H827" t="s">
        <v>5741</v>
      </c>
      <c r="I827" t="s">
        <v>5739</v>
      </c>
      <c r="J827" t="s">
        <v>6143</v>
      </c>
      <c r="K827" t="s">
        <v>6144</v>
      </c>
      <c r="L827" t="s">
        <v>50</v>
      </c>
      <c r="M827" s="2">
        <v>185282.78</v>
      </c>
      <c r="N827" t="s">
        <v>6822</v>
      </c>
      <c r="O827" t="s">
        <v>52</v>
      </c>
      <c r="P827" t="str">
        <f>CONCATENATE("'",Tabla1[[#This Row],[Codigo]],"',")</f>
        <v>'01471',</v>
      </c>
    </row>
    <row r="828" spans="1:16" x14ac:dyDescent="0.25">
      <c r="A828" t="s">
        <v>6823</v>
      </c>
      <c r="B828" t="s">
        <v>6824</v>
      </c>
      <c r="C828" t="s">
        <v>6824</v>
      </c>
      <c r="D828" t="s">
        <v>299</v>
      </c>
      <c r="E828" t="s">
        <v>167</v>
      </c>
      <c r="F828" t="s">
        <v>6825</v>
      </c>
      <c r="G828" t="s">
        <v>6627</v>
      </c>
      <c r="H828" t="s">
        <v>6629</v>
      </c>
      <c r="I828" t="s">
        <v>6630</v>
      </c>
      <c r="J828" t="s">
        <v>3487</v>
      </c>
      <c r="K828" t="s">
        <v>3488</v>
      </c>
      <c r="L828" t="s">
        <v>50</v>
      </c>
      <c r="M828" s="2">
        <v>61756.04</v>
      </c>
      <c r="N828" t="s">
        <v>6828</v>
      </c>
      <c r="O828" t="s">
        <v>52</v>
      </c>
      <c r="P828" t="str">
        <f>CONCATENATE("'",Tabla1[[#This Row],[Codigo]],"',")</f>
        <v>'01472',</v>
      </c>
    </row>
    <row r="829" spans="1:16" x14ac:dyDescent="0.25">
      <c r="A829" t="s">
        <v>6829</v>
      </c>
      <c r="B829" t="s">
        <v>6830</v>
      </c>
      <c r="C829" t="s">
        <v>6830</v>
      </c>
      <c r="D829" t="s">
        <v>3192</v>
      </c>
      <c r="E829" t="s">
        <v>224</v>
      </c>
      <c r="F829" t="s">
        <v>6831</v>
      </c>
      <c r="G829" t="s">
        <v>79</v>
      </c>
      <c r="H829" t="s">
        <v>495</v>
      </c>
      <c r="I829" t="s">
        <v>79</v>
      </c>
      <c r="J829" t="s">
        <v>3487</v>
      </c>
      <c r="K829" t="s">
        <v>3488</v>
      </c>
      <c r="L829" t="s">
        <v>50</v>
      </c>
      <c r="M829" s="2">
        <v>109085</v>
      </c>
      <c r="N829" t="s">
        <v>64</v>
      </c>
      <c r="P829" t="str">
        <f>CONCATENATE("'",Tabla1[[#This Row],[Codigo]],"',")</f>
        <v>'01473',</v>
      </c>
    </row>
    <row r="830" spans="1:16" x14ac:dyDescent="0.25">
      <c r="A830" t="s">
        <v>6834</v>
      </c>
      <c r="B830" t="s">
        <v>6835</v>
      </c>
      <c r="C830" t="s">
        <v>6835</v>
      </c>
      <c r="D830" t="s">
        <v>35</v>
      </c>
      <c r="E830" t="s">
        <v>36</v>
      </c>
      <c r="F830" t="s">
        <v>6836</v>
      </c>
      <c r="G830" t="s">
        <v>213</v>
      </c>
      <c r="H830" t="s">
        <v>212</v>
      </c>
      <c r="I830" t="s">
        <v>213</v>
      </c>
      <c r="J830" t="s">
        <v>61</v>
      </c>
      <c r="K830" t="s">
        <v>62</v>
      </c>
      <c r="L830" t="s">
        <v>50</v>
      </c>
      <c r="M830" s="2">
        <v>192536.66</v>
      </c>
      <c r="N830" t="s">
        <v>6838</v>
      </c>
      <c r="O830" t="s">
        <v>52</v>
      </c>
      <c r="P830" t="str">
        <f>CONCATENATE("'",Tabla1[[#This Row],[Codigo]],"',")</f>
        <v>'01475',</v>
      </c>
    </row>
    <row r="831" spans="1:16" x14ac:dyDescent="0.25">
      <c r="A831" t="s">
        <v>6839</v>
      </c>
      <c r="B831" t="s">
        <v>6840</v>
      </c>
      <c r="C831" t="s">
        <v>6840</v>
      </c>
      <c r="D831" t="s">
        <v>35</v>
      </c>
      <c r="E831" t="s">
        <v>36</v>
      </c>
      <c r="F831" t="s">
        <v>6841</v>
      </c>
      <c r="G831" t="s">
        <v>79</v>
      </c>
      <c r="H831" t="s">
        <v>495</v>
      </c>
      <c r="I831" t="s">
        <v>79</v>
      </c>
      <c r="J831" t="s">
        <v>3487</v>
      </c>
      <c r="K831" t="s">
        <v>3488</v>
      </c>
      <c r="L831" t="s">
        <v>50</v>
      </c>
      <c r="M831" s="2">
        <v>750890.18</v>
      </c>
      <c r="N831" t="s">
        <v>6844</v>
      </c>
      <c r="O831" t="s">
        <v>115</v>
      </c>
      <c r="P831" t="str">
        <f>CONCATENATE("'",Tabla1[[#This Row],[Codigo]],"',")</f>
        <v>'01477',</v>
      </c>
    </row>
    <row r="832" spans="1:16" x14ac:dyDescent="0.25">
      <c r="A832" t="s">
        <v>6847</v>
      </c>
      <c r="B832" t="s">
        <v>6848</v>
      </c>
      <c r="C832" t="s">
        <v>6848</v>
      </c>
      <c r="D832" t="s">
        <v>35</v>
      </c>
      <c r="E832" t="s">
        <v>36</v>
      </c>
      <c r="F832" t="s">
        <v>6849</v>
      </c>
      <c r="G832" t="s">
        <v>277</v>
      </c>
      <c r="H832" t="s">
        <v>276</v>
      </c>
      <c r="I832" t="s">
        <v>277</v>
      </c>
      <c r="J832" t="s">
        <v>103</v>
      </c>
      <c r="K832" t="s">
        <v>104</v>
      </c>
      <c r="L832" t="s">
        <v>50</v>
      </c>
      <c r="M832" s="2">
        <v>36658.410000000003</v>
      </c>
      <c r="N832" t="s">
        <v>6851</v>
      </c>
      <c r="O832" t="s">
        <v>52</v>
      </c>
      <c r="P832" t="str">
        <f>CONCATENATE("'",Tabla1[[#This Row],[Codigo]],"',")</f>
        <v>'01479',</v>
      </c>
    </row>
    <row r="833" spans="1:16" x14ac:dyDescent="0.25">
      <c r="A833" t="s">
        <v>6852</v>
      </c>
      <c r="B833" t="s">
        <v>6853</v>
      </c>
      <c r="C833" t="s">
        <v>6853</v>
      </c>
      <c r="D833" t="s">
        <v>1734</v>
      </c>
      <c r="E833" t="s">
        <v>224</v>
      </c>
      <c r="F833" t="s">
        <v>6854</v>
      </c>
      <c r="G833" t="s">
        <v>2385</v>
      </c>
      <c r="H833" t="s">
        <v>2384</v>
      </c>
      <c r="I833" t="s">
        <v>2385</v>
      </c>
      <c r="J833" t="s">
        <v>103</v>
      </c>
      <c r="K833" t="s">
        <v>104</v>
      </c>
      <c r="L833" t="s">
        <v>50</v>
      </c>
      <c r="M833" s="2">
        <v>43634</v>
      </c>
      <c r="N833" t="s">
        <v>64</v>
      </c>
      <c r="P833" t="str">
        <f>CONCATENATE("'",Tabla1[[#This Row],[Codigo]],"',")</f>
        <v>'01480',</v>
      </c>
    </row>
    <row r="834" spans="1:16" x14ac:dyDescent="0.25">
      <c r="A834" t="s">
        <v>6857</v>
      </c>
      <c r="B834" t="s">
        <v>6858</v>
      </c>
      <c r="C834" t="s">
        <v>6858</v>
      </c>
      <c r="D834" t="s">
        <v>847</v>
      </c>
      <c r="E834" t="s">
        <v>848</v>
      </c>
      <c r="F834" t="s">
        <v>6859</v>
      </c>
      <c r="G834" t="s">
        <v>255</v>
      </c>
      <c r="H834" t="s">
        <v>254</v>
      </c>
      <c r="I834" t="s">
        <v>255</v>
      </c>
      <c r="J834" t="s">
        <v>3534</v>
      </c>
      <c r="K834" t="s">
        <v>3535</v>
      </c>
      <c r="L834" t="s">
        <v>50</v>
      </c>
      <c r="M834" s="2">
        <v>44911.02</v>
      </c>
      <c r="N834" t="s">
        <v>6862</v>
      </c>
      <c r="P834" t="str">
        <f>CONCATENATE("'",Tabla1[[#This Row],[Codigo]],"',")</f>
        <v>'01481',</v>
      </c>
    </row>
    <row r="835" spans="1:16" x14ac:dyDescent="0.25">
      <c r="A835" t="s">
        <v>6863</v>
      </c>
      <c r="B835" t="s">
        <v>6864</v>
      </c>
      <c r="C835" t="s">
        <v>6864</v>
      </c>
      <c r="D835" t="s">
        <v>569</v>
      </c>
      <c r="E835" t="s">
        <v>570</v>
      </c>
      <c r="F835" t="s">
        <v>6865</v>
      </c>
      <c r="G835" t="s">
        <v>404</v>
      </c>
      <c r="H835" t="s">
        <v>403</v>
      </c>
      <c r="I835" t="s">
        <v>404</v>
      </c>
      <c r="J835" t="s">
        <v>205</v>
      </c>
      <c r="K835" t="s">
        <v>206</v>
      </c>
      <c r="L835" t="s">
        <v>50</v>
      </c>
      <c r="M835" s="2">
        <v>109085</v>
      </c>
      <c r="N835" t="s">
        <v>64</v>
      </c>
      <c r="P835" t="str">
        <f>CONCATENATE("'",Tabla1[[#This Row],[Codigo]],"',")</f>
        <v>'01482',</v>
      </c>
    </row>
    <row r="836" spans="1:16" x14ac:dyDescent="0.25">
      <c r="A836" t="s">
        <v>6868</v>
      </c>
      <c r="B836" t="s">
        <v>6869</v>
      </c>
      <c r="C836" t="s">
        <v>6869</v>
      </c>
      <c r="D836" t="s">
        <v>847</v>
      </c>
      <c r="E836" t="s">
        <v>848</v>
      </c>
      <c r="F836" t="s">
        <v>6870</v>
      </c>
      <c r="G836" t="s">
        <v>81</v>
      </c>
      <c r="H836" t="s">
        <v>80</v>
      </c>
      <c r="I836" t="s">
        <v>81</v>
      </c>
      <c r="J836" t="s">
        <v>557</v>
      </c>
      <c r="K836" t="s">
        <v>558</v>
      </c>
      <c r="L836" t="s">
        <v>50</v>
      </c>
      <c r="M836" s="2">
        <v>-40356.85</v>
      </c>
      <c r="N836" t="s">
        <v>6873</v>
      </c>
      <c r="O836" t="s">
        <v>52</v>
      </c>
      <c r="P836" t="str">
        <f>CONCATENATE("'",Tabla1[[#This Row],[Codigo]],"',")</f>
        <v>'01483',</v>
      </c>
    </row>
    <row r="837" spans="1:16" x14ac:dyDescent="0.25">
      <c r="A837" t="s">
        <v>6874</v>
      </c>
      <c r="B837" t="s">
        <v>15167</v>
      </c>
      <c r="C837" t="s">
        <v>6875</v>
      </c>
      <c r="D837" t="s">
        <v>178</v>
      </c>
      <c r="E837" t="s">
        <v>179</v>
      </c>
      <c r="F837" t="s">
        <v>6876</v>
      </c>
      <c r="G837" t="s">
        <v>1222</v>
      </c>
      <c r="H837" t="s">
        <v>1221</v>
      </c>
      <c r="I837" t="s">
        <v>1222</v>
      </c>
      <c r="J837" t="s">
        <v>205</v>
      </c>
      <c r="K837" t="s">
        <v>206</v>
      </c>
      <c r="L837" t="s">
        <v>50</v>
      </c>
      <c r="M837" s="2">
        <v>174536</v>
      </c>
      <c r="N837" t="s">
        <v>64</v>
      </c>
      <c r="P837" t="str">
        <f>CONCATENATE("'",Tabla1[[#This Row],[Codigo]],"',")</f>
        <v>'01484',</v>
      </c>
    </row>
    <row r="838" spans="1:16" x14ac:dyDescent="0.25">
      <c r="A838" t="s">
        <v>6879</v>
      </c>
      <c r="B838" t="s">
        <v>6880</v>
      </c>
      <c r="C838" t="s">
        <v>6880</v>
      </c>
      <c r="D838" t="s">
        <v>35</v>
      </c>
      <c r="E838" t="s">
        <v>36</v>
      </c>
      <c r="F838" t="s">
        <v>6881</v>
      </c>
      <c r="G838" t="s">
        <v>255</v>
      </c>
      <c r="H838" t="s">
        <v>254</v>
      </c>
      <c r="I838" t="s">
        <v>255</v>
      </c>
      <c r="J838" t="s">
        <v>256</v>
      </c>
      <c r="K838" t="s">
        <v>255</v>
      </c>
      <c r="L838" t="s">
        <v>50</v>
      </c>
      <c r="M838" s="2">
        <v>192053.51</v>
      </c>
      <c r="N838" t="s">
        <v>6883</v>
      </c>
      <c r="O838" t="s">
        <v>52</v>
      </c>
      <c r="P838" t="str">
        <f>CONCATENATE("'",Tabla1[[#This Row],[Codigo]],"',")</f>
        <v>'01485',</v>
      </c>
    </row>
    <row r="839" spans="1:16" x14ac:dyDescent="0.25">
      <c r="A839" t="s">
        <v>6888</v>
      </c>
      <c r="B839" t="s">
        <v>6889</v>
      </c>
      <c r="C839" t="s">
        <v>6889</v>
      </c>
      <c r="D839" t="s">
        <v>98</v>
      </c>
      <c r="E839" t="s">
        <v>77</v>
      </c>
      <c r="F839" t="s">
        <v>6890</v>
      </c>
      <c r="G839" t="s">
        <v>38</v>
      </c>
      <c r="H839" t="s">
        <v>40</v>
      </c>
      <c r="I839" t="s">
        <v>41</v>
      </c>
      <c r="J839" t="s">
        <v>42</v>
      </c>
      <c r="K839" t="s">
        <v>43</v>
      </c>
      <c r="L839" t="s">
        <v>50</v>
      </c>
      <c r="M839" s="2">
        <v>10909</v>
      </c>
      <c r="N839" t="s">
        <v>64</v>
      </c>
      <c r="P839" t="str">
        <f>CONCATENATE("'",Tabla1[[#This Row],[Codigo]],"',")</f>
        <v>'01489',</v>
      </c>
    </row>
    <row r="840" spans="1:16" x14ac:dyDescent="0.25">
      <c r="A840" t="s">
        <v>6894</v>
      </c>
      <c r="B840" t="s">
        <v>6895</v>
      </c>
      <c r="C840" t="s">
        <v>6895</v>
      </c>
      <c r="D840" t="s">
        <v>35</v>
      </c>
      <c r="E840" t="s">
        <v>36</v>
      </c>
      <c r="F840" t="s">
        <v>6896</v>
      </c>
      <c r="G840" t="s">
        <v>404</v>
      </c>
      <c r="H840" t="s">
        <v>403</v>
      </c>
      <c r="I840" t="s">
        <v>404</v>
      </c>
      <c r="J840" t="s">
        <v>205</v>
      </c>
      <c r="K840" t="s">
        <v>206</v>
      </c>
      <c r="L840" t="s">
        <v>50</v>
      </c>
      <c r="M840" s="2">
        <v>617678.66</v>
      </c>
      <c r="N840" t="s">
        <v>6898</v>
      </c>
      <c r="O840" t="s">
        <v>52</v>
      </c>
      <c r="P840" t="str">
        <f>CONCATENATE("'",Tabla1[[#This Row],[Codigo]],"',")</f>
        <v>'01491',</v>
      </c>
    </row>
    <row r="841" spans="1:16" x14ac:dyDescent="0.25">
      <c r="A841" t="s">
        <v>6899</v>
      </c>
      <c r="B841" t="s">
        <v>6900</v>
      </c>
      <c r="C841" t="s">
        <v>6900</v>
      </c>
      <c r="D841" t="s">
        <v>192</v>
      </c>
      <c r="E841" t="s">
        <v>224</v>
      </c>
      <c r="F841" t="s">
        <v>6901</v>
      </c>
      <c r="G841" t="s">
        <v>79</v>
      </c>
      <c r="H841" t="s">
        <v>495</v>
      </c>
      <c r="I841" t="s">
        <v>79</v>
      </c>
      <c r="J841" t="s">
        <v>3487</v>
      </c>
      <c r="K841" t="s">
        <v>3488</v>
      </c>
      <c r="L841" t="s">
        <v>50</v>
      </c>
      <c r="M841" s="2">
        <v>38927.980000000003</v>
      </c>
      <c r="N841" t="s">
        <v>6904</v>
      </c>
      <c r="P841" t="str">
        <f>CONCATENATE("'",Tabla1[[#This Row],[Codigo]],"',")</f>
        <v>'01492',</v>
      </c>
    </row>
    <row r="842" spans="1:16" x14ac:dyDescent="0.25">
      <c r="A842" t="s">
        <v>6905</v>
      </c>
      <c r="B842" t="s">
        <v>6906</v>
      </c>
      <c r="C842" t="s">
        <v>6906</v>
      </c>
      <c r="D842" t="s">
        <v>3402</v>
      </c>
      <c r="E842" t="s">
        <v>134</v>
      </c>
      <c r="F842" t="s">
        <v>6907</v>
      </c>
      <c r="G842" t="s">
        <v>6627</v>
      </c>
      <c r="H842" t="s">
        <v>6629</v>
      </c>
      <c r="I842" t="s">
        <v>6630</v>
      </c>
      <c r="J842" t="s">
        <v>3487</v>
      </c>
      <c r="K842" t="s">
        <v>3488</v>
      </c>
      <c r="L842" t="s">
        <v>50</v>
      </c>
      <c r="M842" s="2">
        <v>124600</v>
      </c>
      <c r="N842" t="s">
        <v>64</v>
      </c>
      <c r="P842" t="str">
        <f>CONCATENATE("'",Tabla1[[#This Row],[Codigo]],"',")</f>
        <v>'01494',</v>
      </c>
    </row>
    <row r="843" spans="1:16" x14ac:dyDescent="0.25">
      <c r="A843" t="s">
        <v>6910</v>
      </c>
      <c r="B843" t="s">
        <v>6911</v>
      </c>
      <c r="C843" t="s">
        <v>5700</v>
      </c>
      <c r="D843" t="s">
        <v>35</v>
      </c>
      <c r="E843" t="s">
        <v>36</v>
      </c>
      <c r="F843" t="s">
        <v>2871</v>
      </c>
      <c r="G843" t="s">
        <v>204</v>
      </c>
      <c r="H843" t="s">
        <v>203</v>
      </c>
      <c r="I843" t="s">
        <v>204</v>
      </c>
      <c r="J843" t="s">
        <v>205</v>
      </c>
      <c r="K843" t="s">
        <v>206</v>
      </c>
      <c r="L843" t="s">
        <v>50</v>
      </c>
      <c r="M843" s="2">
        <v>141021.24</v>
      </c>
      <c r="N843" t="s">
        <v>6913</v>
      </c>
      <c r="O843" t="s">
        <v>52</v>
      </c>
      <c r="P843" t="str">
        <f>CONCATENATE("'",Tabla1[[#This Row],[Codigo]],"',")</f>
        <v>'01495',</v>
      </c>
    </row>
    <row r="844" spans="1:16" x14ac:dyDescent="0.25">
      <c r="A844" t="s">
        <v>6914</v>
      </c>
      <c r="B844" t="s">
        <v>6915</v>
      </c>
      <c r="C844" t="s">
        <v>6916</v>
      </c>
      <c r="D844" t="s">
        <v>773</v>
      </c>
      <c r="E844" t="s">
        <v>224</v>
      </c>
      <c r="F844" t="s">
        <v>6917</v>
      </c>
      <c r="G844" t="s">
        <v>81</v>
      </c>
      <c r="H844" t="s">
        <v>80</v>
      </c>
      <c r="I844" t="s">
        <v>81</v>
      </c>
      <c r="J844" t="s">
        <v>557</v>
      </c>
      <c r="K844" t="s">
        <v>558</v>
      </c>
      <c r="L844" t="s">
        <v>50</v>
      </c>
      <c r="M844" s="2">
        <v>174536</v>
      </c>
      <c r="N844" t="s">
        <v>64</v>
      </c>
      <c r="P844" t="str">
        <f>CONCATENATE("'",Tabla1[[#This Row],[Codigo]],"',")</f>
        <v>'01496',</v>
      </c>
    </row>
    <row r="845" spans="1:16" x14ac:dyDescent="0.25">
      <c r="A845" t="s">
        <v>6919</v>
      </c>
      <c r="B845" t="s">
        <v>6920</v>
      </c>
      <c r="C845" t="s">
        <v>6920</v>
      </c>
      <c r="D845" t="s">
        <v>35</v>
      </c>
      <c r="E845" t="s">
        <v>36</v>
      </c>
      <c r="F845" t="s">
        <v>6921</v>
      </c>
      <c r="G845" t="s">
        <v>1222</v>
      </c>
      <c r="H845" t="s">
        <v>1221</v>
      </c>
      <c r="I845" t="s">
        <v>1222</v>
      </c>
      <c r="J845" t="s">
        <v>205</v>
      </c>
      <c r="K845" t="s">
        <v>206</v>
      </c>
      <c r="L845" t="s">
        <v>50</v>
      </c>
      <c r="M845" s="2">
        <v>-39319.61</v>
      </c>
      <c r="N845" t="s">
        <v>6924</v>
      </c>
      <c r="O845" t="s">
        <v>52</v>
      </c>
      <c r="P845" t="str">
        <f>CONCATENATE("'",Tabla1[[#This Row],[Codigo]],"',")</f>
        <v>'01497',</v>
      </c>
    </row>
    <row r="846" spans="1:16" x14ac:dyDescent="0.25">
      <c r="A846" t="s">
        <v>6925</v>
      </c>
      <c r="B846" t="s">
        <v>6926</v>
      </c>
      <c r="C846" t="s">
        <v>6927</v>
      </c>
      <c r="D846" t="s">
        <v>125</v>
      </c>
      <c r="E846" t="s">
        <v>126</v>
      </c>
      <c r="F846" t="s">
        <v>6887</v>
      </c>
      <c r="G846" t="s">
        <v>79</v>
      </c>
      <c r="H846" t="s">
        <v>495</v>
      </c>
      <c r="I846" t="s">
        <v>79</v>
      </c>
      <c r="J846" t="s">
        <v>3487</v>
      </c>
      <c r="K846" t="s">
        <v>3488</v>
      </c>
      <c r="L846" t="s">
        <v>50</v>
      </c>
      <c r="M846" s="2">
        <v>194481.39</v>
      </c>
      <c r="N846" t="s">
        <v>6930</v>
      </c>
      <c r="O846" t="s">
        <v>52</v>
      </c>
      <c r="P846" t="str">
        <f>CONCATENATE("'",Tabla1[[#This Row],[Codigo]],"',")</f>
        <v>'01498',</v>
      </c>
    </row>
    <row r="847" spans="1:16" x14ac:dyDescent="0.25">
      <c r="A847" t="s">
        <v>6931</v>
      </c>
      <c r="B847" t="s">
        <v>6932</v>
      </c>
      <c r="C847" t="s">
        <v>6932</v>
      </c>
      <c r="D847" t="s">
        <v>569</v>
      </c>
      <c r="E847" t="s">
        <v>570</v>
      </c>
      <c r="F847" t="s">
        <v>6887</v>
      </c>
      <c r="G847" t="s">
        <v>79</v>
      </c>
      <c r="H847" t="s">
        <v>495</v>
      </c>
      <c r="I847" t="s">
        <v>79</v>
      </c>
      <c r="J847" t="s">
        <v>3487</v>
      </c>
      <c r="K847" t="s">
        <v>3488</v>
      </c>
      <c r="L847" t="s">
        <v>50</v>
      </c>
      <c r="M847" s="2">
        <v>435238.41</v>
      </c>
      <c r="N847" t="s">
        <v>6935</v>
      </c>
      <c r="O847" t="s">
        <v>115</v>
      </c>
      <c r="P847" t="str">
        <f>CONCATENATE("'",Tabla1[[#This Row],[Codigo]],"',")</f>
        <v>'01499',</v>
      </c>
    </row>
    <row r="848" spans="1:16" x14ac:dyDescent="0.25">
      <c r="A848" t="s">
        <v>6936</v>
      </c>
      <c r="B848" t="s">
        <v>6937</v>
      </c>
      <c r="C848" t="s">
        <v>6937</v>
      </c>
      <c r="D848" t="s">
        <v>569</v>
      </c>
      <c r="E848" t="s">
        <v>570</v>
      </c>
      <c r="F848" t="s">
        <v>6938</v>
      </c>
      <c r="G848" t="s">
        <v>6939</v>
      </c>
      <c r="H848" t="s">
        <v>6940</v>
      </c>
      <c r="I848" t="s">
        <v>6939</v>
      </c>
      <c r="J848" t="s">
        <v>3487</v>
      </c>
      <c r="K848" t="s">
        <v>3488</v>
      </c>
      <c r="L848" t="s">
        <v>50</v>
      </c>
      <c r="M848" s="2">
        <v>89402.75</v>
      </c>
      <c r="N848" t="s">
        <v>6942</v>
      </c>
      <c r="P848" t="str">
        <f>CONCATENATE("'",Tabla1[[#This Row],[Codigo]],"',")</f>
        <v>'01500',</v>
      </c>
    </row>
    <row r="849" spans="1:16" x14ac:dyDescent="0.25">
      <c r="A849" t="s">
        <v>6943</v>
      </c>
      <c r="B849" t="s">
        <v>6944</v>
      </c>
      <c r="C849" t="s">
        <v>6944</v>
      </c>
      <c r="D849" t="s">
        <v>1410</v>
      </c>
      <c r="E849" t="s">
        <v>871</v>
      </c>
      <c r="F849" t="s">
        <v>6945</v>
      </c>
      <c r="G849" t="s">
        <v>4978</v>
      </c>
      <c r="H849" t="s">
        <v>4980</v>
      </c>
      <c r="I849" t="s">
        <v>4981</v>
      </c>
      <c r="J849" t="s">
        <v>103</v>
      </c>
      <c r="K849" t="s">
        <v>104</v>
      </c>
      <c r="L849" t="s">
        <v>50</v>
      </c>
      <c r="M849" s="2">
        <v>418484.78</v>
      </c>
      <c r="N849" t="s">
        <v>6947</v>
      </c>
      <c r="P849" t="str">
        <f>CONCATENATE("'",Tabla1[[#This Row],[Codigo]],"',")</f>
        <v>'01501',</v>
      </c>
    </row>
    <row r="850" spans="1:16" x14ac:dyDescent="0.25">
      <c r="A850" t="s">
        <v>6950</v>
      </c>
      <c r="B850" t="s">
        <v>6951</v>
      </c>
      <c r="C850" t="s">
        <v>6951</v>
      </c>
      <c r="D850" t="s">
        <v>5795</v>
      </c>
      <c r="E850" t="s">
        <v>134</v>
      </c>
      <c r="F850" t="s">
        <v>6952</v>
      </c>
      <c r="G850" t="s">
        <v>820</v>
      </c>
      <c r="H850" t="s">
        <v>822</v>
      </c>
      <c r="I850" t="s">
        <v>820</v>
      </c>
      <c r="J850" t="s">
        <v>91</v>
      </c>
      <c r="K850" t="s">
        <v>92</v>
      </c>
      <c r="L850" t="s">
        <v>50</v>
      </c>
      <c r="M850" s="2">
        <v>21817</v>
      </c>
      <c r="N850" t="s">
        <v>64</v>
      </c>
      <c r="P850" t="str">
        <f>CONCATENATE("'",Tabla1[[#This Row],[Codigo]],"',")</f>
        <v>'01503',</v>
      </c>
    </row>
    <row r="851" spans="1:16" x14ac:dyDescent="0.25">
      <c r="A851" t="s">
        <v>6959</v>
      </c>
      <c r="B851" t="s">
        <v>6960</v>
      </c>
      <c r="C851" t="s">
        <v>6960</v>
      </c>
      <c r="D851" t="s">
        <v>297</v>
      </c>
      <c r="E851" t="s">
        <v>167</v>
      </c>
      <c r="F851" t="s">
        <v>6961</v>
      </c>
      <c r="G851" t="s">
        <v>6365</v>
      </c>
      <c r="H851" t="s">
        <v>6366</v>
      </c>
      <c r="I851" t="s">
        <v>6367</v>
      </c>
      <c r="J851" t="s">
        <v>82</v>
      </c>
      <c r="K851" t="s">
        <v>83</v>
      </c>
      <c r="L851" t="s">
        <v>50</v>
      </c>
      <c r="M851" s="2">
        <v>158165.29999999999</v>
      </c>
      <c r="N851" t="s">
        <v>6963</v>
      </c>
      <c r="P851" t="str">
        <f>CONCATENATE("'",Tabla1[[#This Row],[Codigo]],"',")</f>
        <v>'01506',</v>
      </c>
    </row>
    <row r="852" spans="1:16" x14ac:dyDescent="0.25">
      <c r="A852" t="s">
        <v>6964</v>
      </c>
      <c r="B852" t="s">
        <v>6965</v>
      </c>
      <c r="C852" t="s">
        <v>6965</v>
      </c>
      <c r="D852" t="s">
        <v>125</v>
      </c>
      <c r="E852" t="s">
        <v>126</v>
      </c>
      <c r="F852" t="s">
        <v>6966</v>
      </c>
      <c r="G852" t="s">
        <v>6027</v>
      </c>
      <c r="H852" t="s">
        <v>6029</v>
      </c>
      <c r="I852" t="s">
        <v>6030</v>
      </c>
      <c r="J852" t="s">
        <v>1363</v>
      </c>
      <c r="K852" t="s">
        <v>1364</v>
      </c>
      <c r="L852" t="s">
        <v>50</v>
      </c>
      <c r="M852" s="2">
        <v>166144.84</v>
      </c>
      <c r="N852" t="s">
        <v>6968</v>
      </c>
      <c r="O852" t="s">
        <v>52</v>
      </c>
      <c r="P852" t="str">
        <f>CONCATENATE("'",Tabla1[[#This Row],[Codigo]],"',")</f>
        <v>'01508',</v>
      </c>
    </row>
    <row r="853" spans="1:16" x14ac:dyDescent="0.25">
      <c r="A853" t="s">
        <v>6969</v>
      </c>
      <c r="B853" t="s">
        <v>6970</v>
      </c>
      <c r="C853" t="s">
        <v>6970</v>
      </c>
      <c r="D853" t="s">
        <v>2120</v>
      </c>
      <c r="E853" t="s">
        <v>224</v>
      </c>
      <c r="F853" t="s">
        <v>6971</v>
      </c>
      <c r="G853" t="s">
        <v>5739</v>
      </c>
      <c r="H853" t="s">
        <v>5741</v>
      </c>
      <c r="I853" t="s">
        <v>5739</v>
      </c>
      <c r="J853" t="s">
        <v>5966</v>
      </c>
      <c r="K853" t="s">
        <v>5739</v>
      </c>
      <c r="L853" t="s">
        <v>50</v>
      </c>
      <c r="M853" s="2">
        <v>97090</v>
      </c>
      <c r="N853" t="s">
        <v>64</v>
      </c>
      <c r="P853" t="str">
        <f>CONCATENATE("'",Tabla1[[#This Row],[Codigo]],"',")</f>
        <v>'01509',</v>
      </c>
    </row>
    <row r="854" spans="1:16" x14ac:dyDescent="0.25">
      <c r="A854" t="s">
        <v>6975</v>
      </c>
      <c r="B854" t="s">
        <v>6976</v>
      </c>
      <c r="C854" t="s">
        <v>6976</v>
      </c>
      <c r="D854" t="s">
        <v>76</v>
      </c>
      <c r="E854" t="s">
        <v>77</v>
      </c>
      <c r="F854" t="s">
        <v>6977</v>
      </c>
      <c r="G854" t="s">
        <v>201</v>
      </c>
      <c r="H854" t="s">
        <v>203</v>
      </c>
      <c r="I854" t="s">
        <v>204</v>
      </c>
      <c r="J854" t="s">
        <v>205</v>
      </c>
      <c r="K854" t="s">
        <v>206</v>
      </c>
      <c r="L854" t="s">
        <v>50</v>
      </c>
      <c r="M854" s="2">
        <v>436340</v>
      </c>
      <c r="N854" t="s">
        <v>64</v>
      </c>
      <c r="P854" t="str">
        <f>CONCATENATE("'",Tabla1[[#This Row],[Codigo]],"',")</f>
        <v>'01512',</v>
      </c>
    </row>
    <row r="855" spans="1:16" x14ac:dyDescent="0.25">
      <c r="A855" t="s">
        <v>6981</v>
      </c>
      <c r="B855" t="s">
        <v>6982</v>
      </c>
      <c r="C855" t="s">
        <v>6982</v>
      </c>
      <c r="D855" t="s">
        <v>153</v>
      </c>
      <c r="E855" t="s">
        <v>272</v>
      </c>
      <c r="F855" t="s">
        <v>6983</v>
      </c>
      <c r="G855" t="s">
        <v>2396</v>
      </c>
      <c r="H855" t="s">
        <v>6985</v>
      </c>
      <c r="I855" t="s">
        <v>6986</v>
      </c>
      <c r="J855" t="s">
        <v>6987</v>
      </c>
      <c r="K855" t="s">
        <v>6988</v>
      </c>
      <c r="L855" t="s">
        <v>50</v>
      </c>
      <c r="M855" s="2">
        <v>10901.62</v>
      </c>
      <c r="N855" t="s">
        <v>6990</v>
      </c>
      <c r="O855" t="s">
        <v>52</v>
      </c>
      <c r="P855" t="str">
        <f>CONCATENATE("'",Tabla1[[#This Row],[Codigo]],"',")</f>
        <v>'01516',</v>
      </c>
    </row>
    <row r="856" spans="1:16" x14ac:dyDescent="0.25">
      <c r="A856" t="s">
        <v>6991</v>
      </c>
      <c r="B856" t="s">
        <v>6992</v>
      </c>
      <c r="C856" t="s">
        <v>6992</v>
      </c>
      <c r="D856" t="s">
        <v>153</v>
      </c>
      <c r="E856" t="s">
        <v>272</v>
      </c>
      <c r="F856" t="s">
        <v>6993</v>
      </c>
      <c r="G856" t="s">
        <v>6994</v>
      </c>
      <c r="H856" t="s">
        <v>6995</v>
      </c>
      <c r="I856" t="s">
        <v>6996</v>
      </c>
      <c r="J856" t="s">
        <v>6987</v>
      </c>
      <c r="K856" t="s">
        <v>6988</v>
      </c>
      <c r="L856" t="s">
        <v>50</v>
      </c>
      <c r="M856" s="2">
        <v>1826696.96</v>
      </c>
      <c r="N856" t="s">
        <v>6998</v>
      </c>
      <c r="O856" t="s">
        <v>52</v>
      </c>
      <c r="P856" t="str">
        <f>CONCATENATE("'",Tabla1[[#This Row],[Codigo]],"',")</f>
        <v>'01518',</v>
      </c>
    </row>
    <row r="857" spans="1:16" x14ac:dyDescent="0.25">
      <c r="A857" t="s">
        <v>6999</v>
      </c>
      <c r="B857" t="s">
        <v>7000</v>
      </c>
      <c r="C857" t="s">
        <v>7001</v>
      </c>
      <c r="D857" t="s">
        <v>35</v>
      </c>
      <c r="E857" t="s">
        <v>36</v>
      </c>
      <c r="F857" t="s">
        <v>4539</v>
      </c>
      <c r="G857" t="s">
        <v>41</v>
      </c>
      <c r="H857" t="s">
        <v>40</v>
      </c>
      <c r="I857" t="s">
        <v>41</v>
      </c>
      <c r="J857" t="s">
        <v>61</v>
      </c>
      <c r="K857" t="s">
        <v>62</v>
      </c>
      <c r="L857" t="s">
        <v>50</v>
      </c>
      <c r="M857" s="2">
        <v>435701.59</v>
      </c>
      <c r="N857" t="s">
        <v>7002</v>
      </c>
      <c r="O857" t="s">
        <v>52</v>
      </c>
      <c r="P857" t="str">
        <f>CONCATENATE("'",Tabla1[[#This Row],[Codigo]],"',")</f>
        <v>'01519',</v>
      </c>
    </row>
    <row r="858" spans="1:16" x14ac:dyDescent="0.25">
      <c r="A858" t="s">
        <v>7003</v>
      </c>
      <c r="B858" t="s">
        <v>7004</v>
      </c>
      <c r="C858" t="s">
        <v>7004</v>
      </c>
      <c r="D858" t="s">
        <v>3472</v>
      </c>
      <c r="E858" t="s">
        <v>871</v>
      </c>
      <c r="F858" t="s">
        <v>7005</v>
      </c>
      <c r="G858" t="s">
        <v>7006</v>
      </c>
      <c r="H858" t="s">
        <v>7008</v>
      </c>
      <c r="I858" t="s">
        <v>7009</v>
      </c>
      <c r="J858" t="s">
        <v>103</v>
      </c>
      <c r="K858" t="s">
        <v>104</v>
      </c>
      <c r="L858" t="s">
        <v>50</v>
      </c>
      <c r="M858" s="2">
        <v>184656.11</v>
      </c>
      <c r="N858" t="s">
        <v>7011</v>
      </c>
      <c r="P858" t="str">
        <f>CONCATENATE("'",Tabla1[[#This Row],[Codigo]],"',")</f>
        <v>'01520',</v>
      </c>
    </row>
    <row r="859" spans="1:16" x14ac:dyDescent="0.25">
      <c r="A859" t="s">
        <v>7012</v>
      </c>
      <c r="B859" t="s">
        <v>7013</v>
      </c>
      <c r="C859" t="s">
        <v>7013</v>
      </c>
      <c r="D859" t="s">
        <v>847</v>
      </c>
      <c r="E859" t="s">
        <v>848</v>
      </c>
      <c r="F859" t="s">
        <v>7014</v>
      </c>
      <c r="G859" t="s">
        <v>255</v>
      </c>
      <c r="H859" t="s">
        <v>254</v>
      </c>
      <c r="I859" t="s">
        <v>255</v>
      </c>
      <c r="J859" t="s">
        <v>1363</v>
      </c>
      <c r="K859" t="s">
        <v>1364</v>
      </c>
      <c r="L859" t="s">
        <v>50</v>
      </c>
      <c r="M859" s="2">
        <v>165164.72</v>
      </c>
      <c r="N859" t="s">
        <v>7016</v>
      </c>
      <c r="O859" t="s">
        <v>52</v>
      </c>
      <c r="P859" t="str">
        <f>CONCATENATE("'",Tabla1[[#This Row],[Codigo]],"',")</f>
        <v>'01521',</v>
      </c>
    </row>
    <row r="860" spans="1:16" x14ac:dyDescent="0.25">
      <c r="A860" t="s">
        <v>7017</v>
      </c>
      <c r="B860" t="s">
        <v>7018</v>
      </c>
      <c r="C860" t="s">
        <v>6932</v>
      </c>
      <c r="D860" t="s">
        <v>153</v>
      </c>
      <c r="E860" t="s">
        <v>272</v>
      </c>
      <c r="F860" t="s">
        <v>6887</v>
      </c>
      <c r="G860" t="s">
        <v>79</v>
      </c>
      <c r="H860" t="s">
        <v>495</v>
      </c>
      <c r="I860" t="s">
        <v>79</v>
      </c>
      <c r="J860" t="s">
        <v>3487</v>
      </c>
      <c r="K860" t="s">
        <v>3488</v>
      </c>
      <c r="L860" t="s">
        <v>50</v>
      </c>
      <c r="M860" s="2">
        <v>581575.88</v>
      </c>
      <c r="N860" t="s">
        <v>7020</v>
      </c>
      <c r="O860" t="s">
        <v>52</v>
      </c>
      <c r="P860" t="str">
        <f>CONCATENATE("'",Tabla1[[#This Row],[Codigo]],"',")</f>
        <v>'01522',</v>
      </c>
    </row>
    <row r="861" spans="1:16" x14ac:dyDescent="0.25">
      <c r="A861" t="s">
        <v>7021</v>
      </c>
      <c r="B861" t="s">
        <v>7022</v>
      </c>
      <c r="C861" t="s">
        <v>7022</v>
      </c>
      <c r="D861" t="s">
        <v>35</v>
      </c>
      <c r="E861" t="s">
        <v>36</v>
      </c>
      <c r="F861" t="s">
        <v>7023</v>
      </c>
      <c r="G861" t="s">
        <v>2396</v>
      </c>
      <c r="H861" t="s">
        <v>6985</v>
      </c>
      <c r="I861" t="s">
        <v>6986</v>
      </c>
      <c r="J861" t="s">
        <v>6987</v>
      </c>
      <c r="K861" t="s">
        <v>6988</v>
      </c>
      <c r="L861" t="s">
        <v>50</v>
      </c>
      <c r="M861" s="2">
        <v>57774.55</v>
      </c>
      <c r="N861" t="s">
        <v>7025</v>
      </c>
      <c r="O861" t="s">
        <v>52</v>
      </c>
      <c r="P861" t="str">
        <f>CONCATENATE("'",Tabla1[[#This Row],[Codigo]],"',")</f>
        <v>'01523',</v>
      </c>
    </row>
    <row r="862" spans="1:16" x14ac:dyDescent="0.25">
      <c r="A862" t="s">
        <v>7026</v>
      </c>
      <c r="B862" t="s">
        <v>7027</v>
      </c>
      <c r="C862" t="s">
        <v>7027</v>
      </c>
      <c r="D862" t="s">
        <v>153</v>
      </c>
      <c r="E862" t="s">
        <v>272</v>
      </c>
      <c r="F862" t="s">
        <v>7028</v>
      </c>
      <c r="G862" t="s">
        <v>303</v>
      </c>
      <c r="H862" t="s">
        <v>302</v>
      </c>
      <c r="I862" t="s">
        <v>303</v>
      </c>
      <c r="J862" t="s">
        <v>304</v>
      </c>
      <c r="K862" t="s">
        <v>72</v>
      </c>
      <c r="L862" t="s">
        <v>50</v>
      </c>
      <c r="M862" s="2">
        <v>48918.43</v>
      </c>
      <c r="N862" t="s">
        <v>7031</v>
      </c>
      <c r="O862" t="s">
        <v>115</v>
      </c>
      <c r="P862" t="str">
        <f>CONCATENATE("'",Tabla1[[#This Row],[Codigo]],"',")</f>
        <v>'01524',</v>
      </c>
    </row>
    <row r="863" spans="1:16" x14ac:dyDescent="0.25">
      <c r="A863" t="s">
        <v>7032</v>
      </c>
      <c r="B863" t="s">
        <v>7033</v>
      </c>
      <c r="C863" t="s">
        <v>7033</v>
      </c>
      <c r="D863" t="s">
        <v>1958</v>
      </c>
      <c r="E863" t="s">
        <v>77</v>
      </c>
      <c r="F863" t="s">
        <v>7034</v>
      </c>
      <c r="G863" t="s">
        <v>1360</v>
      </c>
      <c r="H863" t="s">
        <v>1362</v>
      </c>
      <c r="I863" t="s">
        <v>1360</v>
      </c>
      <c r="J863" t="s">
        <v>1212</v>
      </c>
      <c r="K863" t="s">
        <v>1213</v>
      </c>
      <c r="L863" t="s">
        <v>50</v>
      </c>
      <c r="M863" s="2">
        <v>130902</v>
      </c>
      <c r="N863" t="s">
        <v>64</v>
      </c>
      <c r="P863" t="str">
        <f>CONCATENATE("'",Tabla1[[#This Row],[Codigo]],"',")</f>
        <v>'01525',</v>
      </c>
    </row>
    <row r="864" spans="1:16" x14ac:dyDescent="0.25">
      <c r="A864" t="s">
        <v>7036</v>
      </c>
      <c r="B864" t="s">
        <v>7037</v>
      </c>
      <c r="C864" t="s">
        <v>7037</v>
      </c>
      <c r="D864" t="s">
        <v>847</v>
      </c>
      <c r="E864" t="s">
        <v>848</v>
      </c>
      <c r="F864" t="s">
        <v>7038</v>
      </c>
      <c r="G864" t="s">
        <v>6237</v>
      </c>
      <c r="H864" t="s">
        <v>6239</v>
      </c>
      <c r="I864" t="s">
        <v>6240</v>
      </c>
      <c r="J864" t="s">
        <v>82</v>
      </c>
      <c r="K864" t="s">
        <v>83</v>
      </c>
      <c r="L864" t="s">
        <v>50</v>
      </c>
      <c r="M864" s="2">
        <v>856598.41</v>
      </c>
      <c r="N864" t="s">
        <v>7041</v>
      </c>
      <c r="O864" t="s">
        <v>52</v>
      </c>
      <c r="P864" t="str">
        <f>CONCATENATE("'",Tabla1[[#This Row],[Codigo]],"',")</f>
        <v>'01526',</v>
      </c>
    </row>
    <row r="865" spans="1:16" x14ac:dyDescent="0.25">
      <c r="A865" t="s">
        <v>7044</v>
      </c>
      <c r="B865" t="s">
        <v>7045</v>
      </c>
      <c r="C865" t="s">
        <v>7001</v>
      </c>
      <c r="D865" t="s">
        <v>153</v>
      </c>
      <c r="E865" t="s">
        <v>272</v>
      </c>
      <c r="F865" t="s">
        <v>4539</v>
      </c>
      <c r="G865" t="s">
        <v>41</v>
      </c>
      <c r="H865" t="s">
        <v>40</v>
      </c>
      <c r="I865" t="s">
        <v>41</v>
      </c>
      <c r="J865" t="s">
        <v>61</v>
      </c>
      <c r="K865" t="s">
        <v>62</v>
      </c>
      <c r="L865" t="s">
        <v>50</v>
      </c>
      <c r="M865" s="2">
        <v>535399</v>
      </c>
      <c r="N865" t="s">
        <v>7046</v>
      </c>
      <c r="O865" t="s">
        <v>52</v>
      </c>
      <c r="P865" t="str">
        <f>CONCATENATE("'",Tabla1[[#This Row],[Codigo]],"',")</f>
        <v>'01528',</v>
      </c>
    </row>
    <row r="866" spans="1:16" x14ac:dyDescent="0.25">
      <c r="A866" t="s">
        <v>7047</v>
      </c>
      <c r="B866" t="s">
        <v>7048</v>
      </c>
      <c r="C866" t="s">
        <v>7001</v>
      </c>
      <c r="D866" t="s">
        <v>297</v>
      </c>
      <c r="E866" t="s">
        <v>167</v>
      </c>
      <c r="F866" t="s">
        <v>4539</v>
      </c>
      <c r="G866" t="s">
        <v>38</v>
      </c>
      <c r="H866" t="s">
        <v>40</v>
      </c>
      <c r="I866" t="s">
        <v>41</v>
      </c>
      <c r="J866" t="s">
        <v>61</v>
      </c>
      <c r="K866" t="s">
        <v>62</v>
      </c>
      <c r="L866" t="s">
        <v>50</v>
      </c>
      <c r="M866" s="2">
        <v>491959.3</v>
      </c>
      <c r="N866" t="s">
        <v>7050</v>
      </c>
      <c r="O866" t="s">
        <v>52</v>
      </c>
      <c r="P866" t="str">
        <f>CONCATENATE("'",Tabla1[[#This Row],[Codigo]],"',")</f>
        <v>'01529',</v>
      </c>
    </row>
    <row r="867" spans="1:16" x14ac:dyDescent="0.25">
      <c r="A867" t="s">
        <v>7051</v>
      </c>
      <c r="B867" t="s">
        <v>7052</v>
      </c>
      <c r="C867" t="s">
        <v>7052</v>
      </c>
      <c r="D867" t="s">
        <v>847</v>
      </c>
      <c r="E867" t="s">
        <v>848</v>
      </c>
      <c r="F867" t="s">
        <v>7053</v>
      </c>
      <c r="H867" t="s">
        <v>40</v>
      </c>
      <c r="I867" t="s">
        <v>41</v>
      </c>
      <c r="J867" t="s">
        <v>42</v>
      </c>
      <c r="K867" t="s">
        <v>43</v>
      </c>
      <c r="L867" t="s">
        <v>50</v>
      </c>
      <c r="M867" s="2">
        <v>41028</v>
      </c>
      <c r="N867" t="s">
        <v>7054</v>
      </c>
      <c r="P867" t="str">
        <f>CONCATENATE("'",Tabla1[[#This Row],[Codigo]],"',")</f>
        <v>'01530',</v>
      </c>
    </row>
    <row r="868" spans="1:16" x14ac:dyDescent="0.25">
      <c r="A868" t="s">
        <v>7055</v>
      </c>
      <c r="B868" t="s">
        <v>7056</v>
      </c>
      <c r="C868" t="s">
        <v>7056</v>
      </c>
      <c r="D868" t="s">
        <v>847</v>
      </c>
      <c r="E868" t="s">
        <v>848</v>
      </c>
      <c r="F868" t="s">
        <v>7057</v>
      </c>
      <c r="G868" t="s">
        <v>38</v>
      </c>
      <c r="H868" t="s">
        <v>40</v>
      </c>
      <c r="I868" t="s">
        <v>41</v>
      </c>
      <c r="J868" t="s">
        <v>42</v>
      </c>
      <c r="K868" t="s">
        <v>43</v>
      </c>
      <c r="L868" t="s">
        <v>50</v>
      </c>
      <c r="M868" s="2">
        <v>10909</v>
      </c>
      <c r="N868" t="s">
        <v>64</v>
      </c>
      <c r="P868" t="str">
        <f>CONCATENATE("'",Tabla1[[#This Row],[Codigo]],"',")</f>
        <v>'01531',</v>
      </c>
    </row>
    <row r="869" spans="1:16" x14ac:dyDescent="0.25">
      <c r="A869" t="s">
        <v>7058</v>
      </c>
      <c r="B869" t="s">
        <v>7059</v>
      </c>
      <c r="C869" t="s">
        <v>7059</v>
      </c>
      <c r="D869" t="s">
        <v>35</v>
      </c>
      <c r="E869" t="s">
        <v>36</v>
      </c>
      <c r="F869" t="s">
        <v>7060</v>
      </c>
      <c r="G869" t="s">
        <v>204</v>
      </c>
      <c r="H869" t="s">
        <v>203</v>
      </c>
      <c r="I869" t="s">
        <v>204</v>
      </c>
      <c r="J869" t="s">
        <v>205</v>
      </c>
      <c r="K869" t="s">
        <v>206</v>
      </c>
      <c r="L869" t="s">
        <v>50</v>
      </c>
      <c r="M869" s="2">
        <v>583622.05000000005</v>
      </c>
      <c r="N869" t="s">
        <v>7063</v>
      </c>
      <c r="O869" t="s">
        <v>52</v>
      </c>
      <c r="P869" t="str">
        <f>CONCATENATE("'",Tabla1[[#This Row],[Codigo]],"',")</f>
        <v>'01532',</v>
      </c>
    </row>
    <row r="870" spans="1:16" x14ac:dyDescent="0.25">
      <c r="A870" t="s">
        <v>7064</v>
      </c>
      <c r="B870" t="s">
        <v>7065</v>
      </c>
      <c r="C870" t="s">
        <v>7065</v>
      </c>
      <c r="D870" t="s">
        <v>498</v>
      </c>
      <c r="E870" t="s">
        <v>190</v>
      </c>
      <c r="F870" t="s">
        <v>7066</v>
      </c>
      <c r="G870" t="s">
        <v>404</v>
      </c>
      <c r="H870" t="s">
        <v>403</v>
      </c>
      <c r="I870" t="s">
        <v>404</v>
      </c>
      <c r="J870" t="s">
        <v>205</v>
      </c>
      <c r="K870" t="s">
        <v>206</v>
      </c>
      <c r="L870" t="s">
        <v>50</v>
      </c>
      <c r="M870" s="2">
        <v>511169.59</v>
      </c>
      <c r="N870" t="s">
        <v>7069</v>
      </c>
      <c r="O870" t="s">
        <v>52</v>
      </c>
      <c r="P870" t="str">
        <f>CONCATENATE("'",Tabla1[[#This Row],[Codigo]],"',")</f>
        <v>'01533',</v>
      </c>
    </row>
    <row r="871" spans="1:16" x14ac:dyDescent="0.25">
      <c r="A871" t="s">
        <v>7070</v>
      </c>
      <c r="B871" t="s">
        <v>7071</v>
      </c>
      <c r="C871" t="s">
        <v>7071</v>
      </c>
      <c r="D871" t="s">
        <v>35</v>
      </c>
      <c r="E871" t="s">
        <v>36</v>
      </c>
      <c r="F871" t="s">
        <v>7072</v>
      </c>
      <c r="G871" t="s">
        <v>204</v>
      </c>
      <c r="H871" t="s">
        <v>203</v>
      </c>
      <c r="I871" t="s">
        <v>204</v>
      </c>
      <c r="J871" t="s">
        <v>205</v>
      </c>
      <c r="K871" t="s">
        <v>206</v>
      </c>
      <c r="L871" t="s">
        <v>50</v>
      </c>
      <c r="M871" s="2">
        <v>745918.28</v>
      </c>
      <c r="N871" t="s">
        <v>7074</v>
      </c>
      <c r="O871" t="s">
        <v>52</v>
      </c>
      <c r="P871" t="str">
        <f>CONCATENATE("'",Tabla1[[#This Row],[Codigo]],"',")</f>
        <v>'01534',</v>
      </c>
    </row>
    <row r="872" spans="1:16" x14ac:dyDescent="0.25">
      <c r="A872" t="s">
        <v>7075</v>
      </c>
      <c r="B872" t="s">
        <v>7076</v>
      </c>
      <c r="C872" t="s">
        <v>7076</v>
      </c>
      <c r="D872" t="s">
        <v>35</v>
      </c>
      <c r="E872" t="s">
        <v>36</v>
      </c>
      <c r="F872" t="s">
        <v>7077</v>
      </c>
      <c r="G872" t="s">
        <v>1581</v>
      </c>
      <c r="H872" t="s">
        <v>203</v>
      </c>
      <c r="I872" t="s">
        <v>204</v>
      </c>
      <c r="J872" t="s">
        <v>205</v>
      </c>
      <c r="K872" t="s">
        <v>206</v>
      </c>
      <c r="L872" t="s">
        <v>50</v>
      </c>
      <c r="M872" s="2">
        <v>624628.54</v>
      </c>
      <c r="N872" t="s">
        <v>7080</v>
      </c>
      <c r="O872" t="s">
        <v>52</v>
      </c>
      <c r="P872" t="str">
        <f>CONCATENATE("'",Tabla1[[#This Row],[Codigo]],"',")</f>
        <v>'01535',</v>
      </c>
    </row>
    <row r="873" spans="1:16" x14ac:dyDescent="0.25">
      <c r="A873" t="s">
        <v>7081</v>
      </c>
      <c r="B873" t="s">
        <v>4538</v>
      </c>
      <c r="C873" t="s">
        <v>4538</v>
      </c>
      <c r="D873" t="s">
        <v>125</v>
      </c>
      <c r="E873" t="s">
        <v>126</v>
      </c>
      <c r="F873" t="s">
        <v>4539</v>
      </c>
      <c r="G873" t="s">
        <v>41</v>
      </c>
      <c r="H873" t="s">
        <v>40</v>
      </c>
      <c r="I873" t="s">
        <v>41</v>
      </c>
      <c r="J873" t="s">
        <v>61</v>
      </c>
      <c r="K873" t="s">
        <v>62</v>
      </c>
      <c r="L873" t="s">
        <v>50</v>
      </c>
      <c r="M873" s="2">
        <v>360548.7</v>
      </c>
      <c r="N873" t="s">
        <v>7082</v>
      </c>
      <c r="O873" t="s">
        <v>52</v>
      </c>
      <c r="P873" t="str">
        <f>CONCATENATE("'",Tabla1[[#This Row],[Codigo]],"',")</f>
        <v>'01536',</v>
      </c>
    </row>
    <row r="874" spans="1:16" x14ac:dyDescent="0.25">
      <c r="A874" t="s">
        <v>7085</v>
      </c>
      <c r="B874" t="s">
        <v>7086</v>
      </c>
      <c r="C874" t="s">
        <v>7086</v>
      </c>
      <c r="D874" t="s">
        <v>3472</v>
      </c>
      <c r="E874" t="s">
        <v>871</v>
      </c>
      <c r="F874" t="s">
        <v>7087</v>
      </c>
      <c r="G874" t="s">
        <v>7088</v>
      </c>
      <c r="H874" t="s">
        <v>7089</v>
      </c>
      <c r="I874" t="s">
        <v>7090</v>
      </c>
      <c r="J874" t="s">
        <v>557</v>
      </c>
      <c r="K874" t="s">
        <v>558</v>
      </c>
      <c r="L874" t="s">
        <v>50</v>
      </c>
      <c r="M874" s="2">
        <v>23105</v>
      </c>
      <c r="N874" t="s">
        <v>64</v>
      </c>
      <c r="P874" t="str">
        <f>CONCATENATE("'",Tabla1[[#This Row],[Codigo]],"',")</f>
        <v>'01538',</v>
      </c>
    </row>
    <row r="875" spans="1:16" x14ac:dyDescent="0.25">
      <c r="A875" t="s">
        <v>7102</v>
      </c>
      <c r="B875" t="s">
        <v>7103</v>
      </c>
      <c r="C875" t="s">
        <v>7103</v>
      </c>
      <c r="D875" t="s">
        <v>1941</v>
      </c>
      <c r="E875" t="s">
        <v>224</v>
      </c>
      <c r="F875" t="s">
        <v>7104</v>
      </c>
      <c r="G875" t="s">
        <v>5739</v>
      </c>
      <c r="H875" t="s">
        <v>5741</v>
      </c>
      <c r="I875" t="s">
        <v>5739</v>
      </c>
      <c r="J875" t="s">
        <v>5966</v>
      </c>
      <c r="K875" t="s">
        <v>5739</v>
      </c>
      <c r="L875" t="s">
        <v>50</v>
      </c>
      <c r="M875" s="2">
        <v>1060</v>
      </c>
      <c r="N875" t="s">
        <v>64</v>
      </c>
      <c r="P875" t="str">
        <f>CONCATENATE("'",Tabla1[[#This Row],[Codigo]],"',")</f>
        <v>'01542',</v>
      </c>
    </row>
    <row r="876" spans="1:16" x14ac:dyDescent="0.25">
      <c r="A876" t="s">
        <v>7109</v>
      </c>
      <c r="B876" t="s">
        <v>7110</v>
      </c>
      <c r="C876" t="s">
        <v>7110</v>
      </c>
      <c r="D876" t="s">
        <v>35</v>
      </c>
      <c r="E876" t="s">
        <v>36</v>
      </c>
      <c r="F876" t="s">
        <v>7111</v>
      </c>
      <c r="G876" t="s">
        <v>6030</v>
      </c>
      <c r="H876" t="s">
        <v>6029</v>
      </c>
      <c r="I876" t="s">
        <v>6030</v>
      </c>
      <c r="J876" t="s">
        <v>1363</v>
      </c>
      <c r="K876" t="s">
        <v>1364</v>
      </c>
      <c r="L876" t="s">
        <v>50</v>
      </c>
      <c r="M876" s="2">
        <v>1842.32</v>
      </c>
      <c r="N876" t="s">
        <v>7114</v>
      </c>
      <c r="O876" t="s">
        <v>115</v>
      </c>
      <c r="P876" t="str">
        <f>CONCATENATE("'",Tabla1[[#This Row],[Codigo]],"',")</f>
        <v>'01544',</v>
      </c>
    </row>
    <row r="877" spans="1:16" x14ac:dyDescent="0.25">
      <c r="A877" t="s">
        <v>7116</v>
      </c>
      <c r="B877" t="s">
        <v>7117</v>
      </c>
      <c r="C877" t="s">
        <v>3088</v>
      </c>
      <c r="D877" t="s">
        <v>125</v>
      </c>
      <c r="E877" t="s">
        <v>126</v>
      </c>
      <c r="F877" t="s">
        <v>3089</v>
      </c>
      <c r="G877" t="s">
        <v>349</v>
      </c>
      <c r="H877" t="s">
        <v>348</v>
      </c>
      <c r="I877" t="s">
        <v>349</v>
      </c>
      <c r="J877" t="s">
        <v>316</v>
      </c>
      <c r="K877" t="s">
        <v>317</v>
      </c>
      <c r="L877" t="s">
        <v>50</v>
      </c>
      <c r="M877" s="2">
        <v>-4048.11</v>
      </c>
      <c r="N877" t="s">
        <v>7119</v>
      </c>
      <c r="O877" t="s">
        <v>115</v>
      </c>
      <c r="P877" t="str">
        <f>CONCATENATE("'",Tabla1[[#This Row],[Codigo]],"',")</f>
        <v>'01546',</v>
      </c>
    </row>
    <row r="878" spans="1:16" x14ac:dyDescent="0.25">
      <c r="A878" t="s">
        <v>7120</v>
      </c>
      <c r="B878" t="s">
        <v>7121</v>
      </c>
      <c r="C878" t="s">
        <v>7121</v>
      </c>
      <c r="D878" t="s">
        <v>153</v>
      </c>
      <c r="E878" t="s">
        <v>272</v>
      </c>
      <c r="F878" t="s">
        <v>7122</v>
      </c>
      <c r="G878" t="s">
        <v>584</v>
      </c>
      <c r="H878" t="s">
        <v>585</v>
      </c>
      <c r="I878" t="s">
        <v>584</v>
      </c>
      <c r="J878" t="s">
        <v>158</v>
      </c>
      <c r="K878" t="s">
        <v>159</v>
      </c>
      <c r="L878" t="s">
        <v>50</v>
      </c>
      <c r="M878" s="2">
        <v>3822695.97</v>
      </c>
      <c r="N878" t="s">
        <v>7124</v>
      </c>
      <c r="O878" t="s">
        <v>52</v>
      </c>
      <c r="P878" t="str">
        <f>CONCATENATE("'",Tabla1[[#This Row],[Codigo]],"',")</f>
        <v>'01547',</v>
      </c>
    </row>
    <row r="879" spans="1:16" x14ac:dyDescent="0.25">
      <c r="A879" t="s">
        <v>7125</v>
      </c>
      <c r="B879" t="s">
        <v>7126</v>
      </c>
      <c r="C879" t="s">
        <v>7126</v>
      </c>
      <c r="D879" t="s">
        <v>569</v>
      </c>
      <c r="E879" t="s">
        <v>570</v>
      </c>
      <c r="F879" t="s">
        <v>7127</v>
      </c>
      <c r="G879" t="s">
        <v>268</v>
      </c>
      <c r="H879" t="s">
        <v>267</v>
      </c>
      <c r="I879" t="s">
        <v>268</v>
      </c>
      <c r="J879" t="s">
        <v>103</v>
      </c>
      <c r="K879" t="s">
        <v>104</v>
      </c>
      <c r="L879" t="s">
        <v>50</v>
      </c>
      <c r="M879" s="2">
        <v>358649.89</v>
      </c>
      <c r="N879" t="s">
        <v>7129</v>
      </c>
      <c r="O879" t="s">
        <v>52</v>
      </c>
      <c r="P879" t="str">
        <f>CONCATENATE("'",Tabla1[[#This Row],[Codigo]],"',")</f>
        <v>'01548',</v>
      </c>
    </row>
    <row r="880" spans="1:16" x14ac:dyDescent="0.25">
      <c r="A880" t="s">
        <v>7132</v>
      </c>
      <c r="B880" t="s">
        <v>7133</v>
      </c>
      <c r="C880" t="s">
        <v>7133</v>
      </c>
      <c r="D880" t="s">
        <v>125</v>
      </c>
      <c r="E880" t="s">
        <v>126</v>
      </c>
      <c r="F880" t="s">
        <v>7134</v>
      </c>
      <c r="G880" t="s">
        <v>7135</v>
      </c>
      <c r="H880" t="s">
        <v>4385</v>
      </c>
      <c r="I880" t="s">
        <v>4386</v>
      </c>
      <c r="J880" t="s">
        <v>304</v>
      </c>
      <c r="K880" t="s">
        <v>72</v>
      </c>
      <c r="L880" t="s">
        <v>50</v>
      </c>
      <c r="M880" s="2">
        <v>220352</v>
      </c>
      <c r="N880" t="s">
        <v>64</v>
      </c>
      <c r="P880" t="str">
        <f>CONCATENATE("'",Tabla1[[#This Row],[Codigo]],"',")</f>
        <v>'01550',</v>
      </c>
    </row>
    <row r="881" spans="1:16" x14ac:dyDescent="0.25">
      <c r="A881" t="s">
        <v>7138</v>
      </c>
      <c r="B881" t="s">
        <v>7139</v>
      </c>
      <c r="C881" t="s">
        <v>7139</v>
      </c>
      <c r="D881" t="s">
        <v>153</v>
      </c>
      <c r="E881" t="s">
        <v>272</v>
      </c>
      <c r="F881" t="s">
        <v>7140</v>
      </c>
      <c r="G881" t="s">
        <v>79</v>
      </c>
      <c r="H881" t="s">
        <v>495</v>
      </c>
      <c r="I881" t="s">
        <v>79</v>
      </c>
      <c r="J881" t="s">
        <v>3487</v>
      </c>
      <c r="K881" t="s">
        <v>3488</v>
      </c>
      <c r="L881" t="s">
        <v>50</v>
      </c>
      <c r="M881" s="2">
        <v>72717.08</v>
      </c>
      <c r="N881" t="s">
        <v>7143</v>
      </c>
      <c r="P881" t="str">
        <f>CONCATENATE("'",Tabla1[[#This Row],[Codigo]],"',")</f>
        <v>'01551',</v>
      </c>
    </row>
    <row r="882" spans="1:16" x14ac:dyDescent="0.25">
      <c r="A882" t="s">
        <v>7144</v>
      </c>
      <c r="B882" t="s">
        <v>7145</v>
      </c>
      <c r="C882" t="s">
        <v>7145</v>
      </c>
      <c r="D882" t="s">
        <v>1410</v>
      </c>
      <c r="E882" t="s">
        <v>871</v>
      </c>
      <c r="F882" t="s">
        <v>7146</v>
      </c>
      <c r="G882" t="s">
        <v>7147</v>
      </c>
      <c r="H882" t="s">
        <v>6940</v>
      </c>
      <c r="I882" t="s">
        <v>6939</v>
      </c>
      <c r="J882" t="s">
        <v>3487</v>
      </c>
      <c r="K882" t="s">
        <v>3488</v>
      </c>
      <c r="L882" t="s">
        <v>50</v>
      </c>
      <c r="M882" s="2">
        <v>266045.07</v>
      </c>
      <c r="N882" t="s">
        <v>7150</v>
      </c>
      <c r="P882" t="str">
        <f>CONCATENATE("'",Tabla1[[#This Row],[Codigo]],"',")</f>
        <v>'01552',</v>
      </c>
    </row>
    <row r="883" spans="1:16" x14ac:dyDescent="0.25">
      <c r="A883" t="s">
        <v>7154</v>
      </c>
      <c r="B883" t="s">
        <v>7155</v>
      </c>
      <c r="C883" t="s">
        <v>7155</v>
      </c>
      <c r="D883" t="s">
        <v>569</v>
      </c>
      <c r="E883" t="s">
        <v>570</v>
      </c>
      <c r="F883" t="s">
        <v>7156</v>
      </c>
      <c r="G883" t="s">
        <v>881</v>
      </c>
      <c r="H883" t="s">
        <v>883</v>
      </c>
      <c r="I883" t="s">
        <v>881</v>
      </c>
      <c r="J883" t="s">
        <v>158</v>
      </c>
      <c r="K883" t="s">
        <v>159</v>
      </c>
      <c r="L883" t="s">
        <v>50</v>
      </c>
      <c r="M883" s="2">
        <v>197923.88</v>
      </c>
      <c r="N883" t="s">
        <v>7158</v>
      </c>
      <c r="O883" t="s">
        <v>52</v>
      </c>
      <c r="P883" t="str">
        <f>CONCATENATE("'",Tabla1[[#This Row],[Codigo]],"',")</f>
        <v>'01555',</v>
      </c>
    </row>
    <row r="884" spans="1:16" x14ac:dyDescent="0.25">
      <c r="A884" t="s">
        <v>7159</v>
      </c>
      <c r="B884" t="s">
        <v>7160</v>
      </c>
      <c r="C884" t="s">
        <v>7160</v>
      </c>
      <c r="D884" t="s">
        <v>35</v>
      </c>
      <c r="E884" t="s">
        <v>36</v>
      </c>
      <c r="F884" t="s">
        <v>7161</v>
      </c>
      <c r="G884" t="s">
        <v>2114</v>
      </c>
      <c r="H884" t="s">
        <v>2113</v>
      </c>
      <c r="I884" t="s">
        <v>2114</v>
      </c>
      <c r="J884" t="s">
        <v>103</v>
      </c>
      <c r="K884" t="s">
        <v>104</v>
      </c>
      <c r="L884" t="s">
        <v>50</v>
      </c>
      <c r="M884" s="2">
        <v>109085</v>
      </c>
      <c r="N884" t="s">
        <v>64</v>
      </c>
      <c r="P884" t="str">
        <f>CONCATENATE("'",Tabla1[[#This Row],[Codigo]],"',")</f>
        <v>'01556',</v>
      </c>
    </row>
    <row r="885" spans="1:16" x14ac:dyDescent="0.25">
      <c r="A885" t="s">
        <v>7164</v>
      </c>
      <c r="B885" t="s">
        <v>7165</v>
      </c>
      <c r="C885" t="s">
        <v>7166</v>
      </c>
      <c r="D885" t="s">
        <v>178</v>
      </c>
      <c r="E885" t="s">
        <v>179</v>
      </c>
      <c r="F885" t="s">
        <v>7167</v>
      </c>
      <c r="G885" t="s">
        <v>881</v>
      </c>
      <c r="H885" t="s">
        <v>883</v>
      </c>
      <c r="I885" t="s">
        <v>881</v>
      </c>
      <c r="J885" t="s">
        <v>158</v>
      </c>
      <c r="K885" t="s">
        <v>159</v>
      </c>
      <c r="L885" t="s">
        <v>50</v>
      </c>
      <c r="M885" s="2">
        <v>116378.44</v>
      </c>
      <c r="N885" t="s">
        <v>7169</v>
      </c>
      <c r="O885" t="s">
        <v>52</v>
      </c>
      <c r="P885" t="str">
        <f>CONCATENATE("'",Tabla1[[#This Row],[Codigo]],"',")</f>
        <v>'01557',</v>
      </c>
    </row>
    <row r="886" spans="1:16" x14ac:dyDescent="0.25">
      <c r="A886" t="s">
        <v>7170</v>
      </c>
      <c r="B886" t="s">
        <v>7171</v>
      </c>
      <c r="C886" t="s">
        <v>7171</v>
      </c>
      <c r="D886" t="s">
        <v>35</v>
      </c>
      <c r="E886" t="s">
        <v>36</v>
      </c>
      <c r="F886" t="s">
        <v>7172</v>
      </c>
      <c r="G886" t="s">
        <v>1531</v>
      </c>
      <c r="H886" t="s">
        <v>585</v>
      </c>
      <c r="I886" t="s">
        <v>584</v>
      </c>
      <c r="J886" t="s">
        <v>158</v>
      </c>
      <c r="K886" t="s">
        <v>159</v>
      </c>
      <c r="L886" t="s">
        <v>50</v>
      </c>
      <c r="M886" s="2">
        <v>3388555.94</v>
      </c>
      <c r="N886" t="s">
        <v>7174</v>
      </c>
      <c r="O886" t="s">
        <v>52</v>
      </c>
      <c r="P886" t="str">
        <f>CONCATENATE("'",Tabla1[[#This Row],[Codigo]],"',")</f>
        <v>'01558',</v>
      </c>
    </row>
    <row r="887" spans="1:16" x14ac:dyDescent="0.25">
      <c r="A887" t="s">
        <v>7177</v>
      </c>
      <c r="B887" t="s">
        <v>7178</v>
      </c>
      <c r="C887" t="s">
        <v>7178</v>
      </c>
      <c r="D887" t="s">
        <v>125</v>
      </c>
      <c r="E887" t="s">
        <v>126</v>
      </c>
      <c r="F887" t="s">
        <v>7179</v>
      </c>
      <c r="G887" t="s">
        <v>1360</v>
      </c>
      <c r="H887" t="s">
        <v>1362</v>
      </c>
      <c r="I887" t="s">
        <v>1360</v>
      </c>
      <c r="J887" t="s">
        <v>1421</v>
      </c>
      <c r="K887" t="s">
        <v>1422</v>
      </c>
      <c r="L887" t="s">
        <v>50</v>
      </c>
      <c r="M887" s="2">
        <v>1265002.69</v>
      </c>
      <c r="N887" t="s">
        <v>7181</v>
      </c>
      <c r="O887" t="s">
        <v>52</v>
      </c>
      <c r="P887" t="str">
        <f>CONCATENATE("'",Tabla1[[#This Row],[Codigo]],"',")</f>
        <v>'01561',</v>
      </c>
    </row>
    <row r="888" spans="1:16" x14ac:dyDescent="0.25">
      <c r="A888" t="s">
        <v>7182</v>
      </c>
      <c r="B888" t="s">
        <v>7183</v>
      </c>
      <c r="C888" t="s">
        <v>7183</v>
      </c>
      <c r="D888" t="s">
        <v>297</v>
      </c>
      <c r="E888" t="s">
        <v>167</v>
      </c>
      <c r="F888" t="s">
        <v>7184</v>
      </c>
      <c r="G888" t="s">
        <v>79</v>
      </c>
      <c r="H888" t="s">
        <v>495</v>
      </c>
      <c r="I888" t="s">
        <v>79</v>
      </c>
      <c r="J888" t="s">
        <v>3487</v>
      </c>
      <c r="K888" t="s">
        <v>3488</v>
      </c>
      <c r="L888" t="s">
        <v>50</v>
      </c>
      <c r="M888" s="2">
        <v>20715.169999999998</v>
      </c>
      <c r="N888" t="s">
        <v>7187</v>
      </c>
      <c r="O888" t="s">
        <v>52</v>
      </c>
      <c r="P888" t="str">
        <f>CONCATENATE("'",Tabla1[[#This Row],[Codigo]],"',")</f>
        <v>'01562',</v>
      </c>
    </row>
    <row r="889" spans="1:16" x14ac:dyDescent="0.25">
      <c r="A889" t="s">
        <v>7188</v>
      </c>
      <c r="B889" t="s">
        <v>7189</v>
      </c>
      <c r="C889" t="s">
        <v>7189</v>
      </c>
      <c r="D889" t="s">
        <v>569</v>
      </c>
      <c r="E889" t="s">
        <v>570</v>
      </c>
      <c r="F889" t="s">
        <v>7190</v>
      </c>
      <c r="G889" t="s">
        <v>584</v>
      </c>
      <c r="H889" t="s">
        <v>585</v>
      </c>
      <c r="I889" t="s">
        <v>584</v>
      </c>
      <c r="J889" t="s">
        <v>158</v>
      </c>
      <c r="K889" t="s">
        <v>159</v>
      </c>
      <c r="L889" t="s">
        <v>50</v>
      </c>
      <c r="M889" s="2">
        <v>312701.06</v>
      </c>
      <c r="N889" t="s">
        <v>7193</v>
      </c>
      <c r="P889" t="str">
        <f>CONCATENATE("'",Tabla1[[#This Row],[Codigo]],"',")</f>
        <v>'01563',</v>
      </c>
    </row>
    <row r="890" spans="1:16" x14ac:dyDescent="0.25">
      <c r="A890" t="s">
        <v>7198</v>
      </c>
      <c r="B890" t="s">
        <v>7199</v>
      </c>
      <c r="C890" t="s">
        <v>7199</v>
      </c>
      <c r="D890" t="s">
        <v>125</v>
      </c>
      <c r="E890" t="s">
        <v>126</v>
      </c>
      <c r="F890" t="s">
        <v>7200</v>
      </c>
      <c r="G890" t="s">
        <v>7201</v>
      </c>
      <c r="H890" t="s">
        <v>7203</v>
      </c>
      <c r="I890" t="s">
        <v>7204</v>
      </c>
      <c r="J890" t="s">
        <v>4315</v>
      </c>
      <c r="K890" t="s">
        <v>4316</v>
      </c>
      <c r="L890" t="s">
        <v>50</v>
      </c>
      <c r="M890" s="2">
        <v>416608.57</v>
      </c>
      <c r="N890" t="s">
        <v>7206</v>
      </c>
      <c r="O890" t="s">
        <v>115</v>
      </c>
      <c r="P890" t="str">
        <f>CONCATENATE("'",Tabla1[[#This Row],[Codigo]],"',")</f>
        <v>'01566',</v>
      </c>
    </row>
    <row r="891" spans="1:16" x14ac:dyDescent="0.25">
      <c r="A891" t="s">
        <v>7207</v>
      </c>
      <c r="B891" t="s">
        <v>7208</v>
      </c>
      <c r="C891" t="s">
        <v>7208</v>
      </c>
      <c r="D891" t="s">
        <v>498</v>
      </c>
      <c r="E891" t="s">
        <v>190</v>
      </c>
      <c r="F891" t="s">
        <v>7209</v>
      </c>
      <c r="G891" t="s">
        <v>7210</v>
      </c>
      <c r="H891" t="s">
        <v>4996</v>
      </c>
      <c r="I891" t="s">
        <v>4997</v>
      </c>
      <c r="J891" t="s">
        <v>1212</v>
      </c>
      <c r="K891" t="s">
        <v>1213</v>
      </c>
      <c r="L891" t="s">
        <v>50</v>
      </c>
      <c r="M891" s="2">
        <v>107091.23</v>
      </c>
      <c r="N891" t="s">
        <v>7212</v>
      </c>
      <c r="P891" t="str">
        <f>CONCATENATE("'",Tabla1[[#This Row],[Codigo]],"',")</f>
        <v>'01569',</v>
      </c>
    </row>
    <row r="892" spans="1:16" x14ac:dyDescent="0.25">
      <c r="A892" t="s">
        <v>7213</v>
      </c>
      <c r="B892" t="s">
        <v>7214</v>
      </c>
      <c r="C892" t="s">
        <v>7214</v>
      </c>
      <c r="D892" t="s">
        <v>35</v>
      </c>
      <c r="E892" t="s">
        <v>36</v>
      </c>
      <c r="F892" t="s">
        <v>7215</v>
      </c>
      <c r="G892" t="s">
        <v>81</v>
      </c>
      <c r="H892" t="s">
        <v>80</v>
      </c>
      <c r="I892" t="s">
        <v>81</v>
      </c>
      <c r="J892" t="s">
        <v>557</v>
      </c>
      <c r="K892" t="s">
        <v>558</v>
      </c>
      <c r="L892" t="s">
        <v>50</v>
      </c>
      <c r="M892" s="2">
        <v>121913.63</v>
      </c>
      <c r="N892" t="s">
        <v>7218</v>
      </c>
      <c r="O892" t="s">
        <v>52</v>
      </c>
      <c r="P892" t="str">
        <f>CONCATENATE("'",Tabla1[[#This Row],[Codigo]],"',")</f>
        <v>'01570',</v>
      </c>
    </row>
    <row r="893" spans="1:16" x14ac:dyDescent="0.25">
      <c r="A893" t="s">
        <v>7219</v>
      </c>
      <c r="B893" t="s">
        <v>7220</v>
      </c>
      <c r="C893" t="s">
        <v>7220</v>
      </c>
      <c r="D893" t="s">
        <v>553</v>
      </c>
      <c r="E893" t="s">
        <v>167</v>
      </c>
      <c r="F893" t="s">
        <v>7221</v>
      </c>
      <c r="G893" t="s">
        <v>7222</v>
      </c>
      <c r="H893" t="s">
        <v>6985</v>
      </c>
      <c r="I893" t="s">
        <v>6986</v>
      </c>
      <c r="J893" t="s">
        <v>6987</v>
      </c>
      <c r="K893" t="s">
        <v>6988</v>
      </c>
      <c r="L893" t="s">
        <v>50</v>
      </c>
      <c r="M893" s="2">
        <v>152719</v>
      </c>
      <c r="N893" t="s">
        <v>64</v>
      </c>
      <c r="P893" t="str">
        <f>CONCATENATE("'",Tabla1[[#This Row],[Codigo]],"',")</f>
        <v>'01571',</v>
      </c>
    </row>
    <row r="894" spans="1:16" x14ac:dyDescent="0.25">
      <c r="A894" t="s">
        <v>7224</v>
      </c>
      <c r="B894" t="s">
        <v>7225</v>
      </c>
      <c r="C894" t="s">
        <v>7225</v>
      </c>
      <c r="D894" t="s">
        <v>478</v>
      </c>
      <c r="E894" t="s">
        <v>190</v>
      </c>
      <c r="F894" t="s">
        <v>7226</v>
      </c>
      <c r="G894" t="s">
        <v>590</v>
      </c>
      <c r="H894" t="s">
        <v>592</v>
      </c>
      <c r="I894" t="s">
        <v>593</v>
      </c>
      <c r="J894" t="s">
        <v>91</v>
      </c>
      <c r="K894" t="s">
        <v>92</v>
      </c>
      <c r="L894" t="s">
        <v>50</v>
      </c>
      <c r="M894" s="2">
        <v>1038473.76</v>
      </c>
      <c r="N894" t="s">
        <v>7229</v>
      </c>
      <c r="P894" t="str">
        <f>CONCATENATE("'",Tabla1[[#This Row],[Codigo]],"',")</f>
        <v>'01572',</v>
      </c>
    </row>
    <row r="895" spans="1:16" x14ac:dyDescent="0.25">
      <c r="A895" t="s">
        <v>7240</v>
      </c>
      <c r="B895" t="s">
        <v>7241</v>
      </c>
      <c r="C895" t="s">
        <v>7241</v>
      </c>
      <c r="D895" t="s">
        <v>35</v>
      </c>
      <c r="E895" t="s">
        <v>36</v>
      </c>
      <c r="F895" t="s">
        <v>7239</v>
      </c>
      <c r="G895" t="s">
        <v>68</v>
      </c>
      <c r="H895" t="s">
        <v>67</v>
      </c>
      <c r="I895" t="s">
        <v>68</v>
      </c>
      <c r="J895" t="s">
        <v>69</v>
      </c>
      <c r="K895" t="s">
        <v>70</v>
      </c>
      <c r="L895" t="s">
        <v>50</v>
      </c>
      <c r="M895" s="2">
        <v>14540.76</v>
      </c>
      <c r="N895" t="s">
        <v>7244</v>
      </c>
      <c r="O895" t="s">
        <v>52</v>
      </c>
      <c r="P895" t="str">
        <f>CONCATENATE("'",Tabla1[[#This Row],[Codigo]],"',")</f>
        <v>'01576',</v>
      </c>
    </row>
    <row r="896" spans="1:16" x14ac:dyDescent="0.25">
      <c r="A896" t="s">
        <v>7248</v>
      </c>
      <c r="B896" t="s">
        <v>7249</v>
      </c>
      <c r="C896" t="s">
        <v>7249</v>
      </c>
      <c r="D896" t="s">
        <v>649</v>
      </c>
      <c r="E896" t="s">
        <v>871</v>
      </c>
      <c r="F896" t="s">
        <v>7250</v>
      </c>
      <c r="G896" t="s">
        <v>68</v>
      </c>
      <c r="H896" t="s">
        <v>67</v>
      </c>
      <c r="I896" t="s">
        <v>68</v>
      </c>
      <c r="J896" t="s">
        <v>4315</v>
      </c>
      <c r="K896" t="s">
        <v>4316</v>
      </c>
      <c r="L896" t="s">
        <v>50</v>
      </c>
      <c r="M896" s="2">
        <v>120499.26</v>
      </c>
      <c r="N896" t="s">
        <v>7253</v>
      </c>
      <c r="P896" t="str">
        <f>CONCATENATE("'",Tabla1[[#This Row],[Codigo]],"',")</f>
        <v>'01580',</v>
      </c>
    </row>
    <row r="897" spans="1:16" x14ac:dyDescent="0.25">
      <c r="A897" t="s">
        <v>7254</v>
      </c>
      <c r="B897" t="s">
        <v>7255</v>
      </c>
      <c r="C897" t="s">
        <v>7255</v>
      </c>
      <c r="D897" t="s">
        <v>4647</v>
      </c>
      <c r="E897" t="s">
        <v>224</v>
      </c>
      <c r="F897" t="s">
        <v>7256</v>
      </c>
      <c r="G897" t="s">
        <v>6519</v>
      </c>
      <c r="H897" t="s">
        <v>5201</v>
      </c>
      <c r="I897" t="s">
        <v>5202</v>
      </c>
      <c r="J897" t="s">
        <v>4853</v>
      </c>
      <c r="K897" t="s">
        <v>4854</v>
      </c>
      <c r="L897" t="s">
        <v>50</v>
      </c>
      <c r="M897" s="2">
        <v>141954.84</v>
      </c>
      <c r="N897" t="s">
        <v>7259</v>
      </c>
      <c r="O897" t="s">
        <v>115</v>
      </c>
      <c r="P897" t="str">
        <f>CONCATENATE("'",Tabla1[[#This Row],[Codigo]],"',")</f>
        <v>'01581',</v>
      </c>
    </row>
    <row r="898" spans="1:16" x14ac:dyDescent="0.25">
      <c r="A898" t="s">
        <v>7260</v>
      </c>
      <c r="B898" t="s">
        <v>7261</v>
      </c>
      <c r="C898" t="s">
        <v>7261</v>
      </c>
      <c r="D898" t="s">
        <v>125</v>
      </c>
      <c r="E898" t="s">
        <v>126</v>
      </c>
      <c r="F898" t="s">
        <v>7262</v>
      </c>
      <c r="G898" t="s">
        <v>7263</v>
      </c>
      <c r="H898" t="s">
        <v>2571</v>
      </c>
      <c r="I898" t="s">
        <v>2572</v>
      </c>
      <c r="J898" t="s">
        <v>6987</v>
      </c>
      <c r="K898" t="s">
        <v>6988</v>
      </c>
      <c r="L898" t="s">
        <v>50</v>
      </c>
      <c r="M898" s="2">
        <v>257331.11</v>
      </c>
      <c r="N898" t="s">
        <v>7266</v>
      </c>
      <c r="O898" t="s">
        <v>115</v>
      </c>
      <c r="P898" t="str">
        <f>CONCATENATE("'",Tabla1[[#This Row],[Codigo]],"',")</f>
        <v>'01582',</v>
      </c>
    </row>
    <row r="899" spans="1:16" x14ac:dyDescent="0.25">
      <c r="A899" t="s">
        <v>7272</v>
      </c>
      <c r="B899" t="s">
        <v>7273</v>
      </c>
      <c r="C899" t="s">
        <v>7273</v>
      </c>
      <c r="D899" t="s">
        <v>321</v>
      </c>
      <c r="E899" t="s">
        <v>224</v>
      </c>
      <c r="F899" t="s">
        <v>7274</v>
      </c>
      <c r="G899" t="s">
        <v>79</v>
      </c>
      <c r="H899" t="s">
        <v>7276</v>
      </c>
      <c r="I899" t="s">
        <v>7277</v>
      </c>
      <c r="J899" t="s">
        <v>3487</v>
      </c>
      <c r="K899" t="s">
        <v>3488</v>
      </c>
      <c r="L899" t="s">
        <v>50</v>
      </c>
      <c r="M899" s="2">
        <v>640224.05000000005</v>
      </c>
      <c r="N899" t="s">
        <v>7279</v>
      </c>
      <c r="P899" t="str">
        <f>CONCATENATE("'",Tabla1[[#This Row],[Codigo]],"',")</f>
        <v>'01584',</v>
      </c>
    </row>
    <row r="900" spans="1:16" x14ac:dyDescent="0.25">
      <c r="A900" t="s">
        <v>7280</v>
      </c>
      <c r="B900" t="s">
        <v>7281</v>
      </c>
      <c r="C900" t="s">
        <v>7281</v>
      </c>
      <c r="D900" t="s">
        <v>1958</v>
      </c>
      <c r="E900" t="s">
        <v>77</v>
      </c>
      <c r="F900" t="s">
        <v>7282</v>
      </c>
      <c r="G900" t="s">
        <v>41</v>
      </c>
      <c r="H900" t="s">
        <v>40</v>
      </c>
      <c r="I900" t="s">
        <v>41</v>
      </c>
      <c r="J900" t="s">
        <v>42</v>
      </c>
      <c r="K900" t="s">
        <v>43</v>
      </c>
      <c r="L900" t="s">
        <v>50</v>
      </c>
      <c r="M900" s="2">
        <v>21817</v>
      </c>
      <c r="N900" t="s">
        <v>64</v>
      </c>
      <c r="P900" t="str">
        <f>CONCATENATE("'",Tabla1[[#This Row],[Codigo]],"',")</f>
        <v>'01585',</v>
      </c>
    </row>
    <row r="901" spans="1:16" x14ac:dyDescent="0.25">
      <c r="A901" t="s">
        <v>7284</v>
      </c>
      <c r="B901" t="s">
        <v>7285</v>
      </c>
      <c r="C901" t="s">
        <v>7285</v>
      </c>
      <c r="D901" t="s">
        <v>35</v>
      </c>
      <c r="E901" t="s">
        <v>36</v>
      </c>
      <c r="F901" t="s">
        <v>7286</v>
      </c>
      <c r="G901" t="s">
        <v>4566</v>
      </c>
      <c r="H901" t="s">
        <v>4565</v>
      </c>
      <c r="I901" t="s">
        <v>4566</v>
      </c>
      <c r="J901" t="s">
        <v>103</v>
      </c>
      <c r="K901" t="s">
        <v>104</v>
      </c>
      <c r="L901" t="s">
        <v>50</v>
      </c>
      <c r="M901" s="2">
        <v>195664.97</v>
      </c>
      <c r="N901" t="s">
        <v>7289</v>
      </c>
      <c r="O901" t="s">
        <v>52</v>
      </c>
      <c r="P901" t="str">
        <f>CONCATENATE("'",Tabla1[[#This Row],[Codigo]],"',")</f>
        <v>'01587',</v>
      </c>
    </row>
    <row r="902" spans="1:16" x14ac:dyDescent="0.25">
      <c r="A902" t="s">
        <v>7290</v>
      </c>
      <c r="B902" t="s">
        <v>7291</v>
      </c>
      <c r="C902" t="s">
        <v>7291</v>
      </c>
      <c r="D902" t="s">
        <v>299</v>
      </c>
      <c r="E902" t="s">
        <v>167</v>
      </c>
      <c r="F902" t="s">
        <v>7292</v>
      </c>
      <c r="G902" t="s">
        <v>1062</v>
      </c>
      <c r="H902" t="s">
        <v>1064</v>
      </c>
      <c r="I902" t="s">
        <v>1062</v>
      </c>
      <c r="J902" t="s">
        <v>304</v>
      </c>
      <c r="K902" t="s">
        <v>72</v>
      </c>
      <c r="L902" t="s">
        <v>50</v>
      </c>
      <c r="M902" s="2">
        <v>-1789.7</v>
      </c>
      <c r="N902" t="s">
        <v>7294</v>
      </c>
      <c r="P902" t="str">
        <f>CONCATENATE("'",Tabla1[[#This Row],[Codigo]],"',")</f>
        <v>'01588',</v>
      </c>
    </row>
    <row r="903" spans="1:16" x14ac:dyDescent="0.25">
      <c r="A903" t="s">
        <v>7295</v>
      </c>
      <c r="B903" t="s">
        <v>7296</v>
      </c>
      <c r="C903" t="s">
        <v>7296</v>
      </c>
      <c r="D903" t="s">
        <v>125</v>
      </c>
      <c r="E903" t="s">
        <v>126</v>
      </c>
      <c r="F903" t="s">
        <v>7297</v>
      </c>
      <c r="G903" t="s">
        <v>7298</v>
      </c>
      <c r="H903" t="s">
        <v>7300</v>
      </c>
      <c r="I903" t="s">
        <v>7301</v>
      </c>
      <c r="J903" t="s">
        <v>5966</v>
      </c>
      <c r="K903" t="s">
        <v>5739</v>
      </c>
      <c r="L903" t="s">
        <v>50</v>
      </c>
      <c r="M903" s="2">
        <v>185638.42</v>
      </c>
      <c r="N903" t="s">
        <v>7303</v>
      </c>
      <c r="O903" t="s">
        <v>52</v>
      </c>
      <c r="P903" t="str">
        <f>CONCATENATE("'",Tabla1[[#This Row],[Codigo]],"',")</f>
        <v>'01590',</v>
      </c>
    </row>
    <row r="904" spans="1:16" x14ac:dyDescent="0.25">
      <c r="A904" t="s">
        <v>7304</v>
      </c>
      <c r="B904" t="s">
        <v>7305</v>
      </c>
      <c r="C904" t="s">
        <v>7305</v>
      </c>
      <c r="D904" t="s">
        <v>153</v>
      </c>
      <c r="E904" t="s">
        <v>272</v>
      </c>
      <c r="F904" t="s">
        <v>7306</v>
      </c>
      <c r="G904" t="s">
        <v>1123</v>
      </c>
      <c r="H904" t="s">
        <v>1125</v>
      </c>
      <c r="I904" t="s">
        <v>1123</v>
      </c>
      <c r="J904" t="s">
        <v>158</v>
      </c>
      <c r="K904" t="s">
        <v>159</v>
      </c>
      <c r="L904" t="s">
        <v>50</v>
      </c>
      <c r="M904" s="2">
        <v>394361.09</v>
      </c>
      <c r="N904" t="s">
        <v>7308</v>
      </c>
      <c r="O904" t="s">
        <v>52</v>
      </c>
      <c r="P904" t="str">
        <f>CONCATENATE("'",Tabla1[[#This Row],[Codigo]],"',")</f>
        <v>'01591',</v>
      </c>
    </row>
    <row r="905" spans="1:16" x14ac:dyDescent="0.25">
      <c r="A905" t="s">
        <v>7309</v>
      </c>
      <c r="B905" t="s">
        <v>7310</v>
      </c>
      <c r="C905" t="s">
        <v>7310</v>
      </c>
      <c r="D905" t="s">
        <v>35</v>
      </c>
      <c r="E905" t="s">
        <v>36</v>
      </c>
      <c r="F905" t="s">
        <v>7311</v>
      </c>
      <c r="G905" t="s">
        <v>1123</v>
      </c>
      <c r="H905" t="s">
        <v>1125</v>
      </c>
      <c r="I905" t="s">
        <v>1123</v>
      </c>
      <c r="J905" t="s">
        <v>158</v>
      </c>
      <c r="K905" t="s">
        <v>159</v>
      </c>
      <c r="L905" t="s">
        <v>50</v>
      </c>
      <c r="M905" s="2">
        <v>985405.3</v>
      </c>
      <c r="N905" t="s">
        <v>7313</v>
      </c>
      <c r="O905" t="s">
        <v>52</v>
      </c>
      <c r="P905" t="str">
        <f>CONCATENATE("'",Tabla1[[#This Row],[Codigo]],"',")</f>
        <v>'01592',</v>
      </c>
    </row>
    <row r="906" spans="1:16" x14ac:dyDescent="0.25">
      <c r="A906" t="s">
        <v>7314</v>
      </c>
      <c r="B906" t="s">
        <v>15168</v>
      </c>
      <c r="C906" t="s">
        <v>7315</v>
      </c>
      <c r="D906" t="s">
        <v>153</v>
      </c>
      <c r="E906" t="s">
        <v>272</v>
      </c>
      <c r="F906" t="s">
        <v>7316</v>
      </c>
      <c r="G906" t="s">
        <v>614</v>
      </c>
      <c r="H906" t="s">
        <v>613</v>
      </c>
      <c r="I906" t="s">
        <v>614</v>
      </c>
      <c r="J906" t="s">
        <v>91</v>
      </c>
      <c r="K906" t="s">
        <v>92</v>
      </c>
      <c r="L906" t="s">
        <v>50</v>
      </c>
      <c r="M906" s="2">
        <v>1383363.95</v>
      </c>
      <c r="N906" t="s">
        <v>7318</v>
      </c>
      <c r="O906" t="s">
        <v>52</v>
      </c>
      <c r="P906" t="str">
        <f>CONCATENATE("'",Tabla1[[#This Row],[Codigo]],"',")</f>
        <v>'01593',</v>
      </c>
    </row>
    <row r="907" spans="1:16" x14ac:dyDescent="0.25">
      <c r="A907" t="s">
        <v>7321</v>
      </c>
      <c r="B907" t="s">
        <v>7322</v>
      </c>
      <c r="C907" t="s">
        <v>7022</v>
      </c>
      <c r="D907" t="s">
        <v>35</v>
      </c>
      <c r="E907" t="s">
        <v>36</v>
      </c>
      <c r="F907" t="s">
        <v>7023</v>
      </c>
      <c r="G907" t="s">
        <v>2396</v>
      </c>
      <c r="H907" t="s">
        <v>6985</v>
      </c>
      <c r="I907" t="s">
        <v>6986</v>
      </c>
      <c r="J907" t="s">
        <v>6987</v>
      </c>
      <c r="K907" t="s">
        <v>6988</v>
      </c>
      <c r="L907" t="s">
        <v>50</v>
      </c>
      <c r="M907" s="2">
        <v>86244.71</v>
      </c>
      <c r="N907" t="s">
        <v>7323</v>
      </c>
      <c r="O907" t="s">
        <v>52</v>
      </c>
      <c r="P907" t="str">
        <f>CONCATENATE("'",Tabla1[[#This Row],[Codigo]],"',")</f>
        <v>'01595',</v>
      </c>
    </row>
    <row r="908" spans="1:16" x14ac:dyDescent="0.25">
      <c r="A908" t="s">
        <v>7324</v>
      </c>
      <c r="B908" t="s">
        <v>7325</v>
      </c>
      <c r="C908" t="s">
        <v>7325</v>
      </c>
      <c r="D908" t="s">
        <v>166</v>
      </c>
      <c r="E908" t="s">
        <v>167</v>
      </c>
      <c r="F908" t="s">
        <v>7326</v>
      </c>
      <c r="G908" t="s">
        <v>3750</v>
      </c>
      <c r="H908" t="s">
        <v>3752</v>
      </c>
      <c r="I908" t="s">
        <v>3753</v>
      </c>
      <c r="J908" t="s">
        <v>158</v>
      </c>
      <c r="K908" t="s">
        <v>159</v>
      </c>
      <c r="L908" t="s">
        <v>50</v>
      </c>
      <c r="M908" s="2">
        <v>174536</v>
      </c>
      <c r="N908" t="s">
        <v>64</v>
      </c>
      <c r="P908" t="str">
        <f>CONCATENATE("'",Tabla1[[#This Row],[Codigo]],"',")</f>
        <v>'01596',</v>
      </c>
    </row>
    <row r="909" spans="1:16" x14ac:dyDescent="0.25">
      <c r="A909" t="s">
        <v>7337</v>
      </c>
      <c r="B909" t="s">
        <v>7338</v>
      </c>
      <c r="C909" t="s">
        <v>7338</v>
      </c>
      <c r="D909" t="s">
        <v>125</v>
      </c>
      <c r="E909" t="s">
        <v>126</v>
      </c>
      <c r="F909" t="s">
        <v>7339</v>
      </c>
      <c r="G909" t="s">
        <v>7340</v>
      </c>
      <c r="H909" t="s">
        <v>7341</v>
      </c>
      <c r="I909" t="s">
        <v>7342</v>
      </c>
      <c r="J909" t="s">
        <v>6987</v>
      </c>
      <c r="K909" t="s">
        <v>6988</v>
      </c>
      <c r="L909" t="s">
        <v>50</v>
      </c>
      <c r="M909" s="2">
        <v>-16660.32</v>
      </c>
      <c r="N909" t="s">
        <v>7344</v>
      </c>
      <c r="O909" t="s">
        <v>52</v>
      </c>
      <c r="P909" t="str">
        <f>CONCATENATE("'",Tabla1[[#This Row],[Codigo]],"',")</f>
        <v>'01600',</v>
      </c>
    </row>
    <row r="910" spans="1:16" x14ac:dyDescent="0.25">
      <c r="A910" t="s">
        <v>7345</v>
      </c>
      <c r="B910" t="s">
        <v>7346</v>
      </c>
      <c r="C910" t="s">
        <v>7346</v>
      </c>
      <c r="D910" t="s">
        <v>35</v>
      </c>
      <c r="E910" t="s">
        <v>36</v>
      </c>
      <c r="F910" t="s">
        <v>7347</v>
      </c>
      <c r="G910" t="s">
        <v>7348</v>
      </c>
      <c r="H910" t="s">
        <v>7350</v>
      </c>
      <c r="I910" t="s">
        <v>7351</v>
      </c>
      <c r="J910" t="s">
        <v>91</v>
      </c>
      <c r="K910" t="s">
        <v>92</v>
      </c>
      <c r="L910" t="s">
        <v>50</v>
      </c>
      <c r="M910" s="2">
        <v>1201626.52</v>
      </c>
      <c r="N910" t="s">
        <v>7353</v>
      </c>
      <c r="O910" t="s">
        <v>52</v>
      </c>
      <c r="P910" t="str">
        <f>CONCATENATE("'",Tabla1[[#This Row],[Codigo]],"',")</f>
        <v>'01601',</v>
      </c>
    </row>
    <row r="911" spans="1:16" x14ac:dyDescent="0.25">
      <c r="A911" t="s">
        <v>7354</v>
      </c>
      <c r="B911" t="s">
        <v>7355</v>
      </c>
      <c r="C911" t="s">
        <v>7355</v>
      </c>
      <c r="D911" t="s">
        <v>299</v>
      </c>
      <c r="E911" t="s">
        <v>167</v>
      </c>
      <c r="F911" t="s">
        <v>7356</v>
      </c>
      <c r="G911" t="s">
        <v>7333</v>
      </c>
      <c r="H911" t="s">
        <v>7334</v>
      </c>
      <c r="I911" t="s">
        <v>7335</v>
      </c>
      <c r="J911" t="s">
        <v>2320</v>
      </c>
      <c r="K911" t="s">
        <v>2321</v>
      </c>
      <c r="L911" t="s">
        <v>50</v>
      </c>
      <c r="M911" s="2">
        <v>144008.76</v>
      </c>
      <c r="N911" t="s">
        <v>7359</v>
      </c>
      <c r="O911" t="s">
        <v>52</v>
      </c>
      <c r="P911" t="str">
        <f>CONCATENATE("'",Tabla1[[#This Row],[Codigo]],"',")</f>
        <v>'01602',</v>
      </c>
    </row>
    <row r="912" spans="1:16" x14ac:dyDescent="0.25">
      <c r="A912" t="s">
        <v>7360</v>
      </c>
      <c r="B912" t="s">
        <v>7361</v>
      </c>
      <c r="C912" t="s">
        <v>7361</v>
      </c>
      <c r="D912" t="s">
        <v>125</v>
      </c>
      <c r="E912" t="s">
        <v>126</v>
      </c>
      <c r="F912" t="s">
        <v>7362</v>
      </c>
      <c r="G912" t="s">
        <v>7333</v>
      </c>
      <c r="H912" t="s">
        <v>7334</v>
      </c>
      <c r="I912" t="s">
        <v>7335</v>
      </c>
      <c r="J912" t="s">
        <v>2320</v>
      </c>
      <c r="K912" t="s">
        <v>2321</v>
      </c>
      <c r="L912" t="s">
        <v>50</v>
      </c>
      <c r="M912" s="2">
        <v>1348370.44</v>
      </c>
      <c r="N912" t="s">
        <v>7364</v>
      </c>
      <c r="O912" t="s">
        <v>115</v>
      </c>
      <c r="P912" t="str">
        <f>CONCATENATE("'",Tabla1[[#This Row],[Codigo]],"',")</f>
        <v>'01603',</v>
      </c>
    </row>
    <row r="913" spans="1:16" x14ac:dyDescent="0.25">
      <c r="A913" t="s">
        <v>7365</v>
      </c>
      <c r="B913" t="s">
        <v>7366</v>
      </c>
      <c r="C913" t="s">
        <v>7366</v>
      </c>
      <c r="D913" t="s">
        <v>125</v>
      </c>
      <c r="E913" t="s">
        <v>126</v>
      </c>
      <c r="F913" t="s">
        <v>7367</v>
      </c>
      <c r="G913" t="s">
        <v>7333</v>
      </c>
      <c r="H913" t="s">
        <v>7334</v>
      </c>
      <c r="I913" t="s">
        <v>7335</v>
      </c>
      <c r="J913" t="s">
        <v>2320</v>
      </c>
      <c r="K913" t="s">
        <v>2321</v>
      </c>
      <c r="L913" t="s">
        <v>50</v>
      </c>
      <c r="M913" s="2">
        <v>987969.51</v>
      </c>
      <c r="N913" t="s">
        <v>7370</v>
      </c>
      <c r="O913" t="s">
        <v>115</v>
      </c>
      <c r="P913" t="str">
        <f>CONCATENATE("'",Tabla1[[#This Row],[Codigo]],"',")</f>
        <v>'01604',</v>
      </c>
    </row>
    <row r="914" spans="1:16" x14ac:dyDescent="0.25">
      <c r="A914" t="s">
        <v>7371</v>
      </c>
      <c r="B914" t="s">
        <v>7372</v>
      </c>
      <c r="C914" t="s">
        <v>7372</v>
      </c>
      <c r="D914" t="s">
        <v>125</v>
      </c>
      <c r="E914" t="s">
        <v>126</v>
      </c>
      <c r="F914" t="s">
        <v>7373</v>
      </c>
      <c r="G914" t="s">
        <v>7374</v>
      </c>
      <c r="H914" t="s">
        <v>7375</v>
      </c>
      <c r="I914" t="s">
        <v>7376</v>
      </c>
      <c r="J914" t="s">
        <v>2320</v>
      </c>
      <c r="K914" t="s">
        <v>2321</v>
      </c>
      <c r="L914" t="s">
        <v>50</v>
      </c>
      <c r="M914" s="2">
        <v>-1160201.94</v>
      </c>
      <c r="N914" t="s">
        <v>7378</v>
      </c>
      <c r="O914" t="s">
        <v>115</v>
      </c>
      <c r="P914" t="str">
        <f>CONCATENATE("'",Tabla1[[#This Row],[Codigo]],"',")</f>
        <v>'01605',</v>
      </c>
    </row>
    <row r="915" spans="1:16" x14ac:dyDescent="0.25">
      <c r="A915" t="s">
        <v>7382</v>
      </c>
      <c r="B915" t="s">
        <v>7383</v>
      </c>
      <c r="C915" t="s">
        <v>7384</v>
      </c>
      <c r="D915" t="s">
        <v>35</v>
      </c>
      <c r="E915" t="s">
        <v>36</v>
      </c>
      <c r="F915" t="s">
        <v>7381</v>
      </c>
      <c r="G915" t="s">
        <v>5739</v>
      </c>
      <c r="H915" t="s">
        <v>5741</v>
      </c>
      <c r="I915" t="s">
        <v>5739</v>
      </c>
      <c r="J915" t="s">
        <v>2320</v>
      </c>
      <c r="K915" t="s">
        <v>2321</v>
      </c>
      <c r="L915" t="s">
        <v>50</v>
      </c>
      <c r="M915" s="2">
        <v>226913.82</v>
      </c>
      <c r="N915" t="s">
        <v>7387</v>
      </c>
      <c r="O915" t="s">
        <v>115</v>
      </c>
      <c r="P915" t="str">
        <f>CONCATENATE("'",Tabla1[[#This Row],[Codigo]],"',")</f>
        <v>'01607',</v>
      </c>
    </row>
    <row r="916" spans="1:16" x14ac:dyDescent="0.25">
      <c r="A916" t="s">
        <v>7388</v>
      </c>
      <c r="B916" t="s">
        <v>15169</v>
      </c>
      <c r="C916" t="s">
        <v>7389</v>
      </c>
      <c r="D916" t="s">
        <v>35</v>
      </c>
      <c r="E916" t="s">
        <v>36</v>
      </c>
      <c r="F916" t="s">
        <v>7381</v>
      </c>
      <c r="G916" t="s">
        <v>6055</v>
      </c>
      <c r="H916" t="s">
        <v>6057</v>
      </c>
      <c r="I916" t="s">
        <v>6058</v>
      </c>
      <c r="J916" t="s">
        <v>2320</v>
      </c>
      <c r="K916" t="s">
        <v>2321</v>
      </c>
      <c r="L916" t="s">
        <v>50</v>
      </c>
      <c r="M916" s="2">
        <v>589420.32999999996</v>
      </c>
      <c r="N916" t="s">
        <v>7390</v>
      </c>
      <c r="O916" t="s">
        <v>115</v>
      </c>
      <c r="P916" t="str">
        <f>CONCATENATE("'",Tabla1[[#This Row],[Codigo]],"',")</f>
        <v>'01608',</v>
      </c>
    </row>
    <row r="917" spans="1:16" x14ac:dyDescent="0.25">
      <c r="A917" t="s">
        <v>7391</v>
      </c>
      <c r="B917" t="s">
        <v>7392</v>
      </c>
      <c r="C917" t="s">
        <v>7392</v>
      </c>
      <c r="D917" t="s">
        <v>35</v>
      </c>
      <c r="E917" t="s">
        <v>36</v>
      </c>
      <c r="F917" t="s">
        <v>7393</v>
      </c>
      <c r="G917" t="s">
        <v>6113</v>
      </c>
      <c r="H917" t="s">
        <v>5741</v>
      </c>
      <c r="I917" t="s">
        <v>5739</v>
      </c>
      <c r="J917" t="s">
        <v>2320</v>
      </c>
      <c r="K917" t="s">
        <v>2321</v>
      </c>
      <c r="L917" t="s">
        <v>50</v>
      </c>
      <c r="M917" s="2">
        <v>143910.87</v>
      </c>
      <c r="N917" t="s">
        <v>7395</v>
      </c>
      <c r="O917" t="s">
        <v>115</v>
      </c>
      <c r="P917" t="str">
        <f>CONCATENATE("'",Tabla1[[#This Row],[Codigo]],"',")</f>
        <v>'01609',</v>
      </c>
    </row>
    <row r="918" spans="1:16" x14ac:dyDescent="0.25">
      <c r="A918" t="s">
        <v>7396</v>
      </c>
      <c r="B918" t="s">
        <v>7397</v>
      </c>
      <c r="C918" t="s">
        <v>7397</v>
      </c>
      <c r="D918" t="s">
        <v>35</v>
      </c>
      <c r="E918" t="s">
        <v>36</v>
      </c>
      <c r="F918" t="s">
        <v>7398</v>
      </c>
      <c r="G918" t="s">
        <v>6113</v>
      </c>
      <c r="H918" t="s">
        <v>5741</v>
      </c>
      <c r="I918" t="s">
        <v>5739</v>
      </c>
      <c r="J918" t="s">
        <v>2320</v>
      </c>
      <c r="K918" t="s">
        <v>2321</v>
      </c>
      <c r="L918" t="s">
        <v>50</v>
      </c>
      <c r="M918" s="2">
        <v>298297.88</v>
      </c>
      <c r="N918" t="s">
        <v>7400</v>
      </c>
      <c r="O918" t="s">
        <v>115</v>
      </c>
      <c r="P918" t="str">
        <f>CONCATENATE("'",Tabla1[[#This Row],[Codigo]],"',")</f>
        <v>'01610',</v>
      </c>
    </row>
    <row r="919" spans="1:16" x14ac:dyDescent="0.25">
      <c r="A919" t="s">
        <v>7401</v>
      </c>
      <c r="B919" t="s">
        <v>7402</v>
      </c>
      <c r="C919" t="s">
        <v>7402</v>
      </c>
      <c r="D919" t="s">
        <v>125</v>
      </c>
      <c r="E919" t="s">
        <v>126</v>
      </c>
      <c r="F919" t="s">
        <v>7403</v>
      </c>
      <c r="G919" t="s">
        <v>6113</v>
      </c>
      <c r="H919" t="s">
        <v>5741</v>
      </c>
      <c r="I919" t="s">
        <v>5739</v>
      </c>
      <c r="J919" t="s">
        <v>2320</v>
      </c>
      <c r="K919" t="s">
        <v>2321</v>
      </c>
      <c r="L919" t="s">
        <v>50</v>
      </c>
      <c r="M919" s="2">
        <v>123671.14</v>
      </c>
      <c r="N919" t="s">
        <v>7405</v>
      </c>
      <c r="O919" t="s">
        <v>115</v>
      </c>
      <c r="P919" t="str">
        <f>CONCATENATE("'",Tabla1[[#This Row],[Codigo]],"',")</f>
        <v>'01611',</v>
      </c>
    </row>
    <row r="920" spans="1:16" x14ac:dyDescent="0.25">
      <c r="A920" t="s">
        <v>7406</v>
      </c>
      <c r="B920" t="s">
        <v>7407</v>
      </c>
      <c r="C920" t="s">
        <v>7407</v>
      </c>
      <c r="D920" t="s">
        <v>125</v>
      </c>
      <c r="E920" t="s">
        <v>126</v>
      </c>
      <c r="F920" t="s">
        <v>7408</v>
      </c>
      <c r="G920" t="s">
        <v>1360</v>
      </c>
      <c r="H920" t="s">
        <v>1362</v>
      </c>
      <c r="I920" t="s">
        <v>1360</v>
      </c>
      <c r="J920" t="s">
        <v>1421</v>
      </c>
      <c r="K920" t="s">
        <v>1422</v>
      </c>
      <c r="L920" t="s">
        <v>50</v>
      </c>
      <c r="M920" s="2">
        <v>559297.86</v>
      </c>
      <c r="N920" t="s">
        <v>7411</v>
      </c>
      <c r="O920" t="s">
        <v>115</v>
      </c>
      <c r="P920" t="str">
        <f>CONCATENATE("'",Tabla1[[#This Row],[Codigo]],"',")</f>
        <v>'01612',</v>
      </c>
    </row>
    <row r="921" spans="1:16" x14ac:dyDescent="0.25">
      <c r="A921" t="s">
        <v>7412</v>
      </c>
      <c r="B921" t="s">
        <v>7413</v>
      </c>
      <c r="C921" t="s">
        <v>7413</v>
      </c>
      <c r="D921" t="s">
        <v>1865</v>
      </c>
      <c r="E921" t="s">
        <v>224</v>
      </c>
      <c r="F921" t="s">
        <v>7414</v>
      </c>
      <c r="G921" t="s">
        <v>7147</v>
      </c>
      <c r="H921" t="s">
        <v>6940</v>
      </c>
      <c r="I921" t="s">
        <v>6939</v>
      </c>
      <c r="J921" t="s">
        <v>3487</v>
      </c>
      <c r="K921" t="s">
        <v>3488</v>
      </c>
      <c r="L921" t="s">
        <v>50</v>
      </c>
      <c r="M921" s="2">
        <v>87268</v>
      </c>
      <c r="N921" t="s">
        <v>64</v>
      </c>
      <c r="P921" t="str">
        <f>CONCATENATE("'",Tabla1[[#This Row],[Codigo]],"',")</f>
        <v>'01613',</v>
      </c>
    </row>
    <row r="922" spans="1:16" x14ac:dyDescent="0.25">
      <c r="A922" t="s">
        <v>7417</v>
      </c>
      <c r="B922" t="s">
        <v>7418</v>
      </c>
      <c r="C922" t="s">
        <v>7418</v>
      </c>
      <c r="D922" t="s">
        <v>1410</v>
      </c>
      <c r="E922" t="s">
        <v>871</v>
      </c>
      <c r="F922" t="s">
        <v>7419</v>
      </c>
      <c r="G922" t="s">
        <v>79</v>
      </c>
      <c r="H922" t="s">
        <v>495</v>
      </c>
      <c r="I922" t="s">
        <v>79</v>
      </c>
      <c r="J922" t="s">
        <v>3487</v>
      </c>
      <c r="K922" t="s">
        <v>3488</v>
      </c>
      <c r="L922" t="s">
        <v>50</v>
      </c>
      <c r="M922" s="2">
        <v>2181700</v>
      </c>
      <c r="N922" t="s">
        <v>64</v>
      </c>
      <c r="P922" t="str">
        <f>CONCATENATE("'",Tabla1[[#This Row],[Codigo]],"',")</f>
        <v>'01614',</v>
      </c>
    </row>
    <row r="923" spans="1:16" x14ac:dyDescent="0.25">
      <c r="A923" t="s">
        <v>7426</v>
      </c>
      <c r="B923" t="s">
        <v>7427</v>
      </c>
      <c r="C923" t="s">
        <v>7427</v>
      </c>
      <c r="D923" t="s">
        <v>4391</v>
      </c>
      <c r="E923" t="s">
        <v>134</v>
      </c>
      <c r="F923" t="s">
        <v>7428</v>
      </c>
      <c r="G923" t="s">
        <v>7340</v>
      </c>
      <c r="H923" t="s">
        <v>7341</v>
      </c>
      <c r="I923" t="s">
        <v>7342</v>
      </c>
      <c r="J923" t="s">
        <v>6987</v>
      </c>
      <c r="K923" t="s">
        <v>6988</v>
      </c>
      <c r="L923" t="s">
        <v>50</v>
      </c>
      <c r="M923" s="2">
        <v>109085</v>
      </c>
      <c r="N923" t="s">
        <v>64</v>
      </c>
      <c r="P923" t="str">
        <f>CONCATENATE("'",Tabla1[[#This Row],[Codigo]],"',")</f>
        <v>'01616',</v>
      </c>
    </row>
    <row r="924" spans="1:16" x14ac:dyDescent="0.25">
      <c r="A924" t="s">
        <v>7430</v>
      </c>
      <c r="B924" t="s">
        <v>7431</v>
      </c>
      <c r="C924" t="s">
        <v>7431</v>
      </c>
      <c r="D924" t="s">
        <v>125</v>
      </c>
      <c r="E924" t="s">
        <v>126</v>
      </c>
      <c r="F924" t="s">
        <v>7432</v>
      </c>
      <c r="G924" t="s">
        <v>1360</v>
      </c>
      <c r="H924" t="s">
        <v>1362</v>
      </c>
      <c r="I924" t="s">
        <v>1360</v>
      </c>
      <c r="J924" t="s">
        <v>2320</v>
      </c>
      <c r="K924" t="s">
        <v>2321</v>
      </c>
      <c r="L924" t="s">
        <v>50</v>
      </c>
      <c r="M924" s="2">
        <v>759501.07</v>
      </c>
      <c r="N924" t="s">
        <v>7434</v>
      </c>
      <c r="O924" t="s">
        <v>115</v>
      </c>
      <c r="P924" t="str">
        <f>CONCATENATE("'",Tabla1[[#This Row],[Codigo]],"',")</f>
        <v>'01617',</v>
      </c>
    </row>
    <row r="925" spans="1:16" x14ac:dyDescent="0.25">
      <c r="A925" t="s">
        <v>7438</v>
      </c>
      <c r="B925" t="s">
        <v>7439</v>
      </c>
      <c r="C925" t="s">
        <v>6927</v>
      </c>
      <c r="D925" t="s">
        <v>35</v>
      </c>
      <c r="E925" t="s">
        <v>36</v>
      </c>
      <c r="F925" t="s">
        <v>7437</v>
      </c>
      <c r="G925" t="s">
        <v>79</v>
      </c>
      <c r="H925" t="s">
        <v>495</v>
      </c>
      <c r="I925" t="s">
        <v>79</v>
      </c>
      <c r="J925" t="s">
        <v>3487</v>
      </c>
      <c r="K925" t="s">
        <v>3488</v>
      </c>
      <c r="L925" t="s">
        <v>50</v>
      </c>
      <c r="M925" s="2">
        <v>350290.74</v>
      </c>
      <c r="N925" t="s">
        <v>7441</v>
      </c>
      <c r="O925" t="s">
        <v>52</v>
      </c>
      <c r="P925" t="str">
        <f>CONCATENATE("'",Tabla1[[#This Row],[Codigo]],"',")</f>
        <v>'01619',</v>
      </c>
    </row>
    <row r="926" spans="1:16" x14ac:dyDescent="0.25">
      <c r="A926" t="s">
        <v>7442</v>
      </c>
      <c r="B926" t="s">
        <v>7443</v>
      </c>
      <c r="C926" t="s">
        <v>7443</v>
      </c>
      <c r="D926" t="s">
        <v>297</v>
      </c>
      <c r="E926" t="s">
        <v>167</v>
      </c>
      <c r="F926" t="s">
        <v>7444</v>
      </c>
      <c r="G926" t="s">
        <v>6627</v>
      </c>
      <c r="H926" t="s">
        <v>6629</v>
      </c>
      <c r="I926" t="s">
        <v>6630</v>
      </c>
      <c r="J926" t="s">
        <v>3487</v>
      </c>
      <c r="K926" t="s">
        <v>3488</v>
      </c>
      <c r="L926" t="s">
        <v>50</v>
      </c>
      <c r="M926" s="2">
        <v>81643.95</v>
      </c>
      <c r="N926" t="s">
        <v>7447</v>
      </c>
      <c r="O926" t="s">
        <v>52</v>
      </c>
      <c r="P926" t="str">
        <f>CONCATENATE("'",Tabla1[[#This Row],[Codigo]],"',")</f>
        <v>'01620',</v>
      </c>
    </row>
    <row r="927" spans="1:16" x14ac:dyDescent="0.25">
      <c r="A927" t="s">
        <v>7448</v>
      </c>
      <c r="B927" t="s">
        <v>7449</v>
      </c>
      <c r="C927" t="s">
        <v>7449</v>
      </c>
      <c r="D927" t="s">
        <v>3472</v>
      </c>
      <c r="E927" t="s">
        <v>871</v>
      </c>
      <c r="F927" t="s">
        <v>7450</v>
      </c>
      <c r="G927" t="s">
        <v>79</v>
      </c>
      <c r="H927" t="s">
        <v>495</v>
      </c>
      <c r="I927" t="s">
        <v>79</v>
      </c>
      <c r="J927" t="s">
        <v>3487</v>
      </c>
      <c r="K927" t="s">
        <v>3488</v>
      </c>
      <c r="L927" t="s">
        <v>50</v>
      </c>
      <c r="M927" s="2">
        <v>109085</v>
      </c>
      <c r="N927" t="s">
        <v>64</v>
      </c>
      <c r="P927" t="str">
        <f>CONCATENATE("'",Tabla1[[#This Row],[Codigo]],"',")</f>
        <v>'01621',</v>
      </c>
    </row>
    <row r="928" spans="1:16" x14ac:dyDescent="0.25">
      <c r="A928" t="s">
        <v>7453</v>
      </c>
      <c r="B928" t="s">
        <v>7454</v>
      </c>
      <c r="C928" t="s">
        <v>7454</v>
      </c>
      <c r="D928" t="s">
        <v>125</v>
      </c>
      <c r="E928" t="s">
        <v>126</v>
      </c>
      <c r="F928" t="s">
        <v>7455</v>
      </c>
      <c r="G928" t="s">
        <v>2318</v>
      </c>
      <c r="H928" t="s">
        <v>2159</v>
      </c>
      <c r="I928" t="s">
        <v>2160</v>
      </c>
      <c r="J928" t="s">
        <v>4315</v>
      </c>
      <c r="K928" t="s">
        <v>4316</v>
      </c>
      <c r="L928" t="s">
        <v>50</v>
      </c>
      <c r="M928" s="2">
        <v>64677.93</v>
      </c>
      <c r="N928" t="s">
        <v>7458</v>
      </c>
      <c r="O928" t="s">
        <v>52</v>
      </c>
      <c r="P928" t="str">
        <f>CONCATENATE("'",Tabla1[[#This Row],[Codigo]],"',")</f>
        <v>'01622',</v>
      </c>
    </row>
    <row r="929" spans="1:16" x14ac:dyDescent="0.25">
      <c r="A929" t="s">
        <v>7459</v>
      </c>
      <c r="B929" t="s">
        <v>7460</v>
      </c>
      <c r="C929" t="s">
        <v>7460</v>
      </c>
      <c r="D929" t="s">
        <v>773</v>
      </c>
      <c r="E929" t="s">
        <v>224</v>
      </c>
      <c r="F929" t="s">
        <v>7461</v>
      </c>
      <c r="G929" t="s">
        <v>41</v>
      </c>
      <c r="H929" t="s">
        <v>40</v>
      </c>
      <c r="I929" t="s">
        <v>41</v>
      </c>
      <c r="J929" t="s">
        <v>61</v>
      </c>
      <c r="K929" t="s">
        <v>62</v>
      </c>
      <c r="L929" t="s">
        <v>50</v>
      </c>
      <c r="M929" s="2">
        <v>654510</v>
      </c>
      <c r="N929" t="s">
        <v>64</v>
      </c>
      <c r="P929" t="str">
        <f>CONCATENATE("'",Tabla1[[#This Row],[Codigo]],"',")</f>
        <v>'01623',</v>
      </c>
    </row>
    <row r="930" spans="1:16" x14ac:dyDescent="0.25">
      <c r="A930" t="s">
        <v>7467</v>
      </c>
      <c r="B930" t="s">
        <v>7468</v>
      </c>
      <c r="C930" t="s">
        <v>7468</v>
      </c>
      <c r="D930" t="s">
        <v>577</v>
      </c>
      <c r="E930" t="s">
        <v>134</v>
      </c>
      <c r="F930" t="s">
        <v>7469</v>
      </c>
      <c r="G930" t="s">
        <v>6986</v>
      </c>
      <c r="H930" t="s">
        <v>6985</v>
      </c>
      <c r="I930" t="s">
        <v>6986</v>
      </c>
      <c r="J930" t="s">
        <v>6987</v>
      </c>
      <c r="K930" t="s">
        <v>6988</v>
      </c>
      <c r="L930" t="s">
        <v>50</v>
      </c>
      <c r="M930" s="2">
        <v>76360</v>
      </c>
      <c r="N930" t="s">
        <v>64</v>
      </c>
      <c r="P930" t="str">
        <f>CONCATENATE("'",Tabla1[[#This Row],[Codigo]],"',")</f>
        <v>'01626',</v>
      </c>
    </row>
    <row r="931" spans="1:16" x14ac:dyDescent="0.25">
      <c r="A931" t="s">
        <v>7472</v>
      </c>
      <c r="B931" t="s">
        <v>7473</v>
      </c>
      <c r="C931" t="s">
        <v>7473</v>
      </c>
      <c r="D931" t="s">
        <v>35</v>
      </c>
      <c r="E931" t="s">
        <v>36</v>
      </c>
      <c r="F931" t="s">
        <v>7474</v>
      </c>
      <c r="G931" t="s">
        <v>81</v>
      </c>
      <c r="H931" t="s">
        <v>80</v>
      </c>
      <c r="I931" t="s">
        <v>81</v>
      </c>
      <c r="J931" t="s">
        <v>82</v>
      </c>
      <c r="K931" t="s">
        <v>83</v>
      </c>
      <c r="L931" t="s">
        <v>50</v>
      </c>
      <c r="M931" s="2">
        <v>168661.36</v>
      </c>
      <c r="N931" t="s">
        <v>7477</v>
      </c>
      <c r="O931" t="s">
        <v>52</v>
      </c>
      <c r="P931" t="str">
        <f>CONCATENATE("'",Tabla1[[#This Row],[Codigo]],"',")</f>
        <v>'01627',</v>
      </c>
    </row>
    <row r="932" spans="1:16" x14ac:dyDescent="0.25">
      <c r="A932" t="s">
        <v>7480</v>
      </c>
      <c r="B932" t="s">
        <v>7481</v>
      </c>
      <c r="C932" t="s">
        <v>7481</v>
      </c>
      <c r="D932" t="s">
        <v>125</v>
      </c>
      <c r="E932" t="s">
        <v>126</v>
      </c>
      <c r="F932" t="s">
        <v>7482</v>
      </c>
      <c r="G932" t="s">
        <v>5739</v>
      </c>
      <c r="H932" t="s">
        <v>5741</v>
      </c>
      <c r="I932" t="s">
        <v>5739</v>
      </c>
      <c r="J932" t="s">
        <v>5966</v>
      </c>
      <c r="K932" t="s">
        <v>5739</v>
      </c>
      <c r="L932" t="s">
        <v>50</v>
      </c>
      <c r="M932" s="2">
        <v>45258.34</v>
      </c>
      <c r="N932" t="s">
        <v>7485</v>
      </c>
      <c r="O932" t="s">
        <v>52</v>
      </c>
      <c r="P932" t="str">
        <f>CONCATENATE("'",Tabla1[[#This Row],[Codigo]],"',")</f>
        <v>'01629',</v>
      </c>
    </row>
    <row r="933" spans="1:16" x14ac:dyDescent="0.25">
      <c r="A933" t="s">
        <v>7495</v>
      </c>
      <c r="B933" t="s">
        <v>7496</v>
      </c>
      <c r="C933" t="s">
        <v>7496</v>
      </c>
      <c r="D933" t="s">
        <v>847</v>
      </c>
      <c r="E933" t="s">
        <v>848</v>
      </c>
      <c r="F933" t="s">
        <v>7497</v>
      </c>
      <c r="G933" t="s">
        <v>4795</v>
      </c>
      <c r="H933" t="s">
        <v>4797</v>
      </c>
      <c r="I933" t="s">
        <v>4798</v>
      </c>
      <c r="J933" t="s">
        <v>2320</v>
      </c>
      <c r="K933" t="s">
        <v>2321</v>
      </c>
      <c r="L933" t="s">
        <v>50</v>
      </c>
      <c r="M933" s="2">
        <v>436340</v>
      </c>
      <c r="N933" t="s">
        <v>64</v>
      </c>
      <c r="O933" t="s">
        <v>115</v>
      </c>
      <c r="P933" t="str">
        <f>CONCATENATE("'",Tabla1[[#This Row],[Codigo]],"',")</f>
        <v>'01631',</v>
      </c>
    </row>
    <row r="934" spans="1:16" x14ac:dyDescent="0.25">
      <c r="A934" t="s">
        <v>7500</v>
      </c>
      <c r="B934" t="s">
        <v>7501</v>
      </c>
      <c r="C934" t="s">
        <v>7501</v>
      </c>
      <c r="D934" t="s">
        <v>478</v>
      </c>
      <c r="E934" t="s">
        <v>190</v>
      </c>
      <c r="F934" t="s">
        <v>7502</v>
      </c>
      <c r="G934" t="s">
        <v>7333</v>
      </c>
      <c r="H934" t="s">
        <v>7334</v>
      </c>
      <c r="I934" t="s">
        <v>7335</v>
      </c>
      <c r="J934" t="s">
        <v>2320</v>
      </c>
      <c r="K934" t="s">
        <v>2321</v>
      </c>
      <c r="L934" t="s">
        <v>50</v>
      </c>
      <c r="M934" s="2">
        <v>107513.77</v>
      </c>
      <c r="N934" t="s">
        <v>7505</v>
      </c>
      <c r="O934" t="s">
        <v>52</v>
      </c>
      <c r="P934" t="str">
        <f>CONCATENATE("'",Tabla1[[#This Row],[Codigo]],"',")</f>
        <v>'01632',</v>
      </c>
    </row>
    <row r="935" spans="1:16" x14ac:dyDescent="0.25">
      <c r="A935" t="s">
        <v>7506</v>
      </c>
      <c r="B935" t="s">
        <v>7507</v>
      </c>
      <c r="C935" t="s">
        <v>7507</v>
      </c>
      <c r="D935" t="s">
        <v>35</v>
      </c>
      <c r="E935" t="s">
        <v>36</v>
      </c>
      <c r="F935" t="s">
        <v>7508</v>
      </c>
      <c r="G935" t="s">
        <v>1360</v>
      </c>
      <c r="H935" t="s">
        <v>1362</v>
      </c>
      <c r="I935" t="s">
        <v>1360</v>
      </c>
      <c r="J935" t="s">
        <v>1421</v>
      </c>
      <c r="K935" t="s">
        <v>1422</v>
      </c>
      <c r="L935" t="s">
        <v>50</v>
      </c>
      <c r="M935" s="2">
        <v>3772907.55</v>
      </c>
      <c r="N935" t="s">
        <v>7511</v>
      </c>
      <c r="O935" t="s">
        <v>52</v>
      </c>
      <c r="P935" t="str">
        <f>CONCATENATE("'",Tabla1[[#This Row],[Codigo]],"',")</f>
        <v>'01633',</v>
      </c>
    </row>
    <row r="936" spans="1:16" x14ac:dyDescent="0.25">
      <c r="A936" t="s">
        <v>7512</v>
      </c>
      <c r="B936" t="s">
        <v>7513</v>
      </c>
      <c r="C936" t="s">
        <v>7513</v>
      </c>
      <c r="D936" t="s">
        <v>169</v>
      </c>
      <c r="E936" t="s">
        <v>190</v>
      </c>
      <c r="F936" t="s">
        <v>7514</v>
      </c>
      <c r="G936" t="s">
        <v>7515</v>
      </c>
      <c r="H936" t="s">
        <v>7517</v>
      </c>
      <c r="I936" t="s">
        <v>7518</v>
      </c>
      <c r="J936" t="s">
        <v>2320</v>
      </c>
      <c r="K936" t="s">
        <v>2321</v>
      </c>
      <c r="L936" t="s">
        <v>50</v>
      </c>
      <c r="M936" s="2">
        <v>223113.73</v>
      </c>
      <c r="N936" t="s">
        <v>7520</v>
      </c>
      <c r="O936" t="s">
        <v>115</v>
      </c>
      <c r="P936" t="str">
        <f>CONCATENATE("'",Tabla1[[#This Row],[Codigo]],"',")</f>
        <v>'01634',</v>
      </c>
    </row>
    <row r="937" spans="1:16" x14ac:dyDescent="0.25">
      <c r="A937" t="s">
        <v>7522</v>
      </c>
      <c r="B937" t="s">
        <v>7523</v>
      </c>
      <c r="C937" t="s">
        <v>7523</v>
      </c>
      <c r="D937" t="s">
        <v>847</v>
      </c>
      <c r="E937" t="s">
        <v>848</v>
      </c>
      <c r="F937" t="s">
        <v>7524</v>
      </c>
      <c r="G937" t="s">
        <v>4795</v>
      </c>
      <c r="H937" t="s">
        <v>4797</v>
      </c>
      <c r="I937" t="s">
        <v>4798</v>
      </c>
      <c r="J937" t="s">
        <v>2320</v>
      </c>
      <c r="K937" t="s">
        <v>2321</v>
      </c>
      <c r="L937" t="s">
        <v>50</v>
      </c>
      <c r="M937" s="2">
        <v>436340</v>
      </c>
      <c r="N937" t="s">
        <v>64</v>
      </c>
      <c r="P937" t="str">
        <f>CONCATENATE("'",Tabla1[[#This Row],[Codigo]],"',")</f>
        <v>'01636',</v>
      </c>
    </row>
    <row r="938" spans="1:16" x14ac:dyDescent="0.25">
      <c r="A938" t="s">
        <v>7529</v>
      </c>
      <c r="B938" t="s">
        <v>15170</v>
      </c>
      <c r="C938" t="s">
        <v>7530</v>
      </c>
      <c r="D938" t="s">
        <v>166</v>
      </c>
      <c r="E938" t="s">
        <v>167</v>
      </c>
      <c r="F938" t="s">
        <v>7531</v>
      </c>
      <c r="G938" t="s">
        <v>7532</v>
      </c>
      <c r="H938" t="s">
        <v>7534</v>
      </c>
      <c r="I938" t="s">
        <v>7535</v>
      </c>
      <c r="J938" t="s">
        <v>6987</v>
      </c>
      <c r="K938" t="s">
        <v>6988</v>
      </c>
      <c r="L938" t="s">
        <v>50</v>
      </c>
      <c r="M938" s="2">
        <v>22148.62</v>
      </c>
      <c r="N938" t="s">
        <v>7537</v>
      </c>
      <c r="O938" t="s">
        <v>52</v>
      </c>
      <c r="P938" t="str">
        <f>CONCATENATE("'",Tabla1[[#This Row],[Codigo]],"',")</f>
        <v>'01639',</v>
      </c>
    </row>
    <row r="939" spans="1:16" x14ac:dyDescent="0.25">
      <c r="A939" t="s">
        <v>7546</v>
      </c>
      <c r="B939" t="s">
        <v>7547</v>
      </c>
      <c r="C939" t="s">
        <v>7547</v>
      </c>
      <c r="D939" t="s">
        <v>1410</v>
      </c>
      <c r="E939" t="s">
        <v>871</v>
      </c>
      <c r="F939" t="s">
        <v>7548</v>
      </c>
      <c r="G939" t="s">
        <v>7549</v>
      </c>
      <c r="H939" t="s">
        <v>7551</v>
      </c>
      <c r="I939" t="s">
        <v>7552</v>
      </c>
      <c r="J939" t="s">
        <v>120</v>
      </c>
      <c r="K939" t="s">
        <v>121</v>
      </c>
      <c r="L939" t="s">
        <v>50</v>
      </c>
      <c r="M939" s="2">
        <v>109085</v>
      </c>
      <c r="N939" t="s">
        <v>64</v>
      </c>
      <c r="P939" t="str">
        <f>CONCATENATE("'",Tabla1[[#This Row],[Codigo]],"',")</f>
        <v>'01643',</v>
      </c>
    </row>
    <row r="940" spans="1:16" x14ac:dyDescent="0.25">
      <c r="A940" t="s">
        <v>7554</v>
      </c>
      <c r="B940" t="s">
        <v>7555</v>
      </c>
      <c r="C940" t="s">
        <v>7555</v>
      </c>
      <c r="D940" t="s">
        <v>125</v>
      </c>
      <c r="E940" t="s">
        <v>126</v>
      </c>
      <c r="F940" t="s">
        <v>7556</v>
      </c>
      <c r="G940" t="s">
        <v>7557</v>
      </c>
      <c r="H940" t="s">
        <v>7559</v>
      </c>
      <c r="I940" t="s">
        <v>7560</v>
      </c>
      <c r="J940" t="s">
        <v>4315</v>
      </c>
      <c r="K940" t="s">
        <v>4316</v>
      </c>
      <c r="L940" t="s">
        <v>50</v>
      </c>
      <c r="M940" s="2">
        <v>369966.4</v>
      </c>
      <c r="N940" t="s">
        <v>7562</v>
      </c>
      <c r="O940" t="s">
        <v>52</v>
      </c>
      <c r="P940" t="str">
        <f>CONCATENATE("'",Tabla1[[#This Row],[Codigo]],"',")</f>
        <v>'01644',</v>
      </c>
    </row>
    <row r="941" spans="1:16" x14ac:dyDescent="0.25">
      <c r="A941" t="s">
        <v>7563</v>
      </c>
      <c r="B941" t="s">
        <v>7564</v>
      </c>
      <c r="C941" t="s">
        <v>7564</v>
      </c>
      <c r="D941" t="s">
        <v>35</v>
      </c>
      <c r="E941" t="s">
        <v>36</v>
      </c>
      <c r="F941" t="s">
        <v>7565</v>
      </c>
      <c r="G941" t="s">
        <v>7566</v>
      </c>
      <c r="H941" t="s">
        <v>7568</v>
      </c>
      <c r="I941" t="s">
        <v>7569</v>
      </c>
      <c r="J941" t="s">
        <v>2320</v>
      </c>
      <c r="K941" t="s">
        <v>2321</v>
      </c>
      <c r="L941" t="s">
        <v>50</v>
      </c>
      <c r="M941" s="2">
        <v>155116.07999999999</v>
      </c>
      <c r="N941" t="s">
        <v>7571</v>
      </c>
      <c r="O941" t="s">
        <v>52</v>
      </c>
      <c r="P941" t="str">
        <f>CONCATENATE("'",Tabla1[[#This Row],[Codigo]],"',")</f>
        <v>'01645',</v>
      </c>
    </row>
    <row r="942" spans="1:16" x14ac:dyDescent="0.25">
      <c r="A942" t="s">
        <v>7573</v>
      </c>
      <c r="B942" t="s">
        <v>7574</v>
      </c>
      <c r="C942" t="s">
        <v>7574</v>
      </c>
      <c r="D942" t="s">
        <v>125</v>
      </c>
      <c r="E942" t="s">
        <v>126</v>
      </c>
      <c r="F942" t="s">
        <v>7575</v>
      </c>
      <c r="G942" t="s">
        <v>1360</v>
      </c>
      <c r="H942" t="s">
        <v>1362</v>
      </c>
      <c r="I942" t="s">
        <v>1360</v>
      </c>
      <c r="J942" t="s">
        <v>1421</v>
      </c>
      <c r="K942" t="s">
        <v>1422</v>
      </c>
      <c r="L942" t="s">
        <v>50</v>
      </c>
      <c r="M942" s="2">
        <v>-7133.57</v>
      </c>
      <c r="N942" t="s">
        <v>7578</v>
      </c>
      <c r="O942" t="s">
        <v>115</v>
      </c>
      <c r="P942" t="str">
        <f>CONCATENATE("'",Tabla1[[#This Row],[Codigo]],"',")</f>
        <v>'01647',</v>
      </c>
    </row>
    <row r="943" spans="1:16" x14ac:dyDescent="0.25">
      <c r="A943" t="s">
        <v>7579</v>
      </c>
      <c r="B943" t="s">
        <v>7580</v>
      </c>
      <c r="C943" t="s">
        <v>7580</v>
      </c>
      <c r="D943" t="s">
        <v>98</v>
      </c>
      <c r="E943" t="s">
        <v>77</v>
      </c>
      <c r="F943" t="s">
        <v>7581</v>
      </c>
      <c r="G943" t="s">
        <v>5739</v>
      </c>
      <c r="H943" t="s">
        <v>5741</v>
      </c>
      <c r="I943" t="s">
        <v>5739</v>
      </c>
      <c r="J943" t="s">
        <v>2320</v>
      </c>
      <c r="K943" t="s">
        <v>2321</v>
      </c>
      <c r="L943" t="s">
        <v>50</v>
      </c>
      <c r="M943" s="2">
        <v>1090850</v>
      </c>
      <c r="N943" t="s">
        <v>64</v>
      </c>
      <c r="P943" t="str">
        <f>CONCATENATE("'",Tabla1[[#This Row],[Codigo]],"',")</f>
        <v>'01648',</v>
      </c>
    </row>
    <row r="944" spans="1:16" x14ac:dyDescent="0.25">
      <c r="A944" t="s">
        <v>7589</v>
      </c>
      <c r="B944" t="s">
        <v>7590</v>
      </c>
      <c r="C944" t="s">
        <v>7590</v>
      </c>
      <c r="D944" t="s">
        <v>153</v>
      </c>
      <c r="E944" t="s">
        <v>272</v>
      </c>
      <c r="F944" t="s">
        <v>7591</v>
      </c>
      <c r="G944" t="s">
        <v>303</v>
      </c>
      <c r="H944" t="s">
        <v>302</v>
      </c>
      <c r="I944" t="s">
        <v>303</v>
      </c>
      <c r="J944" t="s">
        <v>304</v>
      </c>
      <c r="K944" t="s">
        <v>72</v>
      </c>
      <c r="L944" t="s">
        <v>50</v>
      </c>
      <c r="M944" s="2">
        <v>98939.32</v>
      </c>
      <c r="N944" t="s">
        <v>7593</v>
      </c>
      <c r="O944" t="s">
        <v>52</v>
      </c>
      <c r="P944" t="str">
        <f>CONCATENATE("'",Tabla1[[#This Row],[Codigo]],"',")</f>
        <v>'01650',</v>
      </c>
    </row>
    <row r="945" spans="1:16" x14ac:dyDescent="0.25">
      <c r="A945" t="s">
        <v>7602</v>
      </c>
      <c r="B945" t="s">
        <v>7603</v>
      </c>
      <c r="C945" t="s">
        <v>7603</v>
      </c>
      <c r="D945" t="s">
        <v>847</v>
      </c>
      <c r="E945" t="s">
        <v>848</v>
      </c>
      <c r="F945" t="s">
        <v>7604</v>
      </c>
      <c r="G945" t="s">
        <v>79</v>
      </c>
      <c r="H945" t="s">
        <v>495</v>
      </c>
      <c r="I945" t="s">
        <v>79</v>
      </c>
      <c r="J945" t="s">
        <v>3487</v>
      </c>
      <c r="K945" t="s">
        <v>3488</v>
      </c>
      <c r="L945" t="s">
        <v>50</v>
      </c>
      <c r="M945" s="2">
        <v>8540.65</v>
      </c>
      <c r="N945" t="s">
        <v>7607</v>
      </c>
      <c r="O945" t="s">
        <v>52</v>
      </c>
      <c r="P945" t="str">
        <f>CONCATENATE("'",Tabla1[[#This Row],[Codigo]],"',")</f>
        <v>'01654',</v>
      </c>
    </row>
    <row r="946" spans="1:16" x14ac:dyDescent="0.25">
      <c r="A946" t="s">
        <v>7608</v>
      </c>
      <c r="B946" t="s">
        <v>7609</v>
      </c>
      <c r="C946" t="s">
        <v>7609</v>
      </c>
      <c r="D946" t="s">
        <v>35</v>
      </c>
      <c r="E946" t="s">
        <v>36</v>
      </c>
      <c r="F946" t="s">
        <v>7610</v>
      </c>
      <c r="G946" t="s">
        <v>1360</v>
      </c>
      <c r="H946" t="s">
        <v>1362</v>
      </c>
      <c r="I946" t="s">
        <v>1360</v>
      </c>
      <c r="J946" t="s">
        <v>1421</v>
      </c>
      <c r="K946" t="s">
        <v>1422</v>
      </c>
      <c r="L946" t="s">
        <v>50</v>
      </c>
      <c r="M946" s="2">
        <v>259474.71</v>
      </c>
      <c r="N946" t="s">
        <v>7613</v>
      </c>
      <c r="O946" t="s">
        <v>52</v>
      </c>
      <c r="P946" t="str">
        <f>CONCATENATE("'",Tabla1[[#This Row],[Codigo]],"',")</f>
        <v>'01655',</v>
      </c>
    </row>
    <row r="947" spans="1:16" x14ac:dyDescent="0.25">
      <c r="A947" t="s">
        <v>7616</v>
      </c>
      <c r="B947" t="s">
        <v>7617</v>
      </c>
      <c r="C947" t="s">
        <v>7617</v>
      </c>
      <c r="D947" t="s">
        <v>125</v>
      </c>
      <c r="E947" t="s">
        <v>126</v>
      </c>
      <c r="F947" t="s">
        <v>7618</v>
      </c>
      <c r="G947" t="s">
        <v>6055</v>
      </c>
      <c r="H947" t="s">
        <v>6057</v>
      </c>
      <c r="I947" t="s">
        <v>6058</v>
      </c>
      <c r="J947" t="s">
        <v>5966</v>
      </c>
      <c r="K947" t="s">
        <v>5739</v>
      </c>
      <c r="L947" t="s">
        <v>50</v>
      </c>
      <c r="M947" s="2">
        <v>65666.289999999994</v>
      </c>
      <c r="N947" t="s">
        <v>7621</v>
      </c>
      <c r="O947" t="s">
        <v>52</v>
      </c>
      <c r="P947" t="str">
        <f>CONCATENATE("'",Tabla1[[#This Row],[Codigo]],"',")</f>
        <v>'01657',</v>
      </c>
    </row>
    <row r="948" spans="1:16" x14ac:dyDescent="0.25">
      <c r="A948" t="s">
        <v>7628</v>
      </c>
      <c r="B948" t="s">
        <v>7629</v>
      </c>
      <c r="C948" t="s">
        <v>7629</v>
      </c>
      <c r="D948" t="s">
        <v>125</v>
      </c>
      <c r="E948" t="s">
        <v>126</v>
      </c>
      <c r="F948" t="s">
        <v>866</v>
      </c>
      <c r="G948" t="s">
        <v>79</v>
      </c>
      <c r="H948" t="s">
        <v>495</v>
      </c>
      <c r="I948" t="s">
        <v>79</v>
      </c>
      <c r="J948" t="s">
        <v>3487</v>
      </c>
      <c r="K948" t="s">
        <v>3488</v>
      </c>
      <c r="L948" t="s">
        <v>50</v>
      </c>
      <c r="M948" s="2">
        <v>671780.04</v>
      </c>
      <c r="N948" t="s">
        <v>7632</v>
      </c>
      <c r="O948" t="s">
        <v>52</v>
      </c>
      <c r="P948" t="str">
        <f>CONCATENATE("'",Tabla1[[#This Row],[Codigo]],"',")</f>
        <v>'01660',</v>
      </c>
    </row>
    <row r="949" spans="1:16" x14ac:dyDescent="0.25">
      <c r="A949" t="s">
        <v>7633</v>
      </c>
      <c r="B949" t="s">
        <v>7634</v>
      </c>
      <c r="C949" t="s">
        <v>7634</v>
      </c>
      <c r="D949" t="s">
        <v>847</v>
      </c>
      <c r="E949" t="s">
        <v>848</v>
      </c>
      <c r="F949" t="s">
        <v>7635</v>
      </c>
      <c r="G949" t="s">
        <v>5739</v>
      </c>
      <c r="H949" t="s">
        <v>5741</v>
      </c>
      <c r="I949" t="s">
        <v>5739</v>
      </c>
      <c r="J949" t="s">
        <v>2320</v>
      </c>
      <c r="K949" t="s">
        <v>2321</v>
      </c>
      <c r="L949" t="s">
        <v>50</v>
      </c>
      <c r="M949" s="2">
        <v>1025857.72</v>
      </c>
      <c r="N949" t="s">
        <v>7638</v>
      </c>
      <c r="O949" t="s">
        <v>115</v>
      </c>
      <c r="P949" t="str">
        <f>CONCATENATE("'",Tabla1[[#This Row],[Codigo]],"',")</f>
        <v>'01661',</v>
      </c>
    </row>
    <row r="950" spans="1:16" x14ac:dyDescent="0.25">
      <c r="A950" t="s">
        <v>7639</v>
      </c>
      <c r="B950" t="s">
        <v>7640</v>
      </c>
      <c r="C950" t="s">
        <v>7629</v>
      </c>
      <c r="D950" t="s">
        <v>125</v>
      </c>
      <c r="E950" t="s">
        <v>126</v>
      </c>
      <c r="F950" t="s">
        <v>866</v>
      </c>
      <c r="G950" t="s">
        <v>79</v>
      </c>
      <c r="H950" t="s">
        <v>495</v>
      </c>
      <c r="I950" t="s">
        <v>79</v>
      </c>
      <c r="J950" t="s">
        <v>3487</v>
      </c>
      <c r="K950" t="s">
        <v>3488</v>
      </c>
      <c r="L950" t="s">
        <v>50</v>
      </c>
      <c r="M950" s="2">
        <v>407178.48</v>
      </c>
      <c r="N950" t="s">
        <v>7641</v>
      </c>
      <c r="O950" t="s">
        <v>52</v>
      </c>
      <c r="P950" t="str">
        <f>CONCATENATE("'",Tabla1[[#This Row],[Codigo]],"',")</f>
        <v>'01662',</v>
      </c>
    </row>
    <row r="951" spans="1:16" x14ac:dyDescent="0.25">
      <c r="A951" t="s">
        <v>7642</v>
      </c>
      <c r="B951" t="s">
        <v>7643</v>
      </c>
      <c r="C951" t="s">
        <v>7643</v>
      </c>
      <c r="D951" t="s">
        <v>35</v>
      </c>
      <c r="E951" t="s">
        <v>36</v>
      </c>
      <c r="F951" t="s">
        <v>7644</v>
      </c>
      <c r="G951" t="s">
        <v>1360</v>
      </c>
      <c r="H951" t="s">
        <v>1362</v>
      </c>
      <c r="I951" t="s">
        <v>1360</v>
      </c>
      <c r="J951" t="s">
        <v>1421</v>
      </c>
      <c r="K951" t="s">
        <v>1422</v>
      </c>
      <c r="L951" t="s">
        <v>50</v>
      </c>
      <c r="M951" s="2">
        <v>313881</v>
      </c>
      <c r="N951" t="s">
        <v>64</v>
      </c>
      <c r="P951" t="str">
        <f>CONCATENATE("'",Tabla1[[#This Row],[Codigo]],"',")</f>
        <v>'01663',</v>
      </c>
    </row>
    <row r="952" spans="1:16" x14ac:dyDescent="0.25">
      <c r="A952" t="s">
        <v>7647</v>
      </c>
      <c r="B952" t="s">
        <v>7648</v>
      </c>
      <c r="C952" t="s">
        <v>7648</v>
      </c>
      <c r="D952" t="s">
        <v>35</v>
      </c>
      <c r="E952" t="s">
        <v>36</v>
      </c>
      <c r="F952" t="s">
        <v>7649</v>
      </c>
      <c r="G952" t="s">
        <v>404</v>
      </c>
      <c r="H952" t="s">
        <v>403</v>
      </c>
      <c r="I952" t="s">
        <v>404</v>
      </c>
      <c r="J952" t="s">
        <v>205</v>
      </c>
      <c r="K952" t="s">
        <v>206</v>
      </c>
      <c r="L952" t="s">
        <v>50</v>
      </c>
      <c r="M952" s="2">
        <v>187048.74</v>
      </c>
      <c r="N952" t="s">
        <v>7651</v>
      </c>
      <c r="O952" t="s">
        <v>52</v>
      </c>
      <c r="P952" t="str">
        <f>CONCATENATE("'",Tabla1[[#This Row],[Codigo]],"',")</f>
        <v>'01664',</v>
      </c>
    </row>
    <row r="953" spans="1:16" x14ac:dyDescent="0.25">
      <c r="A953" t="s">
        <v>7652</v>
      </c>
      <c r="B953" t="s">
        <v>7653</v>
      </c>
      <c r="C953" t="s">
        <v>7653</v>
      </c>
      <c r="D953" t="s">
        <v>847</v>
      </c>
      <c r="E953" t="s">
        <v>848</v>
      </c>
      <c r="F953" t="s">
        <v>7654</v>
      </c>
      <c r="G953" t="s">
        <v>1360</v>
      </c>
      <c r="H953" t="s">
        <v>1362</v>
      </c>
      <c r="I953" t="s">
        <v>1360</v>
      </c>
      <c r="J953" t="s">
        <v>1421</v>
      </c>
      <c r="K953" t="s">
        <v>1422</v>
      </c>
      <c r="L953" t="s">
        <v>50</v>
      </c>
      <c r="M953" s="2">
        <v>116608.67</v>
      </c>
      <c r="N953" t="s">
        <v>7657</v>
      </c>
      <c r="O953" t="s">
        <v>52</v>
      </c>
      <c r="P953" t="str">
        <f>CONCATENATE("'",Tabla1[[#This Row],[Codigo]],"',")</f>
        <v>'01665',</v>
      </c>
    </row>
    <row r="954" spans="1:16" x14ac:dyDescent="0.25">
      <c r="A954" t="s">
        <v>7658</v>
      </c>
      <c r="B954" t="s">
        <v>7659</v>
      </c>
      <c r="C954" t="s">
        <v>7659</v>
      </c>
      <c r="D954" t="s">
        <v>847</v>
      </c>
      <c r="E954" t="s">
        <v>848</v>
      </c>
      <c r="F954" t="s">
        <v>7660</v>
      </c>
      <c r="G954" t="s">
        <v>65</v>
      </c>
      <c r="H954" t="s">
        <v>67</v>
      </c>
      <c r="I954" t="s">
        <v>68</v>
      </c>
      <c r="J954" t="s">
        <v>69</v>
      </c>
      <c r="K954" t="s">
        <v>70</v>
      </c>
      <c r="L954" t="s">
        <v>50</v>
      </c>
      <c r="M954" s="2">
        <v>52958.25</v>
      </c>
      <c r="N954" t="s">
        <v>7663</v>
      </c>
      <c r="P954" t="str">
        <f>CONCATENATE("'",Tabla1[[#This Row],[Codigo]],"',")</f>
        <v>'01666',</v>
      </c>
    </row>
    <row r="955" spans="1:16" x14ac:dyDescent="0.25">
      <c r="A955" t="s">
        <v>7664</v>
      </c>
      <c r="B955" t="s">
        <v>7665</v>
      </c>
      <c r="C955" t="s">
        <v>7665</v>
      </c>
      <c r="D955" t="s">
        <v>7666</v>
      </c>
      <c r="E955" t="s">
        <v>77</v>
      </c>
      <c r="F955" t="s">
        <v>7667</v>
      </c>
      <c r="G955" t="s">
        <v>7668</v>
      </c>
      <c r="H955" t="s">
        <v>7669</v>
      </c>
      <c r="I955" t="s">
        <v>7670</v>
      </c>
      <c r="J955" t="s">
        <v>5966</v>
      </c>
      <c r="K955" t="s">
        <v>5739</v>
      </c>
      <c r="L955" t="s">
        <v>50</v>
      </c>
      <c r="M955" s="2">
        <v>123705</v>
      </c>
      <c r="N955" t="s">
        <v>64</v>
      </c>
      <c r="P955" t="str">
        <f>CONCATENATE("'",Tabla1[[#This Row],[Codigo]],"',")</f>
        <v>'01667',</v>
      </c>
    </row>
    <row r="956" spans="1:16" x14ac:dyDescent="0.25">
      <c r="A956" t="s">
        <v>7672</v>
      </c>
      <c r="B956" t="s">
        <v>7673</v>
      </c>
      <c r="C956" t="s">
        <v>7673</v>
      </c>
      <c r="D956" t="s">
        <v>153</v>
      </c>
      <c r="E956" t="s">
        <v>272</v>
      </c>
      <c r="F956" t="s">
        <v>7674</v>
      </c>
      <c r="G956" t="s">
        <v>255</v>
      </c>
      <c r="H956" t="s">
        <v>254</v>
      </c>
      <c r="I956" t="s">
        <v>255</v>
      </c>
      <c r="J956" t="s">
        <v>256</v>
      </c>
      <c r="K956" t="s">
        <v>255</v>
      </c>
      <c r="L956" t="s">
        <v>50</v>
      </c>
      <c r="M956" s="2">
        <v>26307.72</v>
      </c>
      <c r="N956" t="s">
        <v>7677</v>
      </c>
      <c r="O956" t="s">
        <v>52</v>
      </c>
      <c r="P956" t="str">
        <f>CONCATENATE("'",Tabla1[[#This Row],[Codigo]],"',")</f>
        <v>'01668',</v>
      </c>
    </row>
    <row r="957" spans="1:16" x14ac:dyDescent="0.25">
      <c r="A957" t="s">
        <v>7678</v>
      </c>
      <c r="B957" t="s">
        <v>7679</v>
      </c>
      <c r="C957" t="s">
        <v>7679</v>
      </c>
      <c r="D957" t="s">
        <v>125</v>
      </c>
      <c r="E957" t="s">
        <v>126</v>
      </c>
      <c r="F957" t="s">
        <v>7680</v>
      </c>
      <c r="G957" t="s">
        <v>277</v>
      </c>
      <c r="H957" t="s">
        <v>276</v>
      </c>
      <c r="I957" t="s">
        <v>277</v>
      </c>
      <c r="J957" t="s">
        <v>103</v>
      </c>
      <c r="K957" t="s">
        <v>104</v>
      </c>
      <c r="L957" t="s">
        <v>50</v>
      </c>
      <c r="M957" s="2">
        <v>1569187.97</v>
      </c>
      <c r="N957" t="s">
        <v>7682</v>
      </c>
      <c r="O957" t="s">
        <v>52</v>
      </c>
      <c r="P957" t="str">
        <f>CONCATENATE("'",Tabla1[[#This Row],[Codigo]],"',")</f>
        <v>'01669',</v>
      </c>
    </row>
    <row r="958" spans="1:16" x14ac:dyDescent="0.25">
      <c r="A958" t="s">
        <v>7683</v>
      </c>
      <c r="B958" t="s">
        <v>7684</v>
      </c>
      <c r="C958" t="s">
        <v>7684</v>
      </c>
      <c r="D958" t="s">
        <v>847</v>
      </c>
      <c r="E958" t="s">
        <v>848</v>
      </c>
      <c r="F958" t="s">
        <v>7685</v>
      </c>
      <c r="G958" t="s">
        <v>7263</v>
      </c>
      <c r="H958" t="s">
        <v>2571</v>
      </c>
      <c r="I958" t="s">
        <v>2572</v>
      </c>
      <c r="J958" t="s">
        <v>6987</v>
      </c>
      <c r="K958" t="s">
        <v>6988</v>
      </c>
      <c r="L958" t="s">
        <v>50</v>
      </c>
      <c r="M958" s="2">
        <v>158028.45000000001</v>
      </c>
      <c r="N958" t="s">
        <v>7687</v>
      </c>
      <c r="O958" t="s">
        <v>52</v>
      </c>
      <c r="P958" t="str">
        <f>CONCATENATE("'",Tabla1[[#This Row],[Codigo]],"',")</f>
        <v>'01671',</v>
      </c>
    </row>
    <row r="959" spans="1:16" x14ac:dyDescent="0.25">
      <c r="A959" t="s">
        <v>7724</v>
      </c>
      <c r="B959" t="s">
        <v>7725</v>
      </c>
      <c r="C959" t="s">
        <v>7725</v>
      </c>
      <c r="D959" t="s">
        <v>35</v>
      </c>
      <c r="E959" t="s">
        <v>36</v>
      </c>
      <c r="F959" t="s">
        <v>7726</v>
      </c>
      <c r="G959" t="s">
        <v>81</v>
      </c>
      <c r="H959" t="s">
        <v>80</v>
      </c>
      <c r="I959" t="s">
        <v>81</v>
      </c>
      <c r="J959" t="s">
        <v>557</v>
      </c>
      <c r="K959" t="s">
        <v>558</v>
      </c>
      <c r="L959" t="s">
        <v>50</v>
      </c>
      <c r="M959" s="2">
        <v>107453.04</v>
      </c>
      <c r="N959" t="s">
        <v>7728</v>
      </c>
      <c r="O959" t="s">
        <v>52</v>
      </c>
      <c r="P959" t="str">
        <f>CONCATENATE("'",Tabla1[[#This Row],[Codigo]],"',")</f>
        <v>'01684',</v>
      </c>
    </row>
    <row r="960" spans="1:16" x14ac:dyDescent="0.25">
      <c r="A960" t="s">
        <v>7733</v>
      </c>
      <c r="B960" t="s">
        <v>7734</v>
      </c>
      <c r="C960" t="s">
        <v>7734</v>
      </c>
      <c r="D960" t="s">
        <v>153</v>
      </c>
      <c r="E960" t="s">
        <v>272</v>
      </c>
      <c r="F960" t="s">
        <v>7735</v>
      </c>
      <c r="G960" t="s">
        <v>79</v>
      </c>
      <c r="H960" t="s">
        <v>495</v>
      </c>
      <c r="I960" t="s">
        <v>79</v>
      </c>
      <c r="J960" t="s">
        <v>3487</v>
      </c>
      <c r="K960" t="s">
        <v>3488</v>
      </c>
      <c r="L960" t="s">
        <v>50</v>
      </c>
      <c r="M960" s="2">
        <v>299967.68</v>
      </c>
      <c r="N960" t="s">
        <v>7738</v>
      </c>
      <c r="O960" t="s">
        <v>52</v>
      </c>
      <c r="P960" t="str">
        <f>CONCATENATE("'",Tabla1[[#This Row],[Codigo]],"',")</f>
        <v>'01686',</v>
      </c>
    </row>
    <row r="961" spans="1:16" x14ac:dyDescent="0.25">
      <c r="A961" t="s">
        <v>7757</v>
      </c>
      <c r="B961" t="s">
        <v>7758</v>
      </c>
      <c r="C961" t="s">
        <v>7758</v>
      </c>
      <c r="D961" t="s">
        <v>35</v>
      </c>
      <c r="E961" t="s">
        <v>36</v>
      </c>
      <c r="F961" t="s">
        <v>7759</v>
      </c>
      <c r="G961" t="s">
        <v>2396</v>
      </c>
      <c r="H961" t="s">
        <v>6985</v>
      </c>
      <c r="I961" t="s">
        <v>6986</v>
      </c>
      <c r="J961" t="s">
        <v>6987</v>
      </c>
      <c r="K961" t="s">
        <v>6988</v>
      </c>
      <c r="L961" t="s">
        <v>50</v>
      </c>
      <c r="M961" s="2">
        <v>115601.87</v>
      </c>
      <c r="N961" t="s">
        <v>7762</v>
      </c>
      <c r="O961" t="s">
        <v>52</v>
      </c>
      <c r="P961" t="str">
        <f>CONCATENATE("'",Tabla1[[#This Row],[Codigo]],"',")</f>
        <v>'01691',</v>
      </c>
    </row>
    <row r="962" spans="1:16" x14ac:dyDescent="0.25">
      <c r="A962" t="s">
        <v>7774</v>
      </c>
      <c r="B962" t="s">
        <v>7775</v>
      </c>
      <c r="C962" t="s">
        <v>7775</v>
      </c>
      <c r="D962" t="s">
        <v>847</v>
      </c>
      <c r="E962" t="s">
        <v>848</v>
      </c>
      <c r="F962" t="s">
        <v>7776</v>
      </c>
      <c r="G962" t="s">
        <v>41</v>
      </c>
      <c r="H962" t="s">
        <v>40</v>
      </c>
      <c r="I962" t="s">
        <v>41</v>
      </c>
      <c r="J962" t="s">
        <v>61</v>
      </c>
      <c r="K962" t="s">
        <v>62</v>
      </c>
      <c r="L962" t="s">
        <v>50</v>
      </c>
      <c r="M962" s="2">
        <v>194082</v>
      </c>
      <c r="N962" t="s">
        <v>64</v>
      </c>
      <c r="P962" t="str">
        <f>CONCATENATE("'",Tabla1[[#This Row],[Codigo]],"',")</f>
        <v>'01695',</v>
      </c>
    </row>
    <row r="963" spans="1:16" x14ac:dyDescent="0.25">
      <c r="A963" t="s">
        <v>7779</v>
      </c>
      <c r="B963" t="s">
        <v>7780</v>
      </c>
      <c r="C963" t="s">
        <v>7780</v>
      </c>
      <c r="D963" t="s">
        <v>2661</v>
      </c>
      <c r="E963" t="s">
        <v>134</v>
      </c>
      <c r="F963" t="s">
        <v>7781</v>
      </c>
      <c r="G963" t="s">
        <v>3122</v>
      </c>
      <c r="H963" t="s">
        <v>3121</v>
      </c>
      <c r="I963" t="s">
        <v>3122</v>
      </c>
      <c r="J963" t="s">
        <v>1212</v>
      </c>
      <c r="K963" t="s">
        <v>1213</v>
      </c>
      <c r="L963" t="s">
        <v>50</v>
      </c>
      <c r="M963" s="2">
        <v>54543</v>
      </c>
      <c r="N963" t="s">
        <v>64</v>
      </c>
      <c r="P963" t="str">
        <f>CONCATENATE("'",Tabla1[[#This Row],[Codigo]],"',")</f>
        <v>'01696',</v>
      </c>
    </row>
    <row r="964" spans="1:16" x14ac:dyDescent="0.25">
      <c r="A964" t="s">
        <v>7784</v>
      </c>
      <c r="B964" t="s">
        <v>7785</v>
      </c>
      <c r="C964" t="s">
        <v>7785</v>
      </c>
      <c r="D964" t="s">
        <v>125</v>
      </c>
      <c r="E964" t="s">
        <v>126</v>
      </c>
      <c r="F964" t="s">
        <v>7786</v>
      </c>
      <c r="G964" t="s">
        <v>81</v>
      </c>
      <c r="H964" t="s">
        <v>80</v>
      </c>
      <c r="I964" t="s">
        <v>81</v>
      </c>
      <c r="J964" t="s">
        <v>1363</v>
      </c>
      <c r="K964" t="s">
        <v>1364</v>
      </c>
      <c r="L964" t="s">
        <v>50</v>
      </c>
      <c r="M964" s="2">
        <v>18643.71</v>
      </c>
      <c r="N964" t="s">
        <v>7789</v>
      </c>
      <c r="O964" t="s">
        <v>52</v>
      </c>
      <c r="P964" t="str">
        <f>CONCATENATE("'",Tabla1[[#This Row],[Codigo]],"',")</f>
        <v>'01697',</v>
      </c>
    </row>
    <row r="965" spans="1:16" x14ac:dyDescent="0.25">
      <c r="A965" t="s">
        <v>7792</v>
      </c>
      <c r="B965" t="s">
        <v>7793</v>
      </c>
      <c r="C965" t="s">
        <v>7793</v>
      </c>
      <c r="D965" t="s">
        <v>35</v>
      </c>
      <c r="E965" t="s">
        <v>36</v>
      </c>
      <c r="F965" t="s">
        <v>7794</v>
      </c>
      <c r="G965" t="s">
        <v>2396</v>
      </c>
      <c r="H965" t="s">
        <v>6985</v>
      </c>
      <c r="I965" t="s">
        <v>6986</v>
      </c>
      <c r="J965" t="s">
        <v>2320</v>
      </c>
      <c r="K965" t="s">
        <v>2321</v>
      </c>
      <c r="L965" t="s">
        <v>50</v>
      </c>
      <c r="M965" s="2">
        <v>28093.82</v>
      </c>
      <c r="N965" t="s">
        <v>7797</v>
      </c>
      <c r="O965" t="s">
        <v>115</v>
      </c>
      <c r="P965" t="str">
        <f>CONCATENATE("'",Tabla1[[#This Row],[Codigo]],"',")</f>
        <v>'01699',</v>
      </c>
    </row>
    <row r="966" spans="1:16" x14ac:dyDescent="0.25">
      <c r="A966" t="s">
        <v>7801</v>
      </c>
      <c r="B966" t="s">
        <v>7802</v>
      </c>
      <c r="C966" t="s">
        <v>7802</v>
      </c>
      <c r="D966" t="s">
        <v>1289</v>
      </c>
      <c r="E966" t="s">
        <v>224</v>
      </c>
      <c r="F966" t="s">
        <v>7803</v>
      </c>
      <c r="G966" t="s">
        <v>1062</v>
      </c>
      <c r="H966" t="s">
        <v>1064</v>
      </c>
      <c r="I966" t="s">
        <v>1062</v>
      </c>
      <c r="J966" t="s">
        <v>304</v>
      </c>
      <c r="K966" t="s">
        <v>72</v>
      </c>
      <c r="L966" t="s">
        <v>50</v>
      </c>
      <c r="M966" s="2">
        <v>21817</v>
      </c>
      <c r="N966" t="s">
        <v>64</v>
      </c>
      <c r="P966" t="str">
        <f>CONCATENATE("'",Tabla1[[#This Row],[Codigo]],"',")</f>
        <v>'01701',</v>
      </c>
    </row>
    <row r="967" spans="1:16" x14ac:dyDescent="0.25">
      <c r="A967" t="s">
        <v>7806</v>
      </c>
      <c r="B967" t="s">
        <v>7807</v>
      </c>
      <c r="C967" t="s">
        <v>7807</v>
      </c>
      <c r="D967" t="s">
        <v>125</v>
      </c>
      <c r="E967" t="s">
        <v>126</v>
      </c>
      <c r="F967" t="s">
        <v>7808</v>
      </c>
      <c r="G967" t="s">
        <v>7809</v>
      </c>
      <c r="H967" t="s">
        <v>4996</v>
      </c>
      <c r="I967" t="s">
        <v>4997</v>
      </c>
      <c r="J967" t="s">
        <v>1421</v>
      </c>
      <c r="K967" t="s">
        <v>1422</v>
      </c>
      <c r="L967" t="s">
        <v>50</v>
      </c>
      <c r="M967" s="2">
        <v>293119.37</v>
      </c>
      <c r="N967" t="s">
        <v>7812</v>
      </c>
      <c r="O967" t="s">
        <v>115</v>
      </c>
      <c r="P967" t="str">
        <f>CONCATENATE("'",Tabla1[[#This Row],[Codigo]],"',")</f>
        <v>'01702',</v>
      </c>
    </row>
    <row r="968" spans="1:16" x14ac:dyDescent="0.25">
      <c r="A968" t="s">
        <v>7813</v>
      </c>
      <c r="B968" t="s">
        <v>7814</v>
      </c>
      <c r="C968" t="s">
        <v>7814</v>
      </c>
      <c r="D968" t="s">
        <v>125</v>
      </c>
      <c r="E968" t="s">
        <v>126</v>
      </c>
      <c r="F968" t="s">
        <v>7815</v>
      </c>
      <c r="G968" t="s">
        <v>1360</v>
      </c>
      <c r="H968" t="s">
        <v>1362</v>
      </c>
      <c r="I968" t="s">
        <v>1360</v>
      </c>
      <c r="J968" t="s">
        <v>1421</v>
      </c>
      <c r="K968" t="s">
        <v>1422</v>
      </c>
      <c r="L968" t="s">
        <v>50</v>
      </c>
      <c r="M968" s="2">
        <v>123075.41</v>
      </c>
      <c r="N968" t="s">
        <v>7818</v>
      </c>
      <c r="O968" t="s">
        <v>52</v>
      </c>
      <c r="P968" t="str">
        <f>CONCATENATE("'",Tabla1[[#This Row],[Codigo]],"',")</f>
        <v>'01703',</v>
      </c>
    </row>
    <row r="969" spans="1:16" x14ac:dyDescent="0.25">
      <c r="A969" t="s">
        <v>7825</v>
      </c>
      <c r="B969" t="s">
        <v>7826</v>
      </c>
      <c r="C969" t="s">
        <v>7827</v>
      </c>
      <c r="D969" t="s">
        <v>478</v>
      </c>
      <c r="E969" t="s">
        <v>190</v>
      </c>
      <c r="F969" t="s">
        <v>1684</v>
      </c>
      <c r="G969" t="s">
        <v>7828</v>
      </c>
      <c r="H969" t="s">
        <v>664</v>
      </c>
      <c r="I969" t="s">
        <v>665</v>
      </c>
      <c r="J969" t="s">
        <v>103</v>
      </c>
      <c r="K969" t="s">
        <v>104</v>
      </c>
      <c r="L969" t="s">
        <v>50</v>
      </c>
      <c r="M969" s="2">
        <v>171590.76</v>
      </c>
      <c r="N969" t="s">
        <v>7831</v>
      </c>
      <c r="O969" t="s">
        <v>115</v>
      </c>
      <c r="P969" t="str">
        <f>CONCATENATE("'",Tabla1[[#This Row],[Codigo]],"',")</f>
        <v>'01706',</v>
      </c>
    </row>
    <row r="970" spans="1:16" x14ac:dyDescent="0.25">
      <c r="A970" t="s">
        <v>7832</v>
      </c>
      <c r="B970" t="s">
        <v>7833</v>
      </c>
      <c r="C970" t="s">
        <v>7833</v>
      </c>
      <c r="D970" t="s">
        <v>125</v>
      </c>
      <c r="E970" t="s">
        <v>126</v>
      </c>
      <c r="F970" t="s">
        <v>7834</v>
      </c>
      <c r="G970" t="s">
        <v>7835</v>
      </c>
      <c r="H970" t="s">
        <v>7837</v>
      </c>
      <c r="I970" t="s">
        <v>7838</v>
      </c>
      <c r="J970" t="s">
        <v>3487</v>
      </c>
      <c r="K970" t="s">
        <v>3488</v>
      </c>
      <c r="L970" t="s">
        <v>50</v>
      </c>
      <c r="M970" s="2">
        <v>8740245.4900000002</v>
      </c>
      <c r="N970" t="s">
        <v>7840</v>
      </c>
      <c r="O970" t="s">
        <v>52</v>
      </c>
      <c r="P970" t="str">
        <f>CONCATENATE("'",Tabla1[[#This Row],[Codigo]],"',")</f>
        <v>'01707',</v>
      </c>
    </row>
    <row r="971" spans="1:16" x14ac:dyDescent="0.25">
      <c r="A971" t="s">
        <v>7841</v>
      </c>
      <c r="B971" t="s">
        <v>7842</v>
      </c>
      <c r="C971" t="s">
        <v>7842</v>
      </c>
      <c r="D971" t="s">
        <v>847</v>
      </c>
      <c r="E971" t="s">
        <v>848</v>
      </c>
      <c r="F971" t="s">
        <v>7843</v>
      </c>
      <c r="G971" t="s">
        <v>5739</v>
      </c>
      <c r="H971" t="s">
        <v>5741</v>
      </c>
      <c r="I971" t="s">
        <v>5739</v>
      </c>
      <c r="J971" t="s">
        <v>2320</v>
      </c>
      <c r="K971" t="s">
        <v>2321</v>
      </c>
      <c r="L971" t="s">
        <v>50</v>
      </c>
      <c r="M971" s="2">
        <v>1559241.91</v>
      </c>
      <c r="N971" t="s">
        <v>7845</v>
      </c>
      <c r="O971" t="s">
        <v>115</v>
      </c>
      <c r="P971" t="str">
        <f>CONCATENATE("'",Tabla1[[#This Row],[Codigo]],"',")</f>
        <v>'01708',</v>
      </c>
    </row>
    <row r="972" spans="1:16" x14ac:dyDescent="0.25">
      <c r="A972" t="s">
        <v>7846</v>
      </c>
      <c r="B972" t="s">
        <v>7847</v>
      </c>
      <c r="C972" t="s">
        <v>7847</v>
      </c>
      <c r="D972" t="s">
        <v>125</v>
      </c>
      <c r="E972" t="s">
        <v>126</v>
      </c>
      <c r="F972" t="s">
        <v>7848</v>
      </c>
      <c r="G972" t="s">
        <v>79</v>
      </c>
      <c r="H972" t="s">
        <v>495</v>
      </c>
      <c r="I972" t="s">
        <v>79</v>
      </c>
      <c r="J972" t="s">
        <v>3487</v>
      </c>
      <c r="K972" t="s">
        <v>3488</v>
      </c>
      <c r="L972" t="s">
        <v>50</v>
      </c>
      <c r="M972" s="2">
        <v>-8420.42</v>
      </c>
      <c r="N972" t="s">
        <v>7851</v>
      </c>
      <c r="O972" t="s">
        <v>115</v>
      </c>
      <c r="P972" t="str">
        <f>CONCATENATE("'",Tabla1[[#This Row],[Codigo]],"',")</f>
        <v>'01709',</v>
      </c>
    </row>
    <row r="973" spans="1:16" x14ac:dyDescent="0.25">
      <c r="A973" t="s">
        <v>7852</v>
      </c>
      <c r="B973" t="s">
        <v>7853</v>
      </c>
      <c r="C973" t="s">
        <v>7853</v>
      </c>
      <c r="D973" t="s">
        <v>35</v>
      </c>
      <c r="E973" t="s">
        <v>36</v>
      </c>
      <c r="F973" t="s">
        <v>7854</v>
      </c>
      <c r="G973" t="s">
        <v>5739</v>
      </c>
      <c r="H973" t="s">
        <v>5741</v>
      </c>
      <c r="I973" t="s">
        <v>5739</v>
      </c>
      <c r="J973" t="s">
        <v>2320</v>
      </c>
      <c r="K973" t="s">
        <v>2321</v>
      </c>
      <c r="L973" t="s">
        <v>50</v>
      </c>
      <c r="M973" s="2">
        <v>184944.12</v>
      </c>
      <c r="N973" t="s">
        <v>7856</v>
      </c>
      <c r="O973" t="s">
        <v>115</v>
      </c>
      <c r="P973" t="str">
        <f>CONCATENATE("'",Tabla1[[#This Row],[Codigo]],"',")</f>
        <v>'01710',</v>
      </c>
    </row>
    <row r="974" spans="1:16" x14ac:dyDescent="0.25">
      <c r="A974" t="s">
        <v>7857</v>
      </c>
      <c r="B974" t="s">
        <v>7858</v>
      </c>
      <c r="C974" t="s">
        <v>7858</v>
      </c>
      <c r="D974" t="s">
        <v>35</v>
      </c>
      <c r="E974" t="s">
        <v>36</v>
      </c>
      <c r="F974" t="s">
        <v>7859</v>
      </c>
      <c r="G974" t="s">
        <v>7860</v>
      </c>
      <c r="H974" t="s">
        <v>4852</v>
      </c>
      <c r="I974" t="s">
        <v>4851</v>
      </c>
      <c r="J974" t="s">
        <v>2320</v>
      </c>
      <c r="K974" t="s">
        <v>2321</v>
      </c>
      <c r="L974" t="s">
        <v>50</v>
      </c>
      <c r="M974" s="2">
        <v>476977.47</v>
      </c>
      <c r="N974" t="s">
        <v>7862</v>
      </c>
      <c r="O974" t="s">
        <v>115</v>
      </c>
      <c r="P974" t="str">
        <f>CONCATENATE("'",Tabla1[[#This Row],[Codigo]],"',")</f>
        <v>'01711',</v>
      </c>
    </row>
    <row r="975" spans="1:16" x14ac:dyDescent="0.25">
      <c r="A975" t="s">
        <v>7863</v>
      </c>
      <c r="B975" t="s">
        <v>7864</v>
      </c>
      <c r="C975" t="s">
        <v>7864</v>
      </c>
      <c r="D975" t="s">
        <v>35</v>
      </c>
      <c r="E975" t="s">
        <v>36</v>
      </c>
      <c r="F975" t="s">
        <v>7865</v>
      </c>
      <c r="G975" t="s">
        <v>5739</v>
      </c>
      <c r="H975" t="s">
        <v>5741</v>
      </c>
      <c r="I975" t="s">
        <v>5739</v>
      </c>
      <c r="J975" t="s">
        <v>2320</v>
      </c>
      <c r="K975" t="s">
        <v>2321</v>
      </c>
      <c r="L975" t="s">
        <v>50</v>
      </c>
      <c r="M975" s="2">
        <v>184778.44</v>
      </c>
      <c r="N975" t="s">
        <v>7867</v>
      </c>
      <c r="O975" t="s">
        <v>115</v>
      </c>
      <c r="P975" t="str">
        <f>CONCATENATE("'",Tabla1[[#This Row],[Codigo]],"',")</f>
        <v>'01712',</v>
      </c>
    </row>
    <row r="976" spans="1:16" x14ac:dyDescent="0.25">
      <c r="A976" t="s">
        <v>7868</v>
      </c>
      <c r="B976" t="s">
        <v>7869</v>
      </c>
      <c r="C976" t="s">
        <v>7869</v>
      </c>
      <c r="D976" t="s">
        <v>35</v>
      </c>
      <c r="E976" t="s">
        <v>36</v>
      </c>
      <c r="F976" t="s">
        <v>7870</v>
      </c>
      <c r="G976" t="s">
        <v>6519</v>
      </c>
      <c r="H976" t="s">
        <v>5201</v>
      </c>
      <c r="I976" t="s">
        <v>5202</v>
      </c>
      <c r="J976" t="s">
        <v>2320</v>
      </c>
      <c r="K976" t="s">
        <v>2321</v>
      </c>
      <c r="L976" t="s">
        <v>50</v>
      </c>
      <c r="M976" s="2">
        <v>243486.33</v>
      </c>
      <c r="N976" t="s">
        <v>7872</v>
      </c>
      <c r="O976" t="s">
        <v>115</v>
      </c>
      <c r="P976" t="str">
        <f>CONCATENATE("'",Tabla1[[#This Row],[Codigo]],"',")</f>
        <v>'01713',</v>
      </c>
    </row>
    <row r="977" spans="1:16" x14ac:dyDescent="0.25">
      <c r="A977" t="s">
        <v>7873</v>
      </c>
      <c r="B977" t="s">
        <v>7874</v>
      </c>
      <c r="C977" t="s">
        <v>7874</v>
      </c>
      <c r="D977" t="s">
        <v>35</v>
      </c>
      <c r="E977" t="s">
        <v>36</v>
      </c>
      <c r="F977" t="s">
        <v>7875</v>
      </c>
      <c r="G977" t="s">
        <v>7876</v>
      </c>
      <c r="H977" t="s">
        <v>4852</v>
      </c>
      <c r="I977" t="s">
        <v>4851</v>
      </c>
      <c r="J977" t="s">
        <v>2320</v>
      </c>
      <c r="K977" t="s">
        <v>2321</v>
      </c>
      <c r="L977" t="s">
        <v>50</v>
      </c>
      <c r="M977" s="2">
        <v>-354010.86</v>
      </c>
      <c r="N977" t="s">
        <v>7878</v>
      </c>
      <c r="O977" t="s">
        <v>115</v>
      </c>
      <c r="P977" t="str">
        <f>CONCATENATE("'",Tabla1[[#This Row],[Codigo]],"',")</f>
        <v>'01714',</v>
      </c>
    </row>
    <row r="978" spans="1:16" x14ac:dyDescent="0.25">
      <c r="A978" t="s">
        <v>7879</v>
      </c>
      <c r="B978" t="s">
        <v>7880</v>
      </c>
      <c r="C978" t="s">
        <v>7880</v>
      </c>
      <c r="D978" t="s">
        <v>125</v>
      </c>
      <c r="E978" t="s">
        <v>126</v>
      </c>
      <c r="F978" t="s">
        <v>7881</v>
      </c>
      <c r="G978" t="s">
        <v>5739</v>
      </c>
      <c r="H978" t="s">
        <v>5741</v>
      </c>
      <c r="I978" t="s">
        <v>5739</v>
      </c>
      <c r="J978" t="s">
        <v>2320</v>
      </c>
      <c r="K978" t="s">
        <v>2321</v>
      </c>
      <c r="L978" t="s">
        <v>50</v>
      </c>
      <c r="M978" s="2">
        <v>840345.31</v>
      </c>
      <c r="N978" t="s">
        <v>7883</v>
      </c>
      <c r="O978" t="s">
        <v>115</v>
      </c>
      <c r="P978" t="str">
        <f>CONCATENATE("'",Tabla1[[#This Row],[Codigo]],"',")</f>
        <v>'01715',</v>
      </c>
    </row>
    <row r="979" spans="1:16" x14ac:dyDescent="0.25">
      <c r="A979" t="s">
        <v>7884</v>
      </c>
      <c r="B979" t="s">
        <v>7885</v>
      </c>
      <c r="C979" t="s">
        <v>7885</v>
      </c>
      <c r="D979" t="s">
        <v>35</v>
      </c>
      <c r="E979" t="s">
        <v>36</v>
      </c>
      <c r="F979" t="s">
        <v>7886</v>
      </c>
      <c r="G979" t="s">
        <v>5739</v>
      </c>
      <c r="H979" t="s">
        <v>5741</v>
      </c>
      <c r="I979" t="s">
        <v>5739</v>
      </c>
      <c r="J979" t="s">
        <v>2320</v>
      </c>
      <c r="K979" t="s">
        <v>2321</v>
      </c>
      <c r="L979" t="s">
        <v>50</v>
      </c>
      <c r="M979" s="2">
        <v>495962.39</v>
      </c>
      <c r="N979" t="s">
        <v>7888</v>
      </c>
      <c r="O979" t="s">
        <v>115</v>
      </c>
      <c r="P979" t="str">
        <f>CONCATENATE("'",Tabla1[[#This Row],[Codigo]],"',")</f>
        <v>'01716',</v>
      </c>
    </row>
    <row r="980" spans="1:16" x14ac:dyDescent="0.25">
      <c r="A980" t="s">
        <v>7889</v>
      </c>
      <c r="B980" t="s">
        <v>7890</v>
      </c>
      <c r="C980" t="s">
        <v>7890</v>
      </c>
      <c r="D980" t="s">
        <v>35</v>
      </c>
      <c r="E980" t="s">
        <v>36</v>
      </c>
      <c r="F980" t="s">
        <v>7891</v>
      </c>
      <c r="G980" t="s">
        <v>5739</v>
      </c>
      <c r="H980" t="s">
        <v>5741</v>
      </c>
      <c r="I980" t="s">
        <v>5739</v>
      </c>
      <c r="J980" t="s">
        <v>2320</v>
      </c>
      <c r="K980" t="s">
        <v>2321</v>
      </c>
      <c r="L980" t="s">
        <v>50</v>
      </c>
      <c r="M980" s="2">
        <v>292373.87</v>
      </c>
      <c r="N980" t="s">
        <v>7893</v>
      </c>
      <c r="O980" t="s">
        <v>115</v>
      </c>
      <c r="P980" t="str">
        <f>CONCATENATE("'",Tabla1[[#This Row],[Codigo]],"',")</f>
        <v>'01717',</v>
      </c>
    </row>
    <row r="981" spans="1:16" x14ac:dyDescent="0.25">
      <c r="A981" t="s">
        <v>7894</v>
      </c>
      <c r="B981" t="s">
        <v>7895</v>
      </c>
      <c r="C981" t="s">
        <v>7895</v>
      </c>
      <c r="D981" t="s">
        <v>35</v>
      </c>
      <c r="E981" t="s">
        <v>36</v>
      </c>
      <c r="F981" t="s">
        <v>7896</v>
      </c>
      <c r="G981" t="s">
        <v>7897</v>
      </c>
      <c r="H981" t="s">
        <v>541</v>
      </c>
      <c r="I981" t="s">
        <v>542</v>
      </c>
      <c r="J981" t="s">
        <v>91</v>
      </c>
      <c r="K981" t="s">
        <v>92</v>
      </c>
      <c r="L981" t="s">
        <v>50</v>
      </c>
      <c r="M981" s="2">
        <v>89413.67</v>
      </c>
      <c r="N981" t="s">
        <v>7900</v>
      </c>
      <c r="O981" t="s">
        <v>115</v>
      </c>
      <c r="P981" t="str">
        <f>CONCATENATE("'",Tabla1[[#This Row],[Codigo]],"',")</f>
        <v>'01718',</v>
      </c>
    </row>
    <row r="982" spans="1:16" x14ac:dyDescent="0.25">
      <c r="A982" t="s">
        <v>7903</v>
      </c>
      <c r="B982" t="s">
        <v>7904</v>
      </c>
      <c r="C982" t="s">
        <v>7904</v>
      </c>
      <c r="D982" t="s">
        <v>35</v>
      </c>
      <c r="E982" t="s">
        <v>36</v>
      </c>
      <c r="F982" t="s">
        <v>7905</v>
      </c>
      <c r="G982" t="s">
        <v>41</v>
      </c>
      <c r="H982" t="s">
        <v>40</v>
      </c>
      <c r="I982" t="s">
        <v>41</v>
      </c>
      <c r="J982" t="s">
        <v>42</v>
      </c>
      <c r="K982" t="s">
        <v>43</v>
      </c>
      <c r="L982" t="s">
        <v>50</v>
      </c>
      <c r="M982" s="2">
        <v>10892</v>
      </c>
      <c r="N982" t="s">
        <v>7906</v>
      </c>
      <c r="P982" t="str">
        <f>CONCATENATE("'",Tabla1[[#This Row],[Codigo]],"',")</f>
        <v>'01720',</v>
      </c>
    </row>
    <row r="983" spans="1:16" x14ac:dyDescent="0.25">
      <c r="A983" t="s">
        <v>7907</v>
      </c>
      <c r="B983" t="s">
        <v>7908</v>
      </c>
      <c r="C983" t="s">
        <v>7908</v>
      </c>
      <c r="D983" t="s">
        <v>125</v>
      </c>
      <c r="E983" t="s">
        <v>126</v>
      </c>
      <c r="F983" t="s">
        <v>7909</v>
      </c>
      <c r="G983" t="s">
        <v>2396</v>
      </c>
      <c r="H983" t="s">
        <v>6985</v>
      </c>
      <c r="I983" t="s">
        <v>6986</v>
      </c>
      <c r="J983" t="s">
        <v>6987</v>
      </c>
      <c r="K983" t="s">
        <v>6988</v>
      </c>
      <c r="L983" t="s">
        <v>50</v>
      </c>
      <c r="M983" s="2">
        <v>308061.67</v>
      </c>
      <c r="N983" t="s">
        <v>7912</v>
      </c>
      <c r="O983" t="s">
        <v>52</v>
      </c>
      <c r="P983" t="str">
        <f>CONCATENATE("'",Tabla1[[#This Row],[Codigo]],"',")</f>
        <v>'01721',</v>
      </c>
    </row>
    <row r="984" spans="1:16" x14ac:dyDescent="0.25">
      <c r="A984" t="s">
        <v>7913</v>
      </c>
      <c r="B984" t="s">
        <v>7914</v>
      </c>
      <c r="C984" t="s">
        <v>7914</v>
      </c>
      <c r="D984" t="s">
        <v>847</v>
      </c>
      <c r="E984" t="s">
        <v>848</v>
      </c>
      <c r="F984" t="s">
        <v>7915</v>
      </c>
      <c r="G984" t="s">
        <v>7147</v>
      </c>
      <c r="H984" t="s">
        <v>6940</v>
      </c>
      <c r="I984" t="s">
        <v>6939</v>
      </c>
      <c r="J984" t="s">
        <v>3487</v>
      </c>
      <c r="K984" t="s">
        <v>3488</v>
      </c>
      <c r="L984" t="s">
        <v>50</v>
      </c>
      <c r="M984" s="2">
        <v>536581.9</v>
      </c>
      <c r="N984" t="s">
        <v>7918</v>
      </c>
      <c r="O984" t="s">
        <v>52</v>
      </c>
      <c r="P984" t="str">
        <f>CONCATENATE("'",Tabla1[[#This Row],[Codigo]],"',")</f>
        <v>'01722',</v>
      </c>
    </row>
    <row r="985" spans="1:16" x14ac:dyDescent="0.25">
      <c r="A985" t="s">
        <v>7919</v>
      </c>
      <c r="B985" t="s">
        <v>7920</v>
      </c>
      <c r="C985" t="s">
        <v>7920</v>
      </c>
      <c r="D985" t="s">
        <v>153</v>
      </c>
      <c r="E985" t="s">
        <v>272</v>
      </c>
      <c r="F985" t="s">
        <v>7921</v>
      </c>
      <c r="G985" t="s">
        <v>7922</v>
      </c>
      <c r="H985" t="s">
        <v>7923</v>
      </c>
      <c r="I985" t="s">
        <v>7924</v>
      </c>
      <c r="J985" t="s">
        <v>6987</v>
      </c>
      <c r="K985" t="s">
        <v>6988</v>
      </c>
      <c r="L985" t="s">
        <v>50</v>
      </c>
      <c r="M985" s="2">
        <v>59065.88</v>
      </c>
      <c r="N985" t="s">
        <v>7926</v>
      </c>
      <c r="O985" t="s">
        <v>52</v>
      </c>
      <c r="P985" t="str">
        <f>CONCATENATE("'",Tabla1[[#This Row],[Codigo]],"',")</f>
        <v>'01723',</v>
      </c>
    </row>
    <row r="986" spans="1:16" x14ac:dyDescent="0.25">
      <c r="A986" t="s">
        <v>7929</v>
      </c>
      <c r="B986" t="s">
        <v>7930</v>
      </c>
      <c r="C986" t="s">
        <v>7930</v>
      </c>
      <c r="D986" t="s">
        <v>847</v>
      </c>
      <c r="E986" t="s">
        <v>848</v>
      </c>
      <c r="F986" t="s">
        <v>7931</v>
      </c>
      <c r="G986" t="s">
        <v>881</v>
      </c>
      <c r="H986" t="s">
        <v>883</v>
      </c>
      <c r="I986" t="s">
        <v>881</v>
      </c>
      <c r="J986" t="s">
        <v>158</v>
      </c>
      <c r="K986" t="s">
        <v>159</v>
      </c>
      <c r="L986" t="s">
        <v>50</v>
      </c>
      <c r="M986" s="2">
        <v>205560.12</v>
      </c>
      <c r="N986" t="s">
        <v>7934</v>
      </c>
      <c r="P986" t="str">
        <f>CONCATENATE("'",Tabla1[[#This Row],[Codigo]],"',")</f>
        <v>'01725',</v>
      </c>
    </row>
    <row r="987" spans="1:16" x14ac:dyDescent="0.25">
      <c r="A987" t="s">
        <v>7940</v>
      </c>
      <c r="B987" t="s">
        <v>15171</v>
      </c>
      <c r="C987" t="s">
        <v>7941</v>
      </c>
      <c r="D987" t="s">
        <v>35</v>
      </c>
      <c r="E987" t="s">
        <v>36</v>
      </c>
      <c r="F987" t="s">
        <v>7942</v>
      </c>
      <c r="G987" t="s">
        <v>2647</v>
      </c>
      <c r="H987" t="s">
        <v>1362</v>
      </c>
      <c r="I987" t="s">
        <v>1360</v>
      </c>
      <c r="J987" t="s">
        <v>1109</v>
      </c>
      <c r="K987" t="s">
        <v>1110</v>
      </c>
      <c r="L987" t="s">
        <v>50</v>
      </c>
      <c r="M987" s="2">
        <v>165943.16</v>
      </c>
      <c r="N987" t="s">
        <v>7945</v>
      </c>
      <c r="O987" t="s">
        <v>52</v>
      </c>
      <c r="P987" t="str">
        <f>CONCATENATE("'",Tabla1[[#This Row],[Codigo]],"',")</f>
        <v>'01727',</v>
      </c>
    </row>
    <row r="988" spans="1:16" x14ac:dyDescent="0.25">
      <c r="A988" t="s">
        <v>7946</v>
      </c>
      <c r="B988" t="s">
        <v>7947</v>
      </c>
      <c r="C988" t="s">
        <v>7947</v>
      </c>
      <c r="D988" t="s">
        <v>1410</v>
      </c>
      <c r="E988" t="s">
        <v>871</v>
      </c>
      <c r="F988" t="s">
        <v>7948</v>
      </c>
      <c r="G988" t="s">
        <v>7949</v>
      </c>
      <c r="H988" t="s">
        <v>7951</v>
      </c>
      <c r="I988" t="s">
        <v>7949</v>
      </c>
      <c r="J988" t="s">
        <v>4374</v>
      </c>
      <c r="K988" t="s">
        <v>4375</v>
      </c>
      <c r="L988" t="s">
        <v>50</v>
      </c>
      <c r="M988" s="2">
        <v>73647.17</v>
      </c>
      <c r="N988" t="s">
        <v>7953</v>
      </c>
      <c r="P988" t="str">
        <f>CONCATENATE("'",Tabla1[[#This Row],[Codigo]],"',")</f>
        <v>'01728',</v>
      </c>
    </row>
    <row r="989" spans="1:16" x14ac:dyDescent="0.25">
      <c r="A989" t="s">
        <v>7954</v>
      </c>
      <c r="B989" t="s">
        <v>7955</v>
      </c>
      <c r="C989" t="s">
        <v>7955</v>
      </c>
      <c r="D989" t="s">
        <v>125</v>
      </c>
      <c r="E989" t="s">
        <v>126</v>
      </c>
      <c r="F989" t="s">
        <v>7956</v>
      </c>
      <c r="G989" t="s">
        <v>6986</v>
      </c>
      <c r="H989" t="s">
        <v>6985</v>
      </c>
      <c r="I989" t="s">
        <v>6986</v>
      </c>
      <c r="J989" t="s">
        <v>6987</v>
      </c>
      <c r="K989" t="s">
        <v>6988</v>
      </c>
      <c r="L989" t="s">
        <v>50</v>
      </c>
      <c r="M989" s="2">
        <v>767351.38</v>
      </c>
      <c r="N989" t="s">
        <v>7959</v>
      </c>
      <c r="O989" t="s">
        <v>52</v>
      </c>
      <c r="P989" t="str">
        <f>CONCATENATE("'",Tabla1[[#This Row],[Codigo]],"',")</f>
        <v>'01729',</v>
      </c>
    </row>
    <row r="990" spans="1:16" x14ac:dyDescent="0.25">
      <c r="A990" t="s">
        <v>7960</v>
      </c>
      <c r="B990" t="s">
        <v>15172</v>
      </c>
      <c r="C990" t="s">
        <v>7961</v>
      </c>
      <c r="D990" t="s">
        <v>178</v>
      </c>
      <c r="E990" t="s">
        <v>179</v>
      </c>
      <c r="F990" t="s">
        <v>7962</v>
      </c>
      <c r="G990" t="s">
        <v>7860</v>
      </c>
      <c r="H990" t="s">
        <v>4852</v>
      </c>
      <c r="I990" t="s">
        <v>4851</v>
      </c>
      <c r="J990" t="s">
        <v>4853</v>
      </c>
      <c r="K990" t="s">
        <v>4854</v>
      </c>
      <c r="L990" t="s">
        <v>50</v>
      </c>
      <c r="M990" s="2">
        <v>173993.55</v>
      </c>
      <c r="N990" t="s">
        <v>7965</v>
      </c>
      <c r="O990" t="s">
        <v>52</v>
      </c>
      <c r="P990" t="str">
        <f>CONCATENATE("'",Tabla1[[#This Row],[Codigo]],"',")</f>
        <v>'01730',</v>
      </c>
    </row>
    <row r="991" spans="1:16" x14ac:dyDescent="0.25">
      <c r="A991" t="s">
        <v>7966</v>
      </c>
      <c r="B991" t="s">
        <v>7967</v>
      </c>
      <c r="C991" t="s">
        <v>7967</v>
      </c>
      <c r="D991" t="s">
        <v>870</v>
      </c>
      <c r="E991" t="s">
        <v>871</v>
      </c>
      <c r="F991" t="s">
        <v>7968</v>
      </c>
      <c r="G991" t="s">
        <v>184</v>
      </c>
      <c r="H991" t="s">
        <v>183</v>
      </c>
      <c r="I991" t="s">
        <v>184</v>
      </c>
      <c r="J991" t="s">
        <v>158</v>
      </c>
      <c r="K991" t="s">
        <v>159</v>
      </c>
      <c r="L991" t="s">
        <v>50</v>
      </c>
      <c r="M991" s="2">
        <v>554306.06999999995</v>
      </c>
      <c r="N991" t="s">
        <v>7971</v>
      </c>
      <c r="P991" t="str">
        <f>CONCATENATE("'",Tabla1[[#This Row],[Codigo]],"',")</f>
        <v>'01733',</v>
      </c>
    </row>
    <row r="992" spans="1:16" x14ac:dyDescent="0.25">
      <c r="A992" t="s">
        <v>7972</v>
      </c>
      <c r="B992" t="s">
        <v>7973</v>
      </c>
      <c r="C992" t="s">
        <v>7973</v>
      </c>
      <c r="D992" t="s">
        <v>125</v>
      </c>
      <c r="E992" t="s">
        <v>126</v>
      </c>
      <c r="F992" t="s">
        <v>7974</v>
      </c>
      <c r="G992" t="s">
        <v>6939</v>
      </c>
      <c r="H992" t="s">
        <v>6940</v>
      </c>
      <c r="I992" t="s">
        <v>6939</v>
      </c>
      <c r="J992" t="s">
        <v>3487</v>
      </c>
      <c r="K992" t="s">
        <v>3488</v>
      </c>
      <c r="L992" t="s">
        <v>50</v>
      </c>
      <c r="M992" s="2">
        <v>467102.88</v>
      </c>
      <c r="N992" t="s">
        <v>7977</v>
      </c>
      <c r="O992" t="s">
        <v>52</v>
      </c>
      <c r="P992" t="str">
        <f>CONCATENATE("'",Tabla1[[#This Row],[Codigo]],"',")</f>
        <v>'01734',</v>
      </c>
    </row>
    <row r="993" spans="1:16" x14ac:dyDescent="0.25">
      <c r="A993" t="s">
        <v>7978</v>
      </c>
      <c r="B993" t="s">
        <v>7979</v>
      </c>
      <c r="C993" t="s">
        <v>7979</v>
      </c>
      <c r="D993" t="s">
        <v>178</v>
      </c>
      <c r="E993" t="s">
        <v>179</v>
      </c>
      <c r="F993" t="s">
        <v>7980</v>
      </c>
      <c r="G993" t="s">
        <v>7766</v>
      </c>
      <c r="H993" t="s">
        <v>7747</v>
      </c>
      <c r="I993" t="s">
        <v>2400</v>
      </c>
      <c r="J993" t="s">
        <v>6987</v>
      </c>
      <c r="K993" t="s">
        <v>6988</v>
      </c>
      <c r="L993" t="s">
        <v>50</v>
      </c>
      <c r="M993" s="2">
        <v>64420.03</v>
      </c>
      <c r="N993" t="s">
        <v>7983</v>
      </c>
      <c r="P993" t="str">
        <f>CONCATENATE("'",Tabla1[[#This Row],[Codigo]],"',")</f>
        <v>'01735',</v>
      </c>
    </row>
    <row r="994" spans="1:16" x14ac:dyDescent="0.25">
      <c r="A994" t="s">
        <v>7984</v>
      </c>
      <c r="B994" t="s">
        <v>7985</v>
      </c>
      <c r="C994" t="s">
        <v>7985</v>
      </c>
      <c r="D994" t="s">
        <v>847</v>
      </c>
      <c r="E994" t="s">
        <v>848</v>
      </c>
      <c r="F994" t="s">
        <v>7986</v>
      </c>
      <c r="G994" t="s">
        <v>6986</v>
      </c>
      <c r="H994" t="s">
        <v>6985</v>
      </c>
      <c r="I994" t="s">
        <v>6986</v>
      </c>
      <c r="J994" t="s">
        <v>6987</v>
      </c>
      <c r="K994" t="s">
        <v>6988</v>
      </c>
      <c r="L994" t="s">
        <v>50</v>
      </c>
      <c r="M994" s="2">
        <v>-100429.02</v>
      </c>
      <c r="N994" t="s">
        <v>7989</v>
      </c>
      <c r="O994" t="s">
        <v>52</v>
      </c>
      <c r="P994" t="str">
        <f>CONCATENATE("'",Tabla1[[#This Row],[Codigo]],"',")</f>
        <v>'01736',</v>
      </c>
    </row>
    <row r="995" spans="1:16" x14ac:dyDescent="0.25">
      <c r="A995" t="s">
        <v>7990</v>
      </c>
      <c r="B995" t="s">
        <v>7991</v>
      </c>
      <c r="C995" t="s">
        <v>7991</v>
      </c>
      <c r="D995" t="s">
        <v>35</v>
      </c>
      <c r="E995" t="s">
        <v>36</v>
      </c>
      <c r="F995" t="s">
        <v>7992</v>
      </c>
      <c r="G995" t="s">
        <v>2396</v>
      </c>
      <c r="H995" t="s">
        <v>6985</v>
      </c>
      <c r="I995" t="s">
        <v>6986</v>
      </c>
      <c r="J995" t="s">
        <v>6987</v>
      </c>
      <c r="K995" t="s">
        <v>6988</v>
      </c>
      <c r="L995" t="s">
        <v>50</v>
      </c>
      <c r="M995" s="2">
        <v>879990.06</v>
      </c>
      <c r="N995" t="s">
        <v>7995</v>
      </c>
      <c r="O995" t="s">
        <v>52</v>
      </c>
      <c r="P995" t="str">
        <f>CONCATENATE("'",Tabla1[[#This Row],[Codigo]],"',")</f>
        <v>'01737',</v>
      </c>
    </row>
    <row r="996" spans="1:16" x14ac:dyDescent="0.25">
      <c r="A996" t="s">
        <v>7996</v>
      </c>
      <c r="B996" t="s">
        <v>7997</v>
      </c>
      <c r="C996" t="s">
        <v>7997</v>
      </c>
      <c r="D996" t="s">
        <v>153</v>
      </c>
      <c r="E996" t="s">
        <v>272</v>
      </c>
      <c r="F996" t="s">
        <v>7998</v>
      </c>
      <c r="G996" t="s">
        <v>6986</v>
      </c>
      <c r="H996" t="s">
        <v>6985</v>
      </c>
      <c r="I996" t="s">
        <v>6986</v>
      </c>
      <c r="J996" t="s">
        <v>6987</v>
      </c>
      <c r="K996" t="s">
        <v>6988</v>
      </c>
      <c r="L996" t="s">
        <v>50</v>
      </c>
      <c r="M996" s="2">
        <v>598589.02</v>
      </c>
      <c r="N996" t="s">
        <v>8001</v>
      </c>
      <c r="O996" t="s">
        <v>115</v>
      </c>
      <c r="P996" t="str">
        <f>CONCATENATE("'",Tabla1[[#This Row],[Codigo]],"',")</f>
        <v>'01738',</v>
      </c>
    </row>
    <row r="997" spans="1:16" x14ac:dyDescent="0.25">
      <c r="A997" t="s">
        <v>8002</v>
      </c>
      <c r="B997" t="s">
        <v>8003</v>
      </c>
      <c r="C997" t="s">
        <v>8003</v>
      </c>
      <c r="D997" t="s">
        <v>125</v>
      </c>
      <c r="E997" t="s">
        <v>126</v>
      </c>
      <c r="F997" t="s">
        <v>8004</v>
      </c>
      <c r="G997" t="s">
        <v>8005</v>
      </c>
      <c r="H997" t="s">
        <v>8007</v>
      </c>
      <c r="I997" t="s">
        <v>8005</v>
      </c>
      <c r="J997" t="s">
        <v>6987</v>
      </c>
      <c r="K997" t="s">
        <v>6988</v>
      </c>
      <c r="L997" t="s">
        <v>50</v>
      </c>
      <c r="M997" s="2">
        <v>770417.26</v>
      </c>
      <c r="N997" t="s">
        <v>8009</v>
      </c>
      <c r="O997" t="s">
        <v>52</v>
      </c>
      <c r="P997" t="str">
        <f>CONCATENATE("'",Tabla1[[#This Row],[Codigo]],"',")</f>
        <v>'01739',</v>
      </c>
    </row>
    <row r="998" spans="1:16" x14ac:dyDescent="0.25">
      <c r="A998" t="s">
        <v>8010</v>
      </c>
      <c r="B998" t="s">
        <v>8011</v>
      </c>
      <c r="C998" t="s">
        <v>8011</v>
      </c>
      <c r="D998" t="s">
        <v>125</v>
      </c>
      <c r="E998" t="s">
        <v>126</v>
      </c>
      <c r="F998" t="s">
        <v>8012</v>
      </c>
      <c r="G998" t="s">
        <v>2396</v>
      </c>
      <c r="H998" t="s">
        <v>6985</v>
      </c>
      <c r="I998" t="s">
        <v>6986</v>
      </c>
      <c r="J998" t="s">
        <v>6987</v>
      </c>
      <c r="K998" t="s">
        <v>6988</v>
      </c>
      <c r="L998" t="s">
        <v>50</v>
      </c>
      <c r="M998" s="2">
        <v>208286.25</v>
      </c>
      <c r="N998" t="s">
        <v>8015</v>
      </c>
      <c r="O998" t="s">
        <v>115</v>
      </c>
      <c r="P998" t="str">
        <f>CONCATENATE("'",Tabla1[[#This Row],[Codigo]],"',")</f>
        <v>'01740',</v>
      </c>
    </row>
    <row r="999" spans="1:16" x14ac:dyDescent="0.25">
      <c r="A999" t="s">
        <v>8016</v>
      </c>
      <c r="B999" t="s">
        <v>8017</v>
      </c>
      <c r="C999" t="s">
        <v>8017</v>
      </c>
      <c r="D999" t="s">
        <v>569</v>
      </c>
      <c r="E999" t="s">
        <v>570</v>
      </c>
      <c r="F999" t="s">
        <v>8018</v>
      </c>
      <c r="G999" t="s">
        <v>404</v>
      </c>
      <c r="H999" t="s">
        <v>403</v>
      </c>
      <c r="I999" t="s">
        <v>404</v>
      </c>
      <c r="J999" t="s">
        <v>205</v>
      </c>
      <c r="K999" t="s">
        <v>206</v>
      </c>
      <c r="L999" t="s">
        <v>50</v>
      </c>
      <c r="M999" s="2">
        <v>344125.15</v>
      </c>
      <c r="N999" t="s">
        <v>8020</v>
      </c>
      <c r="O999" t="s">
        <v>52</v>
      </c>
      <c r="P999" t="str">
        <f>CONCATENATE("'",Tabla1[[#This Row],[Codigo]],"',")</f>
        <v>'01741',</v>
      </c>
    </row>
    <row r="1000" spans="1:16" x14ac:dyDescent="0.25">
      <c r="A1000" t="s">
        <v>8021</v>
      </c>
      <c r="B1000" t="s">
        <v>8022</v>
      </c>
      <c r="C1000" t="s">
        <v>8022</v>
      </c>
      <c r="D1000" t="s">
        <v>1633</v>
      </c>
      <c r="E1000" t="s">
        <v>1502</v>
      </c>
      <c r="F1000" t="s">
        <v>8023</v>
      </c>
      <c r="G1000" t="s">
        <v>79</v>
      </c>
      <c r="H1000" t="s">
        <v>495</v>
      </c>
      <c r="I1000" t="s">
        <v>79</v>
      </c>
      <c r="J1000" t="s">
        <v>3487</v>
      </c>
      <c r="K1000" t="s">
        <v>3488</v>
      </c>
      <c r="L1000" t="s">
        <v>50</v>
      </c>
      <c r="M1000" s="2">
        <v>422265.31</v>
      </c>
      <c r="N1000" t="s">
        <v>8026</v>
      </c>
      <c r="O1000" t="s">
        <v>52</v>
      </c>
      <c r="P1000" t="str">
        <f>CONCATENATE("'",Tabla1[[#This Row],[Codigo]],"',")</f>
        <v>'01742',</v>
      </c>
    </row>
    <row r="1001" spans="1:16" x14ac:dyDescent="0.25">
      <c r="A1001" t="s">
        <v>8032</v>
      </c>
      <c r="B1001" t="s">
        <v>8033</v>
      </c>
      <c r="C1001" t="s">
        <v>8033</v>
      </c>
      <c r="D1001" t="s">
        <v>35</v>
      </c>
      <c r="E1001" t="s">
        <v>36</v>
      </c>
      <c r="F1001" t="s">
        <v>8034</v>
      </c>
      <c r="G1001" t="s">
        <v>665</v>
      </c>
      <c r="H1001" t="s">
        <v>664</v>
      </c>
      <c r="I1001" t="s">
        <v>665</v>
      </c>
      <c r="J1001" t="s">
        <v>103</v>
      </c>
      <c r="K1001" t="s">
        <v>104</v>
      </c>
      <c r="L1001" t="s">
        <v>50</v>
      </c>
      <c r="M1001" s="2">
        <v>2251745.7999999998</v>
      </c>
      <c r="N1001" t="s">
        <v>8037</v>
      </c>
      <c r="O1001" t="s">
        <v>52</v>
      </c>
      <c r="P1001" t="str">
        <f>CONCATENATE("'",Tabla1[[#This Row],[Codigo]],"',")</f>
        <v>'01745',</v>
      </c>
    </row>
    <row r="1002" spans="1:16" x14ac:dyDescent="0.25">
      <c r="A1002" t="s">
        <v>8045</v>
      </c>
      <c r="B1002" t="s">
        <v>8046</v>
      </c>
      <c r="C1002" t="s">
        <v>8046</v>
      </c>
      <c r="D1002" t="s">
        <v>649</v>
      </c>
      <c r="E1002" t="s">
        <v>871</v>
      </c>
      <c r="F1002" t="s">
        <v>8047</v>
      </c>
      <c r="G1002" t="s">
        <v>911</v>
      </c>
      <c r="H1002" t="s">
        <v>913</v>
      </c>
      <c r="I1002" t="s">
        <v>914</v>
      </c>
      <c r="J1002" t="s">
        <v>103</v>
      </c>
      <c r="K1002" t="s">
        <v>104</v>
      </c>
      <c r="L1002" t="s">
        <v>50</v>
      </c>
      <c r="M1002" s="2">
        <v>392706</v>
      </c>
      <c r="N1002" t="s">
        <v>64</v>
      </c>
      <c r="P1002" t="str">
        <f>CONCATENATE("'",Tabla1[[#This Row],[Codigo]],"',")</f>
        <v>'01755',</v>
      </c>
    </row>
    <row r="1003" spans="1:16" x14ac:dyDescent="0.25">
      <c r="A1003" t="s">
        <v>8050</v>
      </c>
      <c r="B1003" t="s">
        <v>8051</v>
      </c>
      <c r="C1003" t="s">
        <v>8051</v>
      </c>
      <c r="D1003" t="s">
        <v>125</v>
      </c>
      <c r="E1003" t="s">
        <v>126</v>
      </c>
      <c r="F1003" t="s">
        <v>8052</v>
      </c>
      <c r="G1003" t="s">
        <v>255</v>
      </c>
      <c r="H1003" t="s">
        <v>254</v>
      </c>
      <c r="I1003" t="s">
        <v>255</v>
      </c>
      <c r="J1003" t="s">
        <v>2320</v>
      </c>
      <c r="K1003" t="s">
        <v>2321</v>
      </c>
      <c r="L1003" t="s">
        <v>50</v>
      </c>
      <c r="M1003" s="2">
        <v>60740.93</v>
      </c>
      <c r="N1003" t="s">
        <v>8054</v>
      </c>
      <c r="O1003" t="s">
        <v>52</v>
      </c>
      <c r="P1003" t="str">
        <f>CONCATENATE("'",Tabla1[[#This Row],[Codigo]],"',")</f>
        <v>'01756',</v>
      </c>
    </row>
    <row r="1004" spans="1:16" x14ac:dyDescent="0.25">
      <c r="A1004" t="s">
        <v>8055</v>
      </c>
      <c r="B1004" t="s">
        <v>8056</v>
      </c>
      <c r="C1004" t="s">
        <v>8056</v>
      </c>
      <c r="D1004" t="s">
        <v>125</v>
      </c>
      <c r="E1004" t="s">
        <v>126</v>
      </c>
      <c r="F1004" t="s">
        <v>8057</v>
      </c>
      <c r="G1004" t="s">
        <v>255</v>
      </c>
      <c r="H1004" t="s">
        <v>254</v>
      </c>
      <c r="I1004" t="s">
        <v>255</v>
      </c>
      <c r="J1004" t="s">
        <v>2320</v>
      </c>
      <c r="K1004" t="s">
        <v>2321</v>
      </c>
      <c r="L1004" t="s">
        <v>50</v>
      </c>
      <c r="M1004" s="2">
        <v>-158712.62</v>
      </c>
      <c r="N1004" t="s">
        <v>8060</v>
      </c>
      <c r="O1004" t="s">
        <v>52</v>
      </c>
      <c r="P1004" t="str">
        <f>CONCATENATE("'",Tabla1[[#This Row],[Codigo]],"',")</f>
        <v>'01757',</v>
      </c>
    </row>
    <row r="1005" spans="1:16" x14ac:dyDescent="0.25">
      <c r="A1005" t="s">
        <v>8063</v>
      </c>
      <c r="B1005" t="s">
        <v>8064</v>
      </c>
      <c r="C1005" t="s">
        <v>8064</v>
      </c>
      <c r="D1005" t="s">
        <v>125</v>
      </c>
      <c r="E1005" t="s">
        <v>126</v>
      </c>
      <c r="F1005" t="s">
        <v>8057</v>
      </c>
      <c r="G1005" t="s">
        <v>5110</v>
      </c>
      <c r="H1005" t="s">
        <v>5112</v>
      </c>
      <c r="I1005" t="s">
        <v>5110</v>
      </c>
      <c r="J1005" t="s">
        <v>2320</v>
      </c>
      <c r="K1005" t="s">
        <v>2321</v>
      </c>
      <c r="L1005" t="s">
        <v>50</v>
      </c>
      <c r="M1005" s="2">
        <v>58206.080000000002</v>
      </c>
      <c r="N1005" t="s">
        <v>8065</v>
      </c>
      <c r="O1005" t="s">
        <v>52</v>
      </c>
      <c r="P1005" t="str">
        <f>CONCATENATE("'",Tabla1[[#This Row],[Codigo]],"',")</f>
        <v>'01759',</v>
      </c>
    </row>
    <row r="1006" spans="1:16" x14ac:dyDescent="0.25">
      <c r="A1006" t="s">
        <v>8066</v>
      </c>
      <c r="B1006" t="s">
        <v>8067</v>
      </c>
      <c r="C1006" t="s">
        <v>8067</v>
      </c>
      <c r="D1006" t="s">
        <v>153</v>
      </c>
      <c r="E1006" t="s">
        <v>272</v>
      </c>
      <c r="F1006" t="s">
        <v>8068</v>
      </c>
      <c r="G1006" t="s">
        <v>7518</v>
      </c>
      <c r="H1006" t="s">
        <v>7517</v>
      </c>
      <c r="I1006" t="s">
        <v>7518</v>
      </c>
      <c r="J1006" t="s">
        <v>2320</v>
      </c>
      <c r="K1006" t="s">
        <v>2321</v>
      </c>
      <c r="L1006" t="s">
        <v>50</v>
      </c>
      <c r="M1006" s="2">
        <v>597834.07999999996</v>
      </c>
      <c r="N1006" t="s">
        <v>8071</v>
      </c>
      <c r="O1006" t="s">
        <v>52</v>
      </c>
      <c r="P1006" t="str">
        <f>CONCATENATE("'",Tabla1[[#This Row],[Codigo]],"',")</f>
        <v>'01760',</v>
      </c>
    </row>
    <row r="1007" spans="1:16" x14ac:dyDescent="0.25">
      <c r="A1007" t="s">
        <v>8072</v>
      </c>
      <c r="B1007" t="s">
        <v>8073</v>
      </c>
      <c r="C1007" t="s">
        <v>8073</v>
      </c>
      <c r="D1007" t="s">
        <v>125</v>
      </c>
      <c r="E1007" t="s">
        <v>126</v>
      </c>
      <c r="F1007" t="s">
        <v>8074</v>
      </c>
      <c r="G1007" t="s">
        <v>8075</v>
      </c>
      <c r="H1007" t="s">
        <v>8076</v>
      </c>
      <c r="I1007" t="s">
        <v>8077</v>
      </c>
      <c r="J1007" t="s">
        <v>2320</v>
      </c>
      <c r="K1007" t="s">
        <v>2321</v>
      </c>
      <c r="L1007" t="s">
        <v>50</v>
      </c>
      <c r="M1007" s="2">
        <v>-85049.76</v>
      </c>
      <c r="N1007" t="s">
        <v>8080</v>
      </c>
      <c r="O1007" t="s">
        <v>52</v>
      </c>
      <c r="P1007" t="str">
        <f>CONCATENATE("'",Tabla1[[#This Row],[Codigo]],"',")</f>
        <v>'01761',</v>
      </c>
    </row>
    <row r="1008" spans="1:16" x14ac:dyDescent="0.25">
      <c r="A1008" t="s">
        <v>8081</v>
      </c>
      <c r="B1008" t="s">
        <v>8082</v>
      </c>
      <c r="C1008" t="s">
        <v>8082</v>
      </c>
      <c r="D1008" t="s">
        <v>153</v>
      </c>
      <c r="E1008" t="s">
        <v>272</v>
      </c>
      <c r="F1008" t="s">
        <v>8083</v>
      </c>
      <c r="G1008" t="s">
        <v>7518</v>
      </c>
      <c r="H1008" t="s">
        <v>7517</v>
      </c>
      <c r="I1008" t="s">
        <v>7518</v>
      </c>
      <c r="J1008" t="s">
        <v>2320</v>
      </c>
      <c r="K1008" t="s">
        <v>2321</v>
      </c>
      <c r="L1008" t="s">
        <v>50</v>
      </c>
      <c r="M1008" s="2">
        <v>101237.84</v>
      </c>
      <c r="N1008" t="s">
        <v>8085</v>
      </c>
      <c r="O1008" t="s">
        <v>115</v>
      </c>
      <c r="P1008" t="str">
        <f>CONCATENATE("'",Tabla1[[#This Row],[Codigo]],"',")</f>
        <v>'01762',</v>
      </c>
    </row>
    <row r="1009" spans="1:16" x14ac:dyDescent="0.25">
      <c r="A1009" t="s">
        <v>8086</v>
      </c>
      <c r="B1009" t="s">
        <v>8087</v>
      </c>
      <c r="C1009" t="s">
        <v>8087</v>
      </c>
      <c r="D1009" t="s">
        <v>297</v>
      </c>
      <c r="E1009" t="s">
        <v>167</v>
      </c>
      <c r="F1009" t="s">
        <v>8088</v>
      </c>
      <c r="G1009" t="s">
        <v>7518</v>
      </c>
      <c r="H1009" t="s">
        <v>7517</v>
      </c>
      <c r="I1009" t="s">
        <v>7518</v>
      </c>
      <c r="J1009" t="s">
        <v>2320</v>
      </c>
      <c r="K1009" t="s">
        <v>2321</v>
      </c>
      <c r="L1009" t="s">
        <v>50</v>
      </c>
      <c r="M1009" s="2">
        <v>343110.95</v>
      </c>
      <c r="N1009" t="s">
        <v>8090</v>
      </c>
      <c r="O1009" t="s">
        <v>115</v>
      </c>
      <c r="P1009" t="str">
        <f>CONCATENATE("'",Tabla1[[#This Row],[Codigo]],"',")</f>
        <v>'01763',</v>
      </c>
    </row>
    <row r="1010" spans="1:16" x14ac:dyDescent="0.25">
      <c r="A1010" t="s">
        <v>8091</v>
      </c>
      <c r="B1010" t="s">
        <v>8092</v>
      </c>
      <c r="C1010" t="s">
        <v>8092</v>
      </c>
      <c r="D1010" t="s">
        <v>125</v>
      </c>
      <c r="E1010" t="s">
        <v>126</v>
      </c>
      <c r="F1010" t="s">
        <v>8093</v>
      </c>
      <c r="G1010" t="s">
        <v>4795</v>
      </c>
      <c r="H1010" t="s">
        <v>4797</v>
      </c>
      <c r="I1010" t="s">
        <v>4798</v>
      </c>
      <c r="J1010" t="s">
        <v>2320</v>
      </c>
      <c r="K1010" t="s">
        <v>2321</v>
      </c>
      <c r="L1010" t="s">
        <v>50</v>
      </c>
      <c r="M1010" s="2">
        <v>228919.84</v>
      </c>
      <c r="N1010" t="s">
        <v>8095</v>
      </c>
      <c r="O1010" t="s">
        <v>115</v>
      </c>
      <c r="P1010" t="str">
        <f>CONCATENATE("'",Tabla1[[#This Row],[Codigo]],"',")</f>
        <v>'01764',</v>
      </c>
    </row>
    <row r="1011" spans="1:16" x14ac:dyDescent="0.25">
      <c r="A1011" t="s">
        <v>8096</v>
      </c>
      <c r="B1011" t="s">
        <v>8097</v>
      </c>
      <c r="C1011" t="s">
        <v>8097</v>
      </c>
      <c r="D1011" t="s">
        <v>519</v>
      </c>
      <c r="E1011" t="s">
        <v>77</v>
      </c>
      <c r="F1011" t="s">
        <v>8098</v>
      </c>
      <c r="G1011" t="s">
        <v>8099</v>
      </c>
      <c r="H1011" t="s">
        <v>8100</v>
      </c>
      <c r="I1011" t="s">
        <v>8101</v>
      </c>
      <c r="J1011" t="s">
        <v>4853</v>
      </c>
      <c r="K1011" t="s">
        <v>4854</v>
      </c>
      <c r="L1011" t="s">
        <v>50</v>
      </c>
      <c r="M1011" s="2">
        <v>780</v>
      </c>
      <c r="N1011" t="s">
        <v>64</v>
      </c>
      <c r="P1011" t="str">
        <f>CONCATENATE("'",Tabla1[[#This Row],[Codigo]],"',")</f>
        <v>'01765',</v>
      </c>
    </row>
    <row r="1012" spans="1:16" x14ac:dyDescent="0.25">
      <c r="A1012" t="s">
        <v>8103</v>
      </c>
      <c r="B1012" t="s">
        <v>8104</v>
      </c>
      <c r="C1012" t="s">
        <v>8104</v>
      </c>
      <c r="D1012" t="s">
        <v>1846</v>
      </c>
      <c r="E1012" t="s">
        <v>134</v>
      </c>
      <c r="F1012" t="s">
        <v>8105</v>
      </c>
      <c r="G1012" t="s">
        <v>665</v>
      </c>
      <c r="H1012" t="s">
        <v>664</v>
      </c>
      <c r="I1012" t="s">
        <v>665</v>
      </c>
      <c r="J1012" t="s">
        <v>103</v>
      </c>
      <c r="K1012" t="s">
        <v>104</v>
      </c>
      <c r="L1012" t="s">
        <v>50</v>
      </c>
      <c r="M1012" s="2">
        <v>109085</v>
      </c>
      <c r="N1012" t="s">
        <v>64</v>
      </c>
      <c r="P1012" t="str">
        <f>CONCATENATE("'",Tabla1[[#This Row],[Codigo]],"',")</f>
        <v>'01766',</v>
      </c>
    </row>
    <row r="1013" spans="1:16" x14ac:dyDescent="0.25">
      <c r="A1013" t="s">
        <v>8107</v>
      </c>
      <c r="B1013" t="s">
        <v>8108</v>
      </c>
      <c r="C1013" t="s">
        <v>8108</v>
      </c>
      <c r="D1013" t="s">
        <v>178</v>
      </c>
      <c r="E1013" t="s">
        <v>179</v>
      </c>
      <c r="F1013" t="s">
        <v>8109</v>
      </c>
      <c r="G1013" t="s">
        <v>280</v>
      </c>
      <c r="H1013" t="s">
        <v>1592</v>
      </c>
      <c r="I1013" t="s">
        <v>280</v>
      </c>
      <c r="J1013" t="s">
        <v>103</v>
      </c>
      <c r="K1013" t="s">
        <v>104</v>
      </c>
      <c r="L1013" t="s">
        <v>50</v>
      </c>
      <c r="M1013" s="2">
        <v>237787.68</v>
      </c>
      <c r="N1013" t="s">
        <v>8110</v>
      </c>
      <c r="O1013" t="s">
        <v>52</v>
      </c>
      <c r="P1013" t="str">
        <f>CONCATENATE("'",Tabla1[[#This Row],[Codigo]],"',")</f>
        <v>'01767',</v>
      </c>
    </row>
    <row r="1014" spans="1:16" x14ac:dyDescent="0.25">
      <c r="A1014" t="s">
        <v>8111</v>
      </c>
      <c r="B1014" t="s">
        <v>8112</v>
      </c>
      <c r="C1014" t="s">
        <v>8112</v>
      </c>
      <c r="D1014" t="s">
        <v>125</v>
      </c>
      <c r="E1014" t="s">
        <v>126</v>
      </c>
      <c r="F1014" t="s">
        <v>8113</v>
      </c>
      <c r="G1014" t="s">
        <v>914</v>
      </c>
      <c r="H1014" t="s">
        <v>913</v>
      </c>
      <c r="I1014" t="s">
        <v>914</v>
      </c>
      <c r="J1014" t="s">
        <v>103</v>
      </c>
      <c r="K1014" t="s">
        <v>104</v>
      </c>
      <c r="L1014" t="s">
        <v>50</v>
      </c>
      <c r="M1014" s="2">
        <v>815841.23</v>
      </c>
      <c r="N1014" t="s">
        <v>8116</v>
      </c>
      <c r="O1014" t="s">
        <v>52</v>
      </c>
      <c r="P1014" t="str">
        <f>CONCATENATE("'",Tabla1[[#This Row],[Codigo]],"',")</f>
        <v>'01768',</v>
      </c>
    </row>
    <row r="1015" spans="1:16" x14ac:dyDescent="0.25">
      <c r="A1015" t="s">
        <v>8117</v>
      </c>
      <c r="B1015" t="s">
        <v>8118</v>
      </c>
      <c r="C1015" t="s">
        <v>8118</v>
      </c>
      <c r="D1015" t="s">
        <v>153</v>
      </c>
      <c r="E1015" t="s">
        <v>272</v>
      </c>
      <c r="F1015" t="s">
        <v>8119</v>
      </c>
      <c r="G1015" t="s">
        <v>6519</v>
      </c>
      <c r="H1015" t="s">
        <v>5201</v>
      </c>
      <c r="I1015" t="s">
        <v>5202</v>
      </c>
      <c r="J1015" t="s">
        <v>4853</v>
      </c>
      <c r="K1015" t="s">
        <v>4854</v>
      </c>
      <c r="L1015" t="s">
        <v>50</v>
      </c>
      <c r="M1015" s="2">
        <v>277565.27</v>
      </c>
      <c r="N1015" t="s">
        <v>8121</v>
      </c>
      <c r="O1015" t="s">
        <v>52</v>
      </c>
      <c r="P1015" t="str">
        <f>CONCATENATE("'",Tabla1[[#This Row],[Codigo]],"',")</f>
        <v>'01769',</v>
      </c>
    </row>
    <row r="1016" spans="1:16" x14ac:dyDescent="0.25">
      <c r="A1016" t="s">
        <v>8126</v>
      </c>
      <c r="B1016" t="s">
        <v>8127</v>
      </c>
      <c r="C1016" t="s">
        <v>8127</v>
      </c>
      <c r="D1016" t="s">
        <v>3192</v>
      </c>
      <c r="E1016" t="s">
        <v>224</v>
      </c>
      <c r="F1016" t="s">
        <v>8128</v>
      </c>
      <c r="G1016" t="s">
        <v>1360</v>
      </c>
      <c r="H1016" t="s">
        <v>1362</v>
      </c>
      <c r="I1016" t="s">
        <v>1360</v>
      </c>
      <c r="J1016" t="s">
        <v>1421</v>
      </c>
      <c r="K1016" t="s">
        <v>1422</v>
      </c>
      <c r="L1016" t="s">
        <v>50</v>
      </c>
      <c r="M1016" s="2">
        <v>109085</v>
      </c>
      <c r="N1016" t="s">
        <v>64</v>
      </c>
      <c r="P1016" t="str">
        <f>CONCATENATE("'",Tabla1[[#This Row],[Codigo]],"',")</f>
        <v>'01771',</v>
      </c>
    </row>
    <row r="1017" spans="1:16" x14ac:dyDescent="0.25">
      <c r="A1017" t="s">
        <v>8130</v>
      </c>
      <c r="B1017" t="s">
        <v>15173</v>
      </c>
      <c r="C1017" t="s">
        <v>8131</v>
      </c>
      <c r="D1017" t="s">
        <v>569</v>
      </c>
      <c r="E1017" t="s">
        <v>570</v>
      </c>
      <c r="F1017" t="s">
        <v>8132</v>
      </c>
      <c r="G1017" t="s">
        <v>8133</v>
      </c>
      <c r="H1017" t="s">
        <v>7837</v>
      </c>
      <c r="I1017" t="s">
        <v>7838</v>
      </c>
      <c r="J1017" t="s">
        <v>3487</v>
      </c>
      <c r="K1017" t="s">
        <v>3488</v>
      </c>
      <c r="L1017" t="s">
        <v>50</v>
      </c>
      <c r="M1017" s="2">
        <v>126084.27</v>
      </c>
      <c r="N1017" t="s">
        <v>8136</v>
      </c>
      <c r="P1017" t="str">
        <f>CONCATENATE("'",Tabla1[[#This Row],[Codigo]],"',")</f>
        <v>'01772',</v>
      </c>
    </row>
    <row r="1018" spans="1:16" x14ac:dyDescent="0.25">
      <c r="A1018" t="s">
        <v>8137</v>
      </c>
      <c r="B1018" t="s">
        <v>8138</v>
      </c>
      <c r="C1018" t="s">
        <v>8138</v>
      </c>
      <c r="D1018" t="s">
        <v>35</v>
      </c>
      <c r="E1018" t="s">
        <v>36</v>
      </c>
      <c r="F1018" t="s">
        <v>8139</v>
      </c>
      <c r="G1018" t="s">
        <v>6519</v>
      </c>
      <c r="H1018" t="s">
        <v>5201</v>
      </c>
      <c r="I1018" t="s">
        <v>5202</v>
      </c>
      <c r="J1018" t="s">
        <v>4853</v>
      </c>
      <c r="K1018" t="s">
        <v>4854</v>
      </c>
      <c r="L1018" t="s">
        <v>50</v>
      </c>
      <c r="M1018" s="2">
        <v>288108.15999999997</v>
      </c>
      <c r="N1018" t="s">
        <v>8141</v>
      </c>
      <c r="O1018" t="s">
        <v>52</v>
      </c>
      <c r="P1018" t="str">
        <f>CONCATENATE("'",Tabla1[[#This Row],[Codigo]],"',")</f>
        <v>'01773',</v>
      </c>
    </row>
    <row r="1019" spans="1:16" x14ac:dyDescent="0.25">
      <c r="A1019" t="s">
        <v>8142</v>
      </c>
      <c r="B1019" t="s">
        <v>8143</v>
      </c>
      <c r="C1019" t="s">
        <v>8143</v>
      </c>
      <c r="D1019" t="s">
        <v>299</v>
      </c>
      <c r="E1019" t="s">
        <v>167</v>
      </c>
      <c r="F1019" t="s">
        <v>8144</v>
      </c>
      <c r="G1019" t="s">
        <v>8145</v>
      </c>
      <c r="H1019" t="s">
        <v>753</v>
      </c>
      <c r="I1019" t="s">
        <v>754</v>
      </c>
      <c r="J1019" t="s">
        <v>61</v>
      </c>
      <c r="K1019" t="s">
        <v>62</v>
      </c>
      <c r="L1019" t="s">
        <v>50</v>
      </c>
      <c r="M1019" s="2">
        <v>70152.460000000006</v>
      </c>
      <c r="N1019" t="s">
        <v>8147</v>
      </c>
      <c r="O1019" t="s">
        <v>52</v>
      </c>
      <c r="P1019" t="str">
        <f>CONCATENATE("'",Tabla1[[#This Row],[Codigo]],"',")</f>
        <v>'01774',</v>
      </c>
    </row>
    <row r="1020" spans="1:16" x14ac:dyDescent="0.25">
      <c r="A1020" t="s">
        <v>8148</v>
      </c>
      <c r="B1020" t="s">
        <v>8149</v>
      </c>
      <c r="C1020" t="s">
        <v>8149</v>
      </c>
      <c r="D1020" t="s">
        <v>178</v>
      </c>
      <c r="E1020" t="s">
        <v>179</v>
      </c>
      <c r="F1020" t="s">
        <v>8150</v>
      </c>
      <c r="G1020" t="s">
        <v>277</v>
      </c>
      <c r="H1020" t="s">
        <v>276</v>
      </c>
      <c r="I1020" t="s">
        <v>277</v>
      </c>
      <c r="J1020" t="s">
        <v>103</v>
      </c>
      <c r="K1020" t="s">
        <v>104</v>
      </c>
      <c r="L1020" t="s">
        <v>50</v>
      </c>
      <c r="M1020" s="2">
        <v>839541.56</v>
      </c>
      <c r="N1020" t="s">
        <v>8153</v>
      </c>
      <c r="O1020" t="s">
        <v>52</v>
      </c>
      <c r="P1020" t="str">
        <f>CONCATENATE("'",Tabla1[[#This Row],[Codigo]],"',")</f>
        <v>'01775',</v>
      </c>
    </row>
    <row r="1021" spans="1:16" x14ac:dyDescent="0.25">
      <c r="A1021" t="s">
        <v>8154</v>
      </c>
      <c r="B1021" t="s">
        <v>8155</v>
      </c>
      <c r="C1021" t="s">
        <v>8155</v>
      </c>
      <c r="D1021" t="s">
        <v>125</v>
      </c>
      <c r="E1021" t="s">
        <v>126</v>
      </c>
      <c r="F1021" t="s">
        <v>8156</v>
      </c>
      <c r="G1021" t="s">
        <v>861</v>
      </c>
      <c r="H1021" t="s">
        <v>860</v>
      </c>
      <c r="I1021" t="s">
        <v>861</v>
      </c>
      <c r="J1021" t="s">
        <v>103</v>
      </c>
      <c r="K1021" t="s">
        <v>104</v>
      </c>
      <c r="L1021" t="s">
        <v>50</v>
      </c>
      <c r="M1021" s="2">
        <v>826883.28</v>
      </c>
      <c r="N1021" t="s">
        <v>8159</v>
      </c>
      <c r="O1021" t="s">
        <v>52</v>
      </c>
      <c r="P1021" t="str">
        <f>CONCATENATE("'",Tabla1[[#This Row],[Codigo]],"',")</f>
        <v>'01776',</v>
      </c>
    </row>
    <row r="1022" spans="1:16" x14ac:dyDescent="0.25">
      <c r="A1022" t="s">
        <v>8160</v>
      </c>
      <c r="B1022" t="s">
        <v>8161</v>
      </c>
      <c r="C1022" t="s">
        <v>8161</v>
      </c>
      <c r="D1022" t="s">
        <v>125</v>
      </c>
      <c r="E1022" t="s">
        <v>126</v>
      </c>
      <c r="F1022" t="s">
        <v>8162</v>
      </c>
      <c r="G1022" t="s">
        <v>277</v>
      </c>
      <c r="H1022" t="s">
        <v>276</v>
      </c>
      <c r="I1022" t="s">
        <v>277</v>
      </c>
      <c r="J1022" t="s">
        <v>103</v>
      </c>
      <c r="K1022" t="s">
        <v>104</v>
      </c>
      <c r="L1022" t="s">
        <v>50</v>
      </c>
      <c r="M1022" s="2">
        <v>927689.32</v>
      </c>
      <c r="N1022" t="s">
        <v>8165</v>
      </c>
      <c r="O1022" t="s">
        <v>52</v>
      </c>
      <c r="P1022" t="str">
        <f>CONCATENATE("'",Tabla1[[#This Row],[Codigo]],"',")</f>
        <v>'01777',</v>
      </c>
    </row>
    <row r="1023" spans="1:16" x14ac:dyDescent="0.25">
      <c r="A1023" t="s">
        <v>8166</v>
      </c>
      <c r="B1023" t="s">
        <v>8167</v>
      </c>
      <c r="C1023" t="s">
        <v>8167</v>
      </c>
      <c r="D1023" t="s">
        <v>125</v>
      </c>
      <c r="E1023" t="s">
        <v>126</v>
      </c>
      <c r="F1023" t="s">
        <v>8168</v>
      </c>
      <c r="G1023" t="s">
        <v>280</v>
      </c>
      <c r="H1023" t="s">
        <v>1592</v>
      </c>
      <c r="I1023" t="s">
        <v>280</v>
      </c>
      <c r="J1023" t="s">
        <v>103</v>
      </c>
      <c r="K1023" t="s">
        <v>104</v>
      </c>
      <c r="L1023" t="s">
        <v>50</v>
      </c>
      <c r="M1023" s="2">
        <v>3698637.01</v>
      </c>
      <c r="N1023" t="s">
        <v>8170</v>
      </c>
      <c r="O1023" t="s">
        <v>115</v>
      </c>
      <c r="P1023" t="str">
        <f>CONCATENATE("'",Tabla1[[#This Row],[Codigo]],"',")</f>
        <v>'01778',</v>
      </c>
    </row>
    <row r="1024" spans="1:16" x14ac:dyDescent="0.25">
      <c r="A1024" t="s">
        <v>8171</v>
      </c>
      <c r="B1024" t="s">
        <v>8172</v>
      </c>
      <c r="C1024" t="s">
        <v>8172</v>
      </c>
      <c r="D1024" t="s">
        <v>153</v>
      </c>
      <c r="E1024" t="s">
        <v>272</v>
      </c>
      <c r="F1024" t="s">
        <v>8173</v>
      </c>
      <c r="G1024" t="s">
        <v>277</v>
      </c>
      <c r="H1024" t="s">
        <v>276</v>
      </c>
      <c r="I1024" t="s">
        <v>277</v>
      </c>
      <c r="J1024" t="s">
        <v>103</v>
      </c>
      <c r="K1024" t="s">
        <v>104</v>
      </c>
      <c r="L1024" t="s">
        <v>50</v>
      </c>
      <c r="M1024" s="2">
        <v>671930.41</v>
      </c>
      <c r="N1024" t="s">
        <v>8176</v>
      </c>
      <c r="O1024" t="s">
        <v>52</v>
      </c>
      <c r="P1024" t="str">
        <f>CONCATENATE("'",Tabla1[[#This Row],[Codigo]],"',")</f>
        <v>'01779',</v>
      </c>
    </row>
    <row r="1025" spans="1:16" x14ac:dyDescent="0.25">
      <c r="A1025" t="s">
        <v>8177</v>
      </c>
      <c r="B1025" t="s">
        <v>15174</v>
      </c>
      <c r="C1025" t="s">
        <v>8178</v>
      </c>
      <c r="D1025" t="s">
        <v>125</v>
      </c>
      <c r="E1025" t="s">
        <v>126</v>
      </c>
      <c r="F1025" t="s">
        <v>8179</v>
      </c>
      <c r="G1025" t="s">
        <v>7835</v>
      </c>
      <c r="H1025" t="s">
        <v>7837</v>
      </c>
      <c r="I1025" t="s">
        <v>7838</v>
      </c>
      <c r="J1025" t="s">
        <v>3487</v>
      </c>
      <c r="K1025" t="s">
        <v>3488</v>
      </c>
      <c r="L1025" t="s">
        <v>50</v>
      </c>
      <c r="M1025" s="2">
        <v>67984.25</v>
      </c>
      <c r="N1025" t="s">
        <v>8181</v>
      </c>
      <c r="O1025" t="s">
        <v>52</v>
      </c>
      <c r="P1025" t="str">
        <f>CONCATENATE("'",Tabla1[[#This Row],[Codigo]],"',")</f>
        <v>'01780',</v>
      </c>
    </row>
    <row r="1026" spans="1:16" x14ac:dyDescent="0.25">
      <c r="A1026" t="s">
        <v>8182</v>
      </c>
      <c r="B1026" t="s">
        <v>8183</v>
      </c>
      <c r="C1026" t="s">
        <v>8183</v>
      </c>
      <c r="D1026" t="s">
        <v>125</v>
      </c>
      <c r="E1026" t="s">
        <v>126</v>
      </c>
      <c r="F1026" t="s">
        <v>8184</v>
      </c>
      <c r="G1026" t="s">
        <v>277</v>
      </c>
      <c r="H1026" t="s">
        <v>276</v>
      </c>
      <c r="I1026" t="s">
        <v>277</v>
      </c>
      <c r="J1026" t="s">
        <v>103</v>
      </c>
      <c r="K1026" t="s">
        <v>104</v>
      </c>
      <c r="L1026" t="s">
        <v>50</v>
      </c>
      <c r="M1026" s="2">
        <v>654446.35</v>
      </c>
      <c r="N1026" t="s">
        <v>8186</v>
      </c>
      <c r="O1026" t="s">
        <v>52</v>
      </c>
      <c r="P1026" t="str">
        <f>CONCATENATE("'",Tabla1[[#This Row],[Codigo]],"',")</f>
        <v>'01781',</v>
      </c>
    </row>
    <row r="1027" spans="1:16" x14ac:dyDescent="0.25">
      <c r="A1027" t="s">
        <v>8187</v>
      </c>
      <c r="B1027" t="s">
        <v>8188</v>
      </c>
      <c r="C1027" t="s">
        <v>8188</v>
      </c>
      <c r="D1027" t="s">
        <v>478</v>
      </c>
      <c r="E1027" t="s">
        <v>190</v>
      </c>
      <c r="F1027" t="s">
        <v>8189</v>
      </c>
      <c r="G1027" t="s">
        <v>8190</v>
      </c>
      <c r="H1027" t="s">
        <v>8191</v>
      </c>
      <c r="I1027" t="s">
        <v>8192</v>
      </c>
      <c r="J1027" t="s">
        <v>6987</v>
      </c>
      <c r="K1027" t="s">
        <v>6988</v>
      </c>
      <c r="L1027" t="s">
        <v>50</v>
      </c>
      <c r="M1027" s="2">
        <v>96115.13</v>
      </c>
      <c r="N1027" t="s">
        <v>8194</v>
      </c>
      <c r="O1027" t="s">
        <v>115</v>
      </c>
      <c r="P1027" t="str">
        <f>CONCATENATE("'",Tabla1[[#This Row],[Codigo]],"',")</f>
        <v>'01782',</v>
      </c>
    </row>
    <row r="1028" spans="1:16" x14ac:dyDescent="0.25">
      <c r="A1028" t="s">
        <v>8195</v>
      </c>
      <c r="B1028" t="s">
        <v>8196</v>
      </c>
      <c r="C1028" t="s">
        <v>8196</v>
      </c>
      <c r="D1028" t="s">
        <v>35</v>
      </c>
      <c r="E1028" t="s">
        <v>36</v>
      </c>
      <c r="F1028" t="s">
        <v>8197</v>
      </c>
      <c r="G1028" t="s">
        <v>7557</v>
      </c>
      <c r="H1028" t="s">
        <v>7559</v>
      </c>
      <c r="I1028" t="s">
        <v>7560</v>
      </c>
      <c r="J1028" t="s">
        <v>4315</v>
      </c>
      <c r="K1028" t="s">
        <v>4316</v>
      </c>
      <c r="L1028" t="s">
        <v>50</v>
      </c>
      <c r="M1028" s="2">
        <v>36609.660000000003</v>
      </c>
      <c r="N1028" t="s">
        <v>8200</v>
      </c>
      <c r="O1028" t="s">
        <v>52</v>
      </c>
      <c r="P1028" t="str">
        <f>CONCATENATE("'",Tabla1[[#This Row],[Codigo]],"',")</f>
        <v>'01783',</v>
      </c>
    </row>
    <row r="1029" spans="1:16" x14ac:dyDescent="0.25">
      <c r="A1029" t="s">
        <v>8201</v>
      </c>
      <c r="B1029" t="s">
        <v>8202</v>
      </c>
      <c r="C1029" t="s">
        <v>8202</v>
      </c>
      <c r="D1029" t="s">
        <v>35</v>
      </c>
      <c r="E1029" t="s">
        <v>36</v>
      </c>
      <c r="F1029" t="s">
        <v>8203</v>
      </c>
      <c r="G1029" t="s">
        <v>4371</v>
      </c>
      <c r="H1029" t="s">
        <v>4373</v>
      </c>
      <c r="I1029" t="s">
        <v>4371</v>
      </c>
      <c r="J1029" t="s">
        <v>256</v>
      </c>
      <c r="K1029" t="s">
        <v>255</v>
      </c>
      <c r="L1029" t="s">
        <v>50</v>
      </c>
      <c r="M1029" s="2">
        <v>115841.78</v>
      </c>
      <c r="N1029" t="s">
        <v>8206</v>
      </c>
      <c r="O1029" t="s">
        <v>115</v>
      </c>
      <c r="P1029" t="str">
        <f>CONCATENATE("'",Tabla1[[#This Row],[Codigo]],"',")</f>
        <v>'01784',</v>
      </c>
    </row>
    <row r="1030" spans="1:16" x14ac:dyDescent="0.25">
      <c r="A1030" t="s">
        <v>8211</v>
      </c>
      <c r="B1030" t="s">
        <v>8212</v>
      </c>
      <c r="C1030" t="s">
        <v>8212</v>
      </c>
      <c r="D1030" t="s">
        <v>1289</v>
      </c>
      <c r="E1030" t="s">
        <v>224</v>
      </c>
      <c r="F1030" t="s">
        <v>8213</v>
      </c>
      <c r="G1030" t="s">
        <v>6986</v>
      </c>
      <c r="H1030" t="s">
        <v>6985</v>
      </c>
      <c r="I1030" t="s">
        <v>6986</v>
      </c>
      <c r="J1030" t="s">
        <v>6987</v>
      </c>
      <c r="K1030" t="s">
        <v>6988</v>
      </c>
      <c r="L1030" t="s">
        <v>50</v>
      </c>
      <c r="M1030" s="2">
        <v>21817</v>
      </c>
      <c r="N1030" t="s">
        <v>64</v>
      </c>
      <c r="P1030" t="str">
        <f>CONCATENATE("'",Tabla1[[#This Row],[Codigo]],"',")</f>
        <v>'01786',</v>
      </c>
    </row>
    <row r="1031" spans="1:16" x14ac:dyDescent="0.25">
      <c r="A1031" t="s">
        <v>8219</v>
      </c>
      <c r="B1031" t="s">
        <v>15175</v>
      </c>
      <c r="C1031" t="s">
        <v>8220</v>
      </c>
      <c r="D1031" t="s">
        <v>35</v>
      </c>
      <c r="E1031" t="s">
        <v>36</v>
      </c>
      <c r="F1031" t="s">
        <v>8221</v>
      </c>
      <c r="G1031" t="s">
        <v>1360</v>
      </c>
      <c r="H1031" t="s">
        <v>1362</v>
      </c>
      <c r="I1031" t="s">
        <v>1360</v>
      </c>
      <c r="J1031" t="s">
        <v>1421</v>
      </c>
      <c r="K1031" t="s">
        <v>1422</v>
      </c>
      <c r="L1031" t="s">
        <v>50</v>
      </c>
      <c r="M1031" s="2">
        <v>94732.87</v>
      </c>
      <c r="N1031" t="s">
        <v>8224</v>
      </c>
      <c r="P1031" t="str">
        <f>CONCATENATE("'",Tabla1[[#This Row],[Codigo]],"',")</f>
        <v>'01789',</v>
      </c>
    </row>
    <row r="1032" spans="1:16" x14ac:dyDescent="0.25">
      <c r="A1032" t="s">
        <v>8225</v>
      </c>
      <c r="B1032" t="s">
        <v>8226</v>
      </c>
      <c r="C1032" t="s">
        <v>8226</v>
      </c>
      <c r="D1032" t="s">
        <v>847</v>
      </c>
      <c r="E1032" t="s">
        <v>848</v>
      </c>
      <c r="F1032" t="s">
        <v>8227</v>
      </c>
      <c r="G1032" t="s">
        <v>8005</v>
      </c>
      <c r="H1032" t="s">
        <v>8007</v>
      </c>
      <c r="I1032" t="s">
        <v>8005</v>
      </c>
      <c r="J1032" t="s">
        <v>6987</v>
      </c>
      <c r="K1032" t="s">
        <v>6988</v>
      </c>
      <c r="L1032" t="s">
        <v>50</v>
      </c>
      <c r="M1032" s="2">
        <v>79325.289999999994</v>
      </c>
      <c r="N1032" t="s">
        <v>8230</v>
      </c>
      <c r="O1032" t="s">
        <v>115</v>
      </c>
      <c r="P1032" t="str">
        <f>CONCATENATE("'",Tabla1[[#This Row],[Codigo]],"',")</f>
        <v>'01790',</v>
      </c>
    </row>
    <row r="1033" spans="1:16" x14ac:dyDescent="0.25">
      <c r="A1033" t="s">
        <v>8231</v>
      </c>
      <c r="B1033" t="s">
        <v>8232</v>
      </c>
      <c r="C1033" t="s">
        <v>8232</v>
      </c>
      <c r="D1033" t="s">
        <v>1289</v>
      </c>
      <c r="E1033" t="s">
        <v>224</v>
      </c>
      <c r="F1033" t="s">
        <v>8233</v>
      </c>
      <c r="G1033" t="s">
        <v>8234</v>
      </c>
      <c r="H1033" t="s">
        <v>8235</v>
      </c>
      <c r="I1033" t="s">
        <v>8234</v>
      </c>
      <c r="J1033" t="s">
        <v>6987</v>
      </c>
      <c r="K1033" t="s">
        <v>6988</v>
      </c>
      <c r="L1033" t="s">
        <v>50</v>
      </c>
      <c r="M1033" s="2">
        <v>284055.8</v>
      </c>
      <c r="N1033" t="s">
        <v>8237</v>
      </c>
      <c r="P1033" t="str">
        <f>CONCATENATE("'",Tabla1[[#This Row],[Codigo]],"',")</f>
        <v>'01791',</v>
      </c>
    </row>
    <row r="1034" spans="1:16" x14ac:dyDescent="0.25">
      <c r="A1034" t="s">
        <v>8238</v>
      </c>
      <c r="B1034" t="s">
        <v>8239</v>
      </c>
      <c r="C1034" t="s">
        <v>8239</v>
      </c>
      <c r="D1034" t="s">
        <v>153</v>
      </c>
      <c r="E1034" t="s">
        <v>272</v>
      </c>
      <c r="F1034" t="s">
        <v>8240</v>
      </c>
      <c r="G1034" t="s">
        <v>1430</v>
      </c>
      <c r="H1034" t="s">
        <v>1427</v>
      </c>
      <c r="I1034" t="s">
        <v>1428</v>
      </c>
      <c r="J1034" t="s">
        <v>2320</v>
      </c>
      <c r="K1034" t="s">
        <v>2321</v>
      </c>
      <c r="L1034" t="s">
        <v>50</v>
      </c>
      <c r="M1034" s="2">
        <v>-8795.9</v>
      </c>
      <c r="N1034" t="s">
        <v>8242</v>
      </c>
      <c r="O1034" t="s">
        <v>52</v>
      </c>
      <c r="P1034" t="str">
        <f>CONCATENATE("'",Tabla1[[#This Row],[Codigo]],"',")</f>
        <v>'01792',</v>
      </c>
    </row>
    <row r="1035" spans="1:16" x14ac:dyDescent="0.25">
      <c r="A1035" t="s">
        <v>8243</v>
      </c>
      <c r="B1035" t="s">
        <v>8244</v>
      </c>
      <c r="C1035" t="s">
        <v>8244</v>
      </c>
      <c r="D1035" t="s">
        <v>478</v>
      </c>
      <c r="E1035" t="s">
        <v>190</v>
      </c>
      <c r="F1035" t="s">
        <v>8245</v>
      </c>
      <c r="G1035" t="s">
        <v>7342</v>
      </c>
      <c r="H1035" t="s">
        <v>7341</v>
      </c>
      <c r="I1035" t="s">
        <v>7342</v>
      </c>
      <c r="J1035" t="s">
        <v>6987</v>
      </c>
      <c r="K1035" t="s">
        <v>6988</v>
      </c>
      <c r="L1035" t="s">
        <v>50</v>
      </c>
      <c r="M1035" s="2">
        <v>109085</v>
      </c>
      <c r="N1035" t="s">
        <v>64</v>
      </c>
      <c r="P1035" t="str">
        <f>CONCATENATE("'",Tabla1[[#This Row],[Codigo]],"',")</f>
        <v>'01793',</v>
      </c>
    </row>
    <row r="1036" spans="1:16" x14ac:dyDescent="0.25">
      <c r="A1036" t="s">
        <v>8254</v>
      </c>
      <c r="B1036" t="s">
        <v>8255</v>
      </c>
      <c r="C1036" t="s">
        <v>8255</v>
      </c>
      <c r="D1036" t="s">
        <v>8256</v>
      </c>
      <c r="E1036" t="s">
        <v>77</v>
      </c>
      <c r="F1036" t="s">
        <v>8257</v>
      </c>
      <c r="G1036" t="s">
        <v>2572</v>
      </c>
      <c r="H1036" t="s">
        <v>2571</v>
      </c>
      <c r="I1036" t="s">
        <v>2572</v>
      </c>
      <c r="J1036" t="s">
        <v>6987</v>
      </c>
      <c r="K1036" t="s">
        <v>6988</v>
      </c>
      <c r="L1036" t="s">
        <v>50</v>
      </c>
      <c r="M1036" s="2">
        <v>19592</v>
      </c>
      <c r="N1036" t="s">
        <v>64</v>
      </c>
      <c r="P1036" t="str">
        <f>CONCATENATE("'",Tabla1[[#This Row],[Codigo]],"',")</f>
        <v>'01797',</v>
      </c>
    </row>
    <row r="1037" spans="1:16" x14ac:dyDescent="0.25">
      <c r="A1037" t="s">
        <v>8260</v>
      </c>
      <c r="B1037" t="s">
        <v>8261</v>
      </c>
      <c r="C1037" t="s">
        <v>8261</v>
      </c>
      <c r="D1037" t="s">
        <v>125</v>
      </c>
      <c r="E1037" t="s">
        <v>126</v>
      </c>
      <c r="F1037" t="s">
        <v>8262</v>
      </c>
      <c r="G1037" t="s">
        <v>1360</v>
      </c>
      <c r="H1037" t="s">
        <v>1362</v>
      </c>
      <c r="I1037" t="s">
        <v>1360</v>
      </c>
      <c r="J1037" t="s">
        <v>1421</v>
      </c>
      <c r="K1037" t="s">
        <v>1422</v>
      </c>
      <c r="L1037" t="s">
        <v>50</v>
      </c>
      <c r="M1037" s="2">
        <v>530288.81000000006</v>
      </c>
      <c r="N1037" t="s">
        <v>8265</v>
      </c>
      <c r="O1037" t="s">
        <v>52</v>
      </c>
      <c r="P1037" t="str">
        <f>CONCATENATE("'",Tabla1[[#This Row],[Codigo]],"',")</f>
        <v>'01798',</v>
      </c>
    </row>
    <row r="1038" spans="1:16" x14ac:dyDescent="0.25">
      <c r="A1038" t="s">
        <v>8266</v>
      </c>
      <c r="B1038" t="s">
        <v>8267</v>
      </c>
      <c r="C1038" t="s">
        <v>8267</v>
      </c>
      <c r="D1038" t="s">
        <v>2389</v>
      </c>
      <c r="E1038" t="s">
        <v>134</v>
      </c>
      <c r="F1038" t="s">
        <v>8268</v>
      </c>
      <c r="G1038" t="s">
        <v>255</v>
      </c>
      <c r="H1038" t="s">
        <v>254</v>
      </c>
      <c r="I1038" t="s">
        <v>255</v>
      </c>
      <c r="J1038" t="s">
        <v>256</v>
      </c>
      <c r="K1038" t="s">
        <v>255</v>
      </c>
      <c r="L1038" t="s">
        <v>50</v>
      </c>
      <c r="M1038" s="2">
        <v>152719</v>
      </c>
      <c r="N1038" t="s">
        <v>64</v>
      </c>
      <c r="P1038" t="str">
        <f>CONCATENATE("'",Tabla1[[#This Row],[Codigo]],"',")</f>
        <v>'01799',</v>
      </c>
    </row>
    <row r="1039" spans="1:16" x14ac:dyDescent="0.25">
      <c r="A1039" t="s">
        <v>8271</v>
      </c>
      <c r="B1039" t="s">
        <v>8272</v>
      </c>
      <c r="C1039" t="s">
        <v>8272</v>
      </c>
      <c r="D1039" t="s">
        <v>519</v>
      </c>
      <c r="E1039" t="s">
        <v>77</v>
      </c>
      <c r="F1039" t="s">
        <v>8273</v>
      </c>
      <c r="G1039" t="s">
        <v>2114</v>
      </c>
      <c r="H1039" t="s">
        <v>2113</v>
      </c>
      <c r="I1039" t="s">
        <v>2114</v>
      </c>
      <c r="J1039" t="s">
        <v>103</v>
      </c>
      <c r="K1039" t="s">
        <v>104</v>
      </c>
      <c r="L1039" t="s">
        <v>50</v>
      </c>
      <c r="M1039" s="2">
        <v>109085</v>
      </c>
      <c r="N1039" t="s">
        <v>64</v>
      </c>
      <c r="P1039" t="str">
        <f>CONCATENATE("'",Tabla1[[#This Row],[Codigo]],"',")</f>
        <v>'01800',</v>
      </c>
    </row>
    <row r="1040" spans="1:16" x14ac:dyDescent="0.25">
      <c r="A1040" t="s">
        <v>8276</v>
      </c>
      <c r="B1040" t="s">
        <v>8277</v>
      </c>
      <c r="C1040" t="s">
        <v>8277</v>
      </c>
      <c r="D1040" t="s">
        <v>125</v>
      </c>
      <c r="E1040" t="s">
        <v>126</v>
      </c>
      <c r="F1040" t="s">
        <v>8278</v>
      </c>
      <c r="G1040" t="s">
        <v>665</v>
      </c>
      <c r="H1040" t="s">
        <v>664</v>
      </c>
      <c r="I1040" t="s">
        <v>665</v>
      </c>
      <c r="J1040" t="s">
        <v>103</v>
      </c>
      <c r="K1040" t="s">
        <v>104</v>
      </c>
      <c r="L1040" t="s">
        <v>50</v>
      </c>
      <c r="M1040" s="2">
        <v>11840.71</v>
      </c>
      <c r="N1040" t="s">
        <v>8281</v>
      </c>
      <c r="O1040" t="s">
        <v>52</v>
      </c>
      <c r="P1040" t="str">
        <f>CONCATENATE("'",Tabla1[[#This Row],[Codigo]],"',")</f>
        <v>'01801',</v>
      </c>
    </row>
    <row r="1041" spans="1:16" x14ac:dyDescent="0.25">
      <c r="A1041" t="s">
        <v>8282</v>
      </c>
      <c r="B1041" t="s">
        <v>8283</v>
      </c>
      <c r="C1041" t="s">
        <v>8283</v>
      </c>
      <c r="D1041" t="s">
        <v>7666</v>
      </c>
      <c r="E1041" t="s">
        <v>77</v>
      </c>
      <c r="F1041" t="s">
        <v>8284</v>
      </c>
      <c r="G1041" t="s">
        <v>665</v>
      </c>
      <c r="H1041" t="s">
        <v>664</v>
      </c>
      <c r="I1041" t="s">
        <v>665</v>
      </c>
      <c r="J1041" t="s">
        <v>103</v>
      </c>
      <c r="K1041" t="s">
        <v>104</v>
      </c>
      <c r="L1041" t="s">
        <v>50</v>
      </c>
      <c r="M1041" s="2">
        <v>65451</v>
      </c>
      <c r="N1041" t="s">
        <v>64</v>
      </c>
      <c r="P1041" t="str">
        <f>CONCATENATE("'",Tabla1[[#This Row],[Codigo]],"',")</f>
        <v>'01802',</v>
      </c>
    </row>
    <row r="1042" spans="1:16" x14ac:dyDescent="0.25">
      <c r="A1042" t="s">
        <v>8287</v>
      </c>
      <c r="B1042" t="s">
        <v>8288</v>
      </c>
      <c r="C1042" t="s">
        <v>8288</v>
      </c>
      <c r="D1042" t="s">
        <v>847</v>
      </c>
      <c r="E1042" t="s">
        <v>848</v>
      </c>
      <c r="F1042" t="s">
        <v>8289</v>
      </c>
      <c r="G1042" t="s">
        <v>8192</v>
      </c>
      <c r="H1042" t="s">
        <v>8191</v>
      </c>
      <c r="I1042" t="s">
        <v>8192</v>
      </c>
      <c r="J1042" t="s">
        <v>6987</v>
      </c>
      <c r="K1042" t="s">
        <v>6988</v>
      </c>
      <c r="L1042" t="s">
        <v>50</v>
      </c>
      <c r="M1042" s="2">
        <v>21227.87</v>
      </c>
      <c r="N1042" t="s">
        <v>8292</v>
      </c>
      <c r="O1042" t="s">
        <v>115</v>
      </c>
      <c r="P1042" t="str">
        <f>CONCATENATE("'",Tabla1[[#This Row],[Codigo]],"',")</f>
        <v>'01803',</v>
      </c>
    </row>
    <row r="1043" spans="1:16" x14ac:dyDescent="0.25">
      <c r="A1043" t="s">
        <v>8293</v>
      </c>
      <c r="B1043" t="s">
        <v>8294</v>
      </c>
      <c r="C1043" t="s">
        <v>8294</v>
      </c>
      <c r="D1043" t="s">
        <v>498</v>
      </c>
      <c r="E1043" t="s">
        <v>190</v>
      </c>
      <c r="F1043" t="s">
        <v>8295</v>
      </c>
      <c r="G1043" t="s">
        <v>6996</v>
      </c>
      <c r="H1043" t="s">
        <v>6995</v>
      </c>
      <c r="I1043" t="s">
        <v>6996</v>
      </c>
      <c r="J1043" t="s">
        <v>6987</v>
      </c>
      <c r="K1043" t="s">
        <v>6988</v>
      </c>
      <c r="L1043" t="s">
        <v>50</v>
      </c>
      <c r="M1043" s="2">
        <v>263561.58</v>
      </c>
      <c r="N1043" t="s">
        <v>8298</v>
      </c>
      <c r="O1043" t="s">
        <v>52</v>
      </c>
      <c r="P1043" t="str">
        <f>CONCATENATE("'",Tabla1[[#This Row],[Codigo]],"',")</f>
        <v>'01804',</v>
      </c>
    </row>
    <row r="1044" spans="1:16" x14ac:dyDescent="0.25">
      <c r="A1044" t="s">
        <v>8299</v>
      </c>
      <c r="B1044" t="s">
        <v>15176</v>
      </c>
      <c r="C1044" t="s">
        <v>8300</v>
      </c>
      <c r="D1044" t="s">
        <v>125</v>
      </c>
      <c r="E1044" t="s">
        <v>126</v>
      </c>
      <c r="F1044" t="s">
        <v>8301</v>
      </c>
      <c r="G1044" t="s">
        <v>8302</v>
      </c>
      <c r="H1044" t="s">
        <v>5201</v>
      </c>
      <c r="I1044" t="s">
        <v>5202</v>
      </c>
      <c r="J1044" t="s">
        <v>4853</v>
      </c>
      <c r="K1044" t="s">
        <v>4854</v>
      </c>
      <c r="L1044" t="s">
        <v>50</v>
      </c>
      <c r="M1044" s="2">
        <v>248360.2</v>
      </c>
      <c r="N1044" t="s">
        <v>8304</v>
      </c>
      <c r="O1044" t="s">
        <v>52</v>
      </c>
      <c r="P1044" t="str">
        <f>CONCATENATE("'",Tabla1[[#This Row],[Codigo]],"',")</f>
        <v>'01805',</v>
      </c>
    </row>
    <row r="1045" spans="1:16" x14ac:dyDescent="0.25">
      <c r="A1045" t="s">
        <v>8311</v>
      </c>
      <c r="B1045" t="s">
        <v>8312</v>
      </c>
      <c r="C1045" t="s">
        <v>8312</v>
      </c>
      <c r="D1045" t="s">
        <v>153</v>
      </c>
      <c r="E1045" t="s">
        <v>272</v>
      </c>
      <c r="F1045" t="s">
        <v>8313</v>
      </c>
      <c r="G1045" t="s">
        <v>8042</v>
      </c>
      <c r="H1045" t="s">
        <v>8041</v>
      </c>
      <c r="I1045" t="s">
        <v>8042</v>
      </c>
      <c r="J1045" t="s">
        <v>4315</v>
      </c>
      <c r="K1045" t="s">
        <v>4316</v>
      </c>
      <c r="L1045" t="s">
        <v>50</v>
      </c>
      <c r="M1045" s="2">
        <v>156914.54999999999</v>
      </c>
      <c r="N1045" t="s">
        <v>8315</v>
      </c>
      <c r="P1045" t="str">
        <f>CONCATENATE("'",Tabla1[[#This Row],[Codigo]],"',")</f>
        <v>'01808',</v>
      </c>
    </row>
    <row r="1046" spans="1:16" x14ac:dyDescent="0.25">
      <c r="A1046" t="s">
        <v>8316</v>
      </c>
      <c r="B1046" t="s">
        <v>8317</v>
      </c>
      <c r="C1046" t="s">
        <v>8317</v>
      </c>
      <c r="D1046" t="s">
        <v>1094</v>
      </c>
      <c r="E1046" t="s">
        <v>134</v>
      </c>
      <c r="F1046" t="s">
        <v>8318</v>
      </c>
      <c r="G1046" t="s">
        <v>2399</v>
      </c>
      <c r="H1046" t="s">
        <v>8320</v>
      </c>
      <c r="I1046" t="s">
        <v>8321</v>
      </c>
      <c r="J1046" t="s">
        <v>6987</v>
      </c>
      <c r="K1046" t="s">
        <v>6988</v>
      </c>
      <c r="L1046" t="s">
        <v>50</v>
      </c>
      <c r="M1046" s="2">
        <v>29387</v>
      </c>
      <c r="N1046" t="s">
        <v>64</v>
      </c>
      <c r="P1046" t="str">
        <f>CONCATENATE("'",Tabla1[[#This Row],[Codigo]],"',")</f>
        <v>'01809',</v>
      </c>
    </row>
    <row r="1047" spans="1:16" x14ac:dyDescent="0.25">
      <c r="A1047" t="s">
        <v>8323</v>
      </c>
      <c r="B1047" t="s">
        <v>8324</v>
      </c>
      <c r="C1047" t="s">
        <v>8324</v>
      </c>
      <c r="D1047" t="s">
        <v>35</v>
      </c>
      <c r="E1047" t="s">
        <v>36</v>
      </c>
      <c r="F1047" t="s">
        <v>8325</v>
      </c>
      <c r="G1047" t="s">
        <v>8326</v>
      </c>
      <c r="H1047" t="s">
        <v>8327</v>
      </c>
      <c r="I1047" t="s">
        <v>8326</v>
      </c>
      <c r="J1047" t="s">
        <v>4853</v>
      </c>
      <c r="K1047" t="s">
        <v>4854</v>
      </c>
      <c r="L1047" t="s">
        <v>50</v>
      </c>
      <c r="M1047" s="2">
        <v>226810.02</v>
      </c>
      <c r="N1047" t="s">
        <v>8329</v>
      </c>
      <c r="O1047" t="s">
        <v>52</v>
      </c>
      <c r="P1047" t="str">
        <f>CONCATENATE("'",Tabla1[[#This Row],[Codigo]],"',")</f>
        <v>'01810',</v>
      </c>
    </row>
    <row r="1048" spans="1:16" x14ac:dyDescent="0.25">
      <c r="A1048" t="s">
        <v>8330</v>
      </c>
      <c r="B1048" t="s">
        <v>8331</v>
      </c>
      <c r="C1048" t="s">
        <v>8331</v>
      </c>
      <c r="D1048" t="s">
        <v>819</v>
      </c>
      <c r="E1048" t="s">
        <v>224</v>
      </c>
      <c r="F1048" t="s">
        <v>8332</v>
      </c>
      <c r="G1048" t="s">
        <v>1360</v>
      </c>
      <c r="H1048" t="s">
        <v>1362</v>
      </c>
      <c r="I1048" t="s">
        <v>1360</v>
      </c>
      <c r="J1048" t="s">
        <v>1421</v>
      </c>
      <c r="K1048" t="s">
        <v>1422</v>
      </c>
      <c r="L1048" t="s">
        <v>50</v>
      </c>
      <c r="M1048" s="2">
        <v>137447</v>
      </c>
      <c r="N1048" t="s">
        <v>64</v>
      </c>
      <c r="P1048" t="str">
        <f>CONCATENATE("'",Tabla1[[#This Row],[Codigo]],"',")</f>
        <v>'01811',</v>
      </c>
    </row>
    <row r="1049" spans="1:16" x14ac:dyDescent="0.25">
      <c r="A1049" t="s">
        <v>8339</v>
      </c>
      <c r="B1049" t="s">
        <v>8340</v>
      </c>
      <c r="C1049" t="s">
        <v>8340</v>
      </c>
      <c r="D1049" t="s">
        <v>553</v>
      </c>
      <c r="E1049" t="s">
        <v>167</v>
      </c>
      <c r="F1049" t="s">
        <v>2546</v>
      </c>
      <c r="G1049" t="s">
        <v>8341</v>
      </c>
      <c r="H1049" t="s">
        <v>8342</v>
      </c>
      <c r="I1049" t="s">
        <v>8341</v>
      </c>
      <c r="J1049" t="s">
        <v>103</v>
      </c>
      <c r="K1049" t="s">
        <v>104</v>
      </c>
      <c r="L1049" t="s">
        <v>50</v>
      </c>
      <c r="M1049" s="2">
        <v>698144</v>
      </c>
      <c r="N1049" t="s">
        <v>64</v>
      </c>
      <c r="P1049" t="str">
        <f>CONCATENATE("'",Tabla1[[#This Row],[Codigo]],"',")</f>
        <v>'01814',</v>
      </c>
    </row>
    <row r="1050" spans="1:16" x14ac:dyDescent="0.25">
      <c r="A1050" t="s">
        <v>8343</v>
      </c>
      <c r="B1050" t="s">
        <v>8344</v>
      </c>
      <c r="C1050" t="s">
        <v>8344</v>
      </c>
      <c r="D1050" t="s">
        <v>847</v>
      </c>
      <c r="E1050" t="s">
        <v>848</v>
      </c>
      <c r="F1050" t="s">
        <v>8345</v>
      </c>
      <c r="G1050" t="s">
        <v>8005</v>
      </c>
      <c r="H1050" t="s">
        <v>8007</v>
      </c>
      <c r="I1050" t="s">
        <v>8005</v>
      </c>
      <c r="J1050" t="s">
        <v>6987</v>
      </c>
      <c r="K1050" t="s">
        <v>6988</v>
      </c>
      <c r="L1050" t="s">
        <v>50</v>
      </c>
      <c r="M1050" s="2">
        <v>576.22</v>
      </c>
      <c r="N1050" t="s">
        <v>8348</v>
      </c>
      <c r="O1050" t="s">
        <v>115</v>
      </c>
      <c r="P1050" t="str">
        <f>CONCATENATE("'",Tabla1[[#This Row],[Codigo]],"',")</f>
        <v>'01816',</v>
      </c>
    </row>
    <row r="1051" spans="1:16" x14ac:dyDescent="0.25">
      <c r="A1051" t="s">
        <v>8349</v>
      </c>
      <c r="B1051" t="s">
        <v>8350</v>
      </c>
      <c r="C1051" t="s">
        <v>8350</v>
      </c>
      <c r="D1051" t="s">
        <v>817</v>
      </c>
      <c r="E1051" t="s">
        <v>224</v>
      </c>
      <c r="F1051" t="s">
        <v>8351</v>
      </c>
      <c r="G1051" t="s">
        <v>8352</v>
      </c>
      <c r="H1051" t="s">
        <v>8354</v>
      </c>
      <c r="I1051" t="s">
        <v>8352</v>
      </c>
      <c r="J1051" t="s">
        <v>6987</v>
      </c>
      <c r="K1051" t="s">
        <v>6988</v>
      </c>
      <c r="L1051" t="s">
        <v>50</v>
      </c>
      <c r="M1051" s="2">
        <v>56789.45</v>
      </c>
      <c r="N1051" t="s">
        <v>8356</v>
      </c>
      <c r="P1051" t="str">
        <f>CONCATENATE("'",Tabla1[[#This Row],[Codigo]],"',")</f>
        <v>'01817',</v>
      </c>
    </row>
    <row r="1052" spans="1:16" x14ac:dyDescent="0.25">
      <c r="A1052" t="s">
        <v>8357</v>
      </c>
      <c r="B1052" t="s">
        <v>8358</v>
      </c>
      <c r="C1052" t="s">
        <v>8358</v>
      </c>
      <c r="D1052" t="s">
        <v>153</v>
      </c>
      <c r="E1052" t="s">
        <v>272</v>
      </c>
      <c r="F1052" t="s">
        <v>8359</v>
      </c>
      <c r="G1052" t="s">
        <v>6030</v>
      </c>
      <c r="H1052" t="s">
        <v>6029</v>
      </c>
      <c r="I1052" t="s">
        <v>6030</v>
      </c>
      <c r="J1052" t="s">
        <v>82</v>
      </c>
      <c r="K1052" t="s">
        <v>83</v>
      </c>
      <c r="L1052" t="s">
        <v>50</v>
      </c>
      <c r="M1052" s="2">
        <v>174536</v>
      </c>
      <c r="N1052" t="s">
        <v>64</v>
      </c>
      <c r="P1052" t="str">
        <f>CONCATENATE("'",Tabla1[[#This Row],[Codigo]],"',")</f>
        <v>'01818',</v>
      </c>
    </row>
    <row r="1053" spans="1:16" x14ac:dyDescent="0.25">
      <c r="A1053" t="s">
        <v>8362</v>
      </c>
      <c r="B1053" t="s">
        <v>8363</v>
      </c>
      <c r="C1053" t="s">
        <v>8363</v>
      </c>
      <c r="D1053" t="s">
        <v>35</v>
      </c>
      <c r="E1053" t="s">
        <v>36</v>
      </c>
      <c r="F1053" t="s">
        <v>8364</v>
      </c>
      <c r="G1053" t="s">
        <v>102</v>
      </c>
      <c r="H1053" t="s">
        <v>101</v>
      </c>
      <c r="I1053" t="s">
        <v>102</v>
      </c>
      <c r="J1053" t="s">
        <v>103</v>
      </c>
      <c r="K1053" t="s">
        <v>104</v>
      </c>
      <c r="L1053" t="s">
        <v>50</v>
      </c>
      <c r="M1053" s="2">
        <v>40551.21</v>
      </c>
      <c r="N1053" t="s">
        <v>8367</v>
      </c>
      <c r="O1053" t="s">
        <v>52</v>
      </c>
      <c r="P1053" t="str">
        <f>CONCATENATE("'",Tabla1[[#This Row],[Codigo]],"',")</f>
        <v>'01819',</v>
      </c>
    </row>
    <row r="1054" spans="1:16" x14ac:dyDescent="0.25">
      <c r="A1054" t="s">
        <v>8368</v>
      </c>
      <c r="B1054" t="s">
        <v>8369</v>
      </c>
      <c r="C1054" t="s">
        <v>8369</v>
      </c>
      <c r="D1054" t="s">
        <v>125</v>
      </c>
      <c r="E1054" t="s">
        <v>126</v>
      </c>
      <c r="F1054" t="s">
        <v>8370</v>
      </c>
      <c r="G1054" t="s">
        <v>102</v>
      </c>
      <c r="H1054" t="s">
        <v>101</v>
      </c>
      <c r="I1054" t="s">
        <v>102</v>
      </c>
      <c r="J1054" t="s">
        <v>103</v>
      </c>
      <c r="K1054" t="s">
        <v>104</v>
      </c>
      <c r="L1054" t="s">
        <v>50</v>
      </c>
      <c r="M1054" s="2">
        <v>183345.89</v>
      </c>
      <c r="N1054" t="s">
        <v>8373</v>
      </c>
      <c r="O1054" t="s">
        <v>52</v>
      </c>
      <c r="P1054" t="str">
        <f>CONCATENATE("'",Tabla1[[#This Row],[Codigo]],"',")</f>
        <v>'01820',</v>
      </c>
    </row>
    <row r="1055" spans="1:16" x14ac:dyDescent="0.25">
      <c r="A1055" t="s">
        <v>8374</v>
      </c>
      <c r="B1055" t="s">
        <v>8375</v>
      </c>
      <c r="C1055" t="s">
        <v>8375</v>
      </c>
      <c r="D1055" t="s">
        <v>35</v>
      </c>
      <c r="E1055" t="s">
        <v>36</v>
      </c>
      <c r="F1055" t="s">
        <v>8376</v>
      </c>
      <c r="G1055" t="s">
        <v>5739</v>
      </c>
      <c r="H1055" t="s">
        <v>5741</v>
      </c>
      <c r="I1055" t="s">
        <v>5739</v>
      </c>
      <c r="J1055" t="s">
        <v>2320</v>
      </c>
      <c r="K1055" t="s">
        <v>2321</v>
      </c>
      <c r="L1055" t="s">
        <v>50</v>
      </c>
      <c r="M1055" s="2">
        <v>337014.46</v>
      </c>
      <c r="N1055" t="s">
        <v>8379</v>
      </c>
      <c r="O1055" t="s">
        <v>115</v>
      </c>
      <c r="P1055" t="str">
        <f>CONCATENATE("'",Tabla1[[#This Row],[Codigo]],"',")</f>
        <v>'01821',</v>
      </c>
    </row>
    <row r="1056" spans="1:16" x14ac:dyDescent="0.25">
      <c r="A1056" t="s">
        <v>8380</v>
      </c>
      <c r="B1056" t="s">
        <v>8381</v>
      </c>
      <c r="C1056" t="s">
        <v>8381</v>
      </c>
      <c r="D1056" t="s">
        <v>125</v>
      </c>
      <c r="E1056" t="s">
        <v>126</v>
      </c>
      <c r="F1056" t="s">
        <v>8382</v>
      </c>
      <c r="G1056" t="s">
        <v>5739</v>
      </c>
      <c r="H1056" t="s">
        <v>5741</v>
      </c>
      <c r="I1056" t="s">
        <v>5739</v>
      </c>
      <c r="J1056" t="s">
        <v>2320</v>
      </c>
      <c r="K1056" t="s">
        <v>2321</v>
      </c>
      <c r="L1056" t="s">
        <v>50</v>
      </c>
      <c r="M1056" s="2">
        <v>2323331.9700000002</v>
      </c>
      <c r="N1056" t="s">
        <v>8384</v>
      </c>
      <c r="O1056" t="s">
        <v>115</v>
      </c>
      <c r="P1056" t="str">
        <f>CONCATENATE("'",Tabla1[[#This Row],[Codigo]],"',")</f>
        <v>'01822',</v>
      </c>
    </row>
    <row r="1057" spans="1:16" x14ac:dyDescent="0.25">
      <c r="A1057" t="s">
        <v>8385</v>
      </c>
      <c r="B1057" t="s">
        <v>8386</v>
      </c>
      <c r="C1057" t="s">
        <v>8386</v>
      </c>
      <c r="D1057" t="s">
        <v>125</v>
      </c>
      <c r="E1057" t="s">
        <v>126</v>
      </c>
      <c r="F1057" t="s">
        <v>8387</v>
      </c>
      <c r="G1057" t="s">
        <v>8388</v>
      </c>
      <c r="H1057" t="s">
        <v>8389</v>
      </c>
      <c r="I1057" t="s">
        <v>8388</v>
      </c>
      <c r="J1057" t="s">
        <v>2320</v>
      </c>
      <c r="K1057" t="s">
        <v>2321</v>
      </c>
      <c r="L1057" t="s">
        <v>50</v>
      </c>
      <c r="M1057" s="2">
        <v>843697.33</v>
      </c>
      <c r="N1057" t="s">
        <v>8391</v>
      </c>
      <c r="O1057" t="s">
        <v>115</v>
      </c>
      <c r="P1057" t="str">
        <f>CONCATENATE("'",Tabla1[[#This Row],[Codigo]],"',")</f>
        <v>'01823',</v>
      </c>
    </row>
    <row r="1058" spans="1:16" x14ac:dyDescent="0.25">
      <c r="A1058" t="s">
        <v>8392</v>
      </c>
      <c r="B1058" t="s">
        <v>8393</v>
      </c>
      <c r="C1058" t="s">
        <v>8393</v>
      </c>
      <c r="D1058" t="s">
        <v>178</v>
      </c>
      <c r="E1058" t="s">
        <v>179</v>
      </c>
      <c r="F1058" t="s">
        <v>8394</v>
      </c>
      <c r="G1058" t="s">
        <v>404</v>
      </c>
      <c r="H1058" t="s">
        <v>403</v>
      </c>
      <c r="I1058" t="s">
        <v>404</v>
      </c>
      <c r="J1058" t="s">
        <v>4315</v>
      </c>
      <c r="K1058" t="s">
        <v>4316</v>
      </c>
      <c r="L1058" t="s">
        <v>50</v>
      </c>
      <c r="M1058" s="2">
        <v>92012.89</v>
      </c>
      <c r="N1058" t="s">
        <v>8397</v>
      </c>
      <c r="O1058" t="s">
        <v>115</v>
      </c>
      <c r="P1058" t="str">
        <f>CONCATENATE("'",Tabla1[[#This Row],[Codigo]],"',")</f>
        <v>'01824',</v>
      </c>
    </row>
    <row r="1059" spans="1:16" x14ac:dyDescent="0.25">
      <c r="A1059" t="s">
        <v>8398</v>
      </c>
      <c r="B1059" t="s">
        <v>15177</v>
      </c>
      <c r="C1059" t="s">
        <v>8399</v>
      </c>
      <c r="D1059" t="s">
        <v>1854</v>
      </c>
      <c r="E1059" t="s">
        <v>224</v>
      </c>
      <c r="F1059" t="s">
        <v>8400</v>
      </c>
      <c r="G1059" t="s">
        <v>8401</v>
      </c>
      <c r="H1059" t="s">
        <v>8403</v>
      </c>
      <c r="I1059" t="s">
        <v>8401</v>
      </c>
      <c r="J1059" t="s">
        <v>6987</v>
      </c>
      <c r="K1059" t="s">
        <v>6988</v>
      </c>
      <c r="L1059" t="s">
        <v>50</v>
      </c>
      <c r="M1059" s="2">
        <v>63311.56</v>
      </c>
      <c r="N1059" t="s">
        <v>8405</v>
      </c>
      <c r="P1059" t="str">
        <f>CONCATENATE("'",Tabla1[[#This Row],[Codigo]],"',")</f>
        <v>'01825',</v>
      </c>
    </row>
    <row r="1060" spans="1:16" x14ac:dyDescent="0.25">
      <c r="A1060" t="s">
        <v>8408</v>
      </c>
      <c r="B1060" t="s">
        <v>8409</v>
      </c>
      <c r="C1060" t="s">
        <v>8409</v>
      </c>
      <c r="D1060" t="s">
        <v>169</v>
      </c>
      <c r="E1060" t="s">
        <v>190</v>
      </c>
      <c r="F1060" t="s">
        <v>8410</v>
      </c>
      <c r="G1060" t="s">
        <v>79</v>
      </c>
      <c r="H1060" t="s">
        <v>495</v>
      </c>
      <c r="I1060" t="s">
        <v>79</v>
      </c>
      <c r="J1060" t="s">
        <v>3487</v>
      </c>
      <c r="K1060" t="s">
        <v>3488</v>
      </c>
      <c r="L1060" t="s">
        <v>50</v>
      </c>
      <c r="M1060" s="2">
        <v>93424</v>
      </c>
      <c r="N1060" t="s">
        <v>64</v>
      </c>
      <c r="P1060" t="str">
        <f>CONCATENATE("'",Tabla1[[#This Row],[Codigo]],"',")</f>
        <v>'01827',</v>
      </c>
    </row>
    <row r="1061" spans="1:16" x14ac:dyDescent="0.25">
      <c r="A1061" t="s">
        <v>8413</v>
      </c>
      <c r="B1061" t="s">
        <v>8414</v>
      </c>
      <c r="C1061" t="s">
        <v>8414</v>
      </c>
      <c r="D1061" t="s">
        <v>3855</v>
      </c>
      <c r="E1061" t="s">
        <v>134</v>
      </c>
      <c r="F1061" t="s">
        <v>8415</v>
      </c>
      <c r="G1061" t="s">
        <v>8416</v>
      </c>
      <c r="H1061" t="s">
        <v>7837</v>
      </c>
      <c r="I1061" t="s">
        <v>7838</v>
      </c>
      <c r="J1061" t="s">
        <v>3487</v>
      </c>
      <c r="K1061" t="s">
        <v>3488</v>
      </c>
      <c r="L1061" t="s">
        <v>50</v>
      </c>
      <c r="M1061" s="2">
        <v>21817</v>
      </c>
      <c r="N1061" t="s">
        <v>64</v>
      </c>
      <c r="P1061" t="str">
        <f>CONCATENATE("'",Tabla1[[#This Row],[Codigo]],"',")</f>
        <v>'01828',</v>
      </c>
    </row>
    <row r="1062" spans="1:16" x14ac:dyDescent="0.25">
      <c r="A1062" t="s">
        <v>8419</v>
      </c>
      <c r="B1062" t="s">
        <v>8420</v>
      </c>
      <c r="C1062" t="s">
        <v>8420</v>
      </c>
      <c r="D1062" t="s">
        <v>125</v>
      </c>
      <c r="E1062" t="s">
        <v>126</v>
      </c>
      <c r="F1062" t="s">
        <v>8421</v>
      </c>
      <c r="G1062" t="s">
        <v>446</v>
      </c>
      <c r="H1062" t="s">
        <v>445</v>
      </c>
      <c r="I1062" t="s">
        <v>446</v>
      </c>
      <c r="J1062" t="s">
        <v>4315</v>
      </c>
      <c r="K1062" t="s">
        <v>4316</v>
      </c>
      <c r="L1062" t="s">
        <v>50</v>
      </c>
      <c r="M1062" s="2">
        <v>59464.77</v>
      </c>
      <c r="N1062" t="s">
        <v>8424</v>
      </c>
      <c r="O1062" t="s">
        <v>115</v>
      </c>
      <c r="P1062" t="str">
        <f>CONCATENATE("'",Tabla1[[#This Row],[Codigo]],"',")</f>
        <v>'01829',</v>
      </c>
    </row>
    <row r="1063" spans="1:16" x14ac:dyDescent="0.25">
      <c r="A1063" t="s">
        <v>8426</v>
      </c>
      <c r="B1063" t="s">
        <v>8427</v>
      </c>
      <c r="C1063" t="s">
        <v>8427</v>
      </c>
      <c r="D1063" t="s">
        <v>344</v>
      </c>
      <c r="E1063" t="s">
        <v>167</v>
      </c>
      <c r="F1063" t="s">
        <v>8428</v>
      </c>
      <c r="G1063" t="s">
        <v>1360</v>
      </c>
      <c r="H1063" t="s">
        <v>1362</v>
      </c>
      <c r="I1063" t="s">
        <v>1360</v>
      </c>
      <c r="J1063" t="s">
        <v>1421</v>
      </c>
      <c r="K1063" t="s">
        <v>1422</v>
      </c>
      <c r="L1063" t="s">
        <v>50</v>
      </c>
      <c r="M1063" s="2">
        <v>218170</v>
      </c>
      <c r="N1063" t="s">
        <v>64</v>
      </c>
      <c r="P1063" t="str">
        <f>CONCATENATE("'",Tabla1[[#This Row],[Codigo]],"',")</f>
        <v>'01831',</v>
      </c>
    </row>
    <row r="1064" spans="1:16" x14ac:dyDescent="0.25">
      <c r="A1064" t="s">
        <v>8431</v>
      </c>
      <c r="B1064" t="s">
        <v>8432</v>
      </c>
      <c r="C1064" t="s">
        <v>8432</v>
      </c>
      <c r="D1064" t="s">
        <v>847</v>
      </c>
      <c r="E1064" t="s">
        <v>848</v>
      </c>
      <c r="F1064" t="s">
        <v>8433</v>
      </c>
      <c r="G1064" t="s">
        <v>6113</v>
      </c>
      <c r="H1064" t="s">
        <v>5741</v>
      </c>
      <c r="I1064" t="s">
        <v>5739</v>
      </c>
      <c r="J1064" t="s">
        <v>2320</v>
      </c>
      <c r="K1064" t="s">
        <v>2321</v>
      </c>
      <c r="L1064" t="s">
        <v>50</v>
      </c>
      <c r="M1064" s="2">
        <v>-20730.68</v>
      </c>
      <c r="N1064" t="s">
        <v>8436</v>
      </c>
      <c r="O1064" t="s">
        <v>115</v>
      </c>
      <c r="P1064" t="str">
        <f>CONCATENATE("'",Tabla1[[#This Row],[Codigo]],"',")</f>
        <v>'01832',</v>
      </c>
    </row>
    <row r="1065" spans="1:16" x14ac:dyDescent="0.25">
      <c r="A1065" t="s">
        <v>8439</v>
      </c>
      <c r="B1065" t="s">
        <v>8440</v>
      </c>
      <c r="C1065" t="s">
        <v>8440</v>
      </c>
      <c r="D1065" t="s">
        <v>166</v>
      </c>
      <c r="E1065" t="s">
        <v>167</v>
      </c>
      <c r="F1065" t="s">
        <v>8441</v>
      </c>
      <c r="G1065" t="s">
        <v>8101</v>
      </c>
      <c r="H1065" t="s">
        <v>8100</v>
      </c>
      <c r="I1065" t="s">
        <v>8101</v>
      </c>
      <c r="J1065" t="s">
        <v>4853</v>
      </c>
      <c r="K1065" t="s">
        <v>4854</v>
      </c>
      <c r="L1065" t="s">
        <v>50</v>
      </c>
      <c r="M1065" s="2">
        <v>-4005.72</v>
      </c>
      <c r="N1065" t="s">
        <v>8444</v>
      </c>
      <c r="O1065" t="s">
        <v>115</v>
      </c>
      <c r="P1065" t="str">
        <f>CONCATENATE("'",Tabla1[[#This Row],[Codigo]],"',")</f>
        <v>'01834',</v>
      </c>
    </row>
    <row r="1066" spans="1:16" x14ac:dyDescent="0.25">
      <c r="A1066" t="s">
        <v>8447</v>
      </c>
      <c r="B1066" t="s">
        <v>8448</v>
      </c>
      <c r="C1066" t="s">
        <v>8448</v>
      </c>
      <c r="D1066" t="s">
        <v>133</v>
      </c>
      <c r="E1066" t="s">
        <v>134</v>
      </c>
      <c r="F1066" t="s">
        <v>8449</v>
      </c>
      <c r="G1066" t="s">
        <v>2572</v>
      </c>
      <c r="H1066" t="s">
        <v>2571</v>
      </c>
      <c r="I1066" t="s">
        <v>2572</v>
      </c>
      <c r="J1066" t="s">
        <v>6987</v>
      </c>
      <c r="K1066" t="s">
        <v>6988</v>
      </c>
      <c r="L1066" t="s">
        <v>50</v>
      </c>
      <c r="M1066" s="2">
        <v>1551</v>
      </c>
      <c r="N1066" t="s">
        <v>64</v>
      </c>
      <c r="P1066" t="str">
        <f>CONCATENATE("'",Tabla1[[#This Row],[Codigo]],"',")</f>
        <v>'01836',</v>
      </c>
    </row>
    <row r="1067" spans="1:16" x14ac:dyDescent="0.25">
      <c r="A1067" t="s">
        <v>8461</v>
      </c>
      <c r="B1067" t="s">
        <v>15178</v>
      </c>
      <c r="C1067" t="s">
        <v>8462</v>
      </c>
      <c r="D1067" t="s">
        <v>125</v>
      </c>
      <c r="E1067" t="s">
        <v>126</v>
      </c>
      <c r="F1067" t="s">
        <v>8463</v>
      </c>
      <c r="G1067" t="s">
        <v>4854</v>
      </c>
      <c r="H1067" t="s">
        <v>5201</v>
      </c>
      <c r="I1067" t="s">
        <v>5202</v>
      </c>
      <c r="J1067" t="s">
        <v>4853</v>
      </c>
      <c r="K1067" t="s">
        <v>4854</v>
      </c>
      <c r="L1067" t="s">
        <v>50</v>
      </c>
      <c r="M1067" s="2">
        <v>250176.42</v>
      </c>
      <c r="N1067" t="s">
        <v>8466</v>
      </c>
      <c r="O1067" t="s">
        <v>52</v>
      </c>
      <c r="P1067" t="str">
        <f>CONCATENATE("'",Tabla1[[#This Row],[Codigo]],"',")</f>
        <v>'01839',</v>
      </c>
    </row>
    <row r="1068" spans="1:16" x14ac:dyDescent="0.25">
      <c r="A1068" t="s">
        <v>8467</v>
      </c>
      <c r="B1068" t="s">
        <v>8468</v>
      </c>
      <c r="C1068" t="s">
        <v>8468</v>
      </c>
      <c r="D1068" t="s">
        <v>153</v>
      </c>
      <c r="E1068" t="s">
        <v>272</v>
      </c>
      <c r="F1068" t="s">
        <v>8469</v>
      </c>
      <c r="G1068" t="s">
        <v>8302</v>
      </c>
      <c r="H1068" t="s">
        <v>5201</v>
      </c>
      <c r="I1068" t="s">
        <v>5202</v>
      </c>
      <c r="J1068" t="s">
        <v>4853</v>
      </c>
      <c r="K1068" t="s">
        <v>4854</v>
      </c>
      <c r="L1068" t="s">
        <v>50</v>
      </c>
      <c r="M1068" s="2">
        <v>44792</v>
      </c>
      <c r="N1068" t="s">
        <v>64</v>
      </c>
      <c r="P1068" t="str">
        <f>CONCATENATE("'",Tabla1[[#This Row],[Codigo]],"',")</f>
        <v>'01840',</v>
      </c>
    </row>
    <row r="1069" spans="1:16" x14ac:dyDescent="0.25">
      <c r="A1069" t="s">
        <v>8482</v>
      </c>
      <c r="B1069" t="s">
        <v>8483</v>
      </c>
      <c r="C1069" t="s">
        <v>8483</v>
      </c>
      <c r="D1069" t="s">
        <v>847</v>
      </c>
      <c r="E1069" t="s">
        <v>848</v>
      </c>
      <c r="F1069" t="s">
        <v>8484</v>
      </c>
      <c r="G1069" t="s">
        <v>41</v>
      </c>
      <c r="H1069" t="s">
        <v>40</v>
      </c>
      <c r="I1069" t="s">
        <v>41</v>
      </c>
      <c r="J1069" t="s">
        <v>42</v>
      </c>
      <c r="K1069" t="s">
        <v>43</v>
      </c>
      <c r="L1069" t="s">
        <v>50</v>
      </c>
      <c r="M1069" s="2">
        <v>10904.27</v>
      </c>
      <c r="N1069" t="s">
        <v>5692</v>
      </c>
      <c r="P1069" t="str">
        <f>CONCATENATE("'",Tabla1[[#This Row],[Codigo]],"',")</f>
        <v>'01846',</v>
      </c>
    </row>
    <row r="1070" spans="1:16" x14ac:dyDescent="0.25">
      <c r="A1070" t="s">
        <v>8485</v>
      </c>
      <c r="B1070" t="s">
        <v>8486</v>
      </c>
      <c r="C1070" t="s">
        <v>8486</v>
      </c>
      <c r="D1070" t="s">
        <v>35</v>
      </c>
      <c r="E1070" t="s">
        <v>36</v>
      </c>
      <c r="F1070" t="s">
        <v>8487</v>
      </c>
      <c r="G1070" t="s">
        <v>8005</v>
      </c>
      <c r="H1070" t="s">
        <v>8007</v>
      </c>
      <c r="I1070" t="s">
        <v>8005</v>
      </c>
      <c r="J1070" t="s">
        <v>6987</v>
      </c>
      <c r="K1070" t="s">
        <v>6988</v>
      </c>
      <c r="L1070" t="s">
        <v>50</v>
      </c>
      <c r="M1070" s="2">
        <v>301580.40999999997</v>
      </c>
      <c r="N1070" t="s">
        <v>8490</v>
      </c>
      <c r="O1070" t="s">
        <v>52</v>
      </c>
      <c r="P1070" t="str">
        <f>CONCATENATE("'",Tabla1[[#This Row],[Codigo]],"',")</f>
        <v>'01847',</v>
      </c>
    </row>
    <row r="1071" spans="1:16" x14ac:dyDescent="0.25">
      <c r="A1071" t="s">
        <v>8491</v>
      </c>
      <c r="B1071" t="s">
        <v>8492</v>
      </c>
      <c r="C1071" t="s">
        <v>8492</v>
      </c>
      <c r="D1071" t="s">
        <v>297</v>
      </c>
      <c r="E1071" t="s">
        <v>167</v>
      </c>
      <c r="F1071" t="s">
        <v>8493</v>
      </c>
      <c r="G1071" t="s">
        <v>2572</v>
      </c>
      <c r="H1071" t="s">
        <v>2571</v>
      </c>
      <c r="I1071" t="s">
        <v>2572</v>
      </c>
      <c r="J1071" t="s">
        <v>6987</v>
      </c>
      <c r="K1071" t="s">
        <v>6988</v>
      </c>
      <c r="L1071" t="s">
        <v>50</v>
      </c>
      <c r="M1071" s="2">
        <v>247878.98</v>
      </c>
      <c r="N1071" t="s">
        <v>8496</v>
      </c>
      <c r="O1071" t="s">
        <v>52</v>
      </c>
      <c r="P1071" t="str">
        <f>CONCATENATE("'",Tabla1[[#This Row],[Codigo]],"',")</f>
        <v>'01848',</v>
      </c>
    </row>
    <row r="1072" spans="1:16" x14ac:dyDescent="0.25">
      <c r="A1072" t="s">
        <v>8497</v>
      </c>
      <c r="B1072" t="s">
        <v>8498</v>
      </c>
      <c r="C1072" t="s">
        <v>8498</v>
      </c>
      <c r="D1072" t="s">
        <v>1169</v>
      </c>
      <c r="E1072" t="s">
        <v>77</v>
      </c>
      <c r="F1072" t="s">
        <v>8499</v>
      </c>
      <c r="G1072" t="s">
        <v>8005</v>
      </c>
      <c r="H1072" t="s">
        <v>8007</v>
      </c>
      <c r="I1072" t="s">
        <v>8005</v>
      </c>
      <c r="J1072" t="s">
        <v>6987</v>
      </c>
      <c r="K1072" t="s">
        <v>6988</v>
      </c>
      <c r="L1072" t="s">
        <v>50</v>
      </c>
      <c r="M1072" s="2">
        <v>327255</v>
      </c>
      <c r="N1072" t="s">
        <v>64</v>
      </c>
      <c r="P1072" t="str">
        <f>CONCATENATE("'",Tabla1[[#This Row],[Codigo]],"',")</f>
        <v>'01849',</v>
      </c>
    </row>
    <row r="1073" spans="1:16" x14ac:dyDescent="0.25">
      <c r="A1073" t="s">
        <v>8502</v>
      </c>
      <c r="B1073" t="s">
        <v>8503</v>
      </c>
      <c r="C1073" t="s">
        <v>8504</v>
      </c>
      <c r="D1073" t="s">
        <v>847</v>
      </c>
      <c r="E1073" t="s">
        <v>848</v>
      </c>
      <c r="F1073" t="s">
        <v>8505</v>
      </c>
      <c r="G1073" t="s">
        <v>79</v>
      </c>
      <c r="H1073" t="s">
        <v>495</v>
      </c>
      <c r="I1073" t="s">
        <v>79</v>
      </c>
      <c r="J1073" t="s">
        <v>3487</v>
      </c>
      <c r="K1073" t="s">
        <v>3488</v>
      </c>
      <c r="L1073" t="s">
        <v>50</v>
      </c>
      <c r="M1073" s="2">
        <v>415572.85</v>
      </c>
      <c r="N1073" t="s">
        <v>8508</v>
      </c>
      <c r="O1073" t="s">
        <v>52</v>
      </c>
      <c r="P1073" t="str">
        <f>CONCATENATE("'",Tabla1[[#This Row],[Codigo]],"',")</f>
        <v>'01850',</v>
      </c>
    </row>
    <row r="1074" spans="1:16" x14ac:dyDescent="0.25">
      <c r="A1074" t="s">
        <v>8509</v>
      </c>
      <c r="B1074" t="s">
        <v>8510</v>
      </c>
      <c r="C1074" t="s">
        <v>8510</v>
      </c>
      <c r="D1074" t="s">
        <v>297</v>
      </c>
      <c r="E1074" t="s">
        <v>167</v>
      </c>
      <c r="F1074" t="s">
        <v>8511</v>
      </c>
      <c r="G1074" t="s">
        <v>157</v>
      </c>
      <c r="H1074" t="s">
        <v>156</v>
      </c>
      <c r="I1074" t="s">
        <v>157</v>
      </c>
      <c r="J1074" t="s">
        <v>158</v>
      </c>
      <c r="K1074" t="s">
        <v>159</v>
      </c>
      <c r="L1074" t="s">
        <v>50</v>
      </c>
      <c r="M1074" s="2">
        <v>3272550</v>
      </c>
      <c r="N1074" t="s">
        <v>64</v>
      </c>
      <c r="P1074" t="str">
        <f>CONCATENATE("'",Tabla1[[#This Row],[Codigo]],"',")</f>
        <v>'01851',</v>
      </c>
    </row>
    <row r="1075" spans="1:16" x14ac:dyDescent="0.25">
      <c r="A1075" t="s">
        <v>8515</v>
      </c>
      <c r="B1075" t="s">
        <v>8516</v>
      </c>
      <c r="C1075" t="s">
        <v>8516</v>
      </c>
      <c r="D1075" t="s">
        <v>35</v>
      </c>
      <c r="E1075" t="s">
        <v>36</v>
      </c>
      <c r="F1075" t="s">
        <v>8517</v>
      </c>
      <c r="G1075" t="s">
        <v>1360</v>
      </c>
      <c r="H1075" t="s">
        <v>1362</v>
      </c>
      <c r="I1075" t="s">
        <v>1360</v>
      </c>
      <c r="J1075" t="s">
        <v>1421</v>
      </c>
      <c r="K1075" t="s">
        <v>1422</v>
      </c>
      <c r="L1075" t="s">
        <v>50</v>
      </c>
      <c r="M1075" s="2">
        <v>122074.44</v>
      </c>
      <c r="N1075" t="s">
        <v>8520</v>
      </c>
      <c r="O1075" t="s">
        <v>115</v>
      </c>
      <c r="P1075" t="str">
        <f>CONCATENATE("'",Tabla1[[#This Row],[Codigo]],"',")</f>
        <v>'01853',</v>
      </c>
    </row>
    <row r="1076" spans="1:16" x14ac:dyDescent="0.25">
      <c r="A1076" t="s">
        <v>8521</v>
      </c>
      <c r="B1076" t="s">
        <v>8522</v>
      </c>
      <c r="C1076" t="s">
        <v>8522</v>
      </c>
      <c r="D1076" t="s">
        <v>153</v>
      </c>
      <c r="E1076" t="s">
        <v>272</v>
      </c>
      <c r="F1076" t="s">
        <v>8523</v>
      </c>
      <c r="G1076" t="s">
        <v>8524</v>
      </c>
      <c r="H1076" t="s">
        <v>2571</v>
      </c>
      <c r="I1076" t="s">
        <v>2572</v>
      </c>
      <c r="J1076" t="s">
        <v>6987</v>
      </c>
      <c r="K1076" t="s">
        <v>6988</v>
      </c>
      <c r="L1076" t="s">
        <v>50</v>
      </c>
      <c r="M1076" s="2">
        <v>15812.48</v>
      </c>
      <c r="N1076" t="s">
        <v>8527</v>
      </c>
      <c r="O1076" t="s">
        <v>115</v>
      </c>
      <c r="P1076" t="str">
        <f>CONCATENATE("'",Tabla1[[#This Row],[Codigo]],"',")</f>
        <v>'01854',</v>
      </c>
    </row>
    <row r="1077" spans="1:16" x14ac:dyDescent="0.25">
      <c r="A1077" t="s">
        <v>8528</v>
      </c>
      <c r="B1077" t="s">
        <v>8529</v>
      </c>
      <c r="C1077" t="s">
        <v>8529</v>
      </c>
      <c r="D1077" t="s">
        <v>125</v>
      </c>
      <c r="E1077" t="s">
        <v>126</v>
      </c>
      <c r="F1077" t="s">
        <v>8530</v>
      </c>
      <c r="G1077" t="s">
        <v>7860</v>
      </c>
      <c r="H1077" t="s">
        <v>4852</v>
      </c>
      <c r="I1077" t="s">
        <v>4851</v>
      </c>
      <c r="J1077" t="s">
        <v>4853</v>
      </c>
      <c r="K1077" t="s">
        <v>4854</v>
      </c>
      <c r="L1077" t="s">
        <v>50</v>
      </c>
      <c r="M1077" s="2">
        <v>576395.77</v>
      </c>
      <c r="N1077" t="s">
        <v>8533</v>
      </c>
      <c r="O1077" t="s">
        <v>52</v>
      </c>
      <c r="P1077" t="str">
        <f>CONCATENATE("'",Tabla1[[#This Row],[Codigo]],"',")</f>
        <v>'01855',</v>
      </c>
    </row>
    <row r="1078" spans="1:16" x14ac:dyDescent="0.25">
      <c r="A1078" t="s">
        <v>8534</v>
      </c>
      <c r="B1078" t="s">
        <v>8535</v>
      </c>
      <c r="C1078" t="s">
        <v>8535</v>
      </c>
      <c r="D1078" t="s">
        <v>125</v>
      </c>
      <c r="E1078" t="s">
        <v>126</v>
      </c>
      <c r="F1078" t="s">
        <v>8536</v>
      </c>
      <c r="G1078" t="s">
        <v>6519</v>
      </c>
      <c r="H1078" t="s">
        <v>5201</v>
      </c>
      <c r="I1078" t="s">
        <v>5202</v>
      </c>
      <c r="J1078" t="s">
        <v>4853</v>
      </c>
      <c r="K1078" t="s">
        <v>4854</v>
      </c>
      <c r="L1078" t="s">
        <v>50</v>
      </c>
      <c r="M1078" s="2">
        <v>407518.77</v>
      </c>
      <c r="N1078" t="s">
        <v>8539</v>
      </c>
      <c r="O1078" t="s">
        <v>52</v>
      </c>
      <c r="P1078" t="str">
        <f>CONCATENATE("'",Tabla1[[#This Row],[Codigo]],"',")</f>
        <v>'01856',</v>
      </c>
    </row>
    <row r="1079" spans="1:16" x14ac:dyDescent="0.25">
      <c r="A1079" t="s">
        <v>8540</v>
      </c>
      <c r="B1079" t="s">
        <v>8541</v>
      </c>
      <c r="C1079" t="s">
        <v>8541</v>
      </c>
      <c r="D1079" t="s">
        <v>35</v>
      </c>
      <c r="E1079" t="s">
        <v>36</v>
      </c>
      <c r="F1079" t="s">
        <v>8542</v>
      </c>
      <c r="G1079" t="s">
        <v>2396</v>
      </c>
      <c r="H1079" t="s">
        <v>6985</v>
      </c>
      <c r="I1079" t="s">
        <v>6986</v>
      </c>
      <c r="J1079" t="s">
        <v>6987</v>
      </c>
      <c r="K1079" t="s">
        <v>6988</v>
      </c>
      <c r="L1079" t="s">
        <v>50</v>
      </c>
      <c r="M1079" s="2">
        <v>487834.09</v>
      </c>
      <c r="N1079" t="s">
        <v>8544</v>
      </c>
      <c r="O1079" t="s">
        <v>52</v>
      </c>
      <c r="P1079" t="str">
        <f>CONCATENATE("'",Tabla1[[#This Row],[Codigo]],"',")</f>
        <v>'01857',</v>
      </c>
    </row>
    <row r="1080" spans="1:16" x14ac:dyDescent="0.25">
      <c r="A1080" t="s">
        <v>8547</v>
      </c>
      <c r="B1080" t="s">
        <v>8548</v>
      </c>
      <c r="C1080" t="s">
        <v>8548</v>
      </c>
      <c r="D1080" t="s">
        <v>569</v>
      </c>
      <c r="E1080" t="s">
        <v>570</v>
      </c>
      <c r="F1080" t="s">
        <v>8549</v>
      </c>
      <c r="G1080" t="s">
        <v>2427</v>
      </c>
      <c r="H1080" t="s">
        <v>2426</v>
      </c>
      <c r="I1080" t="s">
        <v>2427</v>
      </c>
      <c r="J1080" t="s">
        <v>103</v>
      </c>
      <c r="K1080" t="s">
        <v>104</v>
      </c>
      <c r="L1080" t="s">
        <v>50</v>
      </c>
      <c r="M1080" s="2">
        <v>1132754.52</v>
      </c>
      <c r="N1080" t="s">
        <v>8552</v>
      </c>
      <c r="O1080" t="s">
        <v>52</v>
      </c>
      <c r="P1080" t="str">
        <f>CONCATENATE("'",Tabla1[[#This Row],[Codigo]],"',")</f>
        <v>'01859',</v>
      </c>
    </row>
    <row r="1081" spans="1:16" x14ac:dyDescent="0.25">
      <c r="A1081" t="s">
        <v>8553</v>
      </c>
      <c r="B1081" t="s">
        <v>15179</v>
      </c>
      <c r="C1081" t="s">
        <v>8554</v>
      </c>
      <c r="D1081" t="s">
        <v>178</v>
      </c>
      <c r="E1081" t="s">
        <v>179</v>
      </c>
      <c r="F1081" t="s">
        <v>8555</v>
      </c>
      <c r="G1081" t="s">
        <v>79</v>
      </c>
      <c r="H1081" t="s">
        <v>495</v>
      </c>
      <c r="I1081" t="s">
        <v>79</v>
      </c>
      <c r="J1081" t="s">
        <v>3487</v>
      </c>
      <c r="K1081" t="s">
        <v>3488</v>
      </c>
      <c r="L1081" t="s">
        <v>50</v>
      </c>
      <c r="M1081" s="2">
        <v>1090850</v>
      </c>
      <c r="N1081" t="s">
        <v>64</v>
      </c>
      <c r="P1081" t="str">
        <f>CONCATENATE("'",Tabla1[[#This Row],[Codigo]],"',")</f>
        <v>'01860',</v>
      </c>
    </row>
    <row r="1082" spans="1:16" x14ac:dyDescent="0.25">
      <c r="A1082" t="s">
        <v>8558</v>
      </c>
      <c r="B1082" t="s">
        <v>8559</v>
      </c>
      <c r="C1082" t="s">
        <v>8559</v>
      </c>
      <c r="D1082" t="s">
        <v>297</v>
      </c>
      <c r="E1082" t="s">
        <v>167</v>
      </c>
      <c r="F1082" t="s">
        <v>8560</v>
      </c>
      <c r="G1082" t="s">
        <v>4851</v>
      </c>
      <c r="H1082" t="s">
        <v>4852</v>
      </c>
      <c r="I1082" t="s">
        <v>4851</v>
      </c>
      <c r="J1082" t="s">
        <v>4853</v>
      </c>
      <c r="K1082" t="s">
        <v>4854</v>
      </c>
      <c r="L1082" t="s">
        <v>50</v>
      </c>
      <c r="M1082" s="2">
        <v>141147.24</v>
      </c>
      <c r="N1082" t="s">
        <v>8563</v>
      </c>
      <c r="O1082" t="s">
        <v>52</v>
      </c>
      <c r="P1082" t="str">
        <f>CONCATENATE("'",Tabla1[[#This Row],[Codigo]],"',")</f>
        <v>'01861',</v>
      </c>
    </row>
    <row r="1083" spans="1:16" x14ac:dyDescent="0.25">
      <c r="A1083" t="s">
        <v>8565</v>
      </c>
      <c r="B1083" t="s">
        <v>8566</v>
      </c>
      <c r="C1083" t="s">
        <v>8566</v>
      </c>
      <c r="D1083" t="s">
        <v>297</v>
      </c>
      <c r="E1083" t="s">
        <v>167</v>
      </c>
      <c r="F1083" t="s">
        <v>8567</v>
      </c>
      <c r="G1083" t="s">
        <v>79</v>
      </c>
      <c r="H1083" t="s">
        <v>495</v>
      </c>
      <c r="I1083" t="s">
        <v>79</v>
      </c>
      <c r="J1083" t="s">
        <v>3487</v>
      </c>
      <c r="K1083" t="s">
        <v>3488</v>
      </c>
      <c r="L1083" t="s">
        <v>50</v>
      </c>
      <c r="M1083" s="2">
        <v>23690</v>
      </c>
      <c r="N1083" t="s">
        <v>8570</v>
      </c>
      <c r="O1083" t="s">
        <v>115</v>
      </c>
      <c r="P1083" t="str">
        <f>CONCATENATE("'",Tabla1[[#This Row],[Codigo]],"',")</f>
        <v>'01863',</v>
      </c>
    </row>
    <row r="1084" spans="1:16" x14ac:dyDescent="0.25">
      <c r="A1084" t="s">
        <v>8583</v>
      </c>
      <c r="B1084" t="s">
        <v>8584</v>
      </c>
      <c r="C1084" t="s">
        <v>8584</v>
      </c>
      <c r="D1084" t="s">
        <v>1243</v>
      </c>
      <c r="E1084" t="s">
        <v>871</v>
      </c>
      <c r="F1084" t="s">
        <v>8585</v>
      </c>
      <c r="G1084" t="s">
        <v>79</v>
      </c>
      <c r="H1084" t="s">
        <v>495</v>
      </c>
      <c r="I1084" t="s">
        <v>79</v>
      </c>
      <c r="J1084" t="s">
        <v>3487</v>
      </c>
      <c r="K1084" t="s">
        <v>3488</v>
      </c>
      <c r="L1084" t="s">
        <v>50</v>
      </c>
      <c r="M1084" s="2">
        <v>218170</v>
      </c>
      <c r="N1084" t="s">
        <v>64</v>
      </c>
      <c r="P1084" t="str">
        <f>CONCATENATE("'",Tabla1[[#This Row],[Codigo]],"',")</f>
        <v>'01867',</v>
      </c>
    </row>
    <row r="1085" spans="1:16" x14ac:dyDescent="0.25">
      <c r="A1085" t="s">
        <v>8588</v>
      </c>
      <c r="B1085" t="s">
        <v>8589</v>
      </c>
      <c r="C1085" t="s">
        <v>8589</v>
      </c>
      <c r="D1085" t="s">
        <v>166</v>
      </c>
      <c r="E1085" t="s">
        <v>167</v>
      </c>
      <c r="F1085" t="s">
        <v>8590</v>
      </c>
      <c r="G1085" t="s">
        <v>361</v>
      </c>
      <c r="H1085" t="s">
        <v>360</v>
      </c>
      <c r="I1085" t="s">
        <v>361</v>
      </c>
      <c r="J1085" t="s">
        <v>61</v>
      </c>
      <c r="K1085" t="s">
        <v>62</v>
      </c>
      <c r="L1085" t="s">
        <v>50</v>
      </c>
      <c r="M1085" s="2">
        <v>87268</v>
      </c>
      <c r="N1085" t="s">
        <v>64</v>
      </c>
      <c r="P1085" t="str">
        <f>CONCATENATE("'",Tabla1[[#This Row],[Codigo]],"',")</f>
        <v>'01868',</v>
      </c>
    </row>
    <row r="1086" spans="1:16" x14ac:dyDescent="0.25">
      <c r="A1086" t="s">
        <v>8593</v>
      </c>
      <c r="B1086" t="s">
        <v>8594</v>
      </c>
      <c r="C1086" t="s">
        <v>8594</v>
      </c>
      <c r="D1086" t="s">
        <v>35</v>
      </c>
      <c r="E1086" t="s">
        <v>36</v>
      </c>
      <c r="F1086" t="s">
        <v>8595</v>
      </c>
      <c r="G1086" t="s">
        <v>68</v>
      </c>
      <c r="H1086" t="s">
        <v>67</v>
      </c>
      <c r="I1086" t="s">
        <v>68</v>
      </c>
      <c r="J1086" t="s">
        <v>69</v>
      </c>
      <c r="K1086" t="s">
        <v>70</v>
      </c>
      <c r="L1086" t="s">
        <v>50</v>
      </c>
      <c r="M1086" s="2">
        <v>133745.88</v>
      </c>
      <c r="N1086" t="s">
        <v>8597</v>
      </c>
      <c r="O1086" t="s">
        <v>52</v>
      </c>
      <c r="P1086" t="str">
        <f>CONCATENATE("'",Tabla1[[#This Row],[Codigo]],"',")</f>
        <v>'01869',</v>
      </c>
    </row>
    <row r="1087" spans="1:16" x14ac:dyDescent="0.25">
      <c r="A1087" t="s">
        <v>8598</v>
      </c>
      <c r="B1087" t="s">
        <v>8599</v>
      </c>
      <c r="C1087" t="s">
        <v>8599</v>
      </c>
      <c r="D1087" t="s">
        <v>125</v>
      </c>
      <c r="E1087" t="s">
        <v>126</v>
      </c>
      <c r="F1087" t="s">
        <v>8600</v>
      </c>
      <c r="G1087" t="s">
        <v>2160</v>
      </c>
      <c r="H1087" t="s">
        <v>2159</v>
      </c>
      <c r="I1087" t="s">
        <v>2160</v>
      </c>
      <c r="J1087" t="s">
        <v>2320</v>
      </c>
      <c r="K1087" t="s">
        <v>2321</v>
      </c>
      <c r="L1087" t="s">
        <v>50</v>
      </c>
      <c r="M1087" s="2">
        <v>126502.43</v>
      </c>
      <c r="N1087" t="s">
        <v>8603</v>
      </c>
      <c r="O1087" t="s">
        <v>52</v>
      </c>
      <c r="P1087" t="str">
        <f>CONCATENATE("'",Tabla1[[#This Row],[Codigo]],"',")</f>
        <v>'01870',</v>
      </c>
    </row>
    <row r="1088" spans="1:16" x14ac:dyDescent="0.25">
      <c r="A1088" t="s">
        <v>8604</v>
      </c>
      <c r="B1088" t="s">
        <v>15180</v>
      </c>
      <c r="C1088" t="s">
        <v>8605</v>
      </c>
      <c r="D1088" t="s">
        <v>555</v>
      </c>
      <c r="E1088" t="s">
        <v>1502</v>
      </c>
      <c r="F1088" t="s">
        <v>8606</v>
      </c>
      <c r="G1088" t="s">
        <v>79</v>
      </c>
      <c r="H1088" t="s">
        <v>495</v>
      </c>
      <c r="I1088" t="s">
        <v>79</v>
      </c>
      <c r="J1088" t="s">
        <v>3487</v>
      </c>
      <c r="K1088" t="s">
        <v>3488</v>
      </c>
      <c r="L1088" t="s">
        <v>50</v>
      </c>
      <c r="M1088" s="2">
        <v>436340</v>
      </c>
      <c r="N1088" t="s">
        <v>64</v>
      </c>
      <c r="P1088" t="str">
        <f>CONCATENATE("'",Tabla1[[#This Row],[Codigo]],"',")</f>
        <v>'01871',</v>
      </c>
    </row>
    <row r="1089" spans="1:16" x14ac:dyDescent="0.25">
      <c r="A1089" t="s">
        <v>8614</v>
      </c>
      <c r="B1089" t="s">
        <v>8615</v>
      </c>
      <c r="C1089" t="s">
        <v>8615</v>
      </c>
      <c r="D1089" t="s">
        <v>35</v>
      </c>
      <c r="E1089" t="s">
        <v>36</v>
      </c>
      <c r="F1089" t="s">
        <v>8616</v>
      </c>
      <c r="G1089" t="s">
        <v>7706</v>
      </c>
      <c r="H1089" t="s">
        <v>7705</v>
      </c>
      <c r="I1089" t="s">
        <v>7706</v>
      </c>
      <c r="J1089" t="s">
        <v>256</v>
      </c>
      <c r="K1089" t="s">
        <v>255</v>
      </c>
      <c r="L1089" t="s">
        <v>50</v>
      </c>
      <c r="M1089" s="2">
        <v>57428.74</v>
      </c>
      <c r="N1089" t="s">
        <v>8619</v>
      </c>
      <c r="O1089" t="s">
        <v>52</v>
      </c>
      <c r="P1089" t="str">
        <f>CONCATENATE("'",Tabla1[[#This Row],[Codigo]],"',")</f>
        <v>'01873',</v>
      </c>
    </row>
    <row r="1090" spans="1:16" x14ac:dyDescent="0.25">
      <c r="A1090" t="s">
        <v>8622</v>
      </c>
      <c r="B1090" t="s">
        <v>8623</v>
      </c>
      <c r="C1090" t="s">
        <v>8623</v>
      </c>
      <c r="D1090" t="s">
        <v>35</v>
      </c>
      <c r="E1090" t="s">
        <v>36</v>
      </c>
      <c r="F1090" t="s">
        <v>8624</v>
      </c>
      <c r="G1090" t="s">
        <v>2844</v>
      </c>
      <c r="H1090" t="s">
        <v>2846</v>
      </c>
      <c r="I1090" t="s">
        <v>2844</v>
      </c>
      <c r="J1090" t="s">
        <v>4315</v>
      </c>
      <c r="K1090" t="s">
        <v>4316</v>
      </c>
      <c r="L1090" t="s">
        <v>50</v>
      </c>
      <c r="M1090" s="2">
        <v>14346.33</v>
      </c>
      <c r="N1090" t="s">
        <v>8627</v>
      </c>
      <c r="O1090" t="s">
        <v>52</v>
      </c>
      <c r="P1090" t="str">
        <f>CONCATENATE("'",Tabla1[[#This Row],[Codigo]],"',")</f>
        <v>'01875',</v>
      </c>
    </row>
    <row r="1091" spans="1:16" x14ac:dyDescent="0.25">
      <c r="A1091" t="s">
        <v>8628</v>
      </c>
      <c r="B1091" t="s">
        <v>8629</v>
      </c>
      <c r="C1091" t="s">
        <v>8629</v>
      </c>
      <c r="D1091" t="s">
        <v>569</v>
      </c>
      <c r="E1091" t="s">
        <v>570</v>
      </c>
      <c r="F1091" t="s">
        <v>8630</v>
      </c>
      <c r="G1091" t="s">
        <v>5739</v>
      </c>
      <c r="H1091" t="s">
        <v>5741</v>
      </c>
      <c r="I1091" t="s">
        <v>5739</v>
      </c>
      <c r="J1091" t="s">
        <v>5966</v>
      </c>
      <c r="K1091" t="s">
        <v>5739</v>
      </c>
      <c r="L1091" t="s">
        <v>50</v>
      </c>
      <c r="M1091" s="2">
        <v>109085</v>
      </c>
      <c r="N1091" t="s">
        <v>64</v>
      </c>
      <c r="P1091" t="str">
        <f>CONCATENATE("'",Tabla1[[#This Row],[Codigo]],"',")</f>
        <v>'01876',</v>
      </c>
    </row>
    <row r="1092" spans="1:16" x14ac:dyDescent="0.25">
      <c r="A1092" t="s">
        <v>8635</v>
      </c>
      <c r="B1092" t="s">
        <v>8636</v>
      </c>
      <c r="C1092" t="s">
        <v>8636</v>
      </c>
      <c r="D1092" t="s">
        <v>153</v>
      </c>
      <c r="E1092" t="s">
        <v>272</v>
      </c>
      <c r="F1092" t="s">
        <v>8637</v>
      </c>
      <c r="G1092" t="s">
        <v>81</v>
      </c>
      <c r="H1092" t="s">
        <v>80</v>
      </c>
      <c r="I1092" t="s">
        <v>81</v>
      </c>
      <c r="J1092" t="s">
        <v>557</v>
      </c>
      <c r="K1092" t="s">
        <v>558</v>
      </c>
      <c r="L1092" t="s">
        <v>50</v>
      </c>
      <c r="M1092" s="2">
        <v>47368</v>
      </c>
      <c r="N1092" t="s">
        <v>64</v>
      </c>
      <c r="P1092" t="str">
        <f>CONCATENATE("'",Tabla1[[#This Row],[Codigo]],"',")</f>
        <v>'01878',</v>
      </c>
    </row>
    <row r="1093" spans="1:16" x14ac:dyDescent="0.25">
      <c r="A1093" t="s">
        <v>8640</v>
      </c>
      <c r="B1093" t="s">
        <v>8641</v>
      </c>
      <c r="C1093" t="s">
        <v>8641</v>
      </c>
      <c r="D1093" t="s">
        <v>125</v>
      </c>
      <c r="E1093" t="s">
        <v>126</v>
      </c>
      <c r="F1093" t="s">
        <v>8642</v>
      </c>
      <c r="G1093" t="s">
        <v>7518</v>
      </c>
      <c r="H1093" t="s">
        <v>7517</v>
      </c>
      <c r="I1093" t="s">
        <v>7518</v>
      </c>
      <c r="J1093" t="s">
        <v>1109</v>
      </c>
      <c r="K1093" t="s">
        <v>1110</v>
      </c>
      <c r="L1093" t="s">
        <v>50</v>
      </c>
      <c r="M1093" s="2">
        <v>115983.43</v>
      </c>
      <c r="N1093" t="s">
        <v>8645</v>
      </c>
      <c r="O1093" t="s">
        <v>115</v>
      </c>
      <c r="P1093" t="str">
        <f>CONCATENATE("'",Tabla1[[#This Row],[Codigo]],"',")</f>
        <v>'01879',</v>
      </c>
    </row>
    <row r="1094" spans="1:16" x14ac:dyDescent="0.25">
      <c r="A1094" t="s">
        <v>8648</v>
      </c>
      <c r="B1094" t="s">
        <v>8649</v>
      </c>
      <c r="C1094" t="s">
        <v>8649</v>
      </c>
      <c r="D1094" t="s">
        <v>569</v>
      </c>
      <c r="E1094" t="s">
        <v>570</v>
      </c>
      <c r="F1094" t="s">
        <v>8650</v>
      </c>
      <c r="G1094" t="s">
        <v>1360</v>
      </c>
      <c r="H1094" t="s">
        <v>1362</v>
      </c>
      <c r="I1094" t="s">
        <v>1360</v>
      </c>
      <c r="J1094" t="s">
        <v>1421</v>
      </c>
      <c r="K1094" t="s">
        <v>1422</v>
      </c>
      <c r="L1094" t="s">
        <v>50</v>
      </c>
      <c r="M1094" s="2">
        <v>66126.899999999994</v>
      </c>
      <c r="N1094" t="s">
        <v>8653</v>
      </c>
      <c r="O1094" t="s">
        <v>52</v>
      </c>
      <c r="P1094" t="str">
        <f>CONCATENATE("'",Tabla1[[#This Row],[Codigo]],"',")</f>
        <v>'01881',</v>
      </c>
    </row>
    <row r="1095" spans="1:16" x14ac:dyDescent="0.25">
      <c r="A1095" t="s">
        <v>8654</v>
      </c>
      <c r="B1095" t="s">
        <v>8655</v>
      </c>
      <c r="C1095" t="s">
        <v>8655</v>
      </c>
      <c r="D1095" t="s">
        <v>178</v>
      </c>
      <c r="E1095" t="s">
        <v>179</v>
      </c>
      <c r="F1095" t="s">
        <v>8656</v>
      </c>
      <c r="G1095" t="s">
        <v>6728</v>
      </c>
      <c r="H1095" t="s">
        <v>6730</v>
      </c>
      <c r="I1095" t="s">
        <v>6728</v>
      </c>
      <c r="J1095" t="s">
        <v>557</v>
      </c>
      <c r="K1095" t="s">
        <v>558</v>
      </c>
      <c r="L1095" t="s">
        <v>50</v>
      </c>
      <c r="M1095" s="2">
        <v>85762.44</v>
      </c>
      <c r="N1095" t="s">
        <v>8658</v>
      </c>
      <c r="O1095" t="s">
        <v>115</v>
      </c>
      <c r="P1095" t="str">
        <f>CONCATENATE("'",Tabla1[[#This Row],[Codigo]],"',")</f>
        <v>'01882',</v>
      </c>
    </row>
    <row r="1096" spans="1:16" x14ac:dyDescent="0.25">
      <c r="A1096" t="s">
        <v>8659</v>
      </c>
      <c r="B1096" t="s">
        <v>8660</v>
      </c>
      <c r="C1096" t="s">
        <v>8660</v>
      </c>
      <c r="D1096" t="s">
        <v>35</v>
      </c>
      <c r="E1096" t="s">
        <v>36</v>
      </c>
      <c r="F1096" t="s">
        <v>8661</v>
      </c>
      <c r="G1096" t="s">
        <v>7424</v>
      </c>
      <c r="H1096" t="s">
        <v>7423</v>
      </c>
      <c r="I1096" t="s">
        <v>7424</v>
      </c>
      <c r="J1096" t="s">
        <v>3487</v>
      </c>
      <c r="K1096" t="s">
        <v>3488</v>
      </c>
      <c r="L1096" t="s">
        <v>50</v>
      </c>
      <c r="M1096" s="2">
        <v>107492.74</v>
      </c>
      <c r="N1096" t="s">
        <v>8664</v>
      </c>
      <c r="O1096" t="s">
        <v>52</v>
      </c>
      <c r="P1096" t="str">
        <f>CONCATENATE("'",Tabla1[[#This Row],[Codigo]],"',")</f>
        <v>'01883',</v>
      </c>
    </row>
    <row r="1097" spans="1:16" x14ac:dyDescent="0.25">
      <c r="A1097" t="s">
        <v>8665</v>
      </c>
      <c r="B1097" t="s">
        <v>8666</v>
      </c>
      <c r="C1097" t="s">
        <v>8666</v>
      </c>
      <c r="D1097" t="s">
        <v>125</v>
      </c>
      <c r="E1097" t="s">
        <v>126</v>
      </c>
      <c r="F1097" t="s">
        <v>8667</v>
      </c>
      <c r="G1097" t="s">
        <v>2399</v>
      </c>
      <c r="H1097" t="s">
        <v>8320</v>
      </c>
      <c r="I1097" t="s">
        <v>8321</v>
      </c>
      <c r="J1097" t="s">
        <v>6987</v>
      </c>
      <c r="K1097" t="s">
        <v>6988</v>
      </c>
      <c r="L1097" t="s">
        <v>50</v>
      </c>
      <c r="M1097" s="2">
        <v>218170</v>
      </c>
      <c r="N1097" t="s">
        <v>64</v>
      </c>
      <c r="P1097" t="str">
        <f>CONCATENATE("'",Tabla1[[#This Row],[Codigo]],"',")</f>
        <v>'01884',</v>
      </c>
    </row>
    <row r="1098" spans="1:16" x14ac:dyDescent="0.25">
      <c r="A1098" t="s">
        <v>8670</v>
      </c>
      <c r="B1098" t="s">
        <v>8671</v>
      </c>
      <c r="C1098" t="s">
        <v>8671</v>
      </c>
      <c r="D1098" t="s">
        <v>35</v>
      </c>
      <c r="E1098" t="s">
        <v>36</v>
      </c>
      <c r="F1098" t="s">
        <v>8672</v>
      </c>
      <c r="G1098" t="s">
        <v>8673</v>
      </c>
      <c r="H1098" t="s">
        <v>8675</v>
      </c>
      <c r="I1098" t="s">
        <v>8673</v>
      </c>
      <c r="J1098" t="s">
        <v>3487</v>
      </c>
      <c r="K1098" t="s">
        <v>3488</v>
      </c>
      <c r="L1098" t="s">
        <v>50</v>
      </c>
      <c r="M1098" s="2">
        <v>-7360.18</v>
      </c>
      <c r="N1098" t="s">
        <v>8677</v>
      </c>
      <c r="O1098" t="s">
        <v>115</v>
      </c>
      <c r="P1098" t="str">
        <f>CONCATENATE("'",Tabla1[[#This Row],[Codigo]],"',")</f>
        <v>'01885',</v>
      </c>
    </row>
    <row r="1099" spans="1:16" x14ac:dyDescent="0.25">
      <c r="A1099" t="s">
        <v>8684</v>
      </c>
      <c r="B1099" t="s">
        <v>8685</v>
      </c>
      <c r="C1099" t="s">
        <v>8685</v>
      </c>
      <c r="D1099" t="s">
        <v>297</v>
      </c>
      <c r="E1099" t="s">
        <v>167</v>
      </c>
      <c r="F1099" t="s">
        <v>8686</v>
      </c>
      <c r="G1099" t="s">
        <v>8687</v>
      </c>
      <c r="H1099" t="s">
        <v>8689</v>
      </c>
      <c r="I1099" t="s">
        <v>8687</v>
      </c>
      <c r="J1099" t="s">
        <v>4853</v>
      </c>
      <c r="K1099" t="s">
        <v>4854</v>
      </c>
      <c r="L1099" t="s">
        <v>50</v>
      </c>
      <c r="M1099" s="2">
        <v>741.3</v>
      </c>
      <c r="N1099" t="s">
        <v>8691</v>
      </c>
      <c r="O1099" t="s">
        <v>52</v>
      </c>
      <c r="P1099" t="str">
        <f>CONCATENATE("'",Tabla1[[#This Row],[Codigo]],"',")</f>
        <v>'01890',</v>
      </c>
    </row>
    <row r="1100" spans="1:16" x14ac:dyDescent="0.25">
      <c r="A1100" t="s">
        <v>8692</v>
      </c>
      <c r="B1100" t="s">
        <v>8693</v>
      </c>
      <c r="C1100" t="s">
        <v>8693</v>
      </c>
      <c r="D1100" t="s">
        <v>297</v>
      </c>
      <c r="E1100" t="s">
        <v>167</v>
      </c>
      <c r="F1100" t="s">
        <v>8694</v>
      </c>
      <c r="G1100" t="s">
        <v>8302</v>
      </c>
      <c r="H1100" t="s">
        <v>5201</v>
      </c>
      <c r="I1100" t="s">
        <v>5202</v>
      </c>
      <c r="J1100" t="s">
        <v>4853</v>
      </c>
      <c r="K1100" t="s">
        <v>4854</v>
      </c>
      <c r="L1100" t="s">
        <v>50</v>
      </c>
      <c r="M1100" s="2">
        <v>54313.94</v>
      </c>
      <c r="N1100" t="s">
        <v>8697</v>
      </c>
      <c r="O1100" t="s">
        <v>52</v>
      </c>
      <c r="P1100" t="str">
        <f>CONCATENATE("'",Tabla1[[#This Row],[Codigo]],"',")</f>
        <v>'01891',</v>
      </c>
    </row>
    <row r="1101" spans="1:16" x14ac:dyDescent="0.25">
      <c r="A1101" t="s">
        <v>8699</v>
      </c>
      <c r="B1101" t="s">
        <v>8700</v>
      </c>
      <c r="C1101" t="s">
        <v>8700</v>
      </c>
      <c r="D1101" t="s">
        <v>178</v>
      </c>
      <c r="E1101" t="s">
        <v>179</v>
      </c>
      <c r="F1101" t="s">
        <v>8701</v>
      </c>
      <c r="G1101" t="s">
        <v>665</v>
      </c>
      <c r="H1101" t="s">
        <v>664</v>
      </c>
      <c r="I1101" t="s">
        <v>665</v>
      </c>
      <c r="J1101" t="s">
        <v>103</v>
      </c>
      <c r="K1101" t="s">
        <v>104</v>
      </c>
      <c r="L1101" t="s">
        <v>50</v>
      </c>
      <c r="M1101" s="2">
        <v>209198.16</v>
      </c>
      <c r="N1101" t="s">
        <v>8704</v>
      </c>
      <c r="O1101" t="s">
        <v>52</v>
      </c>
      <c r="P1101" t="str">
        <f>CONCATENATE("'",Tabla1[[#This Row],[Codigo]],"',")</f>
        <v>'01894',</v>
      </c>
    </row>
    <row r="1102" spans="1:16" x14ac:dyDescent="0.25">
      <c r="A1102" t="s">
        <v>8705</v>
      </c>
      <c r="B1102" t="s">
        <v>8706</v>
      </c>
      <c r="C1102" t="s">
        <v>8706</v>
      </c>
      <c r="D1102" t="s">
        <v>125</v>
      </c>
      <c r="E1102" t="s">
        <v>126</v>
      </c>
      <c r="F1102" t="s">
        <v>8707</v>
      </c>
      <c r="G1102" t="s">
        <v>7722</v>
      </c>
      <c r="H1102" t="s">
        <v>7723</v>
      </c>
      <c r="I1102" t="s">
        <v>7722</v>
      </c>
      <c r="J1102" t="s">
        <v>2320</v>
      </c>
      <c r="K1102" t="s">
        <v>2321</v>
      </c>
      <c r="L1102" t="s">
        <v>50</v>
      </c>
      <c r="M1102" s="2">
        <v>412471.49</v>
      </c>
      <c r="N1102" t="s">
        <v>8709</v>
      </c>
      <c r="O1102" t="s">
        <v>115</v>
      </c>
      <c r="P1102" t="str">
        <f>CONCATENATE("'",Tabla1[[#This Row],[Codigo]],"',")</f>
        <v>'01895',</v>
      </c>
    </row>
    <row r="1103" spans="1:16" x14ac:dyDescent="0.25">
      <c r="A1103" t="s">
        <v>8710</v>
      </c>
      <c r="B1103" t="s">
        <v>8711</v>
      </c>
      <c r="C1103" t="s">
        <v>8711</v>
      </c>
      <c r="D1103" t="s">
        <v>35</v>
      </c>
      <c r="E1103" t="s">
        <v>36</v>
      </c>
      <c r="F1103" t="s">
        <v>8712</v>
      </c>
      <c r="G1103" t="s">
        <v>2278</v>
      </c>
      <c r="H1103" t="s">
        <v>2277</v>
      </c>
      <c r="I1103" t="s">
        <v>2278</v>
      </c>
      <c r="J1103" t="s">
        <v>2320</v>
      </c>
      <c r="K1103" t="s">
        <v>2321</v>
      </c>
      <c r="L1103" t="s">
        <v>50</v>
      </c>
      <c r="M1103" s="2">
        <v>641065.69999999995</v>
      </c>
      <c r="N1103" t="s">
        <v>8714</v>
      </c>
      <c r="O1103" t="s">
        <v>115</v>
      </c>
      <c r="P1103" t="str">
        <f>CONCATENATE("'",Tabla1[[#This Row],[Codigo]],"',")</f>
        <v>'01896',</v>
      </c>
    </row>
    <row r="1104" spans="1:16" x14ac:dyDescent="0.25">
      <c r="A1104" t="s">
        <v>8715</v>
      </c>
      <c r="B1104" t="s">
        <v>8716</v>
      </c>
      <c r="C1104" t="s">
        <v>8716</v>
      </c>
      <c r="D1104" t="s">
        <v>35</v>
      </c>
      <c r="E1104" t="s">
        <v>36</v>
      </c>
      <c r="F1104" t="s">
        <v>8717</v>
      </c>
      <c r="G1104" t="s">
        <v>7949</v>
      </c>
      <c r="H1104" t="s">
        <v>7951</v>
      </c>
      <c r="I1104" t="s">
        <v>7949</v>
      </c>
      <c r="J1104" t="s">
        <v>2320</v>
      </c>
      <c r="K1104" t="s">
        <v>2321</v>
      </c>
      <c r="L1104" t="s">
        <v>50</v>
      </c>
      <c r="M1104" s="2">
        <v>545497.43000000005</v>
      </c>
      <c r="N1104" t="s">
        <v>8720</v>
      </c>
      <c r="O1104" t="s">
        <v>115</v>
      </c>
      <c r="P1104" t="str">
        <f>CONCATENATE("'",Tabla1[[#This Row],[Codigo]],"',")</f>
        <v>'01897',</v>
      </c>
    </row>
    <row r="1105" spans="1:16" x14ac:dyDescent="0.25">
      <c r="A1105" t="s">
        <v>8721</v>
      </c>
      <c r="B1105" t="s">
        <v>8722</v>
      </c>
      <c r="C1105" t="s">
        <v>8722</v>
      </c>
      <c r="D1105" t="s">
        <v>35</v>
      </c>
      <c r="E1105" t="s">
        <v>36</v>
      </c>
      <c r="F1105" t="s">
        <v>8723</v>
      </c>
      <c r="G1105" t="s">
        <v>7949</v>
      </c>
      <c r="H1105" t="s">
        <v>7951</v>
      </c>
      <c r="I1105" t="s">
        <v>7949</v>
      </c>
      <c r="J1105" t="s">
        <v>2320</v>
      </c>
      <c r="K1105" t="s">
        <v>2321</v>
      </c>
      <c r="L1105" t="s">
        <v>50</v>
      </c>
      <c r="M1105" s="2">
        <v>581187.07999999996</v>
      </c>
      <c r="N1105" t="s">
        <v>8726</v>
      </c>
      <c r="O1105" t="s">
        <v>52</v>
      </c>
      <c r="P1105" t="str">
        <f>CONCATENATE("'",Tabla1[[#This Row],[Codigo]],"',")</f>
        <v>'01898',</v>
      </c>
    </row>
    <row r="1106" spans="1:16" x14ac:dyDescent="0.25">
      <c r="A1106" t="s">
        <v>8727</v>
      </c>
      <c r="B1106" t="s">
        <v>8728</v>
      </c>
      <c r="C1106" t="s">
        <v>8728</v>
      </c>
      <c r="D1106" t="s">
        <v>819</v>
      </c>
      <c r="E1106" t="s">
        <v>224</v>
      </c>
      <c r="F1106" t="s">
        <v>8729</v>
      </c>
      <c r="G1106" t="s">
        <v>6986</v>
      </c>
      <c r="H1106" t="s">
        <v>6985</v>
      </c>
      <c r="I1106" t="s">
        <v>6986</v>
      </c>
      <c r="J1106" t="s">
        <v>6987</v>
      </c>
      <c r="K1106" t="s">
        <v>6988</v>
      </c>
      <c r="L1106" t="s">
        <v>50</v>
      </c>
      <c r="M1106" s="2">
        <v>174845.06</v>
      </c>
      <c r="N1106" t="s">
        <v>8732</v>
      </c>
      <c r="P1106" t="str">
        <f>CONCATENATE("'",Tabla1[[#This Row],[Codigo]],"',")</f>
        <v>'01899',</v>
      </c>
    </row>
    <row r="1107" spans="1:16" x14ac:dyDescent="0.25">
      <c r="A1107" t="s">
        <v>8733</v>
      </c>
      <c r="B1107" t="s">
        <v>8734</v>
      </c>
      <c r="C1107" t="s">
        <v>8734</v>
      </c>
      <c r="D1107" t="s">
        <v>847</v>
      </c>
      <c r="E1107" t="s">
        <v>848</v>
      </c>
      <c r="F1107" t="s">
        <v>8735</v>
      </c>
      <c r="G1107" t="s">
        <v>41</v>
      </c>
      <c r="H1107" t="s">
        <v>40</v>
      </c>
      <c r="I1107" t="s">
        <v>41</v>
      </c>
      <c r="J1107" t="s">
        <v>42</v>
      </c>
      <c r="K1107" t="s">
        <v>43</v>
      </c>
      <c r="L1107" t="s">
        <v>50</v>
      </c>
      <c r="M1107" s="2">
        <v>32726</v>
      </c>
      <c r="N1107" t="s">
        <v>64</v>
      </c>
      <c r="P1107" t="str">
        <f>CONCATENATE("'",Tabla1[[#This Row],[Codigo]],"',")</f>
        <v>'01900',</v>
      </c>
    </row>
    <row r="1108" spans="1:16" x14ac:dyDescent="0.25">
      <c r="A1108" t="s">
        <v>8737</v>
      </c>
      <c r="B1108" t="s">
        <v>8738</v>
      </c>
      <c r="C1108" t="s">
        <v>8738</v>
      </c>
      <c r="D1108" t="s">
        <v>35</v>
      </c>
      <c r="E1108" t="s">
        <v>36</v>
      </c>
      <c r="F1108" t="s">
        <v>8739</v>
      </c>
      <c r="G1108" t="s">
        <v>6030</v>
      </c>
      <c r="H1108" t="s">
        <v>6029</v>
      </c>
      <c r="I1108" t="s">
        <v>6030</v>
      </c>
      <c r="J1108" t="s">
        <v>1363</v>
      </c>
      <c r="K1108" t="s">
        <v>1364</v>
      </c>
      <c r="L1108" t="s">
        <v>50</v>
      </c>
      <c r="M1108" s="2">
        <v>11720.18</v>
      </c>
      <c r="N1108" t="s">
        <v>8741</v>
      </c>
      <c r="O1108" t="s">
        <v>52</v>
      </c>
      <c r="P1108" t="str">
        <f>CONCATENATE("'",Tabla1[[#This Row],[Codigo]],"',")</f>
        <v>'01901',</v>
      </c>
    </row>
    <row r="1109" spans="1:16" x14ac:dyDescent="0.25">
      <c r="A1109" t="s">
        <v>8746</v>
      </c>
      <c r="B1109" t="s">
        <v>8747</v>
      </c>
      <c r="C1109" t="s">
        <v>7001</v>
      </c>
      <c r="D1109" t="s">
        <v>125</v>
      </c>
      <c r="E1109" t="s">
        <v>126</v>
      </c>
      <c r="F1109" t="s">
        <v>4539</v>
      </c>
      <c r="G1109" t="s">
        <v>41</v>
      </c>
      <c r="H1109" t="s">
        <v>40</v>
      </c>
      <c r="I1109" t="s">
        <v>41</v>
      </c>
      <c r="J1109" t="s">
        <v>61</v>
      </c>
      <c r="K1109" t="s">
        <v>62</v>
      </c>
      <c r="L1109" t="s">
        <v>50</v>
      </c>
      <c r="M1109" s="2">
        <v>483006.22</v>
      </c>
      <c r="N1109" t="s">
        <v>8748</v>
      </c>
      <c r="O1109" t="s">
        <v>52</v>
      </c>
      <c r="P1109" t="str">
        <f>CONCATENATE("'",Tabla1[[#This Row],[Codigo]],"',")</f>
        <v>'01903',</v>
      </c>
    </row>
    <row r="1110" spans="1:16" x14ac:dyDescent="0.25">
      <c r="A1110" t="s">
        <v>8749</v>
      </c>
      <c r="B1110" t="s">
        <v>8750</v>
      </c>
      <c r="C1110" t="s">
        <v>7001</v>
      </c>
      <c r="D1110" t="s">
        <v>125</v>
      </c>
      <c r="E1110" t="s">
        <v>126</v>
      </c>
      <c r="F1110" t="s">
        <v>4539</v>
      </c>
      <c r="G1110" t="s">
        <v>41</v>
      </c>
      <c r="H1110" t="s">
        <v>40</v>
      </c>
      <c r="I1110" t="s">
        <v>41</v>
      </c>
      <c r="J1110" t="s">
        <v>61</v>
      </c>
      <c r="K1110" t="s">
        <v>62</v>
      </c>
      <c r="L1110" t="s">
        <v>50</v>
      </c>
      <c r="M1110" s="2">
        <v>419587.66</v>
      </c>
      <c r="N1110" t="s">
        <v>8751</v>
      </c>
      <c r="O1110" t="s">
        <v>52</v>
      </c>
      <c r="P1110" t="str">
        <f>CONCATENATE("'",Tabla1[[#This Row],[Codigo]],"',")</f>
        <v>'01904',</v>
      </c>
    </row>
    <row r="1111" spans="1:16" x14ac:dyDescent="0.25">
      <c r="A1111" t="s">
        <v>8752</v>
      </c>
      <c r="B1111" t="s">
        <v>8753</v>
      </c>
      <c r="C1111" t="s">
        <v>4538</v>
      </c>
      <c r="D1111" t="s">
        <v>35</v>
      </c>
      <c r="E1111" t="s">
        <v>36</v>
      </c>
      <c r="F1111" t="s">
        <v>4539</v>
      </c>
      <c r="G1111" t="s">
        <v>41</v>
      </c>
      <c r="H1111" t="s">
        <v>40</v>
      </c>
      <c r="I1111" t="s">
        <v>41</v>
      </c>
      <c r="J1111" t="s">
        <v>61</v>
      </c>
      <c r="K1111" t="s">
        <v>62</v>
      </c>
      <c r="L1111" t="s">
        <v>50</v>
      </c>
      <c r="M1111" s="2">
        <v>412276.34</v>
      </c>
      <c r="N1111" t="s">
        <v>8754</v>
      </c>
      <c r="O1111" t="s">
        <v>52</v>
      </c>
      <c r="P1111" t="str">
        <f>CONCATENATE("'",Tabla1[[#This Row],[Codigo]],"',")</f>
        <v>'01905',</v>
      </c>
    </row>
    <row r="1112" spans="1:16" x14ac:dyDescent="0.25">
      <c r="A1112" t="s">
        <v>8755</v>
      </c>
      <c r="B1112" t="s">
        <v>8756</v>
      </c>
      <c r="C1112" t="s">
        <v>8756</v>
      </c>
      <c r="D1112" t="s">
        <v>125</v>
      </c>
      <c r="E1112" t="s">
        <v>126</v>
      </c>
      <c r="F1112" t="s">
        <v>8757</v>
      </c>
      <c r="G1112" t="s">
        <v>6030</v>
      </c>
      <c r="H1112" t="s">
        <v>6029</v>
      </c>
      <c r="I1112" t="s">
        <v>6030</v>
      </c>
      <c r="J1112" t="s">
        <v>1363</v>
      </c>
      <c r="K1112" t="s">
        <v>1364</v>
      </c>
      <c r="L1112" t="s">
        <v>50</v>
      </c>
      <c r="M1112" s="2">
        <v>93637.759999999995</v>
      </c>
      <c r="N1112" t="s">
        <v>8759</v>
      </c>
      <c r="O1112" t="s">
        <v>52</v>
      </c>
      <c r="P1112" t="str">
        <f>CONCATENATE("'",Tabla1[[#This Row],[Codigo]],"',")</f>
        <v>'01906',</v>
      </c>
    </row>
    <row r="1113" spans="1:16" x14ac:dyDescent="0.25">
      <c r="A1113" t="s">
        <v>8760</v>
      </c>
      <c r="B1113" t="s">
        <v>8761</v>
      </c>
      <c r="C1113" t="s">
        <v>8761</v>
      </c>
      <c r="D1113" t="s">
        <v>344</v>
      </c>
      <c r="E1113" t="s">
        <v>167</v>
      </c>
      <c r="F1113" t="s">
        <v>8762</v>
      </c>
      <c r="G1113" t="s">
        <v>79</v>
      </c>
      <c r="H1113" t="s">
        <v>495</v>
      </c>
      <c r="I1113" t="s">
        <v>79</v>
      </c>
      <c r="J1113" t="s">
        <v>3487</v>
      </c>
      <c r="K1113" t="s">
        <v>3488</v>
      </c>
      <c r="L1113" t="s">
        <v>50</v>
      </c>
      <c r="M1113" s="2">
        <v>1859055.89</v>
      </c>
      <c r="N1113" t="s">
        <v>8765</v>
      </c>
      <c r="O1113" t="s">
        <v>52</v>
      </c>
      <c r="P1113" t="str">
        <f>CONCATENATE("'",Tabla1[[#This Row],[Codigo]],"',")</f>
        <v>'01907',</v>
      </c>
    </row>
    <row r="1114" spans="1:16" x14ac:dyDescent="0.25">
      <c r="A1114" t="s">
        <v>8766</v>
      </c>
      <c r="B1114" t="s">
        <v>8767</v>
      </c>
      <c r="C1114" t="s">
        <v>8767</v>
      </c>
      <c r="D1114" t="s">
        <v>35</v>
      </c>
      <c r="E1114" t="s">
        <v>36</v>
      </c>
      <c r="F1114" t="s">
        <v>8768</v>
      </c>
      <c r="G1114" t="s">
        <v>7670</v>
      </c>
      <c r="H1114" t="s">
        <v>7669</v>
      </c>
      <c r="I1114" t="s">
        <v>7670</v>
      </c>
      <c r="J1114" t="s">
        <v>2320</v>
      </c>
      <c r="K1114" t="s">
        <v>2321</v>
      </c>
      <c r="L1114" t="s">
        <v>50</v>
      </c>
      <c r="M1114" s="2">
        <v>261816.79</v>
      </c>
      <c r="N1114" t="s">
        <v>8771</v>
      </c>
      <c r="P1114" t="str">
        <f>CONCATENATE("'",Tabla1[[#This Row],[Codigo]],"',")</f>
        <v>'01908',</v>
      </c>
    </row>
    <row r="1115" spans="1:16" x14ac:dyDescent="0.25">
      <c r="A1115" t="s">
        <v>8772</v>
      </c>
      <c r="B1115" t="s">
        <v>8773</v>
      </c>
      <c r="C1115" t="s">
        <v>8773</v>
      </c>
      <c r="D1115" t="s">
        <v>35</v>
      </c>
      <c r="E1115" t="s">
        <v>36</v>
      </c>
      <c r="F1115" t="s">
        <v>8774</v>
      </c>
      <c r="G1115" t="s">
        <v>8775</v>
      </c>
      <c r="H1115" t="s">
        <v>8777</v>
      </c>
      <c r="I1115" t="s">
        <v>8778</v>
      </c>
      <c r="J1115" t="s">
        <v>1421</v>
      </c>
      <c r="K1115" t="s">
        <v>1422</v>
      </c>
      <c r="L1115" t="s">
        <v>50</v>
      </c>
      <c r="M1115" s="2">
        <v>316666.63</v>
      </c>
      <c r="N1115" t="s">
        <v>8780</v>
      </c>
      <c r="O1115" t="s">
        <v>115</v>
      </c>
      <c r="P1115" t="str">
        <f>CONCATENATE("'",Tabla1[[#This Row],[Codigo]],"',")</f>
        <v>'01909',</v>
      </c>
    </row>
    <row r="1116" spans="1:16" x14ac:dyDescent="0.25">
      <c r="A1116" t="s">
        <v>8781</v>
      </c>
      <c r="B1116" t="s">
        <v>8782</v>
      </c>
      <c r="C1116" t="s">
        <v>8782</v>
      </c>
      <c r="D1116" t="s">
        <v>344</v>
      </c>
      <c r="E1116" t="s">
        <v>167</v>
      </c>
      <c r="F1116" t="s">
        <v>8783</v>
      </c>
      <c r="G1116" t="s">
        <v>1360</v>
      </c>
      <c r="H1116" t="s">
        <v>1362</v>
      </c>
      <c r="I1116" t="s">
        <v>1360</v>
      </c>
      <c r="J1116" t="s">
        <v>1421</v>
      </c>
      <c r="K1116" t="s">
        <v>1422</v>
      </c>
      <c r="L1116" t="s">
        <v>50</v>
      </c>
      <c r="M1116" s="2">
        <v>310333.94</v>
      </c>
      <c r="N1116" t="s">
        <v>8786</v>
      </c>
      <c r="O1116" t="s">
        <v>115</v>
      </c>
      <c r="P1116" t="str">
        <f>CONCATENATE("'",Tabla1[[#This Row],[Codigo]],"',")</f>
        <v>'01910',</v>
      </c>
    </row>
    <row r="1117" spans="1:16" x14ac:dyDescent="0.25">
      <c r="A1117" t="s">
        <v>8787</v>
      </c>
      <c r="B1117" t="s">
        <v>8788</v>
      </c>
      <c r="C1117" t="s">
        <v>8788</v>
      </c>
      <c r="D1117" t="s">
        <v>847</v>
      </c>
      <c r="E1117" t="s">
        <v>848</v>
      </c>
      <c r="F1117" t="s">
        <v>8789</v>
      </c>
      <c r="G1117" t="s">
        <v>8790</v>
      </c>
      <c r="H1117" t="s">
        <v>8792</v>
      </c>
      <c r="I1117" t="s">
        <v>8790</v>
      </c>
      <c r="J1117" t="s">
        <v>4315</v>
      </c>
      <c r="K1117" t="s">
        <v>4316</v>
      </c>
      <c r="L1117" t="s">
        <v>50</v>
      </c>
      <c r="M1117" s="2">
        <v>877947.32</v>
      </c>
      <c r="N1117" t="s">
        <v>8794</v>
      </c>
      <c r="O1117" t="s">
        <v>52</v>
      </c>
      <c r="P1117" t="str">
        <f>CONCATENATE("'",Tabla1[[#This Row],[Codigo]],"',")</f>
        <v>'01911',</v>
      </c>
    </row>
    <row r="1118" spans="1:16" x14ac:dyDescent="0.25">
      <c r="A1118" t="s">
        <v>8795</v>
      </c>
      <c r="B1118" t="s">
        <v>8796</v>
      </c>
      <c r="C1118" t="s">
        <v>8796</v>
      </c>
      <c r="D1118" t="s">
        <v>125</v>
      </c>
      <c r="E1118" t="s">
        <v>126</v>
      </c>
      <c r="F1118" t="s">
        <v>8797</v>
      </c>
      <c r="G1118" t="s">
        <v>2160</v>
      </c>
      <c r="H1118" t="s">
        <v>2159</v>
      </c>
      <c r="I1118" t="s">
        <v>2160</v>
      </c>
      <c r="J1118" t="s">
        <v>2320</v>
      </c>
      <c r="K1118" t="s">
        <v>2321</v>
      </c>
      <c r="L1118" t="s">
        <v>50</v>
      </c>
      <c r="M1118" s="2">
        <v>777242.43</v>
      </c>
      <c r="N1118" t="s">
        <v>8800</v>
      </c>
      <c r="O1118" t="s">
        <v>52</v>
      </c>
      <c r="P1118" t="str">
        <f>CONCATENATE("'",Tabla1[[#This Row],[Codigo]],"',")</f>
        <v>'01912',</v>
      </c>
    </row>
    <row r="1119" spans="1:16" x14ac:dyDescent="0.25">
      <c r="A1119" t="s">
        <v>8801</v>
      </c>
      <c r="B1119" t="s">
        <v>8802</v>
      </c>
      <c r="C1119" t="s">
        <v>8802</v>
      </c>
      <c r="D1119" t="s">
        <v>125</v>
      </c>
      <c r="E1119" t="s">
        <v>126</v>
      </c>
      <c r="F1119" t="s">
        <v>8803</v>
      </c>
      <c r="G1119" t="s">
        <v>4798</v>
      </c>
      <c r="H1119" t="s">
        <v>4797</v>
      </c>
      <c r="I1119" t="s">
        <v>4798</v>
      </c>
      <c r="J1119" t="s">
        <v>1421</v>
      </c>
      <c r="K1119" t="s">
        <v>1422</v>
      </c>
      <c r="L1119" t="s">
        <v>50</v>
      </c>
      <c r="M1119" s="2">
        <v>87773.32</v>
      </c>
      <c r="N1119" t="s">
        <v>8805</v>
      </c>
      <c r="O1119" t="s">
        <v>52</v>
      </c>
      <c r="P1119" t="str">
        <f>CONCATENATE("'",Tabla1[[#This Row],[Codigo]],"',")</f>
        <v>'01913',</v>
      </c>
    </row>
    <row r="1120" spans="1:16" x14ac:dyDescent="0.25">
      <c r="A1120" t="s">
        <v>8806</v>
      </c>
      <c r="B1120" t="s">
        <v>8807</v>
      </c>
      <c r="C1120" t="s">
        <v>8807</v>
      </c>
      <c r="D1120" t="s">
        <v>323</v>
      </c>
      <c r="E1120" t="s">
        <v>77</v>
      </c>
      <c r="F1120" t="s">
        <v>8808</v>
      </c>
      <c r="G1120" t="s">
        <v>5739</v>
      </c>
      <c r="H1120" t="s">
        <v>5741</v>
      </c>
      <c r="I1120" t="s">
        <v>5739</v>
      </c>
      <c r="J1120" t="s">
        <v>2320</v>
      </c>
      <c r="K1120" t="s">
        <v>2321</v>
      </c>
      <c r="L1120" t="s">
        <v>50</v>
      </c>
      <c r="M1120" s="2">
        <v>109085</v>
      </c>
      <c r="N1120" t="s">
        <v>64</v>
      </c>
      <c r="P1120" t="str">
        <f>CONCATENATE("'",Tabla1[[#This Row],[Codigo]],"',")</f>
        <v>'01914',</v>
      </c>
    </row>
    <row r="1121" spans="1:16" x14ac:dyDescent="0.25">
      <c r="A1121" t="s">
        <v>8811</v>
      </c>
      <c r="B1121" t="s">
        <v>8812</v>
      </c>
      <c r="C1121" t="s">
        <v>8812</v>
      </c>
      <c r="D1121" t="s">
        <v>2687</v>
      </c>
      <c r="E1121" t="s">
        <v>190</v>
      </c>
      <c r="F1121" t="s">
        <v>8813</v>
      </c>
      <c r="G1121" t="s">
        <v>614</v>
      </c>
      <c r="H1121" t="s">
        <v>613</v>
      </c>
      <c r="I1121" t="s">
        <v>614</v>
      </c>
      <c r="J1121" t="s">
        <v>4315</v>
      </c>
      <c r="K1121" t="s">
        <v>4316</v>
      </c>
      <c r="L1121" t="s">
        <v>50</v>
      </c>
      <c r="M1121" s="2">
        <v>-1269.3399999999999</v>
      </c>
      <c r="N1121" t="s">
        <v>8816</v>
      </c>
      <c r="O1121" t="s">
        <v>115</v>
      </c>
      <c r="P1121" t="str">
        <f>CONCATENATE("'",Tabla1[[#This Row],[Codigo]],"',")</f>
        <v>'01915',</v>
      </c>
    </row>
    <row r="1122" spans="1:16" x14ac:dyDescent="0.25">
      <c r="A1122" t="s">
        <v>8817</v>
      </c>
      <c r="B1122" t="s">
        <v>15181</v>
      </c>
      <c r="C1122" t="s">
        <v>8819</v>
      </c>
      <c r="D1122" t="s">
        <v>35</v>
      </c>
      <c r="E1122" t="s">
        <v>36</v>
      </c>
      <c r="F1122" t="s">
        <v>8820</v>
      </c>
      <c r="G1122" t="s">
        <v>2318</v>
      </c>
      <c r="H1122" t="s">
        <v>2159</v>
      </c>
      <c r="I1122" t="s">
        <v>2160</v>
      </c>
      <c r="J1122" t="s">
        <v>2320</v>
      </c>
      <c r="K1122" t="s">
        <v>2321</v>
      </c>
      <c r="L1122" t="s">
        <v>50</v>
      </c>
      <c r="M1122" s="2">
        <v>1583556.09</v>
      </c>
      <c r="N1122" t="s">
        <v>8823</v>
      </c>
      <c r="O1122" t="s">
        <v>52</v>
      </c>
      <c r="P1122" t="str">
        <f>CONCATENATE("'",Tabla1[[#This Row],[Codigo]],"',")</f>
        <v>'01916',</v>
      </c>
    </row>
    <row r="1123" spans="1:16" x14ac:dyDescent="0.25">
      <c r="A1123" t="s">
        <v>8824</v>
      </c>
      <c r="B1123" t="s">
        <v>8825</v>
      </c>
      <c r="C1123" t="s">
        <v>8825</v>
      </c>
      <c r="D1123" t="s">
        <v>35</v>
      </c>
      <c r="E1123" t="s">
        <v>36</v>
      </c>
      <c r="F1123" t="s">
        <v>8826</v>
      </c>
      <c r="G1123" t="s">
        <v>1444</v>
      </c>
      <c r="H1123" t="s">
        <v>1064</v>
      </c>
      <c r="I1123" t="s">
        <v>1062</v>
      </c>
      <c r="J1123" t="s">
        <v>304</v>
      </c>
      <c r="K1123" t="s">
        <v>72</v>
      </c>
      <c r="L1123" t="s">
        <v>50</v>
      </c>
      <c r="M1123" s="2">
        <v>255261.99</v>
      </c>
      <c r="N1123" t="s">
        <v>8829</v>
      </c>
      <c r="P1123" t="str">
        <f>CONCATENATE("'",Tabla1[[#This Row],[Codigo]],"',")</f>
        <v>'01917',</v>
      </c>
    </row>
    <row r="1124" spans="1:16" x14ac:dyDescent="0.25">
      <c r="A1124" t="s">
        <v>8830</v>
      </c>
      <c r="B1124" t="s">
        <v>8831</v>
      </c>
      <c r="C1124" t="s">
        <v>8831</v>
      </c>
      <c r="D1124" t="s">
        <v>478</v>
      </c>
      <c r="E1124" t="s">
        <v>190</v>
      </c>
      <c r="F1124" t="s">
        <v>8832</v>
      </c>
      <c r="G1124" t="s">
        <v>303</v>
      </c>
      <c r="H1124" t="s">
        <v>302</v>
      </c>
      <c r="I1124" t="s">
        <v>303</v>
      </c>
      <c r="J1124" t="s">
        <v>304</v>
      </c>
      <c r="K1124" t="s">
        <v>72</v>
      </c>
      <c r="L1124" t="s">
        <v>50</v>
      </c>
      <c r="M1124" s="2">
        <v>416578.05</v>
      </c>
      <c r="N1124" t="s">
        <v>8835</v>
      </c>
      <c r="P1124" t="str">
        <f>CONCATENATE("'",Tabla1[[#This Row],[Codigo]],"',")</f>
        <v>'01918',</v>
      </c>
    </row>
    <row r="1125" spans="1:16" x14ac:dyDescent="0.25">
      <c r="A1125" t="s">
        <v>8836</v>
      </c>
      <c r="B1125" t="s">
        <v>8837</v>
      </c>
      <c r="C1125" t="s">
        <v>8837</v>
      </c>
      <c r="D1125" t="s">
        <v>485</v>
      </c>
      <c r="E1125" t="s">
        <v>224</v>
      </c>
      <c r="F1125" t="s">
        <v>8838</v>
      </c>
      <c r="G1125" t="s">
        <v>6996</v>
      </c>
      <c r="H1125" t="s">
        <v>6995</v>
      </c>
      <c r="I1125" t="s">
        <v>6996</v>
      </c>
      <c r="J1125" t="s">
        <v>6987</v>
      </c>
      <c r="K1125" t="s">
        <v>6988</v>
      </c>
      <c r="L1125" t="s">
        <v>50</v>
      </c>
      <c r="M1125" s="2">
        <v>22438</v>
      </c>
      <c r="N1125" t="s">
        <v>64</v>
      </c>
      <c r="P1125" t="str">
        <f>CONCATENATE("'",Tabla1[[#This Row],[Codigo]],"',")</f>
        <v>'01919',</v>
      </c>
    </row>
    <row r="1126" spans="1:16" x14ac:dyDescent="0.25">
      <c r="A1126" t="s">
        <v>8841</v>
      </c>
      <c r="B1126" t="s">
        <v>15182</v>
      </c>
      <c r="C1126" t="s">
        <v>8842</v>
      </c>
      <c r="D1126" t="s">
        <v>297</v>
      </c>
      <c r="E1126" t="s">
        <v>167</v>
      </c>
      <c r="F1126" t="s">
        <v>8843</v>
      </c>
      <c r="G1126" t="s">
        <v>8844</v>
      </c>
      <c r="H1126" t="s">
        <v>8846</v>
      </c>
      <c r="I1126" t="s">
        <v>8844</v>
      </c>
      <c r="J1126" t="s">
        <v>4853</v>
      </c>
      <c r="K1126" t="s">
        <v>4854</v>
      </c>
      <c r="L1126" t="s">
        <v>50</v>
      </c>
      <c r="M1126" s="2">
        <v>942033.81</v>
      </c>
      <c r="N1126" t="s">
        <v>8848</v>
      </c>
      <c r="O1126" t="s">
        <v>52</v>
      </c>
      <c r="P1126" t="str">
        <f>CONCATENATE("'",Tabla1[[#This Row],[Codigo]],"',")</f>
        <v>'01920',</v>
      </c>
    </row>
    <row r="1127" spans="1:16" x14ac:dyDescent="0.25">
      <c r="A1127" t="s">
        <v>8849</v>
      </c>
      <c r="B1127" t="s">
        <v>8850</v>
      </c>
      <c r="C1127" t="s">
        <v>8850</v>
      </c>
      <c r="D1127" t="s">
        <v>125</v>
      </c>
      <c r="E1127" t="s">
        <v>126</v>
      </c>
      <c r="F1127" t="s">
        <v>8851</v>
      </c>
      <c r="G1127" t="s">
        <v>139</v>
      </c>
      <c r="H1127" t="s">
        <v>8853</v>
      </c>
      <c r="I1127" t="s">
        <v>139</v>
      </c>
      <c r="J1127" t="s">
        <v>2320</v>
      </c>
      <c r="K1127" t="s">
        <v>2321</v>
      </c>
      <c r="L1127" t="s">
        <v>50</v>
      </c>
      <c r="M1127" s="2">
        <v>302264.03999999998</v>
      </c>
      <c r="N1127" t="s">
        <v>8855</v>
      </c>
      <c r="O1127" t="s">
        <v>115</v>
      </c>
      <c r="P1127" t="str">
        <f>CONCATENATE("'",Tabla1[[#This Row],[Codigo]],"',")</f>
        <v>'01921',</v>
      </c>
    </row>
    <row r="1128" spans="1:16" x14ac:dyDescent="0.25">
      <c r="A1128" t="s">
        <v>8860</v>
      </c>
      <c r="B1128" t="s">
        <v>8861</v>
      </c>
      <c r="C1128" t="s">
        <v>8861</v>
      </c>
      <c r="D1128" t="s">
        <v>35</v>
      </c>
      <c r="E1128" t="s">
        <v>36</v>
      </c>
      <c r="F1128" t="s">
        <v>8862</v>
      </c>
      <c r="G1128" t="s">
        <v>41</v>
      </c>
      <c r="H1128" t="s">
        <v>40</v>
      </c>
      <c r="I1128" t="s">
        <v>41</v>
      </c>
      <c r="J1128" t="s">
        <v>42</v>
      </c>
      <c r="K1128" t="s">
        <v>43</v>
      </c>
      <c r="L1128" t="s">
        <v>50</v>
      </c>
      <c r="M1128" s="2">
        <v>10599.43</v>
      </c>
      <c r="N1128" t="s">
        <v>8863</v>
      </c>
      <c r="P1128" t="str">
        <f>CONCATENATE("'",Tabla1[[#This Row],[Codigo]],"',")</f>
        <v>'01924',</v>
      </c>
    </row>
    <row r="1129" spans="1:16" x14ac:dyDescent="0.25">
      <c r="A1129" t="s">
        <v>8864</v>
      </c>
      <c r="B1129" t="s">
        <v>8865</v>
      </c>
      <c r="C1129" t="s">
        <v>8865</v>
      </c>
      <c r="D1129" t="s">
        <v>2687</v>
      </c>
      <c r="E1129" t="s">
        <v>190</v>
      </c>
      <c r="F1129" t="s">
        <v>8866</v>
      </c>
      <c r="G1129" t="s">
        <v>6996</v>
      </c>
      <c r="H1129" t="s">
        <v>6995</v>
      </c>
      <c r="I1129" t="s">
        <v>6996</v>
      </c>
      <c r="J1129" t="s">
        <v>6987</v>
      </c>
      <c r="K1129" t="s">
        <v>6988</v>
      </c>
      <c r="L1129" t="s">
        <v>50</v>
      </c>
      <c r="M1129" s="2">
        <v>556334</v>
      </c>
      <c r="N1129" t="s">
        <v>64</v>
      </c>
      <c r="P1129" t="str">
        <f>CONCATENATE("'",Tabla1[[#This Row],[Codigo]],"',")</f>
        <v>'01925',</v>
      </c>
    </row>
    <row r="1130" spans="1:16" x14ac:dyDescent="0.25">
      <c r="A1130" t="s">
        <v>8868</v>
      </c>
      <c r="B1130" t="s">
        <v>8869</v>
      </c>
      <c r="C1130" t="s">
        <v>8869</v>
      </c>
      <c r="D1130" t="s">
        <v>178</v>
      </c>
      <c r="E1130" t="s">
        <v>179</v>
      </c>
      <c r="F1130" t="s">
        <v>8870</v>
      </c>
      <c r="G1130" t="s">
        <v>1360</v>
      </c>
      <c r="H1130" t="s">
        <v>1362</v>
      </c>
      <c r="I1130" t="s">
        <v>1360</v>
      </c>
      <c r="J1130" t="s">
        <v>1421</v>
      </c>
      <c r="K1130" t="s">
        <v>1422</v>
      </c>
      <c r="L1130" t="s">
        <v>50</v>
      </c>
      <c r="M1130" s="2">
        <v>11270.01</v>
      </c>
      <c r="N1130" t="s">
        <v>8873</v>
      </c>
      <c r="O1130" t="s">
        <v>52</v>
      </c>
      <c r="P1130" t="str">
        <f>CONCATENATE("'",Tabla1[[#This Row],[Codigo]],"',")</f>
        <v>'01926',</v>
      </c>
    </row>
    <row r="1131" spans="1:16" x14ac:dyDescent="0.25">
      <c r="A1131" t="s">
        <v>8874</v>
      </c>
      <c r="B1131" t="s">
        <v>8875</v>
      </c>
      <c r="C1131" t="s">
        <v>8875</v>
      </c>
      <c r="D1131" t="s">
        <v>125</v>
      </c>
      <c r="E1131" t="s">
        <v>126</v>
      </c>
      <c r="F1131" t="s">
        <v>8876</v>
      </c>
      <c r="G1131" t="s">
        <v>4798</v>
      </c>
      <c r="H1131" t="s">
        <v>4797</v>
      </c>
      <c r="I1131" t="s">
        <v>4798</v>
      </c>
      <c r="J1131" t="s">
        <v>1421</v>
      </c>
      <c r="K1131" t="s">
        <v>1422</v>
      </c>
      <c r="L1131" t="s">
        <v>50</v>
      </c>
      <c r="M1131" s="2">
        <v>96067.68</v>
      </c>
      <c r="N1131" t="s">
        <v>8879</v>
      </c>
      <c r="O1131" t="s">
        <v>52</v>
      </c>
      <c r="P1131" t="str">
        <f>CONCATENATE("'",Tabla1[[#This Row],[Codigo]],"',")</f>
        <v>'01927',</v>
      </c>
    </row>
    <row r="1132" spans="1:16" x14ac:dyDescent="0.25">
      <c r="A1132" t="s">
        <v>8880</v>
      </c>
      <c r="B1132" t="s">
        <v>8881</v>
      </c>
      <c r="C1132" t="s">
        <v>8881</v>
      </c>
      <c r="D1132" t="s">
        <v>125</v>
      </c>
      <c r="E1132" t="s">
        <v>126</v>
      </c>
      <c r="F1132" t="s">
        <v>8882</v>
      </c>
      <c r="G1132" t="s">
        <v>1360</v>
      </c>
      <c r="H1132" t="s">
        <v>1362</v>
      </c>
      <c r="I1132" t="s">
        <v>1360</v>
      </c>
      <c r="J1132" t="s">
        <v>1421</v>
      </c>
      <c r="K1132" t="s">
        <v>1422</v>
      </c>
      <c r="L1132" t="s">
        <v>50</v>
      </c>
      <c r="M1132" s="2">
        <v>129132.97</v>
      </c>
      <c r="N1132" t="s">
        <v>8885</v>
      </c>
      <c r="O1132" t="s">
        <v>115</v>
      </c>
      <c r="P1132" t="str">
        <f>CONCATENATE("'",Tabla1[[#This Row],[Codigo]],"',")</f>
        <v>'01928',</v>
      </c>
    </row>
    <row r="1133" spans="1:16" x14ac:dyDescent="0.25">
      <c r="A1133" t="s">
        <v>8886</v>
      </c>
      <c r="B1133" t="s">
        <v>8887</v>
      </c>
      <c r="C1133" t="s">
        <v>8887</v>
      </c>
      <c r="D1133" t="s">
        <v>299</v>
      </c>
      <c r="E1133" t="s">
        <v>167</v>
      </c>
      <c r="F1133" t="s">
        <v>8888</v>
      </c>
      <c r="G1133" t="s">
        <v>79</v>
      </c>
      <c r="H1133" t="s">
        <v>495</v>
      </c>
      <c r="I1133" t="s">
        <v>79</v>
      </c>
      <c r="J1133" t="s">
        <v>3487</v>
      </c>
      <c r="K1133" t="s">
        <v>3488</v>
      </c>
      <c r="L1133" t="s">
        <v>50</v>
      </c>
      <c r="M1133" s="2">
        <v>188537.5</v>
      </c>
      <c r="N1133" t="s">
        <v>8891</v>
      </c>
      <c r="O1133" t="s">
        <v>115</v>
      </c>
      <c r="P1133" t="str">
        <f>CONCATENATE("'",Tabla1[[#This Row],[Codigo]],"',")</f>
        <v>'01929',</v>
      </c>
    </row>
    <row r="1134" spans="1:16" x14ac:dyDescent="0.25">
      <c r="A1134" t="s">
        <v>8892</v>
      </c>
      <c r="B1134" t="s">
        <v>8893</v>
      </c>
      <c r="C1134" t="s">
        <v>8893</v>
      </c>
      <c r="D1134" t="s">
        <v>4391</v>
      </c>
      <c r="E1134" t="s">
        <v>134</v>
      </c>
      <c r="F1134" t="s">
        <v>8894</v>
      </c>
      <c r="G1134" t="s">
        <v>79</v>
      </c>
      <c r="H1134" t="s">
        <v>8575</v>
      </c>
      <c r="I1134" t="s">
        <v>8576</v>
      </c>
      <c r="J1134" t="s">
        <v>3487</v>
      </c>
      <c r="K1134" t="s">
        <v>3488</v>
      </c>
      <c r="L1134" t="s">
        <v>50</v>
      </c>
      <c r="M1134" s="2">
        <v>109085</v>
      </c>
      <c r="N1134" t="s">
        <v>64</v>
      </c>
      <c r="P1134" t="str">
        <f>CONCATENATE("'",Tabla1[[#This Row],[Codigo]],"',")</f>
        <v>'01930',</v>
      </c>
    </row>
    <row r="1135" spans="1:16" x14ac:dyDescent="0.25">
      <c r="A1135" t="s">
        <v>8897</v>
      </c>
      <c r="B1135" t="s">
        <v>8898</v>
      </c>
      <c r="C1135" t="s">
        <v>8898</v>
      </c>
      <c r="D1135" t="s">
        <v>125</v>
      </c>
      <c r="E1135" t="s">
        <v>126</v>
      </c>
      <c r="F1135" t="s">
        <v>8899</v>
      </c>
      <c r="G1135" t="s">
        <v>3233</v>
      </c>
      <c r="H1135" t="s">
        <v>3232</v>
      </c>
      <c r="I1135" t="s">
        <v>3233</v>
      </c>
      <c r="J1135" t="s">
        <v>1421</v>
      </c>
      <c r="K1135" t="s">
        <v>1422</v>
      </c>
      <c r="L1135" t="s">
        <v>50</v>
      </c>
      <c r="M1135" s="2">
        <v>15848.41</v>
      </c>
      <c r="N1135" t="s">
        <v>8901</v>
      </c>
      <c r="O1135" t="s">
        <v>115</v>
      </c>
      <c r="P1135" t="str">
        <f>CONCATENATE("'",Tabla1[[#This Row],[Codigo]],"',")</f>
        <v>'01931',</v>
      </c>
    </row>
    <row r="1136" spans="1:16" x14ac:dyDescent="0.25">
      <c r="A1136" t="s">
        <v>8902</v>
      </c>
      <c r="B1136" t="s">
        <v>8903</v>
      </c>
      <c r="C1136" t="s">
        <v>8903</v>
      </c>
      <c r="D1136" t="s">
        <v>125</v>
      </c>
      <c r="E1136" t="s">
        <v>126</v>
      </c>
      <c r="F1136" t="s">
        <v>8904</v>
      </c>
      <c r="G1136" t="s">
        <v>1360</v>
      </c>
      <c r="H1136" t="s">
        <v>1362</v>
      </c>
      <c r="I1136" t="s">
        <v>1360</v>
      </c>
      <c r="J1136" t="s">
        <v>1421</v>
      </c>
      <c r="K1136" t="s">
        <v>1422</v>
      </c>
      <c r="L1136" t="s">
        <v>50</v>
      </c>
      <c r="M1136" s="2">
        <v>139969.64000000001</v>
      </c>
      <c r="N1136" t="s">
        <v>8906</v>
      </c>
      <c r="O1136" t="s">
        <v>52</v>
      </c>
      <c r="P1136" t="str">
        <f>CONCATENATE("'",Tabla1[[#This Row],[Codigo]],"',")</f>
        <v>'01932',</v>
      </c>
    </row>
    <row r="1137" spans="1:16" x14ac:dyDescent="0.25">
      <c r="A1137" t="s">
        <v>8908</v>
      </c>
      <c r="B1137" t="s">
        <v>8909</v>
      </c>
      <c r="C1137" t="s">
        <v>8909</v>
      </c>
      <c r="D1137" t="s">
        <v>35</v>
      </c>
      <c r="E1137" t="s">
        <v>36</v>
      </c>
      <c r="F1137" t="s">
        <v>8910</v>
      </c>
      <c r="G1137" t="s">
        <v>3233</v>
      </c>
      <c r="H1137" t="s">
        <v>3232</v>
      </c>
      <c r="I1137" t="s">
        <v>3233</v>
      </c>
      <c r="J1137" t="s">
        <v>1421</v>
      </c>
      <c r="K1137" t="s">
        <v>1422</v>
      </c>
      <c r="L1137" t="s">
        <v>50</v>
      </c>
      <c r="M1137" s="2">
        <v>19900.599999999999</v>
      </c>
      <c r="N1137" t="s">
        <v>8912</v>
      </c>
      <c r="O1137" t="s">
        <v>115</v>
      </c>
      <c r="P1137" t="str">
        <f>CONCATENATE("'",Tabla1[[#This Row],[Codigo]],"',")</f>
        <v>'01934',</v>
      </c>
    </row>
    <row r="1138" spans="1:16" x14ac:dyDescent="0.25">
      <c r="A1138" t="s">
        <v>8913</v>
      </c>
      <c r="B1138" t="s">
        <v>8914</v>
      </c>
      <c r="C1138" t="s">
        <v>8914</v>
      </c>
      <c r="D1138" t="s">
        <v>125</v>
      </c>
      <c r="E1138" t="s">
        <v>126</v>
      </c>
      <c r="F1138" t="s">
        <v>8915</v>
      </c>
      <c r="G1138" t="s">
        <v>1360</v>
      </c>
      <c r="H1138" t="s">
        <v>1362</v>
      </c>
      <c r="I1138" t="s">
        <v>1360</v>
      </c>
      <c r="J1138" t="s">
        <v>1421</v>
      </c>
      <c r="K1138" t="s">
        <v>1422</v>
      </c>
      <c r="L1138" t="s">
        <v>50</v>
      </c>
      <c r="M1138" s="2">
        <v>86144.8</v>
      </c>
      <c r="N1138" t="s">
        <v>8917</v>
      </c>
      <c r="O1138" t="s">
        <v>115</v>
      </c>
      <c r="P1138" t="str">
        <f>CONCATENATE("'",Tabla1[[#This Row],[Codigo]],"',")</f>
        <v>'01935',</v>
      </c>
    </row>
    <row r="1139" spans="1:16" x14ac:dyDescent="0.25">
      <c r="A1139" t="s">
        <v>8918</v>
      </c>
      <c r="B1139" t="s">
        <v>15183</v>
      </c>
      <c r="C1139" t="s">
        <v>8919</v>
      </c>
      <c r="D1139" t="s">
        <v>125</v>
      </c>
      <c r="E1139" t="s">
        <v>126</v>
      </c>
      <c r="F1139" t="s">
        <v>8920</v>
      </c>
      <c r="G1139" t="s">
        <v>7147</v>
      </c>
      <c r="H1139" t="s">
        <v>6940</v>
      </c>
      <c r="I1139" t="s">
        <v>6939</v>
      </c>
      <c r="J1139" t="s">
        <v>3487</v>
      </c>
      <c r="K1139" t="s">
        <v>3488</v>
      </c>
      <c r="L1139" t="s">
        <v>50</v>
      </c>
      <c r="M1139" s="2">
        <v>447207.39</v>
      </c>
      <c r="N1139" t="s">
        <v>8923</v>
      </c>
      <c r="O1139" t="s">
        <v>52</v>
      </c>
      <c r="P1139" t="str">
        <f>CONCATENATE("'",Tabla1[[#This Row],[Codigo]],"',")</f>
        <v>'01936',</v>
      </c>
    </row>
    <row r="1140" spans="1:16" x14ac:dyDescent="0.25">
      <c r="A1140" t="s">
        <v>8924</v>
      </c>
      <c r="B1140" t="s">
        <v>8925</v>
      </c>
      <c r="C1140" t="s">
        <v>8925</v>
      </c>
      <c r="D1140" t="s">
        <v>35</v>
      </c>
      <c r="E1140" t="s">
        <v>36</v>
      </c>
      <c r="F1140" t="s">
        <v>8926</v>
      </c>
      <c r="G1140" t="s">
        <v>3233</v>
      </c>
      <c r="H1140" t="s">
        <v>3232</v>
      </c>
      <c r="I1140" t="s">
        <v>3233</v>
      </c>
      <c r="J1140" t="s">
        <v>1421</v>
      </c>
      <c r="K1140" t="s">
        <v>1422</v>
      </c>
      <c r="L1140" t="s">
        <v>50</v>
      </c>
      <c r="M1140" s="2">
        <v>84270.96</v>
      </c>
      <c r="N1140" t="s">
        <v>8928</v>
      </c>
      <c r="O1140" t="s">
        <v>115</v>
      </c>
      <c r="P1140" t="str">
        <f>CONCATENATE("'",Tabla1[[#This Row],[Codigo]],"',")</f>
        <v>'01937',</v>
      </c>
    </row>
    <row r="1141" spans="1:16" x14ac:dyDescent="0.25">
      <c r="A1141" t="s">
        <v>8929</v>
      </c>
      <c r="B1141" t="s">
        <v>8930</v>
      </c>
      <c r="C1141" t="s">
        <v>8930</v>
      </c>
      <c r="D1141" t="s">
        <v>35</v>
      </c>
      <c r="E1141" t="s">
        <v>36</v>
      </c>
      <c r="F1141" t="s">
        <v>8931</v>
      </c>
      <c r="G1141" t="s">
        <v>1360</v>
      </c>
      <c r="H1141" t="s">
        <v>1362</v>
      </c>
      <c r="I1141" t="s">
        <v>1360</v>
      </c>
      <c r="J1141" t="s">
        <v>1421</v>
      </c>
      <c r="K1141" t="s">
        <v>1422</v>
      </c>
      <c r="L1141" t="s">
        <v>50</v>
      </c>
      <c r="M1141" s="2">
        <v>75498.14</v>
      </c>
      <c r="N1141" t="s">
        <v>8933</v>
      </c>
      <c r="O1141" t="s">
        <v>115</v>
      </c>
      <c r="P1141" t="str">
        <f>CONCATENATE("'",Tabla1[[#This Row],[Codigo]],"',")</f>
        <v>'01938',</v>
      </c>
    </row>
    <row r="1142" spans="1:16" x14ac:dyDescent="0.25">
      <c r="A1142" t="s">
        <v>8934</v>
      </c>
      <c r="B1142" t="s">
        <v>8935</v>
      </c>
      <c r="C1142" t="s">
        <v>8935</v>
      </c>
      <c r="D1142" t="s">
        <v>3472</v>
      </c>
      <c r="E1142" t="s">
        <v>871</v>
      </c>
      <c r="F1142" t="s">
        <v>8936</v>
      </c>
      <c r="G1142" t="s">
        <v>2275</v>
      </c>
      <c r="H1142" t="s">
        <v>2277</v>
      </c>
      <c r="I1142" t="s">
        <v>2278</v>
      </c>
      <c r="J1142" t="s">
        <v>8938</v>
      </c>
      <c r="K1142" t="s">
        <v>8939</v>
      </c>
      <c r="L1142" t="s">
        <v>50</v>
      </c>
      <c r="M1142" s="2">
        <v>58387.58</v>
      </c>
      <c r="N1142" t="s">
        <v>8941</v>
      </c>
      <c r="P1142" t="str">
        <f>CONCATENATE("'",Tabla1[[#This Row],[Codigo]],"',")</f>
        <v>'01939',</v>
      </c>
    </row>
    <row r="1143" spans="1:16" x14ac:dyDescent="0.25">
      <c r="A1143" t="s">
        <v>8942</v>
      </c>
      <c r="B1143" t="s">
        <v>8943</v>
      </c>
      <c r="C1143" t="s">
        <v>8943</v>
      </c>
      <c r="D1143" t="s">
        <v>153</v>
      </c>
      <c r="E1143" t="s">
        <v>272</v>
      </c>
      <c r="F1143" t="s">
        <v>8944</v>
      </c>
      <c r="G1143" t="s">
        <v>2572</v>
      </c>
      <c r="H1143" t="s">
        <v>2571</v>
      </c>
      <c r="I1143" t="s">
        <v>2572</v>
      </c>
      <c r="J1143" t="s">
        <v>6987</v>
      </c>
      <c r="K1143" t="s">
        <v>6988</v>
      </c>
      <c r="L1143" t="s">
        <v>50</v>
      </c>
      <c r="M1143" s="2">
        <v>123110</v>
      </c>
      <c r="N1143" t="s">
        <v>8947</v>
      </c>
      <c r="O1143" t="s">
        <v>52</v>
      </c>
      <c r="P1143" t="str">
        <f>CONCATENATE("'",Tabla1[[#This Row],[Codigo]],"',")</f>
        <v>'01940',</v>
      </c>
    </row>
    <row r="1144" spans="1:16" x14ac:dyDescent="0.25">
      <c r="A1144" t="s">
        <v>8948</v>
      </c>
      <c r="B1144" t="s">
        <v>8949</v>
      </c>
      <c r="C1144" t="s">
        <v>8949</v>
      </c>
      <c r="D1144" t="s">
        <v>125</v>
      </c>
      <c r="E1144" t="s">
        <v>126</v>
      </c>
      <c r="F1144" t="s">
        <v>8950</v>
      </c>
      <c r="G1144" t="s">
        <v>79</v>
      </c>
      <c r="H1144" t="s">
        <v>495</v>
      </c>
      <c r="I1144" t="s">
        <v>79</v>
      </c>
      <c r="J1144" t="s">
        <v>3487</v>
      </c>
      <c r="K1144" t="s">
        <v>3488</v>
      </c>
      <c r="L1144" t="s">
        <v>50</v>
      </c>
      <c r="M1144" s="2">
        <v>128101.33</v>
      </c>
      <c r="N1144" t="s">
        <v>8953</v>
      </c>
      <c r="O1144" t="s">
        <v>52</v>
      </c>
      <c r="P1144" t="str">
        <f>CONCATENATE("'",Tabla1[[#This Row],[Codigo]],"',")</f>
        <v>'01941',</v>
      </c>
    </row>
    <row r="1145" spans="1:16" x14ac:dyDescent="0.25">
      <c r="A1145" t="s">
        <v>8954</v>
      </c>
      <c r="B1145" t="s">
        <v>8955</v>
      </c>
      <c r="C1145" t="s">
        <v>8955</v>
      </c>
      <c r="D1145" t="s">
        <v>297</v>
      </c>
      <c r="E1145" t="s">
        <v>167</v>
      </c>
      <c r="F1145" t="s">
        <v>8956</v>
      </c>
      <c r="G1145" t="s">
        <v>8101</v>
      </c>
      <c r="H1145" t="s">
        <v>8100</v>
      </c>
      <c r="I1145" t="s">
        <v>8101</v>
      </c>
      <c r="J1145" t="s">
        <v>4853</v>
      </c>
      <c r="K1145" t="s">
        <v>4854</v>
      </c>
      <c r="L1145" t="s">
        <v>50</v>
      </c>
      <c r="M1145" s="2">
        <v>1546260.79</v>
      </c>
      <c r="N1145" t="s">
        <v>8959</v>
      </c>
      <c r="O1145" t="s">
        <v>52</v>
      </c>
      <c r="P1145" t="str">
        <f>CONCATENATE("'",Tabla1[[#This Row],[Codigo]],"',")</f>
        <v>'01942',</v>
      </c>
    </row>
    <row r="1146" spans="1:16" x14ac:dyDescent="0.25">
      <c r="A1146" t="s">
        <v>8960</v>
      </c>
      <c r="B1146" t="s">
        <v>8961</v>
      </c>
      <c r="C1146" t="s">
        <v>8961</v>
      </c>
      <c r="D1146" t="s">
        <v>847</v>
      </c>
      <c r="E1146" t="s">
        <v>848</v>
      </c>
      <c r="F1146" t="s">
        <v>8962</v>
      </c>
      <c r="G1146" t="s">
        <v>2396</v>
      </c>
      <c r="H1146" t="s">
        <v>6985</v>
      </c>
      <c r="I1146" t="s">
        <v>6986</v>
      </c>
      <c r="J1146" t="s">
        <v>6987</v>
      </c>
      <c r="K1146" t="s">
        <v>6988</v>
      </c>
      <c r="L1146" t="s">
        <v>50</v>
      </c>
      <c r="M1146" s="2">
        <v>1333810.55</v>
      </c>
      <c r="N1146" t="s">
        <v>8965</v>
      </c>
      <c r="O1146" t="s">
        <v>52</v>
      </c>
      <c r="P1146" t="str">
        <f>CONCATENATE("'",Tabla1[[#This Row],[Codigo]],"',")</f>
        <v>'01943',</v>
      </c>
    </row>
    <row r="1147" spans="1:16" x14ac:dyDescent="0.25">
      <c r="A1147" t="s">
        <v>8966</v>
      </c>
      <c r="B1147" t="s">
        <v>8967</v>
      </c>
      <c r="C1147" t="s">
        <v>8967</v>
      </c>
      <c r="D1147" t="s">
        <v>3192</v>
      </c>
      <c r="E1147" t="s">
        <v>224</v>
      </c>
      <c r="F1147" t="s">
        <v>8968</v>
      </c>
      <c r="G1147" t="s">
        <v>6986</v>
      </c>
      <c r="H1147" t="s">
        <v>6985</v>
      </c>
      <c r="I1147" t="s">
        <v>6986</v>
      </c>
      <c r="J1147" t="s">
        <v>6987</v>
      </c>
      <c r="K1147" t="s">
        <v>6988</v>
      </c>
      <c r="L1147" t="s">
        <v>50</v>
      </c>
      <c r="M1147" s="2">
        <v>6591.11</v>
      </c>
      <c r="N1147" t="s">
        <v>8970</v>
      </c>
      <c r="P1147" t="str">
        <f>CONCATENATE("'",Tabla1[[#This Row],[Codigo]],"',")</f>
        <v>'01944',</v>
      </c>
    </row>
    <row r="1148" spans="1:16" x14ac:dyDescent="0.25">
      <c r="A1148" t="s">
        <v>8978</v>
      </c>
      <c r="B1148" t="s">
        <v>8979</v>
      </c>
      <c r="C1148" t="s">
        <v>8979</v>
      </c>
      <c r="D1148" t="s">
        <v>299</v>
      </c>
      <c r="E1148" t="s">
        <v>167</v>
      </c>
      <c r="F1148" t="s">
        <v>8980</v>
      </c>
      <c r="G1148" t="s">
        <v>1360</v>
      </c>
      <c r="H1148" t="s">
        <v>1362</v>
      </c>
      <c r="I1148" t="s">
        <v>1360</v>
      </c>
      <c r="J1148" t="s">
        <v>1212</v>
      </c>
      <c r="K1148" t="s">
        <v>1213</v>
      </c>
      <c r="L1148" t="s">
        <v>50</v>
      </c>
      <c r="M1148" s="2">
        <v>106119.82</v>
      </c>
      <c r="N1148" t="s">
        <v>8983</v>
      </c>
      <c r="P1148" t="str">
        <f>CONCATENATE("'",Tabla1[[#This Row],[Codigo]],"',")</f>
        <v>'01949',</v>
      </c>
    </row>
    <row r="1149" spans="1:16" x14ac:dyDescent="0.25">
      <c r="A1149" t="s">
        <v>8988</v>
      </c>
      <c r="B1149" t="s">
        <v>8989</v>
      </c>
      <c r="C1149" t="s">
        <v>8989</v>
      </c>
      <c r="D1149" t="s">
        <v>299</v>
      </c>
      <c r="E1149" t="s">
        <v>167</v>
      </c>
      <c r="F1149" t="s">
        <v>8990</v>
      </c>
      <c r="G1149" t="s">
        <v>1222</v>
      </c>
      <c r="H1149" t="s">
        <v>1221</v>
      </c>
      <c r="I1149" t="s">
        <v>1222</v>
      </c>
      <c r="J1149" t="s">
        <v>205</v>
      </c>
      <c r="K1149" t="s">
        <v>206</v>
      </c>
      <c r="L1149" t="s">
        <v>50</v>
      </c>
      <c r="M1149" s="2">
        <v>411283.87</v>
      </c>
      <c r="N1149" t="s">
        <v>8992</v>
      </c>
      <c r="O1149" t="s">
        <v>52</v>
      </c>
      <c r="P1149" t="str">
        <f>CONCATENATE("'",Tabla1[[#This Row],[Codigo]],"',")</f>
        <v>'01951',</v>
      </c>
    </row>
    <row r="1150" spans="1:16" x14ac:dyDescent="0.25">
      <c r="A1150" t="s">
        <v>8993</v>
      </c>
      <c r="B1150" t="s">
        <v>8994</v>
      </c>
      <c r="C1150" t="s">
        <v>8994</v>
      </c>
      <c r="D1150" t="s">
        <v>8995</v>
      </c>
      <c r="E1150" t="s">
        <v>77</v>
      </c>
      <c r="F1150" t="s">
        <v>8996</v>
      </c>
      <c r="G1150" t="s">
        <v>41</v>
      </c>
      <c r="H1150" t="s">
        <v>40</v>
      </c>
      <c r="I1150" t="s">
        <v>41</v>
      </c>
      <c r="J1150" t="s">
        <v>42</v>
      </c>
      <c r="K1150" t="s">
        <v>43</v>
      </c>
      <c r="L1150" t="s">
        <v>50</v>
      </c>
      <c r="M1150" s="2">
        <v>8289.7199999999993</v>
      </c>
      <c r="N1150" t="s">
        <v>8998</v>
      </c>
      <c r="P1150" t="str">
        <f>CONCATENATE("'",Tabla1[[#This Row],[Codigo]],"',")</f>
        <v>'01952',</v>
      </c>
    </row>
    <row r="1151" spans="1:16" x14ac:dyDescent="0.25">
      <c r="A1151" t="s">
        <v>9000</v>
      </c>
      <c r="B1151" t="s">
        <v>9001</v>
      </c>
      <c r="C1151" t="s">
        <v>9001</v>
      </c>
      <c r="D1151" t="s">
        <v>125</v>
      </c>
      <c r="E1151" t="s">
        <v>126</v>
      </c>
      <c r="F1151" t="s">
        <v>9002</v>
      </c>
      <c r="G1151" t="s">
        <v>6058</v>
      </c>
      <c r="H1151" t="s">
        <v>6057</v>
      </c>
      <c r="I1151" t="s">
        <v>6058</v>
      </c>
      <c r="J1151" t="s">
        <v>5966</v>
      </c>
      <c r="K1151" t="s">
        <v>5739</v>
      </c>
      <c r="L1151" t="s">
        <v>50</v>
      </c>
      <c r="M1151" s="2">
        <v>80405</v>
      </c>
      <c r="N1151" t="s">
        <v>9005</v>
      </c>
      <c r="O1151" t="s">
        <v>52</v>
      </c>
      <c r="P1151" t="str">
        <f>CONCATENATE("'",Tabla1[[#This Row],[Codigo]],"',")</f>
        <v>'01954',</v>
      </c>
    </row>
    <row r="1152" spans="1:16" x14ac:dyDescent="0.25">
      <c r="A1152" t="s">
        <v>9006</v>
      </c>
      <c r="B1152" t="s">
        <v>9007</v>
      </c>
      <c r="C1152" t="s">
        <v>9007</v>
      </c>
      <c r="D1152" t="s">
        <v>35</v>
      </c>
      <c r="E1152" t="s">
        <v>36</v>
      </c>
      <c r="F1152" t="s">
        <v>9008</v>
      </c>
      <c r="G1152" t="s">
        <v>881</v>
      </c>
      <c r="H1152" t="s">
        <v>883</v>
      </c>
      <c r="I1152" t="s">
        <v>881</v>
      </c>
      <c r="J1152" t="s">
        <v>158</v>
      </c>
      <c r="K1152" t="s">
        <v>159</v>
      </c>
      <c r="L1152" t="s">
        <v>50</v>
      </c>
      <c r="M1152" s="2">
        <v>436378.43</v>
      </c>
      <c r="N1152" t="s">
        <v>9011</v>
      </c>
      <c r="O1152" t="s">
        <v>52</v>
      </c>
      <c r="P1152" t="str">
        <f>CONCATENATE("'",Tabla1[[#This Row],[Codigo]],"',")</f>
        <v>'01955',</v>
      </c>
    </row>
    <row r="1153" spans="1:16" x14ac:dyDescent="0.25">
      <c r="A1153" t="s">
        <v>9012</v>
      </c>
      <c r="B1153" t="s">
        <v>9013</v>
      </c>
      <c r="C1153" t="s">
        <v>9013</v>
      </c>
      <c r="D1153" t="s">
        <v>35</v>
      </c>
      <c r="E1153" t="s">
        <v>36</v>
      </c>
      <c r="F1153" t="s">
        <v>9014</v>
      </c>
      <c r="G1153" t="s">
        <v>303</v>
      </c>
      <c r="H1153" t="s">
        <v>302</v>
      </c>
      <c r="I1153" t="s">
        <v>303</v>
      </c>
      <c r="J1153" t="s">
        <v>304</v>
      </c>
      <c r="K1153" t="s">
        <v>72</v>
      </c>
      <c r="L1153" t="s">
        <v>50</v>
      </c>
      <c r="M1153" s="2">
        <v>307125.77</v>
      </c>
      <c r="N1153" t="s">
        <v>9016</v>
      </c>
      <c r="P1153" t="str">
        <f>CONCATENATE("'",Tabla1[[#This Row],[Codigo]],"',")</f>
        <v>'01956',</v>
      </c>
    </row>
    <row r="1154" spans="1:16" x14ac:dyDescent="0.25">
      <c r="A1154" t="s">
        <v>9017</v>
      </c>
      <c r="B1154" t="s">
        <v>9018</v>
      </c>
      <c r="C1154" t="s">
        <v>9019</v>
      </c>
      <c r="D1154" t="s">
        <v>125</v>
      </c>
      <c r="E1154" t="s">
        <v>126</v>
      </c>
      <c r="F1154" t="s">
        <v>9020</v>
      </c>
      <c r="G1154" t="s">
        <v>81</v>
      </c>
      <c r="H1154" t="s">
        <v>80</v>
      </c>
      <c r="I1154" t="s">
        <v>81</v>
      </c>
      <c r="J1154" t="s">
        <v>82</v>
      </c>
      <c r="K1154" t="s">
        <v>83</v>
      </c>
      <c r="L1154" t="s">
        <v>50</v>
      </c>
      <c r="M1154" s="2">
        <v>36999.019999999997</v>
      </c>
      <c r="N1154" t="s">
        <v>9023</v>
      </c>
      <c r="O1154" t="s">
        <v>115</v>
      </c>
      <c r="P1154" t="str">
        <f>CONCATENATE("'",Tabla1[[#This Row],[Codigo]],"',")</f>
        <v>'01957',</v>
      </c>
    </row>
    <row r="1155" spans="1:16" x14ac:dyDescent="0.25">
      <c r="A1155" t="s">
        <v>9024</v>
      </c>
      <c r="B1155" t="s">
        <v>9025</v>
      </c>
      <c r="C1155" t="s">
        <v>9025</v>
      </c>
      <c r="D1155" t="s">
        <v>2288</v>
      </c>
      <c r="E1155" t="s">
        <v>134</v>
      </c>
      <c r="F1155" t="s">
        <v>9026</v>
      </c>
      <c r="G1155" t="s">
        <v>1039</v>
      </c>
      <c r="H1155" t="s">
        <v>1038</v>
      </c>
      <c r="I1155" t="s">
        <v>1039</v>
      </c>
      <c r="J1155" t="s">
        <v>304</v>
      </c>
      <c r="K1155" t="s">
        <v>72</v>
      </c>
      <c r="L1155" t="s">
        <v>50</v>
      </c>
      <c r="M1155" s="2">
        <v>436339.99</v>
      </c>
      <c r="N1155" t="s">
        <v>9029</v>
      </c>
      <c r="P1155" t="str">
        <f>CONCATENATE("'",Tabla1[[#This Row],[Codigo]],"',")</f>
        <v>'01958',</v>
      </c>
    </row>
    <row r="1156" spans="1:16" x14ac:dyDescent="0.25">
      <c r="A1156" t="s">
        <v>9030</v>
      </c>
      <c r="B1156" t="s">
        <v>9031</v>
      </c>
      <c r="C1156" t="s">
        <v>9031</v>
      </c>
      <c r="D1156" t="s">
        <v>178</v>
      </c>
      <c r="E1156" t="s">
        <v>179</v>
      </c>
      <c r="F1156" t="s">
        <v>9032</v>
      </c>
      <c r="G1156" t="s">
        <v>79</v>
      </c>
      <c r="H1156" t="s">
        <v>495</v>
      </c>
      <c r="I1156" t="s">
        <v>79</v>
      </c>
      <c r="J1156" t="s">
        <v>3487</v>
      </c>
      <c r="K1156" t="s">
        <v>3488</v>
      </c>
      <c r="L1156" t="s">
        <v>50</v>
      </c>
      <c r="M1156" s="2">
        <v>232306.79</v>
      </c>
      <c r="N1156" t="s">
        <v>9035</v>
      </c>
      <c r="O1156" t="s">
        <v>52</v>
      </c>
      <c r="P1156" t="str">
        <f>CONCATENATE("'",Tabla1[[#This Row],[Codigo]],"',")</f>
        <v>'01959',</v>
      </c>
    </row>
    <row r="1157" spans="1:16" x14ac:dyDescent="0.25">
      <c r="A1157" t="s">
        <v>9036</v>
      </c>
      <c r="B1157" t="s">
        <v>9037</v>
      </c>
      <c r="C1157" t="s">
        <v>9037</v>
      </c>
      <c r="D1157" t="s">
        <v>4647</v>
      </c>
      <c r="E1157" t="s">
        <v>224</v>
      </c>
      <c r="F1157" t="s">
        <v>9038</v>
      </c>
      <c r="G1157" t="s">
        <v>881</v>
      </c>
      <c r="H1157" t="s">
        <v>883</v>
      </c>
      <c r="I1157" t="s">
        <v>881</v>
      </c>
      <c r="J1157" t="s">
        <v>158</v>
      </c>
      <c r="K1157" t="s">
        <v>159</v>
      </c>
      <c r="L1157" t="s">
        <v>50</v>
      </c>
      <c r="M1157" s="2">
        <v>102821.33</v>
      </c>
      <c r="N1157" t="s">
        <v>9041</v>
      </c>
      <c r="P1157" t="str">
        <f>CONCATENATE("'",Tabla1[[#This Row],[Codigo]],"',")</f>
        <v>'01960',</v>
      </c>
    </row>
    <row r="1158" spans="1:16" x14ac:dyDescent="0.25">
      <c r="A1158" t="s">
        <v>9042</v>
      </c>
      <c r="B1158" t="s">
        <v>9043</v>
      </c>
      <c r="C1158" t="s">
        <v>9043</v>
      </c>
      <c r="D1158" t="s">
        <v>125</v>
      </c>
      <c r="E1158" t="s">
        <v>126</v>
      </c>
      <c r="F1158" t="s">
        <v>9044</v>
      </c>
      <c r="G1158" t="s">
        <v>2463</v>
      </c>
      <c r="H1158" t="s">
        <v>2462</v>
      </c>
      <c r="I1158" t="s">
        <v>2463</v>
      </c>
      <c r="J1158" t="s">
        <v>2320</v>
      </c>
      <c r="K1158" t="s">
        <v>2321</v>
      </c>
      <c r="L1158" t="s">
        <v>50</v>
      </c>
      <c r="M1158" s="2">
        <v>-14572.33</v>
      </c>
      <c r="N1158" t="s">
        <v>9047</v>
      </c>
      <c r="O1158" t="s">
        <v>52</v>
      </c>
      <c r="P1158" t="str">
        <f>CONCATENATE("'",Tabla1[[#This Row],[Codigo]],"',")</f>
        <v>'01961',</v>
      </c>
    </row>
    <row r="1159" spans="1:16" x14ac:dyDescent="0.25">
      <c r="A1159" t="s">
        <v>9048</v>
      </c>
      <c r="B1159" t="s">
        <v>9049</v>
      </c>
      <c r="C1159" t="s">
        <v>9049</v>
      </c>
      <c r="D1159" t="s">
        <v>1289</v>
      </c>
      <c r="E1159" t="s">
        <v>224</v>
      </c>
      <c r="F1159" t="s">
        <v>9050</v>
      </c>
      <c r="G1159" t="s">
        <v>8209</v>
      </c>
      <c r="H1159" t="s">
        <v>8208</v>
      </c>
      <c r="I1159" t="s">
        <v>8209</v>
      </c>
      <c r="J1159" t="s">
        <v>3487</v>
      </c>
      <c r="K1159" t="s">
        <v>3488</v>
      </c>
      <c r="L1159" t="s">
        <v>50</v>
      </c>
      <c r="M1159" s="2">
        <v>218170</v>
      </c>
      <c r="N1159" t="s">
        <v>64</v>
      </c>
      <c r="P1159" t="str">
        <f>CONCATENATE("'",Tabla1[[#This Row],[Codigo]],"',")</f>
        <v>'01962',</v>
      </c>
    </row>
    <row r="1160" spans="1:16" x14ac:dyDescent="0.25">
      <c r="A1160" t="s">
        <v>9053</v>
      </c>
      <c r="B1160" t="s">
        <v>9054</v>
      </c>
      <c r="C1160" t="s">
        <v>9054</v>
      </c>
      <c r="D1160" t="s">
        <v>178</v>
      </c>
      <c r="E1160" t="s">
        <v>179</v>
      </c>
      <c r="F1160" t="s">
        <v>9055</v>
      </c>
      <c r="G1160" t="s">
        <v>1430</v>
      </c>
      <c r="H1160" t="s">
        <v>1427</v>
      </c>
      <c r="I1160" t="s">
        <v>1428</v>
      </c>
      <c r="J1160" t="s">
        <v>82</v>
      </c>
      <c r="K1160" t="s">
        <v>83</v>
      </c>
      <c r="L1160" t="s">
        <v>50</v>
      </c>
      <c r="M1160" s="2">
        <v>-17271.439999999999</v>
      </c>
      <c r="N1160" t="s">
        <v>9058</v>
      </c>
      <c r="O1160" t="s">
        <v>52</v>
      </c>
      <c r="P1160" t="str">
        <f>CONCATENATE("'",Tabla1[[#This Row],[Codigo]],"',")</f>
        <v>'01963',</v>
      </c>
    </row>
    <row r="1161" spans="1:16" x14ac:dyDescent="0.25">
      <c r="A1161" t="s">
        <v>9059</v>
      </c>
      <c r="B1161" t="s">
        <v>9060</v>
      </c>
      <c r="C1161" t="s">
        <v>9060</v>
      </c>
      <c r="D1161" t="s">
        <v>873</v>
      </c>
      <c r="E1161" t="s">
        <v>224</v>
      </c>
      <c r="F1161" t="s">
        <v>9061</v>
      </c>
      <c r="G1161" t="s">
        <v>79</v>
      </c>
      <c r="H1161" t="s">
        <v>495</v>
      </c>
      <c r="I1161" t="s">
        <v>79</v>
      </c>
      <c r="J1161" t="s">
        <v>3487</v>
      </c>
      <c r="K1161" t="s">
        <v>3488</v>
      </c>
      <c r="L1161" t="s">
        <v>50</v>
      </c>
      <c r="M1161" s="2">
        <v>67633</v>
      </c>
      <c r="N1161" t="s">
        <v>64</v>
      </c>
      <c r="P1161" t="str">
        <f>CONCATENATE("'",Tabla1[[#This Row],[Codigo]],"',")</f>
        <v>'01964',</v>
      </c>
    </row>
    <row r="1162" spans="1:16" x14ac:dyDescent="0.25">
      <c r="A1162" t="s">
        <v>9066</v>
      </c>
      <c r="B1162" t="s">
        <v>9067</v>
      </c>
      <c r="C1162" t="s">
        <v>9067</v>
      </c>
      <c r="D1162" t="s">
        <v>125</v>
      </c>
      <c r="E1162" t="s">
        <v>126</v>
      </c>
      <c r="F1162" t="s">
        <v>9068</v>
      </c>
      <c r="G1162" t="s">
        <v>1360</v>
      </c>
      <c r="H1162" t="s">
        <v>1362</v>
      </c>
      <c r="I1162" t="s">
        <v>1360</v>
      </c>
      <c r="J1162" t="s">
        <v>1421</v>
      </c>
      <c r="K1162" t="s">
        <v>1422</v>
      </c>
      <c r="L1162" t="s">
        <v>50</v>
      </c>
      <c r="M1162" s="2">
        <v>171948.21</v>
      </c>
      <c r="N1162" t="s">
        <v>9071</v>
      </c>
      <c r="O1162" t="s">
        <v>115</v>
      </c>
      <c r="P1162" t="str">
        <f>CONCATENATE("'",Tabla1[[#This Row],[Codigo]],"',")</f>
        <v>'01966',</v>
      </c>
    </row>
    <row r="1163" spans="1:16" x14ac:dyDescent="0.25">
      <c r="A1163" t="s">
        <v>9072</v>
      </c>
      <c r="B1163" t="s">
        <v>9073</v>
      </c>
      <c r="C1163" t="s">
        <v>9073</v>
      </c>
      <c r="D1163" t="s">
        <v>569</v>
      </c>
      <c r="E1163" t="s">
        <v>570</v>
      </c>
      <c r="F1163" t="s">
        <v>9074</v>
      </c>
      <c r="G1163" t="s">
        <v>327</v>
      </c>
      <c r="H1163" t="s">
        <v>326</v>
      </c>
      <c r="I1163" t="s">
        <v>327</v>
      </c>
      <c r="J1163" t="s">
        <v>120</v>
      </c>
      <c r="K1163" t="s">
        <v>121</v>
      </c>
      <c r="L1163" t="s">
        <v>50</v>
      </c>
      <c r="M1163" s="2">
        <v>190180.05</v>
      </c>
      <c r="N1163" t="s">
        <v>9077</v>
      </c>
      <c r="O1163" t="s">
        <v>52</v>
      </c>
      <c r="P1163" t="str">
        <f>CONCATENATE("'",Tabla1[[#This Row],[Codigo]],"',")</f>
        <v>'01967',</v>
      </c>
    </row>
    <row r="1164" spans="1:16" x14ac:dyDescent="0.25">
      <c r="A1164" t="s">
        <v>9078</v>
      </c>
      <c r="B1164" t="s">
        <v>9079</v>
      </c>
      <c r="C1164" t="s">
        <v>9079</v>
      </c>
      <c r="D1164" t="s">
        <v>569</v>
      </c>
      <c r="E1164" t="s">
        <v>570</v>
      </c>
      <c r="F1164" t="s">
        <v>9080</v>
      </c>
      <c r="G1164" t="s">
        <v>327</v>
      </c>
      <c r="H1164" t="s">
        <v>326</v>
      </c>
      <c r="I1164" t="s">
        <v>327</v>
      </c>
      <c r="J1164" t="s">
        <v>120</v>
      </c>
      <c r="K1164" t="s">
        <v>121</v>
      </c>
      <c r="L1164" t="s">
        <v>50</v>
      </c>
      <c r="M1164" s="2">
        <v>165899.07999999999</v>
      </c>
      <c r="N1164" t="s">
        <v>9083</v>
      </c>
      <c r="O1164" t="s">
        <v>52</v>
      </c>
      <c r="P1164" t="str">
        <f>CONCATENATE("'",Tabla1[[#This Row],[Codigo]],"',")</f>
        <v>'01968',</v>
      </c>
    </row>
    <row r="1165" spans="1:16" x14ac:dyDescent="0.25">
      <c r="A1165" t="s">
        <v>9084</v>
      </c>
      <c r="B1165" t="s">
        <v>9085</v>
      </c>
      <c r="C1165" t="s">
        <v>9085</v>
      </c>
      <c r="D1165" t="s">
        <v>297</v>
      </c>
      <c r="E1165" t="s">
        <v>167</v>
      </c>
      <c r="F1165" t="s">
        <v>9086</v>
      </c>
      <c r="G1165" t="s">
        <v>157</v>
      </c>
      <c r="H1165" t="s">
        <v>156</v>
      </c>
      <c r="I1165" t="s">
        <v>157</v>
      </c>
      <c r="J1165" t="s">
        <v>158</v>
      </c>
      <c r="K1165" t="s">
        <v>159</v>
      </c>
      <c r="L1165" t="s">
        <v>50</v>
      </c>
      <c r="M1165" s="2">
        <v>3100068</v>
      </c>
      <c r="N1165" t="s">
        <v>9089</v>
      </c>
      <c r="O1165" t="s">
        <v>115</v>
      </c>
      <c r="P1165" t="str">
        <f>CONCATENATE("'",Tabla1[[#This Row],[Codigo]],"',")</f>
        <v>'01969',</v>
      </c>
    </row>
    <row r="1166" spans="1:16" x14ac:dyDescent="0.25">
      <c r="A1166" t="s">
        <v>9097</v>
      </c>
      <c r="B1166" t="s">
        <v>9098</v>
      </c>
      <c r="C1166" t="s">
        <v>9098</v>
      </c>
      <c r="D1166" t="s">
        <v>569</v>
      </c>
      <c r="E1166" t="s">
        <v>570</v>
      </c>
      <c r="F1166" t="s">
        <v>9099</v>
      </c>
      <c r="G1166" t="s">
        <v>1430</v>
      </c>
      <c r="H1166" t="s">
        <v>1427</v>
      </c>
      <c r="I1166" t="s">
        <v>1428</v>
      </c>
      <c r="J1166" t="s">
        <v>82</v>
      </c>
      <c r="K1166" t="s">
        <v>83</v>
      </c>
      <c r="L1166" t="s">
        <v>50</v>
      </c>
      <c r="M1166" s="2">
        <v>21919.21</v>
      </c>
      <c r="N1166" t="s">
        <v>9102</v>
      </c>
      <c r="O1166" t="s">
        <v>52</v>
      </c>
      <c r="P1166" t="str">
        <f>CONCATENATE("'",Tabla1[[#This Row],[Codigo]],"',")</f>
        <v>'01972',</v>
      </c>
    </row>
    <row r="1167" spans="1:16" x14ac:dyDescent="0.25">
      <c r="A1167" t="s">
        <v>9103</v>
      </c>
      <c r="B1167" t="s">
        <v>9104</v>
      </c>
      <c r="C1167" t="s">
        <v>9104</v>
      </c>
      <c r="D1167" t="s">
        <v>153</v>
      </c>
      <c r="E1167" t="s">
        <v>272</v>
      </c>
      <c r="F1167" t="s">
        <v>9105</v>
      </c>
      <c r="G1167" t="s">
        <v>9106</v>
      </c>
      <c r="H1167" t="s">
        <v>5201</v>
      </c>
      <c r="I1167" t="s">
        <v>5202</v>
      </c>
      <c r="J1167" t="s">
        <v>4853</v>
      </c>
      <c r="K1167" t="s">
        <v>4854</v>
      </c>
      <c r="L1167" t="s">
        <v>50</v>
      </c>
      <c r="M1167" s="2">
        <v>177653.56</v>
      </c>
      <c r="N1167" t="s">
        <v>9109</v>
      </c>
      <c r="O1167" t="s">
        <v>52</v>
      </c>
      <c r="P1167" t="str">
        <f>CONCATENATE("'",Tabla1[[#This Row],[Codigo]],"',")</f>
        <v>'01973',</v>
      </c>
    </row>
    <row r="1168" spans="1:16" x14ac:dyDescent="0.25">
      <c r="A1168" t="s">
        <v>9116</v>
      </c>
      <c r="B1168" t="s">
        <v>9117</v>
      </c>
      <c r="C1168" t="s">
        <v>3470</v>
      </c>
      <c r="D1168" t="s">
        <v>125</v>
      </c>
      <c r="E1168" t="s">
        <v>126</v>
      </c>
      <c r="F1168" t="s">
        <v>3471</v>
      </c>
      <c r="G1168" t="s">
        <v>4371</v>
      </c>
      <c r="H1168" t="s">
        <v>4373</v>
      </c>
      <c r="I1168" t="s">
        <v>4371</v>
      </c>
      <c r="J1168" t="s">
        <v>2320</v>
      </c>
      <c r="K1168" t="s">
        <v>2321</v>
      </c>
      <c r="L1168" t="s">
        <v>50</v>
      </c>
      <c r="M1168" s="2">
        <v>91201.05</v>
      </c>
      <c r="N1168" t="s">
        <v>9120</v>
      </c>
      <c r="O1168" t="s">
        <v>52</v>
      </c>
      <c r="P1168" t="str">
        <f>CONCATENATE("'",Tabla1[[#This Row],[Codigo]],"',")</f>
        <v>'01976',</v>
      </c>
    </row>
    <row r="1169" spans="1:16" x14ac:dyDescent="0.25">
      <c r="A1169" t="s">
        <v>9121</v>
      </c>
      <c r="B1169" t="s">
        <v>9122</v>
      </c>
      <c r="C1169" t="s">
        <v>9122</v>
      </c>
      <c r="D1169" t="s">
        <v>98</v>
      </c>
      <c r="E1169" t="s">
        <v>77</v>
      </c>
      <c r="F1169" t="s">
        <v>9123</v>
      </c>
      <c r="G1169" t="s">
        <v>255</v>
      </c>
      <c r="H1169" t="s">
        <v>254</v>
      </c>
      <c r="I1169" t="s">
        <v>255</v>
      </c>
      <c r="J1169" t="s">
        <v>256</v>
      </c>
      <c r="K1169" t="s">
        <v>255</v>
      </c>
      <c r="L1169" t="s">
        <v>50</v>
      </c>
      <c r="M1169" s="2">
        <v>218</v>
      </c>
      <c r="N1169" t="s">
        <v>64</v>
      </c>
      <c r="P1169" t="str">
        <f>CONCATENATE("'",Tabla1[[#This Row],[Codigo]],"',")</f>
        <v>'01977',</v>
      </c>
    </row>
    <row r="1170" spans="1:16" x14ac:dyDescent="0.25">
      <c r="A1170" t="s">
        <v>9132</v>
      </c>
      <c r="B1170" t="s">
        <v>9133</v>
      </c>
      <c r="C1170" t="s">
        <v>9133</v>
      </c>
      <c r="D1170" t="s">
        <v>847</v>
      </c>
      <c r="E1170" t="s">
        <v>848</v>
      </c>
      <c r="F1170" t="s">
        <v>9134</v>
      </c>
      <c r="G1170" t="s">
        <v>7493</v>
      </c>
      <c r="H1170" t="s">
        <v>9136</v>
      </c>
      <c r="I1170" t="s">
        <v>9137</v>
      </c>
      <c r="J1170" t="s">
        <v>4315</v>
      </c>
      <c r="K1170" t="s">
        <v>4316</v>
      </c>
      <c r="L1170" t="s">
        <v>50</v>
      </c>
      <c r="M1170" s="2">
        <v>289132.38</v>
      </c>
      <c r="N1170" t="s">
        <v>9139</v>
      </c>
      <c r="O1170" t="s">
        <v>52</v>
      </c>
      <c r="P1170" t="str">
        <f>CONCATENATE("'",Tabla1[[#This Row],[Codigo]],"',")</f>
        <v>'01980',</v>
      </c>
    </row>
    <row r="1171" spans="1:16" x14ac:dyDescent="0.25">
      <c r="A1171" t="s">
        <v>9140</v>
      </c>
      <c r="B1171" t="s">
        <v>9141</v>
      </c>
      <c r="C1171" t="s">
        <v>9141</v>
      </c>
      <c r="D1171" t="s">
        <v>847</v>
      </c>
      <c r="E1171" t="s">
        <v>848</v>
      </c>
      <c r="F1171" t="s">
        <v>9142</v>
      </c>
      <c r="G1171" t="s">
        <v>41</v>
      </c>
      <c r="H1171" t="s">
        <v>40</v>
      </c>
      <c r="I1171" t="s">
        <v>41</v>
      </c>
      <c r="J1171" t="s">
        <v>42</v>
      </c>
      <c r="K1171" t="s">
        <v>43</v>
      </c>
      <c r="L1171" t="s">
        <v>50</v>
      </c>
      <c r="M1171" s="2">
        <v>-2757.61</v>
      </c>
      <c r="N1171" t="s">
        <v>9143</v>
      </c>
      <c r="P1171" t="str">
        <f>CONCATENATE("'",Tabla1[[#This Row],[Codigo]],"',")</f>
        <v>'01981',</v>
      </c>
    </row>
    <row r="1172" spans="1:16" x14ac:dyDescent="0.25">
      <c r="A1172" t="s">
        <v>9144</v>
      </c>
      <c r="B1172" t="s">
        <v>9145</v>
      </c>
      <c r="C1172" t="s">
        <v>9145</v>
      </c>
      <c r="D1172" t="s">
        <v>125</v>
      </c>
      <c r="E1172" t="s">
        <v>126</v>
      </c>
      <c r="F1172" t="s">
        <v>9146</v>
      </c>
      <c r="G1172" t="s">
        <v>7938</v>
      </c>
      <c r="H1172" t="s">
        <v>9148</v>
      </c>
      <c r="I1172" t="s">
        <v>9149</v>
      </c>
      <c r="J1172" t="s">
        <v>4315</v>
      </c>
      <c r="K1172" t="s">
        <v>4316</v>
      </c>
      <c r="L1172" t="s">
        <v>50</v>
      </c>
      <c r="M1172" s="2">
        <v>244679.77</v>
      </c>
      <c r="N1172" t="s">
        <v>9151</v>
      </c>
      <c r="O1172" t="s">
        <v>52</v>
      </c>
      <c r="P1172" t="str">
        <f>CONCATENATE("'",Tabla1[[#This Row],[Codigo]],"',")</f>
        <v>'01982',</v>
      </c>
    </row>
    <row r="1173" spans="1:16" x14ac:dyDescent="0.25">
      <c r="A1173" t="s">
        <v>9152</v>
      </c>
      <c r="B1173" t="s">
        <v>15184</v>
      </c>
      <c r="C1173" t="s">
        <v>9153</v>
      </c>
      <c r="D1173" t="s">
        <v>619</v>
      </c>
      <c r="E1173" t="s">
        <v>77</v>
      </c>
      <c r="F1173" t="s">
        <v>9154</v>
      </c>
      <c r="G1173" t="s">
        <v>8673</v>
      </c>
      <c r="H1173" t="s">
        <v>8675</v>
      </c>
      <c r="I1173" t="s">
        <v>8673</v>
      </c>
      <c r="J1173" t="s">
        <v>3487</v>
      </c>
      <c r="K1173" t="s">
        <v>3488</v>
      </c>
      <c r="L1173" t="s">
        <v>50</v>
      </c>
      <c r="M1173" s="2">
        <v>109085</v>
      </c>
      <c r="N1173" t="s">
        <v>64</v>
      </c>
      <c r="P1173" t="str">
        <f>CONCATENATE("'",Tabla1[[#This Row],[Codigo]],"',")</f>
        <v>'01983',</v>
      </c>
    </row>
    <row r="1174" spans="1:16" x14ac:dyDescent="0.25">
      <c r="A1174" t="s">
        <v>9157</v>
      </c>
      <c r="B1174" t="s">
        <v>9158</v>
      </c>
      <c r="C1174" t="s">
        <v>9158</v>
      </c>
      <c r="D1174" t="s">
        <v>125</v>
      </c>
      <c r="E1174" t="s">
        <v>126</v>
      </c>
      <c r="F1174" t="s">
        <v>9159</v>
      </c>
      <c r="G1174" t="s">
        <v>8416</v>
      </c>
      <c r="H1174" t="s">
        <v>7837</v>
      </c>
      <c r="I1174" t="s">
        <v>7838</v>
      </c>
      <c r="J1174" t="s">
        <v>3487</v>
      </c>
      <c r="K1174" t="s">
        <v>3488</v>
      </c>
      <c r="L1174" t="s">
        <v>50</v>
      </c>
      <c r="M1174" s="2">
        <v>32923.449999999997</v>
      </c>
      <c r="N1174" t="s">
        <v>9162</v>
      </c>
      <c r="O1174" t="s">
        <v>52</v>
      </c>
      <c r="P1174" t="str">
        <f>CONCATENATE("'",Tabla1[[#This Row],[Codigo]],"',")</f>
        <v>'01984',</v>
      </c>
    </row>
    <row r="1175" spans="1:16" x14ac:dyDescent="0.25">
      <c r="A1175" t="s">
        <v>9163</v>
      </c>
      <c r="B1175" t="s">
        <v>15185</v>
      </c>
      <c r="C1175" t="s">
        <v>9164</v>
      </c>
      <c r="D1175" t="s">
        <v>569</v>
      </c>
      <c r="E1175" t="s">
        <v>570</v>
      </c>
      <c r="F1175" t="s">
        <v>9165</v>
      </c>
      <c r="G1175" t="s">
        <v>861</v>
      </c>
      <c r="H1175" t="s">
        <v>860</v>
      </c>
      <c r="I1175" t="s">
        <v>861</v>
      </c>
      <c r="J1175" t="s">
        <v>103</v>
      </c>
      <c r="K1175" t="s">
        <v>104</v>
      </c>
      <c r="L1175" t="s">
        <v>50</v>
      </c>
      <c r="M1175" s="2">
        <v>131347.96</v>
      </c>
      <c r="N1175" t="s">
        <v>9168</v>
      </c>
      <c r="O1175" t="s">
        <v>52</v>
      </c>
      <c r="P1175" t="str">
        <f>CONCATENATE("'",Tabla1[[#This Row],[Codigo]],"',")</f>
        <v>'01985',</v>
      </c>
    </row>
    <row r="1176" spans="1:16" x14ac:dyDescent="0.25">
      <c r="A1176" t="s">
        <v>9173</v>
      </c>
      <c r="B1176" t="s">
        <v>9174</v>
      </c>
      <c r="C1176" t="s">
        <v>9174</v>
      </c>
      <c r="D1176" t="s">
        <v>125</v>
      </c>
      <c r="E1176" t="s">
        <v>126</v>
      </c>
      <c r="F1176" t="s">
        <v>9175</v>
      </c>
      <c r="G1176" t="s">
        <v>327</v>
      </c>
      <c r="H1176" t="s">
        <v>326</v>
      </c>
      <c r="I1176" t="s">
        <v>327</v>
      </c>
      <c r="J1176" t="s">
        <v>120</v>
      </c>
      <c r="K1176" t="s">
        <v>121</v>
      </c>
      <c r="L1176" t="s">
        <v>50</v>
      </c>
      <c r="M1176" s="2">
        <v>171262.99</v>
      </c>
      <c r="N1176" t="s">
        <v>9029</v>
      </c>
      <c r="P1176" t="str">
        <f>CONCATENATE("'",Tabla1[[#This Row],[Codigo]],"',")</f>
        <v>'01987',</v>
      </c>
    </row>
    <row r="1177" spans="1:16" x14ac:dyDescent="0.25">
      <c r="A1177" t="s">
        <v>9178</v>
      </c>
      <c r="B1177" t="s">
        <v>9179</v>
      </c>
      <c r="C1177" t="s">
        <v>9179</v>
      </c>
      <c r="D1177" t="s">
        <v>35</v>
      </c>
      <c r="E1177" t="s">
        <v>36</v>
      </c>
      <c r="F1177" t="s">
        <v>9180</v>
      </c>
      <c r="G1177" t="s">
        <v>2572</v>
      </c>
      <c r="H1177" t="s">
        <v>2571</v>
      </c>
      <c r="I1177" t="s">
        <v>2572</v>
      </c>
      <c r="J1177" t="s">
        <v>2320</v>
      </c>
      <c r="K1177" t="s">
        <v>2321</v>
      </c>
      <c r="L1177" t="s">
        <v>50</v>
      </c>
      <c r="M1177" s="2">
        <v>642546.44999999995</v>
      </c>
      <c r="N1177" t="s">
        <v>9182</v>
      </c>
      <c r="O1177" t="s">
        <v>115</v>
      </c>
      <c r="P1177" t="str">
        <f>CONCATENATE("'",Tabla1[[#This Row],[Codigo]],"',")</f>
        <v>'01988',</v>
      </c>
    </row>
    <row r="1178" spans="1:16" x14ac:dyDescent="0.25">
      <c r="A1178" t="s">
        <v>9183</v>
      </c>
      <c r="B1178" t="s">
        <v>9184</v>
      </c>
      <c r="C1178" t="s">
        <v>9184</v>
      </c>
      <c r="D1178" t="s">
        <v>125</v>
      </c>
      <c r="E1178" t="s">
        <v>126</v>
      </c>
      <c r="F1178" t="s">
        <v>9185</v>
      </c>
      <c r="G1178" t="s">
        <v>9186</v>
      </c>
      <c r="H1178" t="s">
        <v>9187</v>
      </c>
      <c r="I1178" t="s">
        <v>9188</v>
      </c>
      <c r="J1178" t="s">
        <v>2320</v>
      </c>
      <c r="K1178" t="s">
        <v>2321</v>
      </c>
      <c r="L1178" t="s">
        <v>50</v>
      </c>
      <c r="M1178" s="2">
        <v>298571.33</v>
      </c>
      <c r="N1178" t="s">
        <v>9190</v>
      </c>
      <c r="O1178" t="s">
        <v>115</v>
      </c>
      <c r="P1178" t="str">
        <f>CONCATENATE("'",Tabla1[[#This Row],[Codigo]],"',")</f>
        <v>'01989',</v>
      </c>
    </row>
    <row r="1179" spans="1:16" x14ac:dyDescent="0.25">
      <c r="A1179" t="s">
        <v>9191</v>
      </c>
      <c r="B1179" t="s">
        <v>9192</v>
      </c>
      <c r="C1179" t="s">
        <v>9192</v>
      </c>
      <c r="D1179" t="s">
        <v>125</v>
      </c>
      <c r="E1179" t="s">
        <v>126</v>
      </c>
      <c r="F1179" t="s">
        <v>9193</v>
      </c>
      <c r="G1179" t="s">
        <v>5739</v>
      </c>
      <c r="H1179" t="s">
        <v>5741</v>
      </c>
      <c r="I1179" t="s">
        <v>5739</v>
      </c>
      <c r="J1179" t="s">
        <v>2320</v>
      </c>
      <c r="K1179" t="s">
        <v>2321</v>
      </c>
      <c r="L1179" t="s">
        <v>50</v>
      </c>
      <c r="M1179" s="2">
        <v>243859.97</v>
      </c>
      <c r="N1179" t="s">
        <v>9195</v>
      </c>
      <c r="O1179" t="s">
        <v>115</v>
      </c>
      <c r="P1179" t="str">
        <f>CONCATENATE("'",Tabla1[[#This Row],[Codigo]],"',")</f>
        <v>'01990',</v>
      </c>
    </row>
    <row r="1180" spans="1:16" x14ac:dyDescent="0.25">
      <c r="A1180" t="s">
        <v>9196</v>
      </c>
      <c r="B1180" t="s">
        <v>9197</v>
      </c>
      <c r="C1180" t="s">
        <v>9197</v>
      </c>
      <c r="D1180" t="s">
        <v>125</v>
      </c>
      <c r="E1180" t="s">
        <v>126</v>
      </c>
      <c r="F1180" t="s">
        <v>9198</v>
      </c>
      <c r="G1180" t="s">
        <v>7424</v>
      </c>
      <c r="H1180" t="s">
        <v>7423</v>
      </c>
      <c r="I1180" t="s">
        <v>7424</v>
      </c>
      <c r="J1180" t="s">
        <v>3487</v>
      </c>
      <c r="K1180" t="s">
        <v>3488</v>
      </c>
      <c r="L1180" t="s">
        <v>50</v>
      </c>
      <c r="M1180" s="2">
        <v>617007.53</v>
      </c>
      <c r="N1180" t="s">
        <v>9201</v>
      </c>
      <c r="O1180" t="s">
        <v>52</v>
      </c>
      <c r="P1180" t="str">
        <f>CONCATENATE("'",Tabla1[[#This Row],[Codigo]],"',")</f>
        <v>'01991',</v>
      </c>
    </row>
    <row r="1181" spans="1:16" x14ac:dyDescent="0.25">
      <c r="A1181" t="s">
        <v>9202</v>
      </c>
      <c r="B1181" t="s">
        <v>9203</v>
      </c>
      <c r="C1181" t="s">
        <v>9203</v>
      </c>
      <c r="D1181" t="s">
        <v>125</v>
      </c>
      <c r="E1181" t="s">
        <v>126</v>
      </c>
      <c r="F1181" t="s">
        <v>9204</v>
      </c>
      <c r="G1181" t="s">
        <v>315</v>
      </c>
      <c r="H1181" t="s">
        <v>314</v>
      </c>
      <c r="I1181" t="s">
        <v>315</v>
      </c>
      <c r="J1181" t="s">
        <v>316</v>
      </c>
      <c r="K1181" t="s">
        <v>317</v>
      </c>
      <c r="L1181" t="s">
        <v>50</v>
      </c>
      <c r="M1181" s="2">
        <v>559908.68000000005</v>
      </c>
      <c r="N1181" t="s">
        <v>9206</v>
      </c>
      <c r="O1181" t="s">
        <v>115</v>
      </c>
      <c r="P1181" t="str">
        <f>CONCATENATE("'",Tabla1[[#This Row],[Codigo]],"',")</f>
        <v>'01992',</v>
      </c>
    </row>
    <row r="1182" spans="1:16" x14ac:dyDescent="0.25">
      <c r="A1182" t="s">
        <v>9207</v>
      </c>
      <c r="B1182" t="s">
        <v>9208</v>
      </c>
      <c r="C1182" t="s">
        <v>9208</v>
      </c>
      <c r="D1182" t="s">
        <v>847</v>
      </c>
      <c r="E1182" t="s">
        <v>848</v>
      </c>
      <c r="F1182" t="s">
        <v>9209</v>
      </c>
      <c r="G1182" t="s">
        <v>9210</v>
      </c>
      <c r="H1182" t="s">
        <v>5741</v>
      </c>
      <c r="I1182" t="s">
        <v>5739</v>
      </c>
      <c r="J1182" t="s">
        <v>2320</v>
      </c>
      <c r="K1182" t="s">
        <v>2321</v>
      </c>
      <c r="L1182" t="s">
        <v>50</v>
      </c>
      <c r="M1182" s="2">
        <v>228929.59</v>
      </c>
      <c r="N1182" t="s">
        <v>9212</v>
      </c>
      <c r="O1182" t="s">
        <v>115</v>
      </c>
      <c r="P1182" t="str">
        <f>CONCATENATE("'",Tabla1[[#This Row],[Codigo]],"',")</f>
        <v>'01993',</v>
      </c>
    </row>
    <row r="1183" spans="1:16" x14ac:dyDescent="0.25">
      <c r="A1183" t="s">
        <v>9213</v>
      </c>
      <c r="B1183" t="s">
        <v>9214</v>
      </c>
      <c r="C1183" t="s">
        <v>9214</v>
      </c>
      <c r="D1183" t="s">
        <v>847</v>
      </c>
      <c r="E1183" t="s">
        <v>848</v>
      </c>
      <c r="F1183" t="s">
        <v>9215</v>
      </c>
      <c r="G1183" t="s">
        <v>9216</v>
      </c>
      <c r="H1183" t="s">
        <v>5741</v>
      </c>
      <c r="I1183" t="s">
        <v>5739</v>
      </c>
      <c r="J1183" t="s">
        <v>2320</v>
      </c>
      <c r="K1183" t="s">
        <v>2321</v>
      </c>
      <c r="L1183" t="s">
        <v>50</v>
      </c>
      <c r="M1183" s="2">
        <v>356495.63</v>
      </c>
      <c r="N1183" t="s">
        <v>9218</v>
      </c>
      <c r="O1183" t="s">
        <v>115</v>
      </c>
      <c r="P1183" t="str">
        <f>CONCATENATE("'",Tabla1[[#This Row],[Codigo]],"',")</f>
        <v>'01994',</v>
      </c>
    </row>
    <row r="1184" spans="1:16" x14ac:dyDescent="0.25">
      <c r="A1184" t="s">
        <v>9219</v>
      </c>
      <c r="B1184" t="s">
        <v>9220</v>
      </c>
      <c r="C1184" t="s">
        <v>9220</v>
      </c>
      <c r="D1184" t="s">
        <v>297</v>
      </c>
      <c r="E1184" t="s">
        <v>167</v>
      </c>
      <c r="F1184" t="s">
        <v>9221</v>
      </c>
      <c r="G1184" t="s">
        <v>1222</v>
      </c>
      <c r="H1184" t="s">
        <v>1221</v>
      </c>
      <c r="I1184" t="s">
        <v>1222</v>
      </c>
      <c r="J1184" t="s">
        <v>2320</v>
      </c>
      <c r="K1184" t="s">
        <v>2321</v>
      </c>
      <c r="L1184" t="s">
        <v>50</v>
      </c>
      <c r="M1184" s="2">
        <v>-21249.65</v>
      </c>
      <c r="N1184" t="s">
        <v>9223</v>
      </c>
      <c r="O1184" t="s">
        <v>115</v>
      </c>
      <c r="P1184" t="str">
        <f>CONCATENATE("'",Tabla1[[#This Row],[Codigo]],"',")</f>
        <v>'01995',</v>
      </c>
    </row>
    <row r="1185" spans="1:16" x14ac:dyDescent="0.25">
      <c r="A1185" t="s">
        <v>9224</v>
      </c>
      <c r="B1185" t="s">
        <v>9225</v>
      </c>
      <c r="C1185" t="s">
        <v>9225</v>
      </c>
      <c r="D1185" t="s">
        <v>847</v>
      </c>
      <c r="E1185" t="s">
        <v>848</v>
      </c>
      <c r="F1185" t="s">
        <v>9226</v>
      </c>
      <c r="G1185" t="s">
        <v>1430</v>
      </c>
      <c r="H1185" t="s">
        <v>1427</v>
      </c>
      <c r="I1185" t="s">
        <v>1428</v>
      </c>
      <c r="J1185" t="s">
        <v>82</v>
      </c>
      <c r="K1185" t="s">
        <v>83</v>
      </c>
      <c r="L1185" t="s">
        <v>50</v>
      </c>
      <c r="M1185" s="2">
        <v>174536</v>
      </c>
      <c r="N1185" t="s">
        <v>64</v>
      </c>
      <c r="P1185" t="str">
        <f>CONCATENATE("'",Tabla1[[#This Row],[Codigo]],"',")</f>
        <v>'01996',</v>
      </c>
    </row>
    <row r="1186" spans="1:16" x14ac:dyDescent="0.25">
      <c r="A1186" t="s">
        <v>9229</v>
      </c>
      <c r="B1186" t="s">
        <v>9230</v>
      </c>
      <c r="C1186" t="s">
        <v>9230</v>
      </c>
      <c r="D1186" t="s">
        <v>153</v>
      </c>
      <c r="E1186" t="s">
        <v>272</v>
      </c>
      <c r="F1186" t="s">
        <v>9231</v>
      </c>
      <c r="G1186" t="s">
        <v>327</v>
      </c>
      <c r="H1186" t="s">
        <v>326</v>
      </c>
      <c r="I1186" t="s">
        <v>327</v>
      </c>
      <c r="J1186" t="s">
        <v>120</v>
      </c>
      <c r="K1186" t="s">
        <v>121</v>
      </c>
      <c r="L1186" t="s">
        <v>50</v>
      </c>
      <c r="M1186" s="2">
        <v>57979.77</v>
      </c>
      <c r="N1186" t="s">
        <v>9234</v>
      </c>
      <c r="O1186" t="s">
        <v>52</v>
      </c>
      <c r="P1186" t="str">
        <f>CONCATENATE("'",Tabla1[[#This Row],[Codigo]],"',")</f>
        <v>'01997',</v>
      </c>
    </row>
    <row r="1187" spans="1:16" x14ac:dyDescent="0.25">
      <c r="A1187" t="s">
        <v>9235</v>
      </c>
      <c r="B1187" t="s">
        <v>9236</v>
      </c>
      <c r="C1187" t="s">
        <v>9236</v>
      </c>
      <c r="D1187" t="s">
        <v>5597</v>
      </c>
      <c r="E1187" t="s">
        <v>224</v>
      </c>
      <c r="F1187" t="s">
        <v>9237</v>
      </c>
      <c r="G1187" t="s">
        <v>4798</v>
      </c>
      <c r="H1187" t="s">
        <v>4797</v>
      </c>
      <c r="I1187" t="s">
        <v>4798</v>
      </c>
      <c r="J1187" t="s">
        <v>1421</v>
      </c>
      <c r="K1187" t="s">
        <v>1422</v>
      </c>
      <c r="L1187" t="s">
        <v>50</v>
      </c>
      <c r="M1187" s="2">
        <v>74178</v>
      </c>
      <c r="N1187" t="s">
        <v>64</v>
      </c>
      <c r="P1187" t="str">
        <f>CONCATENATE("'",Tabla1[[#This Row],[Codigo]],"',")</f>
        <v>'01998',</v>
      </c>
    </row>
    <row r="1188" spans="1:16" x14ac:dyDescent="0.25">
      <c r="A1188" t="s">
        <v>9240</v>
      </c>
      <c r="B1188" t="s">
        <v>9241</v>
      </c>
      <c r="C1188" t="s">
        <v>9242</v>
      </c>
      <c r="D1188" t="s">
        <v>888</v>
      </c>
      <c r="E1188" t="s">
        <v>167</v>
      </c>
      <c r="F1188" t="s">
        <v>9243</v>
      </c>
      <c r="G1188" t="s">
        <v>1062</v>
      </c>
      <c r="H1188" t="s">
        <v>1064</v>
      </c>
      <c r="I1188" t="s">
        <v>1062</v>
      </c>
      <c r="J1188" t="s">
        <v>304</v>
      </c>
      <c r="K1188" t="s">
        <v>72</v>
      </c>
      <c r="L1188" t="s">
        <v>50</v>
      </c>
      <c r="M1188" s="2">
        <v>1090850</v>
      </c>
      <c r="N1188" t="s">
        <v>64</v>
      </c>
      <c r="P1188" t="str">
        <f>CONCATENATE("'",Tabla1[[#This Row],[Codigo]],"',")</f>
        <v>'01999',</v>
      </c>
    </row>
    <row r="1189" spans="1:16" x14ac:dyDescent="0.25">
      <c r="A1189" t="s">
        <v>9245</v>
      </c>
      <c r="B1189" t="s">
        <v>9246</v>
      </c>
      <c r="C1189" t="s">
        <v>9246</v>
      </c>
      <c r="D1189" t="s">
        <v>35</v>
      </c>
      <c r="E1189" t="s">
        <v>36</v>
      </c>
      <c r="F1189" t="s">
        <v>9247</v>
      </c>
      <c r="G1189" t="s">
        <v>1062</v>
      </c>
      <c r="H1189" t="s">
        <v>1064</v>
      </c>
      <c r="I1189" t="s">
        <v>1062</v>
      </c>
      <c r="J1189" t="s">
        <v>304</v>
      </c>
      <c r="K1189" t="s">
        <v>72</v>
      </c>
      <c r="L1189" t="s">
        <v>50</v>
      </c>
      <c r="M1189" s="2">
        <v>77973.960000000006</v>
      </c>
      <c r="N1189" t="s">
        <v>9250</v>
      </c>
      <c r="O1189" t="s">
        <v>52</v>
      </c>
      <c r="P1189" t="str">
        <f>CONCATENATE("'",Tabla1[[#This Row],[Codigo]],"',")</f>
        <v>'02000',</v>
      </c>
    </row>
    <row r="1190" spans="1:16" x14ac:dyDescent="0.25">
      <c r="A1190" t="s">
        <v>9251</v>
      </c>
      <c r="B1190" t="s">
        <v>9252</v>
      </c>
      <c r="C1190" t="s">
        <v>9252</v>
      </c>
      <c r="D1190" t="s">
        <v>35</v>
      </c>
      <c r="E1190" t="s">
        <v>36</v>
      </c>
      <c r="F1190" t="s">
        <v>9253</v>
      </c>
      <c r="G1190" t="s">
        <v>614</v>
      </c>
      <c r="H1190" t="s">
        <v>613</v>
      </c>
      <c r="I1190" t="s">
        <v>614</v>
      </c>
      <c r="J1190" t="s">
        <v>91</v>
      </c>
      <c r="K1190" t="s">
        <v>92</v>
      </c>
      <c r="L1190" t="s">
        <v>50</v>
      </c>
      <c r="M1190" s="2">
        <v>568227.31999999995</v>
      </c>
      <c r="N1190" t="s">
        <v>9255</v>
      </c>
      <c r="O1190" t="s">
        <v>52</v>
      </c>
      <c r="P1190" t="str">
        <f>CONCATENATE("'",Tabla1[[#This Row],[Codigo]],"',")</f>
        <v>'02001',</v>
      </c>
    </row>
    <row r="1191" spans="1:16" x14ac:dyDescent="0.25">
      <c r="A1191" t="s">
        <v>9256</v>
      </c>
      <c r="B1191" t="s">
        <v>9257</v>
      </c>
      <c r="C1191" t="s">
        <v>9257</v>
      </c>
      <c r="D1191" t="s">
        <v>297</v>
      </c>
      <c r="E1191" t="s">
        <v>167</v>
      </c>
      <c r="F1191" t="s">
        <v>9258</v>
      </c>
      <c r="G1191" t="s">
        <v>9259</v>
      </c>
      <c r="H1191" t="s">
        <v>592</v>
      </c>
      <c r="I1191" t="s">
        <v>593</v>
      </c>
      <c r="J1191" t="s">
        <v>91</v>
      </c>
      <c r="K1191" t="s">
        <v>92</v>
      </c>
      <c r="L1191" t="s">
        <v>50</v>
      </c>
      <c r="M1191" s="2">
        <v>665419</v>
      </c>
      <c r="N1191" t="s">
        <v>64</v>
      </c>
      <c r="P1191" t="str">
        <f>CONCATENATE("'",Tabla1[[#This Row],[Codigo]],"',")</f>
        <v>'02002',</v>
      </c>
    </row>
    <row r="1192" spans="1:16" x14ac:dyDescent="0.25">
      <c r="A1192" t="s">
        <v>9261</v>
      </c>
      <c r="B1192" t="s">
        <v>15186</v>
      </c>
      <c r="C1192" t="s">
        <v>9262</v>
      </c>
      <c r="D1192" t="s">
        <v>178</v>
      </c>
      <c r="E1192" t="s">
        <v>179</v>
      </c>
      <c r="F1192" t="s">
        <v>9263</v>
      </c>
      <c r="G1192" t="s">
        <v>9264</v>
      </c>
      <c r="H1192" t="s">
        <v>9266</v>
      </c>
      <c r="I1192" t="s">
        <v>9264</v>
      </c>
      <c r="J1192" t="s">
        <v>3487</v>
      </c>
      <c r="K1192" t="s">
        <v>3488</v>
      </c>
      <c r="L1192" t="s">
        <v>50</v>
      </c>
      <c r="M1192" s="2">
        <v>58696.79</v>
      </c>
      <c r="N1192" t="s">
        <v>9268</v>
      </c>
      <c r="O1192" t="s">
        <v>52</v>
      </c>
      <c r="P1192" t="str">
        <f>CONCATENATE("'",Tabla1[[#This Row],[Codigo]],"',")</f>
        <v>'02003',</v>
      </c>
    </row>
    <row r="1193" spans="1:16" x14ac:dyDescent="0.25">
      <c r="A1193" t="s">
        <v>9269</v>
      </c>
      <c r="B1193" t="s">
        <v>9270</v>
      </c>
      <c r="C1193" t="s">
        <v>9270</v>
      </c>
      <c r="D1193" t="s">
        <v>35</v>
      </c>
      <c r="E1193" t="s">
        <v>36</v>
      </c>
      <c r="F1193" t="s">
        <v>9271</v>
      </c>
      <c r="G1193" t="s">
        <v>1062</v>
      </c>
      <c r="H1193" t="s">
        <v>1064</v>
      </c>
      <c r="I1193" t="s">
        <v>1062</v>
      </c>
      <c r="J1193" t="s">
        <v>304</v>
      </c>
      <c r="K1193" t="s">
        <v>72</v>
      </c>
      <c r="L1193" t="s">
        <v>50</v>
      </c>
      <c r="M1193" s="2">
        <v>92895.65</v>
      </c>
      <c r="N1193" t="s">
        <v>9273</v>
      </c>
      <c r="O1193" t="s">
        <v>115</v>
      </c>
      <c r="P1193" t="str">
        <f>CONCATENATE("'",Tabla1[[#This Row],[Codigo]],"',")</f>
        <v>'02004',</v>
      </c>
    </row>
    <row r="1194" spans="1:16" x14ac:dyDescent="0.25">
      <c r="A1194" t="s">
        <v>9274</v>
      </c>
      <c r="B1194" t="s">
        <v>9275</v>
      </c>
      <c r="C1194" t="s">
        <v>9275</v>
      </c>
      <c r="D1194" t="s">
        <v>125</v>
      </c>
      <c r="E1194" t="s">
        <v>126</v>
      </c>
      <c r="F1194" t="s">
        <v>9276</v>
      </c>
      <c r="G1194" t="s">
        <v>9277</v>
      </c>
      <c r="H1194" t="s">
        <v>9279</v>
      </c>
      <c r="I1194" t="s">
        <v>9277</v>
      </c>
      <c r="J1194" t="s">
        <v>4315</v>
      </c>
      <c r="K1194" t="s">
        <v>4316</v>
      </c>
      <c r="L1194" t="s">
        <v>50</v>
      </c>
      <c r="M1194" s="2">
        <v>135186.66</v>
      </c>
      <c r="N1194" t="s">
        <v>9281</v>
      </c>
      <c r="O1194" t="s">
        <v>52</v>
      </c>
      <c r="P1194" t="str">
        <f>CONCATENATE("'",Tabla1[[#This Row],[Codigo]],"',")</f>
        <v>'02005',</v>
      </c>
    </row>
    <row r="1195" spans="1:16" x14ac:dyDescent="0.25">
      <c r="A1195" t="s">
        <v>9284</v>
      </c>
      <c r="B1195" t="s">
        <v>9285</v>
      </c>
      <c r="C1195" t="s">
        <v>9285</v>
      </c>
      <c r="D1195" t="s">
        <v>847</v>
      </c>
      <c r="E1195" t="s">
        <v>848</v>
      </c>
      <c r="F1195" t="s">
        <v>9286</v>
      </c>
      <c r="G1195" t="s">
        <v>8401</v>
      </c>
      <c r="H1195" t="s">
        <v>8403</v>
      </c>
      <c r="I1195" t="s">
        <v>8401</v>
      </c>
      <c r="J1195" t="s">
        <v>2320</v>
      </c>
      <c r="K1195" t="s">
        <v>2321</v>
      </c>
      <c r="L1195" t="s">
        <v>50</v>
      </c>
      <c r="M1195" s="2">
        <v>1176447.31</v>
      </c>
      <c r="N1195" t="s">
        <v>9288</v>
      </c>
      <c r="O1195" t="s">
        <v>115</v>
      </c>
      <c r="P1195" t="str">
        <f>CONCATENATE("'",Tabla1[[#This Row],[Codigo]],"',")</f>
        <v>'02007',</v>
      </c>
    </row>
    <row r="1196" spans="1:16" x14ac:dyDescent="0.25">
      <c r="A1196" t="s">
        <v>9293</v>
      </c>
      <c r="B1196" t="s">
        <v>9294</v>
      </c>
      <c r="C1196" t="s">
        <v>9294</v>
      </c>
      <c r="D1196" t="s">
        <v>817</v>
      </c>
      <c r="E1196" t="s">
        <v>224</v>
      </c>
      <c r="F1196" t="s">
        <v>9295</v>
      </c>
      <c r="G1196" t="s">
        <v>1360</v>
      </c>
      <c r="H1196" t="s">
        <v>1362</v>
      </c>
      <c r="I1196" t="s">
        <v>1360</v>
      </c>
      <c r="J1196" t="s">
        <v>1212</v>
      </c>
      <c r="K1196" t="s">
        <v>1213</v>
      </c>
      <c r="L1196" t="s">
        <v>50</v>
      </c>
      <c r="M1196" s="2">
        <v>90762.62</v>
      </c>
      <c r="N1196" t="s">
        <v>9298</v>
      </c>
      <c r="P1196" t="str">
        <f>CONCATENATE("'",Tabla1[[#This Row],[Codigo]],"',")</f>
        <v>'02009',</v>
      </c>
    </row>
    <row r="1197" spans="1:16" x14ac:dyDescent="0.25">
      <c r="A1197" t="s">
        <v>9299</v>
      </c>
      <c r="B1197" t="s">
        <v>9300</v>
      </c>
      <c r="C1197" t="s">
        <v>9300</v>
      </c>
      <c r="D1197" t="s">
        <v>299</v>
      </c>
      <c r="E1197" t="s">
        <v>167</v>
      </c>
      <c r="F1197" t="s">
        <v>9301</v>
      </c>
      <c r="G1197" t="s">
        <v>6986</v>
      </c>
      <c r="H1197" t="s">
        <v>6985</v>
      </c>
      <c r="I1197" t="s">
        <v>6986</v>
      </c>
      <c r="J1197" t="s">
        <v>6987</v>
      </c>
      <c r="K1197" t="s">
        <v>6988</v>
      </c>
      <c r="L1197" t="s">
        <v>50</v>
      </c>
      <c r="M1197" s="2">
        <v>211396.65</v>
      </c>
      <c r="N1197" t="s">
        <v>9304</v>
      </c>
      <c r="O1197" t="s">
        <v>115</v>
      </c>
      <c r="P1197" t="str">
        <f>CONCATENATE("'",Tabla1[[#This Row],[Codigo]],"',")</f>
        <v>'02010',</v>
      </c>
    </row>
    <row r="1198" spans="1:16" x14ac:dyDescent="0.25">
      <c r="A1198" t="s">
        <v>9305</v>
      </c>
      <c r="B1198" t="s">
        <v>9306</v>
      </c>
      <c r="C1198" t="s">
        <v>9306</v>
      </c>
      <c r="D1198" t="s">
        <v>297</v>
      </c>
      <c r="E1198" t="s">
        <v>167</v>
      </c>
      <c r="F1198" t="s">
        <v>9307</v>
      </c>
      <c r="G1198" t="s">
        <v>41</v>
      </c>
      <c r="H1198" t="s">
        <v>40</v>
      </c>
      <c r="I1198" t="s">
        <v>41</v>
      </c>
      <c r="J1198" t="s">
        <v>2320</v>
      </c>
      <c r="K1198" t="s">
        <v>2321</v>
      </c>
      <c r="L1198" t="s">
        <v>50</v>
      </c>
      <c r="M1198" s="2">
        <v>160187.9</v>
      </c>
      <c r="N1198" t="s">
        <v>9310</v>
      </c>
      <c r="O1198" t="s">
        <v>115</v>
      </c>
      <c r="P1198" t="str">
        <f>CONCATENATE("'",Tabla1[[#This Row],[Codigo]],"',")</f>
        <v>'02011',</v>
      </c>
    </row>
    <row r="1199" spans="1:16" x14ac:dyDescent="0.25">
      <c r="A1199" t="s">
        <v>9311</v>
      </c>
      <c r="B1199" t="s">
        <v>9312</v>
      </c>
      <c r="C1199" t="s">
        <v>9312</v>
      </c>
      <c r="D1199" t="s">
        <v>3472</v>
      </c>
      <c r="E1199" t="s">
        <v>871</v>
      </c>
      <c r="F1199" t="s">
        <v>9313</v>
      </c>
      <c r="G1199" t="s">
        <v>8101</v>
      </c>
      <c r="H1199" t="s">
        <v>8100</v>
      </c>
      <c r="I1199" t="s">
        <v>8101</v>
      </c>
      <c r="J1199" t="s">
        <v>4853</v>
      </c>
      <c r="K1199" t="s">
        <v>4854</v>
      </c>
      <c r="L1199" t="s">
        <v>50</v>
      </c>
      <c r="M1199" s="2">
        <v>911.91</v>
      </c>
      <c r="N1199" t="s">
        <v>9316</v>
      </c>
      <c r="O1199" t="s">
        <v>52</v>
      </c>
      <c r="P1199" t="str">
        <f>CONCATENATE("'",Tabla1[[#This Row],[Codigo]],"',")</f>
        <v>'02012',</v>
      </c>
    </row>
    <row r="1200" spans="1:16" x14ac:dyDescent="0.25">
      <c r="A1200" t="s">
        <v>9317</v>
      </c>
      <c r="B1200" t="s">
        <v>9318</v>
      </c>
      <c r="C1200" t="s">
        <v>9318</v>
      </c>
      <c r="D1200" t="s">
        <v>2118</v>
      </c>
      <c r="E1200" t="s">
        <v>871</v>
      </c>
      <c r="F1200" t="s">
        <v>9319</v>
      </c>
      <c r="G1200" t="s">
        <v>3122</v>
      </c>
      <c r="H1200" t="s">
        <v>3121</v>
      </c>
      <c r="I1200" t="s">
        <v>3122</v>
      </c>
      <c r="J1200" t="s">
        <v>1212</v>
      </c>
      <c r="K1200" t="s">
        <v>1213</v>
      </c>
      <c r="L1200" t="s">
        <v>50</v>
      </c>
      <c r="M1200" s="2">
        <v>5576.86</v>
      </c>
      <c r="N1200" t="s">
        <v>9322</v>
      </c>
      <c r="O1200" t="s">
        <v>115</v>
      </c>
      <c r="P1200" t="str">
        <f>CONCATENATE("'",Tabla1[[#This Row],[Codigo]],"',")</f>
        <v>'02016',</v>
      </c>
    </row>
    <row r="1201" spans="1:16" x14ac:dyDescent="0.25">
      <c r="A1201" t="s">
        <v>9323</v>
      </c>
      <c r="B1201" t="s">
        <v>9324</v>
      </c>
      <c r="C1201" t="s">
        <v>9324</v>
      </c>
      <c r="D1201" t="s">
        <v>125</v>
      </c>
      <c r="E1201" t="s">
        <v>126</v>
      </c>
      <c r="F1201" t="s">
        <v>9325</v>
      </c>
      <c r="G1201" t="s">
        <v>2572</v>
      </c>
      <c r="H1201" t="s">
        <v>2571</v>
      </c>
      <c r="I1201" t="s">
        <v>2572</v>
      </c>
      <c r="J1201" t="s">
        <v>6987</v>
      </c>
      <c r="K1201" t="s">
        <v>6988</v>
      </c>
      <c r="L1201" t="s">
        <v>50</v>
      </c>
      <c r="M1201" s="2">
        <v>50910.9</v>
      </c>
      <c r="N1201" t="s">
        <v>9328</v>
      </c>
      <c r="O1201" t="s">
        <v>52</v>
      </c>
      <c r="P1201" t="str">
        <f>CONCATENATE("'",Tabla1[[#This Row],[Codigo]],"',")</f>
        <v>'02017',</v>
      </c>
    </row>
    <row r="1202" spans="1:16" x14ac:dyDescent="0.25">
      <c r="A1202" t="s">
        <v>9329</v>
      </c>
      <c r="B1202" t="s">
        <v>9330</v>
      </c>
      <c r="C1202" t="s">
        <v>9330</v>
      </c>
      <c r="D1202" t="s">
        <v>35</v>
      </c>
      <c r="E1202" t="s">
        <v>36</v>
      </c>
      <c r="F1202" t="s">
        <v>9331</v>
      </c>
      <c r="G1202" t="s">
        <v>5739</v>
      </c>
      <c r="H1202" t="s">
        <v>5741</v>
      </c>
      <c r="I1202" t="s">
        <v>5739</v>
      </c>
      <c r="J1202" t="s">
        <v>2320</v>
      </c>
      <c r="K1202" t="s">
        <v>2321</v>
      </c>
      <c r="L1202" t="s">
        <v>50</v>
      </c>
      <c r="M1202" s="2">
        <v>232452.05</v>
      </c>
      <c r="N1202" t="s">
        <v>9333</v>
      </c>
      <c r="O1202" t="s">
        <v>115</v>
      </c>
      <c r="P1202" t="str">
        <f>CONCATENATE("'",Tabla1[[#This Row],[Codigo]],"',")</f>
        <v>'02018',</v>
      </c>
    </row>
    <row r="1203" spans="1:16" x14ac:dyDescent="0.25">
      <c r="A1203" t="s">
        <v>9334</v>
      </c>
      <c r="B1203" t="s">
        <v>9335</v>
      </c>
      <c r="C1203" t="s">
        <v>9335</v>
      </c>
      <c r="D1203" t="s">
        <v>35</v>
      </c>
      <c r="E1203" t="s">
        <v>36</v>
      </c>
      <c r="F1203" t="s">
        <v>9336</v>
      </c>
      <c r="G1203" t="s">
        <v>1430</v>
      </c>
      <c r="H1203" t="s">
        <v>1427</v>
      </c>
      <c r="I1203" t="s">
        <v>1428</v>
      </c>
      <c r="J1203" t="s">
        <v>82</v>
      </c>
      <c r="K1203" t="s">
        <v>83</v>
      </c>
      <c r="L1203" t="s">
        <v>50</v>
      </c>
      <c r="M1203" s="2">
        <v>29516.33</v>
      </c>
      <c r="N1203" t="s">
        <v>9339</v>
      </c>
      <c r="O1203" t="s">
        <v>52</v>
      </c>
      <c r="P1203" t="str">
        <f>CONCATENATE("'",Tabla1[[#This Row],[Codigo]],"',")</f>
        <v>'02019',</v>
      </c>
    </row>
    <row r="1204" spans="1:16" x14ac:dyDescent="0.25">
      <c r="A1204" t="s">
        <v>9340</v>
      </c>
      <c r="B1204" t="s">
        <v>9341</v>
      </c>
      <c r="C1204" t="s">
        <v>9341</v>
      </c>
      <c r="D1204" t="s">
        <v>847</v>
      </c>
      <c r="E1204" t="s">
        <v>848</v>
      </c>
      <c r="F1204" t="s">
        <v>9342</v>
      </c>
      <c r="G1204" t="s">
        <v>9343</v>
      </c>
      <c r="H1204" t="s">
        <v>9344</v>
      </c>
      <c r="I1204" t="s">
        <v>9343</v>
      </c>
      <c r="J1204" t="s">
        <v>2320</v>
      </c>
      <c r="K1204" t="s">
        <v>2321</v>
      </c>
      <c r="L1204" t="s">
        <v>50</v>
      </c>
      <c r="M1204" s="2">
        <v>94813.97</v>
      </c>
      <c r="N1204" t="s">
        <v>9346</v>
      </c>
      <c r="O1204" t="s">
        <v>115</v>
      </c>
      <c r="P1204" t="str">
        <f>CONCATENATE("'",Tabla1[[#This Row],[Codigo]],"',")</f>
        <v>'02020',</v>
      </c>
    </row>
    <row r="1205" spans="1:16" x14ac:dyDescent="0.25">
      <c r="A1205" t="s">
        <v>9347</v>
      </c>
      <c r="B1205" t="s">
        <v>9348</v>
      </c>
      <c r="C1205" t="s">
        <v>9348</v>
      </c>
      <c r="D1205" t="s">
        <v>847</v>
      </c>
      <c r="E1205" t="s">
        <v>848</v>
      </c>
      <c r="F1205" t="s">
        <v>9349</v>
      </c>
      <c r="G1205" t="s">
        <v>2400</v>
      </c>
      <c r="H1205" t="s">
        <v>7747</v>
      </c>
      <c r="I1205" t="s">
        <v>2400</v>
      </c>
      <c r="J1205" t="s">
        <v>6987</v>
      </c>
      <c r="K1205" t="s">
        <v>6988</v>
      </c>
      <c r="L1205" t="s">
        <v>50</v>
      </c>
      <c r="M1205" s="2">
        <v>1806.64</v>
      </c>
      <c r="N1205" t="s">
        <v>9352</v>
      </c>
      <c r="O1205" t="s">
        <v>52</v>
      </c>
      <c r="P1205" t="str">
        <f>CONCATENATE("'",Tabla1[[#This Row],[Codigo]],"',")</f>
        <v>'02021',</v>
      </c>
    </row>
    <row r="1206" spans="1:16" x14ac:dyDescent="0.25">
      <c r="A1206" t="s">
        <v>9353</v>
      </c>
      <c r="B1206" t="s">
        <v>9354</v>
      </c>
      <c r="C1206" t="s">
        <v>9354</v>
      </c>
      <c r="D1206" t="s">
        <v>125</v>
      </c>
      <c r="E1206" t="s">
        <v>126</v>
      </c>
      <c r="F1206" t="s">
        <v>9355</v>
      </c>
      <c r="G1206" t="s">
        <v>5739</v>
      </c>
      <c r="H1206" t="s">
        <v>5741</v>
      </c>
      <c r="I1206" t="s">
        <v>5739</v>
      </c>
      <c r="J1206" t="s">
        <v>5966</v>
      </c>
      <c r="K1206" t="s">
        <v>5739</v>
      </c>
      <c r="L1206" t="s">
        <v>50</v>
      </c>
      <c r="M1206" s="2">
        <v>497754.9</v>
      </c>
      <c r="N1206" t="s">
        <v>9357</v>
      </c>
      <c r="O1206" t="s">
        <v>52</v>
      </c>
      <c r="P1206" t="str">
        <f>CONCATENATE("'",Tabla1[[#This Row],[Codigo]],"',")</f>
        <v>'02023',</v>
      </c>
    </row>
    <row r="1207" spans="1:16" x14ac:dyDescent="0.25">
      <c r="A1207" t="s">
        <v>9358</v>
      </c>
      <c r="B1207" t="s">
        <v>9359</v>
      </c>
      <c r="C1207" t="s">
        <v>9359</v>
      </c>
      <c r="D1207" t="s">
        <v>847</v>
      </c>
      <c r="E1207" t="s">
        <v>848</v>
      </c>
      <c r="F1207" t="s">
        <v>9360</v>
      </c>
      <c r="G1207" t="s">
        <v>6240</v>
      </c>
      <c r="H1207" t="s">
        <v>6239</v>
      </c>
      <c r="I1207" t="s">
        <v>6240</v>
      </c>
      <c r="J1207" t="s">
        <v>82</v>
      </c>
      <c r="K1207" t="s">
        <v>83</v>
      </c>
      <c r="L1207" t="s">
        <v>50</v>
      </c>
      <c r="M1207" s="2">
        <v>671307.59</v>
      </c>
      <c r="N1207" t="s">
        <v>9363</v>
      </c>
      <c r="O1207" t="s">
        <v>52</v>
      </c>
      <c r="P1207" t="str">
        <f>CONCATENATE("'",Tabla1[[#This Row],[Codigo]],"',")</f>
        <v>'02024',</v>
      </c>
    </row>
    <row r="1208" spans="1:16" x14ac:dyDescent="0.25">
      <c r="A1208" t="s">
        <v>9364</v>
      </c>
      <c r="B1208" t="s">
        <v>9365</v>
      </c>
      <c r="C1208" t="s">
        <v>9365</v>
      </c>
      <c r="D1208" t="s">
        <v>847</v>
      </c>
      <c r="E1208" t="s">
        <v>848</v>
      </c>
      <c r="F1208" t="s">
        <v>9366</v>
      </c>
      <c r="G1208" t="s">
        <v>6240</v>
      </c>
      <c r="H1208" t="s">
        <v>6239</v>
      </c>
      <c r="I1208" t="s">
        <v>6240</v>
      </c>
      <c r="J1208" t="s">
        <v>82</v>
      </c>
      <c r="K1208" t="s">
        <v>83</v>
      </c>
      <c r="L1208" t="s">
        <v>50</v>
      </c>
      <c r="M1208" s="2">
        <v>492118.15</v>
      </c>
      <c r="N1208" t="s">
        <v>9368</v>
      </c>
      <c r="O1208" t="s">
        <v>52</v>
      </c>
      <c r="P1208" t="str">
        <f>CONCATENATE("'",Tabla1[[#This Row],[Codigo]],"',")</f>
        <v>'02025',</v>
      </c>
    </row>
    <row r="1209" spans="1:16" x14ac:dyDescent="0.25">
      <c r="A1209" t="s">
        <v>9369</v>
      </c>
      <c r="B1209" t="s">
        <v>9370</v>
      </c>
      <c r="C1209" t="s">
        <v>9370</v>
      </c>
      <c r="D1209" t="s">
        <v>847</v>
      </c>
      <c r="E1209" t="s">
        <v>848</v>
      </c>
      <c r="F1209" t="s">
        <v>9371</v>
      </c>
      <c r="G1209" t="s">
        <v>6240</v>
      </c>
      <c r="H1209" t="s">
        <v>6239</v>
      </c>
      <c r="I1209" t="s">
        <v>6240</v>
      </c>
      <c r="J1209" t="s">
        <v>82</v>
      </c>
      <c r="K1209" t="s">
        <v>83</v>
      </c>
      <c r="L1209" t="s">
        <v>50</v>
      </c>
      <c r="M1209" s="2">
        <v>428851.98</v>
      </c>
      <c r="N1209" t="s">
        <v>9374</v>
      </c>
      <c r="O1209" t="s">
        <v>52</v>
      </c>
      <c r="P1209" t="str">
        <f>CONCATENATE("'",Tabla1[[#This Row],[Codigo]],"',")</f>
        <v>'02026',</v>
      </c>
    </row>
    <row r="1210" spans="1:16" x14ac:dyDescent="0.25">
      <c r="A1210" t="s">
        <v>9375</v>
      </c>
      <c r="B1210" t="s">
        <v>9376</v>
      </c>
      <c r="C1210" t="s">
        <v>9376</v>
      </c>
      <c r="D1210" t="s">
        <v>847</v>
      </c>
      <c r="E1210" t="s">
        <v>848</v>
      </c>
      <c r="F1210" t="s">
        <v>9377</v>
      </c>
      <c r="G1210" t="s">
        <v>6240</v>
      </c>
      <c r="H1210" t="s">
        <v>6239</v>
      </c>
      <c r="I1210" t="s">
        <v>6240</v>
      </c>
      <c r="J1210" t="s">
        <v>82</v>
      </c>
      <c r="K1210" t="s">
        <v>83</v>
      </c>
      <c r="L1210" t="s">
        <v>50</v>
      </c>
      <c r="M1210" s="2">
        <v>744405.79</v>
      </c>
      <c r="N1210" t="s">
        <v>9380</v>
      </c>
      <c r="O1210" t="s">
        <v>52</v>
      </c>
      <c r="P1210" t="str">
        <f>CONCATENATE("'",Tabla1[[#This Row],[Codigo]],"',")</f>
        <v>'02027',</v>
      </c>
    </row>
    <row r="1211" spans="1:16" x14ac:dyDescent="0.25">
      <c r="A1211" t="s">
        <v>9381</v>
      </c>
      <c r="B1211" t="s">
        <v>9382</v>
      </c>
      <c r="C1211" t="s">
        <v>9382</v>
      </c>
      <c r="D1211" t="s">
        <v>847</v>
      </c>
      <c r="E1211" t="s">
        <v>848</v>
      </c>
      <c r="F1211" t="s">
        <v>9383</v>
      </c>
      <c r="G1211" t="s">
        <v>9384</v>
      </c>
      <c r="H1211" t="s">
        <v>9385</v>
      </c>
      <c r="I1211" t="s">
        <v>9384</v>
      </c>
      <c r="J1211" t="s">
        <v>82</v>
      </c>
      <c r="K1211" t="s">
        <v>83</v>
      </c>
      <c r="L1211" t="s">
        <v>50</v>
      </c>
      <c r="M1211" s="2">
        <v>773780.64</v>
      </c>
      <c r="N1211" t="s">
        <v>9387</v>
      </c>
      <c r="O1211" t="s">
        <v>52</v>
      </c>
      <c r="P1211" t="str">
        <f>CONCATENATE("'",Tabla1[[#This Row],[Codigo]],"',")</f>
        <v>'02028',</v>
      </c>
    </row>
    <row r="1212" spans="1:16" x14ac:dyDescent="0.25">
      <c r="A1212" t="s">
        <v>9388</v>
      </c>
      <c r="B1212" t="s">
        <v>9389</v>
      </c>
      <c r="C1212" t="s">
        <v>9389</v>
      </c>
      <c r="D1212" t="s">
        <v>1633</v>
      </c>
      <c r="E1212" t="s">
        <v>1502</v>
      </c>
      <c r="F1212" t="s">
        <v>9390</v>
      </c>
      <c r="G1212" t="s">
        <v>6986</v>
      </c>
      <c r="H1212" t="s">
        <v>6985</v>
      </c>
      <c r="I1212" t="s">
        <v>6986</v>
      </c>
      <c r="J1212" t="s">
        <v>6987</v>
      </c>
      <c r="K1212" t="s">
        <v>6988</v>
      </c>
      <c r="L1212" t="s">
        <v>50</v>
      </c>
      <c r="M1212" s="2">
        <v>130964.97</v>
      </c>
      <c r="N1212" t="s">
        <v>9393</v>
      </c>
      <c r="O1212" t="s">
        <v>115</v>
      </c>
      <c r="P1212" t="str">
        <f>CONCATENATE("'",Tabla1[[#This Row],[Codigo]],"',")</f>
        <v>'02029',</v>
      </c>
    </row>
    <row r="1213" spans="1:16" x14ac:dyDescent="0.25">
      <c r="A1213" t="s">
        <v>9394</v>
      </c>
      <c r="B1213" t="s">
        <v>9395</v>
      </c>
      <c r="C1213" t="s">
        <v>9395</v>
      </c>
      <c r="D1213" t="s">
        <v>4391</v>
      </c>
      <c r="E1213" t="s">
        <v>134</v>
      </c>
      <c r="F1213" t="s">
        <v>9396</v>
      </c>
      <c r="G1213" t="s">
        <v>6986</v>
      </c>
      <c r="H1213" t="s">
        <v>6985</v>
      </c>
      <c r="I1213" t="s">
        <v>6986</v>
      </c>
      <c r="J1213" t="s">
        <v>6987</v>
      </c>
      <c r="K1213" t="s">
        <v>6988</v>
      </c>
      <c r="L1213" t="s">
        <v>50</v>
      </c>
      <c r="M1213" s="2">
        <v>43634</v>
      </c>
      <c r="N1213" t="s">
        <v>64</v>
      </c>
      <c r="P1213" t="str">
        <f>CONCATENATE("'",Tabla1[[#This Row],[Codigo]],"',")</f>
        <v>'02030',</v>
      </c>
    </row>
    <row r="1214" spans="1:16" x14ac:dyDescent="0.25">
      <c r="A1214" t="s">
        <v>9402</v>
      </c>
      <c r="B1214" t="s">
        <v>9403</v>
      </c>
      <c r="C1214" t="s">
        <v>9403</v>
      </c>
      <c r="D1214" t="s">
        <v>847</v>
      </c>
      <c r="E1214" t="s">
        <v>848</v>
      </c>
      <c r="F1214" t="s">
        <v>9404</v>
      </c>
      <c r="G1214" t="s">
        <v>6367</v>
      </c>
      <c r="H1214" t="s">
        <v>6366</v>
      </c>
      <c r="I1214" t="s">
        <v>6367</v>
      </c>
      <c r="J1214" t="s">
        <v>82</v>
      </c>
      <c r="K1214" t="s">
        <v>83</v>
      </c>
      <c r="L1214" t="s">
        <v>50</v>
      </c>
      <c r="M1214" s="2">
        <v>429080.88</v>
      </c>
      <c r="N1214" t="s">
        <v>9407</v>
      </c>
      <c r="O1214" t="s">
        <v>52</v>
      </c>
      <c r="P1214" t="str">
        <f>CONCATENATE("'",Tabla1[[#This Row],[Codigo]],"',")</f>
        <v>'02033',</v>
      </c>
    </row>
    <row r="1215" spans="1:16" x14ac:dyDescent="0.25">
      <c r="A1215" t="s">
        <v>9408</v>
      </c>
      <c r="B1215" t="s">
        <v>9409</v>
      </c>
      <c r="C1215" t="s">
        <v>9409</v>
      </c>
      <c r="D1215" t="s">
        <v>35</v>
      </c>
      <c r="E1215" t="s">
        <v>36</v>
      </c>
      <c r="F1215" t="s">
        <v>9410</v>
      </c>
      <c r="G1215" t="s">
        <v>6240</v>
      </c>
      <c r="H1215" t="s">
        <v>6239</v>
      </c>
      <c r="I1215" t="s">
        <v>6240</v>
      </c>
      <c r="J1215" t="s">
        <v>82</v>
      </c>
      <c r="K1215" t="s">
        <v>83</v>
      </c>
      <c r="L1215" t="s">
        <v>50</v>
      </c>
      <c r="M1215" s="2">
        <v>549163.68999999994</v>
      </c>
      <c r="N1215" t="s">
        <v>9412</v>
      </c>
      <c r="O1215" t="s">
        <v>52</v>
      </c>
      <c r="P1215" t="str">
        <f>CONCATENATE("'",Tabla1[[#This Row],[Codigo]],"',")</f>
        <v>'02034',</v>
      </c>
    </row>
    <row r="1216" spans="1:16" x14ac:dyDescent="0.25">
      <c r="A1216" t="s">
        <v>9413</v>
      </c>
      <c r="B1216" t="s">
        <v>9414</v>
      </c>
      <c r="C1216" t="s">
        <v>9414</v>
      </c>
      <c r="D1216" t="s">
        <v>166</v>
      </c>
      <c r="E1216" t="s">
        <v>167</v>
      </c>
      <c r="F1216" t="s">
        <v>9415</v>
      </c>
      <c r="G1216" t="s">
        <v>9416</v>
      </c>
      <c r="H1216" t="s">
        <v>9418</v>
      </c>
      <c r="I1216" t="s">
        <v>9416</v>
      </c>
      <c r="J1216" t="s">
        <v>3487</v>
      </c>
      <c r="K1216" t="s">
        <v>3488</v>
      </c>
      <c r="L1216" t="s">
        <v>50</v>
      </c>
      <c r="M1216" s="2">
        <v>28539.11</v>
      </c>
      <c r="N1216" t="s">
        <v>9420</v>
      </c>
      <c r="O1216" t="s">
        <v>52</v>
      </c>
      <c r="P1216" t="str">
        <f>CONCATENATE("'",Tabla1[[#This Row],[Codigo]],"',")</f>
        <v>'02035',</v>
      </c>
    </row>
    <row r="1217" spans="1:16" x14ac:dyDescent="0.25">
      <c r="A1217" t="s">
        <v>9423</v>
      </c>
      <c r="B1217" t="s">
        <v>9424</v>
      </c>
      <c r="C1217" t="s">
        <v>9424</v>
      </c>
      <c r="D1217" t="s">
        <v>297</v>
      </c>
      <c r="E1217" t="s">
        <v>167</v>
      </c>
      <c r="F1217" t="s">
        <v>9425</v>
      </c>
      <c r="G1217" t="s">
        <v>79</v>
      </c>
      <c r="H1217" t="s">
        <v>495</v>
      </c>
      <c r="I1217" t="s">
        <v>79</v>
      </c>
      <c r="J1217" t="s">
        <v>3487</v>
      </c>
      <c r="K1217" t="s">
        <v>3488</v>
      </c>
      <c r="L1217" t="s">
        <v>50</v>
      </c>
      <c r="M1217" s="2">
        <v>161240.56</v>
      </c>
      <c r="N1217" t="s">
        <v>9428</v>
      </c>
      <c r="O1217" t="s">
        <v>52</v>
      </c>
      <c r="P1217" t="str">
        <f>CONCATENATE("'",Tabla1[[#This Row],[Codigo]],"',")</f>
        <v>'02037',</v>
      </c>
    </row>
    <row r="1218" spans="1:16" x14ac:dyDescent="0.25">
      <c r="A1218" t="s">
        <v>9429</v>
      </c>
      <c r="B1218" t="s">
        <v>9430</v>
      </c>
      <c r="C1218" t="s">
        <v>9430</v>
      </c>
      <c r="D1218" t="s">
        <v>569</v>
      </c>
      <c r="E1218" t="s">
        <v>570</v>
      </c>
      <c r="F1218" t="s">
        <v>9431</v>
      </c>
      <c r="G1218" t="s">
        <v>1062</v>
      </c>
      <c r="H1218" t="s">
        <v>1064</v>
      </c>
      <c r="I1218" t="s">
        <v>1062</v>
      </c>
      <c r="J1218" t="s">
        <v>304</v>
      </c>
      <c r="K1218" t="s">
        <v>72</v>
      </c>
      <c r="L1218" t="s">
        <v>50</v>
      </c>
      <c r="M1218" s="2">
        <v>199345.63</v>
      </c>
      <c r="N1218" t="s">
        <v>9434</v>
      </c>
      <c r="O1218" t="s">
        <v>115</v>
      </c>
      <c r="P1218" t="str">
        <f>CONCATENATE("'",Tabla1[[#This Row],[Codigo]],"',")</f>
        <v>'02038',</v>
      </c>
    </row>
    <row r="1219" spans="1:16" x14ac:dyDescent="0.25">
      <c r="A1219" t="s">
        <v>9435</v>
      </c>
      <c r="B1219" t="s">
        <v>9436</v>
      </c>
      <c r="C1219" t="s">
        <v>9436</v>
      </c>
      <c r="D1219" t="s">
        <v>1754</v>
      </c>
      <c r="E1219" t="s">
        <v>77</v>
      </c>
      <c r="F1219" t="s">
        <v>9437</v>
      </c>
      <c r="G1219" t="s">
        <v>446</v>
      </c>
      <c r="H1219" t="s">
        <v>445</v>
      </c>
      <c r="I1219" t="s">
        <v>446</v>
      </c>
      <c r="J1219" t="s">
        <v>69</v>
      </c>
      <c r="K1219" t="s">
        <v>70</v>
      </c>
      <c r="L1219" t="s">
        <v>50</v>
      </c>
      <c r="M1219" s="2">
        <v>32726</v>
      </c>
      <c r="N1219" t="s">
        <v>64</v>
      </c>
      <c r="P1219" t="str">
        <f>CONCATENATE("'",Tabla1[[#This Row],[Codigo]],"',")</f>
        <v>'02039',</v>
      </c>
    </row>
    <row r="1220" spans="1:16" x14ac:dyDescent="0.25">
      <c r="A1220" t="s">
        <v>9439</v>
      </c>
      <c r="B1220" t="s">
        <v>9440</v>
      </c>
      <c r="C1220" t="s">
        <v>9440</v>
      </c>
      <c r="D1220" t="s">
        <v>553</v>
      </c>
      <c r="E1220" t="s">
        <v>167</v>
      </c>
      <c r="F1220" t="s">
        <v>9441</v>
      </c>
      <c r="G1220" t="s">
        <v>877</v>
      </c>
      <c r="H1220" t="s">
        <v>879</v>
      </c>
      <c r="I1220" t="s">
        <v>877</v>
      </c>
      <c r="J1220" t="s">
        <v>69</v>
      </c>
      <c r="K1220" t="s">
        <v>70</v>
      </c>
      <c r="L1220" t="s">
        <v>50</v>
      </c>
      <c r="M1220" s="2">
        <v>16394.939999999999</v>
      </c>
      <c r="N1220" t="s">
        <v>9443</v>
      </c>
      <c r="O1220" t="s">
        <v>115</v>
      </c>
      <c r="P1220" t="str">
        <f>CONCATENATE("'",Tabla1[[#This Row],[Codigo]],"',")</f>
        <v>'02040',</v>
      </c>
    </row>
    <row r="1221" spans="1:16" x14ac:dyDescent="0.25">
      <c r="A1221" t="s">
        <v>9449</v>
      </c>
      <c r="B1221" t="s">
        <v>9450</v>
      </c>
      <c r="C1221" t="s">
        <v>9450</v>
      </c>
      <c r="D1221" t="s">
        <v>2118</v>
      </c>
      <c r="E1221" t="s">
        <v>871</v>
      </c>
      <c r="F1221" t="s">
        <v>9451</v>
      </c>
      <c r="G1221" t="s">
        <v>9452</v>
      </c>
      <c r="H1221" t="s">
        <v>8354</v>
      </c>
      <c r="I1221" t="s">
        <v>8352</v>
      </c>
      <c r="J1221" t="s">
        <v>6143</v>
      </c>
      <c r="K1221" t="s">
        <v>6144</v>
      </c>
      <c r="L1221" t="s">
        <v>50</v>
      </c>
      <c r="M1221" s="2">
        <v>132717.37</v>
      </c>
      <c r="N1221" t="s">
        <v>9454</v>
      </c>
      <c r="O1221" t="s">
        <v>115</v>
      </c>
      <c r="P1221" t="str">
        <f>CONCATENATE("'",Tabla1[[#This Row],[Codigo]],"',")</f>
        <v>'02042',</v>
      </c>
    </row>
    <row r="1222" spans="1:16" x14ac:dyDescent="0.25">
      <c r="A1222" t="s">
        <v>9455</v>
      </c>
      <c r="B1222" t="s">
        <v>9456</v>
      </c>
      <c r="C1222" t="s">
        <v>9456</v>
      </c>
      <c r="D1222" t="s">
        <v>870</v>
      </c>
      <c r="E1222" t="s">
        <v>871</v>
      </c>
      <c r="F1222" t="s">
        <v>9457</v>
      </c>
      <c r="G1222" t="s">
        <v>1062</v>
      </c>
      <c r="H1222" t="s">
        <v>1064</v>
      </c>
      <c r="I1222" t="s">
        <v>1062</v>
      </c>
      <c r="J1222" t="s">
        <v>304</v>
      </c>
      <c r="K1222" t="s">
        <v>72</v>
      </c>
      <c r="L1222" t="s">
        <v>50</v>
      </c>
      <c r="M1222" s="2">
        <v>-146702.99</v>
      </c>
      <c r="N1222" t="s">
        <v>9459</v>
      </c>
      <c r="O1222" t="s">
        <v>115</v>
      </c>
      <c r="P1222" t="str">
        <f>CONCATENATE("'",Tabla1[[#This Row],[Codigo]],"',")</f>
        <v>'02043',</v>
      </c>
    </row>
    <row r="1223" spans="1:16" x14ac:dyDescent="0.25">
      <c r="A1223" t="s">
        <v>9460</v>
      </c>
      <c r="B1223" t="s">
        <v>9461</v>
      </c>
      <c r="C1223" t="s">
        <v>9461</v>
      </c>
      <c r="D1223" t="s">
        <v>569</v>
      </c>
      <c r="E1223" t="s">
        <v>570</v>
      </c>
      <c r="F1223" t="s">
        <v>9462</v>
      </c>
      <c r="G1223" t="s">
        <v>7342</v>
      </c>
      <c r="H1223" t="s">
        <v>7341</v>
      </c>
      <c r="I1223" t="s">
        <v>7342</v>
      </c>
      <c r="J1223" t="s">
        <v>6987</v>
      </c>
      <c r="K1223" t="s">
        <v>6988</v>
      </c>
      <c r="L1223" t="s">
        <v>50</v>
      </c>
      <c r="M1223" s="2">
        <v>158911.34</v>
      </c>
      <c r="N1223" t="s">
        <v>9465</v>
      </c>
      <c r="O1223" t="s">
        <v>52</v>
      </c>
      <c r="P1223" t="str">
        <f>CONCATENATE("'",Tabla1[[#This Row],[Codigo]],"',")</f>
        <v>'02044',</v>
      </c>
    </row>
    <row r="1224" spans="1:16" x14ac:dyDescent="0.25">
      <c r="A1224" t="s">
        <v>9466</v>
      </c>
      <c r="B1224" t="s">
        <v>9467</v>
      </c>
      <c r="C1224" t="s">
        <v>9467</v>
      </c>
      <c r="D1224" t="s">
        <v>1939</v>
      </c>
      <c r="E1224" t="s">
        <v>224</v>
      </c>
      <c r="F1224" t="s">
        <v>9468</v>
      </c>
      <c r="G1224" t="s">
        <v>79</v>
      </c>
      <c r="H1224" t="s">
        <v>495</v>
      </c>
      <c r="I1224" t="s">
        <v>79</v>
      </c>
      <c r="J1224" t="s">
        <v>3487</v>
      </c>
      <c r="K1224" t="s">
        <v>3488</v>
      </c>
      <c r="L1224" t="s">
        <v>50</v>
      </c>
      <c r="M1224" s="2">
        <v>218170</v>
      </c>
      <c r="N1224" t="s">
        <v>64</v>
      </c>
      <c r="P1224" t="str">
        <f>CONCATENATE("'",Tabla1[[#This Row],[Codigo]],"',")</f>
        <v>'02045',</v>
      </c>
    </row>
    <row r="1225" spans="1:16" x14ac:dyDescent="0.25">
      <c r="A1225" t="s">
        <v>9471</v>
      </c>
      <c r="B1225" t="s">
        <v>9472</v>
      </c>
      <c r="C1225" t="s">
        <v>9472</v>
      </c>
      <c r="D1225" t="s">
        <v>125</v>
      </c>
      <c r="E1225" t="s">
        <v>126</v>
      </c>
      <c r="F1225" t="s">
        <v>9473</v>
      </c>
      <c r="G1225" t="s">
        <v>6986</v>
      </c>
      <c r="H1225" t="s">
        <v>6985</v>
      </c>
      <c r="I1225" t="s">
        <v>6986</v>
      </c>
      <c r="J1225" t="s">
        <v>6987</v>
      </c>
      <c r="K1225" t="s">
        <v>6988</v>
      </c>
      <c r="L1225" t="s">
        <v>50</v>
      </c>
      <c r="M1225" s="2">
        <v>78099.92</v>
      </c>
      <c r="N1225" t="s">
        <v>9475</v>
      </c>
      <c r="O1225" t="s">
        <v>52</v>
      </c>
      <c r="P1225" t="str">
        <f>CONCATENATE("'",Tabla1[[#This Row],[Codigo]],"',")</f>
        <v>'02048',</v>
      </c>
    </row>
    <row r="1226" spans="1:16" x14ac:dyDescent="0.25">
      <c r="A1226" t="s">
        <v>9476</v>
      </c>
      <c r="B1226" t="s">
        <v>9477</v>
      </c>
      <c r="C1226" t="s">
        <v>9477</v>
      </c>
      <c r="D1226" t="s">
        <v>569</v>
      </c>
      <c r="E1226" t="s">
        <v>570</v>
      </c>
      <c r="F1226" t="s">
        <v>9478</v>
      </c>
      <c r="G1226" t="s">
        <v>41</v>
      </c>
      <c r="H1226" t="s">
        <v>40</v>
      </c>
      <c r="I1226" t="s">
        <v>41</v>
      </c>
      <c r="J1226" t="s">
        <v>42</v>
      </c>
      <c r="K1226" t="s">
        <v>43</v>
      </c>
      <c r="L1226" t="s">
        <v>50</v>
      </c>
      <c r="M1226" s="2">
        <v>10909</v>
      </c>
      <c r="N1226" t="s">
        <v>64</v>
      </c>
      <c r="P1226" t="str">
        <f>CONCATENATE("'",Tabla1[[#This Row],[Codigo]],"',")</f>
        <v>'02049',</v>
      </c>
    </row>
    <row r="1227" spans="1:16" x14ac:dyDescent="0.25">
      <c r="A1227" t="s">
        <v>9480</v>
      </c>
      <c r="B1227" t="s">
        <v>9481</v>
      </c>
      <c r="C1227" t="s">
        <v>9481</v>
      </c>
      <c r="D1227" t="s">
        <v>847</v>
      </c>
      <c r="E1227" t="s">
        <v>848</v>
      </c>
      <c r="F1227" t="s">
        <v>9482</v>
      </c>
      <c r="G1227" t="s">
        <v>7584</v>
      </c>
      <c r="H1227" t="s">
        <v>7585</v>
      </c>
      <c r="I1227" t="s">
        <v>7586</v>
      </c>
      <c r="J1227" t="s">
        <v>6143</v>
      </c>
      <c r="K1227" t="s">
        <v>6144</v>
      </c>
      <c r="L1227" t="s">
        <v>50</v>
      </c>
      <c r="M1227" s="2">
        <v>52730.9</v>
      </c>
      <c r="N1227" t="s">
        <v>9485</v>
      </c>
      <c r="O1227" t="s">
        <v>52</v>
      </c>
      <c r="P1227" t="str">
        <f>CONCATENATE("'",Tabla1[[#This Row],[Codigo]],"',")</f>
        <v>'02050',</v>
      </c>
    </row>
    <row r="1228" spans="1:16" x14ac:dyDescent="0.25">
      <c r="A1228" t="s">
        <v>9488</v>
      </c>
      <c r="B1228" t="s">
        <v>15187</v>
      </c>
      <c r="C1228" t="s">
        <v>9489</v>
      </c>
      <c r="D1228" t="s">
        <v>125</v>
      </c>
      <c r="E1228" t="s">
        <v>126</v>
      </c>
      <c r="F1228" t="s">
        <v>8820</v>
      </c>
      <c r="G1228" t="s">
        <v>2160</v>
      </c>
      <c r="H1228" t="s">
        <v>2159</v>
      </c>
      <c r="I1228" t="s">
        <v>2160</v>
      </c>
      <c r="J1228" t="s">
        <v>2320</v>
      </c>
      <c r="K1228" t="s">
        <v>2321</v>
      </c>
      <c r="L1228" t="s">
        <v>50</v>
      </c>
      <c r="M1228" s="2">
        <v>792017.86</v>
      </c>
      <c r="N1228" t="s">
        <v>9491</v>
      </c>
      <c r="O1228" t="s">
        <v>52</v>
      </c>
      <c r="P1228" t="str">
        <f>CONCATENATE("'",Tabla1[[#This Row],[Codigo]],"',")</f>
        <v>'02053',</v>
      </c>
    </row>
    <row r="1229" spans="1:16" x14ac:dyDescent="0.25">
      <c r="A1229" t="s">
        <v>9494</v>
      </c>
      <c r="B1229" t="s">
        <v>9495</v>
      </c>
      <c r="C1229" t="s">
        <v>9495</v>
      </c>
      <c r="D1229" t="s">
        <v>153</v>
      </c>
      <c r="E1229" t="s">
        <v>272</v>
      </c>
      <c r="F1229" t="s">
        <v>9496</v>
      </c>
      <c r="G1229" t="s">
        <v>1430</v>
      </c>
      <c r="H1229" t="s">
        <v>1427</v>
      </c>
      <c r="I1229" t="s">
        <v>1428</v>
      </c>
      <c r="J1229" t="s">
        <v>82</v>
      </c>
      <c r="K1229" t="s">
        <v>83</v>
      </c>
      <c r="L1229" t="s">
        <v>50</v>
      </c>
      <c r="M1229" s="2">
        <v>66035.91</v>
      </c>
      <c r="N1229" t="s">
        <v>9499</v>
      </c>
      <c r="O1229" t="s">
        <v>115</v>
      </c>
      <c r="P1229" t="str">
        <f>CONCATENATE("'",Tabla1[[#This Row],[Codigo]],"',")</f>
        <v>'02055',</v>
      </c>
    </row>
    <row r="1230" spans="1:16" x14ac:dyDescent="0.25">
      <c r="A1230" t="s">
        <v>9502</v>
      </c>
      <c r="B1230" t="s">
        <v>9503</v>
      </c>
      <c r="C1230" t="s">
        <v>9503</v>
      </c>
      <c r="D1230" t="s">
        <v>153</v>
      </c>
      <c r="E1230" t="s">
        <v>272</v>
      </c>
      <c r="F1230" t="s">
        <v>9504</v>
      </c>
      <c r="G1230" t="s">
        <v>6986</v>
      </c>
      <c r="H1230" t="s">
        <v>6985</v>
      </c>
      <c r="I1230" t="s">
        <v>6986</v>
      </c>
      <c r="J1230" t="s">
        <v>6987</v>
      </c>
      <c r="K1230" t="s">
        <v>6988</v>
      </c>
      <c r="L1230" t="s">
        <v>50</v>
      </c>
      <c r="M1230" s="2">
        <v>181112.9</v>
      </c>
      <c r="N1230" t="s">
        <v>9507</v>
      </c>
      <c r="O1230" t="s">
        <v>115</v>
      </c>
      <c r="P1230" t="str">
        <f>CONCATENATE("'",Tabla1[[#This Row],[Codigo]],"',")</f>
        <v>'02057',</v>
      </c>
    </row>
    <row r="1231" spans="1:16" x14ac:dyDescent="0.25">
      <c r="A1231" t="s">
        <v>9508</v>
      </c>
      <c r="B1231" t="s">
        <v>9509</v>
      </c>
      <c r="C1231" t="s">
        <v>9509</v>
      </c>
      <c r="D1231" t="s">
        <v>153</v>
      </c>
      <c r="E1231" t="s">
        <v>272</v>
      </c>
      <c r="F1231" t="s">
        <v>9510</v>
      </c>
      <c r="G1231" t="s">
        <v>404</v>
      </c>
      <c r="H1231" t="s">
        <v>403</v>
      </c>
      <c r="I1231" t="s">
        <v>404</v>
      </c>
      <c r="J1231" t="s">
        <v>158</v>
      </c>
      <c r="K1231" t="s">
        <v>159</v>
      </c>
      <c r="L1231" t="s">
        <v>50</v>
      </c>
      <c r="M1231" s="2">
        <v>81707.5</v>
      </c>
      <c r="N1231" t="s">
        <v>9513</v>
      </c>
      <c r="P1231" t="str">
        <f>CONCATENATE("'",Tabla1[[#This Row],[Codigo]],"',")</f>
        <v>'02058',</v>
      </c>
    </row>
    <row r="1232" spans="1:16" x14ac:dyDescent="0.25">
      <c r="A1232" t="s">
        <v>9514</v>
      </c>
      <c r="B1232" t="s">
        <v>9515</v>
      </c>
      <c r="C1232" t="s">
        <v>9515</v>
      </c>
      <c r="D1232" t="s">
        <v>262</v>
      </c>
      <c r="E1232" t="s">
        <v>134</v>
      </c>
      <c r="F1232" t="s">
        <v>9516</v>
      </c>
      <c r="G1232" t="s">
        <v>9517</v>
      </c>
      <c r="H1232" t="s">
        <v>9519</v>
      </c>
      <c r="I1232" t="s">
        <v>9517</v>
      </c>
      <c r="J1232" t="s">
        <v>256</v>
      </c>
      <c r="K1232" t="s">
        <v>255</v>
      </c>
      <c r="L1232" t="s">
        <v>50</v>
      </c>
      <c r="M1232" s="2">
        <v>65451</v>
      </c>
      <c r="N1232" t="s">
        <v>64</v>
      </c>
      <c r="P1232" t="str">
        <f>CONCATENATE("'",Tabla1[[#This Row],[Codigo]],"',")</f>
        <v>'02059',</v>
      </c>
    </row>
    <row r="1233" spans="1:16" x14ac:dyDescent="0.25">
      <c r="A1233" s="15" t="s">
        <v>9522</v>
      </c>
      <c r="B1233" s="15" t="s">
        <v>9523</v>
      </c>
      <c r="C1233" s="15" t="s">
        <v>9523</v>
      </c>
      <c r="D1233" s="15" t="s">
        <v>55</v>
      </c>
      <c r="E1233" s="15" t="s">
        <v>56</v>
      </c>
      <c r="F1233" s="15" t="s">
        <v>9524</v>
      </c>
      <c r="G1233" s="15" t="s">
        <v>41</v>
      </c>
      <c r="H1233" s="15" t="s">
        <v>40</v>
      </c>
      <c r="I1233" s="15" t="s">
        <v>41</v>
      </c>
      <c r="J1233" s="15" t="s">
        <v>4315</v>
      </c>
      <c r="K1233" s="15" t="s">
        <v>4316</v>
      </c>
      <c r="L1233" s="15" t="s">
        <v>50</v>
      </c>
      <c r="M1233" s="16">
        <v>65450.8</v>
      </c>
      <c r="N1233" s="15" t="s">
        <v>9526</v>
      </c>
      <c r="O1233" s="15" t="s">
        <v>115</v>
      </c>
      <c r="P1233" t="str">
        <f>CONCATENATE("'",Tabla1[[#This Row],[Codigo]],"',")</f>
        <v>'02061',</v>
      </c>
    </row>
    <row r="1234" spans="1:16" x14ac:dyDescent="0.25">
      <c r="A1234" t="s">
        <v>9533</v>
      </c>
      <c r="B1234" t="s">
        <v>9534</v>
      </c>
      <c r="C1234" t="s">
        <v>9534</v>
      </c>
      <c r="D1234" t="s">
        <v>1754</v>
      </c>
      <c r="E1234" t="s">
        <v>77</v>
      </c>
      <c r="F1234" t="s">
        <v>9535</v>
      </c>
      <c r="G1234" t="s">
        <v>2572</v>
      </c>
      <c r="H1234" t="s">
        <v>2571</v>
      </c>
      <c r="I1234" t="s">
        <v>2572</v>
      </c>
      <c r="J1234" t="s">
        <v>6987</v>
      </c>
      <c r="K1234" t="s">
        <v>6988</v>
      </c>
      <c r="L1234" t="s">
        <v>50</v>
      </c>
      <c r="M1234" s="2">
        <v>43634</v>
      </c>
      <c r="N1234" t="s">
        <v>64</v>
      </c>
      <c r="P1234" t="str">
        <f>CONCATENATE("'",Tabla1[[#This Row],[Codigo]],"',")</f>
        <v>'02064',</v>
      </c>
    </row>
    <row r="1235" spans="1:16" x14ac:dyDescent="0.25">
      <c r="A1235" t="s">
        <v>9543</v>
      </c>
      <c r="B1235" t="s">
        <v>9544</v>
      </c>
      <c r="C1235" t="s">
        <v>9544</v>
      </c>
      <c r="D1235" t="s">
        <v>35</v>
      </c>
      <c r="E1235" t="s">
        <v>36</v>
      </c>
      <c r="F1235" t="s">
        <v>9545</v>
      </c>
      <c r="G1235" t="s">
        <v>1062</v>
      </c>
      <c r="H1235" t="s">
        <v>1064</v>
      </c>
      <c r="I1235" t="s">
        <v>1062</v>
      </c>
      <c r="J1235" t="s">
        <v>304</v>
      </c>
      <c r="K1235" t="s">
        <v>72</v>
      </c>
      <c r="L1235" t="s">
        <v>50</v>
      </c>
      <c r="M1235" s="2">
        <v>109085</v>
      </c>
      <c r="N1235" t="s">
        <v>64</v>
      </c>
      <c r="P1235" t="str">
        <f>CONCATENATE("'",Tabla1[[#This Row],[Codigo]],"',")</f>
        <v>'02066',</v>
      </c>
    </row>
    <row r="1236" spans="1:16" x14ac:dyDescent="0.25">
      <c r="A1236" t="s">
        <v>9548</v>
      </c>
      <c r="B1236" t="s">
        <v>9549</v>
      </c>
      <c r="C1236" t="s">
        <v>9549</v>
      </c>
      <c r="D1236" t="s">
        <v>125</v>
      </c>
      <c r="E1236" t="s">
        <v>126</v>
      </c>
      <c r="F1236" t="s">
        <v>9550</v>
      </c>
      <c r="G1236" t="s">
        <v>7518</v>
      </c>
      <c r="H1236" t="s">
        <v>7517</v>
      </c>
      <c r="I1236" t="s">
        <v>7518</v>
      </c>
      <c r="J1236" t="s">
        <v>1212</v>
      </c>
      <c r="K1236" t="s">
        <v>1213</v>
      </c>
      <c r="L1236" t="s">
        <v>50</v>
      </c>
      <c r="M1236" s="2">
        <v>99495.16</v>
      </c>
      <c r="N1236" t="s">
        <v>9553</v>
      </c>
      <c r="O1236" t="s">
        <v>115</v>
      </c>
      <c r="P1236" t="str">
        <f>CONCATENATE("'",Tabla1[[#This Row],[Codigo]],"',")</f>
        <v>'02067',</v>
      </c>
    </row>
    <row r="1237" spans="1:16" x14ac:dyDescent="0.25">
      <c r="A1237" t="s">
        <v>9554</v>
      </c>
      <c r="B1237" t="s">
        <v>9555</v>
      </c>
      <c r="C1237" t="s">
        <v>9555</v>
      </c>
      <c r="D1237" t="s">
        <v>1633</v>
      </c>
      <c r="E1237" t="s">
        <v>1502</v>
      </c>
      <c r="F1237" t="s">
        <v>9556</v>
      </c>
      <c r="G1237" t="s">
        <v>9557</v>
      </c>
      <c r="H1237" t="s">
        <v>7837</v>
      </c>
      <c r="I1237" t="s">
        <v>7838</v>
      </c>
      <c r="J1237" t="s">
        <v>3487</v>
      </c>
      <c r="K1237" t="s">
        <v>3488</v>
      </c>
      <c r="L1237" t="s">
        <v>50</v>
      </c>
      <c r="M1237" s="2">
        <v>320186.23999999999</v>
      </c>
      <c r="N1237" t="s">
        <v>9560</v>
      </c>
      <c r="P1237" t="str">
        <f>CONCATENATE("'",Tabla1[[#This Row],[Codigo]],"',")</f>
        <v>'02068',</v>
      </c>
    </row>
    <row r="1238" spans="1:16" x14ac:dyDescent="0.25">
      <c r="A1238" s="15" t="s">
        <v>9561</v>
      </c>
      <c r="B1238" s="15" t="s">
        <v>9562</v>
      </c>
      <c r="C1238" s="15" t="s">
        <v>9562</v>
      </c>
      <c r="D1238" s="15" t="s">
        <v>55</v>
      </c>
      <c r="E1238" s="15" t="s">
        <v>56</v>
      </c>
      <c r="F1238" s="15" t="s">
        <v>9563</v>
      </c>
      <c r="G1238" s="15" t="s">
        <v>9564</v>
      </c>
      <c r="H1238" s="15" t="s">
        <v>7568</v>
      </c>
      <c r="I1238" s="15" t="s">
        <v>7569</v>
      </c>
      <c r="J1238" s="15" t="s">
        <v>256</v>
      </c>
      <c r="K1238" s="15" t="s">
        <v>255</v>
      </c>
      <c r="L1238" s="15" t="s">
        <v>50</v>
      </c>
      <c r="M1238" s="16">
        <v>-29734.81</v>
      </c>
      <c r="N1238" s="15" t="s">
        <v>9567</v>
      </c>
      <c r="O1238" s="15" t="s">
        <v>115</v>
      </c>
      <c r="P1238" t="str">
        <f>CONCATENATE("'",Tabla1[[#This Row],[Codigo]],"',")</f>
        <v>'02069',</v>
      </c>
    </row>
    <row r="1239" spans="1:16" x14ac:dyDescent="0.25">
      <c r="A1239" t="s">
        <v>9568</v>
      </c>
      <c r="B1239" t="s">
        <v>9569</v>
      </c>
      <c r="C1239" t="s">
        <v>9569</v>
      </c>
      <c r="D1239" t="s">
        <v>847</v>
      </c>
      <c r="E1239" t="s">
        <v>848</v>
      </c>
      <c r="F1239" t="s">
        <v>9570</v>
      </c>
      <c r="G1239" t="s">
        <v>9571</v>
      </c>
      <c r="H1239" t="s">
        <v>9573</v>
      </c>
      <c r="I1239" t="s">
        <v>9571</v>
      </c>
      <c r="J1239" t="s">
        <v>3487</v>
      </c>
      <c r="K1239" t="s">
        <v>3488</v>
      </c>
      <c r="L1239" t="s">
        <v>50</v>
      </c>
      <c r="M1239" s="2">
        <v>1102402.6499999999</v>
      </c>
      <c r="N1239" t="s">
        <v>9575</v>
      </c>
      <c r="O1239" t="s">
        <v>52</v>
      </c>
      <c r="P1239" t="str">
        <f>CONCATENATE("'",Tabla1[[#This Row],[Codigo]],"',")</f>
        <v>'02070',</v>
      </c>
    </row>
    <row r="1240" spans="1:16" x14ac:dyDescent="0.25">
      <c r="A1240" t="s">
        <v>9579</v>
      </c>
      <c r="B1240" t="s">
        <v>9580</v>
      </c>
      <c r="C1240" t="s">
        <v>9581</v>
      </c>
      <c r="D1240" t="s">
        <v>169</v>
      </c>
      <c r="E1240" t="s">
        <v>190</v>
      </c>
      <c r="F1240" t="s">
        <v>9578</v>
      </c>
      <c r="G1240" t="s">
        <v>6058</v>
      </c>
      <c r="H1240" t="s">
        <v>6057</v>
      </c>
      <c r="I1240" t="s">
        <v>6058</v>
      </c>
      <c r="J1240" t="s">
        <v>5966</v>
      </c>
      <c r="K1240" t="s">
        <v>5739</v>
      </c>
      <c r="L1240" t="s">
        <v>50</v>
      </c>
      <c r="M1240" s="2">
        <v>180504.25</v>
      </c>
      <c r="N1240" t="s">
        <v>9584</v>
      </c>
      <c r="O1240" t="s">
        <v>52</v>
      </c>
      <c r="P1240" t="str">
        <f>CONCATENATE("'",Tabla1[[#This Row],[Codigo]],"',")</f>
        <v>'02072',</v>
      </c>
    </row>
    <row r="1241" spans="1:16" x14ac:dyDescent="0.25">
      <c r="A1241" t="s">
        <v>9585</v>
      </c>
      <c r="B1241" t="s">
        <v>9586</v>
      </c>
      <c r="C1241" t="s">
        <v>9586</v>
      </c>
      <c r="D1241" t="s">
        <v>847</v>
      </c>
      <c r="E1241" t="s">
        <v>848</v>
      </c>
      <c r="F1241" t="s">
        <v>9578</v>
      </c>
      <c r="G1241" t="s">
        <v>9587</v>
      </c>
      <c r="H1241" t="s">
        <v>9588</v>
      </c>
      <c r="I1241" t="s">
        <v>9589</v>
      </c>
      <c r="J1241" t="s">
        <v>5966</v>
      </c>
      <c r="K1241" t="s">
        <v>5739</v>
      </c>
      <c r="L1241" t="s">
        <v>50</v>
      </c>
      <c r="M1241" s="2">
        <v>218170</v>
      </c>
      <c r="N1241" t="s">
        <v>64</v>
      </c>
      <c r="P1241" t="str">
        <f>CONCATENATE("'",Tabla1[[#This Row],[Codigo]],"',")</f>
        <v>'02073',</v>
      </c>
    </row>
    <row r="1242" spans="1:16" x14ac:dyDescent="0.25">
      <c r="A1242" t="s">
        <v>9591</v>
      </c>
      <c r="B1242" t="s">
        <v>9592</v>
      </c>
      <c r="C1242" t="s">
        <v>9592</v>
      </c>
      <c r="D1242" t="s">
        <v>847</v>
      </c>
      <c r="E1242" t="s">
        <v>848</v>
      </c>
      <c r="F1242" t="s">
        <v>9578</v>
      </c>
      <c r="G1242" t="s">
        <v>6113</v>
      </c>
      <c r="H1242" t="s">
        <v>5741</v>
      </c>
      <c r="I1242" t="s">
        <v>5739</v>
      </c>
      <c r="J1242" t="s">
        <v>5966</v>
      </c>
      <c r="K1242" t="s">
        <v>5739</v>
      </c>
      <c r="L1242" t="s">
        <v>50</v>
      </c>
      <c r="M1242" s="2">
        <v>224331</v>
      </c>
      <c r="N1242" t="s">
        <v>64</v>
      </c>
      <c r="P1242" t="str">
        <f>CONCATENATE("'",Tabla1[[#This Row],[Codigo]],"',")</f>
        <v>'02074',</v>
      </c>
    </row>
    <row r="1243" spans="1:16" x14ac:dyDescent="0.25">
      <c r="A1243" t="s">
        <v>9593</v>
      </c>
      <c r="B1243" t="s">
        <v>9594</v>
      </c>
      <c r="C1243" t="s">
        <v>9594</v>
      </c>
      <c r="D1243" t="s">
        <v>125</v>
      </c>
      <c r="E1243" t="s">
        <v>126</v>
      </c>
      <c r="F1243" t="s">
        <v>9578</v>
      </c>
      <c r="G1243" t="s">
        <v>6058</v>
      </c>
      <c r="H1243" t="s">
        <v>6057</v>
      </c>
      <c r="I1243" t="s">
        <v>6058</v>
      </c>
      <c r="J1243" t="s">
        <v>5966</v>
      </c>
      <c r="K1243" t="s">
        <v>5739</v>
      </c>
      <c r="L1243" t="s">
        <v>50</v>
      </c>
      <c r="M1243" s="2">
        <v>217750.16</v>
      </c>
      <c r="N1243" t="s">
        <v>9595</v>
      </c>
      <c r="P1243" t="str">
        <f>CONCATENATE("'",Tabla1[[#This Row],[Codigo]],"',")</f>
        <v>'02075',</v>
      </c>
    </row>
    <row r="1244" spans="1:16" x14ac:dyDescent="0.25">
      <c r="A1244" t="s">
        <v>9596</v>
      </c>
      <c r="B1244" t="s">
        <v>9597</v>
      </c>
      <c r="C1244" t="s">
        <v>9597</v>
      </c>
      <c r="D1244" t="s">
        <v>847</v>
      </c>
      <c r="E1244" t="s">
        <v>848</v>
      </c>
      <c r="F1244" t="s">
        <v>9578</v>
      </c>
      <c r="G1244" t="s">
        <v>6055</v>
      </c>
      <c r="H1244" t="s">
        <v>6057</v>
      </c>
      <c r="I1244" t="s">
        <v>6058</v>
      </c>
      <c r="J1244" t="s">
        <v>5966</v>
      </c>
      <c r="K1244" t="s">
        <v>5739</v>
      </c>
      <c r="L1244" t="s">
        <v>50</v>
      </c>
      <c r="M1244" s="2">
        <v>214548.67</v>
      </c>
      <c r="N1244" t="s">
        <v>9598</v>
      </c>
      <c r="O1244" t="s">
        <v>115</v>
      </c>
      <c r="P1244" t="str">
        <f>CONCATENATE("'",Tabla1[[#This Row],[Codigo]],"',")</f>
        <v>'02076',</v>
      </c>
    </row>
    <row r="1245" spans="1:16" x14ac:dyDescent="0.25">
      <c r="A1245" t="s">
        <v>9599</v>
      </c>
      <c r="B1245" t="s">
        <v>9600</v>
      </c>
      <c r="C1245" t="s">
        <v>9600</v>
      </c>
      <c r="D1245" t="s">
        <v>555</v>
      </c>
      <c r="E1245" t="s">
        <v>1502</v>
      </c>
      <c r="F1245" t="s">
        <v>9578</v>
      </c>
      <c r="G1245" t="s">
        <v>5739</v>
      </c>
      <c r="H1245" t="s">
        <v>9601</v>
      </c>
      <c r="I1245" t="s">
        <v>9602</v>
      </c>
      <c r="J1245" t="s">
        <v>5966</v>
      </c>
      <c r="K1245" t="s">
        <v>5739</v>
      </c>
      <c r="L1245" t="s">
        <v>50</v>
      </c>
      <c r="M1245" s="2">
        <v>224380</v>
      </c>
      <c r="N1245" t="s">
        <v>64</v>
      </c>
      <c r="P1245" t="str">
        <f>CONCATENATE("'",Tabla1[[#This Row],[Codigo]],"',")</f>
        <v>'02077',</v>
      </c>
    </row>
    <row r="1246" spans="1:16" x14ac:dyDescent="0.25">
      <c r="A1246" t="s">
        <v>9604</v>
      </c>
      <c r="B1246" t="s">
        <v>9605</v>
      </c>
      <c r="C1246" t="s">
        <v>9605</v>
      </c>
      <c r="D1246" t="s">
        <v>169</v>
      </c>
      <c r="E1246" t="s">
        <v>190</v>
      </c>
      <c r="F1246" t="s">
        <v>9606</v>
      </c>
      <c r="G1246" t="s">
        <v>9587</v>
      </c>
      <c r="H1246" t="s">
        <v>9588</v>
      </c>
      <c r="I1246" t="s">
        <v>9589</v>
      </c>
      <c r="J1246" t="s">
        <v>5966</v>
      </c>
      <c r="K1246" t="s">
        <v>5739</v>
      </c>
      <c r="L1246" t="s">
        <v>50</v>
      </c>
      <c r="M1246" s="2">
        <v>193750</v>
      </c>
      <c r="N1246" t="s">
        <v>64</v>
      </c>
      <c r="P1246" t="str">
        <f>CONCATENATE("'",Tabla1[[#This Row],[Codigo]],"',")</f>
        <v>'02078',</v>
      </c>
    </row>
    <row r="1247" spans="1:16" x14ac:dyDescent="0.25">
      <c r="A1247" t="s">
        <v>9608</v>
      </c>
      <c r="B1247" t="s">
        <v>9609</v>
      </c>
      <c r="C1247" t="s">
        <v>9609</v>
      </c>
      <c r="D1247" t="s">
        <v>569</v>
      </c>
      <c r="E1247" t="s">
        <v>570</v>
      </c>
      <c r="F1247" t="s">
        <v>9610</v>
      </c>
      <c r="G1247" t="s">
        <v>7493</v>
      </c>
      <c r="H1247" t="s">
        <v>9611</v>
      </c>
      <c r="I1247" t="s">
        <v>7493</v>
      </c>
      <c r="J1247" t="s">
        <v>5966</v>
      </c>
      <c r="K1247" t="s">
        <v>5739</v>
      </c>
      <c r="L1247" t="s">
        <v>50</v>
      </c>
      <c r="M1247" s="2">
        <v>171526.77</v>
      </c>
      <c r="N1247" t="s">
        <v>9613</v>
      </c>
      <c r="O1247" t="s">
        <v>115</v>
      </c>
      <c r="P1247" t="str">
        <f>CONCATENATE("'",Tabla1[[#This Row],[Codigo]],"',")</f>
        <v>'02079',</v>
      </c>
    </row>
    <row r="1248" spans="1:16" x14ac:dyDescent="0.25">
      <c r="A1248" s="15" t="s">
        <v>9614</v>
      </c>
      <c r="B1248" s="15" t="s">
        <v>9615</v>
      </c>
      <c r="C1248" s="15" t="s">
        <v>9615</v>
      </c>
      <c r="D1248" s="15" t="s">
        <v>55</v>
      </c>
      <c r="E1248" s="15" t="s">
        <v>56</v>
      </c>
      <c r="F1248" s="15" t="s">
        <v>9616</v>
      </c>
      <c r="G1248" s="15" t="s">
        <v>3399</v>
      </c>
      <c r="H1248" s="15" t="s">
        <v>3398</v>
      </c>
      <c r="I1248" s="15" t="s">
        <v>3399</v>
      </c>
      <c r="J1248" s="15" t="s">
        <v>304</v>
      </c>
      <c r="K1248" s="15" t="s">
        <v>72</v>
      </c>
      <c r="L1248" s="15" t="s">
        <v>50</v>
      </c>
      <c r="M1248" s="16">
        <v>-1035.17</v>
      </c>
      <c r="N1248" s="15" t="s">
        <v>9619</v>
      </c>
      <c r="O1248" s="15" t="s">
        <v>115</v>
      </c>
      <c r="P1248" t="str">
        <f>CONCATENATE("'",Tabla1[[#This Row],[Codigo]],"',")</f>
        <v>'02080',</v>
      </c>
    </row>
    <row r="1249" spans="1:16" x14ac:dyDescent="0.25">
      <c r="A1249" t="s">
        <v>9620</v>
      </c>
      <c r="B1249" t="s">
        <v>9621</v>
      </c>
      <c r="C1249" t="s">
        <v>9621</v>
      </c>
      <c r="D1249" t="s">
        <v>569</v>
      </c>
      <c r="E1249" t="s">
        <v>570</v>
      </c>
      <c r="F1249" t="s">
        <v>9622</v>
      </c>
      <c r="G1249" t="s">
        <v>41</v>
      </c>
      <c r="H1249" t="s">
        <v>40</v>
      </c>
      <c r="I1249" t="s">
        <v>41</v>
      </c>
      <c r="J1249" t="s">
        <v>42</v>
      </c>
      <c r="K1249" t="s">
        <v>43</v>
      </c>
      <c r="L1249" t="s">
        <v>50</v>
      </c>
      <c r="M1249" s="2">
        <v>10909</v>
      </c>
      <c r="N1249" t="s">
        <v>64</v>
      </c>
      <c r="P1249" t="str">
        <f>CONCATENATE("'",Tabla1[[#This Row],[Codigo]],"',")</f>
        <v>'02081',</v>
      </c>
    </row>
    <row r="1250" spans="1:16" x14ac:dyDescent="0.25">
      <c r="A1250" t="s">
        <v>9629</v>
      </c>
      <c r="B1250" t="s">
        <v>15188</v>
      </c>
      <c r="C1250" t="s">
        <v>9631</v>
      </c>
      <c r="D1250" t="s">
        <v>888</v>
      </c>
      <c r="E1250" t="s">
        <v>167</v>
      </c>
      <c r="F1250" t="s">
        <v>1131</v>
      </c>
      <c r="G1250" t="s">
        <v>300</v>
      </c>
      <c r="H1250" t="s">
        <v>302</v>
      </c>
      <c r="I1250" t="s">
        <v>303</v>
      </c>
      <c r="J1250" t="s">
        <v>304</v>
      </c>
      <c r="K1250" t="s">
        <v>72</v>
      </c>
      <c r="L1250" t="s">
        <v>50</v>
      </c>
      <c r="M1250" s="2">
        <v>64344.14</v>
      </c>
      <c r="N1250" t="s">
        <v>9633</v>
      </c>
      <c r="O1250" t="s">
        <v>115</v>
      </c>
      <c r="P1250" t="str">
        <f>CONCATENATE("'",Tabla1[[#This Row],[Codigo]],"',")</f>
        <v>'02084',</v>
      </c>
    </row>
    <row r="1251" spans="1:16" x14ac:dyDescent="0.25">
      <c r="A1251" t="s">
        <v>9640</v>
      </c>
      <c r="B1251" t="s">
        <v>9641</v>
      </c>
      <c r="C1251" t="s">
        <v>9641</v>
      </c>
      <c r="D1251" t="s">
        <v>299</v>
      </c>
      <c r="E1251" t="s">
        <v>167</v>
      </c>
      <c r="F1251" t="s">
        <v>9642</v>
      </c>
      <c r="G1251" t="s">
        <v>6996</v>
      </c>
      <c r="H1251" t="s">
        <v>6985</v>
      </c>
      <c r="I1251" t="s">
        <v>6986</v>
      </c>
      <c r="J1251" t="s">
        <v>6987</v>
      </c>
      <c r="K1251" t="s">
        <v>6988</v>
      </c>
      <c r="L1251" t="s">
        <v>50</v>
      </c>
      <c r="M1251" s="2">
        <v>33453.21</v>
      </c>
      <c r="N1251" t="s">
        <v>9645</v>
      </c>
      <c r="O1251" t="s">
        <v>115</v>
      </c>
      <c r="P1251" t="str">
        <f>CONCATENATE("'",Tabla1[[#This Row],[Codigo]],"',")</f>
        <v>'02087',</v>
      </c>
    </row>
    <row r="1252" spans="1:16" x14ac:dyDescent="0.25">
      <c r="A1252" t="s">
        <v>9646</v>
      </c>
      <c r="B1252" t="s">
        <v>9647</v>
      </c>
      <c r="C1252" t="s">
        <v>9647</v>
      </c>
      <c r="D1252" t="s">
        <v>2485</v>
      </c>
      <c r="E1252" t="s">
        <v>134</v>
      </c>
      <c r="F1252" t="s">
        <v>9648</v>
      </c>
      <c r="G1252" t="s">
        <v>8321</v>
      </c>
      <c r="H1252" t="s">
        <v>8320</v>
      </c>
      <c r="I1252" t="s">
        <v>8321</v>
      </c>
      <c r="J1252" t="s">
        <v>6987</v>
      </c>
      <c r="K1252" t="s">
        <v>6988</v>
      </c>
      <c r="L1252" t="s">
        <v>50</v>
      </c>
      <c r="M1252" s="2">
        <v>109085</v>
      </c>
      <c r="N1252" t="s">
        <v>64</v>
      </c>
      <c r="P1252" t="str">
        <f>CONCATENATE("'",Tabla1[[#This Row],[Codigo]],"',")</f>
        <v>'02088',</v>
      </c>
    </row>
    <row r="1253" spans="1:16" x14ac:dyDescent="0.25">
      <c r="A1253" t="s">
        <v>9651</v>
      </c>
      <c r="B1253" t="s">
        <v>9652</v>
      </c>
      <c r="C1253" t="s">
        <v>9652</v>
      </c>
      <c r="D1253" t="s">
        <v>299</v>
      </c>
      <c r="E1253" t="s">
        <v>167</v>
      </c>
      <c r="F1253" t="s">
        <v>9653</v>
      </c>
      <c r="G1253" t="s">
        <v>9654</v>
      </c>
      <c r="H1253" t="s">
        <v>9655</v>
      </c>
      <c r="I1253" t="s">
        <v>9654</v>
      </c>
      <c r="J1253" t="s">
        <v>4315</v>
      </c>
      <c r="K1253" t="s">
        <v>4316</v>
      </c>
      <c r="L1253" t="s">
        <v>50</v>
      </c>
      <c r="M1253" s="2">
        <v>314208.38</v>
      </c>
      <c r="N1253" t="s">
        <v>9659</v>
      </c>
      <c r="O1253" t="s">
        <v>52</v>
      </c>
      <c r="P1253" t="str">
        <f>CONCATENATE("'",Tabla1[[#This Row],[Codigo]],"',")</f>
        <v>'02089',</v>
      </c>
    </row>
    <row r="1254" spans="1:16" x14ac:dyDescent="0.25">
      <c r="A1254" t="s">
        <v>9660</v>
      </c>
      <c r="B1254" t="s">
        <v>9661</v>
      </c>
      <c r="C1254" t="s">
        <v>9661</v>
      </c>
      <c r="D1254" t="s">
        <v>35</v>
      </c>
      <c r="E1254" t="s">
        <v>36</v>
      </c>
      <c r="F1254" t="s">
        <v>9662</v>
      </c>
      <c r="G1254" t="s">
        <v>6030</v>
      </c>
      <c r="H1254" t="s">
        <v>6029</v>
      </c>
      <c r="I1254" t="s">
        <v>6030</v>
      </c>
      <c r="J1254" t="s">
        <v>557</v>
      </c>
      <c r="K1254" t="s">
        <v>558</v>
      </c>
      <c r="L1254" t="s">
        <v>50</v>
      </c>
      <c r="M1254" s="2">
        <v>97657.41</v>
      </c>
      <c r="N1254" t="s">
        <v>9665</v>
      </c>
      <c r="O1254" t="s">
        <v>115</v>
      </c>
      <c r="P1254" t="str">
        <f>CONCATENATE("'",Tabla1[[#This Row],[Codigo]],"',")</f>
        <v>'02090',</v>
      </c>
    </row>
    <row r="1255" spans="1:16" x14ac:dyDescent="0.25">
      <c r="A1255" t="s">
        <v>9666</v>
      </c>
      <c r="B1255" t="s">
        <v>9667</v>
      </c>
      <c r="C1255" t="s">
        <v>9667</v>
      </c>
      <c r="D1255" t="s">
        <v>35</v>
      </c>
      <c r="E1255" t="s">
        <v>36</v>
      </c>
      <c r="F1255" t="s">
        <v>9668</v>
      </c>
      <c r="G1255" t="s">
        <v>6030</v>
      </c>
      <c r="H1255" t="s">
        <v>6029</v>
      </c>
      <c r="I1255" t="s">
        <v>6030</v>
      </c>
      <c r="J1255" t="s">
        <v>557</v>
      </c>
      <c r="K1255" t="s">
        <v>558</v>
      </c>
      <c r="L1255" t="s">
        <v>50</v>
      </c>
      <c r="M1255" s="2">
        <v>31108.11</v>
      </c>
      <c r="N1255" t="s">
        <v>9671</v>
      </c>
      <c r="O1255" t="s">
        <v>52</v>
      </c>
      <c r="P1255" t="str">
        <f>CONCATENATE("'",Tabla1[[#This Row],[Codigo]],"',")</f>
        <v>'02091',</v>
      </c>
    </row>
    <row r="1256" spans="1:16" x14ac:dyDescent="0.25">
      <c r="A1256" t="s">
        <v>9672</v>
      </c>
      <c r="B1256" t="s">
        <v>9673</v>
      </c>
      <c r="C1256" t="s">
        <v>9673</v>
      </c>
      <c r="D1256" t="s">
        <v>35</v>
      </c>
      <c r="E1256" t="s">
        <v>36</v>
      </c>
      <c r="F1256" t="s">
        <v>9674</v>
      </c>
      <c r="G1256" t="s">
        <v>6030</v>
      </c>
      <c r="H1256" t="s">
        <v>6029</v>
      </c>
      <c r="I1256" t="s">
        <v>6030</v>
      </c>
      <c r="J1256" t="s">
        <v>557</v>
      </c>
      <c r="K1256" t="s">
        <v>558</v>
      </c>
      <c r="L1256" t="s">
        <v>50</v>
      </c>
      <c r="M1256" s="2">
        <v>114936.58</v>
      </c>
      <c r="N1256" t="s">
        <v>9676</v>
      </c>
      <c r="O1256" t="s">
        <v>52</v>
      </c>
      <c r="P1256" t="str">
        <f>CONCATENATE("'",Tabla1[[#This Row],[Codigo]],"',")</f>
        <v>'02092',</v>
      </c>
    </row>
    <row r="1257" spans="1:16" x14ac:dyDescent="0.25">
      <c r="A1257" t="s">
        <v>9677</v>
      </c>
      <c r="B1257" t="s">
        <v>9678</v>
      </c>
      <c r="C1257" t="s">
        <v>9678</v>
      </c>
      <c r="D1257" t="s">
        <v>153</v>
      </c>
      <c r="E1257" t="s">
        <v>272</v>
      </c>
      <c r="F1257" t="s">
        <v>9679</v>
      </c>
      <c r="G1257" t="s">
        <v>6030</v>
      </c>
      <c r="H1257" t="s">
        <v>6029</v>
      </c>
      <c r="I1257" t="s">
        <v>6030</v>
      </c>
      <c r="J1257" t="s">
        <v>557</v>
      </c>
      <c r="K1257" t="s">
        <v>558</v>
      </c>
      <c r="L1257" t="s">
        <v>50</v>
      </c>
      <c r="M1257" s="2">
        <v>-573837.43999999994</v>
      </c>
      <c r="N1257" t="s">
        <v>9681</v>
      </c>
      <c r="O1257" t="s">
        <v>115</v>
      </c>
      <c r="P1257" t="str">
        <f>CONCATENATE("'",Tabla1[[#This Row],[Codigo]],"',")</f>
        <v>'02093',</v>
      </c>
    </row>
    <row r="1258" spans="1:16" x14ac:dyDescent="0.25">
      <c r="A1258" t="s">
        <v>9689</v>
      </c>
      <c r="B1258" t="s">
        <v>9690</v>
      </c>
      <c r="C1258" t="s">
        <v>2752</v>
      </c>
      <c r="D1258" t="s">
        <v>1245</v>
      </c>
      <c r="E1258" t="s">
        <v>224</v>
      </c>
      <c r="F1258" t="s">
        <v>2753</v>
      </c>
      <c r="G1258" t="s">
        <v>939</v>
      </c>
      <c r="H1258" t="s">
        <v>879</v>
      </c>
      <c r="I1258" t="s">
        <v>877</v>
      </c>
      <c r="J1258" t="s">
        <v>69</v>
      </c>
      <c r="K1258" t="s">
        <v>70</v>
      </c>
      <c r="L1258" t="s">
        <v>50</v>
      </c>
      <c r="M1258" s="2">
        <v>284643.42</v>
      </c>
      <c r="N1258" t="s">
        <v>9692</v>
      </c>
      <c r="P1258" t="str">
        <f>CONCATENATE("'",Tabla1[[#This Row],[Codigo]],"',")</f>
        <v>'02096',</v>
      </c>
    </row>
    <row r="1259" spans="1:16" x14ac:dyDescent="0.25">
      <c r="A1259" t="s">
        <v>9693</v>
      </c>
      <c r="B1259" t="s">
        <v>9694</v>
      </c>
      <c r="C1259" t="s">
        <v>9694</v>
      </c>
      <c r="D1259" t="s">
        <v>35</v>
      </c>
      <c r="E1259" t="s">
        <v>36</v>
      </c>
      <c r="F1259" t="s">
        <v>9695</v>
      </c>
      <c r="G1259" t="s">
        <v>9696</v>
      </c>
      <c r="H1259" t="s">
        <v>1357</v>
      </c>
      <c r="I1259" t="s">
        <v>1358</v>
      </c>
      <c r="J1259" t="s">
        <v>91</v>
      </c>
      <c r="K1259" t="s">
        <v>92</v>
      </c>
      <c r="L1259" t="s">
        <v>50</v>
      </c>
      <c r="M1259" s="2">
        <v>-45419.24</v>
      </c>
      <c r="N1259" t="s">
        <v>9698</v>
      </c>
      <c r="O1259" t="s">
        <v>115</v>
      </c>
      <c r="P1259" t="str">
        <f>CONCATENATE("'",Tabla1[[#This Row],[Codigo]],"',")</f>
        <v>'02097',</v>
      </c>
    </row>
    <row r="1260" spans="1:16" x14ac:dyDescent="0.25">
      <c r="A1260" t="s">
        <v>9699</v>
      </c>
      <c r="B1260" t="s">
        <v>9700</v>
      </c>
      <c r="C1260" t="s">
        <v>9700</v>
      </c>
      <c r="D1260" t="s">
        <v>773</v>
      </c>
      <c r="E1260" t="s">
        <v>224</v>
      </c>
      <c r="F1260" t="s">
        <v>9701</v>
      </c>
      <c r="G1260" t="s">
        <v>4851</v>
      </c>
      <c r="H1260" t="s">
        <v>4852</v>
      </c>
      <c r="I1260" t="s">
        <v>4851</v>
      </c>
      <c r="J1260" t="s">
        <v>4853</v>
      </c>
      <c r="K1260" t="s">
        <v>4854</v>
      </c>
      <c r="L1260" t="s">
        <v>50</v>
      </c>
      <c r="M1260" s="2">
        <v>654510</v>
      </c>
      <c r="N1260" t="s">
        <v>64</v>
      </c>
      <c r="P1260" t="str">
        <f>CONCATENATE("'",Tabla1[[#This Row],[Codigo]],"',")</f>
        <v>'02098',</v>
      </c>
    </row>
    <row r="1261" spans="1:16" x14ac:dyDescent="0.25">
      <c r="A1261" t="s">
        <v>9704</v>
      </c>
      <c r="B1261" t="s">
        <v>9705</v>
      </c>
      <c r="C1261" t="s">
        <v>9705</v>
      </c>
      <c r="D1261" t="s">
        <v>153</v>
      </c>
      <c r="E1261" t="s">
        <v>272</v>
      </c>
      <c r="F1261" t="s">
        <v>9706</v>
      </c>
      <c r="G1261" t="s">
        <v>1396</v>
      </c>
      <c r="H1261" t="s">
        <v>1398</v>
      </c>
      <c r="I1261" t="s">
        <v>1396</v>
      </c>
      <c r="J1261" t="s">
        <v>120</v>
      </c>
      <c r="K1261" t="s">
        <v>121</v>
      </c>
      <c r="L1261" t="s">
        <v>50</v>
      </c>
      <c r="M1261" s="2">
        <v>81094.66</v>
      </c>
      <c r="N1261" t="s">
        <v>9709</v>
      </c>
      <c r="O1261" t="s">
        <v>115</v>
      </c>
      <c r="P1261" t="str">
        <f>CONCATENATE("'",Tabla1[[#This Row],[Codigo]],"',")</f>
        <v>'02099',</v>
      </c>
    </row>
    <row r="1262" spans="1:16" x14ac:dyDescent="0.25">
      <c r="A1262" t="s">
        <v>9712</v>
      </c>
      <c r="B1262" t="s">
        <v>9713</v>
      </c>
      <c r="C1262" t="s">
        <v>9713</v>
      </c>
      <c r="D1262" t="s">
        <v>35</v>
      </c>
      <c r="E1262" t="s">
        <v>36</v>
      </c>
      <c r="F1262" t="s">
        <v>9714</v>
      </c>
      <c r="G1262" t="s">
        <v>6986</v>
      </c>
      <c r="H1262" t="s">
        <v>6985</v>
      </c>
      <c r="I1262" t="s">
        <v>6986</v>
      </c>
      <c r="J1262" t="s">
        <v>6987</v>
      </c>
      <c r="K1262" t="s">
        <v>6988</v>
      </c>
      <c r="L1262" t="s">
        <v>50</v>
      </c>
      <c r="M1262" s="2">
        <v>102749.17</v>
      </c>
      <c r="N1262" t="s">
        <v>9717</v>
      </c>
      <c r="O1262" t="s">
        <v>52</v>
      </c>
      <c r="P1262" t="str">
        <f>CONCATENATE("'",Tabla1[[#This Row],[Codigo]],"',")</f>
        <v>'02105',</v>
      </c>
    </row>
    <row r="1263" spans="1:16" x14ac:dyDescent="0.25">
      <c r="A1263" t="s">
        <v>9718</v>
      </c>
      <c r="B1263" t="s">
        <v>9719</v>
      </c>
      <c r="C1263" t="s">
        <v>9719</v>
      </c>
      <c r="D1263" t="s">
        <v>847</v>
      </c>
      <c r="E1263" t="s">
        <v>848</v>
      </c>
      <c r="F1263" t="s">
        <v>738</v>
      </c>
      <c r="G1263" t="s">
        <v>119</v>
      </c>
      <c r="H1263" t="s">
        <v>118</v>
      </c>
      <c r="I1263" t="s">
        <v>119</v>
      </c>
      <c r="J1263" t="s">
        <v>120</v>
      </c>
      <c r="K1263" t="s">
        <v>121</v>
      </c>
      <c r="L1263" t="s">
        <v>50</v>
      </c>
      <c r="M1263" s="2">
        <v>815408.71</v>
      </c>
      <c r="N1263" t="s">
        <v>9721</v>
      </c>
      <c r="O1263" t="s">
        <v>115</v>
      </c>
      <c r="P1263" t="str">
        <f>CONCATENATE("'",Tabla1[[#This Row],[Codigo]],"',")</f>
        <v>'02106',</v>
      </c>
    </row>
    <row r="1264" spans="1:16" x14ac:dyDescent="0.25">
      <c r="A1264" t="s">
        <v>9724</v>
      </c>
      <c r="B1264" t="s">
        <v>9725</v>
      </c>
      <c r="C1264" t="s">
        <v>9725</v>
      </c>
      <c r="D1264" t="s">
        <v>331</v>
      </c>
      <c r="E1264" t="s">
        <v>224</v>
      </c>
      <c r="F1264" t="s">
        <v>78</v>
      </c>
      <c r="G1264" t="s">
        <v>79</v>
      </c>
      <c r="H1264" t="s">
        <v>495</v>
      </c>
      <c r="I1264" t="s">
        <v>79</v>
      </c>
      <c r="J1264" t="s">
        <v>3487</v>
      </c>
      <c r="K1264" t="s">
        <v>3488</v>
      </c>
      <c r="L1264" t="s">
        <v>50</v>
      </c>
      <c r="M1264" s="2">
        <v>218170</v>
      </c>
      <c r="N1264" t="s">
        <v>64</v>
      </c>
      <c r="P1264" t="str">
        <f>CONCATENATE("'",Tabla1[[#This Row],[Codigo]],"',")</f>
        <v>'02108',</v>
      </c>
    </row>
    <row r="1265" spans="1:16" x14ac:dyDescent="0.25">
      <c r="A1265" t="s">
        <v>9728</v>
      </c>
      <c r="B1265" t="s">
        <v>9729</v>
      </c>
      <c r="C1265" t="s">
        <v>9729</v>
      </c>
      <c r="D1265" t="s">
        <v>2286</v>
      </c>
      <c r="E1265" t="s">
        <v>134</v>
      </c>
      <c r="F1265" t="s">
        <v>9730</v>
      </c>
      <c r="G1265" t="s">
        <v>9731</v>
      </c>
      <c r="H1265" t="s">
        <v>9732</v>
      </c>
      <c r="I1265" t="s">
        <v>9731</v>
      </c>
      <c r="J1265" t="s">
        <v>5966</v>
      </c>
      <c r="K1265" t="s">
        <v>5739</v>
      </c>
      <c r="L1265" t="s">
        <v>50</v>
      </c>
      <c r="M1265" s="2">
        <v>436340</v>
      </c>
      <c r="N1265" t="s">
        <v>64</v>
      </c>
      <c r="P1265" t="str">
        <f>CONCATENATE("'",Tabla1[[#This Row],[Codigo]],"',")</f>
        <v>'02109',</v>
      </c>
    </row>
    <row r="1266" spans="1:16" x14ac:dyDescent="0.25">
      <c r="A1266" t="s">
        <v>9734</v>
      </c>
      <c r="B1266" t="s">
        <v>9735</v>
      </c>
      <c r="C1266" t="s">
        <v>9735</v>
      </c>
      <c r="D1266" t="s">
        <v>125</v>
      </c>
      <c r="E1266" t="s">
        <v>126</v>
      </c>
      <c r="F1266" t="s">
        <v>9736</v>
      </c>
      <c r="G1266" t="s">
        <v>6728</v>
      </c>
      <c r="H1266" t="s">
        <v>6730</v>
      </c>
      <c r="I1266" t="s">
        <v>6728</v>
      </c>
      <c r="J1266" t="s">
        <v>557</v>
      </c>
      <c r="K1266" t="s">
        <v>558</v>
      </c>
      <c r="L1266" t="s">
        <v>50</v>
      </c>
      <c r="M1266" s="2">
        <v>749831.35</v>
      </c>
      <c r="N1266" t="s">
        <v>9739</v>
      </c>
      <c r="O1266" t="s">
        <v>52</v>
      </c>
      <c r="P1266" t="str">
        <f>CONCATENATE("'",Tabla1[[#This Row],[Codigo]],"',")</f>
        <v>'02110',</v>
      </c>
    </row>
    <row r="1267" spans="1:16" x14ac:dyDescent="0.25">
      <c r="A1267" t="s">
        <v>9740</v>
      </c>
      <c r="B1267" t="s">
        <v>9741</v>
      </c>
      <c r="C1267" t="s">
        <v>9741</v>
      </c>
      <c r="D1267" t="s">
        <v>153</v>
      </c>
      <c r="E1267" t="s">
        <v>272</v>
      </c>
      <c r="F1267" t="s">
        <v>9742</v>
      </c>
      <c r="H1267" t="s">
        <v>40</v>
      </c>
      <c r="I1267" t="s">
        <v>41</v>
      </c>
      <c r="J1267" t="s">
        <v>42</v>
      </c>
      <c r="K1267" t="s">
        <v>43</v>
      </c>
      <c r="L1267" t="s">
        <v>50</v>
      </c>
      <c r="M1267" s="2">
        <v>12389.05</v>
      </c>
      <c r="N1267" t="s">
        <v>9743</v>
      </c>
      <c r="P1267" t="str">
        <f>CONCATENATE("'",Tabla1[[#This Row],[Codigo]],"',")</f>
        <v>'02115',</v>
      </c>
    </row>
    <row r="1268" spans="1:16" x14ac:dyDescent="0.25">
      <c r="A1268" t="s">
        <v>9744</v>
      </c>
      <c r="B1268" t="s">
        <v>9745</v>
      </c>
      <c r="C1268" t="s">
        <v>9745</v>
      </c>
      <c r="D1268" t="s">
        <v>178</v>
      </c>
      <c r="E1268" t="s">
        <v>179</v>
      </c>
      <c r="F1268" t="s">
        <v>9746</v>
      </c>
      <c r="G1268" t="s">
        <v>9747</v>
      </c>
      <c r="H1268" t="s">
        <v>9749</v>
      </c>
      <c r="I1268" t="s">
        <v>9750</v>
      </c>
      <c r="J1268" t="s">
        <v>3534</v>
      </c>
      <c r="K1268" t="s">
        <v>3535</v>
      </c>
      <c r="L1268" t="s">
        <v>50</v>
      </c>
      <c r="M1268" s="2">
        <v>208770.32</v>
      </c>
      <c r="N1268" t="s">
        <v>9752</v>
      </c>
      <c r="O1268" t="s">
        <v>115</v>
      </c>
      <c r="P1268" t="str">
        <f>CONCATENATE("'",Tabla1[[#This Row],[Codigo]],"',")</f>
        <v>'02116',</v>
      </c>
    </row>
    <row r="1269" spans="1:16" x14ac:dyDescent="0.25">
      <c r="A1269" t="s">
        <v>9758</v>
      </c>
      <c r="B1269" t="s">
        <v>9759</v>
      </c>
      <c r="C1269" t="s">
        <v>9759</v>
      </c>
      <c r="D1269" t="s">
        <v>297</v>
      </c>
      <c r="E1269" t="s">
        <v>167</v>
      </c>
      <c r="F1269" t="s">
        <v>9760</v>
      </c>
      <c r="G1269" t="s">
        <v>79</v>
      </c>
      <c r="H1269" t="s">
        <v>495</v>
      </c>
      <c r="I1269" t="s">
        <v>79</v>
      </c>
      <c r="J1269" t="s">
        <v>3487</v>
      </c>
      <c r="K1269" t="s">
        <v>3488</v>
      </c>
      <c r="L1269" t="s">
        <v>50</v>
      </c>
      <c r="M1269" s="2">
        <v>9668.85</v>
      </c>
      <c r="N1269" t="s">
        <v>9763</v>
      </c>
      <c r="O1269" t="s">
        <v>52</v>
      </c>
      <c r="P1269" t="str">
        <f>CONCATENATE("'",Tabla1[[#This Row],[Codigo]],"',")</f>
        <v>'02118',</v>
      </c>
    </row>
    <row r="1270" spans="1:16" x14ac:dyDescent="0.25">
      <c r="A1270" t="s">
        <v>9764</v>
      </c>
      <c r="B1270" t="s">
        <v>9765</v>
      </c>
      <c r="C1270" t="s">
        <v>9765</v>
      </c>
      <c r="D1270" t="s">
        <v>125</v>
      </c>
      <c r="E1270" t="s">
        <v>126</v>
      </c>
      <c r="F1270" t="s">
        <v>9766</v>
      </c>
      <c r="G1270" t="s">
        <v>9767</v>
      </c>
      <c r="H1270" t="s">
        <v>9769</v>
      </c>
      <c r="I1270" t="s">
        <v>9767</v>
      </c>
      <c r="J1270" t="s">
        <v>5966</v>
      </c>
      <c r="K1270" t="s">
        <v>5739</v>
      </c>
      <c r="L1270" t="s">
        <v>50</v>
      </c>
      <c r="M1270" s="2">
        <v>415078.34</v>
      </c>
      <c r="N1270" t="s">
        <v>9771</v>
      </c>
      <c r="O1270" t="s">
        <v>52</v>
      </c>
      <c r="P1270" t="str">
        <f>CONCATENATE("'",Tabla1[[#This Row],[Codigo]],"',")</f>
        <v>'02119',</v>
      </c>
    </row>
    <row r="1271" spans="1:16" x14ac:dyDescent="0.25">
      <c r="A1271" t="s">
        <v>9772</v>
      </c>
      <c r="B1271" t="s">
        <v>9773</v>
      </c>
      <c r="C1271" t="s">
        <v>9773</v>
      </c>
      <c r="D1271" t="s">
        <v>9774</v>
      </c>
      <c r="E1271" t="s">
        <v>134</v>
      </c>
      <c r="F1271" t="s">
        <v>9775</v>
      </c>
      <c r="G1271" t="s">
        <v>911</v>
      </c>
      <c r="H1271" t="s">
        <v>913</v>
      </c>
      <c r="I1271" t="s">
        <v>914</v>
      </c>
      <c r="J1271" t="s">
        <v>103</v>
      </c>
      <c r="K1271" t="s">
        <v>104</v>
      </c>
      <c r="L1271" t="s">
        <v>50</v>
      </c>
      <c r="M1271" s="2">
        <v>109085</v>
      </c>
      <c r="N1271" t="s">
        <v>64</v>
      </c>
      <c r="P1271" t="str">
        <f>CONCATENATE("'",Tabla1[[#This Row],[Codigo]],"',")</f>
        <v>'02120',</v>
      </c>
    </row>
    <row r="1272" spans="1:16" x14ac:dyDescent="0.25">
      <c r="A1272" t="s">
        <v>9781</v>
      </c>
      <c r="B1272" t="s">
        <v>9782</v>
      </c>
      <c r="C1272" t="s">
        <v>9782</v>
      </c>
      <c r="D1272" t="s">
        <v>847</v>
      </c>
      <c r="E1272" t="s">
        <v>848</v>
      </c>
      <c r="F1272" t="s">
        <v>9780</v>
      </c>
      <c r="G1272" t="s">
        <v>9783</v>
      </c>
      <c r="H1272" t="s">
        <v>1427</v>
      </c>
      <c r="I1272" t="s">
        <v>1428</v>
      </c>
      <c r="J1272" t="s">
        <v>82</v>
      </c>
      <c r="K1272" t="s">
        <v>83</v>
      </c>
      <c r="L1272" t="s">
        <v>50</v>
      </c>
      <c r="M1272" s="2">
        <v>158501.14000000001</v>
      </c>
      <c r="N1272" t="s">
        <v>9786</v>
      </c>
      <c r="O1272" t="s">
        <v>52</v>
      </c>
      <c r="P1272" t="str">
        <f>CONCATENATE("'",Tabla1[[#This Row],[Codigo]],"',")</f>
        <v>'02122',</v>
      </c>
    </row>
    <row r="1273" spans="1:16" x14ac:dyDescent="0.25">
      <c r="A1273" t="s">
        <v>9787</v>
      </c>
      <c r="B1273" t="s">
        <v>9788</v>
      </c>
      <c r="C1273" t="s">
        <v>9788</v>
      </c>
      <c r="D1273" t="s">
        <v>125</v>
      </c>
      <c r="E1273" t="s">
        <v>126</v>
      </c>
      <c r="F1273" t="s">
        <v>9780</v>
      </c>
      <c r="G1273" t="s">
        <v>1425</v>
      </c>
      <c r="H1273" t="s">
        <v>1427</v>
      </c>
      <c r="I1273" t="s">
        <v>1428</v>
      </c>
      <c r="J1273" t="s">
        <v>82</v>
      </c>
      <c r="K1273" t="s">
        <v>83</v>
      </c>
      <c r="L1273" t="s">
        <v>50</v>
      </c>
      <c r="M1273" s="2">
        <v>131687.59</v>
      </c>
      <c r="N1273" t="s">
        <v>9790</v>
      </c>
      <c r="O1273" t="s">
        <v>52</v>
      </c>
      <c r="P1273" t="str">
        <f>CONCATENATE("'",Tabla1[[#This Row],[Codigo]],"',")</f>
        <v>'02123',</v>
      </c>
    </row>
    <row r="1274" spans="1:16" x14ac:dyDescent="0.25">
      <c r="A1274" t="s">
        <v>9791</v>
      </c>
      <c r="B1274" t="s">
        <v>9792</v>
      </c>
      <c r="C1274" t="s">
        <v>9792</v>
      </c>
      <c r="D1274" t="s">
        <v>1289</v>
      </c>
      <c r="E1274" t="s">
        <v>224</v>
      </c>
      <c r="F1274" t="s">
        <v>9793</v>
      </c>
      <c r="G1274" t="s">
        <v>303</v>
      </c>
      <c r="H1274" t="s">
        <v>302</v>
      </c>
      <c r="I1274" t="s">
        <v>303</v>
      </c>
      <c r="J1274" t="s">
        <v>304</v>
      </c>
      <c r="K1274" t="s">
        <v>72</v>
      </c>
      <c r="L1274" t="s">
        <v>50</v>
      </c>
      <c r="M1274" s="2">
        <v>10909</v>
      </c>
      <c r="N1274" t="s">
        <v>64</v>
      </c>
      <c r="P1274" t="str">
        <f>CONCATENATE("'",Tabla1[[#This Row],[Codigo]],"',")</f>
        <v>'02124',</v>
      </c>
    </row>
    <row r="1275" spans="1:16" x14ac:dyDescent="0.25">
      <c r="A1275" t="s">
        <v>9795</v>
      </c>
      <c r="B1275" t="s">
        <v>9796</v>
      </c>
      <c r="C1275" t="s">
        <v>9796</v>
      </c>
      <c r="D1275" t="s">
        <v>153</v>
      </c>
      <c r="E1275" t="s">
        <v>272</v>
      </c>
      <c r="F1275" t="s">
        <v>9797</v>
      </c>
      <c r="G1275" t="s">
        <v>303</v>
      </c>
      <c r="H1275" t="s">
        <v>302</v>
      </c>
      <c r="I1275" t="s">
        <v>303</v>
      </c>
      <c r="J1275" t="s">
        <v>304</v>
      </c>
      <c r="K1275" t="s">
        <v>72</v>
      </c>
      <c r="L1275" t="s">
        <v>50</v>
      </c>
      <c r="M1275" s="2">
        <v>51973.33</v>
      </c>
      <c r="N1275" t="s">
        <v>9799</v>
      </c>
      <c r="O1275" t="s">
        <v>52</v>
      </c>
      <c r="P1275" t="str">
        <f>CONCATENATE("'",Tabla1[[#This Row],[Codigo]],"',")</f>
        <v>'02125',</v>
      </c>
    </row>
    <row r="1276" spans="1:16" x14ac:dyDescent="0.25">
      <c r="A1276" t="s">
        <v>9800</v>
      </c>
      <c r="B1276" t="s">
        <v>9801</v>
      </c>
      <c r="C1276" t="s">
        <v>9801</v>
      </c>
      <c r="D1276" t="s">
        <v>847</v>
      </c>
      <c r="E1276" t="s">
        <v>848</v>
      </c>
      <c r="F1276" t="s">
        <v>9802</v>
      </c>
      <c r="G1276" t="s">
        <v>5739</v>
      </c>
      <c r="H1276" t="s">
        <v>5741</v>
      </c>
      <c r="I1276" t="s">
        <v>5739</v>
      </c>
      <c r="J1276" t="s">
        <v>2320</v>
      </c>
      <c r="K1276" t="s">
        <v>2321</v>
      </c>
      <c r="L1276" t="s">
        <v>50</v>
      </c>
      <c r="M1276" s="2">
        <v>402844.92</v>
      </c>
      <c r="N1276" t="s">
        <v>9804</v>
      </c>
      <c r="O1276" t="s">
        <v>115</v>
      </c>
      <c r="P1276" t="str">
        <f>CONCATENATE("'",Tabla1[[#This Row],[Codigo]],"',")</f>
        <v>'02126',</v>
      </c>
    </row>
    <row r="1277" spans="1:16" x14ac:dyDescent="0.25">
      <c r="A1277" t="s">
        <v>9805</v>
      </c>
      <c r="B1277" t="s">
        <v>9806</v>
      </c>
      <c r="C1277" t="s">
        <v>9806</v>
      </c>
      <c r="D1277" t="s">
        <v>847</v>
      </c>
      <c r="E1277" t="s">
        <v>848</v>
      </c>
      <c r="F1277" t="s">
        <v>9807</v>
      </c>
      <c r="G1277" t="s">
        <v>7491</v>
      </c>
      <c r="H1277" t="s">
        <v>7490</v>
      </c>
      <c r="I1277" t="s">
        <v>7491</v>
      </c>
      <c r="J1277" t="s">
        <v>2320</v>
      </c>
      <c r="K1277" t="s">
        <v>2321</v>
      </c>
      <c r="L1277" t="s">
        <v>50</v>
      </c>
      <c r="M1277" s="2">
        <v>1301482.01</v>
      </c>
      <c r="N1277" t="s">
        <v>9809</v>
      </c>
      <c r="O1277" t="s">
        <v>115</v>
      </c>
      <c r="P1277" t="str">
        <f>CONCATENATE("'",Tabla1[[#This Row],[Codigo]],"',")</f>
        <v>'02127',</v>
      </c>
    </row>
    <row r="1278" spans="1:16" x14ac:dyDescent="0.25">
      <c r="A1278" t="s">
        <v>9810</v>
      </c>
      <c r="B1278" t="s">
        <v>9811</v>
      </c>
      <c r="C1278" t="s">
        <v>9811</v>
      </c>
      <c r="D1278" t="s">
        <v>847</v>
      </c>
      <c r="E1278" t="s">
        <v>848</v>
      </c>
      <c r="F1278" t="s">
        <v>9812</v>
      </c>
      <c r="G1278" t="s">
        <v>9813</v>
      </c>
      <c r="H1278" t="s">
        <v>6057</v>
      </c>
      <c r="I1278" t="s">
        <v>6058</v>
      </c>
      <c r="J1278" t="s">
        <v>2320</v>
      </c>
      <c r="K1278" t="s">
        <v>2321</v>
      </c>
      <c r="L1278" t="s">
        <v>50</v>
      </c>
      <c r="M1278" s="2">
        <v>309404.94</v>
      </c>
      <c r="N1278" t="s">
        <v>9815</v>
      </c>
      <c r="O1278" t="s">
        <v>115</v>
      </c>
      <c r="P1278" t="str">
        <f>CONCATENATE("'",Tabla1[[#This Row],[Codigo]],"',")</f>
        <v>'02128',</v>
      </c>
    </row>
    <row r="1279" spans="1:16" x14ac:dyDescent="0.25">
      <c r="A1279" t="s">
        <v>9816</v>
      </c>
      <c r="B1279" t="s">
        <v>9817</v>
      </c>
      <c r="C1279" t="s">
        <v>9817</v>
      </c>
      <c r="D1279" t="s">
        <v>847</v>
      </c>
      <c r="E1279" t="s">
        <v>848</v>
      </c>
      <c r="F1279" t="s">
        <v>9818</v>
      </c>
      <c r="G1279" t="s">
        <v>5739</v>
      </c>
      <c r="H1279" t="s">
        <v>5741</v>
      </c>
      <c r="I1279" t="s">
        <v>5739</v>
      </c>
      <c r="J1279" t="s">
        <v>2320</v>
      </c>
      <c r="K1279" t="s">
        <v>2321</v>
      </c>
      <c r="L1279" t="s">
        <v>50</v>
      </c>
      <c r="M1279" s="2">
        <v>19738.939999999999</v>
      </c>
      <c r="N1279" t="s">
        <v>9820</v>
      </c>
      <c r="O1279" t="s">
        <v>115</v>
      </c>
      <c r="P1279" t="str">
        <f>CONCATENATE("'",Tabla1[[#This Row],[Codigo]],"',")</f>
        <v>'02129',</v>
      </c>
    </row>
    <row r="1280" spans="1:16" x14ac:dyDescent="0.25">
      <c r="A1280" t="s">
        <v>9821</v>
      </c>
      <c r="B1280" t="s">
        <v>9822</v>
      </c>
      <c r="C1280" t="s">
        <v>9822</v>
      </c>
      <c r="D1280" t="s">
        <v>847</v>
      </c>
      <c r="E1280" t="s">
        <v>848</v>
      </c>
      <c r="F1280" t="s">
        <v>9823</v>
      </c>
      <c r="G1280" t="s">
        <v>5739</v>
      </c>
      <c r="H1280" t="s">
        <v>5741</v>
      </c>
      <c r="I1280" t="s">
        <v>5739</v>
      </c>
      <c r="J1280" t="s">
        <v>2320</v>
      </c>
      <c r="K1280" t="s">
        <v>2321</v>
      </c>
      <c r="L1280" t="s">
        <v>50</v>
      </c>
      <c r="M1280" s="2">
        <v>19645.36</v>
      </c>
      <c r="N1280" t="s">
        <v>9825</v>
      </c>
      <c r="O1280" t="s">
        <v>115</v>
      </c>
      <c r="P1280" t="str">
        <f>CONCATENATE("'",Tabla1[[#This Row],[Codigo]],"',")</f>
        <v>'02130',</v>
      </c>
    </row>
    <row r="1281" spans="1:16" x14ac:dyDescent="0.25">
      <c r="A1281" t="s">
        <v>9826</v>
      </c>
      <c r="B1281" t="s">
        <v>9827</v>
      </c>
      <c r="C1281" t="s">
        <v>9827</v>
      </c>
      <c r="D1281" t="s">
        <v>847</v>
      </c>
      <c r="E1281" t="s">
        <v>848</v>
      </c>
      <c r="F1281" t="s">
        <v>9828</v>
      </c>
      <c r="G1281" t="s">
        <v>5739</v>
      </c>
      <c r="H1281" t="s">
        <v>5741</v>
      </c>
      <c r="I1281" t="s">
        <v>5739</v>
      </c>
      <c r="J1281" t="s">
        <v>2320</v>
      </c>
      <c r="K1281" t="s">
        <v>2321</v>
      </c>
      <c r="L1281" t="s">
        <v>50</v>
      </c>
      <c r="M1281" s="2">
        <v>2312903.36</v>
      </c>
      <c r="N1281" t="s">
        <v>9830</v>
      </c>
      <c r="O1281" t="s">
        <v>115</v>
      </c>
      <c r="P1281" t="str">
        <f>CONCATENATE("'",Tabla1[[#This Row],[Codigo]],"',")</f>
        <v>'02131',</v>
      </c>
    </row>
    <row r="1282" spans="1:16" x14ac:dyDescent="0.25">
      <c r="A1282" t="s">
        <v>9831</v>
      </c>
      <c r="B1282" t="s">
        <v>9832</v>
      </c>
      <c r="C1282" t="s">
        <v>9832</v>
      </c>
      <c r="D1282" t="s">
        <v>847</v>
      </c>
      <c r="E1282" t="s">
        <v>848</v>
      </c>
      <c r="F1282" t="s">
        <v>9833</v>
      </c>
      <c r="G1282" t="s">
        <v>9834</v>
      </c>
      <c r="H1282" t="s">
        <v>9588</v>
      </c>
      <c r="I1282" t="s">
        <v>9589</v>
      </c>
      <c r="J1282" t="s">
        <v>2320</v>
      </c>
      <c r="K1282" t="s">
        <v>2321</v>
      </c>
      <c r="L1282" t="s">
        <v>50</v>
      </c>
      <c r="M1282" s="2">
        <v>237034.57</v>
      </c>
      <c r="N1282" t="s">
        <v>9836</v>
      </c>
      <c r="O1282" t="s">
        <v>115</v>
      </c>
      <c r="P1282" t="str">
        <f>CONCATENATE("'",Tabla1[[#This Row],[Codigo]],"',")</f>
        <v>'02132',</v>
      </c>
    </row>
    <row r="1283" spans="1:16" x14ac:dyDescent="0.25">
      <c r="A1283" t="s">
        <v>9837</v>
      </c>
      <c r="B1283" t="s">
        <v>9838</v>
      </c>
      <c r="C1283" t="s">
        <v>9838</v>
      </c>
      <c r="D1283" t="s">
        <v>847</v>
      </c>
      <c r="E1283" t="s">
        <v>848</v>
      </c>
      <c r="F1283" t="s">
        <v>9839</v>
      </c>
      <c r="G1283" t="s">
        <v>6055</v>
      </c>
      <c r="H1283" t="s">
        <v>6057</v>
      </c>
      <c r="I1283" t="s">
        <v>6058</v>
      </c>
      <c r="J1283" t="s">
        <v>2320</v>
      </c>
      <c r="K1283" t="s">
        <v>2321</v>
      </c>
      <c r="L1283" t="s">
        <v>50</v>
      </c>
      <c r="M1283" s="2">
        <v>211153.82</v>
      </c>
      <c r="N1283" t="s">
        <v>9841</v>
      </c>
      <c r="O1283" t="s">
        <v>115</v>
      </c>
      <c r="P1283" t="str">
        <f>CONCATENATE("'",Tabla1[[#This Row],[Codigo]],"',")</f>
        <v>'02133',</v>
      </c>
    </row>
    <row r="1284" spans="1:16" x14ac:dyDescent="0.25">
      <c r="A1284" t="s">
        <v>9842</v>
      </c>
      <c r="B1284" t="s">
        <v>9843</v>
      </c>
      <c r="C1284" t="s">
        <v>9843</v>
      </c>
      <c r="D1284" t="s">
        <v>847</v>
      </c>
      <c r="E1284" t="s">
        <v>848</v>
      </c>
      <c r="F1284" t="s">
        <v>9844</v>
      </c>
      <c r="G1284" t="s">
        <v>7670</v>
      </c>
      <c r="H1284" t="s">
        <v>7669</v>
      </c>
      <c r="I1284" t="s">
        <v>7670</v>
      </c>
      <c r="J1284" t="s">
        <v>2320</v>
      </c>
      <c r="K1284" t="s">
        <v>2321</v>
      </c>
      <c r="L1284" t="s">
        <v>50</v>
      </c>
      <c r="M1284" s="2">
        <v>795964.37</v>
      </c>
      <c r="N1284" t="s">
        <v>9846</v>
      </c>
      <c r="O1284" t="s">
        <v>115</v>
      </c>
      <c r="P1284" t="str">
        <f>CONCATENATE("'",Tabla1[[#This Row],[Codigo]],"',")</f>
        <v>'02134',</v>
      </c>
    </row>
    <row r="1285" spans="1:16" x14ac:dyDescent="0.25">
      <c r="A1285" t="s">
        <v>9847</v>
      </c>
      <c r="B1285" t="s">
        <v>9848</v>
      </c>
      <c r="C1285" t="s">
        <v>9848</v>
      </c>
      <c r="D1285" t="s">
        <v>847</v>
      </c>
      <c r="E1285" t="s">
        <v>848</v>
      </c>
      <c r="F1285" t="s">
        <v>9849</v>
      </c>
      <c r="G1285" t="s">
        <v>6055</v>
      </c>
      <c r="H1285" t="s">
        <v>6057</v>
      </c>
      <c r="I1285" t="s">
        <v>6058</v>
      </c>
      <c r="J1285" t="s">
        <v>2320</v>
      </c>
      <c r="K1285" t="s">
        <v>2321</v>
      </c>
      <c r="L1285" t="s">
        <v>50</v>
      </c>
      <c r="M1285" s="2">
        <v>480490.25</v>
      </c>
      <c r="N1285" t="s">
        <v>9851</v>
      </c>
      <c r="O1285" t="s">
        <v>115</v>
      </c>
      <c r="P1285" t="str">
        <f>CONCATENATE("'",Tabla1[[#This Row],[Codigo]],"',")</f>
        <v>'02135',</v>
      </c>
    </row>
    <row r="1286" spans="1:16" x14ac:dyDescent="0.25">
      <c r="A1286" t="s">
        <v>9852</v>
      </c>
      <c r="B1286" t="s">
        <v>9853</v>
      </c>
      <c r="C1286" t="s">
        <v>9853</v>
      </c>
      <c r="D1286" t="s">
        <v>847</v>
      </c>
      <c r="E1286" t="s">
        <v>848</v>
      </c>
      <c r="F1286" t="s">
        <v>9854</v>
      </c>
      <c r="G1286" t="s">
        <v>5739</v>
      </c>
      <c r="H1286" t="s">
        <v>5741</v>
      </c>
      <c r="I1286" t="s">
        <v>5739</v>
      </c>
      <c r="J1286" t="s">
        <v>2320</v>
      </c>
      <c r="K1286" t="s">
        <v>2321</v>
      </c>
      <c r="L1286" t="s">
        <v>50</v>
      </c>
      <c r="M1286" s="2">
        <v>576391.17000000004</v>
      </c>
      <c r="N1286" t="s">
        <v>9856</v>
      </c>
      <c r="O1286" t="s">
        <v>115</v>
      </c>
      <c r="P1286" t="str">
        <f>CONCATENATE("'",Tabla1[[#This Row],[Codigo]],"',")</f>
        <v>'02136',</v>
      </c>
    </row>
    <row r="1287" spans="1:16" x14ac:dyDescent="0.25">
      <c r="A1287" t="s">
        <v>9857</v>
      </c>
      <c r="B1287" t="s">
        <v>9858</v>
      </c>
      <c r="C1287" t="s">
        <v>9858</v>
      </c>
      <c r="D1287" t="s">
        <v>847</v>
      </c>
      <c r="E1287" t="s">
        <v>848</v>
      </c>
      <c r="F1287" t="s">
        <v>9859</v>
      </c>
      <c r="G1287" t="s">
        <v>6113</v>
      </c>
      <c r="H1287" t="s">
        <v>5741</v>
      </c>
      <c r="I1287" t="s">
        <v>5739</v>
      </c>
      <c r="J1287" t="s">
        <v>2320</v>
      </c>
      <c r="K1287" t="s">
        <v>2321</v>
      </c>
      <c r="L1287" t="s">
        <v>50</v>
      </c>
      <c r="M1287" s="2">
        <v>392598.47</v>
      </c>
      <c r="N1287" t="s">
        <v>9861</v>
      </c>
      <c r="O1287" t="s">
        <v>115</v>
      </c>
      <c r="P1287" t="str">
        <f>CONCATENATE("'",Tabla1[[#This Row],[Codigo]],"',")</f>
        <v>'02137',</v>
      </c>
    </row>
    <row r="1288" spans="1:16" x14ac:dyDescent="0.25">
      <c r="A1288" t="s">
        <v>9862</v>
      </c>
      <c r="B1288" t="s">
        <v>9863</v>
      </c>
      <c r="C1288" t="s">
        <v>9863</v>
      </c>
      <c r="D1288" t="s">
        <v>847</v>
      </c>
      <c r="E1288" t="s">
        <v>848</v>
      </c>
      <c r="F1288" t="s">
        <v>9864</v>
      </c>
      <c r="G1288" t="s">
        <v>7263</v>
      </c>
      <c r="H1288" t="s">
        <v>2571</v>
      </c>
      <c r="I1288" t="s">
        <v>2572</v>
      </c>
      <c r="J1288" t="s">
        <v>2320</v>
      </c>
      <c r="K1288" t="s">
        <v>2321</v>
      </c>
      <c r="L1288" t="s">
        <v>50</v>
      </c>
      <c r="M1288" s="2">
        <v>1033150.88</v>
      </c>
      <c r="N1288" t="s">
        <v>9866</v>
      </c>
      <c r="O1288" t="s">
        <v>115</v>
      </c>
      <c r="P1288" t="str">
        <f>CONCATENATE("'",Tabla1[[#This Row],[Codigo]],"',")</f>
        <v>'02138',</v>
      </c>
    </row>
    <row r="1289" spans="1:16" x14ac:dyDescent="0.25">
      <c r="A1289" t="s">
        <v>9867</v>
      </c>
      <c r="B1289" t="s">
        <v>9868</v>
      </c>
      <c r="C1289" t="s">
        <v>9868</v>
      </c>
      <c r="D1289" t="s">
        <v>847</v>
      </c>
      <c r="E1289" t="s">
        <v>848</v>
      </c>
      <c r="F1289" t="s">
        <v>9869</v>
      </c>
      <c r="G1289" t="s">
        <v>9870</v>
      </c>
      <c r="H1289" t="s">
        <v>6042</v>
      </c>
      <c r="I1289" t="s">
        <v>6043</v>
      </c>
      <c r="J1289" t="s">
        <v>2320</v>
      </c>
      <c r="K1289" t="s">
        <v>2321</v>
      </c>
      <c r="L1289" t="s">
        <v>50</v>
      </c>
      <c r="M1289" s="2">
        <v>8790.19</v>
      </c>
      <c r="N1289" t="s">
        <v>9872</v>
      </c>
      <c r="O1289" t="s">
        <v>115</v>
      </c>
      <c r="P1289" t="str">
        <f>CONCATENATE("'",Tabla1[[#This Row],[Codigo]],"',")</f>
        <v>'02139',</v>
      </c>
    </row>
    <row r="1290" spans="1:16" x14ac:dyDescent="0.25">
      <c r="A1290" t="s">
        <v>9873</v>
      </c>
      <c r="B1290" t="s">
        <v>9874</v>
      </c>
      <c r="C1290" t="s">
        <v>9874</v>
      </c>
      <c r="D1290" t="s">
        <v>847</v>
      </c>
      <c r="E1290" t="s">
        <v>848</v>
      </c>
      <c r="F1290" t="s">
        <v>9875</v>
      </c>
      <c r="G1290" t="s">
        <v>8192</v>
      </c>
      <c r="H1290" t="s">
        <v>8191</v>
      </c>
      <c r="I1290" t="s">
        <v>8192</v>
      </c>
      <c r="J1290" t="s">
        <v>2320</v>
      </c>
      <c r="K1290" t="s">
        <v>2321</v>
      </c>
      <c r="L1290" t="s">
        <v>50</v>
      </c>
      <c r="M1290" s="2">
        <v>719114.29</v>
      </c>
      <c r="N1290" t="s">
        <v>9877</v>
      </c>
      <c r="O1290" t="s">
        <v>115</v>
      </c>
      <c r="P1290" t="str">
        <f>CONCATENATE("'",Tabla1[[#This Row],[Codigo]],"',")</f>
        <v>'02140',</v>
      </c>
    </row>
    <row r="1291" spans="1:16" x14ac:dyDescent="0.25">
      <c r="A1291" t="s">
        <v>9878</v>
      </c>
      <c r="B1291" t="s">
        <v>9879</v>
      </c>
      <c r="C1291" t="s">
        <v>9879</v>
      </c>
      <c r="D1291" t="s">
        <v>847</v>
      </c>
      <c r="E1291" t="s">
        <v>848</v>
      </c>
      <c r="F1291" t="s">
        <v>9880</v>
      </c>
      <c r="G1291" t="s">
        <v>5739</v>
      </c>
      <c r="H1291" t="s">
        <v>5741</v>
      </c>
      <c r="I1291" t="s">
        <v>5739</v>
      </c>
      <c r="J1291" t="s">
        <v>2320</v>
      </c>
      <c r="K1291" t="s">
        <v>2321</v>
      </c>
      <c r="L1291" t="s">
        <v>50</v>
      </c>
      <c r="M1291" s="2">
        <v>1941602.63</v>
      </c>
      <c r="N1291" t="s">
        <v>9882</v>
      </c>
      <c r="O1291" t="s">
        <v>115</v>
      </c>
      <c r="P1291" t="str">
        <f>CONCATENATE("'",Tabla1[[#This Row],[Codigo]],"',")</f>
        <v>'02141',</v>
      </c>
    </row>
    <row r="1292" spans="1:16" x14ac:dyDescent="0.25">
      <c r="A1292" t="s">
        <v>9883</v>
      </c>
      <c r="B1292" t="s">
        <v>9884</v>
      </c>
      <c r="C1292" t="s">
        <v>9884</v>
      </c>
      <c r="D1292" t="s">
        <v>847</v>
      </c>
      <c r="E1292" t="s">
        <v>848</v>
      </c>
      <c r="F1292" t="s">
        <v>9885</v>
      </c>
      <c r="G1292" t="s">
        <v>6058</v>
      </c>
      <c r="H1292" t="s">
        <v>6057</v>
      </c>
      <c r="I1292" t="s">
        <v>6058</v>
      </c>
      <c r="J1292" t="s">
        <v>2320</v>
      </c>
      <c r="K1292" t="s">
        <v>2321</v>
      </c>
      <c r="L1292" t="s">
        <v>50</v>
      </c>
      <c r="M1292" s="2">
        <v>225015.41</v>
      </c>
      <c r="N1292" t="s">
        <v>9887</v>
      </c>
      <c r="O1292" t="s">
        <v>115</v>
      </c>
      <c r="P1292" t="str">
        <f>CONCATENATE("'",Tabla1[[#This Row],[Codigo]],"',")</f>
        <v>'02142',</v>
      </c>
    </row>
    <row r="1293" spans="1:16" x14ac:dyDescent="0.25">
      <c r="A1293" t="s">
        <v>9888</v>
      </c>
      <c r="B1293" t="s">
        <v>9889</v>
      </c>
      <c r="C1293" t="s">
        <v>9889</v>
      </c>
      <c r="D1293" t="s">
        <v>847</v>
      </c>
      <c r="E1293" t="s">
        <v>848</v>
      </c>
      <c r="F1293" t="s">
        <v>9890</v>
      </c>
      <c r="G1293" t="s">
        <v>5739</v>
      </c>
      <c r="H1293" t="s">
        <v>5741</v>
      </c>
      <c r="I1293" t="s">
        <v>5739</v>
      </c>
      <c r="J1293" t="s">
        <v>2320</v>
      </c>
      <c r="K1293" t="s">
        <v>2321</v>
      </c>
      <c r="L1293" t="s">
        <v>50</v>
      </c>
      <c r="M1293" s="2">
        <v>1194509.28</v>
      </c>
      <c r="N1293" t="s">
        <v>9892</v>
      </c>
      <c r="O1293" t="s">
        <v>115</v>
      </c>
      <c r="P1293" t="str">
        <f>CONCATENATE("'",Tabla1[[#This Row],[Codigo]],"',")</f>
        <v>'02143',</v>
      </c>
    </row>
    <row r="1294" spans="1:16" x14ac:dyDescent="0.25">
      <c r="A1294" t="s">
        <v>9893</v>
      </c>
      <c r="B1294" t="s">
        <v>9894</v>
      </c>
      <c r="C1294" t="s">
        <v>9894</v>
      </c>
      <c r="D1294" t="s">
        <v>847</v>
      </c>
      <c r="E1294" t="s">
        <v>848</v>
      </c>
      <c r="F1294" t="s">
        <v>9895</v>
      </c>
      <c r="G1294" t="s">
        <v>9896</v>
      </c>
      <c r="H1294" t="s">
        <v>9897</v>
      </c>
      <c r="I1294" t="s">
        <v>9898</v>
      </c>
      <c r="J1294" t="s">
        <v>2320</v>
      </c>
      <c r="K1294" t="s">
        <v>2321</v>
      </c>
      <c r="L1294" t="s">
        <v>50</v>
      </c>
      <c r="M1294" s="2">
        <v>398690.86</v>
      </c>
      <c r="N1294" t="s">
        <v>9899</v>
      </c>
      <c r="O1294" t="s">
        <v>115</v>
      </c>
      <c r="P1294" t="str">
        <f>CONCATENATE("'",Tabla1[[#This Row],[Codigo]],"',")</f>
        <v>'02144',</v>
      </c>
    </row>
    <row r="1295" spans="1:16" x14ac:dyDescent="0.25">
      <c r="A1295" t="s">
        <v>9900</v>
      </c>
      <c r="B1295" t="s">
        <v>9901</v>
      </c>
      <c r="C1295" t="s">
        <v>9901</v>
      </c>
      <c r="D1295" t="s">
        <v>847</v>
      </c>
      <c r="E1295" t="s">
        <v>848</v>
      </c>
      <c r="F1295" t="s">
        <v>9902</v>
      </c>
      <c r="G1295" t="s">
        <v>6113</v>
      </c>
      <c r="H1295" t="s">
        <v>5741</v>
      </c>
      <c r="I1295" t="s">
        <v>5739</v>
      </c>
      <c r="J1295" t="s">
        <v>2320</v>
      </c>
      <c r="K1295" t="s">
        <v>2321</v>
      </c>
      <c r="L1295" t="s">
        <v>50</v>
      </c>
      <c r="M1295" s="2">
        <v>62720.9</v>
      </c>
      <c r="N1295" t="s">
        <v>9904</v>
      </c>
      <c r="O1295" t="s">
        <v>115</v>
      </c>
      <c r="P1295" t="str">
        <f>CONCATENATE("'",Tabla1[[#This Row],[Codigo]],"',")</f>
        <v>'02145',</v>
      </c>
    </row>
    <row r="1296" spans="1:16" x14ac:dyDescent="0.25">
      <c r="A1296" t="s">
        <v>9905</v>
      </c>
      <c r="B1296" t="s">
        <v>9906</v>
      </c>
      <c r="C1296" t="s">
        <v>9906</v>
      </c>
      <c r="D1296" t="s">
        <v>847</v>
      </c>
      <c r="E1296" t="s">
        <v>848</v>
      </c>
      <c r="F1296" t="s">
        <v>9907</v>
      </c>
      <c r="G1296" t="s">
        <v>7670</v>
      </c>
      <c r="H1296" t="s">
        <v>7669</v>
      </c>
      <c r="I1296" t="s">
        <v>7670</v>
      </c>
      <c r="J1296" t="s">
        <v>2320</v>
      </c>
      <c r="K1296" t="s">
        <v>2321</v>
      </c>
      <c r="L1296" t="s">
        <v>50</v>
      </c>
      <c r="M1296" s="2">
        <v>31996.05</v>
      </c>
      <c r="N1296" t="s">
        <v>9909</v>
      </c>
      <c r="O1296" t="s">
        <v>115</v>
      </c>
      <c r="P1296" t="str">
        <f>CONCATENATE("'",Tabla1[[#This Row],[Codigo]],"',")</f>
        <v>'02146',</v>
      </c>
    </row>
    <row r="1297" spans="1:16" x14ac:dyDescent="0.25">
      <c r="A1297" t="s">
        <v>9917</v>
      </c>
      <c r="B1297" t="s">
        <v>9918</v>
      </c>
      <c r="C1297" t="s">
        <v>9918</v>
      </c>
      <c r="D1297" t="s">
        <v>873</v>
      </c>
      <c r="E1297" t="s">
        <v>224</v>
      </c>
      <c r="F1297" t="s">
        <v>9919</v>
      </c>
      <c r="G1297" t="s">
        <v>7210</v>
      </c>
      <c r="H1297" t="s">
        <v>4996</v>
      </c>
      <c r="I1297" t="s">
        <v>4997</v>
      </c>
      <c r="J1297" t="s">
        <v>1212</v>
      </c>
      <c r="K1297" t="s">
        <v>1213</v>
      </c>
      <c r="L1297" t="s">
        <v>50</v>
      </c>
      <c r="M1297" s="2">
        <v>695840</v>
      </c>
      <c r="N1297" t="s">
        <v>64</v>
      </c>
      <c r="P1297" t="str">
        <f>CONCATENATE("'",Tabla1[[#This Row],[Codigo]],"',")</f>
        <v>'02149',</v>
      </c>
    </row>
    <row r="1298" spans="1:16" x14ac:dyDescent="0.25">
      <c r="A1298" t="s">
        <v>9922</v>
      </c>
      <c r="B1298" t="s">
        <v>9923</v>
      </c>
      <c r="C1298" t="s">
        <v>9923</v>
      </c>
      <c r="D1298" t="s">
        <v>153</v>
      </c>
      <c r="E1298" t="s">
        <v>272</v>
      </c>
      <c r="F1298" t="s">
        <v>9924</v>
      </c>
      <c r="G1298" t="s">
        <v>3233</v>
      </c>
      <c r="H1298" t="s">
        <v>3232</v>
      </c>
      <c r="I1298" t="s">
        <v>3233</v>
      </c>
      <c r="J1298" t="s">
        <v>1421</v>
      </c>
      <c r="K1298" t="s">
        <v>1422</v>
      </c>
      <c r="L1298" t="s">
        <v>50</v>
      </c>
      <c r="M1298" s="2">
        <v>138407.60999999999</v>
      </c>
      <c r="N1298" t="s">
        <v>9927</v>
      </c>
      <c r="O1298" t="s">
        <v>52</v>
      </c>
      <c r="P1298" t="str">
        <f>CONCATENATE("'",Tabla1[[#This Row],[Codigo]],"',")</f>
        <v>'02150',</v>
      </c>
    </row>
    <row r="1299" spans="1:16" x14ac:dyDescent="0.25">
      <c r="A1299" t="s">
        <v>9928</v>
      </c>
      <c r="B1299" t="s">
        <v>9929</v>
      </c>
      <c r="C1299" t="s">
        <v>9929</v>
      </c>
      <c r="D1299" t="s">
        <v>35</v>
      </c>
      <c r="E1299" t="s">
        <v>36</v>
      </c>
      <c r="F1299" t="s">
        <v>9930</v>
      </c>
      <c r="G1299" t="s">
        <v>3233</v>
      </c>
      <c r="H1299" t="s">
        <v>3232</v>
      </c>
      <c r="I1299" t="s">
        <v>3233</v>
      </c>
      <c r="J1299" t="s">
        <v>1421</v>
      </c>
      <c r="K1299" t="s">
        <v>1422</v>
      </c>
      <c r="L1299" t="s">
        <v>50</v>
      </c>
      <c r="M1299" s="2">
        <v>37045.1</v>
      </c>
      <c r="N1299" t="s">
        <v>9933</v>
      </c>
      <c r="O1299" t="s">
        <v>115</v>
      </c>
      <c r="P1299" t="str">
        <f>CONCATENATE("'",Tabla1[[#This Row],[Codigo]],"',")</f>
        <v>'02151',</v>
      </c>
    </row>
    <row r="1300" spans="1:16" x14ac:dyDescent="0.25">
      <c r="A1300" t="s">
        <v>9934</v>
      </c>
      <c r="B1300" t="s">
        <v>9935</v>
      </c>
      <c r="C1300" t="s">
        <v>9935</v>
      </c>
      <c r="D1300" t="s">
        <v>847</v>
      </c>
      <c r="E1300" t="s">
        <v>848</v>
      </c>
      <c r="F1300" t="s">
        <v>9936</v>
      </c>
      <c r="G1300" t="s">
        <v>9937</v>
      </c>
      <c r="H1300" t="s">
        <v>1362</v>
      </c>
      <c r="I1300" t="s">
        <v>1360</v>
      </c>
      <c r="J1300" t="s">
        <v>1212</v>
      </c>
      <c r="K1300" t="s">
        <v>1213</v>
      </c>
      <c r="L1300" t="s">
        <v>50</v>
      </c>
      <c r="M1300" s="2">
        <v>232878.3</v>
      </c>
      <c r="N1300" t="s">
        <v>9940</v>
      </c>
      <c r="O1300" t="s">
        <v>115</v>
      </c>
      <c r="P1300" t="str">
        <f>CONCATENATE("'",Tabla1[[#This Row],[Codigo]],"',")</f>
        <v>'02152',</v>
      </c>
    </row>
    <row r="1301" spans="1:16" x14ac:dyDescent="0.25">
      <c r="A1301" t="s">
        <v>9941</v>
      </c>
      <c r="B1301" t="s">
        <v>9942</v>
      </c>
      <c r="C1301" t="s">
        <v>9942</v>
      </c>
      <c r="D1301" t="s">
        <v>125</v>
      </c>
      <c r="E1301" t="s">
        <v>126</v>
      </c>
      <c r="F1301" t="s">
        <v>9943</v>
      </c>
      <c r="G1301" t="s">
        <v>2400</v>
      </c>
      <c r="H1301" t="s">
        <v>7747</v>
      </c>
      <c r="I1301" t="s">
        <v>2400</v>
      </c>
      <c r="J1301" t="s">
        <v>2320</v>
      </c>
      <c r="K1301" t="s">
        <v>2321</v>
      </c>
      <c r="L1301" t="s">
        <v>50</v>
      </c>
      <c r="M1301" s="2">
        <v>178976.86</v>
      </c>
      <c r="N1301" t="s">
        <v>9946</v>
      </c>
      <c r="O1301" t="s">
        <v>115</v>
      </c>
      <c r="P1301" t="str">
        <f>CONCATENATE("'",Tabla1[[#This Row],[Codigo]],"',")</f>
        <v>'02153',</v>
      </c>
    </row>
    <row r="1302" spans="1:16" x14ac:dyDescent="0.25">
      <c r="A1302" t="s">
        <v>9947</v>
      </c>
      <c r="B1302" t="s">
        <v>9948</v>
      </c>
      <c r="C1302" t="s">
        <v>9948</v>
      </c>
      <c r="D1302" t="s">
        <v>3221</v>
      </c>
      <c r="E1302" t="s">
        <v>224</v>
      </c>
      <c r="F1302" t="s">
        <v>9949</v>
      </c>
      <c r="G1302" t="s">
        <v>6058</v>
      </c>
      <c r="H1302" t="s">
        <v>6057</v>
      </c>
      <c r="I1302" t="s">
        <v>6058</v>
      </c>
      <c r="J1302" t="s">
        <v>5966</v>
      </c>
      <c r="K1302" t="s">
        <v>5739</v>
      </c>
      <c r="L1302" t="s">
        <v>50</v>
      </c>
      <c r="M1302" s="2">
        <v>65451</v>
      </c>
      <c r="N1302" t="s">
        <v>64</v>
      </c>
      <c r="P1302" t="str">
        <f>CONCATENATE("'",Tabla1[[#This Row],[Codigo]],"',")</f>
        <v>'02154',</v>
      </c>
    </row>
    <row r="1303" spans="1:16" x14ac:dyDescent="0.25">
      <c r="A1303" t="s">
        <v>9954</v>
      </c>
      <c r="B1303" t="s">
        <v>9955</v>
      </c>
      <c r="C1303" t="s">
        <v>9955</v>
      </c>
      <c r="D1303" t="s">
        <v>133</v>
      </c>
      <c r="E1303" t="s">
        <v>134</v>
      </c>
      <c r="F1303" t="s">
        <v>9956</v>
      </c>
      <c r="G1303" t="s">
        <v>1360</v>
      </c>
      <c r="H1303" t="s">
        <v>1362</v>
      </c>
      <c r="I1303" t="s">
        <v>1360</v>
      </c>
      <c r="J1303" t="s">
        <v>2320</v>
      </c>
      <c r="K1303" t="s">
        <v>2321</v>
      </c>
      <c r="L1303" t="s">
        <v>50</v>
      </c>
      <c r="M1303" s="2">
        <v>436340</v>
      </c>
      <c r="N1303" t="s">
        <v>64</v>
      </c>
      <c r="P1303" t="str">
        <f>CONCATENATE("'",Tabla1[[#This Row],[Codigo]],"',")</f>
        <v>'02157',</v>
      </c>
    </row>
    <row r="1304" spans="1:16" x14ac:dyDescent="0.25">
      <c r="A1304" t="s">
        <v>9958</v>
      </c>
      <c r="B1304" t="s">
        <v>15189</v>
      </c>
      <c r="C1304" t="s">
        <v>9959</v>
      </c>
      <c r="D1304" t="s">
        <v>125</v>
      </c>
      <c r="E1304" t="s">
        <v>126</v>
      </c>
      <c r="F1304" t="s">
        <v>9960</v>
      </c>
      <c r="G1304" t="s">
        <v>7147</v>
      </c>
      <c r="H1304" t="s">
        <v>6940</v>
      </c>
      <c r="I1304" t="s">
        <v>6939</v>
      </c>
      <c r="J1304" t="s">
        <v>3487</v>
      </c>
      <c r="K1304" t="s">
        <v>3488</v>
      </c>
      <c r="L1304" t="s">
        <v>50</v>
      </c>
      <c r="M1304" s="2">
        <v>730773.36</v>
      </c>
      <c r="N1304" t="s">
        <v>9962</v>
      </c>
      <c r="P1304" t="str">
        <f>CONCATENATE("'",Tabla1[[#This Row],[Codigo]],"',")</f>
        <v>'02159',</v>
      </c>
    </row>
    <row r="1305" spans="1:16" x14ac:dyDescent="0.25">
      <c r="A1305" t="s">
        <v>9963</v>
      </c>
      <c r="B1305" t="s">
        <v>15190</v>
      </c>
      <c r="C1305" t="s">
        <v>9964</v>
      </c>
      <c r="D1305" t="s">
        <v>125</v>
      </c>
      <c r="E1305" t="s">
        <v>126</v>
      </c>
      <c r="F1305" t="s">
        <v>9965</v>
      </c>
      <c r="G1305" t="s">
        <v>1222</v>
      </c>
      <c r="H1305" t="s">
        <v>1221</v>
      </c>
      <c r="I1305" t="s">
        <v>1222</v>
      </c>
      <c r="J1305" t="s">
        <v>205</v>
      </c>
      <c r="K1305" t="s">
        <v>206</v>
      </c>
      <c r="L1305" t="s">
        <v>50</v>
      </c>
      <c r="M1305" s="2">
        <v>-57375.6</v>
      </c>
      <c r="N1305" t="s">
        <v>9968</v>
      </c>
      <c r="O1305" t="s">
        <v>115</v>
      </c>
      <c r="P1305" t="str">
        <f>CONCATENATE("'",Tabla1[[#This Row],[Codigo]],"',")</f>
        <v>'02160',</v>
      </c>
    </row>
    <row r="1306" spans="1:16" x14ac:dyDescent="0.25">
      <c r="A1306" t="s">
        <v>9969</v>
      </c>
      <c r="B1306" t="s">
        <v>9970</v>
      </c>
      <c r="C1306" t="s">
        <v>9971</v>
      </c>
      <c r="D1306" t="s">
        <v>35</v>
      </c>
      <c r="E1306" t="s">
        <v>36</v>
      </c>
      <c r="F1306" t="s">
        <v>78</v>
      </c>
      <c r="G1306" t="s">
        <v>99</v>
      </c>
      <c r="H1306" t="s">
        <v>101</v>
      </c>
      <c r="I1306" t="s">
        <v>102</v>
      </c>
      <c r="J1306" t="s">
        <v>3487</v>
      </c>
      <c r="K1306" t="s">
        <v>3488</v>
      </c>
      <c r="L1306" t="s">
        <v>50</v>
      </c>
      <c r="M1306" s="2">
        <v>168551.71</v>
      </c>
      <c r="N1306" t="s">
        <v>9974</v>
      </c>
      <c r="O1306" t="s">
        <v>115</v>
      </c>
      <c r="P1306" t="str">
        <f>CONCATENATE("'",Tabla1[[#This Row],[Codigo]],"',")</f>
        <v>'02161',</v>
      </c>
    </row>
    <row r="1307" spans="1:16" x14ac:dyDescent="0.25">
      <c r="A1307" t="s">
        <v>9975</v>
      </c>
      <c r="B1307" t="s">
        <v>9976</v>
      </c>
      <c r="C1307" t="s">
        <v>9976</v>
      </c>
      <c r="D1307" t="s">
        <v>2286</v>
      </c>
      <c r="E1307" t="s">
        <v>134</v>
      </c>
      <c r="F1307" t="s">
        <v>9977</v>
      </c>
      <c r="G1307" t="s">
        <v>665</v>
      </c>
      <c r="H1307" t="s">
        <v>664</v>
      </c>
      <c r="I1307" t="s">
        <v>665</v>
      </c>
      <c r="J1307" t="s">
        <v>103</v>
      </c>
      <c r="K1307" t="s">
        <v>104</v>
      </c>
      <c r="L1307" t="s">
        <v>50</v>
      </c>
      <c r="M1307" s="2">
        <v>218170</v>
      </c>
      <c r="N1307" t="s">
        <v>64</v>
      </c>
      <c r="P1307" t="str">
        <f>CONCATENATE("'",Tabla1[[#This Row],[Codigo]],"',")</f>
        <v>'02162',</v>
      </c>
    </row>
    <row r="1308" spans="1:16" x14ac:dyDescent="0.25">
      <c r="A1308" t="s">
        <v>9980</v>
      </c>
      <c r="B1308" t="s">
        <v>9981</v>
      </c>
      <c r="C1308" t="s">
        <v>9981</v>
      </c>
      <c r="D1308" t="s">
        <v>1410</v>
      </c>
      <c r="E1308" t="s">
        <v>871</v>
      </c>
      <c r="F1308" t="s">
        <v>9982</v>
      </c>
      <c r="G1308" t="s">
        <v>9129</v>
      </c>
      <c r="H1308" t="s">
        <v>9130</v>
      </c>
      <c r="I1308" t="s">
        <v>9129</v>
      </c>
      <c r="J1308" t="s">
        <v>2320</v>
      </c>
      <c r="K1308" t="s">
        <v>2321</v>
      </c>
      <c r="L1308" t="s">
        <v>50</v>
      </c>
      <c r="M1308" s="2">
        <v>327255</v>
      </c>
      <c r="N1308" t="s">
        <v>64</v>
      </c>
      <c r="P1308" t="str">
        <f>CONCATENATE("'",Tabla1[[#This Row],[Codigo]],"',")</f>
        <v>'02163',</v>
      </c>
    </row>
    <row r="1309" spans="1:16" x14ac:dyDescent="0.25">
      <c r="A1309" t="s">
        <v>9988</v>
      </c>
      <c r="B1309" t="s">
        <v>9989</v>
      </c>
      <c r="C1309" t="s">
        <v>9989</v>
      </c>
      <c r="D1309" t="s">
        <v>5597</v>
      </c>
      <c r="E1309" t="s">
        <v>224</v>
      </c>
      <c r="F1309" t="s">
        <v>9990</v>
      </c>
      <c r="G1309" t="s">
        <v>81</v>
      </c>
      <c r="H1309" t="s">
        <v>80</v>
      </c>
      <c r="I1309" t="s">
        <v>81</v>
      </c>
      <c r="J1309" t="s">
        <v>557</v>
      </c>
      <c r="K1309" t="s">
        <v>558</v>
      </c>
      <c r="L1309" t="s">
        <v>50</v>
      </c>
      <c r="M1309" s="2">
        <v>218</v>
      </c>
      <c r="N1309" t="s">
        <v>64</v>
      </c>
      <c r="P1309" t="str">
        <f>CONCATENATE("'",Tabla1[[#This Row],[Codigo]],"',")</f>
        <v>'02166',</v>
      </c>
    </row>
    <row r="1310" spans="1:16" x14ac:dyDescent="0.25">
      <c r="A1310" t="s">
        <v>9993</v>
      </c>
      <c r="B1310" t="s">
        <v>15191</v>
      </c>
      <c r="C1310" t="s">
        <v>9994</v>
      </c>
      <c r="D1310" t="s">
        <v>125</v>
      </c>
      <c r="E1310" t="s">
        <v>126</v>
      </c>
      <c r="F1310" t="s">
        <v>9995</v>
      </c>
      <c r="G1310" t="s">
        <v>79</v>
      </c>
      <c r="H1310" t="s">
        <v>9996</v>
      </c>
      <c r="I1310" t="s">
        <v>9997</v>
      </c>
      <c r="J1310" t="s">
        <v>3487</v>
      </c>
      <c r="K1310" t="s">
        <v>3488</v>
      </c>
      <c r="L1310" t="s">
        <v>50</v>
      </c>
      <c r="M1310" s="2">
        <v>188479</v>
      </c>
      <c r="N1310" t="s">
        <v>64</v>
      </c>
      <c r="P1310" t="str">
        <f>CONCATENATE("'",Tabla1[[#This Row],[Codigo]],"',")</f>
        <v>'02167',</v>
      </c>
    </row>
    <row r="1311" spans="1:16" x14ac:dyDescent="0.25">
      <c r="A1311" t="s">
        <v>10006</v>
      </c>
      <c r="B1311" t="s">
        <v>15192</v>
      </c>
      <c r="C1311" t="s">
        <v>10007</v>
      </c>
      <c r="D1311" t="s">
        <v>847</v>
      </c>
      <c r="E1311" t="s">
        <v>848</v>
      </c>
      <c r="F1311" t="s">
        <v>10008</v>
      </c>
      <c r="G1311" t="s">
        <v>79</v>
      </c>
      <c r="H1311" t="s">
        <v>495</v>
      </c>
      <c r="I1311" t="s">
        <v>79</v>
      </c>
      <c r="J1311" t="s">
        <v>3487</v>
      </c>
      <c r="K1311" t="s">
        <v>3488</v>
      </c>
      <c r="L1311" t="s">
        <v>50</v>
      </c>
      <c r="M1311" s="2">
        <v>81484.19</v>
      </c>
      <c r="N1311" t="s">
        <v>10011</v>
      </c>
      <c r="O1311" t="s">
        <v>115</v>
      </c>
      <c r="P1311" t="str">
        <f>CONCATENATE("'",Tabla1[[#This Row],[Codigo]],"',")</f>
        <v>'02171',</v>
      </c>
    </row>
    <row r="1312" spans="1:16" x14ac:dyDescent="0.25">
      <c r="A1312" t="s">
        <v>10013</v>
      </c>
      <c r="B1312" t="s">
        <v>10014</v>
      </c>
      <c r="C1312" t="s">
        <v>10014</v>
      </c>
      <c r="D1312" t="s">
        <v>331</v>
      </c>
      <c r="E1312" t="s">
        <v>224</v>
      </c>
      <c r="F1312" t="s">
        <v>10015</v>
      </c>
      <c r="G1312" t="s">
        <v>10016</v>
      </c>
      <c r="H1312" t="s">
        <v>5741</v>
      </c>
      <c r="I1312" t="s">
        <v>5739</v>
      </c>
      <c r="J1312" t="s">
        <v>5966</v>
      </c>
      <c r="K1312" t="s">
        <v>5739</v>
      </c>
      <c r="L1312" t="s">
        <v>50</v>
      </c>
      <c r="M1312" s="2">
        <v>109085</v>
      </c>
      <c r="N1312" t="s">
        <v>64</v>
      </c>
      <c r="P1312" t="str">
        <f>CONCATENATE("'",Tabla1[[#This Row],[Codigo]],"',")</f>
        <v>'02173',</v>
      </c>
    </row>
    <row r="1313" spans="1:16" x14ac:dyDescent="0.25">
      <c r="A1313" t="s">
        <v>10021</v>
      </c>
      <c r="B1313" t="s">
        <v>10022</v>
      </c>
      <c r="C1313" t="s">
        <v>10022</v>
      </c>
      <c r="D1313" t="s">
        <v>847</v>
      </c>
      <c r="E1313" t="s">
        <v>848</v>
      </c>
      <c r="F1313" t="s">
        <v>10023</v>
      </c>
      <c r="G1313" t="s">
        <v>41</v>
      </c>
      <c r="H1313" t="s">
        <v>40</v>
      </c>
      <c r="I1313" t="s">
        <v>41</v>
      </c>
      <c r="J1313" t="s">
        <v>42</v>
      </c>
      <c r="K1313" t="s">
        <v>43</v>
      </c>
      <c r="L1313" t="s">
        <v>50</v>
      </c>
      <c r="M1313" s="2">
        <v>9458.08</v>
      </c>
      <c r="N1313" t="s">
        <v>10024</v>
      </c>
      <c r="P1313" t="str">
        <f>CONCATENATE("'",Tabla1[[#This Row],[Codigo]],"',")</f>
        <v>'02175',</v>
      </c>
    </row>
    <row r="1314" spans="1:16" x14ac:dyDescent="0.25">
      <c r="A1314" t="s">
        <v>10025</v>
      </c>
      <c r="B1314" t="s">
        <v>10026</v>
      </c>
      <c r="C1314" t="s">
        <v>10026</v>
      </c>
      <c r="D1314" t="s">
        <v>2120</v>
      </c>
      <c r="E1314" t="s">
        <v>224</v>
      </c>
      <c r="F1314" t="s">
        <v>10027</v>
      </c>
      <c r="G1314" t="s">
        <v>10028</v>
      </c>
      <c r="H1314" t="s">
        <v>254</v>
      </c>
      <c r="I1314" t="s">
        <v>255</v>
      </c>
      <c r="J1314" t="s">
        <v>4374</v>
      </c>
      <c r="K1314" t="s">
        <v>4375</v>
      </c>
      <c r="L1314" t="s">
        <v>50</v>
      </c>
      <c r="M1314" s="2">
        <v>130902</v>
      </c>
      <c r="N1314" t="s">
        <v>64</v>
      </c>
      <c r="P1314" t="str">
        <f>CONCATENATE("'",Tabla1[[#This Row],[Codigo]],"',")</f>
        <v>'02176',</v>
      </c>
    </row>
    <row r="1315" spans="1:16" x14ac:dyDescent="0.25">
      <c r="A1315" t="s">
        <v>10030</v>
      </c>
      <c r="B1315" t="s">
        <v>10031</v>
      </c>
      <c r="C1315" t="s">
        <v>10031</v>
      </c>
      <c r="D1315" t="s">
        <v>125</v>
      </c>
      <c r="E1315" t="s">
        <v>126</v>
      </c>
      <c r="F1315" t="s">
        <v>10032</v>
      </c>
      <c r="G1315" t="s">
        <v>303</v>
      </c>
      <c r="H1315" t="s">
        <v>302</v>
      </c>
      <c r="I1315" t="s">
        <v>303</v>
      </c>
      <c r="J1315" t="s">
        <v>304</v>
      </c>
      <c r="K1315" t="s">
        <v>72</v>
      </c>
      <c r="L1315" t="s">
        <v>50</v>
      </c>
      <c r="M1315" s="2">
        <v>432043.58</v>
      </c>
      <c r="N1315" t="s">
        <v>10035</v>
      </c>
      <c r="O1315" t="s">
        <v>115</v>
      </c>
      <c r="P1315" t="str">
        <f>CONCATENATE("'",Tabla1[[#This Row],[Codigo]],"',")</f>
        <v>'02177',</v>
      </c>
    </row>
    <row r="1316" spans="1:16" x14ac:dyDescent="0.25">
      <c r="A1316" t="s">
        <v>10036</v>
      </c>
      <c r="B1316" t="s">
        <v>10037</v>
      </c>
      <c r="C1316" t="s">
        <v>10037</v>
      </c>
      <c r="D1316" t="s">
        <v>2389</v>
      </c>
      <c r="E1316" t="s">
        <v>134</v>
      </c>
      <c r="F1316" t="s">
        <v>10038</v>
      </c>
      <c r="G1316" t="s">
        <v>41</v>
      </c>
      <c r="H1316" t="s">
        <v>40</v>
      </c>
      <c r="I1316" t="s">
        <v>41</v>
      </c>
      <c r="J1316" t="s">
        <v>61</v>
      </c>
      <c r="K1316" t="s">
        <v>62</v>
      </c>
      <c r="L1316" t="s">
        <v>50</v>
      </c>
      <c r="M1316" s="2">
        <v>218170</v>
      </c>
      <c r="N1316" t="s">
        <v>64</v>
      </c>
      <c r="P1316" t="str">
        <f>CONCATENATE("'",Tabla1[[#This Row],[Codigo]],"',")</f>
        <v>'02178',</v>
      </c>
    </row>
    <row r="1317" spans="1:16" x14ac:dyDescent="0.25">
      <c r="A1317" t="s">
        <v>10041</v>
      </c>
      <c r="B1317" t="s">
        <v>10042</v>
      </c>
      <c r="C1317" t="s">
        <v>10042</v>
      </c>
      <c r="D1317" t="s">
        <v>264</v>
      </c>
      <c r="E1317" t="s">
        <v>134</v>
      </c>
      <c r="F1317" t="s">
        <v>10043</v>
      </c>
      <c r="G1317" t="s">
        <v>2572</v>
      </c>
      <c r="H1317" t="s">
        <v>2571</v>
      </c>
      <c r="I1317" t="s">
        <v>2572</v>
      </c>
      <c r="J1317" t="s">
        <v>6987</v>
      </c>
      <c r="K1317" t="s">
        <v>6988</v>
      </c>
      <c r="L1317" t="s">
        <v>50</v>
      </c>
      <c r="M1317" s="2">
        <v>32726</v>
      </c>
      <c r="N1317" t="s">
        <v>64</v>
      </c>
      <c r="P1317" t="str">
        <f>CONCATENATE("'",Tabla1[[#This Row],[Codigo]],"',")</f>
        <v>'02179',</v>
      </c>
    </row>
    <row r="1318" spans="1:16" x14ac:dyDescent="0.25">
      <c r="A1318" t="s">
        <v>10046</v>
      </c>
      <c r="B1318" t="s">
        <v>10047</v>
      </c>
      <c r="C1318" t="s">
        <v>10047</v>
      </c>
      <c r="D1318" t="s">
        <v>178</v>
      </c>
      <c r="E1318" t="s">
        <v>179</v>
      </c>
      <c r="F1318" t="s">
        <v>10048</v>
      </c>
      <c r="G1318" t="s">
        <v>6728</v>
      </c>
      <c r="H1318" t="s">
        <v>6730</v>
      </c>
      <c r="I1318" t="s">
        <v>6728</v>
      </c>
      <c r="J1318" t="s">
        <v>557</v>
      </c>
      <c r="K1318" t="s">
        <v>558</v>
      </c>
      <c r="L1318" t="s">
        <v>50</v>
      </c>
      <c r="M1318" s="2">
        <v>60639.33</v>
      </c>
      <c r="N1318" t="s">
        <v>10050</v>
      </c>
      <c r="O1318" t="s">
        <v>115</v>
      </c>
      <c r="P1318" t="str">
        <f>CONCATENATE("'",Tabla1[[#This Row],[Codigo]],"',")</f>
        <v>'02180',</v>
      </c>
    </row>
    <row r="1319" spans="1:16" x14ac:dyDescent="0.25">
      <c r="A1319" t="s">
        <v>10051</v>
      </c>
      <c r="B1319" t="s">
        <v>10052</v>
      </c>
      <c r="C1319" t="s">
        <v>10052</v>
      </c>
      <c r="D1319" t="s">
        <v>1289</v>
      </c>
      <c r="E1319" t="s">
        <v>224</v>
      </c>
      <c r="F1319" t="s">
        <v>10053</v>
      </c>
      <c r="G1319" t="s">
        <v>1425</v>
      </c>
      <c r="H1319" t="s">
        <v>1427</v>
      </c>
      <c r="I1319" t="s">
        <v>1428</v>
      </c>
      <c r="J1319" t="s">
        <v>82</v>
      </c>
      <c r="K1319" t="s">
        <v>83</v>
      </c>
      <c r="L1319" t="s">
        <v>50</v>
      </c>
      <c r="M1319" s="2">
        <v>218170</v>
      </c>
      <c r="N1319" t="s">
        <v>64</v>
      </c>
      <c r="P1319" t="str">
        <f>CONCATENATE("'",Tabla1[[#This Row],[Codigo]],"',")</f>
        <v>'02181',</v>
      </c>
    </row>
    <row r="1320" spans="1:16" x14ac:dyDescent="0.25">
      <c r="A1320" t="s">
        <v>10056</v>
      </c>
      <c r="B1320" t="s">
        <v>10057</v>
      </c>
      <c r="C1320" t="s">
        <v>10057</v>
      </c>
      <c r="D1320" t="s">
        <v>35</v>
      </c>
      <c r="E1320" t="s">
        <v>36</v>
      </c>
      <c r="F1320" t="s">
        <v>10058</v>
      </c>
      <c r="G1320" t="s">
        <v>184</v>
      </c>
      <c r="H1320" t="s">
        <v>183</v>
      </c>
      <c r="I1320" t="s">
        <v>184</v>
      </c>
      <c r="J1320" t="s">
        <v>158</v>
      </c>
      <c r="K1320" t="s">
        <v>159</v>
      </c>
      <c r="L1320" t="s">
        <v>50</v>
      </c>
      <c r="M1320" s="2">
        <v>282644.81</v>
      </c>
      <c r="N1320" t="s">
        <v>10060</v>
      </c>
      <c r="O1320" t="s">
        <v>52</v>
      </c>
      <c r="P1320" t="str">
        <f>CONCATENATE("'",Tabla1[[#This Row],[Codigo]],"',")</f>
        <v>'02182',</v>
      </c>
    </row>
    <row r="1321" spans="1:16" x14ac:dyDescent="0.25">
      <c r="A1321" t="s">
        <v>10061</v>
      </c>
      <c r="B1321" t="s">
        <v>10062</v>
      </c>
      <c r="C1321" t="s">
        <v>10062</v>
      </c>
      <c r="D1321" t="s">
        <v>888</v>
      </c>
      <c r="E1321" t="s">
        <v>167</v>
      </c>
      <c r="F1321" t="s">
        <v>10063</v>
      </c>
      <c r="G1321" t="s">
        <v>7535</v>
      </c>
      <c r="H1321" t="s">
        <v>7534</v>
      </c>
      <c r="I1321" t="s">
        <v>7535</v>
      </c>
      <c r="J1321" t="s">
        <v>6987</v>
      </c>
      <c r="K1321" t="s">
        <v>6988</v>
      </c>
      <c r="L1321" t="s">
        <v>50</v>
      </c>
      <c r="M1321" s="2">
        <v>101480.77</v>
      </c>
      <c r="N1321" t="s">
        <v>10066</v>
      </c>
      <c r="O1321" t="s">
        <v>115</v>
      </c>
      <c r="P1321" t="str">
        <f>CONCATENATE("'",Tabla1[[#This Row],[Codigo]],"',")</f>
        <v>'02183',</v>
      </c>
    </row>
    <row r="1322" spans="1:16" x14ac:dyDescent="0.25">
      <c r="A1322" t="s">
        <v>10070</v>
      </c>
      <c r="B1322" t="s">
        <v>10071</v>
      </c>
      <c r="C1322" t="s">
        <v>10071</v>
      </c>
      <c r="D1322" t="s">
        <v>299</v>
      </c>
      <c r="E1322" t="s">
        <v>167</v>
      </c>
      <c r="F1322" t="s">
        <v>10069</v>
      </c>
      <c r="G1322" t="s">
        <v>7263</v>
      </c>
      <c r="H1322" t="s">
        <v>2571</v>
      </c>
      <c r="I1322" t="s">
        <v>2572</v>
      </c>
      <c r="J1322" t="s">
        <v>6987</v>
      </c>
      <c r="K1322" t="s">
        <v>6988</v>
      </c>
      <c r="L1322" t="s">
        <v>50</v>
      </c>
      <c r="M1322" s="2">
        <v>275574.34000000003</v>
      </c>
      <c r="N1322" t="s">
        <v>10074</v>
      </c>
      <c r="O1322" t="s">
        <v>115</v>
      </c>
      <c r="P1322" t="str">
        <f>CONCATENATE("'",Tabla1[[#This Row],[Codigo]],"',")</f>
        <v>'02185',</v>
      </c>
    </row>
    <row r="1323" spans="1:16" x14ac:dyDescent="0.25">
      <c r="A1323" t="s">
        <v>10075</v>
      </c>
      <c r="B1323" t="s">
        <v>10076</v>
      </c>
      <c r="C1323" t="s">
        <v>10071</v>
      </c>
      <c r="D1323" t="s">
        <v>888</v>
      </c>
      <c r="E1323" t="s">
        <v>167</v>
      </c>
      <c r="F1323" t="s">
        <v>10069</v>
      </c>
      <c r="G1323" t="s">
        <v>10077</v>
      </c>
      <c r="H1323" t="s">
        <v>10078</v>
      </c>
      <c r="I1323" t="s">
        <v>10079</v>
      </c>
      <c r="J1323" t="s">
        <v>6987</v>
      </c>
      <c r="K1323" t="s">
        <v>6988</v>
      </c>
      <c r="L1323" t="s">
        <v>50</v>
      </c>
      <c r="M1323" s="2">
        <v>131091.59</v>
      </c>
      <c r="N1323" t="s">
        <v>10080</v>
      </c>
      <c r="O1323" t="s">
        <v>115</v>
      </c>
      <c r="P1323" t="str">
        <f>CONCATENATE("'",Tabla1[[#This Row],[Codigo]],"',")</f>
        <v>'02186',</v>
      </c>
    </row>
    <row r="1324" spans="1:16" x14ac:dyDescent="0.25">
      <c r="A1324" t="s">
        <v>10081</v>
      </c>
      <c r="B1324" t="s">
        <v>10082</v>
      </c>
      <c r="C1324" t="s">
        <v>10082</v>
      </c>
      <c r="D1324" t="s">
        <v>3472</v>
      </c>
      <c r="E1324" t="s">
        <v>871</v>
      </c>
      <c r="F1324" t="s">
        <v>10083</v>
      </c>
      <c r="G1324" t="s">
        <v>7532</v>
      </c>
      <c r="H1324" t="s">
        <v>7534</v>
      </c>
      <c r="I1324" t="s">
        <v>7535</v>
      </c>
      <c r="J1324" t="s">
        <v>6987</v>
      </c>
      <c r="K1324" t="s">
        <v>6988</v>
      </c>
      <c r="L1324" t="s">
        <v>50</v>
      </c>
      <c r="M1324" s="2">
        <v>141811</v>
      </c>
      <c r="N1324" t="s">
        <v>64</v>
      </c>
      <c r="P1324" t="str">
        <f>CONCATENATE("'",Tabla1[[#This Row],[Codigo]],"',")</f>
        <v>'02187',</v>
      </c>
    </row>
    <row r="1325" spans="1:16" x14ac:dyDescent="0.25">
      <c r="A1325" t="s">
        <v>10086</v>
      </c>
      <c r="B1325" t="s">
        <v>10087</v>
      </c>
      <c r="C1325" t="s">
        <v>10087</v>
      </c>
      <c r="D1325" t="s">
        <v>125</v>
      </c>
      <c r="E1325" t="s">
        <v>126</v>
      </c>
      <c r="F1325" t="s">
        <v>10088</v>
      </c>
      <c r="G1325" t="s">
        <v>10089</v>
      </c>
      <c r="H1325" t="s">
        <v>10091</v>
      </c>
      <c r="I1325" t="s">
        <v>10092</v>
      </c>
      <c r="J1325" t="s">
        <v>10093</v>
      </c>
      <c r="K1325" t="s">
        <v>10094</v>
      </c>
      <c r="L1325" t="s">
        <v>50</v>
      </c>
      <c r="M1325" s="2">
        <v>2123422.73</v>
      </c>
      <c r="N1325" t="s">
        <v>10096</v>
      </c>
      <c r="O1325" t="s">
        <v>52</v>
      </c>
      <c r="P1325" t="str">
        <f>CONCATENATE("'",Tabla1[[#This Row],[Codigo]],"',")</f>
        <v>'02188',</v>
      </c>
    </row>
    <row r="1326" spans="1:16" x14ac:dyDescent="0.25">
      <c r="A1326" t="s">
        <v>10097</v>
      </c>
      <c r="B1326" t="s">
        <v>1471</v>
      </c>
      <c r="C1326" t="s">
        <v>1471</v>
      </c>
      <c r="D1326" t="s">
        <v>35</v>
      </c>
      <c r="E1326" t="s">
        <v>36</v>
      </c>
      <c r="F1326" t="s">
        <v>10098</v>
      </c>
      <c r="G1326" t="s">
        <v>9898</v>
      </c>
      <c r="H1326" t="s">
        <v>9897</v>
      </c>
      <c r="I1326" t="s">
        <v>9898</v>
      </c>
      <c r="J1326" t="s">
        <v>5966</v>
      </c>
      <c r="K1326" t="s">
        <v>5739</v>
      </c>
      <c r="L1326" t="s">
        <v>50</v>
      </c>
      <c r="M1326" s="2">
        <v>426775.97</v>
      </c>
      <c r="N1326" t="s">
        <v>10101</v>
      </c>
      <c r="P1326" t="str">
        <f>CONCATENATE("'",Tabla1[[#This Row],[Codigo]],"',")</f>
        <v>'02189',</v>
      </c>
    </row>
    <row r="1327" spans="1:16" x14ac:dyDescent="0.25">
      <c r="A1327" t="s">
        <v>10102</v>
      </c>
      <c r="B1327" t="s">
        <v>10103</v>
      </c>
      <c r="C1327" t="s">
        <v>10103</v>
      </c>
      <c r="D1327" t="s">
        <v>153</v>
      </c>
      <c r="E1327" t="s">
        <v>272</v>
      </c>
      <c r="F1327" t="s">
        <v>10104</v>
      </c>
      <c r="G1327" t="s">
        <v>10105</v>
      </c>
      <c r="H1327" t="s">
        <v>10106</v>
      </c>
      <c r="I1327" t="s">
        <v>10105</v>
      </c>
      <c r="J1327" t="s">
        <v>4315</v>
      </c>
      <c r="K1327" t="s">
        <v>4316</v>
      </c>
      <c r="L1327" t="s">
        <v>50</v>
      </c>
      <c r="M1327" s="2">
        <v>535743.17000000004</v>
      </c>
      <c r="N1327" t="s">
        <v>10108</v>
      </c>
      <c r="O1327" t="s">
        <v>52</v>
      </c>
      <c r="P1327" t="str">
        <f>CONCATENATE("'",Tabla1[[#This Row],[Codigo]],"',")</f>
        <v>'02190',</v>
      </c>
    </row>
    <row r="1328" spans="1:16" x14ac:dyDescent="0.25">
      <c r="A1328" t="s">
        <v>10109</v>
      </c>
      <c r="B1328" t="s">
        <v>15193</v>
      </c>
      <c r="C1328" t="s">
        <v>10110</v>
      </c>
      <c r="D1328" t="s">
        <v>478</v>
      </c>
      <c r="E1328" t="s">
        <v>190</v>
      </c>
      <c r="F1328" t="s">
        <v>10111</v>
      </c>
      <c r="G1328" t="s">
        <v>10112</v>
      </c>
      <c r="H1328" t="s">
        <v>6629</v>
      </c>
      <c r="I1328" t="s">
        <v>6630</v>
      </c>
      <c r="J1328" t="s">
        <v>3487</v>
      </c>
      <c r="K1328" t="s">
        <v>3488</v>
      </c>
      <c r="L1328" t="s">
        <v>50</v>
      </c>
      <c r="M1328" s="2">
        <v>1090850</v>
      </c>
      <c r="N1328" t="s">
        <v>64</v>
      </c>
      <c r="P1328" t="str">
        <f>CONCATENATE("'",Tabla1[[#This Row],[Codigo]],"',")</f>
        <v>'02191',</v>
      </c>
    </row>
    <row r="1329" spans="1:16" x14ac:dyDescent="0.25">
      <c r="A1329" t="s">
        <v>10115</v>
      </c>
      <c r="B1329" t="s">
        <v>10116</v>
      </c>
      <c r="C1329" t="s">
        <v>10116</v>
      </c>
      <c r="D1329" t="s">
        <v>2120</v>
      </c>
      <c r="E1329" t="s">
        <v>224</v>
      </c>
      <c r="F1329" t="s">
        <v>10117</v>
      </c>
      <c r="G1329" t="s">
        <v>10118</v>
      </c>
      <c r="H1329" t="s">
        <v>9148</v>
      </c>
      <c r="I1329" t="s">
        <v>9149</v>
      </c>
      <c r="J1329" t="s">
        <v>10093</v>
      </c>
      <c r="K1329" t="s">
        <v>10094</v>
      </c>
      <c r="L1329" t="s">
        <v>50</v>
      </c>
      <c r="M1329" s="2">
        <v>219870</v>
      </c>
      <c r="N1329" t="s">
        <v>64</v>
      </c>
      <c r="P1329" t="str">
        <f>CONCATENATE("'",Tabla1[[#This Row],[Codigo]],"',")</f>
        <v>'02192',</v>
      </c>
    </row>
    <row r="1330" spans="1:16" x14ac:dyDescent="0.25">
      <c r="A1330" t="s">
        <v>10122</v>
      </c>
      <c r="B1330" t="s">
        <v>10123</v>
      </c>
      <c r="C1330" t="s">
        <v>10123</v>
      </c>
      <c r="D1330" t="s">
        <v>133</v>
      </c>
      <c r="E1330" t="s">
        <v>134</v>
      </c>
      <c r="F1330" t="s">
        <v>10124</v>
      </c>
      <c r="G1330" t="s">
        <v>10125</v>
      </c>
      <c r="H1330" t="s">
        <v>10127</v>
      </c>
      <c r="I1330" t="s">
        <v>10128</v>
      </c>
      <c r="J1330" t="s">
        <v>10093</v>
      </c>
      <c r="K1330" t="s">
        <v>10094</v>
      </c>
      <c r="L1330" t="s">
        <v>50</v>
      </c>
      <c r="M1330" s="2">
        <v>436340</v>
      </c>
      <c r="N1330" t="s">
        <v>64</v>
      </c>
      <c r="P1330" t="str">
        <f>CONCATENATE("'",Tabla1[[#This Row],[Codigo]],"',")</f>
        <v>'02194',</v>
      </c>
    </row>
    <row r="1331" spans="1:16" x14ac:dyDescent="0.25">
      <c r="A1331" t="s">
        <v>10131</v>
      </c>
      <c r="B1331" t="s">
        <v>15194</v>
      </c>
      <c r="C1331" t="s">
        <v>10132</v>
      </c>
      <c r="D1331" t="s">
        <v>323</v>
      </c>
      <c r="E1331" t="s">
        <v>77</v>
      </c>
      <c r="F1331" t="s">
        <v>10133</v>
      </c>
      <c r="G1331" t="s">
        <v>10125</v>
      </c>
      <c r="H1331" t="s">
        <v>10127</v>
      </c>
      <c r="I1331" t="s">
        <v>10128</v>
      </c>
      <c r="J1331" t="s">
        <v>10093</v>
      </c>
      <c r="K1331" t="s">
        <v>10094</v>
      </c>
      <c r="L1331" t="s">
        <v>50</v>
      </c>
      <c r="M1331" s="2">
        <v>109085</v>
      </c>
      <c r="N1331" t="s">
        <v>64</v>
      </c>
      <c r="P1331" t="str">
        <f>CONCATENATE("'",Tabla1[[#This Row],[Codigo]],"',")</f>
        <v>'02195',</v>
      </c>
    </row>
    <row r="1332" spans="1:16" x14ac:dyDescent="0.25">
      <c r="A1332" t="s">
        <v>10135</v>
      </c>
      <c r="B1332" t="s">
        <v>10136</v>
      </c>
      <c r="C1332" t="s">
        <v>10136</v>
      </c>
      <c r="D1332" t="s">
        <v>125</v>
      </c>
      <c r="E1332" t="s">
        <v>126</v>
      </c>
      <c r="F1332" t="s">
        <v>10137</v>
      </c>
      <c r="G1332" t="s">
        <v>10105</v>
      </c>
      <c r="H1332" t="s">
        <v>10106</v>
      </c>
      <c r="I1332" t="s">
        <v>10105</v>
      </c>
      <c r="J1332" t="s">
        <v>10093</v>
      </c>
      <c r="K1332" t="s">
        <v>10094</v>
      </c>
      <c r="L1332" t="s">
        <v>50</v>
      </c>
      <c r="M1332" s="2">
        <v>798154.39</v>
      </c>
      <c r="N1332" t="s">
        <v>10140</v>
      </c>
      <c r="O1332" t="s">
        <v>52</v>
      </c>
      <c r="P1332" t="str">
        <f>CONCATENATE("'",Tabla1[[#This Row],[Codigo]],"',")</f>
        <v>'02196',</v>
      </c>
    </row>
    <row r="1333" spans="1:16" x14ac:dyDescent="0.25">
      <c r="A1333" t="s">
        <v>10152</v>
      </c>
      <c r="B1333" t="s">
        <v>10153</v>
      </c>
      <c r="C1333" t="s">
        <v>10153</v>
      </c>
      <c r="D1333" t="s">
        <v>498</v>
      </c>
      <c r="E1333" t="s">
        <v>190</v>
      </c>
      <c r="F1333" t="s">
        <v>10154</v>
      </c>
      <c r="G1333" t="s">
        <v>10155</v>
      </c>
      <c r="H1333" t="s">
        <v>10157</v>
      </c>
      <c r="I1333" t="s">
        <v>10155</v>
      </c>
      <c r="J1333" t="s">
        <v>10093</v>
      </c>
      <c r="K1333" t="s">
        <v>10094</v>
      </c>
      <c r="L1333" t="s">
        <v>50</v>
      </c>
      <c r="M1333" s="2">
        <v>589320</v>
      </c>
      <c r="N1333" t="s">
        <v>10159</v>
      </c>
      <c r="P1333" t="str">
        <f>CONCATENATE("'",Tabla1[[#This Row],[Codigo]],"',")</f>
        <v>'02199',</v>
      </c>
    </row>
    <row r="1334" spans="1:16" x14ac:dyDescent="0.25">
      <c r="A1334" t="s">
        <v>10160</v>
      </c>
      <c r="B1334" t="s">
        <v>10161</v>
      </c>
      <c r="C1334" t="s">
        <v>10161</v>
      </c>
      <c r="D1334" t="s">
        <v>35</v>
      </c>
      <c r="E1334" t="s">
        <v>36</v>
      </c>
      <c r="F1334" t="s">
        <v>10162</v>
      </c>
      <c r="G1334" t="s">
        <v>10163</v>
      </c>
      <c r="H1334" t="s">
        <v>10165</v>
      </c>
      <c r="I1334" t="s">
        <v>10163</v>
      </c>
      <c r="J1334" t="s">
        <v>10093</v>
      </c>
      <c r="K1334" t="s">
        <v>10094</v>
      </c>
      <c r="L1334" t="s">
        <v>50</v>
      </c>
      <c r="M1334" s="2">
        <v>536694.9</v>
      </c>
      <c r="N1334" t="s">
        <v>10169</v>
      </c>
      <c r="O1334" t="s">
        <v>115</v>
      </c>
      <c r="P1334" t="str">
        <f>CONCATENATE("'",Tabla1[[#This Row],[Codigo]],"',")</f>
        <v>'02200',</v>
      </c>
    </row>
    <row r="1335" spans="1:16" x14ac:dyDescent="0.25">
      <c r="A1335" t="s">
        <v>10170</v>
      </c>
      <c r="B1335" t="s">
        <v>10171</v>
      </c>
      <c r="C1335" t="s">
        <v>10171</v>
      </c>
      <c r="D1335" t="s">
        <v>153</v>
      </c>
      <c r="E1335" t="s">
        <v>272</v>
      </c>
      <c r="F1335" t="s">
        <v>10172</v>
      </c>
      <c r="G1335" t="s">
        <v>2400</v>
      </c>
      <c r="H1335" t="s">
        <v>7747</v>
      </c>
      <c r="I1335" t="s">
        <v>2400</v>
      </c>
      <c r="J1335" t="s">
        <v>6987</v>
      </c>
      <c r="K1335" t="s">
        <v>6988</v>
      </c>
      <c r="L1335" t="s">
        <v>50</v>
      </c>
      <c r="M1335" s="2">
        <v>47017.56</v>
      </c>
      <c r="N1335" t="s">
        <v>10175</v>
      </c>
      <c r="O1335" t="s">
        <v>52</v>
      </c>
      <c r="P1335" t="str">
        <f>CONCATENATE("'",Tabla1[[#This Row],[Codigo]],"',")</f>
        <v>'02201',</v>
      </c>
    </row>
    <row r="1336" spans="1:16" x14ac:dyDescent="0.25">
      <c r="A1336" t="s">
        <v>10176</v>
      </c>
      <c r="B1336" t="s">
        <v>10177</v>
      </c>
      <c r="C1336" t="s">
        <v>10177</v>
      </c>
      <c r="D1336" t="s">
        <v>125</v>
      </c>
      <c r="E1336" t="s">
        <v>126</v>
      </c>
      <c r="F1336" t="s">
        <v>10178</v>
      </c>
      <c r="G1336" t="s">
        <v>9110</v>
      </c>
      <c r="H1336" t="s">
        <v>9112</v>
      </c>
      <c r="I1336" t="s">
        <v>9110</v>
      </c>
      <c r="J1336" t="s">
        <v>1109</v>
      </c>
      <c r="K1336" t="s">
        <v>1110</v>
      </c>
      <c r="L1336" t="s">
        <v>50</v>
      </c>
      <c r="M1336" s="2">
        <v>610079.04</v>
      </c>
      <c r="N1336" t="s">
        <v>10181</v>
      </c>
      <c r="O1336" t="s">
        <v>52</v>
      </c>
      <c r="P1336" t="str">
        <f>CONCATENATE("'",Tabla1[[#This Row],[Codigo]],"',")</f>
        <v>'02202',</v>
      </c>
    </row>
    <row r="1337" spans="1:16" x14ac:dyDescent="0.25">
      <c r="A1337" t="s">
        <v>10182</v>
      </c>
      <c r="B1337" t="s">
        <v>10183</v>
      </c>
      <c r="C1337" t="s">
        <v>10183</v>
      </c>
      <c r="D1337" t="s">
        <v>344</v>
      </c>
      <c r="E1337" t="s">
        <v>167</v>
      </c>
      <c r="F1337" t="s">
        <v>10184</v>
      </c>
      <c r="G1337" t="s">
        <v>10185</v>
      </c>
      <c r="H1337" t="s">
        <v>10187</v>
      </c>
      <c r="I1337" t="s">
        <v>10185</v>
      </c>
      <c r="J1337" t="s">
        <v>6987</v>
      </c>
      <c r="K1337" t="s">
        <v>6988</v>
      </c>
      <c r="L1337" t="s">
        <v>50</v>
      </c>
      <c r="M1337" s="2">
        <v>-267069.46000000002</v>
      </c>
      <c r="N1337" t="s">
        <v>10189</v>
      </c>
      <c r="O1337" t="s">
        <v>115</v>
      </c>
      <c r="P1337" t="str">
        <f>CONCATENATE("'",Tabla1[[#This Row],[Codigo]],"',")</f>
        <v>'02203',</v>
      </c>
    </row>
    <row r="1338" spans="1:16" x14ac:dyDescent="0.25">
      <c r="A1338" t="s">
        <v>10190</v>
      </c>
      <c r="B1338" t="s">
        <v>10191</v>
      </c>
      <c r="C1338" t="s">
        <v>10191</v>
      </c>
      <c r="D1338" t="s">
        <v>223</v>
      </c>
      <c r="E1338" t="s">
        <v>224</v>
      </c>
      <c r="F1338" t="s">
        <v>10192</v>
      </c>
      <c r="G1338" t="s">
        <v>10163</v>
      </c>
      <c r="H1338" t="s">
        <v>10165</v>
      </c>
      <c r="I1338" t="s">
        <v>10163</v>
      </c>
      <c r="J1338" t="s">
        <v>10093</v>
      </c>
      <c r="K1338" t="s">
        <v>10094</v>
      </c>
      <c r="L1338" t="s">
        <v>50</v>
      </c>
      <c r="M1338" s="2">
        <v>283419.89</v>
      </c>
      <c r="N1338" t="s">
        <v>10195</v>
      </c>
      <c r="O1338" t="s">
        <v>115</v>
      </c>
      <c r="P1338" t="str">
        <f>CONCATENATE("'",Tabla1[[#This Row],[Codigo]],"',")</f>
        <v>'02204',</v>
      </c>
    </row>
    <row r="1339" spans="1:16" x14ac:dyDescent="0.25">
      <c r="A1339" t="s">
        <v>10196</v>
      </c>
      <c r="B1339" t="s">
        <v>10197</v>
      </c>
      <c r="C1339" t="s">
        <v>10197</v>
      </c>
      <c r="D1339" t="s">
        <v>344</v>
      </c>
      <c r="E1339" t="s">
        <v>167</v>
      </c>
      <c r="F1339" t="s">
        <v>10198</v>
      </c>
      <c r="G1339" t="s">
        <v>1029</v>
      </c>
      <c r="H1339" t="s">
        <v>1031</v>
      </c>
      <c r="I1339" t="s">
        <v>1029</v>
      </c>
      <c r="J1339" t="s">
        <v>103</v>
      </c>
      <c r="K1339" t="s">
        <v>104</v>
      </c>
      <c r="L1339" t="s">
        <v>50</v>
      </c>
      <c r="M1339" s="2">
        <v>22750.47</v>
      </c>
      <c r="N1339" t="s">
        <v>10201</v>
      </c>
      <c r="O1339" t="s">
        <v>52</v>
      </c>
      <c r="P1339" t="str">
        <f>CONCATENATE("'",Tabla1[[#This Row],[Codigo]],"',")</f>
        <v>'02206',</v>
      </c>
    </row>
    <row r="1340" spans="1:16" x14ac:dyDescent="0.25">
      <c r="A1340" t="s">
        <v>10202</v>
      </c>
      <c r="B1340" t="s">
        <v>10203</v>
      </c>
      <c r="C1340" t="s">
        <v>10203</v>
      </c>
      <c r="D1340" t="s">
        <v>153</v>
      </c>
      <c r="E1340" t="s">
        <v>272</v>
      </c>
      <c r="F1340" t="s">
        <v>10204</v>
      </c>
      <c r="G1340" t="s">
        <v>41</v>
      </c>
      <c r="H1340" t="s">
        <v>40</v>
      </c>
      <c r="I1340" t="s">
        <v>41</v>
      </c>
      <c r="J1340" t="s">
        <v>42</v>
      </c>
      <c r="K1340" t="s">
        <v>43</v>
      </c>
      <c r="L1340" t="s">
        <v>50</v>
      </c>
      <c r="M1340" s="2">
        <v>43634</v>
      </c>
      <c r="N1340" t="s">
        <v>64</v>
      </c>
      <c r="P1340" t="str">
        <f>CONCATENATE("'",Tabla1[[#This Row],[Codigo]],"',")</f>
        <v>'02207',</v>
      </c>
    </row>
    <row r="1341" spans="1:16" x14ac:dyDescent="0.25">
      <c r="A1341" t="s">
        <v>10206</v>
      </c>
      <c r="B1341" t="s">
        <v>10207</v>
      </c>
      <c r="C1341" t="s">
        <v>10207</v>
      </c>
      <c r="D1341" t="s">
        <v>1846</v>
      </c>
      <c r="E1341" t="s">
        <v>134</v>
      </c>
      <c r="F1341" t="s">
        <v>10208</v>
      </c>
      <c r="G1341" t="s">
        <v>1062</v>
      </c>
      <c r="H1341" t="s">
        <v>1064</v>
      </c>
      <c r="I1341" t="s">
        <v>1062</v>
      </c>
      <c r="J1341" t="s">
        <v>304</v>
      </c>
      <c r="K1341" t="s">
        <v>72</v>
      </c>
      <c r="L1341" t="s">
        <v>50</v>
      </c>
      <c r="M1341" s="2">
        <v>174536</v>
      </c>
      <c r="N1341" t="s">
        <v>64</v>
      </c>
      <c r="P1341" t="str">
        <f>CONCATENATE("'",Tabla1[[#This Row],[Codigo]],"',")</f>
        <v>'02208',</v>
      </c>
    </row>
    <row r="1342" spans="1:16" x14ac:dyDescent="0.25">
      <c r="A1342" t="s">
        <v>10211</v>
      </c>
      <c r="B1342" t="s">
        <v>10212</v>
      </c>
      <c r="C1342" t="s">
        <v>10212</v>
      </c>
      <c r="D1342" t="s">
        <v>125</v>
      </c>
      <c r="E1342" t="s">
        <v>126</v>
      </c>
      <c r="F1342" t="s">
        <v>10213</v>
      </c>
      <c r="G1342" t="s">
        <v>10214</v>
      </c>
      <c r="H1342" t="s">
        <v>10216</v>
      </c>
      <c r="I1342" t="s">
        <v>10214</v>
      </c>
      <c r="J1342" t="s">
        <v>10093</v>
      </c>
      <c r="K1342" t="s">
        <v>10094</v>
      </c>
      <c r="L1342" t="s">
        <v>50</v>
      </c>
      <c r="M1342" s="2">
        <v>511595.67</v>
      </c>
      <c r="N1342" t="s">
        <v>10218</v>
      </c>
      <c r="O1342" t="s">
        <v>52</v>
      </c>
      <c r="P1342" t="str">
        <f>CONCATENATE("'",Tabla1[[#This Row],[Codigo]],"',")</f>
        <v>'02209',</v>
      </c>
    </row>
    <row r="1343" spans="1:16" x14ac:dyDescent="0.25">
      <c r="A1343" t="s">
        <v>10219</v>
      </c>
      <c r="B1343" t="s">
        <v>10220</v>
      </c>
      <c r="C1343" t="s">
        <v>10220</v>
      </c>
      <c r="D1343" t="s">
        <v>297</v>
      </c>
      <c r="E1343" t="s">
        <v>167</v>
      </c>
      <c r="F1343" t="s">
        <v>10221</v>
      </c>
      <c r="G1343" t="s">
        <v>2399</v>
      </c>
      <c r="H1343" t="s">
        <v>10223</v>
      </c>
      <c r="I1343" t="s">
        <v>10224</v>
      </c>
      <c r="J1343" t="s">
        <v>6987</v>
      </c>
      <c r="K1343" t="s">
        <v>6988</v>
      </c>
      <c r="L1343" t="s">
        <v>50</v>
      </c>
      <c r="M1343" s="2">
        <v>58782.16</v>
      </c>
      <c r="N1343" t="s">
        <v>10226</v>
      </c>
      <c r="O1343" t="s">
        <v>115</v>
      </c>
      <c r="P1343" t="str">
        <f>CONCATENATE("'",Tabla1[[#This Row],[Codigo]],"',")</f>
        <v>'02210',</v>
      </c>
    </row>
    <row r="1344" spans="1:16" x14ac:dyDescent="0.25">
      <c r="A1344" t="s">
        <v>10229</v>
      </c>
      <c r="B1344" t="s">
        <v>10230</v>
      </c>
      <c r="C1344" t="s">
        <v>10230</v>
      </c>
      <c r="D1344" t="s">
        <v>169</v>
      </c>
      <c r="E1344" t="s">
        <v>190</v>
      </c>
      <c r="F1344" t="s">
        <v>10231</v>
      </c>
      <c r="G1344" t="s">
        <v>2572</v>
      </c>
      <c r="H1344" t="s">
        <v>2571</v>
      </c>
      <c r="I1344" t="s">
        <v>2572</v>
      </c>
      <c r="J1344" t="s">
        <v>6987</v>
      </c>
      <c r="K1344" t="s">
        <v>6988</v>
      </c>
      <c r="L1344" t="s">
        <v>50</v>
      </c>
      <c r="M1344" s="2">
        <v>222815.3</v>
      </c>
      <c r="N1344" t="s">
        <v>10234</v>
      </c>
      <c r="O1344" t="s">
        <v>115</v>
      </c>
      <c r="P1344" t="str">
        <f>CONCATENATE("'",Tabla1[[#This Row],[Codigo]],"',")</f>
        <v>'02212',</v>
      </c>
    </row>
    <row r="1345" spans="1:16" x14ac:dyDescent="0.25">
      <c r="A1345" t="s">
        <v>10235</v>
      </c>
      <c r="B1345" t="s">
        <v>10236</v>
      </c>
      <c r="C1345" t="s">
        <v>10236</v>
      </c>
      <c r="D1345" t="s">
        <v>125</v>
      </c>
      <c r="E1345" t="s">
        <v>126</v>
      </c>
      <c r="F1345" t="s">
        <v>10237</v>
      </c>
      <c r="G1345" t="s">
        <v>10141</v>
      </c>
      <c r="H1345" t="s">
        <v>10239</v>
      </c>
      <c r="I1345" t="s">
        <v>10240</v>
      </c>
      <c r="J1345" t="s">
        <v>10093</v>
      </c>
      <c r="K1345" t="s">
        <v>10094</v>
      </c>
      <c r="L1345" t="s">
        <v>50</v>
      </c>
      <c r="M1345" s="2">
        <v>154360.44</v>
      </c>
      <c r="N1345" t="s">
        <v>10244</v>
      </c>
      <c r="O1345" t="s">
        <v>52</v>
      </c>
      <c r="P1345" t="str">
        <f>CONCATENATE("'",Tabla1[[#This Row],[Codigo]],"',")</f>
        <v>'02213',</v>
      </c>
    </row>
    <row r="1346" spans="1:16" x14ac:dyDescent="0.25">
      <c r="A1346" t="s">
        <v>10245</v>
      </c>
      <c r="B1346" t="s">
        <v>10246</v>
      </c>
      <c r="C1346" t="s">
        <v>10246</v>
      </c>
      <c r="D1346" t="s">
        <v>847</v>
      </c>
      <c r="E1346" t="s">
        <v>848</v>
      </c>
      <c r="F1346" t="s">
        <v>10247</v>
      </c>
      <c r="G1346" t="s">
        <v>10141</v>
      </c>
      <c r="H1346" t="s">
        <v>7936</v>
      </c>
      <c r="I1346" t="s">
        <v>7935</v>
      </c>
      <c r="J1346" t="s">
        <v>10093</v>
      </c>
      <c r="K1346" t="s">
        <v>10094</v>
      </c>
      <c r="L1346" t="s">
        <v>50</v>
      </c>
      <c r="M1346" s="2">
        <v>437340.05</v>
      </c>
      <c r="N1346" t="s">
        <v>10250</v>
      </c>
      <c r="O1346" t="s">
        <v>52</v>
      </c>
      <c r="P1346" t="str">
        <f>CONCATENATE("'",Tabla1[[#This Row],[Codigo]],"',")</f>
        <v>'02214',</v>
      </c>
    </row>
    <row r="1347" spans="1:16" x14ac:dyDescent="0.25">
      <c r="A1347" t="s">
        <v>10258</v>
      </c>
      <c r="B1347" t="s">
        <v>10259</v>
      </c>
      <c r="C1347" t="s">
        <v>10259</v>
      </c>
      <c r="D1347" t="s">
        <v>9774</v>
      </c>
      <c r="E1347" t="s">
        <v>134</v>
      </c>
      <c r="F1347" t="s">
        <v>10260</v>
      </c>
      <c r="G1347" t="s">
        <v>119</v>
      </c>
      <c r="H1347" t="s">
        <v>118</v>
      </c>
      <c r="I1347" t="s">
        <v>119</v>
      </c>
      <c r="J1347" t="s">
        <v>120</v>
      </c>
      <c r="K1347" t="s">
        <v>121</v>
      </c>
      <c r="L1347" t="s">
        <v>50</v>
      </c>
      <c r="M1347" s="2">
        <v>1084617.57</v>
      </c>
      <c r="N1347" t="s">
        <v>10262</v>
      </c>
      <c r="O1347" t="s">
        <v>115</v>
      </c>
      <c r="P1347" t="str">
        <f>CONCATENATE("'",Tabla1[[#This Row],[Codigo]],"',")</f>
        <v>'02217',</v>
      </c>
    </row>
    <row r="1348" spans="1:16" x14ac:dyDescent="0.25">
      <c r="A1348" t="s">
        <v>10263</v>
      </c>
      <c r="B1348" t="s">
        <v>10264</v>
      </c>
      <c r="C1348" t="s">
        <v>10264</v>
      </c>
      <c r="D1348" t="s">
        <v>847</v>
      </c>
      <c r="E1348" t="s">
        <v>848</v>
      </c>
      <c r="F1348" t="s">
        <v>10265</v>
      </c>
      <c r="G1348" t="s">
        <v>81</v>
      </c>
      <c r="H1348" t="s">
        <v>80</v>
      </c>
      <c r="I1348" t="s">
        <v>81</v>
      </c>
      <c r="J1348" t="s">
        <v>557</v>
      </c>
      <c r="K1348" t="s">
        <v>558</v>
      </c>
      <c r="L1348" t="s">
        <v>50</v>
      </c>
      <c r="M1348" s="2">
        <v>7612.63</v>
      </c>
      <c r="N1348" t="s">
        <v>10268</v>
      </c>
      <c r="O1348" t="s">
        <v>52</v>
      </c>
      <c r="P1348" t="str">
        <f>CONCATENATE("'",Tabla1[[#This Row],[Codigo]],"',")</f>
        <v>'02218',</v>
      </c>
    </row>
    <row r="1349" spans="1:16" x14ac:dyDescent="0.25">
      <c r="A1349" t="s">
        <v>10269</v>
      </c>
      <c r="B1349" t="s">
        <v>10270</v>
      </c>
      <c r="C1349" t="s">
        <v>10270</v>
      </c>
      <c r="D1349" t="s">
        <v>35</v>
      </c>
      <c r="E1349" t="s">
        <v>36</v>
      </c>
      <c r="F1349" t="s">
        <v>10271</v>
      </c>
      <c r="G1349" t="s">
        <v>10141</v>
      </c>
      <c r="H1349" t="s">
        <v>7936</v>
      </c>
      <c r="I1349" t="s">
        <v>7935</v>
      </c>
      <c r="J1349" t="s">
        <v>10093</v>
      </c>
      <c r="K1349" t="s">
        <v>10094</v>
      </c>
      <c r="L1349" t="s">
        <v>50</v>
      </c>
      <c r="M1349" s="2">
        <v>1076730.8500000001</v>
      </c>
      <c r="N1349" t="s">
        <v>10274</v>
      </c>
      <c r="O1349" t="s">
        <v>52</v>
      </c>
      <c r="P1349" t="str">
        <f>CONCATENATE("'",Tabla1[[#This Row],[Codigo]],"',")</f>
        <v>'02219',</v>
      </c>
    </row>
    <row r="1350" spans="1:16" x14ac:dyDescent="0.25">
      <c r="A1350" t="s">
        <v>10292</v>
      </c>
      <c r="B1350" t="s">
        <v>10293</v>
      </c>
      <c r="C1350" t="s">
        <v>10293</v>
      </c>
      <c r="D1350" t="s">
        <v>125</v>
      </c>
      <c r="E1350" t="s">
        <v>126</v>
      </c>
      <c r="F1350" t="s">
        <v>10294</v>
      </c>
      <c r="G1350" t="s">
        <v>81</v>
      </c>
      <c r="H1350" t="s">
        <v>80</v>
      </c>
      <c r="I1350" t="s">
        <v>81</v>
      </c>
      <c r="J1350" t="s">
        <v>82</v>
      </c>
      <c r="K1350" t="s">
        <v>83</v>
      </c>
      <c r="L1350" t="s">
        <v>50</v>
      </c>
      <c r="M1350" s="2">
        <v>59400.89</v>
      </c>
      <c r="N1350" t="s">
        <v>10297</v>
      </c>
      <c r="O1350" t="s">
        <v>52</v>
      </c>
      <c r="P1350" t="str">
        <f>CONCATENATE("'",Tabla1[[#This Row],[Codigo]],"',")</f>
        <v>'02225',</v>
      </c>
    </row>
    <row r="1351" spans="1:16" x14ac:dyDescent="0.25">
      <c r="A1351" t="s">
        <v>10298</v>
      </c>
      <c r="B1351" t="s">
        <v>10299</v>
      </c>
      <c r="C1351" t="s">
        <v>10299</v>
      </c>
      <c r="D1351" t="s">
        <v>773</v>
      </c>
      <c r="E1351" t="s">
        <v>224</v>
      </c>
      <c r="F1351" t="s">
        <v>10300</v>
      </c>
      <c r="G1351" t="s">
        <v>9783</v>
      </c>
      <c r="H1351" t="s">
        <v>1427</v>
      </c>
      <c r="I1351" t="s">
        <v>1428</v>
      </c>
      <c r="J1351" t="s">
        <v>82</v>
      </c>
      <c r="K1351" t="s">
        <v>83</v>
      </c>
      <c r="L1351" t="s">
        <v>50</v>
      </c>
      <c r="M1351" s="2">
        <v>90376.06</v>
      </c>
      <c r="N1351" t="s">
        <v>10303</v>
      </c>
      <c r="O1351" t="s">
        <v>115</v>
      </c>
      <c r="P1351" t="str">
        <f>CONCATENATE("'",Tabla1[[#This Row],[Codigo]],"',")</f>
        <v>'02226',</v>
      </c>
    </row>
    <row r="1352" spans="1:16" x14ac:dyDescent="0.25">
      <c r="A1352" t="s">
        <v>10304</v>
      </c>
      <c r="B1352" t="s">
        <v>10305</v>
      </c>
      <c r="C1352" t="s">
        <v>10305</v>
      </c>
      <c r="D1352" t="s">
        <v>1865</v>
      </c>
      <c r="E1352" t="s">
        <v>224</v>
      </c>
      <c r="F1352" t="s">
        <v>10306</v>
      </c>
      <c r="G1352" t="s">
        <v>9783</v>
      </c>
      <c r="H1352" t="s">
        <v>1427</v>
      </c>
      <c r="I1352" t="s">
        <v>1428</v>
      </c>
      <c r="J1352" t="s">
        <v>82</v>
      </c>
      <c r="K1352" t="s">
        <v>83</v>
      </c>
      <c r="L1352" t="s">
        <v>50</v>
      </c>
      <c r="M1352" s="2">
        <v>174536</v>
      </c>
      <c r="N1352" t="s">
        <v>64</v>
      </c>
      <c r="P1352" t="str">
        <f>CONCATENATE("'",Tabla1[[#This Row],[Codigo]],"',")</f>
        <v>'02227',</v>
      </c>
    </row>
    <row r="1353" spans="1:16" x14ac:dyDescent="0.25">
      <c r="A1353" t="s">
        <v>10309</v>
      </c>
      <c r="B1353" t="s">
        <v>10310</v>
      </c>
      <c r="C1353" t="s">
        <v>10310</v>
      </c>
      <c r="D1353" t="s">
        <v>2687</v>
      </c>
      <c r="E1353" t="s">
        <v>190</v>
      </c>
      <c r="F1353" t="s">
        <v>10311</v>
      </c>
      <c r="G1353" t="s">
        <v>7090</v>
      </c>
      <c r="H1353" t="s">
        <v>7089</v>
      </c>
      <c r="I1353" t="s">
        <v>7090</v>
      </c>
      <c r="J1353" t="s">
        <v>557</v>
      </c>
      <c r="K1353" t="s">
        <v>558</v>
      </c>
      <c r="L1353" t="s">
        <v>50</v>
      </c>
      <c r="M1353" s="2">
        <v>174536</v>
      </c>
      <c r="N1353" t="s">
        <v>64</v>
      </c>
      <c r="P1353" t="str">
        <f>CONCATENATE("'",Tabla1[[#This Row],[Codigo]],"',")</f>
        <v>'02228',</v>
      </c>
    </row>
    <row r="1354" spans="1:16" x14ac:dyDescent="0.25">
      <c r="A1354" t="s">
        <v>10314</v>
      </c>
      <c r="B1354" t="s">
        <v>10315</v>
      </c>
      <c r="C1354" t="s">
        <v>10315</v>
      </c>
      <c r="D1354" t="s">
        <v>35</v>
      </c>
      <c r="E1354" t="s">
        <v>36</v>
      </c>
      <c r="F1354" t="s">
        <v>10316</v>
      </c>
      <c r="G1354" t="s">
        <v>81</v>
      </c>
      <c r="H1354" t="s">
        <v>80</v>
      </c>
      <c r="I1354" t="s">
        <v>81</v>
      </c>
      <c r="J1354" t="s">
        <v>557</v>
      </c>
      <c r="K1354" t="s">
        <v>558</v>
      </c>
      <c r="L1354" t="s">
        <v>50</v>
      </c>
      <c r="M1354" s="2">
        <v>174536</v>
      </c>
      <c r="N1354" t="s">
        <v>64</v>
      </c>
      <c r="P1354" t="str">
        <f>CONCATENATE("'",Tabla1[[#This Row],[Codigo]],"',")</f>
        <v>'02229',</v>
      </c>
    </row>
    <row r="1355" spans="1:16" x14ac:dyDescent="0.25">
      <c r="A1355" t="s">
        <v>10318</v>
      </c>
      <c r="B1355" t="s">
        <v>10319</v>
      </c>
      <c r="C1355" t="s">
        <v>10319</v>
      </c>
      <c r="D1355" t="s">
        <v>847</v>
      </c>
      <c r="E1355" t="s">
        <v>848</v>
      </c>
      <c r="F1355" t="s">
        <v>10320</v>
      </c>
      <c r="G1355" t="s">
        <v>8687</v>
      </c>
      <c r="H1355" t="s">
        <v>8689</v>
      </c>
      <c r="I1355" t="s">
        <v>8687</v>
      </c>
      <c r="J1355" t="s">
        <v>4853</v>
      </c>
      <c r="K1355" t="s">
        <v>4854</v>
      </c>
      <c r="L1355" t="s">
        <v>50</v>
      </c>
      <c r="M1355" s="2">
        <v>436340</v>
      </c>
      <c r="N1355" t="s">
        <v>64</v>
      </c>
      <c r="P1355" t="str">
        <f>CONCATENATE("'",Tabla1[[#This Row],[Codigo]],"',")</f>
        <v>'02230',</v>
      </c>
    </row>
    <row r="1356" spans="1:16" x14ac:dyDescent="0.25">
      <c r="A1356" t="s">
        <v>10322</v>
      </c>
      <c r="B1356" t="s">
        <v>10323</v>
      </c>
      <c r="C1356" t="s">
        <v>10323</v>
      </c>
      <c r="D1356" t="s">
        <v>153</v>
      </c>
      <c r="E1356" t="s">
        <v>272</v>
      </c>
      <c r="F1356" t="s">
        <v>10324</v>
      </c>
      <c r="G1356" t="s">
        <v>5202</v>
      </c>
      <c r="H1356" t="s">
        <v>5201</v>
      </c>
      <c r="I1356" t="s">
        <v>5202</v>
      </c>
      <c r="J1356" t="s">
        <v>4853</v>
      </c>
      <c r="K1356" t="s">
        <v>4854</v>
      </c>
      <c r="L1356" t="s">
        <v>50</v>
      </c>
      <c r="M1356" s="2">
        <v>393655.93</v>
      </c>
      <c r="N1356" t="s">
        <v>10327</v>
      </c>
      <c r="O1356" t="s">
        <v>52</v>
      </c>
      <c r="P1356" t="str">
        <f>CONCATENATE("'",Tabla1[[#This Row],[Codigo]],"',")</f>
        <v>'02231',</v>
      </c>
    </row>
    <row r="1357" spans="1:16" x14ac:dyDescent="0.25">
      <c r="A1357" t="s">
        <v>10333</v>
      </c>
      <c r="B1357" t="s">
        <v>10334</v>
      </c>
      <c r="C1357" t="s">
        <v>10334</v>
      </c>
      <c r="D1357" t="s">
        <v>35</v>
      </c>
      <c r="E1357" t="s">
        <v>36</v>
      </c>
      <c r="F1357" t="s">
        <v>10335</v>
      </c>
      <c r="G1357" t="s">
        <v>7376</v>
      </c>
      <c r="H1357" t="s">
        <v>7375</v>
      </c>
      <c r="I1357" t="s">
        <v>7376</v>
      </c>
      <c r="J1357" t="s">
        <v>5966</v>
      </c>
      <c r="K1357" t="s">
        <v>5739</v>
      </c>
      <c r="L1357" t="s">
        <v>50</v>
      </c>
      <c r="M1357" s="2">
        <v>214561.96</v>
      </c>
      <c r="N1357" t="s">
        <v>10337</v>
      </c>
      <c r="O1357" t="s">
        <v>52</v>
      </c>
      <c r="P1357" t="str">
        <f>CONCATENATE("'",Tabla1[[#This Row],[Codigo]],"',")</f>
        <v>'02233',</v>
      </c>
    </row>
    <row r="1358" spans="1:16" x14ac:dyDescent="0.25">
      <c r="A1358" t="s">
        <v>10338</v>
      </c>
      <c r="B1358" t="s">
        <v>10339</v>
      </c>
      <c r="C1358" t="s">
        <v>10339</v>
      </c>
      <c r="D1358" t="s">
        <v>125</v>
      </c>
      <c r="E1358" t="s">
        <v>126</v>
      </c>
      <c r="F1358" t="s">
        <v>10340</v>
      </c>
      <c r="G1358" t="s">
        <v>10341</v>
      </c>
      <c r="H1358" t="s">
        <v>10343</v>
      </c>
      <c r="I1358" t="s">
        <v>10344</v>
      </c>
      <c r="J1358" t="s">
        <v>10093</v>
      </c>
      <c r="K1358" t="s">
        <v>10094</v>
      </c>
      <c r="L1358" t="s">
        <v>50</v>
      </c>
      <c r="M1358" s="2">
        <v>1483129.88</v>
      </c>
      <c r="N1358" t="s">
        <v>10346</v>
      </c>
      <c r="O1358" t="s">
        <v>52</v>
      </c>
      <c r="P1358" t="str">
        <f>CONCATENATE("'",Tabla1[[#This Row],[Codigo]],"',")</f>
        <v>'02234',</v>
      </c>
    </row>
    <row r="1359" spans="1:16" x14ac:dyDescent="0.25">
      <c r="A1359" t="s">
        <v>10347</v>
      </c>
      <c r="B1359" t="s">
        <v>10348</v>
      </c>
      <c r="C1359" t="s">
        <v>10348</v>
      </c>
      <c r="D1359" t="s">
        <v>125</v>
      </c>
      <c r="E1359" t="s">
        <v>126</v>
      </c>
      <c r="F1359" t="s">
        <v>10349</v>
      </c>
      <c r="G1359" t="s">
        <v>10350</v>
      </c>
      <c r="H1359" t="s">
        <v>10352</v>
      </c>
      <c r="I1359" t="s">
        <v>10350</v>
      </c>
      <c r="J1359" t="s">
        <v>10093</v>
      </c>
      <c r="K1359" t="s">
        <v>10094</v>
      </c>
      <c r="L1359" t="s">
        <v>50</v>
      </c>
      <c r="M1359" s="2">
        <v>1718654.96</v>
      </c>
      <c r="N1359" t="s">
        <v>10354</v>
      </c>
      <c r="O1359" t="s">
        <v>52</v>
      </c>
      <c r="P1359" t="str">
        <f>CONCATENATE("'",Tabla1[[#This Row],[Codigo]],"',")</f>
        <v>'02235',</v>
      </c>
    </row>
    <row r="1360" spans="1:16" x14ac:dyDescent="0.25">
      <c r="A1360" t="s">
        <v>10355</v>
      </c>
      <c r="B1360" t="s">
        <v>10356</v>
      </c>
      <c r="C1360" t="s">
        <v>10356</v>
      </c>
      <c r="D1360" t="s">
        <v>125</v>
      </c>
      <c r="E1360" t="s">
        <v>126</v>
      </c>
      <c r="F1360" t="s">
        <v>10357</v>
      </c>
      <c r="G1360" t="s">
        <v>10089</v>
      </c>
      <c r="H1360" t="s">
        <v>10091</v>
      </c>
      <c r="I1360" t="s">
        <v>10092</v>
      </c>
      <c r="J1360" t="s">
        <v>10093</v>
      </c>
      <c r="K1360" t="s">
        <v>10094</v>
      </c>
      <c r="L1360" t="s">
        <v>50</v>
      </c>
      <c r="M1360" s="2">
        <v>1217711.6599999999</v>
      </c>
      <c r="N1360" t="s">
        <v>10360</v>
      </c>
      <c r="O1360" t="s">
        <v>52</v>
      </c>
      <c r="P1360" t="str">
        <f>CONCATENATE("'",Tabla1[[#This Row],[Codigo]],"',")</f>
        <v>'02236',</v>
      </c>
    </row>
    <row r="1361" spans="1:16" x14ac:dyDescent="0.25">
      <c r="A1361" t="s">
        <v>10364</v>
      </c>
      <c r="B1361" t="s">
        <v>10365</v>
      </c>
      <c r="C1361" t="s">
        <v>10365</v>
      </c>
      <c r="D1361" t="s">
        <v>153</v>
      </c>
      <c r="E1361" t="s">
        <v>272</v>
      </c>
      <c r="F1361" t="s">
        <v>10366</v>
      </c>
      <c r="G1361" t="s">
        <v>10141</v>
      </c>
      <c r="H1361" t="s">
        <v>7936</v>
      </c>
      <c r="I1361" t="s">
        <v>7935</v>
      </c>
      <c r="J1361" t="s">
        <v>10093</v>
      </c>
      <c r="K1361" t="s">
        <v>10094</v>
      </c>
      <c r="L1361" t="s">
        <v>50</v>
      </c>
      <c r="M1361" s="2">
        <v>863343.33</v>
      </c>
      <c r="N1361" t="s">
        <v>10369</v>
      </c>
      <c r="P1361" t="str">
        <f>CONCATENATE("'",Tabla1[[#This Row],[Codigo]],"',")</f>
        <v>'02239',</v>
      </c>
    </row>
    <row r="1362" spans="1:16" x14ac:dyDescent="0.25">
      <c r="A1362" t="s">
        <v>10372</v>
      </c>
      <c r="B1362" t="s">
        <v>10373</v>
      </c>
      <c r="C1362" t="s">
        <v>10373</v>
      </c>
      <c r="D1362" t="s">
        <v>125</v>
      </c>
      <c r="E1362" t="s">
        <v>126</v>
      </c>
      <c r="F1362" t="s">
        <v>10366</v>
      </c>
      <c r="G1362" t="s">
        <v>10141</v>
      </c>
      <c r="H1362" t="s">
        <v>10374</v>
      </c>
      <c r="I1362" t="s">
        <v>10375</v>
      </c>
      <c r="J1362" t="s">
        <v>10093</v>
      </c>
      <c r="K1362" t="s">
        <v>10094</v>
      </c>
      <c r="L1362" t="s">
        <v>50</v>
      </c>
      <c r="M1362" s="2">
        <v>769600.82</v>
      </c>
      <c r="N1362" t="s">
        <v>10376</v>
      </c>
      <c r="O1362" t="s">
        <v>52</v>
      </c>
      <c r="P1362" t="str">
        <f>CONCATENATE("'",Tabla1[[#This Row],[Codigo]],"',")</f>
        <v>'02241',</v>
      </c>
    </row>
    <row r="1363" spans="1:16" x14ac:dyDescent="0.25">
      <c r="A1363" t="s">
        <v>10377</v>
      </c>
      <c r="B1363" t="s">
        <v>10378</v>
      </c>
      <c r="C1363" t="s">
        <v>10378</v>
      </c>
      <c r="D1363" t="s">
        <v>35</v>
      </c>
      <c r="E1363" t="s">
        <v>36</v>
      </c>
      <c r="F1363" t="s">
        <v>10366</v>
      </c>
      <c r="G1363" t="s">
        <v>10141</v>
      </c>
      <c r="H1363" t="s">
        <v>7936</v>
      </c>
      <c r="I1363" t="s">
        <v>7935</v>
      </c>
      <c r="J1363" t="s">
        <v>10093</v>
      </c>
      <c r="K1363" t="s">
        <v>10094</v>
      </c>
      <c r="L1363" t="s">
        <v>50</v>
      </c>
      <c r="M1363" s="2">
        <v>1174350</v>
      </c>
      <c r="N1363" t="s">
        <v>64</v>
      </c>
      <c r="P1363" t="str">
        <f>CONCATENATE("'",Tabla1[[#This Row],[Codigo]],"',")</f>
        <v>'02242',</v>
      </c>
    </row>
    <row r="1364" spans="1:16" x14ac:dyDescent="0.25">
      <c r="A1364" t="s">
        <v>10379</v>
      </c>
      <c r="B1364" t="s">
        <v>10380</v>
      </c>
      <c r="C1364" t="s">
        <v>10380</v>
      </c>
      <c r="D1364" t="s">
        <v>192</v>
      </c>
      <c r="E1364" t="s">
        <v>224</v>
      </c>
      <c r="F1364" t="s">
        <v>9578</v>
      </c>
      <c r="G1364" t="s">
        <v>6113</v>
      </c>
      <c r="H1364" t="s">
        <v>5741</v>
      </c>
      <c r="I1364" t="s">
        <v>5739</v>
      </c>
      <c r="J1364" t="s">
        <v>5966</v>
      </c>
      <c r="K1364" t="s">
        <v>5739</v>
      </c>
      <c r="L1364" t="s">
        <v>50</v>
      </c>
      <c r="M1364" s="2">
        <v>221671.29</v>
      </c>
      <c r="N1364" t="s">
        <v>10382</v>
      </c>
      <c r="O1364" t="s">
        <v>115</v>
      </c>
      <c r="P1364" t="str">
        <f>CONCATENATE("'",Tabla1[[#This Row],[Codigo]],"',")</f>
        <v>'02243',</v>
      </c>
    </row>
    <row r="1365" spans="1:16" x14ac:dyDescent="0.25">
      <c r="A1365" t="s">
        <v>10383</v>
      </c>
      <c r="B1365" t="s">
        <v>10384</v>
      </c>
      <c r="C1365" t="s">
        <v>10384</v>
      </c>
      <c r="D1365" t="s">
        <v>125</v>
      </c>
      <c r="E1365" t="s">
        <v>126</v>
      </c>
      <c r="F1365" t="s">
        <v>10385</v>
      </c>
      <c r="G1365" t="s">
        <v>5930</v>
      </c>
      <c r="H1365" t="s">
        <v>5929</v>
      </c>
      <c r="I1365" t="s">
        <v>5930</v>
      </c>
      <c r="J1365" t="s">
        <v>1363</v>
      </c>
      <c r="K1365" t="s">
        <v>1364</v>
      </c>
      <c r="L1365" t="s">
        <v>50</v>
      </c>
      <c r="M1365" s="2">
        <v>37764.089999999997</v>
      </c>
      <c r="N1365" t="s">
        <v>10388</v>
      </c>
      <c r="O1365" t="s">
        <v>52</v>
      </c>
      <c r="P1365" t="str">
        <f>CONCATENATE("'",Tabla1[[#This Row],[Codigo]],"',")</f>
        <v>'02244',</v>
      </c>
    </row>
    <row r="1366" spans="1:16" x14ac:dyDescent="0.25">
      <c r="A1366" t="s">
        <v>10389</v>
      </c>
      <c r="B1366" t="s">
        <v>10390</v>
      </c>
      <c r="C1366" t="s">
        <v>10390</v>
      </c>
      <c r="D1366" t="s">
        <v>847</v>
      </c>
      <c r="E1366" t="s">
        <v>848</v>
      </c>
      <c r="F1366" t="s">
        <v>10391</v>
      </c>
      <c r="G1366" t="s">
        <v>81</v>
      </c>
      <c r="H1366" t="s">
        <v>80</v>
      </c>
      <c r="I1366" t="s">
        <v>81</v>
      </c>
      <c r="J1366" t="s">
        <v>557</v>
      </c>
      <c r="K1366" t="s">
        <v>558</v>
      </c>
      <c r="L1366" t="s">
        <v>50</v>
      </c>
      <c r="M1366" s="2">
        <v>166979.75</v>
      </c>
      <c r="N1366" t="s">
        <v>10394</v>
      </c>
      <c r="O1366" t="s">
        <v>52</v>
      </c>
      <c r="P1366" t="str">
        <f>CONCATENATE("'",Tabla1[[#This Row],[Codigo]],"',")</f>
        <v>'02245',</v>
      </c>
    </row>
    <row r="1367" spans="1:16" x14ac:dyDescent="0.25">
      <c r="A1367" t="s">
        <v>10403</v>
      </c>
      <c r="B1367" t="s">
        <v>10404</v>
      </c>
      <c r="C1367" t="s">
        <v>10404</v>
      </c>
      <c r="D1367" t="s">
        <v>569</v>
      </c>
      <c r="E1367" t="s">
        <v>570</v>
      </c>
      <c r="F1367" t="s">
        <v>10405</v>
      </c>
      <c r="G1367" t="s">
        <v>10141</v>
      </c>
      <c r="H1367" t="s">
        <v>7936</v>
      </c>
      <c r="I1367" t="s">
        <v>7935</v>
      </c>
      <c r="J1367" t="s">
        <v>10093</v>
      </c>
      <c r="K1367" t="s">
        <v>10094</v>
      </c>
      <c r="L1367" t="s">
        <v>50</v>
      </c>
      <c r="M1367" s="2">
        <v>211916.15</v>
      </c>
      <c r="N1367" t="s">
        <v>10408</v>
      </c>
      <c r="O1367" t="s">
        <v>52</v>
      </c>
      <c r="P1367" t="str">
        <f>CONCATENATE("'",Tabla1[[#This Row],[Codigo]],"',")</f>
        <v>'02249',</v>
      </c>
    </row>
    <row r="1368" spans="1:16" x14ac:dyDescent="0.25">
      <c r="A1368" t="s">
        <v>10411</v>
      </c>
      <c r="B1368" t="s">
        <v>10412</v>
      </c>
      <c r="C1368" t="s">
        <v>10412</v>
      </c>
      <c r="D1368" t="s">
        <v>1520</v>
      </c>
      <c r="E1368" t="s">
        <v>224</v>
      </c>
      <c r="F1368" t="s">
        <v>10413</v>
      </c>
      <c r="G1368" t="s">
        <v>9767</v>
      </c>
      <c r="H1368" t="s">
        <v>9769</v>
      </c>
      <c r="I1368" t="s">
        <v>9767</v>
      </c>
      <c r="J1368" t="s">
        <v>5966</v>
      </c>
      <c r="K1368" t="s">
        <v>5739</v>
      </c>
      <c r="L1368" t="s">
        <v>50</v>
      </c>
      <c r="M1368" s="2">
        <v>21817</v>
      </c>
      <c r="N1368" t="s">
        <v>64</v>
      </c>
      <c r="P1368" t="str">
        <f>CONCATENATE("'",Tabla1[[#This Row],[Codigo]],"',")</f>
        <v>'02251',</v>
      </c>
    </row>
    <row r="1369" spans="1:16" x14ac:dyDescent="0.25">
      <c r="A1369" t="s">
        <v>10416</v>
      </c>
      <c r="B1369" t="s">
        <v>10417</v>
      </c>
      <c r="C1369" t="s">
        <v>10417</v>
      </c>
      <c r="D1369" t="s">
        <v>125</v>
      </c>
      <c r="E1369" t="s">
        <v>126</v>
      </c>
      <c r="F1369" t="s">
        <v>10418</v>
      </c>
      <c r="G1369" t="s">
        <v>10155</v>
      </c>
      <c r="H1369" t="s">
        <v>10157</v>
      </c>
      <c r="I1369" t="s">
        <v>10155</v>
      </c>
      <c r="J1369" t="s">
        <v>10093</v>
      </c>
      <c r="K1369" t="s">
        <v>10094</v>
      </c>
      <c r="L1369" t="s">
        <v>50</v>
      </c>
      <c r="M1369" s="2">
        <v>413860.99</v>
      </c>
      <c r="N1369" t="s">
        <v>10421</v>
      </c>
      <c r="O1369" t="s">
        <v>52</v>
      </c>
      <c r="P1369" t="str">
        <f>CONCATENATE("'",Tabla1[[#This Row],[Codigo]],"',")</f>
        <v>'02252',</v>
      </c>
    </row>
    <row r="1370" spans="1:16" x14ac:dyDescent="0.25">
      <c r="A1370" t="s">
        <v>10422</v>
      </c>
      <c r="B1370" t="s">
        <v>10423</v>
      </c>
      <c r="C1370" t="s">
        <v>10423</v>
      </c>
      <c r="D1370" t="s">
        <v>35</v>
      </c>
      <c r="E1370" t="s">
        <v>36</v>
      </c>
      <c r="F1370" t="s">
        <v>10424</v>
      </c>
      <c r="G1370" t="s">
        <v>119</v>
      </c>
      <c r="H1370" t="s">
        <v>118</v>
      </c>
      <c r="I1370" t="s">
        <v>119</v>
      </c>
      <c r="J1370" t="s">
        <v>120</v>
      </c>
      <c r="K1370" t="s">
        <v>121</v>
      </c>
      <c r="L1370" t="s">
        <v>50</v>
      </c>
      <c r="M1370" s="2">
        <v>681858.82</v>
      </c>
      <c r="N1370" t="s">
        <v>10426</v>
      </c>
      <c r="O1370" t="s">
        <v>52</v>
      </c>
      <c r="P1370" t="str">
        <f>CONCATENATE("'",Tabla1[[#This Row],[Codigo]],"',")</f>
        <v>'02253',</v>
      </c>
    </row>
    <row r="1371" spans="1:16" x14ac:dyDescent="0.25">
      <c r="A1371" t="s">
        <v>10427</v>
      </c>
      <c r="B1371" t="s">
        <v>10428</v>
      </c>
      <c r="C1371" t="s">
        <v>10428</v>
      </c>
      <c r="D1371" t="s">
        <v>569</v>
      </c>
      <c r="E1371" t="s">
        <v>570</v>
      </c>
      <c r="F1371" t="s">
        <v>10429</v>
      </c>
      <c r="G1371" t="s">
        <v>41</v>
      </c>
      <c r="H1371" t="s">
        <v>40</v>
      </c>
      <c r="I1371" t="s">
        <v>41</v>
      </c>
      <c r="J1371" t="s">
        <v>61</v>
      </c>
      <c r="K1371" t="s">
        <v>62</v>
      </c>
      <c r="L1371" t="s">
        <v>50</v>
      </c>
      <c r="M1371" s="2">
        <v>100804.11</v>
      </c>
      <c r="N1371" t="s">
        <v>10432</v>
      </c>
      <c r="O1371" t="s">
        <v>115</v>
      </c>
      <c r="P1371" t="str">
        <f>CONCATENATE("'",Tabla1[[#This Row],[Codigo]],"',")</f>
        <v>'02254',</v>
      </c>
    </row>
    <row r="1372" spans="1:16" x14ac:dyDescent="0.25">
      <c r="A1372" t="s">
        <v>10449</v>
      </c>
      <c r="B1372" t="s">
        <v>10450</v>
      </c>
      <c r="C1372" t="s">
        <v>10450</v>
      </c>
      <c r="D1372" t="s">
        <v>35</v>
      </c>
      <c r="E1372" t="s">
        <v>36</v>
      </c>
      <c r="F1372" t="s">
        <v>10451</v>
      </c>
      <c r="G1372" t="s">
        <v>1360</v>
      </c>
      <c r="H1372" t="s">
        <v>1362</v>
      </c>
      <c r="I1372" t="s">
        <v>1360</v>
      </c>
      <c r="J1372" t="s">
        <v>1421</v>
      </c>
      <c r="K1372" t="s">
        <v>1422</v>
      </c>
      <c r="L1372" t="s">
        <v>50</v>
      </c>
      <c r="M1372" s="2">
        <v>283877.81</v>
      </c>
      <c r="N1372" t="s">
        <v>10454</v>
      </c>
      <c r="O1372" t="s">
        <v>52</v>
      </c>
      <c r="P1372" t="str">
        <f>CONCATENATE("'",Tabla1[[#This Row],[Codigo]],"',")</f>
        <v>'02258',</v>
      </c>
    </row>
    <row r="1373" spans="1:16" x14ac:dyDescent="0.25">
      <c r="A1373" t="s">
        <v>10455</v>
      </c>
      <c r="B1373" t="s">
        <v>10456</v>
      </c>
      <c r="C1373" t="s">
        <v>10456</v>
      </c>
      <c r="D1373" t="s">
        <v>847</v>
      </c>
      <c r="E1373" t="s">
        <v>848</v>
      </c>
      <c r="F1373" t="s">
        <v>10457</v>
      </c>
      <c r="G1373" t="s">
        <v>10458</v>
      </c>
      <c r="H1373" t="s">
        <v>10460</v>
      </c>
      <c r="I1373" t="s">
        <v>10458</v>
      </c>
      <c r="J1373" t="s">
        <v>10093</v>
      </c>
      <c r="K1373" t="s">
        <v>10094</v>
      </c>
      <c r="L1373" t="s">
        <v>50</v>
      </c>
      <c r="M1373" s="2">
        <v>377475.34</v>
      </c>
      <c r="N1373" t="s">
        <v>10462</v>
      </c>
      <c r="O1373" t="s">
        <v>52</v>
      </c>
      <c r="P1373" t="str">
        <f>CONCATENATE("'",Tabla1[[#This Row],[Codigo]],"',")</f>
        <v>'02259',</v>
      </c>
    </row>
    <row r="1374" spans="1:16" x14ac:dyDescent="0.25">
      <c r="A1374" t="s">
        <v>10463</v>
      </c>
      <c r="B1374" t="s">
        <v>10464</v>
      </c>
      <c r="C1374" t="s">
        <v>10464</v>
      </c>
      <c r="D1374" t="s">
        <v>569</v>
      </c>
      <c r="E1374" t="s">
        <v>570</v>
      </c>
      <c r="F1374" t="s">
        <v>10465</v>
      </c>
      <c r="G1374" t="s">
        <v>10141</v>
      </c>
      <c r="H1374" t="s">
        <v>7936</v>
      </c>
      <c r="I1374" t="s">
        <v>7935</v>
      </c>
      <c r="J1374" t="s">
        <v>10093</v>
      </c>
      <c r="K1374" t="s">
        <v>10094</v>
      </c>
      <c r="L1374" t="s">
        <v>50</v>
      </c>
      <c r="M1374" s="2">
        <v>436340</v>
      </c>
      <c r="N1374" t="s">
        <v>64</v>
      </c>
      <c r="P1374" t="str">
        <f>CONCATENATE("'",Tabla1[[#This Row],[Codigo]],"',")</f>
        <v>'02260',</v>
      </c>
    </row>
    <row r="1375" spans="1:16" x14ac:dyDescent="0.25">
      <c r="A1375" t="s">
        <v>10468</v>
      </c>
      <c r="B1375" t="s">
        <v>10469</v>
      </c>
      <c r="C1375" t="s">
        <v>10469</v>
      </c>
      <c r="D1375" t="s">
        <v>35</v>
      </c>
      <c r="E1375" t="s">
        <v>36</v>
      </c>
      <c r="F1375" t="s">
        <v>10470</v>
      </c>
      <c r="G1375" t="s">
        <v>7670</v>
      </c>
      <c r="H1375" t="s">
        <v>7669</v>
      </c>
      <c r="I1375" t="s">
        <v>7670</v>
      </c>
      <c r="J1375" t="s">
        <v>5966</v>
      </c>
      <c r="K1375" t="s">
        <v>5739</v>
      </c>
      <c r="L1375" t="s">
        <v>50</v>
      </c>
      <c r="M1375" s="2">
        <v>215383.64</v>
      </c>
      <c r="N1375" t="s">
        <v>10472</v>
      </c>
      <c r="O1375" t="s">
        <v>52</v>
      </c>
      <c r="P1375" t="str">
        <f>CONCATENATE("'",Tabla1[[#This Row],[Codigo]],"',")</f>
        <v>'02261',</v>
      </c>
    </row>
    <row r="1376" spans="1:16" x14ac:dyDescent="0.25">
      <c r="A1376" t="s">
        <v>10473</v>
      </c>
      <c r="B1376" t="s">
        <v>10474</v>
      </c>
      <c r="C1376" t="s">
        <v>10474</v>
      </c>
      <c r="D1376" t="s">
        <v>125</v>
      </c>
      <c r="E1376" t="s">
        <v>126</v>
      </c>
      <c r="F1376" t="s">
        <v>10475</v>
      </c>
      <c r="G1376" t="s">
        <v>1062</v>
      </c>
      <c r="H1376" t="s">
        <v>1064</v>
      </c>
      <c r="I1376" t="s">
        <v>1062</v>
      </c>
      <c r="J1376" t="s">
        <v>304</v>
      </c>
      <c r="K1376" t="s">
        <v>72</v>
      </c>
      <c r="L1376" t="s">
        <v>50</v>
      </c>
      <c r="M1376" s="2">
        <v>245179.16</v>
      </c>
      <c r="N1376" t="s">
        <v>10478</v>
      </c>
      <c r="O1376" t="s">
        <v>52</v>
      </c>
      <c r="P1376" t="str">
        <f>CONCATENATE("'",Tabla1[[#This Row],[Codigo]],"',")</f>
        <v>'02262',</v>
      </c>
    </row>
    <row r="1377" spans="1:16" x14ac:dyDescent="0.25">
      <c r="A1377" t="s">
        <v>10479</v>
      </c>
      <c r="B1377" t="s">
        <v>10480</v>
      </c>
      <c r="C1377" t="s">
        <v>10480</v>
      </c>
      <c r="D1377" t="s">
        <v>2118</v>
      </c>
      <c r="E1377" t="s">
        <v>871</v>
      </c>
      <c r="F1377" t="s">
        <v>10481</v>
      </c>
      <c r="G1377" t="s">
        <v>303</v>
      </c>
      <c r="H1377" t="s">
        <v>302</v>
      </c>
      <c r="I1377" t="s">
        <v>303</v>
      </c>
      <c r="J1377" t="s">
        <v>304</v>
      </c>
      <c r="K1377" t="s">
        <v>72</v>
      </c>
      <c r="L1377" t="s">
        <v>50</v>
      </c>
      <c r="M1377" s="2">
        <v>40423.879999999997</v>
      </c>
      <c r="N1377" t="s">
        <v>10484</v>
      </c>
      <c r="P1377" t="str">
        <f>CONCATENATE("'",Tabla1[[#This Row],[Codigo]],"',")</f>
        <v>'02263',</v>
      </c>
    </row>
    <row r="1378" spans="1:16" x14ac:dyDescent="0.25">
      <c r="A1378" t="s">
        <v>10485</v>
      </c>
      <c r="B1378" t="s">
        <v>10486</v>
      </c>
      <c r="C1378" t="s">
        <v>10486</v>
      </c>
      <c r="D1378" t="s">
        <v>153</v>
      </c>
      <c r="E1378" t="s">
        <v>272</v>
      </c>
      <c r="F1378" t="s">
        <v>10487</v>
      </c>
      <c r="G1378" t="s">
        <v>10141</v>
      </c>
      <c r="H1378" t="s">
        <v>7936</v>
      </c>
      <c r="I1378" t="s">
        <v>7935</v>
      </c>
      <c r="J1378" t="s">
        <v>10093</v>
      </c>
      <c r="K1378" t="s">
        <v>10094</v>
      </c>
      <c r="L1378" t="s">
        <v>50</v>
      </c>
      <c r="M1378" s="2">
        <v>76585.119999999995</v>
      </c>
      <c r="N1378" t="s">
        <v>10490</v>
      </c>
      <c r="O1378" t="s">
        <v>52</v>
      </c>
      <c r="P1378" t="str">
        <f>CONCATENATE("'",Tabla1[[#This Row],[Codigo]],"',")</f>
        <v>'02264',</v>
      </c>
    </row>
    <row r="1379" spans="1:16" x14ac:dyDescent="0.25">
      <c r="A1379" t="s">
        <v>10491</v>
      </c>
      <c r="B1379" t="s">
        <v>10492</v>
      </c>
      <c r="C1379" t="s">
        <v>10492</v>
      </c>
      <c r="D1379" t="s">
        <v>125</v>
      </c>
      <c r="E1379" t="s">
        <v>126</v>
      </c>
      <c r="F1379" t="s">
        <v>10493</v>
      </c>
      <c r="G1379" t="s">
        <v>10155</v>
      </c>
      <c r="H1379" t="s">
        <v>10157</v>
      </c>
      <c r="I1379" t="s">
        <v>10155</v>
      </c>
      <c r="J1379" t="s">
        <v>10093</v>
      </c>
      <c r="K1379" t="s">
        <v>10094</v>
      </c>
      <c r="L1379" t="s">
        <v>50</v>
      </c>
      <c r="M1379" s="2">
        <v>2094266.38</v>
      </c>
      <c r="N1379" t="s">
        <v>10496</v>
      </c>
      <c r="O1379" t="s">
        <v>52</v>
      </c>
      <c r="P1379" t="str">
        <f>CONCATENATE("'",Tabla1[[#This Row],[Codigo]],"',")</f>
        <v>'02265',</v>
      </c>
    </row>
    <row r="1380" spans="1:16" x14ac:dyDescent="0.25">
      <c r="A1380" t="s">
        <v>10497</v>
      </c>
      <c r="B1380" t="s">
        <v>10498</v>
      </c>
      <c r="C1380" t="s">
        <v>10498</v>
      </c>
      <c r="D1380" t="s">
        <v>297</v>
      </c>
      <c r="E1380" t="s">
        <v>167</v>
      </c>
      <c r="F1380" t="s">
        <v>10499</v>
      </c>
      <c r="G1380" t="s">
        <v>7938</v>
      </c>
      <c r="H1380" t="s">
        <v>10501</v>
      </c>
      <c r="I1380" t="s">
        <v>10502</v>
      </c>
      <c r="J1380" t="s">
        <v>10093</v>
      </c>
      <c r="K1380" t="s">
        <v>10094</v>
      </c>
      <c r="L1380" t="s">
        <v>50</v>
      </c>
      <c r="M1380" s="2">
        <v>175936.22</v>
      </c>
      <c r="N1380" t="s">
        <v>10504</v>
      </c>
      <c r="O1380" t="s">
        <v>115</v>
      </c>
      <c r="P1380" t="str">
        <f>CONCATENATE("'",Tabla1[[#This Row],[Codigo]],"',")</f>
        <v>'02266',</v>
      </c>
    </row>
    <row r="1381" spans="1:16" x14ac:dyDescent="0.25">
      <c r="A1381" t="s">
        <v>10528</v>
      </c>
      <c r="B1381" t="s">
        <v>10529</v>
      </c>
      <c r="C1381" t="s">
        <v>10529</v>
      </c>
      <c r="D1381" t="s">
        <v>35</v>
      </c>
      <c r="E1381" t="s">
        <v>36</v>
      </c>
      <c r="F1381" t="s">
        <v>10530</v>
      </c>
      <c r="G1381" t="s">
        <v>81</v>
      </c>
      <c r="H1381" t="s">
        <v>80</v>
      </c>
      <c r="I1381" t="s">
        <v>81</v>
      </c>
      <c r="J1381" t="s">
        <v>557</v>
      </c>
      <c r="K1381" t="s">
        <v>558</v>
      </c>
      <c r="L1381" t="s">
        <v>50</v>
      </c>
      <c r="M1381" s="2">
        <v>-1197.78</v>
      </c>
      <c r="N1381" t="s">
        <v>10533</v>
      </c>
      <c r="O1381" t="s">
        <v>115</v>
      </c>
      <c r="P1381" t="str">
        <f>CONCATENATE("'",Tabla1[[#This Row],[Codigo]],"',")</f>
        <v>'02274',</v>
      </c>
    </row>
    <row r="1382" spans="1:16" x14ac:dyDescent="0.25">
      <c r="A1382" t="s">
        <v>10534</v>
      </c>
      <c r="B1382" t="s">
        <v>10535</v>
      </c>
      <c r="C1382" t="s">
        <v>10535</v>
      </c>
      <c r="D1382" t="s">
        <v>125</v>
      </c>
      <c r="E1382" t="s">
        <v>126</v>
      </c>
      <c r="F1382" t="s">
        <v>10536</v>
      </c>
      <c r="G1382" t="s">
        <v>7088</v>
      </c>
      <c r="H1382" t="s">
        <v>7089</v>
      </c>
      <c r="I1382" t="s">
        <v>7090</v>
      </c>
      <c r="J1382" t="s">
        <v>557</v>
      </c>
      <c r="K1382" t="s">
        <v>558</v>
      </c>
      <c r="L1382" t="s">
        <v>50</v>
      </c>
      <c r="M1382" s="2">
        <v>-35252.35</v>
      </c>
      <c r="N1382" t="s">
        <v>10539</v>
      </c>
      <c r="O1382" t="s">
        <v>115</v>
      </c>
      <c r="P1382" t="str">
        <f>CONCATENATE("'",Tabla1[[#This Row],[Codigo]],"',")</f>
        <v>'02275',</v>
      </c>
    </row>
    <row r="1383" spans="1:16" x14ac:dyDescent="0.25">
      <c r="A1383" t="s">
        <v>10540</v>
      </c>
      <c r="B1383" t="s">
        <v>10541</v>
      </c>
      <c r="C1383" t="s">
        <v>10541</v>
      </c>
      <c r="D1383" t="s">
        <v>125</v>
      </c>
      <c r="E1383" t="s">
        <v>126</v>
      </c>
      <c r="F1383" t="s">
        <v>10542</v>
      </c>
      <c r="G1383" t="s">
        <v>10543</v>
      </c>
      <c r="H1383" t="s">
        <v>7350</v>
      </c>
      <c r="I1383" t="s">
        <v>7351</v>
      </c>
      <c r="J1383" t="s">
        <v>91</v>
      </c>
      <c r="K1383" t="s">
        <v>92</v>
      </c>
      <c r="L1383" t="s">
        <v>50</v>
      </c>
      <c r="M1383" s="2">
        <v>680561.64</v>
      </c>
      <c r="N1383" t="s">
        <v>10546</v>
      </c>
      <c r="O1383" t="s">
        <v>52</v>
      </c>
      <c r="P1383" t="str">
        <f>CONCATENATE("'",Tabla1[[#This Row],[Codigo]],"',")</f>
        <v>'02276',</v>
      </c>
    </row>
    <row r="1384" spans="1:16" x14ac:dyDescent="0.25">
      <c r="A1384" t="s">
        <v>10547</v>
      </c>
      <c r="B1384" t="s">
        <v>10548</v>
      </c>
      <c r="C1384" t="s">
        <v>10548</v>
      </c>
      <c r="D1384" t="s">
        <v>264</v>
      </c>
      <c r="E1384" t="s">
        <v>134</v>
      </c>
      <c r="F1384" t="s">
        <v>10549</v>
      </c>
      <c r="G1384" t="s">
        <v>81</v>
      </c>
      <c r="H1384" t="s">
        <v>80</v>
      </c>
      <c r="I1384" t="s">
        <v>81</v>
      </c>
      <c r="J1384" t="s">
        <v>557</v>
      </c>
      <c r="K1384" t="s">
        <v>558</v>
      </c>
      <c r="L1384" t="s">
        <v>50</v>
      </c>
      <c r="M1384" s="2">
        <v>174536</v>
      </c>
      <c r="N1384" t="s">
        <v>64</v>
      </c>
      <c r="P1384" t="str">
        <f>CONCATENATE("'",Tabla1[[#This Row],[Codigo]],"',")</f>
        <v>'02277',</v>
      </c>
    </row>
    <row r="1385" spans="1:16" x14ac:dyDescent="0.25">
      <c r="A1385" t="s">
        <v>10551</v>
      </c>
      <c r="B1385" t="s">
        <v>10552</v>
      </c>
      <c r="C1385" t="s">
        <v>10552</v>
      </c>
      <c r="D1385" t="s">
        <v>35</v>
      </c>
      <c r="E1385" t="s">
        <v>36</v>
      </c>
      <c r="F1385" t="s">
        <v>10553</v>
      </c>
      <c r="G1385" t="s">
        <v>6519</v>
      </c>
      <c r="H1385" t="s">
        <v>5201</v>
      </c>
      <c r="I1385" t="s">
        <v>5202</v>
      </c>
      <c r="J1385" t="s">
        <v>4853</v>
      </c>
      <c r="K1385" t="s">
        <v>4854</v>
      </c>
      <c r="L1385" t="s">
        <v>50</v>
      </c>
      <c r="M1385" s="2">
        <v>349931.9</v>
      </c>
      <c r="N1385" t="s">
        <v>10556</v>
      </c>
      <c r="O1385" t="s">
        <v>52</v>
      </c>
      <c r="P1385" t="str">
        <f>CONCATENATE("'",Tabla1[[#This Row],[Codigo]],"',")</f>
        <v>'02278',</v>
      </c>
    </row>
    <row r="1386" spans="1:16" x14ac:dyDescent="0.25">
      <c r="A1386" t="s">
        <v>10557</v>
      </c>
      <c r="B1386" t="s">
        <v>10558</v>
      </c>
      <c r="C1386" t="s">
        <v>10558</v>
      </c>
      <c r="D1386" t="s">
        <v>125</v>
      </c>
      <c r="E1386" t="s">
        <v>126</v>
      </c>
      <c r="F1386" t="s">
        <v>10559</v>
      </c>
      <c r="G1386" t="s">
        <v>81</v>
      </c>
      <c r="H1386" t="s">
        <v>80</v>
      </c>
      <c r="I1386" t="s">
        <v>81</v>
      </c>
      <c r="J1386" t="s">
        <v>557</v>
      </c>
      <c r="K1386" t="s">
        <v>558</v>
      </c>
      <c r="L1386" t="s">
        <v>50</v>
      </c>
      <c r="M1386" s="2">
        <v>65359.69</v>
      </c>
      <c r="N1386" t="s">
        <v>10561</v>
      </c>
      <c r="O1386" t="s">
        <v>115</v>
      </c>
      <c r="P1386" t="str">
        <f>CONCATENATE("'",Tabla1[[#This Row],[Codigo]],"',")</f>
        <v>'02279',</v>
      </c>
    </row>
    <row r="1387" spans="1:16" x14ac:dyDescent="0.25">
      <c r="A1387" t="s">
        <v>10587</v>
      </c>
      <c r="B1387" t="s">
        <v>10588</v>
      </c>
      <c r="C1387" t="s">
        <v>10588</v>
      </c>
      <c r="D1387" t="s">
        <v>1941</v>
      </c>
      <c r="E1387" t="s">
        <v>224</v>
      </c>
      <c r="F1387" t="s">
        <v>10589</v>
      </c>
      <c r="G1387" t="s">
        <v>7376</v>
      </c>
      <c r="H1387" t="s">
        <v>7375</v>
      </c>
      <c r="I1387" t="s">
        <v>7376</v>
      </c>
      <c r="J1387" t="s">
        <v>5966</v>
      </c>
      <c r="K1387" t="s">
        <v>5739</v>
      </c>
      <c r="L1387" t="s">
        <v>50</v>
      </c>
      <c r="M1387" s="2">
        <v>109085</v>
      </c>
      <c r="N1387" t="s">
        <v>64</v>
      </c>
      <c r="P1387" t="str">
        <f>CONCATENATE("'",Tabla1[[#This Row],[Codigo]],"',")</f>
        <v>'02287',</v>
      </c>
    </row>
    <row r="1388" spans="1:16" x14ac:dyDescent="0.25">
      <c r="A1388" t="s">
        <v>10595</v>
      </c>
      <c r="B1388" t="s">
        <v>10596</v>
      </c>
      <c r="C1388" t="s">
        <v>10596</v>
      </c>
      <c r="D1388" t="s">
        <v>569</v>
      </c>
      <c r="E1388" t="s">
        <v>570</v>
      </c>
      <c r="F1388" t="s">
        <v>10597</v>
      </c>
      <c r="G1388" t="s">
        <v>6728</v>
      </c>
      <c r="H1388" t="s">
        <v>6730</v>
      </c>
      <c r="I1388" t="s">
        <v>6728</v>
      </c>
      <c r="J1388" t="s">
        <v>557</v>
      </c>
      <c r="K1388" t="s">
        <v>558</v>
      </c>
      <c r="L1388" t="s">
        <v>50</v>
      </c>
      <c r="M1388" s="2">
        <v>340558.99</v>
      </c>
      <c r="N1388" t="s">
        <v>10600</v>
      </c>
      <c r="O1388" t="s">
        <v>115</v>
      </c>
      <c r="P1388" t="str">
        <f>CONCATENATE("'",Tabla1[[#This Row],[Codigo]],"',")</f>
        <v>'02289',</v>
      </c>
    </row>
    <row r="1389" spans="1:16" x14ac:dyDescent="0.25">
      <c r="A1389" t="s">
        <v>10601</v>
      </c>
      <c r="B1389" t="s">
        <v>10602</v>
      </c>
      <c r="C1389" t="s">
        <v>10602</v>
      </c>
      <c r="D1389" t="s">
        <v>299</v>
      </c>
      <c r="E1389" t="s">
        <v>167</v>
      </c>
      <c r="F1389" t="s">
        <v>10603</v>
      </c>
      <c r="G1389" t="s">
        <v>7147</v>
      </c>
      <c r="H1389" t="s">
        <v>6940</v>
      </c>
      <c r="I1389" t="s">
        <v>6939</v>
      </c>
      <c r="J1389" t="s">
        <v>3487</v>
      </c>
      <c r="K1389" t="s">
        <v>3488</v>
      </c>
      <c r="L1389" t="s">
        <v>50</v>
      </c>
      <c r="M1389" s="2">
        <v>384917.03</v>
      </c>
      <c r="N1389" t="s">
        <v>10605</v>
      </c>
      <c r="O1389" t="s">
        <v>115</v>
      </c>
      <c r="P1389" t="str">
        <f>CONCATENATE("'",Tabla1[[#This Row],[Codigo]],"',")</f>
        <v>'02290',</v>
      </c>
    </row>
    <row r="1390" spans="1:16" x14ac:dyDescent="0.25">
      <c r="A1390" s="15" t="s">
        <v>10614</v>
      </c>
      <c r="B1390" s="15" t="s">
        <v>10615</v>
      </c>
      <c r="C1390" s="15" t="s">
        <v>10615</v>
      </c>
      <c r="D1390" s="15" t="s">
        <v>55</v>
      </c>
      <c r="E1390" s="15" t="s">
        <v>56</v>
      </c>
      <c r="F1390" s="15" t="s">
        <v>10616</v>
      </c>
      <c r="G1390" s="15" t="s">
        <v>41</v>
      </c>
      <c r="H1390" s="15" t="s">
        <v>40</v>
      </c>
      <c r="I1390" s="15" t="s">
        <v>41</v>
      </c>
      <c r="J1390" s="15" t="s">
        <v>42</v>
      </c>
      <c r="K1390" s="15" t="s">
        <v>43</v>
      </c>
      <c r="L1390" s="15" t="s">
        <v>50</v>
      </c>
      <c r="M1390" s="16">
        <v>999.67</v>
      </c>
      <c r="N1390" s="15" t="s">
        <v>10618</v>
      </c>
      <c r="O1390" s="15" t="s">
        <v>115</v>
      </c>
      <c r="P1390" t="str">
        <f>CONCATENATE("'",Tabla1[[#This Row],[Codigo]],"',")</f>
        <v>'02293',</v>
      </c>
    </row>
    <row r="1391" spans="1:16" x14ac:dyDescent="0.25">
      <c r="A1391" t="s">
        <v>10628</v>
      </c>
      <c r="B1391" t="s">
        <v>10629</v>
      </c>
      <c r="C1391" t="s">
        <v>10629</v>
      </c>
      <c r="D1391" t="s">
        <v>35</v>
      </c>
      <c r="E1391" t="s">
        <v>36</v>
      </c>
      <c r="F1391" t="s">
        <v>10630</v>
      </c>
      <c r="G1391" t="s">
        <v>10631</v>
      </c>
      <c r="H1391" t="s">
        <v>10343</v>
      </c>
      <c r="I1391" t="s">
        <v>10344</v>
      </c>
      <c r="J1391" t="s">
        <v>10093</v>
      </c>
      <c r="K1391" t="s">
        <v>10094</v>
      </c>
      <c r="L1391" t="s">
        <v>50</v>
      </c>
      <c r="M1391" s="2">
        <v>976619.38</v>
      </c>
      <c r="N1391" t="s">
        <v>10634</v>
      </c>
      <c r="O1391" t="s">
        <v>52</v>
      </c>
      <c r="P1391" t="str">
        <f>CONCATENATE("'",Tabla1[[#This Row],[Codigo]],"',")</f>
        <v>'02296',</v>
      </c>
    </row>
    <row r="1392" spans="1:16" x14ac:dyDescent="0.25">
      <c r="A1392" t="s">
        <v>10635</v>
      </c>
      <c r="B1392" t="s">
        <v>10636</v>
      </c>
      <c r="C1392" t="s">
        <v>10636</v>
      </c>
      <c r="D1392" t="s">
        <v>192</v>
      </c>
      <c r="E1392" t="s">
        <v>224</v>
      </c>
      <c r="F1392" t="s">
        <v>10637</v>
      </c>
      <c r="G1392" t="s">
        <v>4851</v>
      </c>
      <c r="H1392" t="s">
        <v>4852</v>
      </c>
      <c r="I1392" t="s">
        <v>4851</v>
      </c>
      <c r="J1392" t="s">
        <v>4853</v>
      </c>
      <c r="K1392" t="s">
        <v>4854</v>
      </c>
      <c r="L1392" t="s">
        <v>50</v>
      </c>
      <c r="M1392" s="2">
        <v>208535.94</v>
      </c>
      <c r="N1392" t="s">
        <v>10640</v>
      </c>
      <c r="P1392" t="str">
        <f>CONCATENATE("'",Tabla1[[#This Row],[Codigo]],"',")</f>
        <v>'02297',</v>
      </c>
    </row>
    <row r="1393" spans="1:16" x14ac:dyDescent="0.25">
      <c r="A1393" t="s">
        <v>10641</v>
      </c>
      <c r="B1393" t="s">
        <v>10642</v>
      </c>
      <c r="C1393" t="s">
        <v>10642</v>
      </c>
      <c r="D1393" t="s">
        <v>166</v>
      </c>
      <c r="E1393" t="s">
        <v>167</v>
      </c>
      <c r="F1393" t="s">
        <v>10643</v>
      </c>
      <c r="G1393" t="s">
        <v>3750</v>
      </c>
      <c r="H1393" t="s">
        <v>3752</v>
      </c>
      <c r="I1393" t="s">
        <v>3753</v>
      </c>
      <c r="J1393" t="s">
        <v>158</v>
      </c>
      <c r="K1393" t="s">
        <v>159</v>
      </c>
      <c r="L1393" t="s">
        <v>50</v>
      </c>
      <c r="M1393" s="2">
        <v>218170</v>
      </c>
      <c r="N1393" t="s">
        <v>64</v>
      </c>
      <c r="P1393" t="str">
        <f>CONCATENATE("'",Tabla1[[#This Row],[Codigo]],"',")</f>
        <v>'02298',</v>
      </c>
    </row>
    <row r="1394" spans="1:16" x14ac:dyDescent="0.25">
      <c r="A1394" t="s">
        <v>10651</v>
      </c>
      <c r="B1394" t="s">
        <v>10652</v>
      </c>
      <c r="C1394" t="s">
        <v>10652</v>
      </c>
      <c r="D1394" t="s">
        <v>125</v>
      </c>
      <c r="E1394" t="s">
        <v>126</v>
      </c>
      <c r="F1394" t="s">
        <v>10653</v>
      </c>
      <c r="G1394" t="s">
        <v>2572</v>
      </c>
      <c r="H1394" t="s">
        <v>2571</v>
      </c>
      <c r="I1394" t="s">
        <v>2572</v>
      </c>
      <c r="J1394" t="s">
        <v>6987</v>
      </c>
      <c r="K1394" t="s">
        <v>6988</v>
      </c>
      <c r="L1394" t="s">
        <v>50</v>
      </c>
      <c r="M1394" s="2">
        <v>48447.58</v>
      </c>
      <c r="N1394" t="s">
        <v>10656</v>
      </c>
      <c r="O1394" t="s">
        <v>52</v>
      </c>
      <c r="P1394" t="str">
        <f>CONCATENATE("'",Tabla1[[#This Row],[Codigo]],"',")</f>
        <v>'02300',</v>
      </c>
    </row>
    <row r="1395" spans="1:16" x14ac:dyDescent="0.25">
      <c r="A1395" t="s">
        <v>10661</v>
      </c>
      <c r="B1395" t="s">
        <v>10662</v>
      </c>
      <c r="C1395" t="s">
        <v>10662</v>
      </c>
      <c r="D1395" t="s">
        <v>847</v>
      </c>
      <c r="E1395" t="s">
        <v>848</v>
      </c>
      <c r="F1395" t="s">
        <v>10663</v>
      </c>
      <c r="G1395" t="s">
        <v>41</v>
      </c>
      <c r="H1395" t="s">
        <v>40</v>
      </c>
      <c r="I1395" t="s">
        <v>41</v>
      </c>
      <c r="J1395" t="s">
        <v>42</v>
      </c>
      <c r="K1395" t="s">
        <v>43</v>
      </c>
      <c r="L1395" t="s">
        <v>50</v>
      </c>
      <c r="M1395" s="2">
        <v>19976.25</v>
      </c>
      <c r="N1395" t="s">
        <v>10664</v>
      </c>
      <c r="P1395" t="str">
        <f>CONCATENATE("'",Tabla1[[#This Row],[Codigo]],"',")</f>
        <v>'02304',</v>
      </c>
    </row>
    <row r="1396" spans="1:16" x14ac:dyDescent="0.25">
      <c r="A1396" t="s">
        <v>10669</v>
      </c>
      <c r="B1396" t="s">
        <v>10670</v>
      </c>
      <c r="C1396" t="s">
        <v>10670</v>
      </c>
      <c r="D1396" t="s">
        <v>192</v>
      </c>
      <c r="E1396" t="s">
        <v>224</v>
      </c>
      <c r="F1396" t="s">
        <v>10671</v>
      </c>
      <c r="G1396" t="s">
        <v>10672</v>
      </c>
      <c r="H1396" t="s">
        <v>8208</v>
      </c>
      <c r="I1396" t="s">
        <v>8209</v>
      </c>
      <c r="J1396" t="s">
        <v>3487</v>
      </c>
      <c r="K1396" t="s">
        <v>3488</v>
      </c>
      <c r="L1396" t="s">
        <v>50</v>
      </c>
      <c r="M1396" s="2">
        <v>215448.28</v>
      </c>
      <c r="N1396" t="s">
        <v>10675</v>
      </c>
      <c r="P1396" t="str">
        <f>CONCATENATE("'",Tabla1[[#This Row],[Codigo]],"',")</f>
        <v>'02306',</v>
      </c>
    </row>
    <row r="1397" spans="1:16" x14ac:dyDescent="0.25">
      <c r="A1397" t="s">
        <v>10676</v>
      </c>
      <c r="B1397" t="s">
        <v>10677</v>
      </c>
      <c r="C1397" t="s">
        <v>10677</v>
      </c>
      <c r="D1397" t="s">
        <v>166</v>
      </c>
      <c r="E1397" t="s">
        <v>167</v>
      </c>
      <c r="F1397" t="s">
        <v>10678</v>
      </c>
      <c r="G1397" t="s">
        <v>8401</v>
      </c>
      <c r="H1397" t="s">
        <v>8403</v>
      </c>
      <c r="I1397" t="s">
        <v>8401</v>
      </c>
      <c r="J1397" t="s">
        <v>6987</v>
      </c>
      <c r="K1397" t="s">
        <v>6988</v>
      </c>
      <c r="L1397" t="s">
        <v>50</v>
      </c>
      <c r="M1397" s="2">
        <v>43634</v>
      </c>
      <c r="N1397" t="s">
        <v>64</v>
      </c>
      <c r="P1397" t="str">
        <f>CONCATENATE("'",Tabla1[[#This Row],[Codigo]],"',")</f>
        <v>'02307',</v>
      </c>
    </row>
    <row r="1398" spans="1:16" x14ac:dyDescent="0.25">
      <c r="A1398" t="s">
        <v>10692</v>
      </c>
      <c r="B1398" t="s">
        <v>10693</v>
      </c>
      <c r="C1398" t="s">
        <v>10693</v>
      </c>
      <c r="D1398" t="s">
        <v>7666</v>
      </c>
      <c r="E1398" t="s">
        <v>77</v>
      </c>
      <c r="F1398" t="s">
        <v>10694</v>
      </c>
      <c r="G1398" t="s">
        <v>10695</v>
      </c>
      <c r="H1398" t="s">
        <v>80</v>
      </c>
      <c r="I1398" t="s">
        <v>81</v>
      </c>
      <c r="J1398" t="s">
        <v>557</v>
      </c>
      <c r="K1398" t="s">
        <v>558</v>
      </c>
      <c r="L1398" t="s">
        <v>50</v>
      </c>
      <c r="M1398" s="2">
        <v>109085</v>
      </c>
      <c r="N1398" t="s">
        <v>64</v>
      </c>
      <c r="P1398" t="str">
        <f>CONCATENATE("'",Tabla1[[#This Row],[Codigo]],"',")</f>
        <v>'02310',</v>
      </c>
    </row>
    <row r="1399" spans="1:16" x14ac:dyDescent="0.25">
      <c r="A1399" t="s">
        <v>10698</v>
      </c>
      <c r="B1399" t="s">
        <v>10699</v>
      </c>
      <c r="C1399" t="s">
        <v>10699</v>
      </c>
      <c r="D1399" t="s">
        <v>764</v>
      </c>
      <c r="E1399" t="s">
        <v>77</v>
      </c>
      <c r="F1399" t="s">
        <v>10700</v>
      </c>
      <c r="G1399" t="s">
        <v>861</v>
      </c>
      <c r="H1399" t="s">
        <v>860</v>
      </c>
      <c r="I1399" t="s">
        <v>861</v>
      </c>
      <c r="J1399" t="s">
        <v>103</v>
      </c>
      <c r="K1399" t="s">
        <v>104</v>
      </c>
      <c r="L1399" t="s">
        <v>50</v>
      </c>
      <c r="M1399" s="2">
        <v>1691</v>
      </c>
      <c r="N1399" t="s">
        <v>64</v>
      </c>
      <c r="P1399" t="str">
        <f>CONCATENATE("'",Tabla1[[#This Row],[Codigo]],"',")</f>
        <v>'02311',</v>
      </c>
    </row>
    <row r="1400" spans="1:16" x14ac:dyDescent="0.25">
      <c r="A1400" t="s">
        <v>10703</v>
      </c>
      <c r="B1400" t="s">
        <v>10704</v>
      </c>
      <c r="C1400" t="s">
        <v>10704</v>
      </c>
      <c r="D1400" t="s">
        <v>166</v>
      </c>
      <c r="E1400" t="s">
        <v>167</v>
      </c>
      <c r="F1400" t="s">
        <v>10705</v>
      </c>
      <c r="G1400" t="s">
        <v>79</v>
      </c>
      <c r="H1400" t="s">
        <v>495</v>
      </c>
      <c r="I1400" t="s">
        <v>79</v>
      </c>
      <c r="J1400" t="s">
        <v>3487</v>
      </c>
      <c r="K1400" t="s">
        <v>3488</v>
      </c>
      <c r="L1400" t="s">
        <v>50</v>
      </c>
      <c r="M1400" s="2">
        <v>109085</v>
      </c>
      <c r="N1400" t="s">
        <v>64</v>
      </c>
      <c r="P1400" t="str">
        <f>CONCATENATE("'",Tabla1[[#This Row],[Codigo]],"',")</f>
        <v>'02312',</v>
      </c>
    </row>
    <row r="1401" spans="1:16" x14ac:dyDescent="0.25">
      <c r="A1401" t="s">
        <v>10712</v>
      </c>
      <c r="B1401" t="s">
        <v>10713</v>
      </c>
      <c r="C1401" t="s">
        <v>10713</v>
      </c>
      <c r="D1401" t="s">
        <v>498</v>
      </c>
      <c r="E1401" t="s">
        <v>190</v>
      </c>
      <c r="F1401" t="s">
        <v>10714</v>
      </c>
      <c r="G1401" t="s">
        <v>665</v>
      </c>
      <c r="H1401" t="s">
        <v>664</v>
      </c>
      <c r="I1401" t="s">
        <v>665</v>
      </c>
      <c r="J1401" t="s">
        <v>103</v>
      </c>
      <c r="K1401" t="s">
        <v>104</v>
      </c>
      <c r="L1401" t="s">
        <v>50</v>
      </c>
      <c r="M1401" s="2">
        <v>107165.51</v>
      </c>
      <c r="N1401" t="s">
        <v>10717</v>
      </c>
      <c r="O1401" t="s">
        <v>52</v>
      </c>
      <c r="P1401" t="str">
        <f>CONCATENATE("'",Tabla1[[#This Row],[Codigo]],"',")</f>
        <v>'02314',</v>
      </c>
    </row>
    <row r="1402" spans="1:16" x14ac:dyDescent="0.25">
      <c r="A1402" t="s">
        <v>10718</v>
      </c>
      <c r="B1402" t="s">
        <v>10719</v>
      </c>
      <c r="C1402" t="s">
        <v>10719</v>
      </c>
      <c r="D1402" t="s">
        <v>2687</v>
      </c>
      <c r="E1402" t="s">
        <v>190</v>
      </c>
      <c r="F1402" t="s">
        <v>10720</v>
      </c>
      <c r="G1402" t="s">
        <v>139</v>
      </c>
      <c r="H1402" t="s">
        <v>8853</v>
      </c>
      <c r="I1402" t="s">
        <v>139</v>
      </c>
      <c r="J1402" t="s">
        <v>10093</v>
      </c>
      <c r="K1402" t="s">
        <v>10094</v>
      </c>
      <c r="L1402" t="s">
        <v>50</v>
      </c>
      <c r="M1402" s="2">
        <v>226746.79</v>
      </c>
      <c r="N1402" t="s">
        <v>10723</v>
      </c>
      <c r="P1402" t="str">
        <f>CONCATENATE("'",Tabla1[[#This Row],[Codigo]],"',")</f>
        <v>'02315',</v>
      </c>
    </row>
    <row r="1403" spans="1:16" x14ac:dyDescent="0.25">
      <c r="A1403" t="s">
        <v>10724</v>
      </c>
      <c r="B1403" t="s">
        <v>10725</v>
      </c>
      <c r="C1403" t="s">
        <v>10725</v>
      </c>
      <c r="D1403" t="s">
        <v>125</v>
      </c>
      <c r="E1403" t="s">
        <v>126</v>
      </c>
      <c r="F1403" t="s">
        <v>10726</v>
      </c>
      <c r="G1403" t="s">
        <v>10727</v>
      </c>
      <c r="H1403" t="s">
        <v>1210</v>
      </c>
      <c r="I1403" t="s">
        <v>1211</v>
      </c>
      <c r="J1403" t="s">
        <v>1421</v>
      </c>
      <c r="K1403" t="s">
        <v>1422</v>
      </c>
      <c r="L1403" t="s">
        <v>50</v>
      </c>
      <c r="M1403" s="2">
        <v>149788.94</v>
      </c>
      <c r="N1403" t="s">
        <v>10730</v>
      </c>
      <c r="O1403" t="s">
        <v>52</v>
      </c>
      <c r="P1403" t="str">
        <f>CONCATENATE("'",Tabla1[[#This Row],[Codigo]],"',")</f>
        <v>'02316',</v>
      </c>
    </row>
    <row r="1404" spans="1:16" x14ac:dyDescent="0.25">
      <c r="A1404" t="s">
        <v>10731</v>
      </c>
      <c r="B1404" t="s">
        <v>10732</v>
      </c>
      <c r="C1404" t="s">
        <v>10732</v>
      </c>
      <c r="D1404" t="s">
        <v>569</v>
      </c>
      <c r="E1404" t="s">
        <v>570</v>
      </c>
      <c r="F1404" t="s">
        <v>10733</v>
      </c>
      <c r="G1404" t="s">
        <v>81</v>
      </c>
      <c r="H1404" t="s">
        <v>80</v>
      </c>
      <c r="I1404" t="s">
        <v>81</v>
      </c>
      <c r="J1404" t="s">
        <v>82</v>
      </c>
      <c r="K1404" t="s">
        <v>83</v>
      </c>
      <c r="L1404" t="s">
        <v>50</v>
      </c>
      <c r="M1404" s="2">
        <v>327204.09999999998</v>
      </c>
      <c r="N1404" t="s">
        <v>10736</v>
      </c>
      <c r="O1404" t="s">
        <v>52</v>
      </c>
      <c r="P1404" t="str">
        <f>CONCATENATE("'",Tabla1[[#This Row],[Codigo]],"',")</f>
        <v>'02317',</v>
      </c>
    </row>
    <row r="1405" spans="1:16" x14ac:dyDescent="0.25">
      <c r="A1405" t="s">
        <v>10737</v>
      </c>
      <c r="B1405" t="s">
        <v>10738</v>
      </c>
      <c r="C1405" t="s">
        <v>10738</v>
      </c>
      <c r="D1405" t="s">
        <v>125</v>
      </c>
      <c r="E1405" t="s">
        <v>126</v>
      </c>
      <c r="F1405" t="s">
        <v>10739</v>
      </c>
      <c r="G1405" t="s">
        <v>10141</v>
      </c>
      <c r="H1405" t="s">
        <v>7936</v>
      </c>
      <c r="I1405" t="s">
        <v>7935</v>
      </c>
      <c r="J1405" t="s">
        <v>10093</v>
      </c>
      <c r="K1405" t="s">
        <v>10094</v>
      </c>
      <c r="L1405" t="s">
        <v>50</v>
      </c>
      <c r="M1405" s="2">
        <v>199303.61</v>
      </c>
      <c r="N1405" t="s">
        <v>10742</v>
      </c>
      <c r="O1405" t="s">
        <v>52</v>
      </c>
      <c r="P1405" t="str">
        <f>CONCATENATE("'",Tabla1[[#This Row],[Codigo]],"',")</f>
        <v>'02318',</v>
      </c>
    </row>
    <row r="1406" spans="1:16" x14ac:dyDescent="0.25">
      <c r="A1406" t="s">
        <v>10743</v>
      </c>
      <c r="B1406" t="s">
        <v>10744</v>
      </c>
      <c r="C1406" t="s">
        <v>10744</v>
      </c>
      <c r="D1406" t="s">
        <v>344</v>
      </c>
      <c r="E1406" t="s">
        <v>167</v>
      </c>
      <c r="F1406" t="s">
        <v>10745</v>
      </c>
      <c r="G1406" t="s">
        <v>10746</v>
      </c>
      <c r="H1406" t="s">
        <v>10747</v>
      </c>
      <c r="I1406" t="s">
        <v>10748</v>
      </c>
      <c r="J1406" t="s">
        <v>91</v>
      </c>
      <c r="K1406" t="s">
        <v>92</v>
      </c>
      <c r="L1406" t="s">
        <v>50</v>
      </c>
      <c r="M1406" s="2">
        <v>260698.91</v>
      </c>
      <c r="N1406" t="s">
        <v>10750</v>
      </c>
      <c r="O1406" t="s">
        <v>52</v>
      </c>
      <c r="P1406" t="str">
        <f>CONCATENATE("'",Tabla1[[#This Row],[Codigo]],"',")</f>
        <v>'02319',</v>
      </c>
    </row>
    <row r="1407" spans="1:16" x14ac:dyDescent="0.25">
      <c r="A1407" t="s">
        <v>10758</v>
      </c>
      <c r="B1407" t="s">
        <v>10759</v>
      </c>
      <c r="C1407" t="s">
        <v>10759</v>
      </c>
      <c r="D1407" t="s">
        <v>125</v>
      </c>
      <c r="E1407" t="s">
        <v>126</v>
      </c>
      <c r="F1407" t="s">
        <v>10760</v>
      </c>
      <c r="G1407" t="s">
        <v>10761</v>
      </c>
      <c r="H1407" t="s">
        <v>10763</v>
      </c>
      <c r="I1407" t="s">
        <v>10764</v>
      </c>
      <c r="J1407" t="s">
        <v>10093</v>
      </c>
      <c r="K1407" t="s">
        <v>10094</v>
      </c>
      <c r="L1407" t="s">
        <v>50</v>
      </c>
      <c r="M1407" s="2">
        <v>67956.210000000006</v>
      </c>
      <c r="N1407" t="s">
        <v>10766</v>
      </c>
      <c r="O1407" t="s">
        <v>52</v>
      </c>
      <c r="P1407" t="str">
        <f>CONCATENATE("'",Tabla1[[#This Row],[Codigo]],"',")</f>
        <v>'02323',</v>
      </c>
    </row>
    <row r="1408" spans="1:16" x14ac:dyDescent="0.25">
      <c r="A1408" t="s">
        <v>10770</v>
      </c>
      <c r="B1408" t="s">
        <v>10771</v>
      </c>
      <c r="C1408" t="s">
        <v>10771</v>
      </c>
      <c r="D1408" t="s">
        <v>189</v>
      </c>
      <c r="E1408" t="s">
        <v>190</v>
      </c>
      <c r="F1408" t="s">
        <v>10769</v>
      </c>
      <c r="G1408" t="s">
        <v>10772</v>
      </c>
      <c r="H1408" t="s">
        <v>1419</v>
      </c>
      <c r="I1408" t="s">
        <v>1420</v>
      </c>
      <c r="J1408" t="s">
        <v>1421</v>
      </c>
      <c r="K1408" t="s">
        <v>1422</v>
      </c>
      <c r="L1408" t="s">
        <v>50</v>
      </c>
      <c r="M1408" s="2">
        <v>43044.42</v>
      </c>
      <c r="N1408" t="s">
        <v>10775</v>
      </c>
      <c r="P1408" t="str">
        <f>CONCATENATE("'",Tabla1[[#This Row],[Codigo]],"',")</f>
        <v>'02325',</v>
      </c>
    </row>
    <row r="1409" spans="1:16" x14ac:dyDescent="0.25">
      <c r="A1409" t="s">
        <v>10776</v>
      </c>
      <c r="B1409" t="s">
        <v>10777</v>
      </c>
      <c r="C1409" t="s">
        <v>10777</v>
      </c>
      <c r="D1409" t="s">
        <v>577</v>
      </c>
      <c r="E1409" t="s">
        <v>134</v>
      </c>
      <c r="F1409" t="s">
        <v>10769</v>
      </c>
      <c r="G1409" t="s">
        <v>1417</v>
      </c>
      <c r="H1409" t="s">
        <v>1419</v>
      </c>
      <c r="I1409" t="s">
        <v>1420</v>
      </c>
      <c r="J1409" t="s">
        <v>1421</v>
      </c>
      <c r="K1409" t="s">
        <v>1422</v>
      </c>
      <c r="L1409" t="s">
        <v>50</v>
      </c>
      <c r="M1409" s="2">
        <v>119994</v>
      </c>
      <c r="N1409" t="s">
        <v>64</v>
      </c>
      <c r="P1409" t="str">
        <f>CONCATENATE("'",Tabla1[[#This Row],[Codigo]],"',")</f>
        <v>'02326',</v>
      </c>
    </row>
    <row r="1410" spans="1:16" x14ac:dyDescent="0.25">
      <c r="A1410" t="s">
        <v>10779</v>
      </c>
      <c r="B1410" t="s">
        <v>10780</v>
      </c>
      <c r="C1410" t="s">
        <v>10780</v>
      </c>
      <c r="D1410" t="s">
        <v>297</v>
      </c>
      <c r="E1410" t="s">
        <v>167</v>
      </c>
      <c r="F1410" t="s">
        <v>10781</v>
      </c>
      <c r="G1410" t="s">
        <v>1360</v>
      </c>
      <c r="H1410" t="s">
        <v>1362</v>
      </c>
      <c r="I1410" t="s">
        <v>1360</v>
      </c>
      <c r="J1410" t="s">
        <v>2320</v>
      </c>
      <c r="K1410" t="s">
        <v>2321</v>
      </c>
      <c r="L1410" t="s">
        <v>50</v>
      </c>
      <c r="M1410" s="2">
        <v>436340</v>
      </c>
      <c r="N1410" t="s">
        <v>64</v>
      </c>
      <c r="P1410" t="str">
        <f>CONCATENATE("'",Tabla1[[#This Row],[Codigo]],"',")</f>
        <v>'02327',</v>
      </c>
    </row>
    <row r="1411" spans="1:16" x14ac:dyDescent="0.25">
      <c r="A1411" t="s">
        <v>10783</v>
      </c>
      <c r="B1411" t="s">
        <v>10784</v>
      </c>
      <c r="C1411" t="s">
        <v>10784</v>
      </c>
      <c r="D1411" t="s">
        <v>125</v>
      </c>
      <c r="E1411" t="s">
        <v>126</v>
      </c>
      <c r="F1411" t="s">
        <v>10785</v>
      </c>
      <c r="G1411" t="s">
        <v>1360</v>
      </c>
      <c r="H1411" t="s">
        <v>1362</v>
      </c>
      <c r="I1411" t="s">
        <v>1360</v>
      </c>
      <c r="J1411" t="s">
        <v>2320</v>
      </c>
      <c r="K1411" t="s">
        <v>2321</v>
      </c>
      <c r="L1411" t="s">
        <v>50</v>
      </c>
      <c r="M1411" s="2">
        <v>311570.63</v>
      </c>
      <c r="N1411" t="s">
        <v>10787</v>
      </c>
      <c r="O1411" t="s">
        <v>115</v>
      </c>
      <c r="P1411" t="str">
        <f>CONCATENATE("'",Tabla1[[#This Row],[Codigo]],"',")</f>
        <v>'02328',</v>
      </c>
    </row>
    <row r="1412" spans="1:16" x14ac:dyDescent="0.25">
      <c r="A1412" t="s">
        <v>10788</v>
      </c>
      <c r="B1412" t="s">
        <v>10789</v>
      </c>
      <c r="C1412" t="s">
        <v>10789</v>
      </c>
      <c r="D1412" t="s">
        <v>35</v>
      </c>
      <c r="E1412" t="s">
        <v>36</v>
      </c>
      <c r="F1412" t="s">
        <v>10790</v>
      </c>
      <c r="G1412" t="s">
        <v>1360</v>
      </c>
      <c r="H1412" t="s">
        <v>1362</v>
      </c>
      <c r="I1412" t="s">
        <v>1360</v>
      </c>
      <c r="J1412" t="s">
        <v>2320</v>
      </c>
      <c r="K1412" t="s">
        <v>2321</v>
      </c>
      <c r="L1412" t="s">
        <v>50</v>
      </c>
      <c r="M1412" s="2">
        <v>555316.21</v>
      </c>
      <c r="N1412" t="s">
        <v>10792</v>
      </c>
      <c r="O1412" t="s">
        <v>115</v>
      </c>
      <c r="P1412" t="str">
        <f>CONCATENATE("'",Tabla1[[#This Row],[Codigo]],"',")</f>
        <v>'02329',</v>
      </c>
    </row>
    <row r="1413" spans="1:16" x14ac:dyDescent="0.25">
      <c r="A1413" t="s">
        <v>10793</v>
      </c>
      <c r="B1413" t="s">
        <v>10794</v>
      </c>
      <c r="C1413" t="s">
        <v>10794</v>
      </c>
      <c r="D1413" t="s">
        <v>125</v>
      </c>
      <c r="E1413" t="s">
        <v>126</v>
      </c>
      <c r="F1413" t="s">
        <v>10795</v>
      </c>
      <c r="G1413" t="s">
        <v>3122</v>
      </c>
      <c r="H1413" t="s">
        <v>3121</v>
      </c>
      <c r="I1413" t="s">
        <v>3122</v>
      </c>
      <c r="J1413" t="s">
        <v>2320</v>
      </c>
      <c r="K1413" t="s">
        <v>2321</v>
      </c>
      <c r="L1413" t="s">
        <v>50</v>
      </c>
      <c r="M1413" s="2">
        <v>584867.75</v>
      </c>
      <c r="N1413" t="s">
        <v>10797</v>
      </c>
      <c r="O1413" t="s">
        <v>115</v>
      </c>
      <c r="P1413" t="str">
        <f>CONCATENATE("'",Tabla1[[#This Row],[Codigo]],"',")</f>
        <v>'02330',</v>
      </c>
    </row>
    <row r="1414" spans="1:16" x14ac:dyDescent="0.25">
      <c r="A1414" t="s">
        <v>10798</v>
      </c>
      <c r="B1414" t="s">
        <v>10799</v>
      </c>
      <c r="C1414" t="s">
        <v>10799</v>
      </c>
      <c r="D1414" t="s">
        <v>847</v>
      </c>
      <c r="E1414" t="s">
        <v>848</v>
      </c>
      <c r="F1414" t="s">
        <v>10800</v>
      </c>
      <c r="G1414" t="s">
        <v>6996</v>
      </c>
      <c r="H1414" t="s">
        <v>6995</v>
      </c>
      <c r="I1414" t="s">
        <v>6996</v>
      </c>
      <c r="J1414" t="s">
        <v>6987</v>
      </c>
      <c r="K1414" t="s">
        <v>6988</v>
      </c>
      <c r="L1414" t="s">
        <v>50</v>
      </c>
      <c r="M1414" s="2">
        <v>224380</v>
      </c>
      <c r="N1414" t="s">
        <v>64</v>
      </c>
      <c r="P1414" t="str">
        <f>CONCATENATE("'",Tabla1[[#This Row],[Codigo]],"',")</f>
        <v>'02331',</v>
      </c>
    </row>
    <row r="1415" spans="1:16" x14ac:dyDescent="0.25">
      <c r="A1415" t="s">
        <v>10803</v>
      </c>
      <c r="B1415" t="s">
        <v>10804</v>
      </c>
      <c r="C1415" t="s">
        <v>10804</v>
      </c>
      <c r="D1415" t="s">
        <v>297</v>
      </c>
      <c r="E1415" t="s">
        <v>167</v>
      </c>
      <c r="F1415" t="s">
        <v>10805</v>
      </c>
      <c r="G1415" t="s">
        <v>81</v>
      </c>
      <c r="H1415" t="s">
        <v>80</v>
      </c>
      <c r="I1415" t="s">
        <v>81</v>
      </c>
      <c r="J1415" t="s">
        <v>82</v>
      </c>
      <c r="K1415" t="s">
        <v>83</v>
      </c>
      <c r="L1415" t="s">
        <v>50</v>
      </c>
      <c r="M1415" s="2">
        <v>157417.79999999999</v>
      </c>
      <c r="N1415" t="s">
        <v>10808</v>
      </c>
      <c r="O1415" t="s">
        <v>115</v>
      </c>
      <c r="P1415" t="str">
        <f>CONCATENATE("'",Tabla1[[#This Row],[Codigo]],"',")</f>
        <v>'02332',</v>
      </c>
    </row>
    <row r="1416" spans="1:16" x14ac:dyDescent="0.25">
      <c r="A1416" t="s">
        <v>10809</v>
      </c>
      <c r="B1416" t="s">
        <v>10810</v>
      </c>
      <c r="C1416" t="s">
        <v>10810</v>
      </c>
      <c r="D1416" t="s">
        <v>153</v>
      </c>
      <c r="E1416" t="s">
        <v>272</v>
      </c>
      <c r="F1416" t="s">
        <v>10811</v>
      </c>
      <c r="G1416" t="s">
        <v>10812</v>
      </c>
      <c r="H1416" t="s">
        <v>10814</v>
      </c>
      <c r="I1416" t="s">
        <v>10812</v>
      </c>
      <c r="J1416" t="s">
        <v>82</v>
      </c>
      <c r="K1416" t="s">
        <v>83</v>
      </c>
      <c r="L1416" t="s">
        <v>50</v>
      </c>
      <c r="M1416" s="2">
        <v>-246296.63</v>
      </c>
      <c r="N1416" t="s">
        <v>10816</v>
      </c>
      <c r="O1416" t="s">
        <v>115</v>
      </c>
      <c r="P1416" t="str">
        <f>CONCATENATE("'",Tabla1[[#This Row],[Codigo]],"',")</f>
        <v>'02333',</v>
      </c>
    </row>
    <row r="1417" spans="1:16" x14ac:dyDescent="0.25">
      <c r="A1417" t="s">
        <v>10817</v>
      </c>
      <c r="B1417" t="s">
        <v>10818</v>
      </c>
      <c r="C1417" t="s">
        <v>10818</v>
      </c>
      <c r="D1417" t="s">
        <v>153</v>
      </c>
      <c r="E1417" t="s">
        <v>272</v>
      </c>
      <c r="F1417" t="s">
        <v>10819</v>
      </c>
      <c r="G1417" t="s">
        <v>10105</v>
      </c>
      <c r="H1417" t="s">
        <v>10106</v>
      </c>
      <c r="I1417" t="s">
        <v>10105</v>
      </c>
      <c r="J1417" t="s">
        <v>10093</v>
      </c>
      <c r="K1417" t="s">
        <v>10094</v>
      </c>
      <c r="L1417" t="s">
        <v>50</v>
      </c>
      <c r="M1417" s="2">
        <v>1192147.73</v>
      </c>
      <c r="N1417" t="s">
        <v>10822</v>
      </c>
      <c r="O1417" t="s">
        <v>115</v>
      </c>
      <c r="P1417" t="str">
        <f>CONCATENATE("'",Tabla1[[#This Row],[Codigo]],"',")</f>
        <v>'02334',</v>
      </c>
    </row>
    <row r="1418" spans="1:16" x14ac:dyDescent="0.25">
      <c r="A1418" t="s">
        <v>10823</v>
      </c>
      <c r="B1418" t="s">
        <v>10824</v>
      </c>
      <c r="C1418" t="s">
        <v>10824</v>
      </c>
      <c r="D1418" t="s">
        <v>847</v>
      </c>
      <c r="E1418" t="s">
        <v>848</v>
      </c>
      <c r="F1418" t="s">
        <v>10825</v>
      </c>
      <c r="G1418" t="s">
        <v>1211</v>
      </c>
      <c r="H1418" t="s">
        <v>1210</v>
      </c>
      <c r="I1418" t="s">
        <v>1211</v>
      </c>
      <c r="J1418" t="s">
        <v>1212</v>
      </c>
      <c r="K1418" t="s">
        <v>1213</v>
      </c>
      <c r="L1418" t="s">
        <v>50</v>
      </c>
      <c r="M1418" s="2">
        <v>916676.38</v>
      </c>
      <c r="N1418" t="s">
        <v>10828</v>
      </c>
      <c r="P1418" t="str">
        <f>CONCATENATE("'",Tabla1[[#This Row],[Codigo]],"',")</f>
        <v>'02335',</v>
      </c>
    </row>
    <row r="1419" spans="1:16" x14ac:dyDescent="0.25">
      <c r="A1419" t="s">
        <v>10833</v>
      </c>
      <c r="B1419" t="s">
        <v>10834</v>
      </c>
      <c r="C1419" t="s">
        <v>10834</v>
      </c>
      <c r="D1419" t="s">
        <v>125</v>
      </c>
      <c r="E1419" t="s">
        <v>126</v>
      </c>
      <c r="F1419" t="s">
        <v>10835</v>
      </c>
      <c r="G1419" t="s">
        <v>10141</v>
      </c>
      <c r="H1419" t="s">
        <v>7936</v>
      </c>
      <c r="I1419" t="s">
        <v>7935</v>
      </c>
      <c r="J1419" t="s">
        <v>10093</v>
      </c>
      <c r="K1419" t="s">
        <v>10094</v>
      </c>
      <c r="L1419" t="s">
        <v>50</v>
      </c>
      <c r="M1419" s="2">
        <v>76639.86</v>
      </c>
      <c r="N1419" t="s">
        <v>10838</v>
      </c>
      <c r="O1419" t="s">
        <v>52</v>
      </c>
      <c r="P1419" t="str">
        <f>CONCATENATE("'",Tabla1[[#This Row],[Codigo]],"',")</f>
        <v>'02337',</v>
      </c>
    </row>
    <row r="1420" spans="1:16" x14ac:dyDescent="0.25">
      <c r="A1420" t="s">
        <v>10841</v>
      </c>
      <c r="B1420" t="s">
        <v>10842</v>
      </c>
      <c r="C1420" t="s">
        <v>10842</v>
      </c>
      <c r="D1420" t="s">
        <v>847</v>
      </c>
      <c r="E1420" t="s">
        <v>848</v>
      </c>
      <c r="F1420" t="s">
        <v>4636</v>
      </c>
      <c r="G1420" t="s">
        <v>79</v>
      </c>
      <c r="H1420" t="s">
        <v>495</v>
      </c>
      <c r="I1420" t="s">
        <v>79</v>
      </c>
      <c r="J1420" t="s">
        <v>3487</v>
      </c>
      <c r="K1420" t="s">
        <v>3488</v>
      </c>
      <c r="L1420" t="s">
        <v>50</v>
      </c>
      <c r="M1420" s="2">
        <v>202675.91</v>
      </c>
      <c r="N1420" t="s">
        <v>10844</v>
      </c>
      <c r="O1420" t="s">
        <v>115</v>
      </c>
      <c r="P1420" t="str">
        <f>CONCATENATE("'",Tabla1[[#This Row],[Codigo]],"',")</f>
        <v>'02339',</v>
      </c>
    </row>
    <row r="1421" spans="1:16" x14ac:dyDescent="0.25">
      <c r="A1421" t="s">
        <v>10845</v>
      </c>
      <c r="B1421" t="s">
        <v>10846</v>
      </c>
      <c r="C1421" t="s">
        <v>10846</v>
      </c>
      <c r="D1421" t="s">
        <v>178</v>
      </c>
      <c r="E1421" t="s">
        <v>179</v>
      </c>
      <c r="F1421" t="s">
        <v>10847</v>
      </c>
      <c r="G1421" t="s">
        <v>6030</v>
      </c>
      <c r="H1421" t="s">
        <v>6029</v>
      </c>
      <c r="I1421" t="s">
        <v>6030</v>
      </c>
      <c r="J1421" t="s">
        <v>82</v>
      </c>
      <c r="K1421" t="s">
        <v>83</v>
      </c>
      <c r="L1421" t="s">
        <v>50</v>
      </c>
      <c r="M1421" s="2">
        <v>185515.44</v>
      </c>
      <c r="N1421" t="s">
        <v>10850</v>
      </c>
      <c r="P1421" t="str">
        <f>CONCATENATE("'",Tabla1[[#This Row],[Codigo]],"',")</f>
        <v>'02340',</v>
      </c>
    </row>
    <row r="1422" spans="1:16" x14ac:dyDescent="0.25">
      <c r="A1422" t="s">
        <v>10851</v>
      </c>
      <c r="B1422" t="s">
        <v>10852</v>
      </c>
      <c r="C1422" t="s">
        <v>10852</v>
      </c>
      <c r="D1422" t="s">
        <v>35</v>
      </c>
      <c r="E1422" t="s">
        <v>36</v>
      </c>
      <c r="F1422" t="s">
        <v>10853</v>
      </c>
      <c r="G1422" t="s">
        <v>6030</v>
      </c>
      <c r="H1422" t="s">
        <v>6029</v>
      </c>
      <c r="I1422" t="s">
        <v>6030</v>
      </c>
      <c r="J1422" t="s">
        <v>82</v>
      </c>
      <c r="K1422" t="s">
        <v>83</v>
      </c>
      <c r="L1422" t="s">
        <v>50</v>
      </c>
      <c r="M1422" s="2">
        <v>266711.18</v>
      </c>
      <c r="N1422" t="s">
        <v>10856</v>
      </c>
      <c r="O1422" t="s">
        <v>115</v>
      </c>
      <c r="P1422" t="str">
        <f>CONCATENATE("'",Tabla1[[#This Row],[Codigo]],"',")</f>
        <v>'02341',</v>
      </c>
    </row>
    <row r="1423" spans="1:16" x14ac:dyDescent="0.25">
      <c r="A1423" t="s">
        <v>10857</v>
      </c>
      <c r="B1423" t="s">
        <v>10858</v>
      </c>
      <c r="C1423" t="s">
        <v>10858</v>
      </c>
      <c r="D1423" t="s">
        <v>166</v>
      </c>
      <c r="E1423" t="s">
        <v>167</v>
      </c>
      <c r="F1423" t="s">
        <v>10859</v>
      </c>
      <c r="G1423" t="s">
        <v>3074</v>
      </c>
      <c r="H1423" t="s">
        <v>3073</v>
      </c>
      <c r="I1423" t="s">
        <v>3074</v>
      </c>
      <c r="J1423" t="s">
        <v>103</v>
      </c>
      <c r="K1423" t="s">
        <v>104</v>
      </c>
      <c r="L1423" t="s">
        <v>50</v>
      </c>
      <c r="M1423" s="2">
        <v>201084.53</v>
      </c>
      <c r="N1423" t="s">
        <v>10862</v>
      </c>
      <c r="P1423" t="str">
        <f>CONCATENATE("'",Tabla1[[#This Row],[Codigo]],"',")</f>
        <v>'02342',</v>
      </c>
    </row>
    <row r="1424" spans="1:16" x14ac:dyDescent="0.25">
      <c r="A1424" t="s">
        <v>10863</v>
      </c>
      <c r="B1424" t="s">
        <v>10864</v>
      </c>
      <c r="C1424" t="s">
        <v>10864</v>
      </c>
      <c r="D1424" t="s">
        <v>817</v>
      </c>
      <c r="E1424" t="s">
        <v>224</v>
      </c>
      <c r="F1424" t="s">
        <v>10865</v>
      </c>
      <c r="G1424" t="s">
        <v>81</v>
      </c>
      <c r="H1424" t="s">
        <v>80</v>
      </c>
      <c r="I1424" t="s">
        <v>81</v>
      </c>
      <c r="J1424" t="s">
        <v>82</v>
      </c>
      <c r="K1424" t="s">
        <v>83</v>
      </c>
      <c r="L1424" t="s">
        <v>50</v>
      </c>
      <c r="M1424" s="2">
        <v>325031.06</v>
      </c>
      <c r="N1424" t="s">
        <v>10868</v>
      </c>
      <c r="P1424" t="str">
        <f>CONCATENATE("'",Tabla1[[#This Row],[Codigo]],"',")</f>
        <v>'02343',</v>
      </c>
    </row>
    <row r="1425" spans="1:16" x14ac:dyDescent="0.25">
      <c r="A1425" t="s">
        <v>10869</v>
      </c>
      <c r="B1425" t="s">
        <v>10870</v>
      </c>
      <c r="C1425" t="s">
        <v>10870</v>
      </c>
      <c r="D1425" t="s">
        <v>125</v>
      </c>
      <c r="E1425" t="s">
        <v>126</v>
      </c>
      <c r="F1425" t="s">
        <v>10871</v>
      </c>
      <c r="G1425" t="s">
        <v>10872</v>
      </c>
      <c r="H1425" t="s">
        <v>10873</v>
      </c>
      <c r="I1425" t="s">
        <v>10872</v>
      </c>
      <c r="J1425" t="s">
        <v>2320</v>
      </c>
      <c r="K1425" t="s">
        <v>2321</v>
      </c>
      <c r="L1425" t="s">
        <v>50</v>
      </c>
      <c r="M1425" s="2">
        <v>403337.38</v>
      </c>
      <c r="N1425" t="s">
        <v>10875</v>
      </c>
      <c r="O1425" t="s">
        <v>115</v>
      </c>
      <c r="P1425" t="str">
        <f>CONCATENATE("'",Tabla1[[#This Row],[Codigo]],"',")</f>
        <v>'02345',</v>
      </c>
    </row>
    <row r="1426" spans="1:16" x14ac:dyDescent="0.25">
      <c r="A1426" t="s">
        <v>10876</v>
      </c>
      <c r="B1426" t="s">
        <v>10877</v>
      </c>
      <c r="C1426" t="s">
        <v>10877</v>
      </c>
      <c r="D1426" t="s">
        <v>153</v>
      </c>
      <c r="E1426" t="s">
        <v>272</v>
      </c>
      <c r="F1426" t="s">
        <v>10878</v>
      </c>
      <c r="G1426" t="s">
        <v>1360</v>
      </c>
      <c r="H1426" t="s">
        <v>1362</v>
      </c>
      <c r="I1426" t="s">
        <v>1360</v>
      </c>
      <c r="J1426" t="s">
        <v>1421</v>
      </c>
      <c r="K1426" t="s">
        <v>1422</v>
      </c>
      <c r="L1426" t="s">
        <v>50</v>
      </c>
      <c r="M1426" s="2">
        <v>-150913.84</v>
      </c>
      <c r="N1426" t="s">
        <v>10881</v>
      </c>
      <c r="O1426" t="s">
        <v>115</v>
      </c>
      <c r="P1426" t="str">
        <f>CONCATENATE("'",Tabla1[[#This Row],[Codigo]],"',")</f>
        <v>'02346',</v>
      </c>
    </row>
    <row r="1427" spans="1:16" x14ac:dyDescent="0.25">
      <c r="A1427" t="s">
        <v>10890</v>
      </c>
      <c r="B1427" t="s">
        <v>10891</v>
      </c>
      <c r="C1427" t="s">
        <v>10891</v>
      </c>
      <c r="D1427" t="s">
        <v>189</v>
      </c>
      <c r="E1427" t="s">
        <v>190</v>
      </c>
      <c r="F1427" t="s">
        <v>10892</v>
      </c>
      <c r="G1427" t="s">
        <v>1360</v>
      </c>
      <c r="H1427" t="s">
        <v>1362</v>
      </c>
      <c r="I1427" t="s">
        <v>1360</v>
      </c>
      <c r="J1427" t="s">
        <v>1421</v>
      </c>
      <c r="K1427" t="s">
        <v>1422</v>
      </c>
      <c r="L1427" t="s">
        <v>50</v>
      </c>
      <c r="M1427" s="2">
        <v>28081.66</v>
      </c>
      <c r="N1427" t="s">
        <v>10895</v>
      </c>
      <c r="P1427" t="str">
        <f>CONCATENATE("'",Tabla1[[#This Row],[Codigo]],"',")</f>
        <v>'02350',</v>
      </c>
    </row>
    <row r="1428" spans="1:16" x14ac:dyDescent="0.25">
      <c r="A1428" t="s">
        <v>10896</v>
      </c>
      <c r="B1428" t="s">
        <v>10897</v>
      </c>
      <c r="C1428" t="s">
        <v>10897</v>
      </c>
      <c r="D1428" t="s">
        <v>153</v>
      </c>
      <c r="E1428" t="s">
        <v>272</v>
      </c>
      <c r="F1428" t="s">
        <v>10898</v>
      </c>
      <c r="G1428" t="s">
        <v>10141</v>
      </c>
      <c r="H1428" t="s">
        <v>7936</v>
      </c>
      <c r="I1428" t="s">
        <v>7935</v>
      </c>
      <c r="J1428" t="s">
        <v>10093</v>
      </c>
      <c r="K1428" t="s">
        <v>10094</v>
      </c>
      <c r="L1428" t="s">
        <v>50</v>
      </c>
      <c r="M1428" s="2">
        <v>26669.31</v>
      </c>
      <c r="N1428" t="s">
        <v>10901</v>
      </c>
      <c r="O1428" t="s">
        <v>52</v>
      </c>
      <c r="P1428" t="str">
        <f>CONCATENATE("'",Tabla1[[#This Row],[Codigo]],"',")</f>
        <v>'02351',</v>
      </c>
    </row>
    <row r="1429" spans="1:16" x14ac:dyDescent="0.25">
      <c r="A1429" t="s">
        <v>10902</v>
      </c>
      <c r="B1429" t="s">
        <v>10903</v>
      </c>
      <c r="C1429" t="s">
        <v>10903</v>
      </c>
      <c r="D1429" t="s">
        <v>1410</v>
      </c>
      <c r="E1429" t="s">
        <v>871</v>
      </c>
      <c r="F1429" t="s">
        <v>10904</v>
      </c>
      <c r="G1429" t="s">
        <v>10905</v>
      </c>
      <c r="H1429" t="s">
        <v>2846</v>
      </c>
      <c r="I1429" t="s">
        <v>2844</v>
      </c>
      <c r="J1429" t="s">
        <v>2320</v>
      </c>
      <c r="K1429" t="s">
        <v>2321</v>
      </c>
      <c r="L1429" t="s">
        <v>50</v>
      </c>
      <c r="M1429" s="2">
        <v>165317.42000000001</v>
      </c>
      <c r="N1429" t="s">
        <v>10908</v>
      </c>
      <c r="P1429" t="str">
        <f>CONCATENATE("'",Tabla1[[#This Row],[Codigo]],"',")</f>
        <v>'02352',</v>
      </c>
    </row>
    <row r="1430" spans="1:16" x14ac:dyDescent="0.25">
      <c r="A1430" t="s">
        <v>10909</v>
      </c>
      <c r="B1430" t="s">
        <v>10910</v>
      </c>
      <c r="C1430" t="s">
        <v>10910</v>
      </c>
      <c r="D1430" t="s">
        <v>35</v>
      </c>
      <c r="E1430" t="s">
        <v>36</v>
      </c>
      <c r="F1430" t="s">
        <v>10911</v>
      </c>
      <c r="G1430" t="s">
        <v>8321</v>
      </c>
      <c r="H1430" t="s">
        <v>8320</v>
      </c>
      <c r="I1430" t="s">
        <v>8321</v>
      </c>
      <c r="J1430" t="s">
        <v>6987</v>
      </c>
      <c r="K1430" t="s">
        <v>6988</v>
      </c>
      <c r="L1430" t="s">
        <v>50</v>
      </c>
      <c r="M1430" s="2">
        <v>340241.88</v>
      </c>
      <c r="N1430" t="s">
        <v>10914</v>
      </c>
      <c r="O1430" t="s">
        <v>52</v>
      </c>
      <c r="P1430" t="str">
        <f>CONCATENATE("'",Tabla1[[#This Row],[Codigo]],"',")</f>
        <v>'02353',</v>
      </c>
    </row>
    <row r="1431" spans="1:16" x14ac:dyDescent="0.25">
      <c r="A1431" t="s">
        <v>10915</v>
      </c>
      <c r="B1431" t="s">
        <v>10916</v>
      </c>
      <c r="C1431" t="s">
        <v>10916</v>
      </c>
      <c r="D1431" t="s">
        <v>35</v>
      </c>
      <c r="E1431" t="s">
        <v>36</v>
      </c>
      <c r="F1431" t="s">
        <v>10917</v>
      </c>
      <c r="G1431" t="s">
        <v>8192</v>
      </c>
      <c r="H1431" t="s">
        <v>8191</v>
      </c>
      <c r="I1431" t="s">
        <v>8192</v>
      </c>
      <c r="J1431" t="s">
        <v>6987</v>
      </c>
      <c r="K1431" t="s">
        <v>6988</v>
      </c>
      <c r="L1431" t="s">
        <v>50</v>
      </c>
      <c r="M1431" s="2">
        <v>162258.34</v>
      </c>
      <c r="N1431" t="s">
        <v>10919</v>
      </c>
      <c r="O1431" t="s">
        <v>52</v>
      </c>
      <c r="P1431" t="str">
        <f>CONCATENATE("'",Tabla1[[#This Row],[Codigo]],"',")</f>
        <v>'02354',</v>
      </c>
    </row>
    <row r="1432" spans="1:16" x14ac:dyDescent="0.25">
      <c r="A1432" t="s">
        <v>10920</v>
      </c>
      <c r="B1432" t="s">
        <v>10921</v>
      </c>
      <c r="C1432" t="s">
        <v>10921</v>
      </c>
      <c r="D1432" t="s">
        <v>125</v>
      </c>
      <c r="E1432" t="s">
        <v>126</v>
      </c>
      <c r="F1432" t="s">
        <v>10922</v>
      </c>
      <c r="G1432" t="s">
        <v>8192</v>
      </c>
      <c r="H1432" t="s">
        <v>8191</v>
      </c>
      <c r="I1432" t="s">
        <v>8192</v>
      </c>
      <c r="J1432" t="s">
        <v>6987</v>
      </c>
      <c r="K1432" t="s">
        <v>6988</v>
      </c>
      <c r="L1432" t="s">
        <v>50</v>
      </c>
      <c r="M1432" s="2">
        <v>306438.12</v>
      </c>
      <c r="N1432" t="s">
        <v>10924</v>
      </c>
      <c r="O1432" t="s">
        <v>52</v>
      </c>
      <c r="P1432" t="str">
        <f>CONCATENATE("'",Tabla1[[#This Row],[Codigo]],"',")</f>
        <v>'02355',</v>
      </c>
    </row>
    <row r="1433" spans="1:16" x14ac:dyDescent="0.25">
      <c r="A1433" t="s">
        <v>10925</v>
      </c>
      <c r="B1433" t="s">
        <v>10926</v>
      </c>
      <c r="C1433" t="s">
        <v>10926</v>
      </c>
      <c r="D1433" t="s">
        <v>125</v>
      </c>
      <c r="E1433" t="s">
        <v>126</v>
      </c>
      <c r="F1433" t="s">
        <v>10927</v>
      </c>
      <c r="G1433" t="s">
        <v>8192</v>
      </c>
      <c r="H1433" t="s">
        <v>8191</v>
      </c>
      <c r="I1433" t="s">
        <v>8192</v>
      </c>
      <c r="J1433" t="s">
        <v>6987</v>
      </c>
      <c r="K1433" t="s">
        <v>6988</v>
      </c>
      <c r="L1433" t="s">
        <v>50</v>
      </c>
      <c r="M1433" s="2">
        <v>-70796.03</v>
      </c>
      <c r="N1433" t="s">
        <v>10929</v>
      </c>
      <c r="O1433" t="s">
        <v>52</v>
      </c>
      <c r="P1433" t="str">
        <f>CONCATENATE("'",Tabla1[[#This Row],[Codigo]],"',")</f>
        <v>'02356',</v>
      </c>
    </row>
    <row r="1434" spans="1:16" x14ac:dyDescent="0.25">
      <c r="A1434" t="s">
        <v>10930</v>
      </c>
      <c r="B1434" t="s">
        <v>10931</v>
      </c>
      <c r="C1434" t="s">
        <v>10931</v>
      </c>
      <c r="D1434" t="s">
        <v>35</v>
      </c>
      <c r="E1434" t="s">
        <v>36</v>
      </c>
      <c r="F1434" t="s">
        <v>10932</v>
      </c>
      <c r="G1434" t="s">
        <v>8192</v>
      </c>
      <c r="H1434" t="s">
        <v>8191</v>
      </c>
      <c r="I1434" t="s">
        <v>8192</v>
      </c>
      <c r="J1434" t="s">
        <v>6987</v>
      </c>
      <c r="K1434" t="s">
        <v>6988</v>
      </c>
      <c r="L1434" t="s">
        <v>50</v>
      </c>
      <c r="M1434" s="2">
        <v>304421.11</v>
      </c>
      <c r="N1434" t="s">
        <v>10934</v>
      </c>
      <c r="O1434" t="s">
        <v>52</v>
      </c>
      <c r="P1434" t="str">
        <f>CONCATENATE("'",Tabla1[[#This Row],[Codigo]],"',")</f>
        <v>'02357',</v>
      </c>
    </row>
    <row r="1435" spans="1:16" x14ac:dyDescent="0.25">
      <c r="A1435" t="s">
        <v>10935</v>
      </c>
      <c r="B1435" t="s">
        <v>10936</v>
      </c>
      <c r="C1435" t="s">
        <v>10936</v>
      </c>
      <c r="D1435" t="s">
        <v>35</v>
      </c>
      <c r="E1435" t="s">
        <v>36</v>
      </c>
      <c r="F1435" t="s">
        <v>10937</v>
      </c>
      <c r="G1435" t="s">
        <v>10938</v>
      </c>
      <c r="H1435" t="s">
        <v>10940</v>
      </c>
      <c r="I1435" t="s">
        <v>10938</v>
      </c>
      <c r="J1435" t="s">
        <v>10093</v>
      </c>
      <c r="K1435" t="s">
        <v>10094</v>
      </c>
      <c r="L1435" t="s">
        <v>50</v>
      </c>
      <c r="M1435" s="2">
        <v>165113.41</v>
      </c>
      <c r="N1435" t="s">
        <v>10942</v>
      </c>
      <c r="O1435" t="s">
        <v>52</v>
      </c>
      <c r="P1435" t="str">
        <f>CONCATENATE("'",Tabla1[[#This Row],[Codigo]],"',")</f>
        <v>'02358',</v>
      </c>
    </row>
    <row r="1436" spans="1:16" x14ac:dyDescent="0.25">
      <c r="A1436" t="s">
        <v>10948</v>
      </c>
      <c r="B1436" t="s">
        <v>10949</v>
      </c>
      <c r="C1436" t="s">
        <v>10949</v>
      </c>
      <c r="D1436" t="s">
        <v>35</v>
      </c>
      <c r="E1436" t="s">
        <v>36</v>
      </c>
      <c r="F1436" t="s">
        <v>4022</v>
      </c>
      <c r="G1436" t="s">
        <v>10950</v>
      </c>
      <c r="H1436" t="s">
        <v>403</v>
      </c>
      <c r="I1436" t="s">
        <v>404</v>
      </c>
      <c r="J1436" t="s">
        <v>205</v>
      </c>
      <c r="K1436" t="s">
        <v>206</v>
      </c>
      <c r="L1436" t="s">
        <v>50</v>
      </c>
      <c r="M1436" s="2">
        <v>77632.23</v>
      </c>
      <c r="N1436" t="s">
        <v>10952</v>
      </c>
      <c r="O1436" t="s">
        <v>52</v>
      </c>
      <c r="P1436" t="str">
        <f>CONCATENATE("'",Tabla1[[#This Row],[Codigo]],"',")</f>
        <v>'02360',</v>
      </c>
    </row>
    <row r="1437" spans="1:16" x14ac:dyDescent="0.25">
      <c r="A1437" t="s">
        <v>10973</v>
      </c>
      <c r="B1437" t="s">
        <v>10974</v>
      </c>
      <c r="C1437" t="s">
        <v>10974</v>
      </c>
      <c r="D1437" t="s">
        <v>297</v>
      </c>
      <c r="E1437" t="s">
        <v>167</v>
      </c>
      <c r="F1437" t="s">
        <v>10971</v>
      </c>
      <c r="G1437" t="s">
        <v>4851</v>
      </c>
      <c r="H1437" t="s">
        <v>4852</v>
      </c>
      <c r="I1437" t="s">
        <v>4851</v>
      </c>
      <c r="J1437" t="s">
        <v>4853</v>
      </c>
      <c r="K1437" t="s">
        <v>4854</v>
      </c>
      <c r="L1437" t="s">
        <v>50</v>
      </c>
      <c r="M1437" s="2">
        <v>229324.2</v>
      </c>
      <c r="N1437" t="s">
        <v>10976</v>
      </c>
      <c r="O1437" t="s">
        <v>52</v>
      </c>
      <c r="P1437" t="str">
        <f>CONCATENATE("'",Tabla1[[#This Row],[Codigo]],"',")</f>
        <v>'02366',</v>
      </c>
    </row>
    <row r="1438" spans="1:16" x14ac:dyDescent="0.25">
      <c r="A1438" t="s">
        <v>10977</v>
      </c>
      <c r="B1438" t="s">
        <v>10978</v>
      </c>
      <c r="C1438" t="s">
        <v>10978</v>
      </c>
      <c r="D1438" t="s">
        <v>297</v>
      </c>
      <c r="E1438" t="s">
        <v>167</v>
      </c>
      <c r="F1438" t="s">
        <v>10971</v>
      </c>
      <c r="G1438" t="s">
        <v>7860</v>
      </c>
      <c r="H1438" t="s">
        <v>4852</v>
      </c>
      <c r="I1438" t="s">
        <v>4851</v>
      </c>
      <c r="J1438" t="s">
        <v>4853</v>
      </c>
      <c r="K1438" t="s">
        <v>4854</v>
      </c>
      <c r="L1438" t="s">
        <v>50</v>
      </c>
      <c r="M1438" s="2">
        <v>248787.9</v>
      </c>
      <c r="N1438" t="s">
        <v>10980</v>
      </c>
      <c r="O1438" t="s">
        <v>52</v>
      </c>
      <c r="P1438" t="str">
        <f>CONCATENATE("'",Tabla1[[#This Row],[Codigo]],"',")</f>
        <v>'02367',</v>
      </c>
    </row>
    <row r="1439" spans="1:16" x14ac:dyDescent="0.25">
      <c r="A1439" t="s">
        <v>10988</v>
      </c>
      <c r="B1439" t="s">
        <v>10989</v>
      </c>
      <c r="C1439" t="s">
        <v>10989</v>
      </c>
      <c r="D1439" t="s">
        <v>297</v>
      </c>
      <c r="E1439" t="s">
        <v>167</v>
      </c>
      <c r="F1439" t="s">
        <v>10990</v>
      </c>
      <c r="G1439" t="s">
        <v>446</v>
      </c>
      <c r="H1439" t="s">
        <v>445</v>
      </c>
      <c r="I1439" t="s">
        <v>446</v>
      </c>
      <c r="J1439" t="s">
        <v>69</v>
      </c>
      <c r="K1439" t="s">
        <v>70</v>
      </c>
      <c r="L1439" t="s">
        <v>50</v>
      </c>
      <c r="M1439" s="2">
        <v>436340</v>
      </c>
      <c r="N1439" t="s">
        <v>64</v>
      </c>
      <c r="P1439" t="str">
        <f>CONCATENATE("'",Tabla1[[#This Row],[Codigo]],"',")</f>
        <v>'02370',</v>
      </c>
    </row>
    <row r="1440" spans="1:16" x14ac:dyDescent="0.25">
      <c r="A1440" t="s">
        <v>10993</v>
      </c>
      <c r="B1440" t="s">
        <v>10994</v>
      </c>
      <c r="C1440" t="s">
        <v>10994</v>
      </c>
      <c r="D1440" t="s">
        <v>569</v>
      </c>
      <c r="E1440" t="s">
        <v>570</v>
      </c>
      <c r="F1440" t="s">
        <v>10995</v>
      </c>
      <c r="G1440" t="s">
        <v>41</v>
      </c>
      <c r="H1440" t="s">
        <v>40</v>
      </c>
      <c r="I1440" t="s">
        <v>41</v>
      </c>
      <c r="J1440" t="s">
        <v>42</v>
      </c>
      <c r="K1440" t="s">
        <v>43</v>
      </c>
      <c r="L1440" t="s">
        <v>50</v>
      </c>
      <c r="M1440" s="2">
        <v>10811.15</v>
      </c>
      <c r="N1440" t="s">
        <v>10996</v>
      </c>
      <c r="P1440" t="str">
        <f>CONCATENATE("'",Tabla1[[#This Row],[Codigo]],"',")</f>
        <v>'02371',</v>
      </c>
    </row>
    <row r="1441" spans="1:16" x14ac:dyDescent="0.25">
      <c r="A1441" t="s">
        <v>11000</v>
      </c>
      <c r="B1441" t="s">
        <v>11001</v>
      </c>
      <c r="C1441" t="s">
        <v>8420</v>
      </c>
      <c r="D1441" t="s">
        <v>153</v>
      </c>
      <c r="E1441" t="s">
        <v>272</v>
      </c>
      <c r="F1441" t="s">
        <v>8421</v>
      </c>
      <c r="G1441" t="s">
        <v>446</v>
      </c>
      <c r="H1441" t="s">
        <v>2846</v>
      </c>
      <c r="I1441" t="s">
        <v>2844</v>
      </c>
      <c r="J1441" t="s">
        <v>4315</v>
      </c>
      <c r="K1441" t="s">
        <v>4316</v>
      </c>
      <c r="L1441" t="s">
        <v>50</v>
      </c>
      <c r="M1441" s="2">
        <v>186797.17</v>
      </c>
      <c r="N1441" t="s">
        <v>11003</v>
      </c>
      <c r="O1441" t="s">
        <v>52</v>
      </c>
      <c r="P1441" t="str">
        <f>CONCATENATE("'",Tabla1[[#This Row],[Codigo]],"',")</f>
        <v>'02373',</v>
      </c>
    </row>
    <row r="1442" spans="1:16" x14ac:dyDescent="0.25">
      <c r="A1442" t="s">
        <v>11004</v>
      </c>
      <c r="B1442" t="s">
        <v>11005</v>
      </c>
      <c r="C1442" t="s">
        <v>8420</v>
      </c>
      <c r="D1442" t="s">
        <v>35</v>
      </c>
      <c r="E1442" t="s">
        <v>36</v>
      </c>
      <c r="F1442" t="s">
        <v>8421</v>
      </c>
      <c r="G1442" t="s">
        <v>714</v>
      </c>
      <c r="H1442" t="s">
        <v>715</v>
      </c>
      <c r="I1442" t="s">
        <v>714</v>
      </c>
      <c r="J1442" t="s">
        <v>4315</v>
      </c>
      <c r="K1442" t="s">
        <v>4316</v>
      </c>
      <c r="L1442" t="s">
        <v>50</v>
      </c>
      <c r="M1442" s="2">
        <v>181406.66</v>
      </c>
      <c r="N1442" t="s">
        <v>11007</v>
      </c>
      <c r="O1442" t="s">
        <v>52</v>
      </c>
      <c r="P1442" t="str">
        <f>CONCATENATE("'",Tabla1[[#This Row],[Codigo]],"',")</f>
        <v>'02374',</v>
      </c>
    </row>
    <row r="1443" spans="1:16" x14ac:dyDescent="0.25">
      <c r="A1443" t="s">
        <v>11010</v>
      </c>
      <c r="B1443" t="s">
        <v>11011</v>
      </c>
      <c r="C1443" t="s">
        <v>11011</v>
      </c>
      <c r="D1443" t="s">
        <v>125</v>
      </c>
      <c r="E1443" t="s">
        <v>126</v>
      </c>
      <c r="F1443" t="s">
        <v>11012</v>
      </c>
      <c r="G1443" t="s">
        <v>10224</v>
      </c>
      <c r="H1443" t="s">
        <v>10223</v>
      </c>
      <c r="I1443" t="s">
        <v>10224</v>
      </c>
      <c r="J1443" t="s">
        <v>6987</v>
      </c>
      <c r="K1443" t="s">
        <v>6988</v>
      </c>
      <c r="L1443" t="s">
        <v>50</v>
      </c>
      <c r="M1443" s="2">
        <v>185243.28</v>
      </c>
      <c r="N1443" t="s">
        <v>11014</v>
      </c>
      <c r="O1443" t="s">
        <v>52</v>
      </c>
      <c r="P1443" t="str">
        <f>CONCATENATE("'",Tabla1[[#This Row],[Codigo]],"',")</f>
        <v>'02376',</v>
      </c>
    </row>
    <row r="1444" spans="1:16" x14ac:dyDescent="0.25">
      <c r="A1444" t="s">
        <v>11018</v>
      </c>
      <c r="B1444" t="s">
        <v>11019</v>
      </c>
      <c r="C1444" t="s">
        <v>11019</v>
      </c>
      <c r="D1444" t="s">
        <v>125</v>
      </c>
      <c r="E1444" t="s">
        <v>126</v>
      </c>
      <c r="F1444" t="s">
        <v>11020</v>
      </c>
      <c r="G1444" t="s">
        <v>10727</v>
      </c>
      <c r="H1444" t="s">
        <v>1210</v>
      </c>
      <c r="I1444" t="s">
        <v>1211</v>
      </c>
      <c r="J1444" t="s">
        <v>1212</v>
      </c>
      <c r="K1444" t="s">
        <v>1213</v>
      </c>
      <c r="L1444" t="s">
        <v>50</v>
      </c>
      <c r="M1444" s="2">
        <v>345874.78</v>
      </c>
      <c r="N1444" t="s">
        <v>11022</v>
      </c>
      <c r="O1444" t="s">
        <v>52</v>
      </c>
      <c r="P1444" t="str">
        <f>CONCATENATE("'",Tabla1[[#This Row],[Codigo]],"',")</f>
        <v>'02380',</v>
      </c>
    </row>
    <row r="1445" spans="1:16" x14ac:dyDescent="0.25">
      <c r="A1445" t="s">
        <v>11023</v>
      </c>
      <c r="B1445" t="s">
        <v>11024</v>
      </c>
      <c r="C1445" t="s">
        <v>11024</v>
      </c>
      <c r="D1445" t="s">
        <v>35</v>
      </c>
      <c r="E1445" t="s">
        <v>36</v>
      </c>
      <c r="F1445" t="s">
        <v>11025</v>
      </c>
      <c r="G1445" t="s">
        <v>10727</v>
      </c>
      <c r="H1445" t="s">
        <v>1210</v>
      </c>
      <c r="I1445" t="s">
        <v>1211</v>
      </c>
      <c r="J1445" t="s">
        <v>1212</v>
      </c>
      <c r="K1445" t="s">
        <v>1213</v>
      </c>
      <c r="L1445" t="s">
        <v>50</v>
      </c>
      <c r="M1445" s="2">
        <v>281047.38</v>
      </c>
      <c r="N1445" t="s">
        <v>11027</v>
      </c>
      <c r="O1445" t="s">
        <v>52</v>
      </c>
      <c r="P1445" t="str">
        <f>CONCATENATE("'",Tabla1[[#This Row],[Codigo]],"',")</f>
        <v>'02381',</v>
      </c>
    </row>
    <row r="1446" spans="1:16" x14ac:dyDescent="0.25">
      <c r="A1446" t="s">
        <v>11028</v>
      </c>
      <c r="B1446" t="s">
        <v>11029</v>
      </c>
      <c r="C1446" t="s">
        <v>11029</v>
      </c>
      <c r="D1446" t="s">
        <v>2389</v>
      </c>
      <c r="E1446" t="s">
        <v>134</v>
      </c>
      <c r="F1446" t="s">
        <v>11030</v>
      </c>
      <c r="G1446" t="s">
        <v>1360</v>
      </c>
      <c r="H1446" t="s">
        <v>1362</v>
      </c>
      <c r="I1446" t="s">
        <v>1360</v>
      </c>
      <c r="J1446" t="s">
        <v>1212</v>
      </c>
      <c r="K1446" t="s">
        <v>1213</v>
      </c>
      <c r="L1446" t="s">
        <v>50</v>
      </c>
      <c r="M1446" s="2">
        <v>54543</v>
      </c>
      <c r="N1446" t="s">
        <v>64</v>
      </c>
      <c r="P1446" t="str">
        <f>CONCATENATE("'",Tabla1[[#This Row],[Codigo]],"',")</f>
        <v>'02382',</v>
      </c>
    </row>
    <row r="1447" spans="1:16" x14ac:dyDescent="0.25">
      <c r="A1447" t="s">
        <v>11033</v>
      </c>
      <c r="B1447" t="s">
        <v>11034</v>
      </c>
      <c r="C1447" t="s">
        <v>11034</v>
      </c>
      <c r="D1447" t="s">
        <v>297</v>
      </c>
      <c r="E1447" t="s">
        <v>167</v>
      </c>
      <c r="F1447" t="s">
        <v>11035</v>
      </c>
      <c r="G1447" t="s">
        <v>303</v>
      </c>
      <c r="H1447" t="s">
        <v>302</v>
      </c>
      <c r="I1447" t="s">
        <v>303</v>
      </c>
      <c r="J1447" t="s">
        <v>304</v>
      </c>
      <c r="K1447" t="s">
        <v>72</v>
      </c>
      <c r="L1447" t="s">
        <v>50</v>
      </c>
      <c r="M1447" s="2">
        <v>218170</v>
      </c>
      <c r="N1447" t="s">
        <v>64</v>
      </c>
      <c r="P1447" t="str">
        <f>CONCATENATE("'",Tabla1[[#This Row],[Codigo]],"',")</f>
        <v>'02383',</v>
      </c>
    </row>
    <row r="1448" spans="1:16" x14ac:dyDescent="0.25">
      <c r="A1448" t="s">
        <v>11038</v>
      </c>
      <c r="B1448" t="s">
        <v>11039</v>
      </c>
      <c r="C1448" t="s">
        <v>11039</v>
      </c>
      <c r="D1448" t="s">
        <v>344</v>
      </c>
      <c r="E1448" t="s">
        <v>167</v>
      </c>
      <c r="F1448" t="s">
        <v>11040</v>
      </c>
      <c r="G1448" t="s">
        <v>8209</v>
      </c>
      <c r="H1448" t="s">
        <v>8208</v>
      </c>
      <c r="I1448" t="s">
        <v>8209</v>
      </c>
      <c r="J1448" t="s">
        <v>2320</v>
      </c>
      <c r="K1448" t="s">
        <v>2321</v>
      </c>
      <c r="L1448" t="s">
        <v>50</v>
      </c>
      <c r="M1448" s="2">
        <v>109085</v>
      </c>
      <c r="N1448" t="s">
        <v>64</v>
      </c>
      <c r="P1448" t="str">
        <f>CONCATENATE("'",Tabla1[[#This Row],[Codigo]],"',")</f>
        <v>'02384',</v>
      </c>
    </row>
    <row r="1449" spans="1:16" x14ac:dyDescent="0.25">
      <c r="A1449" t="s">
        <v>11044</v>
      </c>
      <c r="B1449" t="s">
        <v>11045</v>
      </c>
      <c r="C1449" t="s">
        <v>11045</v>
      </c>
      <c r="D1449" t="s">
        <v>344</v>
      </c>
      <c r="E1449" t="s">
        <v>167</v>
      </c>
      <c r="F1449" t="s">
        <v>11046</v>
      </c>
      <c r="G1449" t="s">
        <v>81</v>
      </c>
      <c r="H1449" t="s">
        <v>80</v>
      </c>
      <c r="I1449" t="s">
        <v>81</v>
      </c>
      <c r="J1449" t="s">
        <v>557</v>
      </c>
      <c r="K1449" t="s">
        <v>558</v>
      </c>
      <c r="L1449" t="s">
        <v>50</v>
      </c>
      <c r="M1449" s="2">
        <v>173903.62</v>
      </c>
      <c r="N1449" t="s">
        <v>11048</v>
      </c>
      <c r="O1449" t="s">
        <v>52</v>
      </c>
      <c r="P1449" t="str">
        <f>CONCATENATE("'",Tabla1[[#This Row],[Codigo]],"',")</f>
        <v>'02386',</v>
      </c>
    </row>
    <row r="1450" spans="1:16" x14ac:dyDescent="0.25">
      <c r="A1450" t="s">
        <v>11049</v>
      </c>
      <c r="B1450" t="s">
        <v>11050</v>
      </c>
      <c r="C1450" t="s">
        <v>11050</v>
      </c>
      <c r="D1450" t="s">
        <v>35</v>
      </c>
      <c r="E1450" t="s">
        <v>36</v>
      </c>
      <c r="F1450" t="s">
        <v>11051</v>
      </c>
      <c r="G1450" t="s">
        <v>10727</v>
      </c>
      <c r="H1450" t="s">
        <v>1210</v>
      </c>
      <c r="I1450" t="s">
        <v>1211</v>
      </c>
      <c r="J1450" t="s">
        <v>1212</v>
      </c>
      <c r="K1450" t="s">
        <v>1213</v>
      </c>
      <c r="L1450" t="s">
        <v>50</v>
      </c>
      <c r="M1450" s="2">
        <v>561081.87</v>
      </c>
      <c r="N1450" t="s">
        <v>11054</v>
      </c>
      <c r="O1450" t="s">
        <v>115</v>
      </c>
      <c r="P1450" t="str">
        <f>CONCATENATE("'",Tabla1[[#This Row],[Codigo]],"',")</f>
        <v>'02387',</v>
      </c>
    </row>
    <row r="1451" spans="1:16" x14ac:dyDescent="0.25">
      <c r="A1451" t="s">
        <v>11055</v>
      </c>
      <c r="B1451" t="s">
        <v>11056</v>
      </c>
      <c r="C1451" t="s">
        <v>11056</v>
      </c>
      <c r="D1451" t="s">
        <v>344</v>
      </c>
      <c r="E1451" t="s">
        <v>167</v>
      </c>
      <c r="F1451" t="s">
        <v>11057</v>
      </c>
      <c r="G1451" t="s">
        <v>3074</v>
      </c>
      <c r="H1451" t="s">
        <v>3073</v>
      </c>
      <c r="I1451" t="s">
        <v>3074</v>
      </c>
      <c r="J1451" t="s">
        <v>103</v>
      </c>
      <c r="K1451" t="s">
        <v>104</v>
      </c>
      <c r="L1451" t="s">
        <v>50</v>
      </c>
      <c r="M1451" s="2">
        <v>1090757.3700000001</v>
      </c>
      <c r="N1451" t="s">
        <v>11060</v>
      </c>
      <c r="O1451" t="s">
        <v>115</v>
      </c>
      <c r="P1451" t="str">
        <f>CONCATENATE("'",Tabla1[[#This Row],[Codigo]],"',")</f>
        <v>'02388',</v>
      </c>
    </row>
    <row r="1452" spans="1:16" x14ac:dyDescent="0.25">
      <c r="A1452" t="s">
        <v>11061</v>
      </c>
      <c r="B1452" t="s">
        <v>11062</v>
      </c>
      <c r="C1452" t="s">
        <v>11062</v>
      </c>
      <c r="D1452" t="s">
        <v>553</v>
      </c>
      <c r="E1452" t="s">
        <v>167</v>
      </c>
      <c r="F1452" t="s">
        <v>11063</v>
      </c>
      <c r="G1452" t="s">
        <v>11064</v>
      </c>
      <c r="H1452" t="s">
        <v>7276</v>
      </c>
      <c r="I1452" t="s">
        <v>7277</v>
      </c>
      <c r="J1452" t="s">
        <v>3487</v>
      </c>
      <c r="K1452" t="s">
        <v>3488</v>
      </c>
      <c r="L1452" t="s">
        <v>50</v>
      </c>
      <c r="M1452" s="2">
        <v>31580.959999999999</v>
      </c>
      <c r="N1452" t="s">
        <v>11067</v>
      </c>
      <c r="O1452" t="s">
        <v>52</v>
      </c>
      <c r="P1452" t="str">
        <f>CONCATENATE("'",Tabla1[[#This Row],[Codigo]],"',")</f>
        <v>'02389',</v>
      </c>
    </row>
    <row r="1453" spans="1:16" x14ac:dyDescent="0.25">
      <c r="A1453" t="s">
        <v>11070</v>
      </c>
      <c r="B1453" t="s">
        <v>11071</v>
      </c>
      <c r="C1453" t="s">
        <v>11071</v>
      </c>
      <c r="D1453" t="s">
        <v>153</v>
      </c>
      <c r="E1453" t="s">
        <v>272</v>
      </c>
      <c r="F1453" t="s">
        <v>11072</v>
      </c>
      <c r="G1453" t="s">
        <v>6240</v>
      </c>
      <c r="H1453" t="s">
        <v>6239</v>
      </c>
      <c r="I1453" t="s">
        <v>6240</v>
      </c>
      <c r="J1453" t="s">
        <v>82</v>
      </c>
      <c r="K1453" t="s">
        <v>83</v>
      </c>
      <c r="L1453" t="s">
        <v>50</v>
      </c>
      <c r="M1453" s="2">
        <v>187204.69</v>
      </c>
      <c r="N1453" t="s">
        <v>11075</v>
      </c>
      <c r="O1453" t="s">
        <v>52</v>
      </c>
      <c r="P1453" t="str">
        <f>CONCATENATE("'",Tabla1[[#This Row],[Codigo]],"',")</f>
        <v>'02391',</v>
      </c>
    </row>
    <row r="1454" spans="1:16" x14ac:dyDescent="0.25">
      <c r="A1454" t="s">
        <v>11076</v>
      </c>
      <c r="B1454" t="s">
        <v>11077</v>
      </c>
      <c r="C1454" t="s">
        <v>11077</v>
      </c>
      <c r="D1454" t="s">
        <v>10039</v>
      </c>
      <c r="E1454" t="s">
        <v>77</v>
      </c>
      <c r="F1454" t="s">
        <v>11078</v>
      </c>
      <c r="G1454" t="s">
        <v>41</v>
      </c>
      <c r="H1454" t="s">
        <v>40</v>
      </c>
      <c r="I1454" t="s">
        <v>41</v>
      </c>
      <c r="J1454" t="s">
        <v>42</v>
      </c>
      <c r="K1454" t="s">
        <v>43</v>
      </c>
      <c r="L1454" t="s">
        <v>50</v>
      </c>
      <c r="M1454" s="2">
        <v>21817</v>
      </c>
      <c r="N1454" t="s">
        <v>64</v>
      </c>
      <c r="P1454" t="str">
        <f>CONCATENATE("'",Tabla1[[#This Row],[Codigo]],"',")</f>
        <v>'02392',</v>
      </c>
    </row>
    <row r="1455" spans="1:16" x14ac:dyDescent="0.25">
      <c r="A1455" t="s">
        <v>11079</v>
      </c>
      <c r="B1455" t="s">
        <v>11080</v>
      </c>
      <c r="C1455" t="s">
        <v>11080</v>
      </c>
      <c r="D1455" t="s">
        <v>1467</v>
      </c>
      <c r="E1455" t="s">
        <v>224</v>
      </c>
      <c r="F1455" t="s">
        <v>11081</v>
      </c>
      <c r="G1455" t="s">
        <v>11082</v>
      </c>
      <c r="H1455" t="s">
        <v>5707</v>
      </c>
      <c r="I1455" t="s">
        <v>5706</v>
      </c>
      <c r="J1455" t="s">
        <v>42</v>
      </c>
      <c r="K1455" t="s">
        <v>43</v>
      </c>
      <c r="L1455" t="s">
        <v>50</v>
      </c>
      <c r="M1455" s="2">
        <v>-9365.81</v>
      </c>
      <c r="N1455" t="s">
        <v>11085</v>
      </c>
      <c r="O1455" t="s">
        <v>115</v>
      </c>
      <c r="P1455" t="str">
        <f>CONCATENATE("'",Tabla1[[#This Row],[Codigo]],"',")</f>
        <v>'02393',</v>
      </c>
    </row>
    <row r="1456" spans="1:16" x14ac:dyDescent="0.25">
      <c r="A1456" t="s">
        <v>11086</v>
      </c>
      <c r="B1456" t="s">
        <v>11087</v>
      </c>
      <c r="C1456" t="s">
        <v>11087</v>
      </c>
      <c r="D1456" t="s">
        <v>169</v>
      </c>
      <c r="E1456" t="s">
        <v>190</v>
      </c>
      <c r="F1456" t="s">
        <v>11088</v>
      </c>
      <c r="G1456" t="s">
        <v>699</v>
      </c>
      <c r="H1456" t="s">
        <v>700</v>
      </c>
      <c r="I1456" t="s">
        <v>699</v>
      </c>
      <c r="J1456" t="s">
        <v>69</v>
      </c>
      <c r="K1456" t="s">
        <v>70</v>
      </c>
      <c r="L1456" t="s">
        <v>50</v>
      </c>
      <c r="M1456" s="2">
        <v>21817</v>
      </c>
      <c r="N1456" t="s">
        <v>64</v>
      </c>
      <c r="P1456" t="str">
        <f>CONCATENATE("'",Tabla1[[#This Row],[Codigo]],"',")</f>
        <v>'02394',</v>
      </c>
    </row>
    <row r="1457" spans="1:16" x14ac:dyDescent="0.25">
      <c r="A1457" t="s">
        <v>11091</v>
      </c>
      <c r="B1457" t="s">
        <v>11092</v>
      </c>
      <c r="C1457" t="s">
        <v>11092</v>
      </c>
      <c r="D1457" t="s">
        <v>498</v>
      </c>
      <c r="E1457" t="s">
        <v>190</v>
      </c>
      <c r="F1457" t="s">
        <v>11093</v>
      </c>
      <c r="G1457" t="s">
        <v>6240</v>
      </c>
      <c r="H1457" t="s">
        <v>6239</v>
      </c>
      <c r="I1457" t="s">
        <v>6240</v>
      </c>
      <c r="J1457" t="s">
        <v>82</v>
      </c>
      <c r="K1457" t="s">
        <v>83</v>
      </c>
      <c r="L1457" t="s">
        <v>50</v>
      </c>
      <c r="M1457" s="2">
        <v>174536</v>
      </c>
      <c r="N1457" t="s">
        <v>64</v>
      </c>
      <c r="P1457" t="str">
        <f>CONCATENATE("'",Tabla1[[#This Row],[Codigo]],"',")</f>
        <v>'02395',</v>
      </c>
    </row>
    <row r="1458" spans="1:16" x14ac:dyDescent="0.25">
      <c r="A1458" t="s">
        <v>11096</v>
      </c>
      <c r="B1458" t="s">
        <v>11097</v>
      </c>
      <c r="C1458" t="s">
        <v>11097</v>
      </c>
      <c r="D1458" t="s">
        <v>569</v>
      </c>
      <c r="E1458" t="s">
        <v>570</v>
      </c>
      <c r="F1458" t="s">
        <v>11098</v>
      </c>
      <c r="G1458" t="s">
        <v>41</v>
      </c>
      <c r="H1458" t="s">
        <v>40</v>
      </c>
      <c r="I1458" t="s">
        <v>41</v>
      </c>
      <c r="J1458" t="s">
        <v>42</v>
      </c>
      <c r="K1458" t="s">
        <v>43</v>
      </c>
      <c r="L1458" t="s">
        <v>50</v>
      </c>
      <c r="M1458" s="2">
        <v>10909</v>
      </c>
      <c r="N1458" t="s">
        <v>64</v>
      </c>
      <c r="P1458" t="str">
        <f>CONCATENATE("'",Tabla1[[#This Row],[Codigo]],"',")</f>
        <v>'02396',</v>
      </c>
    </row>
    <row r="1459" spans="1:16" x14ac:dyDescent="0.25">
      <c r="A1459" t="s">
        <v>11099</v>
      </c>
      <c r="B1459" t="s">
        <v>11100</v>
      </c>
      <c r="C1459" t="s">
        <v>11100</v>
      </c>
      <c r="D1459" t="s">
        <v>35</v>
      </c>
      <c r="E1459" t="s">
        <v>36</v>
      </c>
      <c r="F1459" t="s">
        <v>11101</v>
      </c>
      <c r="G1459" t="s">
        <v>137</v>
      </c>
      <c r="H1459" t="s">
        <v>136</v>
      </c>
      <c r="I1459" t="s">
        <v>137</v>
      </c>
      <c r="J1459" t="s">
        <v>256</v>
      </c>
      <c r="K1459" t="s">
        <v>255</v>
      </c>
      <c r="L1459" t="s">
        <v>50</v>
      </c>
      <c r="M1459" s="2">
        <v>17961.95</v>
      </c>
      <c r="N1459" t="s">
        <v>11104</v>
      </c>
      <c r="O1459" t="s">
        <v>115</v>
      </c>
      <c r="P1459" t="str">
        <f>CONCATENATE("'",Tabla1[[#This Row],[Codigo]],"',")</f>
        <v>'02397',</v>
      </c>
    </row>
    <row r="1460" spans="1:16" x14ac:dyDescent="0.25">
      <c r="A1460" t="s">
        <v>11105</v>
      </c>
      <c r="B1460" t="s">
        <v>11106</v>
      </c>
      <c r="C1460" t="s">
        <v>11106</v>
      </c>
      <c r="D1460" t="s">
        <v>189</v>
      </c>
      <c r="E1460" t="s">
        <v>190</v>
      </c>
      <c r="F1460" t="s">
        <v>11107</v>
      </c>
      <c r="G1460" t="s">
        <v>81</v>
      </c>
      <c r="H1460" t="s">
        <v>80</v>
      </c>
      <c r="I1460" t="s">
        <v>81</v>
      </c>
      <c r="J1460" t="s">
        <v>82</v>
      </c>
      <c r="K1460" t="s">
        <v>83</v>
      </c>
      <c r="L1460" t="s">
        <v>50</v>
      </c>
      <c r="M1460" s="2">
        <v>174337.2</v>
      </c>
      <c r="N1460" t="s">
        <v>11110</v>
      </c>
      <c r="P1460" t="str">
        <f>CONCATENATE("'",Tabla1[[#This Row],[Codigo]],"',")</f>
        <v>'02398',</v>
      </c>
    </row>
    <row r="1461" spans="1:16" x14ac:dyDescent="0.25">
      <c r="A1461" t="s">
        <v>11111</v>
      </c>
      <c r="B1461" t="s">
        <v>11112</v>
      </c>
      <c r="C1461" t="s">
        <v>11112</v>
      </c>
      <c r="D1461" t="s">
        <v>35</v>
      </c>
      <c r="E1461" t="s">
        <v>36</v>
      </c>
      <c r="F1461" t="s">
        <v>11113</v>
      </c>
      <c r="G1461" t="s">
        <v>1581</v>
      </c>
      <c r="H1461" t="s">
        <v>203</v>
      </c>
      <c r="I1461" t="s">
        <v>204</v>
      </c>
      <c r="J1461" t="s">
        <v>205</v>
      </c>
      <c r="K1461" t="s">
        <v>206</v>
      </c>
      <c r="L1461" t="s">
        <v>50</v>
      </c>
      <c r="M1461" s="2">
        <v>22651.040000000001</v>
      </c>
      <c r="N1461" t="s">
        <v>11116</v>
      </c>
      <c r="O1461" t="s">
        <v>52</v>
      </c>
      <c r="P1461" t="str">
        <f>CONCATENATE("'",Tabla1[[#This Row],[Codigo]],"',")</f>
        <v>'02399',</v>
      </c>
    </row>
    <row r="1462" spans="1:16" x14ac:dyDescent="0.25">
      <c r="A1462" t="s">
        <v>11117</v>
      </c>
      <c r="B1462" t="s">
        <v>11118</v>
      </c>
      <c r="C1462" t="s">
        <v>11118</v>
      </c>
      <c r="D1462" t="s">
        <v>153</v>
      </c>
      <c r="E1462" t="s">
        <v>272</v>
      </c>
      <c r="F1462" t="s">
        <v>11119</v>
      </c>
      <c r="G1462" t="s">
        <v>404</v>
      </c>
      <c r="H1462" t="s">
        <v>403</v>
      </c>
      <c r="I1462" t="s">
        <v>404</v>
      </c>
      <c r="J1462" t="s">
        <v>205</v>
      </c>
      <c r="K1462" t="s">
        <v>206</v>
      </c>
      <c r="L1462" t="s">
        <v>50</v>
      </c>
      <c r="M1462" s="2">
        <v>23586.44</v>
      </c>
      <c r="N1462" t="s">
        <v>11121</v>
      </c>
      <c r="O1462" t="s">
        <v>52</v>
      </c>
      <c r="P1462" t="str">
        <f>CONCATENATE("'",Tabla1[[#This Row],[Codigo]],"',")</f>
        <v>'02400',</v>
      </c>
    </row>
    <row r="1463" spans="1:16" x14ac:dyDescent="0.25">
      <c r="A1463" t="s">
        <v>11127</v>
      </c>
      <c r="B1463" t="s">
        <v>11128</v>
      </c>
      <c r="C1463" t="s">
        <v>11128</v>
      </c>
      <c r="D1463" t="s">
        <v>297</v>
      </c>
      <c r="E1463" t="s">
        <v>167</v>
      </c>
      <c r="F1463" t="s">
        <v>11129</v>
      </c>
      <c r="G1463" t="s">
        <v>11130</v>
      </c>
      <c r="H1463" t="s">
        <v>11131</v>
      </c>
      <c r="I1463" t="s">
        <v>686</v>
      </c>
      <c r="J1463" t="s">
        <v>120</v>
      </c>
      <c r="K1463" t="s">
        <v>121</v>
      </c>
      <c r="L1463" t="s">
        <v>50</v>
      </c>
      <c r="M1463" s="2">
        <v>65451</v>
      </c>
      <c r="N1463" t="s">
        <v>64</v>
      </c>
      <c r="P1463" t="str">
        <f>CONCATENATE("'",Tabla1[[#This Row],[Codigo]],"',")</f>
        <v>'02402',</v>
      </c>
    </row>
    <row r="1464" spans="1:16" x14ac:dyDescent="0.25">
      <c r="A1464" t="s">
        <v>11133</v>
      </c>
      <c r="B1464" t="s">
        <v>11134</v>
      </c>
      <c r="C1464" t="s">
        <v>11134</v>
      </c>
      <c r="D1464" t="s">
        <v>153</v>
      </c>
      <c r="E1464" t="s">
        <v>272</v>
      </c>
      <c r="F1464" t="s">
        <v>11135</v>
      </c>
      <c r="G1464" t="s">
        <v>7819</v>
      </c>
      <c r="H1464" t="s">
        <v>2472</v>
      </c>
      <c r="I1464" t="s">
        <v>2473</v>
      </c>
      <c r="J1464" t="s">
        <v>1421</v>
      </c>
      <c r="K1464" t="s">
        <v>1422</v>
      </c>
      <c r="L1464" t="s">
        <v>50</v>
      </c>
      <c r="M1464" s="2">
        <v>234554.52</v>
      </c>
      <c r="N1464" t="s">
        <v>11138</v>
      </c>
      <c r="O1464" t="s">
        <v>115</v>
      </c>
      <c r="P1464" t="str">
        <f>CONCATENATE("'",Tabla1[[#This Row],[Codigo]],"',")</f>
        <v>'02403',</v>
      </c>
    </row>
    <row r="1465" spans="1:16" x14ac:dyDescent="0.25">
      <c r="A1465" t="s">
        <v>11139</v>
      </c>
      <c r="B1465" t="s">
        <v>11140</v>
      </c>
      <c r="C1465" t="s">
        <v>11140</v>
      </c>
      <c r="D1465" t="s">
        <v>125</v>
      </c>
      <c r="E1465" t="s">
        <v>126</v>
      </c>
      <c r="F1465" t="s">
        <v>11141</v>
      </c>
      <c r="G1465" t="s">
        <v>11142</v>
      </c>
      <c r="H1465" t="s">
        <v>5730</v>
      </c>
      <c r="I1465" t="s">
        <v>5728</v>
      </c>
      <c r="J1465" t="s">
        <v>120</v>
      </c>
      <c r="K1465" t="s">
        <v>121</v>
      </c>
      <c r="L1465" t="s">
        <v>50</v>
      </c>
      <c r="M1465" s="2">
        <v>57062.02</v>
      </c>
      <c r="N1465" t="s">
        <v>11145</v>
      </c>
      <c r="O1465" t="s">
        <v>52</v>
      </c>
      <c r="P1465" t="str">
        <f>CONCATENATE("'",Tabla1[[#This Row],[Codigo]],"',")</f>
        <v>'02404',</v>
      </c>
    </row>
    <row r="1466" spans="1:16" x14ac:dyDescent="0.25">
      <c r="A1466" t="s">
        <v>11146</v>
      </c>
      <c r="B1466" t="s">
        <v>11147</v>
      </c>
      <c r="C1466" t="s">
        <v>11147</v>
      </c>
      <c r="D1466" t="s">
        <v>35</v>
      </c>
      <c r="E1466" t="s">
        <v>36</v>
      </c>
      <c r="F1466" t="s">
        <v>11148</v>
      </c>
      <c r="G1466" t="s">
        <v>10141</v>
      </c>
      <c r="H1466" t="s">
        <v>7936</v>
      </c>
      <c r="I1466" t="s">
        <v>7935</v>
      </c>
      <c r="J1466" t="s">
        <v>10093</v>
      </c>
      <c r="K1466" t="s">
        <v>10094</v>
      </c>
      <c r="L1466" t="s">
        <v>50</v>
      </c>
      <c r="M1466" s="2">
        <v>172906.71</v>
      </c>
      <c r="N1466" t="s">
        <v>11151</v>
      </c>
      <c r="O1466" t="s">
        <v>115</v>
      </c>
      <c r="P1466" t="str">
        <f>CONCATENATE("'",Tabla1[[#This Row],[Codigo]],"',")</f>
        <v>'02405',</v>
      </c>
    </row>
    <row r="1467" spans="1:16" x14ac:dyDescent="0.25">
      <c r="A1467" t="s">
        <v>11152</v>
      </c>
      <c r="B1467" t="s">
        <v>11153</v>
      </c>
      <c r="C1467" t="s">
        <v>11153</v>
      </c>
      <c r="D1467" t="s">
        <v>125</v>
      </c>
      <c r="E1467" t="s">
        <v>126</v>
      </c>
      <c r="F1467" t="s">
        <v>11154</v>
      </c>
      <c r="G1467" t="s">
        <v>3233</v>
      </c>
      <c r="H1467" t="s">
        <v>3232</v>
      </c>
      <c r="I1467" t="s">
        <v>3233</v>
      </c>
      <c r="J1467" t="s">
        <v>2320</v>
      </c>
      <c r="K1467" t="s">
        <v>2321</v>
      </c>
      <c r="L1467" t="s">
        <v>50</v>
      </c>
      <c r="M1467" s="2">
        <v>695923.47</v>
      </c>
      <c r="N1467" t="s">
        <v>11156</v>
      </c>
      <c r="O1467" t="s">
        <v>115</v>
      </c>
      <c r="P1467" t="str">
        <f>CONCATENATE("'",Tabla1[[#This Row],[Codigo]],"',")</f>
        <v>'02407',</v>
      </c>
    </row>
    <row r="1468" spans="1:16" x14ac:dyDescent="0.25">
      <c r="A1468" t="s">
        <v>11157</v>
      </c>
      <c r="B1468" t="s">
        <v>11158</v>
      </c>
      <c r="C1468" t="s">
        <v>11158</v>
      </c>
      <c r="D1468" t="s">
        <v>125</v>
      </c>
      <c r="E1468" t="s">
        <v>126</v>
      </c>
      <c r="F1468" t="s">
        <v>11159</v>
      </c>
      <c r="G1468" t="s">
        <v>7935</v>
      </c>
      <c r="H1468" t="s">
        <v>7936</v>
      </c>
      <c r="I1468" t="s">
        <v>7935</v>
      </c>
      <c r="J1468" t="s">
        <v>10093</v>
      </c>
      <c r="K1468" t="s">
        <v>10094</v>
      </c>
      <c r="L1468" t="s">
        <v>50</v>
      </c>
      <c r="M1468" s="2">
        <v>459015.18</v>
      </c>
      <c r="N1468" t="s">
        <v>11162</v>
      </c>
      <c r="O1468" t="s">
        <v>52</v>
      </c>
      <c r="P1468" t="str">
        <f>CONCATENATE("'",Tabla1[[#This Row],[Codigo]],"',")</f>
        <v>'02408',</v>
      </c>
    </row>
    <row r="1469" spans="1:16" x14ac:dyDescent="0.25">
      <c r="A1469" t="s">
        <v>11166</v>
      </c>
      <c r="B1469" t="s">
        <v>11167</v>
      </c>
      <c r="C1469" t="s">
        <v>11167</v>
      </c>
      <c r="D1469" t="s">
        <v>35</v>
      </c>
      <c r="E1469" t="s">
        <v>36</v>
      </c>
      <c r="F1469" t="s">
        <v>11159</v>
      </c>
      <c r="G1469" t="s">
        <v>10141</v>
      </c>
      <c r="H1469" t="s">
        <v>7936</v>
      </c>
      <c r="I1469" t="s">
        <v>7935</v>
      </c>
      <c r="J1469" t="s">
        <v>10093</v>
      </c>
      <c r="K1469" t="s">
        <v>10094</v>
      </c>
      <c r="L1469" t="s">
        <v>50</v>
      </c>
      <c r="M1469" s="2">
        <v>477537.34</v>
      </c>
      <c r="N1469" t="s">
        <v>11168</v>
      </c>
      <c r="O1469" t="s">
        <v>52</v>
      </c>
      <c r="P1469" t="str">
        <f>CONCATENATE("'",Tabla1[[#This Row],[Codigo]],"',")</f>
        <v>'02410',</v>
      </c>
    </row>
    <row r="1470" spans="1:16" x14ac:dyDescent="0.25">
      <c r="A1470" t="s">
        <v>11169</v>
      </c>
      <c r="B1470" t="s">
        <v>11170</v>
      </c>
      <c r="C1470" t="s">
        <v>11170</v>
      </c>
      <c r="D1470" t="s">
        <v>153</v>
      </c>
      <c r="E1470" t="s">
        <v>272</v>
      </c>
      <c r="F1470" t="s">
        <v>11171</v>
      </c>
      <c r="G1470" t="s">
        <v>4223</v>
      </c>
      <c r="H1470" t="s">
        <v>4225</v>
      </c>
      <c r="I1470" t="s">
        <v>4226</v>
      </c>
      <c r="J1470" t="s">
        <v>1363</v>
      </c>
      <c r="K1470" t="s">
        <v>1364</v>
      </c>
      <c r="L1470" t="s">
        <v>50</v>
      </c>
      <c r="M1470" s="2">
        <v>127698.95</v>
      </c>
      <c r="N1470" t="s">
        <v>11174</v>
      </c>
      <c r="P1470" t="str">
        <f>CONCATENATE("'",Tabla1[[#This Row],[Codigo]],"',")</f>
        <v>'02411',</v>
      </c>
    </row>
    <row r="1471" spans="1:16" x14ac:dyDescent="0.25">
      <c r="A1471" t="s">
        <v>11177</v>
      </c>
      <c r="B1471" t="s">
        <v>15195</v>
      </c>
      <c r="C1471" t="s">
        <v>11179</v>
      </c>
      <c r="D1471" t="s">
        <v>819</v>
      </c>
      <c r="E1471" t="s">
        <v>224</v>
      </c>
      <c r="F1471" t="s">
        <v>5596</v>
      </c>
      <c r="G1471" t="s">
        <v>2508</v>
      </c>
      <c r="H1471" t="s">
        <v>700</v>
      </c>
      <c r="I1471" t="s">
        <v>699</v>
      </c>
      <c r="J1471" t="s">
        <v>69</v>
      </c>
      <c r="K1471" t="s">
        <v>70</v>
      </c>
      <c r="L1471" t="s">
        <v>50</v>
      </c>
      <c r="M1471" s="2">
        <v>-166064.6</v>
      </c>
      <c r="N1471" t="s">
        <v>11180</v>
      </c>
      <c r="O1471" t="s">
        <v>115</v>
      </c>
      <c r="P1471" t="str">
        <f>CONCATENATE("'",Tabla1[[#This Row],[Codigo]],"',")</f>
        <v>'02413',</v>
      </c>
    </row>
    <row r="1472" spans="1:16" x14ac:dyDescent="0.25">
      <c r="A1472" t="s">
        <v>11187</v>
      </c>
      <c r="B1472" t="s">
        <v>11188</v>
      </c>
      <c r="C1472" t="s">
        <v>11188</v>
      </c>
      <c r="D1472" t="s">
        <v>35</v>
      </c>
      <c r="E1472" t="s">
        <v>36</v>
      </c>
      <c r="F1472" t="s">
        <v>6538</v>
      </c>
      <c r="G1472" t="s">
        <v>11189</v>
      </c>
      <c r="H1472" t="s">
        <v>4225</v>
      </c>
      <c r="I1472" t="s">
        <v>4226</v>
      </c>
      <c r="J1472" t="s">
        <v>1363</v>
      </c>
      <c r="K1472" t="s">
        <v>1364</v>
      </c>
      <c r="L1472" t="s">
        <v>50</v>
      </c>
      <c r="M1472" s="2">
        <v>-35713.96</v>
      </c>
      <c r="N1472" t="s">
        <v>11190</v>
      </c>
      <c r="O1472" t="s">
        <v>115</v>
      </c>
      <c r="P1472" t="str">
        <f>CONCATENATE("'",Tabla1[[#This Row],[Codigo]],"',")</f>
        <v>'02417',</v>
      </c>
    </row>
    <row r="1473" spans="1:16" x14ac:dyDescent="0.25">
      <c r="A1473" t="s">
        <v>11191</v>
      </c>
      <c r="B1473" t="s">
        <v>11192</v>
      </c>
      <c r="C1473" t="s">
        <v>11192</v>
      </c>
      <c r="D1473" t="s">
        <v>153</v>
      </c>
      <c r="E1473" t="s">
        <v>272</v>
      </c>
      <c r="F1473" t="s">
        <v>11193</v>
      </c>
      <c r="G1473" t="s">
        <v>157</v>
      </c>
      <c r="H1473" t="s">
        <v>156</v>
      </c>
      <c r="I1473" t="s">
        <v>157</v>
      </c>
      <c r="J1473" t="s">
        <v>158</v>
      </c>
      <c r="K1473" t="s">
        <v>159</v>
      </c>
      <c r="L1473" t="s">
        <v>50</v>
      </c>
      <c r="M1473" s="2">
        <v>2865529.74</v>
      </c>
      <c r="N1473" t="s">
        <v>11196</v>
      </c>
      <c r="O1473" t="s">
        <v>115</v>
      </c>
      <c r="P1473" t="str">
        <f>CONCATENATE("'",Tabla1[[#This Row],[Codigo]],"',")</f>
        <v>'02418',</v>
      </c>
    </row>
    <row r="1474" spans="1:16" x14ac:dyDescent="0.25">
      <c r="A1474" t="s">
        <v>11197</v>
      </c>
      <c r="B1474" t="s">
        <v>11198</v>
      </c>
      <c r="C1474" t="s">
        <v>11198</v>
      </c>
      <c r="D1474" t="s">
        <v>153</v>
      </c>
      <c r="E1474" t="s">
        <v>272</v>
      </c>
      <c r="F1474" t="s">
        <v>11199</v>
      </c>
      <c r="G1474" t="s">
        <v>157</v>
      </c>
      <c r="H1474" t="s">
        <v>156</v>
      </c>
      <c r="I1474" t="s">
        <v>157</v>
      </c>
      <c r="J1474" t="s">
        <v>158</v>
      </c>
      <c r="K1474" t="s">
        <v>159</v>
      </c>
      <c r="L1474" t="s">
        <v>50</v>
      </c>
      <c r="M1474" s="2">
        <v>3201657.62</v>
      </c>
      <c r="N1474" t="s">
        <v>11201</v>
      </c>
      <c r="O1474" t="s">
        <v>115</v>
      </c>
      <c r="P1474" t="str">
        <f>CONCATENATE("'",Tabla1[[#This Row],[Codigo]],"',")</f>
        <v>'02419',</v>
      </c>
    </row>
    <row r="1475" spans="1:16" x14ac:dyDescent="0.25">
      <c r="A1475" t="s">
        <v>11202</v>
      </c>
      <c r="B1475" t="s">
        <v>11203</v>
      </c>
      <c r="C1475" t="s">
        <v>11203</v>
      </c>
      <c r="D1475" t="s">
        <v>153</v>
      </c>
      <c r="E1475" t="s">
        <v>272</v>
      </c>
      <c r="F1475" t="s">
        <v>11204</v>
      </c>
      <c r="G1475" t="s">
        <v>157</v>
      </c>
      <c r="H1475" t="s">
        <v>156</v>
      </c>
      <c r="I1475" t="s">
        <v>157</v>
      </c>
      <c r="J1475" t="s">
        <v>158</v>
      </c>
      <c r="K1475" t="s">
        <v>159</v>
      </c>
      <c r="L1475" t="s">
        <v>50</v>
      </c>
      <c r="M1475" s="2">
        <v>3143181.88</v>
      </c>
      <c r="N1475" t="s">
        <v>11206</v>
      </c>
      <c r="O1475" t="s">
        <v>115</v>
      </c>
      <c r="P1475" t="str">
        <f>CONCATENATE("'",Tabla1[[#This Row],[Codigo]],"',")</f>
        <v>'02420',</v>
      </c>
    </row>
    <row r="1476" spans="1:16" x14ac:dyDescent="0.25">
      <c r="A1476" t="s">
        <v>11207</v>
      </c>
      <c r="B1476" t="s">
        <v>11208</v>
      </c>
      <c r="C1476" t="s">
        <v>11208</v>
      </c>
      <c r="D1476" t="s">
        <v>153</v>
      </c>
      <c r="E1476" t="s">
        <v>272</v>
      </c>
      <c r="F1476" t="s">
        <v>11209</v>
      </c>
      <c r="G1476" t="s">
        <v>157</v>
      </c>
      <c r="H1476" t="s">
        <v>156</v>
      </c>
      <c r="I1476" t="s">
        <v>157</v>
      </c>
      <c r="J1476" t="s">
        <v>158</v>
      </c>
      <c r="K1476" t="s">
        <v>159</v>
      </c>
      <c r="L1476" t="s">
        <v>50</v>
      </c>
      <c r="M1476" s="2">
        <v>109085</v>
      </c>
      <c r="N1476" t="s">
        <v>64</v>
      </c>
      <c r="P1476" t="str">
        <f>CONCATENATE("'",Tabla1[[#This Row],[Codigo]],"',")</f>
        <v>'02421',</v>
      </c>
    </row>
    <row r="1477" spans="1:16" x14ac:dyDescent="0.25">
      <c r="A1477" t="s">
        <v>11210</v>
      </c>
      <c r="B1477" t="s">
        <v>11211</v>
      </c>
      <c r="C1477" t="s">
        <v>11211</v>
      </c>
      <c r="D1477" t="s">
        <v>125</v>
      </c>
      <c r="E1477" t="s">
        <v>126</v>
      </c>
      <c r="F1477" t="s">
        <v>11212</v>
      </c>
      <c r="G1477" t="s">
        <v>2463</v>
      </c>
      <c r="H1477" t="s">
        <v>2462</v>
      </c>
      <c r="I1477" t="s">
        <v>2463</v>
      </c>
      <c r="J1477" t="s">
        <v>2320</v>
      </c>
      <c r="K1477" t="s">
        <v>2321</v>
      </c>
      <c r="L1477" t="s">
        <v>50</v>
      </c>
      <c r="M1477" s="2">
        <v>142477.84</v>
      </c>
      <c r="N1477" t="s">
        <v>11214</v>
      </c>
      <c r="O1477" t="s">
        <v>52</v>
      </c>
      <c r="P1477" t="str">
        <f>CONCATENATE("'",Tabla1[[#This Row],[Codigo]],"',")</f>
        <v>'02422',</v>
      </c>
    </row>
    <row r="1478" spans="1:16" x14ac:dyDescent="0.25">
      <c r="A1478" t="s">
        <v>11215</v>
      </c>
      <c r="B1478" t="s">
        <v>11216</v>
      </c>
      <c r="C1478" t="s">
        <v>11216</v>
      </c>
      <c r="D1478" t="s">
        <v>847</v>
      </c>
      <c r="E1478" t="s">
        <v>848</v>
      </c>
      <c r="F1478" t="s">
        <v>11217</v>
      </c>
      <c r="G1478" t="s">
        <v>7518</v>
      </c>
      <c r="H1478" t="s">
        <v>7517</v>
      </c>
      <c r="I1478" t="s">
        <v>7518</v>
      </c>
      <c r="J1478" t="s">
        <v>1212</v>
      </c>
      <c r="K1478" t="s">
        <v>1213</v>
      </c>
      <c r="L1478" t="s">
        <v>50</v>
      </c>
      <c r="M1478" s="2">
        <v>159778</v>
      </c>
      <c r="N1478" t="s">
        <v>11220</v>
      </c>
      <c r="O1478" t="s">
        <v>115</v>
      </c>
      <c r="P1478" t="str">
        <f>CONCATENATE("'",Tabla1[[#This Row],[Codigo]],"',")</f>
        <v>'02423',</v>
      </c>
    </row>
    <row r="1479" spans="1:16" x14ac:dyDescent="0.25">
      <c r="A1479" t="s">
        <v>11221</v>
      </c>
      <c r="B1479" t="s">
        <v>11222</v>
      </c>
      <c r="C1479" t="s">
        <v>11222</v>
      </c>
      <c r="D1479" t="s">
        <v>125</v>
      </c>
      <c r="E1479" t="s">
        <v>126</v>
      </c>
      <c r="F1479" t="s">
        <v>11223</v>
      </c>
      <c r="G1479" t="s">
        <v>6986</v>
      </c>
      <c r="H1479" t="s">
        <v>11225</v>
      </c>
      <c r="I1479" t="s">
        <v>2399</v>
      </c>
      <c r="J1479" t="s">
        <v>42</v>
      </c>
      <c r="K1479" t="s">
        <v>43</v>
      </c>
      <c r="L1479" t="s">
        <v>50</v>
      </c>
      <c r="M1479" s="2">
        <v>10791.92</v>
      </c>
      <c r="N1479" t="s">
        <v>11227</v>
      </c>
      <c r="P1479" t="str">
        <f>CONCATENATE("'",Tabla1[[#This Row],[Codigo]],"',")</f>
        <v>'02424',</v>
      </c>
    </row>
    <row r="1480" spans="1:16" x14ac:dyDescent="0.25">
      <c r="A1480" t="s">
        <v>11228</v>
      </c>
      <c r="B1480" t="s">
        <v>11229</v>
      </c>
      <c r="C1480" t="s">
        <v>11229</v>
      </c>
      <c r="D1480" t="s">
        <v>498</v>
      </c>
      <c r="E1480" t="s">
        <v>190</v>
      </c>
      <c r="F1480" t="s">
        <v>11230</v>
      </c>
      <c r="G1480" t="s">
        <v>7090</v>
      </c>
      <c r="H1480" t="s">
        <v>7089</v>
      </c>
      <c r="I1480" t="s">
        <v>7090</v>
      </c>
      <c r="J1480" t="s">
        <v>557</v>
      </c>
      <c r="K1480" t="s">
        <v>558</v>
      </c>
      <c r="L1480" t="s">
        <v>50</v>
      </c>
      <c r="M1480" s="2">
        <v>172785.62</v>
      </c>
      <c r="N1480" t="s">
        <v>11233</v>
      </c>
      <c r="O1480" t="s">
        <v>115</v>
      </c>
      <c r="P1480" t="str">
        <f>CONCATENATE("'",Tabla1[[#This Row],[Codigo]],"',")</f>
        <v>'02425',</v>
      </c>
    </row>
    <row r="1481" spans="1:16" x14ac:dyDescent="0.25">
      <c r="A1481" t="s">
        <v>11235</v>
      </c>
      <c r="B1481" t="s">
        <v>11236</v>
      </c>
      <c r="C1481" t="s">
        <v>11236</v>
      </c>
      <c r="D1481" t="s">
        <v>153</v>
      </c>
      <c r="E1481" t="s">
        <v>272</v>
      </c>
      <c r="F1481" t="s">
        <v>11237</v>
      </c>
      <c r="G1481" t="s">
        <v>10141</v>
      </c>
      <c r="H1481" t="s">
        <v>7936</v>
      </c>
      <c r="I1481" t="s">
        <v>7935</v>
      </c>
      <c r="J1481" t="s">
        <v>10093</v>
      </c>
      <c r="K1481" t="s">
        <v>10094</v>
      </c>
      <c r="L1481" t="s">
        <v>50</v>
      </c>
      <c r="M1481" s="2">
        <v>261567.31</v>
      </c>
      <c r="N1481" t="s">
        <v>11240</v>
      </c>
      <c r="O1481" t="s">
        <v>52</v>
      </c>
      <c r="P1481" t="str">
        <f>CONCATENATE("'",Tabla1[[#This Row],[Codigo]],"',")</f>
        <v>'02427',</v>
      </c>
    </row>
    <row r="1482" spans="1:16" x14ac:dyDescent="0.25">
      <c r="A1482" t="s">
        <v>11241</v>
      </c>
      <c r="B1482" t="s">
        <v>11242</v>
      </c>
      <c r="C1482" t="s">
        <v>11242</v>
      </c>
      <c r="D1482" t="s">
        <v>35</v>
      </c>
      <c r="E1482" t="s">
        <v>36</v>
      </c>
      <c r="F1482" t="s">
        <v>11243</v>
      </c>
      <c r="G1482" t="s">
        <v>10224</v>
      </c>
      <c r="H1482" t="s">
        <v>10223</v>
      </c>
      <c r="I1482" t="s">
        <v>10224</v>
      </c>
      <c r="J1482" t="s">
        <v>6987</v>
      </c>
      <c r="K1482" t="s">
        <v>6988</v>
      </c>
      <c r="L1482" t="s">
        <v>50</v>
      </c>
      <c r="M1482" s="2">
        <v>176347.23</v>
      </c>
      <c r="N1482" t="s">
        <v>11246</v>
      </c>
      <c r="O1482" t="s">
        <v>115</v>
      </c>
      <c r="P1482" t="str">
        <f>CONCATENATE("'",Tabla1[[#This Row],[Codigo]],"',")</f>
        <v>'02428',</v>
      </c>
    </row>
    <row r="1483" spans="1:16" x14ac:dyDescent="0.25">
      <c r="A1483" t="s">
        <v>11247</v>
      </c>
      <c r="B1483" t="s">
        <v>11248</v>
      </c>
      <c r="C1483" t="s">
        <v>11248</v>
      </c>
      <c r="D1483" t="s">
        <v>125</v>
      </c>
      <c r="E1483" t="s">
        <v>126</v>
      </c>
      <c r="F1483" t="s">
        <v>11249</v>
      </c>
      <c r="G1483" t="s">
        <v>10155</v>
      </c>
      <c r="H1483" t="s">
        <v>10157</v>
      </c>
      <c r="I1483" t="s">
        <v>10155</v>
      </c>
      <c r="J1483" t="s">
        <v>10093</v>
      </c>
      <c r="K1483" t="s">
        <v>10094</v>
      </c>
      <c r="L1483" t="s">
        <v>50</v>
      </c>
      <c r="M1483" s="2">
        <v>501532.95</v>
      </c>
      <c r="N1483" t="s">
        <v>11252</v>
      </c>
      <c r="O1483" t="s">
        <v>52</v>
      </c>
      <c r="P1483" t="str">
        <f>CONCATENATE("'",Tabla1[[#This Row],[Codigo]],"',")</f>
        <v>'02429',</v>
      </c>
    </row>
    <row r="1484" spans="1:16" x14ac:dyDescent="0.25">
      <c r="A1484" t="s">
        <v>11253</v>
      </c>
      <c r="B1484" t="s">
        <v>11254</v>
      </c>
      <c r="C1484" t="s">
        <v>11254</v>
      </c>
      <c r="D1484" t="s">
        <v>299</v>
      </c>
      <c r="E1484" t="s">
        <v>167</v>
      </c>
      <c r="F1484" t="s">
        <v>11255</v>
      </c>
      <c r="G1484" t="s">
        <v>11256</v>
      </c>
      <c r="H1484" t="s">
        <v>10946</v>
      </c>
      <c r="I1484" t="s">
        <v>10947</v>
      </c>
      <c r="J1484" t="s">
        <v>4315</v>
      </c>
      <c r="K1484" t="s">
        <v>4316</v>
      </c>
      <c r="L1484" t="s">
        <v>50</v>
      </c>
      <c r="M1484" s="2">
        <v>194323.29</v>
      </c>
      <c r="N1484" t="s">
        <v>11259</v>
      </c>
      <c r="O1484" t="s">
        <v>52</v>
      </c>
      <c r="P1484" t="str">
        <f>CONCATENATE("'",Tabla1[[#This Row],[Codigo]],"',")</f>
        <v>'02430',</v>
      </c>
    </row>
    <row r="1485" spans="1:16" x14ac:dyDescent="0.25">
      <c r="A1485" t="s">
        <v>11260</v>
      </c>
      <c r="B1485" t="s">
        <v>11261</v>
      </c>
      <c r="C1485" t="s">
        <v>11261</v>
      </c>
      <c r="D1485" t="s">
        <v>153</v>
      </c>
      <c r="E1485" t="s">
        <v>272</v>
      </c>
      <c r="F1485" t="s">
        <v>11262</v>
      </c>
      <c r="G1485" t="s">
        <v>7263</v>
      </c>
      <c r="H1485" t="s">
        <v>2571</v>
      </c>
      <c r="I1485" t="s">
        <v>2572</v>
      </c>
      <c r="J1485" t="s">
        <v>6987</v>
      </c>
      <c r="K1485" t="s">
        <v>6988</v>
      </c>
      <c r="L1485" t="s">
        <v>50</v>
      </c>
      <c r="M1485" s="2">
        <v>722783.71</v>
      </c>
      <c r="N1485" t="s">
        <v>11265</v>
      </c>
      <c r="O1485" t="s">
        <v>115</v>
      </c>
      <c r="P1485" t="str">
        <f>CONCATENATE("'",Tabla1[[#This Row],[Codigo]],"',")</f>
        <v>'02431',</v>
      </c>
    </row>
    <row r="1486" spans="1:16" x14ac:dyDescent="0.25">
      <c r="A1486" t="s">
        <v>11266</v>
      </c>
      <c r="B1486" t="s">
        <v>11267</v>
      </c>
      <c r="C1486" t="s">
        <v>11267</v>
      </c>
      <c r="D1486" t="s">
        <v>178</v>
      </c>
      <c r="E1486" t="s">
        <v>179</v>
      </c>
      <c r="F1486" t="s">
        <v>11268</v>
      </c>
      <c r="G1486" t="s">
        <v>11269</v>
      </c>
      <c r="H1486" t="s">
        <v>8100</v>
      </c>
      <c r="I1486" t="s">
        <v>8101</v>
      </c>
      <c r="J1486" t="s">
        <v>4853</v>
      </c>
      <c r="K1486" t="s">
        <v>4854</v>
      </c>
      <c r="L1486" t="s">
        <v>50</v>
      </c>
      <c r="M1486" s="2">
        <v>376747.75</v>
      </c>
      <c r="N1486" t="s">
        <v>11272</v>
      </c>
      <c r="O1486" t="s">
        <v>52</v>
      </c>
      <c r="P1486" t="str">
        <f>CONCATENATE("'",Tabla1[[#This Row],[Codigo]],"',")</f>
        <v>'02432',</v>
      </c>
    </row>
    <row r="1487" spans="1:16" x14ac:dyDescent="0.25">
      <c r="A1487" t="s">
        <v>11278</v>
      </c>
      <c r="B1487" t="s">
        <v>11279</v>
      </c>
      <c r="C1487" t="s">
        <v>11279</v>
      </c>
      <c r="D1487" t="s">
        <v>125</v>
      </c>
      <c r="E1487" t="s">
        <v>126</v>
      </c>
      <c r="F1487" t="s">
        <v>11280</v>
      </c>
      <c r="G1487" t="s">
        <v>10141</v>
      </c>
      <c r="H1487" t="s">
        <v>7936</v>
      </c>
      <c r="I1487" t="s">
        <v>7935</v>
      </c>
      <c r="J1487" t="s">
        <v>10093</v>
      </c>
      <c r="K1487" t="s">
        <v>10094</v>
      </c>
      <c r="L1487" t="s">
        <v>50</v>
      </c>
      <c r="M1487" s="2">
        <v>7817.22</v>
      </c>
      <c r="N1487" t="s">
        <v>11283</v>
      </c>
      <c r="O1487" t="s">
        <v>52</v>
      </c>
      <c r="P1487" t="str">
        <f>CONCATENATE("'",Tabla1[[#This Row],[Codigo]],"',")</f>
        <v>'02434',</v>
      </c>
    </row>
    <row r="1488" spans="1:16" x14ac:dyDescent="0.25">
      <c r="A1488" t="s">
        <v>11284</v>
      </c>
      <c r="B1488" t="s">
        <v>11285</v>
      </c>
      <c r="C1488" t="s">
        <v>11285</v>
      </c>
      <c r="D1488" t="s">
        <v>166</v>
      </c>
      <c r="E1488" t="s">
        <v>167</v>
      </c>
      <c r="F1488" t="s">
        <v>11286</v>
      </c>
      <c r="G1488" t="s">
        <v>10141</v>
      </c>
      <c r="H1488" t="s">
        <v>7936</v>
      </c>
      <c r="I1488" t="s">
        <v>7935</v>
      </c>
      <c r="J1488" t="s">
        <v>10093</v>
      </c>
      <c r="K1488" t="s">
        <v>10094</v>
      </c>
      <c r="L1488" t="s">
        <v>50</v>
      </c>
      <c r="M1488" s="2">
        <v>253227.25</v>
      </c>
      <c r="N1488" t="s">
        <v>11288</v>
      </c>
      <c r="O1488" t="s">
        <v>52</v>
      </c>
      <c r="P1488" t="str">
        <f>CONCATENATE("'",Tabla1[[#This Row],[Codigo]],"',")</f>
        <v>'02435',</v>
      </c>
    </row>
    <row r="1489" spans="1:16" x14ac:dyDescent="0.25">
      <c r="A1489" t="s">
        <v>11289</v>
      </c>
      <c r="B1489" t="s">
        <v>11290</v>
      </c>
      <c r="C1489" t="s">
        <v>11290</v>
      </c>
      <c r="D1489" t="s">
        <v>11291</v>
      </c>
      <c r="E1489" t="s">
        <v>134</v>
      </c>
      <c r="F1489" t="s">
        <v>11292</v>
      </c>
      <c r="G1489" t="s">
        <v>10727</v>
      </c>
      <c r="H1489" t="s">
        <v>1210</v>
      </c>
      <c r="I1489" t="s">
        <v>1211</v>
      </c>
      <c r="J1489" t="s">
        <v>1212</v>
      </c>
      <c r="K1489" t="s">
        <v>1213</v>
      </c>
      <c r="L1489" t="s">
        <v>50</v>
      </c>
      <c r="M1489" s="2">
        <v>43634</v>
      </c>
      <c r="N1489" t="s">
        <v>64</v>
      </c>
      <c r="P1489" t="str">
        <f>CONCATENATE("'",Tabla1[[#This Row],[Codigo]],"',")</f>
        <v>'02436',</v>
      </c>
    </row>
    <row r="1490" spans="1:16" x14ac:dyDescent="0.25">
      <c r="A1490" t="s">
        <v>11295</v>
      </c>
      <c r="B1490" t="s">
        <v>11296</v>
      </c>
      <c r="C1490" t="s">
        <v>11296</v>
      </c>
      <c r="D1490" t="s">
        <v>10039</v>
      </c>
      <c r="E1490" t="s">
        <v>77</v>
      </c>
      <c r="F1490" t="s">
        <v>11297</v>
      </c>
      <c r="G1490" t="s">
        <v>41</v>
      </c>
      <c r="H1490" t="s">
        <v>40</v>
      </c>
      <c r="I1490" t="s">
        <v>41</v>
      </c>
      <c r="J1490" t="s">
        <v>42</v>
      </c>
      <c r="K1490" t="s">
        <v>43</v>
      </c>
      <c r="L1490" t="s">
        <v>50</v>
      </c>
      <c r="M1490" s="2">
        <v>10909</v>
      </c>
      <c r="N1490" t="s">
        <v>64</v>
      </c>
      <c r="P1490" t="str">
        <f>CONCATENATE("'",Tabla1[[#This Row],[Codigo]],"',")</f>
        <v>'02437',</v>
      </c>
    </row>
    <row r="1491" spans="1:16" x14ac:dyDescent="0.25">
      <c r="A1491" t="s">
        <v>11298</v>
      </c>
      <c r="B1491" t="s">
        <v>11299</v>
      </c>
      <c r="C1491" t="s">
        <v>11299</v>
      </c>
      <c r="D1491" t="s">
        <v>847</v>
      </c>
      <c r="E1491" t="s">
        <v>848</v>
      </c>
      <c r="F1491" t="s">
        <v>11300</v>
      </c>
      <c r="G1491" t="s">
        <v>4798</v>
      </c>
      <c r="H1491" t="s">
        <v>4797</v>
      </c>
      <c r="I1491" t="s">
        <v>4798</v>
      </c>
      <c r="J1491" t="s">
        <v>1421</v>
      </c>
      <c r="K1491" t="s">
        <v>1422</v>
      </c>
      <c r="L1491" t="s">
        <v>50</v>
      </c>
      <c r="M1491" s="2">
        <v>31119.56</v>
      </c>
      <c r="N1491" t="s">
        <v>11303</v>
      </c>
      <c r="O1491" t="s">
        <v>52</v>
      </c>
      <c r="P1491" t="str">
        <f>CONCATENATE("'",Tabla1[[#This Row],[Codigo]],"',")</f>
        <v>'02438',</v>
      </c>
    </row>
    <row r="1492" spans="1:16" x14ac:dyDescent="0.25">
      <c r="A1492" t="s">
        <v>11304</v>
      </c>
      <c r="B1492" t="s">
        <v>11305</v>
      </c>
      <c r="C1492" t="s">
        <v>11305</v>
      </c>
      <c r="D1492" t="s">
        <v>153</v>
      </c>
      <c r="E1492" t="s">
        <v>272</v>
      </c>
      <c r="F1492" t="s">
        <v>11306</v>
      </c>
      <c r="G1492" t="s">
        <v>1360</v>
      </c>
      <c r="H1492" t="s">
        <v>1362</v>
      </c>
      <c r="I1492" t="s">
        <v>1360</v>
      </c>
      <c r="J1492" t="s">
        <v>1421</v>
      </c>
      <c r="K1492" t="s">
        <v>1422</v>
      </c>
      <c r="L1492" t="s">
        <v>50</v>
      </c>
      <c r="M1492" s="2">
        <v>-45074.25</v>
      </c>
      <c r="N1492" t="s">
        <v>11309</v>
      </c>
      <c r="O1492" t="s">
        <v>52</v>
      </c>
      <c r="P1492" t="str">
        <f>CONCATENATE("'",Tabla1[[#This Row],[Codigo]],"',")</f>
        <v>'02440',</v>
      </c>
    </row>
    <row r="1493" spans="1:16" x14ac:dyDescent="0.25">
      <c r="A1493" t="s">
        <v>11310</v>
      </c>
      <c r="B1493" t="s">
        <v>11311</v>
      </c>
      <c r="C1493" t="s">
        <v>11311</v>
      </c>
      <c r="D1493" t="s">
        <v>35</v>
      </c>
      <c r="E1493" t="s">
        <v>36</v>
      </c>
      <c r="F1493" t="s">
        <v>11312</v>
      </c>
      <c r="G1493" t="s">
        <v>11313</v>
      </c>
      <c r="H1493" t="s">
        <v>11315</v>
      </c>
      <c r="I1493" t="s">
        <v>11316</v>
      </c>
      <c r="J1493" t="s">
        <v>91</v>
      </c>
      <c r="K1493" t="s">
        <v>92</v>
      </c>
      <c r="L1493" t="s">
        <v>50</v>
      </c>
      <c r="M1493" s="2">
        <v>21817</v>
      </c>
      <c r="N1493" t="s">
        <v>64</v>
      </c>
      <c r="P1493" t="str">
        <f>CONCATENATE("'",Tabla1[[#This Row],[Codigo]],"',")</f>
        <v>'02441',</v>
      </c>
    </row>
    <row r="1494" spans="1:16" x14ac:dyDescent="0.25">
      <c r="A1494" t="s">
        <v>11319</v>
      </c>
      <c r="B1494" t="s">
        <v>11320</v>
      </c>
      <c r="C1494" t="s">
        <v>11320</v>
      </c>
      <c r="D1494" t="s">
        <v>2339</v>
      </c>
      <c r="E1494" t="s">
        <v>134</v>
      </c>
      <c r="F1494" t="s">
        <v>11321</v>
      </c>
      <c r="G1494" t="s">
        <v>7938</v>
      </c>
      <c r="H1494" t="s">
        <v>11323</v>
      </c>
      <c r="I1494" t="s">
        <v>11324</v>
      </c>
      <c r="J1494" t="s">
        <v>10093</v>
      </c>
      <c r="K1494" t="s">
        <v>10094</v>
      </c>
      <c r="L1494" t="s">
        <v>50</v>
      </c>
      <c r="M1494" s="2">
        <v>32726</v>
      </c>
      <c r="N1494" t="s">
        <v>64</v>
      </c>
      <c r="P1494" t="str">
        <f>CONCATENATE("'",Tabla1[[#This Row],[Codigo]],"',")</f>
        <v>'02443',</v>
      </c>
    </row>
    <row r="1495" spans="1:16" x14ac:dyDescent="0.25">
      <c r="A1495" t="s">
        <v>11326</v>
      </c>
      <c r="B1495" t="s">
        <v>11327</v>
      </c>
      <c r="C1495" t="s">
        <v>11327</v>
      </c>
      <c r="D1495" t="s">
        <v>569</v>
      </c>
      <c r="E1495" t="s">
        <v>570</v>
      </c>
      <c r="F1495" t="s">
        <v>11328</v>
      </c>
      <c r="G1495" t="s">
        <v>41</v>
      </c>
      <c r="H1495" t="s">
        <v>40</v>
      </c>
      <c r="I1495" t="s">
        <v>41</v>
      </c>
      <c r="J1495" t="s">
        <v>42</v>
      </c>
      <c r="K1495" t="s">
        <v>43</v>
      </c>
      <c r="L1495" t="s">
        <v>50</v>
      </c>
      <c r="M1495" s="2">
        <v>10904.27</v>
      </c>
      <c r="N1495" t="s">
        <v>5692</v>
      </c>
      <c r="P1495" t="str">
        <f>CONCATENATE("'",Tabla1[[#This Row],[Codigo]],"',")</f>
        <v>'02444',</v>
      </c>
    </row>
    <row r="1496" spans="1:16" x14ac:dyDescent="0.25">
      <c r="A1496" t="s">
        <v>11329</v>
      </c>
      <c r="B1496" t="s">
        <v>11330</v>
      </c>
      <c r="C1496" t="s">
        <v>11330</v>
      </c>
      <c r="D1496" t="s">
        <v>847</v>
      </c>
      <c r="E1496" t="s">
        <v>848</v>
      </c>
      <c r="F1496" t="s">
        <v>11331</v>
      </c>
      <c r="G1496" t="s">
        <v>41</v>
      </c>
      <c r="H1496" t="s">
        <v>40</v>
      </c>
      <c r="I1496" t="s">
        <v>41</v>
      </c>
      <c r="J1496" t="s">
        <v>42</v>
      </c>
      <c r="K1496" t="s">
        <v>43</v>
      </c>
      <c r="L1496" t="s">
        <v>50</v>
      </c>
      <c r="M1496" s="2">
        <v>15272</v>
      </c>
      <c r="N1496" t="s">
        <v>64</v>
      </c>
      <c r="P1496" t="str">
        <f>CONCATENATE("'",Tabla1[[#This Row],[Codigo]],"',")</f>
        <v>'02445',</v>
      </c>
    </row>
    <row r="1497" spans="1:16" x14ac:dyDescent="0.25">
      <c r="A1497" t="s">
        <v>11332</v>
      </c>
      <c r="B1497" t="s">
        <v>11333</v>
      </c>
      <c r="C1497" t="s">
        <v>11333</v>
      </c>
      <c r="D1497" t="s">
        <v>569</v>
      </c>
      <c r="E1497" t="s">
        <v>570</v>
      </c>
      <c r="F1497" t="s">
        <v>11334</v>
      </c>
      <c r="G1497" t="s">
        <v>41</v>
      </c>
      <c r="H1497" t="s">
        <v>40</v>
      </c>
      <c r="I1497" t="s">
        <v>41</v>
      </c>
      <c r="J1497" t="s">
        <v>42</v>
      </c>
      <c r="K1497" t="s">
        <v>43</v>
      </c>
      <c r="L1497" t="s">
        <v>50</v>
      </c>
      <c r="M1497" s="2">
        <v>10904.27</v>
      </c>
      <c r="N1497" t="s">
        <v>5692</v>
      </c>
      <c r="P1497" t="str">
        <f>CONCATENATE("'",Tabla1[[#This Row],[Codigo]],"',")</f>
        <v>'02446',</v>
      </c>
    </row>
    <row r="1498" spans="1:16" x14ac:dyDescent="0.25">
      <c r="A1498" t="s">
        <v>11335</v>
      </c>
      <c r="B1498" t="s">
        <v>11336</v>
      </c>
      <c r="C1498" t="s">
        <v>11336</v>
      </c>
      <c r="D1498" t="s">
        <v>125</v>
      </c>
      <c r="E1498" t="s">
        <v>126</v>
      </c>
      <c r="F1498" t="s">
        <v>11337</v>
      </c>
      <c r="G1498" t="s">
        <v>41</v>
      </c>
      <c r="H1498" t="s">
        <v>40</v>
      </c>
      <c r="I1498" t="s">
        <v>41</v>
      </c>
      <c r="J1498" t="s">
        <v>42</v>
      </c>
      <c r="K1498" t="s">
        <v>43</v>
      </c>
      <c r="L1498" t="s">
        <v>50</v>
      </c>
      <c r="M1498" s="2">
        <v>9042.75</v>
      </c>
      <c r="N1498" t="s">
        <v>11338</v>
      </c>
      <c r="P1498" t="str">
        <f>CONCATENATE("'",Tabla1[[#This Row],[Codigo]],"',")</f>
        <v>'02447',</v>
      </c>
    </row>
    <row r="1499" spans="1:16" x14ac:dyDescent="0.25">
      <c r="A1499" t="s">
        <v>11342</v>
      </c>
      <c r="B1499" t="s">
        <v>11343</v>
      </c>
      <c r="C1499" t="s">
        <v>10220</v>
      </c>
      <c r="D1499" t="s">
        <v>125</v>
      </c>
      <c r="E1499" t="s">
        <v>126</v>
      </c>
      <c r="F1499" t="s">
        <v>10221</v>
      </c>
      <c r="G1499" t="s">
        <v>10155</v>
      </c>
      <c r="H1499" t="s">
        <v>10157</v>
      </c>
      <c r="I1499" t="s">
        <v>10155</v>
      </c>
      <c r="J1499" t="s">
        <v>10093</v>
      </c>
      <c r="K1499" t="s">
        <v>10094</v>
      </c>
      <c r="L1499" t="s">
        <v>50</v>
      </c>
      <c r="M1499" s="2">
        <v>224326.03</v>
      </c>
      <c r="N1499" t="s">
        <v>11345</v>
      </c>
      <c r="O1499" t="s">
        <v>115</v>
      </c>
      <c r="P1499" t="str">
        <f>CONCATENATE("'",Tabla1[[#This Row],[Codigo]],"',")</f>
        <v>'02449',</v>
      </c>
    </row>
    <row r="1500" spans="1:16" x14ac:dyDescent="0.25">
      <c r="A1500" t="s">
        <v>11346</v>
      </c>
      <c r="B1500" t="s">
        <v>11347</v>
      </c>
      <c r="C1500" t="s">
        <v>11347</v>
      </c>
      <c r="D1500" t="s">
        <v>847</v>
      </c>
      <c r="E1500" t="s">
        <v>848</v>
      </c>
      <c r="F1500" t="s">
        <v>10221</v>
      </c>
      <c r="G1500" t="s">
        <v>10155</v>
      </c>
      <c r="H1500" t="s">
        <v>7936</v>
      </c>
      <c r="I1500" t="s">
        <v>7935</v>
      </c>
      <c r="J1500" t="s">
        <v>10093</v>
      </c>
      <c r="K1500" t="s">
        <v>10094</v>
      </c>
      <c r="L1500" t="s">
        <v>50</v>
      </c>
      <c r="M1500" s="2">
        <v>138845.07</v>
      </c>
      <c r="N1500" t="s">
        <v>11348</v>
      </c>
      <c r="O1500" t="s">
        <v>52</v>
      </c>
      <c r="P1500" t="str">
        <f>CONCATENATE("'",Tabla1[[#This Row],[Codigo]],"',")</f>
        <v>'02450',</v>
      </c>
    </row>
    <row r="1501" spans="1:16" x14ac:dyDescent="0.25">
      <c r="A1501" t="s">
        <v>11349</v>
      </c>
      <c r="B1501" t="s">
        <v>11350</v>
      </c>
      <c r="C1501" t="s">
        <v>11350</v>
      </c>
      <c r="D1501" t="s">
        <v>847</v>
      </c>
      <c r="E1501" t="s">
        <v>848</v>
      </c>
      <c r="F1501" t="s">
        <v>11351</v>
      </c>
      <c r="G1501" t="s">
        <v>11352</v>
      </c>
      <c r="H1501" t="s">
        <v>11353</v>
      </c>
      <c r="I1501" t="s">
        <v>11352</v>
      </c>
      <c r="J1501" t="s">
        <v>4315</v>
      </c>
      <c r="K1501" t="s">
        <v>4316</v>
      </c>
      <c r="L1501" t="s">
        <v>50</v>
      </c>
      <c r="M1501" s="2">
        <v>190632.99</v>
      </c>
      <c r="N1501" t="s">
        <v>11355</v>
      </c>
      <c r="O1501" t="s">
        <v>52</v>
      </c>
      <c r="P1501" t="str">
        <f>CONCATENATE("'",Tabla1[[#This Row],[Codigo]],"',")</f>
        <v>'02451',</v>
      </c>
    </row>
    <row r="1502" spans="1:16" x14ac:dyDescent="0.25">
      <c r="A1502" t="s">
        <v>11356</v>
      </c>
      <c r="B1502" t="s">
        <v>11357</v>
      </c>
      <c r="C1502" t="s">
        <v>11357</v>
      </c>
      <c r="D1502" t="s">
        <v>125</v>
      </c>
      <c r="E1502" t="s">
        <v>126</v>
      </c>
      <c r="F1502" t="s">
        <v>11358</v>
      </c>
      <c r="G1502" t="s">
        <v>11359</v>
      </c>
      <c r="H1502" t="s">
        <v>7341</v>
      </c>
      <c r="I1502" t="s">
        <v>7342</v>
      </c>
      <c r="J1502" t="s">
        <v>2320</v>
      </c>
      <c r="K1502" t="s">
        <v>2321</v>
      </c>
      <c r="L1502" t="s">
        <v>50</v>
      </c>
      <c r="M1502" s="2">
        <v>1107350.1000000001</v>
      </c>
      <c r="N1502" t="s">
        <v>11362</v>
      </c>
      <c r="O1502" t="s">
        <v>52</v>
      </c>
      <c r="P1502" t="str">
        <f>CONCATENATE("'",Tabla1[[#This Row],[Codigo]],"',")</f>
        <v>'02452',</v>
      </c>
    </row>
    <row r="1503" spans="1:16" x14ac:dyDescent="0.25">
      <c r="A1503" t="s">
        <v>11363</v>
      </c>
      <c r="B1503" t="s">
        <v>11364</v>
      </c>
      <c r="C1503" t="s">
        <v>11364</v>
      </c>
      <c r="D1503" t="s">
        <v>35</v>
      </c>
      <c r="E1503" t="s">
        <v>36</v>
      </c>
      <c r="F1503" t="s">
        <v>11365</v>
      </c>
      <c r="G1503" t="s">
        <v>2473</v>
      </c>
      <c r="H1503" t="s">
        <v>2472</v>
      </c>
      <c r="I1503" t="s">
        <v>2473</v>
      </c>
      <c r="J1503" t="s">
        <v>1421</v>
      </c>
      <c r="K1503" t="s">
        <v>1422</v>
      </c>
      <c r="L1503" t="s">
        <v>50</v>
      </c>
      <c r="M1503" s="2">
        <v>74225.490000000005</v>
      </c>
      <c r="N1503" t="s">
        <v>11367</v>
      </c>
      <c r="O1503" t="s">
        <v>115</v>
      </c>
      <c r="P1503" t="str">
        <f>CONCATENATE("'",Tabla1[[#This Row],[Codigo]],"',")</f>
        <v>'02453',</v>
      </c>
    </row>
    <row r="1504" spans="1:16" x14ac:dyDescent="0.25">
      <c r="A1504" t="s">
        <v>11368</v>
      </c>
      <c r="B1504" t="s">
        <v>15196</v>
      </c>
      <c r="C1504" t="s">
        <v>11369</v>
      </c>
      <c r="D1504" t="s">
        <v>125</v>
      </c>
      <c r="E1504" t="s">
        <v>126</v>
      </c>
      <c r="F1504" t="s">
        <v>8920</v>
      </c>
      <c r="G1504" t="s">
        <v>10395</v>
      </c>
      <c r="H1504" t="s">
        <v>6940</v>
      </c>
      <c r="I1504" t="s">
        <v>6939</v>
      </c>
      <c r="J1504" t="s">
        <v>3487</v>
      </c>
      <c r="K1504" t="s">
        <v>3488</v>
      </c>
      <c r="L1504" t="s">
        <v>50</v>
      </c>
      <c r="M1504" s="2">
        <v>438482.92</v>
      </c>
      <c r="N1504" t="s">
        <v>11371</v>
      </c>
      <c r="O1504" t="s">
        <v>52</v>
      </c>
      <c r="P1504" t="str">
        <f>CONCATENATE("'",Tabla1[[#This Row],[Codigo]],"',")</f>
        <v>'02455',</v>
      </c>
    </row>
    <row r="1505" spans="1:16" x14ac:dyDescent="0.25">
      <c r="A1505" t="s">
        <v>11372</v>
      </c>
      <c r="B1505" t="s">
        <v>15197</v>
      </c>
      <c r="C1505" t="s">
        <v>11373</v>
      </c>
      <c r="D1505" t="s">
        <v>125</v>
      </c>
      <c r="E1505" t="s">
        <v>126</v>
      </c>
      <c r="F1505" t="s">
        <v>11374</v>
      </c>
      <c r="G1505" t="s">
        <v>11375</v>
      </c>
      <c r="H1505" t="s">
        <v>11377</v>
      </c>
      <c r="I1505" t="s">
        <v>11378</v>
      </c>
      <c r="J1505" t="s">
        <v>3487</v>
      </c>
      <c r="K1505" t="s">
        <v>3488</v>
      </c>
      <c r="L1505" t="s">
        <v>50</v>
      </c>
      <c r="M1505" s="2">
        <v>102691.35</v>
      </c>
      <c r="N1505" t="s">
        <v>11380</v>
      </c>
      <c r="O1505" t="s">
        <v>52</v>
      </c>
      <c r="P1505" t="str">
        <f>CONCATENATE("'",Tabla1[[#This Row],[Codigo]],"',")</f>
        <v>'02456',</v>
      </c>
    </row>
    <row r="1506" spans="1:16" x14ac:dyDescent="0.25">
      <c r="A1506" t="s">
        <v>11381</v>
      </c>
      <c r="B1506" t="s">
        <v>11382</v>
      </c>
      <c r="C1506" t="s">
        <v>11382</v>
      </c>
      <c r="D1506" t="s">
        <v>166</v>
      </c>
      <c r="E1506" t="s">
        <v>167</v>
      </c>
      <c r="F1506" t="s">
        <v>11383</v>
      </c>
      <c r="G1506" t="s">
        <v>6728</v>
      </c>
      <c r="H1506" t="s">
        <v>6730</v>
      </c>
      <c r="I1506" t="s">
        <v>6728</v>
      </c>
      <c r="J1506" t="s">
        <v>557</v>
      </c>
      <c r="K1506" t="s">
        <v>558</v>
      </c>
      <c r="L1506" t="s">
        <v>50</v>
      </c>
      <c r="M1506" s="2">
        <v>371610.6</v>
      </c>
      <c r="N1506" t="s">
        <v>11385</v>
      </c>
      <c r="O1506" t="s">
        <v>52</v>
      </c>
      <c r="P1506" t="str">
        <f>CONCATENATE("'",Tabla1[[#This Row],[Codigo]],"',")</f>
        <v>'02457',</v>
      </c>
    </row>
    <row r="1507" spans="1:16" x14ac:dyDescent="0.25">
      <c r="A1507" t="s">
        <v>11386</v>
      </c>
      <c r="B1507" t="s">
        <v>15198</v>
      </c>
      <c r="C1507" t="s">
        <v>11387</v>
      </c>
      <c r="D1507" t="s">
        <v>344</v>
      </c>
      <c r="E1507" t="s">
        <v>167</v>
      </c>
      <c r="F1507" t="s">
        <v>11388</v>
      </c>
      <c r="G1507" t="s">
        <v>349</v>
      </c>
      <c r="H1507" t="s">
        <v>348</v>
      </c>
      <c r="I1507" t="s">
        <v>349</v>
      </c>
      <c r="J1507" t="s">
        <v>316</v>
      </c>
      <c r="K1507" t="s">
        <v>317</v>
      </c>
      <c r="L1507" t="s">
        <v>50</v>
      </c>
      <c r="M1507" s="2">
        <v>123750</v>
      </c>
      <c r="N1507" t="s">
        <v>64</v>
      </c>
      <c r="P1507" t="str">
        <f>CONCATENATE("'",Tabla1[[#This Row],[Codigo]],"',")</f>
        <v>'02458',</v>
      </c>
    </row>
    <row r="1508" spans="1:16" x14ac:dyDescent="0.25">
      <c r="A1508" t="s">
        <v>11390</v>
      </c>
      <c r="B1508" t="s">
        <v>11391</v>
      </c>
      <c r="C1508" t="s">
        <v>11391</v>
      </c>
      <c r="D1508" t="s">
        <v>792</v>
      </c>
      <c r="E1508" t="s">
        <v>190</v>
      </c>
      <c r="F1508" t="s">
        <v>11392</v>
      </c>
      <c r="G1508" t="s">
        <v>10141</v>
      </c>
      <c r="H1508" t="s">
        <v>7936</v>
      </c>
      <c r="I1508" t="s">
        <v>7935</v>
      </c>
      <c r="J1508" t="s">
        <v>10093</v>
      </c>
      <c r="K1508" t="s">
        <v>10094</v>
      </c>
      <c r="L1508" t="s">
        <v>50</v>
      </c>
      <c r="M1508" s="2">
        <v>98365.52</v>
      </c>
      <c r="N1508" t="s">
        <v>11394</v>
      </c>
      <c r="O1508" t="s">
        <v>52</v>
      </c>
      <c r="P1508" t="str">
        <f>CONCATENATE("'",Tabla1[[#This Row],[Codigo]],"',")</f>
        <v>'02459',</v>
      </c>
    </row>
    <row r="1509" spans="1:16" x14ac:dyDescent="0.25">
      <c r="A1509" t="s">
        <v>11395</v>
      </c>
      <c r="B1509" t="s">
        <v>11396</v>
      </c>
      <c r="C1509" t="s">
        <v>11396</v>
      </c>
      <c r="D1509" t="s">
        <v>35</v>
      </c>
      <c r="E1509" t="s">
        <v>36</v>
      </c>
      <c r="F1509" t="s">
        <v>11397</v>
      </c>
      <c r="G1509" t="s">
        <v>1222</v>
      </c>
      <c r="H1509" t="s">
        <v>1221</v>
      </c>
      <c r="I1509" t="s">
        <v>1222</v>
      </c>
      <c r="J1509" t="s">
        <v>205</v>
      </c>
      <c r="K1509" t="s">
        <v>206</v>
      </c>
      <c r="L1509" t="s">
        <v>50</v>
      </c>
      <c r="M1509" s="2">
        <v>407026</v>
      </c>
      <c r="N1509" t="s">
        <v>11399</v>
      </c>
      <c r="O1509" t="s">
        <v>52</v>
      </c>
      <c r="P1509" t="str">
        <f>CONCATENATE("'",Tabla1[[#This Row],[Codigo]],"',")</f>
        <v>'02460',</v>
      </c>
    </row>
    <row r="1510" spans="1:16" x14ac:dyDescent="0.25">
      <c r="A1510" t="s">
        <v>11400</v>
      </c>
      <c r="B1510" t="s">
        <v>11401</v>
      </c>
      <c r="C1510" t="s">
        <v>11401</v>
      </c>
      <c r="D1510" t="s">
        <v>621</v>
      </c>
      <c r="E1510" t="s">
        <v>77</v>
      </c>
      <c r="F1510" t="s">
        <v>11402</v>
      </c>
      <c r="G1510" t="s">
        <v>7210</v>
      </c>
      <c r="H1510" t="s">
        <v>4996</v>
      </c>
      <c r="I1510" t="s">
        <v>4997</v>
      </c>
      <c r="J1510" t="s">
        <v>1212</v>
      </c>
      <c r="K1510" t="s">
        <v>1213</v>
      </c>
      <c r="L1510" t="s">
        <v>50</v>
      </c>
      <c r="M1510" s="2">
        <v>54543</v>
      </c>
      <c r="N1510" t="s">
        <v>64</v>
      </c>
      <c r="P1510" t="str">
        <f>CONCATENATE("'",Tabla1[[#This Row],[Codigo]],"',")</f>
        <v>'02461',</v>
      </c>
    </row>
    <row r="1511" spans="1:16" x14ac:dyDescent="0.25">
      <c r="A1511" t="s">
        <v>11410</v>
      </c>
      <c r="B1511" t="s">
        <v>11411</v>
      </c>
      <c r="C1511" t="s">
        <v>11411</v>
      </c>
      <c r="D1511" t="s">
        <v>35</v>
      </c>
      <c r="E1511" t="s">
        <v>36</v>
      </c>
      <c r="F1511" t="s">
        <v>11412</v>
      </c>
      <c r="G1511" t="s">
        <v>7938</v>
      </c>
      <c r="H1511" t="s">
        <v>10127</v>
      </c>
      <c r="I1511" t="s">
        <v>10128</v>
      </c>
      <c r="J1511" t="s">
        <v>10093</v>
      </c>
      <c r="K1511" t="s">
        <v>10094</v>
      </c>
      <c r="L1511" t="s">
        <v>50</v>
      </c>
      <c r="M1511" s="2">
        <v>218485.16</v>
      </c>
      <c r="N1511" t="s">
        <v>11415</v>
      </c>
      <c r="O1511" t="s">
        <v>52</v>
      </c>
      <c r="P1511" t="str">
        <f>CONCATENATE("'",Tabla1[[#This Row],[Codigo]],"',")</f>
        <v>'02463',</v>
      </c>
    </row>
    <row r="1512" spans="1:16" x14ac:dyDescent="0.25">
      <c r="A1512" t="s">
        <v>11416</v>
      </c>
      <c r="B1512" t="s">
        <v>11417</v>
      </c>
      <c r="C1512" t="s">
        <v>11417</v>
      </c>
      <c r="D1512" t="s">
        <v>125</v>
      </c>
      <c r="E1512" t="s">
        <v>126</v>
      </c>
      <c r="F1512" t="s">
        <v>11418</v>
      </c>
      <c r="G1512" t="s">
        <v>1360</v>
      </c>
      <c r="H1512" t="s">
        <v>1362</v>
      </c>
      <c r="I1512" t="s">
        <v>1360</v>
      </c>
      <c r="J1512" t="s">
        <v>1421</v>
      </c>
      <c r="K1512" t="s">
        <v>1422</v>
      </c>
      <c r="L1512" t="s">
        <v>50</v>
      </c>
      <c r="M1512" s="2">
        <v>123909.72</v>
      </c>
      <c r="N1512" t="s">
        <v>11421</v>
      </c>
      <c r="O1512" t="s">
        <v>115</v>
      </c>
      <c r="P1512" t="str">
        <f>CONCATENATE("'",Tabla1[[#This Row],[Codigo]],"',")</f>
        <v>'02464',</v>
      </c>
    </row>
    <row r="1513" spans="1:16" x14ac:dyDescent="0.25">
      <c r="A1513" t="s">
        <v>11422</v>
      </c>
      <c r="B1513" t="s">
        <v>11423</v>
      </c>
      <c r="C1513" t="s">
        <v>11423</v>
      </c>
      <c r="D1513" t="s">
        <v>847</v>
      </c>
      <c r="E1513" t="s">
        <v>848</v>
      </c>
      <c r="F1513" t="s">
        <v>11424</v>
      </c>
      <c r="G1513" t="s">
        <v>1123</v>
      </c>
      <c r="H1513" t="s">
        <v>1125</v>
      </c>
      <c r="I1513" t="s">
        <v>1123</v>
      </c>
      <c r="J1513" t="s">
        <v>158</v>
      </c>
      <c r="K1513" t="s">
        <v>159</v>
      </c>
      <c r="L1513" t="s">
        <v>50</v>
      </c>
      <c r="M1513" s="2">
        <v>400804.51</v>
      </c>
      <c r="N1513" t="s">
        <v>11427</v>
      </c>
      <c r="P1513" t="str">
        <f>CONCATENATE("'",Tabla1[[#This Row],[Codigo]],"',")</f>
        <v>'02465',</v>
      </c>
    </row>
    <row r="1514" spans="1:16" x14ac:dyDescent="0.25">
      <c r="A1514" t="s">
        <v>11428</v>
      </c>
      <c r="B1514" t="s">
        <v>11429</v>
      </c>
      <c r="C1514" t="s">
        <v>11429</v>
      </c>
      <c r="D1514" t="s">
        <v>178</v>
      </c>
      <c r="E1514" t="s">
        <v>179</v>
      </c>
      <c r="F1514" t="s">
        <v>11430</v>
      </c>
      <c r="G1514" t="s">
        <v>714</v>
      </c>
      <c r="H1514" t="s">
        <v>715</v>
      </c>
      <c r="I1514" t="s">
        <v>714</v>
      </c>
      <c r="J1514" t="s">
        <v>256</v>
      </c>
      <c r="K1514" t="s">
        <v>255</v>
      </c>
      <c r="L1514" t="s">
        <v>50</v>
      </c>
      <c r="M1514" s="2">
        <v>231618.31</v>
      </c>
      <c r="N1514" t="s">
        <v>11432</v>
      </c>
      <c r="O1514" t="s">
        <v>115</v>
      </c>
      <c r="P1514" t="str">
        <f>CONCATENATE("'",Tabla1[[#This Row],[Codigo]],"',")</f>
        <v>'02466',</v>
      </c>
    </row>
    <row r="1515" spans="1:16" x14ac:dyDescent="0.25">
      <c r="A1515" t="s">
        <v>11433</v>
      </c>
      <c r="B1515" t="s">
        <v>11434</v>
      </c>
      <c r="C1515" t="s">
        <v>11434</v>
      </c>
      <c r="D1515" t="s">
        <v>847</v>
      </c>
      <c r="E1515" t="s">
        <v>848</v>
      </c>
      <c r="F1515" t="s">
        <v>11435</v>
      </c>
      <c r="G1515" t="s">
        <v>41</v>
      </c>
      <c r="H1515" t="s">
        <v>40</v>
      </c>
      <c r="I1515" t="s">
        <v>41</v>
      </c>
      <c r="J1515" t="s">
        <v>42</v>
      </c>
      <c r="K1515" t="s">
        <v>43</v>
      </c>
      <c r="L1515" t="s">
        <v>50</v>
      </c>
      <c r="M1515" s="2">
        <v>-8328.4599999999991</v>
      </c>
      <c r="N1515" t="s">
        <v>11436</v>
      </c>
      <c r="P1515" t="str">
        <f>CONCATENATE("'",Tabla1[[#This Row],[Codigo]],"',")</f>
        <v>'02467',</v>
      </c>
    </row>
    <row r="1516" spans="1:16" x14ac:dyDescent="0.25">
      <c r="A1516" t="s">
        <v>11437</v>
      </c>
      <c r="B1516" t="s">
        <v>11438</v>
      </c>
      <c r="C1516" t="s">
        <v>11438</v>
      </c>
      <c r="D1516" t="s">
        <v>553</v>
      </c>
      <c r="E1516" t="s">
        <v>167</v>
      </c>
      <c r="F1516" t="s">
        <v>11439</v>
      </c>
      <c r="G1516" t="s">
        <v>11440</v>
      </c>
      <c r="H1516" t="s">
        <v>7568</v>
      </c>
      <c r="I1516" t="s">
        <v>7569</v>
      </c>
      <c r="J1516" t="s">
        <v>256</v>
      </c>
      <c r="K1516" t="s">
        <v>255</v>
      </c>
      <c r="L1516" t="s">
        <v>50</v>
      </c>
      <c r="M1516" s="2">
        <v>-147528.76999999999</v>
      </c>
      <c r="N1516" t="s">
        <v>11442</v>
      </c>
      <c r="O1516" t="s">
        <v>115</v>
      </c>
      <c r="P1516" t="str">
        <f>CONCATENATE("'",Tabla1[[#This Row],[Codigo]],"',")</f>
        <v>'02468',</v>
      </c>
    </row>
    <row r="1517" spans="1:16" x14ac:dyDescent="0.25">
      <c r="A1517" t="s">
        <v>11443</v>
      </c>
      <c r="B1517" t="s">
        <v>11444</v>
      </c>
      <c r="C1517" t="s">
        <v>11444</v>
      </c>
      <c r="D1517" t="s">
        <v>297</v>
      </c>
      <c r="E1517" t="s">
        <v>167</v>
      </c>
      <c r="F1517" t="s">
        <v>11445</v>
      </c>
      <c r="G1517" t="s">
        <v>10147</v>
      </c>
      <c r="H1517" t="s">
        <v>10149</v>
      </c>
      <c r="I1517" t="s">
        <v>10150</v>
      </c>
      <c r="J1517" t="s">
        <v>10093</v>
      </c>
      <c r="K1517" t="s">
        <v>10094</v>
      </c>
      <c r="L1517" t="s">
        <v>50</v>
      </c>
      <c r="M1517" s="2">
        <v>273895.26</v>
      </c>
      <c r="N1517" t="s">
        <v>11448</v>
      </c>
      <c r="O1517" t="s">
        <v>115</v>
      </c>
      <c r="P1517" t="str">
        <f>CONCATENATE("'",Tabla1[[#This Row],[Codigo]],"',")</f>
        <v>'02469',</v>
      </c>
    </row>
    <row r="1518" spans="1:16" x14ac:dyDescent="0.25">
      <c r="A1518" t="s">
        <v>11449</v>
      </c>
      <c r="B1518" t="s">
        <v>11450</v>
      </c>
      <c r="C1518" t="s">
        <v>11450</v>
      </c>
      <c r="D1518" t="s">
        <v>498</v>
      </c>
      <c r="E1518" t="s">
        <v>190</v>
      </c>
      <c r="F1518" t="s">
        <v>11451</v>
      </c>
      <c r="G1518" t="s">
        <v>10141</v>
      </c>
      <c r="H1518" t="s">
        <v>7936</v>
      </c>
      <c r="I1518" t="s">
        <v>7935</v>
      </c>
      <c r="J1518" t="s">
        <v>10093</v>
      </c>
      <c r="K1518" t="s">
        <v>10094</v>
      </c>
      <c r="L1518" t="s">
        <v>50</v>
      </c>
      <c r="M1518" s="2">
        <v>32898.339999999997</v>
      </c>
      <c r="N1518" t="s">
        <v>11454</v>
      </c>
      <c r="O1518" t="s">
        <v>52</v>
      </c>
      <c r="P1518" t="str">
        <f>CONCATENATE("'",Tabla1[[#This Row],[Codigo]],"',")</f>
        <v>'02470',</v>
      </c>
    </row>
    <row r="1519" spans="1:16" x14ac:dyDescent="0.25">
      <c r="A1519" t="s">
        <v>11455</v>
      </c>
      <c r="B1519" t="s">
        <v>11456</v>
      </c>
      <c r="C1519" t="s">
        <v>11456</v>
      </c>
      <c r="D1519" t="s">
        <v>125</v>
      </c>
      <c r="E1519" t="s">
        <v>126</v>
      </c>
      <c r="F1519" t="s">
        <v>11457</v>
      </c>
      <c r="G1519" t="s">
        <v>5009</v>
      </c>
      <c r="H1519" t="s">
        <v>11459</v>
      </c>
      <c r="I1519" t="s">
        <v>11440</v>
      </c>
      <c r="J1519" t="s">
        <v>2320</v>
      </c>
      <c r="K1519" t="s">
        <v>2321</v>
      </c>
      <c r="L1519" t="s">
        <v>50</v>
      </c>
      <c r="M1519" s="2">
        <v>174921.66</v>
      </c>
      <c r="N1519" t="s">
        <v>11461</v>
      </c>
      <c r="P1519" t="str">
        <f>CONCATENATE("'",Tabla1[[#This Row],[Codigo]],"',")</f>
        <v>'02471',</v>
      </c>
    </row>
    <row r="1520" spans="1:16" x14ac:dyDescent="0.25">
      <c r="A1520" t="s">
        <v>11466</v>
      </c>
      <c r="B1520" t="s">
        <v>11467</v>
      </c>
      <c r="C1520" t="s">
        <v>11467</v>
      </c>
      <c r="D1520" t="s">
        <v>125</v>
      </c>
      <c r="E1520" t="s">
        <v>126</v>
      </c>
      <c r="F1520" t="s">
        <v>11468</v>
      </c>
      <c r="G1520" t="s">
        <v>7938</v>
      </c>
      <c r="H1520" t="s">
        <v>10127</v>
      </c>
      <c r="I1520" t="s">
        <v>10128</v>
      </c>
      <c r="J1520" t="s">
        <v>10093</v>
      </c>
      <c r="K1520" t="s">
        <v>10094</v>
      </c>
      <c r="L1520" t="s">
        <v>50</v>
      </c>
      <c r="M1520" s="2">
        <v>176890.84</v>
      </c>
      <c r="N1520" t="s">
        <v>11471</v>
      </c>
      <c r="O1520" t="s">
        <v>52</v>
      </c>
      <c r="P1520" t="str">
        <f>CONCATENATE("'",Tabla1[[#This Row],[Codigo]],"',")</f>
        <v>'02473',</v>
      </c>
    </row>
    <row r="1521" spans="1:16" x14ac:dyDescent="0.25">
      <c r="A1521" t="s">
        <v>11475</v>
      </c>
      <c r="B1521" t="s">
        <v>11476</v>
      </c>
      <c r="C1521" t="s">
        <v>11476</v>
      </c>
      <c r="D1521" t="s">
        <v>2288</v>
      </c>
      <c r="E1521" t="s">
        <v>134</v>
      </c>
      <c r="F1521" t="s">
        <v>5356</v>
      </c>
      <c r="G1521" t="s">
        <v>2218</v>
      </c>
      <c r="H1521" t="s">
        <v>664</v>
      </c>
      <c r="I1521" t="s">
        <v>665</v>
      </c>
      <c r="J1521" t="s">
        <v>103</v>
      </c>
      <c r="K1521" t="s">
        <v>104</v>
      </c>
      <c r="L1521" t="s">
        <v>50</v>
      </c>
      <c r="M1521" s="2">
        <v>43634</v>
      </c>
      <c r="N1521" t="s">
        <v>64</v>
      </c>
      <c r="P1521" t="str">
        <f>CONCATENATE("'",Tabla1[[#This Row],[Codigo]],"',")</f>
        <v>'02475',</v>
      </c>
    </row>
    <row r="1522" spans="1:16" x14ac:dyDescent="0.25">
      <c r="A1522" t="s">
        <v>11479</v>
      </c>
      <c r="B1522" t="s">
        <v>11480</v>
      </c>
      <c r="C1522" t="s">
        <v>11480</v>
      </c>
      <c r="D1522" t="s">
        <v>125</v>
      </c>
      <c r="E1522" t="s">
        <v>126</v>
      </c>
      <c r="F1522" t="s">
        <v>11481</v>
      </c>
      <c r="G1522" t="s">
        <v>2463</v>
      </c>
      <c r="H1522" t="s">
        <v>2462</v>
      </c>
      <c r="I1522" t="s">
        <v>2463</v>
      </c>
      <c r="J1522" t="s">
        <v>2320</v>
      </c>
      <c r="K1522" t="s">
        <v>2321</v>
      </c>
      <c r="L1522" t="s">
        <v>50</v>
      </c>
      <c r="M1522" s="2">
        <v>152516.18</v>
      </c>
      <c r="N1522" t="s">
        <v>11483</v>
      </c>
      <c r="O1522" t="s">
        <v>115</v>
      </c>
      <c r="P1522" t="str">
        <f>CONCATENATE("'",Tabla1[[#This Row],[Codigo]],"',")</f>
        <v>'02476',</v>
      </c>
    </row>
    <row r="1523" spans="1:16" x14ac:dyDescent="0.25">
      <c r="A1523" t="s">
        <v>11484</v>
      </c>
      <c r="B1523" t="s">
        <v>11485</v>
      </c>
      <c r="C1523" t="s">
        <v>11485</v>
      </c>
      <c r="D1523" t="s">
        <v>1865</v>
      </c>
      <c r="E1523" t="s">
        <v>224</v>
      </c>
      <c r="F1523" t="s">
        <v>11486</v>
      </c>
      <c r="G1523" t="s">
        <v>5739</v>
      </c>
      <c r="H1523" t="s">
        <v>5741</v>
      </c>
      <c r="I1523" t="s">
        <v>5739</v>
      </c>
      <c r="J1523" t="s">
        <v>5966</v>
      </c>
      <c r="K1523" t="s">
        <v>5739</v>
      </c>
      <c r="L1523" t="s">
        <v>50</v>
      </c>
      <c r="M1523" s="2">
        <v>53681.78</v>
      </c>
      <c r="N1523" t="s">
        <v>11489</v>
      </c>
      <c r="P1523" t="str">
        <f>CONCATENATE("'",Tabla1[[#This Row],[Codigo]],"',")</f>
        <v>'02477',</v>
      </c>
    </row>
    <row r="1524" spans="1:16" x14ac:dyDescent="0.25">
      <c r="A1524" t="s">
        <v>11490</v>
      </c>
      <c r="B1524" t="s">
        <v>11491</v>
      </c>
      <c r="C1524" t="s">
        <v>11491</v>
      </c>
      <c r="D1524" t="s">
        <v>125</v>
      </c>
      <c r="E1524" t="s">
        <v>126</v>
      </c>
      <c r="F1524" t="s">
        <v>11492</v>
      </c>
      <c r="G1524" t="s">
        <v>41</v>
      </c>
      <c r="H1524" t="s">
        <v>40</v>
      </c>
      <c r="I1524" t="s">
        <v>41</v>
      </c>
      <c r="J1524" t="s">
        <v>61</v>
      </c>
      <c r="K1524" t="s">
        <v>62</v>
      </c>
      <c r="L1524" t="s">
        <v>50</v>
      </c>
      <c r="M1524" s="2">
        <v>171098.14</v>
      </c>
      <c r="N1524" t="s">
        <v>11495</v>
      </c>
      <c r="O1524" t="s">
        <v>52</v>
      </c>
      <c r="P1524" t="str">
        <f>CONCATENATE("'",Tabla1[[#This Row],[Codigo]],"',")</f>
        <v>'02478',</v>
      </c>
    </row>
    <row r="1525" spans="1:16" x14ac:dyDescent="0.25">
      <c r="A1525" t="s">
        <v>11496</v>
      </c>
      <c r="B1525" t="s">
        <v>11497</v>
      </c>
      <c r="C1525" t="s">
        <v>11497</v>
      </c>
      <c r="D1525" t="s">
        <v>577</v>
      </c>
      <c r="E1525" t="s">
        <v>134</v>
      </c>
      <c r="F1525" t="s">
        <v>11498</v>
      </c>
      <c r="H1525" t="s">
        <v>40</v>
      </c>
      <c r="I1525" t="s">
        <v>41</v>
      </c>
      <c r="J1525" t="s">
        <v>42</v>
      </c>
      <c r="K1525" t="s">
        <v>43</v>
      </c>
      <c r="L1525" t="s">
        <v>50</v>
      </c>
      <c r="M1525" s="2">
        <v>21817</v>
      </c>
      <c r="N1525" t="s">
        <v>64</v>
      </c>
      <c r="P1525" t="str">
        <f>CONCATENATE("'",Tabla1[[#This Row],[Codigo]],"',")</f>
        <v>'02479',</v>
      </c>
    </row>
    <row r="1526" spans="1:16" x14ac:dyDescent="0.25">
      <c r="A1526" t="s">
        <v>11501</v>
      </c>
      <c r="B1526" t="s">
        <v>11502</v>
      </c>
      <c r="C1526" t="s">
        <v>11502</v>
      </c>
      <c r="D1526" t="s">
        <v>817</v>
      </c>
      <c r="E1526" t="s">
        <v>224</v>
      </c>
      <c r="F1526" t="s">
        <v>11503</v>
      </c>
      <c r="G1526" t="s">
        <v>90</v>
      </c>
      <c r="H1526" t="s">
        <v>89</v>
      </c>
      <c r="I1526" t="s">
        <v>90</v>
      </c>
      <c r="J1526" t="s">
        <v>91</v>
      </c>
      <c r="K1526" t="s">
        <v>92</v>
      </c>
      <c r="L1526" t="s">
        <v>50</v>
      </c>
      <c r="M1526" s="2">
        <v>21817</v>
      </c>
      <c r="N1526" t="s">
        <v>64</v>
      </c>
      <c r="P1526" t="str">
        <f>CONCATENATE("'",Tabla1[[#This Row],[Codigo]],"',")</f>
        <v>'02480',</v>
      </c>
    </row>
    <row r="1527" spans="1:16" x14ac:dyDescent="0.25">
      <c r="A1527" t="s">
        <v>11505</v>
      </c>
      <c r="B1527" t="s">
        <v>11506</v>
      </c>
      <c r="C1527" t="s">
        <v>11506</v>
      </c>
      <c r="D1527" t="s">
        <v>847</v>
      </c>
      <c r="E1527" t="s">
        <v>848</v>
      </c>
      <c r="F1527" t="s">
        <v>11507</v>
      </c>
      <c r="G1527" t="s">
        <v>6113</v>
      </c>
      <c r="H1527" t="s">
        <v>5741</v>
      </c>
      <c r="I1527" t="s">
        <v>5739</v>
      </c>
      <c r="J1527" t="s">
        <v>6143</v>
      </c>
      <c r="K1527" t="s">
        <v>6144</v>
      </c>
      <c r="L1527" t="s">
        <v>50</v>
      </c>
      <c r="M1527" s="2">
        <v>96292.35</v>
      </c>
      <c r="N1527" t="s">
        <v>11510</v>
      </c>
      <c r="O1527" t="s">
        <v>52</v>
      </c>
      <c r="P1527" t="str">
        <f>CONCATENATE("'",Tabla1[[#This Row],[Codigo]],"',")</f>
        <v>'02481',</v>
      </c>
    </row>
    <row r="1528" spans="1:16" x14ac:dyDescent="0.25">
      <c r="A1528" t="s">
        <v>11521</v>
      </c>
      <c r="B1528" t="s">
        <v>11522</v>
      </c>
      <c r="C1528" t="s">
        <v>11522</v>
      </c>
      <c r="D1528" t="s">
        <v>553</v>
      </c>
      <c r="E1528" t="s">
        <v>167</v>
      </c>
      <c r="F1528" t="s">
        <v>11523</v>
      </c>
      <c r="G1528" t="s">
        <v>10141</v>
      </c>
      <c r="H1528" t="s">
        <v>7936</v>
      </c>
      <c r="I1528" t="s">
        <v>7935</v>
      </c>
      <c r="J1528" t="s">
        <v>10093</v>
      </c>
      <c r="K1528" t="s">
        <v>10094</v>
      </c>
      <c r="L1528" t="s">
        <v>50</v>
      </c>
      <c r="M1528" s="2">
        <v>149849.63</v>
      </c>
      <c r="N1528" t="s">
        <v>11526</v>
      </c>
      <c r="O1528" t="s">
        <v>52</v>
      </c>
      <c r="P1528" t="str">
        <f>CONCATENATE("'",Tabla1[[#This Row],[Codigo]],"',")</f>
        <v>'02484',</v>
      </c>
    </row>
    <row r="1529" spans="1:16" x14ac:dyDescent="0.25">
      <c r="A1529" t="s">
        <v>11529</v>
      </c>
      <c r="B1529" t="s">
        <v>11530</v>
      </c>
      <c r="C1529" t="s">
        <v>11530</v>
      </c>
      <c r="D1529" t="s">
        <v>297</v>
      </c>
      <c r="E1529" t="s">
        <v>167</v>
      </c>
      <c r="F1529" t="s">
        <v>11523</v>
      </c>
      <c r="G1529" t="s">
        <v>10141</v>
      </c>
      <c r="H1529" t="s">
        <v>7936</v>
      </c>
      <c r="I1529" t="s">
        <v>7935</v>
      </c>
      <c r="J1529" t="s">
        <v>10093</v>
      </c>
      <c r="K1529" t="s">
        <v>10094</v>
      </c>
      <c r="L1529" t="s">
        <v>50</v>
      </c>
      <c r="M1529" s="2">
        <v>97222.84</v>
      </c>
      <c r="N1529" t="s">
        <v>11531</v>
      </c>
      <c r="O1529" t="s">
        <v>52</v>
      </c>
      <c r="P1529" t="str">
        <f>CONCATENATE("'",Tabla1[[#This Row],[Codigo]],"',")</f>
        <v>'02486',</v>
      </c>
    </row>
    <row r="1530" spans="1:16" x14ac:dyDescent="0.25">
      <c r="A1530" t="s">
        <v>11533</v>
      </c>
      <c r="B1530" t="s">
        <v>11534</v>
      </c>
      <c r="C1530" t="s">
        <v>11534</v>
      </c>
      <c r="D1530" t="s">
        <v>621</v>
      </c>
      <c r="E1530" t="s">
        <v>77</v>
      </c>
      <c r="F1530" t="s">
        <v>11535</v>
      </c>
      <c r="G1530" t="s">
        <v>2463</v>
      </c>
      <c r="H1530" t="s">
        <v>2462</v>
      </c>
      <c r="I1530" t="s">
        <v>2463</v>
      </c>
      <c r="J1530" t="s">
        <v>2320</v>
      </c>
      <c r="K1530" t="s">
        <v>2321</v>
      </c>
      <c r="L1530" t="s">
        <v>50</v>
      </c>
      <c r="M1530" s="2">
        <v>109085</v>
      </c>
      <c r="N1530" t="s">
        <v>64</v>
      </c>
      <c r="P1530" t="str">
        <f>CONCATENATE("'",Tabla1[[#This Row],[Codigo]],"',")</f>
        <v>'02488',</v>
      </c>
    </row>
    <row r="1531" spans="1:16" x14ac:dyDescent="0.25">
      <c r="A1531" t="s">
        <v>11546</v>
      </c>
      <c r="B1531" t="s">
        <v>11547</v>
      </c>
      <c r="C1531" t="s">
        <v>11547</v>
      </c>
      <c r="D1531" t="s">
        <v>847</v>
      </c>
      <c r="E1531" t="s">
        <v>848</v>
      </c>
      <c r="F1531" t="s">
        <v>11548</v>
      </c>
      <c r="G1531" t="s">
        <v>81</v>
      </c>
      <c r="H1531" t="s">
        <v>80</v>
      </c>
      <c r="I1531" t="s">
        <v>81</v>
      </c>
      <c r="J1531" t="s">
        <v>557</v>
      </c>
      <c r="K1531" t="s">
        <v>558</v>
      </c>
      <c r="L1531" t="s">
        <v>50</v>
      </c>
      <c r="M1531" s="2">
        <v>145021.93</v>
      </c>
      <c r="N1531" t="s">
        <v>11551</v>
      </c>
      <c r="O1531" t="s">
        <v>52</v>
      </c>
      <c r="P1531" t="str">
        <f>CONCATENATE("'",Tabla1[[#This Row],[Codigo]],"',")</f>
        <v>'02492',</v>
      </c>
    </row>
    <row r="1532" spans="1:16" x14ac:dyDescent="0.25">
      <c r="A1532" t="s">
        <v>11552</v>
      </c>
      <c r="B1532" t="s">
        <v>11553</v>
      </c>
      <c r="C1532" t="s">
        <v>11553</v>
      </c>
      <c r="D1532" t="s">
        <v>166</v>
      </c>
      <c r="E1532" t="s">
        <v>167</v>
      </c>
      <c r="F1532" t="s">
        <v>10884</v>
      </c>
      <c r="G1532" t="s">
        <v>79</v>
      </c>
      <c r="H1532" t="s">
        <v>495</v>
      </c>
      <c r="I1532" t="s">
        <v>79</v>
      </c>
      <c r="J1532" t="s">
        <v>3487</v>
      </c>
      <c r="K1532" t="s">
        <v>3488</v>
      </c>
      <c r="L1532" t="s">
        <v>50</v>
      </c>
      <c r="M1532" s="2">
        <v>201261.23</v>
      </c>
      <c r="N1532" t="s">
        <v>11556</v>
      </c>
      <c r="O1532" t="s">
        <v>52</v>
      </c>
      <c r="P1532" t="str">
        <f>CONCATENATE("'",Tabla1[[#This Row],[Codigo]],"',")</f>
        <v>'02493',</v>
      </c>
    </row>
    <row r="1533" spans="1:16" x14ac:dyDescent="0.25">
      <c r="A1533" t="s">
        <v>11557</v>
      </c>
      <c r="B1533" t="s">
        <v>11558</v>
      </c>
      <c r="C1533" t="s">
        <v>11558</v>
      </c>
      <c r="D1533" t="s">
        <v>299</v>
      </c>
      <c r="E1533" t="s">
        <v>167</v>
      </c>
      <c r="F1533" t="s">
        <v>10884</v>
      </c>
      <c r="G1533" t="s">
        <v>79</v>
      </c>
      <c r="H1533" t="s">
        <v>495</v>
      </c>
      <c r="I1533" t="s">
        <v>79</v>
      </c>
      <c r="J1533" t="s">
        <v>3487</v>
      </c>
      <c r="K1533" t="s">
        <v>3488</v>
      </c>
      <c r="L1533" t="s">
        <v>50</v>
      </c>
      <c r="M1533" s="2">
        <v>-3046.73</v>
      </c>
      <c r="N1533" t="s">
        <v>11559</v>
      </c>
      <c r="O1533" t="s">
        <v>52</v>
      </c>
      <c r="P1533" t="str">
        <f>CONCATENATE("'",Tabla1[[#This Row],[Codigo]],"',")</f>
        <v>'02494',</v>
      </c>
    </row>
    <row r="1534" spans="1:16" x14ac:dyDescent="0.25">
      <c r="A1534" t="s">
        <v>11560</v>
      </c>
      <c r="B1534" t="s">
        <v>11561</v>
      </c>
      <c r="C1534" t="s">
        <v>11561</v>
      </c>
      <c r="D1534" t="s">
        <v>178</v>
      </c>
      <c r="E1534" t="s">
        <v>179</v>
      </c>
      <c r="F1534" t="s">
        <v>10884</v>
      </c>
      <c r="G1534" t="s">
        <v>79</v>
      </c>
      <c r="H1534" t="s">
        <v>495</v>
      </c>
      <c r="I1534" t="s">
        <v>79</v>
      </c>
      <c r="J1534" t="s">
        <v>3487</v>
      </c>
      <c r="K1534" t="s">
        <v>3488</v>
      </c>
      <c r="L1534" t="s">
        <v>50</v>
      </c>
      <c r="M1534" s="2">
        <v>34153.97</v>
      </c>
      <c r="N1534" t="s">
        <v>11562</v>
      </c>
      <c r="O1534" t="s">
        <v>52</v>
      </c>
      <c r="P1534" t="str">
        <f>CONCATENATE("'",Tabla1[[#This Row],[Codigo]],"',")</f>
        <v>'02495',</v>
      </c>
    </row>
    <row r="1535" spans="1:16" x14ac:dyDescent="0.25">
      <c r="A1535" t="s">
        <v>11563</v>
      </c>
      <c r="B1535" t="s">
        <v>11564</v>
      </c>
      <c r="C1535" t="s">
        <v>11564</v>
      </c>
      <c r="D1535" t="s">
        <v>35</v>
      </c>
      <c r="E1535" t="s">
        <v>36</v>
      </c>
      <c r="F1535" t="s">
        <v>11565</v>
      </c>
      <c r="G1535" t="s">
        <v>8401</v>
      </c>
      <c r="H1535" t="s">
        <v>8403</v>
      </c>
      <c r="I1535" t="s">
        <v>8401</v>
      </c>
      <c r="J1535" t="s">
        <v>6987</v>
      </c>
      <c r="K1535" t="s">
        <v>6988</v>
      </c>
      <c r="L1535" t="s">
        <v>50</v>
      </c>
      <c r="M1535" s="2">
        <v>826778.47</v>
      </c>
      <c r="N1535" t="s">
        <v>11568</v>
      </c>
      <c r="O1535" t="s">
        <v>52</v>
      </c>
      <c r="P1535" t="str">
        <f>CONCATENATE("'",Tabla1[[#This Row],[Codigo]],"',")</f>
        <v>'02496',</v>
      </c>
    </row>
    <row r="1536" spans="1:16" x14ac:dyDescent="0.25">
      <c r="A1536" t="s">
        <v>11569</v>
      </c>
      <c r="B1536" t="s">
        <v>11570</v>
      </c>
      <c r="C1536" t="s">
        <v>11570</v>
      </c>
      <c r="D1536" t="s">
        <v>189</v>
      </c>
      <c r="E1536" t="s">
        <v>190</v>
      </c>
      <c r="F1536" t="s">
        <v>11571</v>
      </c>
      <c r="G1536" t="s">
        <v>4851</v>
      </c>
      <c r="H1536" t="s">
        <v>4852</v>
      </c>
      <c r="I1536" t="s">
        <v>4851</v>
      </c>
      <c r="J1536" t="s">
        <v>4853</v>
      </c>
      <c r="K1536" t="s">
        <v>4854</v>
      </c>
      <c r="L1536" t="s">
        <v>50</v>
      </c>
      <c r="M1536" s="2">
        <v>213419.29</v>
      </c>
      <c r="N1536" t="s">
        <v>11574</v>
      </c>
      <c r="O1536" t="s">
        <v>115</v>
      </c>
      <c r="P1536" t="str">
        <f>CONCATENATE("'",Tabla1[[#This Row],[Codigo]],"',")</f>
        <v>'02497',</v>
      </c>
    </row>
    <row r="1537" spans="1:16" x14ac:dyDescent="0.25">
      <c r="A1537" t="s">
        <v>11581</v>
      </c>
      <c r="B1537" t="s">
        <v>11582</v>
      </c>
      <c r="C1537" t="s">
        <v>11582</v>
      </c>
      <c r="D1537" t="s">
        <v>153</v>
      </c>
      <c r="E1537" t="s">
        <v>272</v>
      </c>
      <c r="F1537" t="s">
        <v>2733</v>
      </c>
      <c r="G1537" t="s">
        <v>11583</v>
      </c>
      <c r="H1537" t="s">
        <v>445</v>
      </c>
      <c r="I1537" t="s">
        <v>446</v>
      </c>
      <c r="J1537" t="s">
        <v>69</v>
      </c>
      <c r="K1537" t="s">
        <v>70</v>
      </c>
      <c r="L1537" t="s">
        <v>50</v>
      </c>
      <c r="M1537" s="2">
        <v>96267.89</v>
      </c>
      <c r="N1537" t="s">
        <v>11584</v>
      </c>
      <c r="O1537" t="s">
        <v>115</v>
      </c>
      <c r="P1537" t="str">
        <f>CONCATENATE("'",Tabla1[[#This Row],[Codigo]],"',")</f>
        <v>'02501',</v>
      </c>
    </row>
    <row r="1538" spans="1:16" x14ac:dyDescent="0.25">
      <c r="A1538" t="s">
        <v>11585</v>
      </c>
      <c r="B1538" t="s">
        <v>11586</v>
      </c>
      <c r="C1538" t="s">
        <v>11586</v>
      </c>
      <c r="D1538" t="s">
        <v>297</v>
      </c>
      <c r="E1538" t="s">
        <v>167</v>
      </c>
      <c r="F1538" t="s">
        <v>11587</v>
      </c>
      <c r="G1538" t="s">
        <v>11588</v>
      </c>
      <c r="H1538" t="s">
        <v>11590</v>
      </c>
      <c r="I1538" t="s">
        <v>11588</v>
      </c>
      <c r="J1538" t="s">
        <v>1212</v>
      </c>
      <c r="K1538" t="s">
        <v>1213</v>
      </c>
      <c r="L1538" t="s">
        <v>50</v>
      </c>
      <c r="M1538" s="2">
        <v>43634</v>
      </c>
      <c r="N1538" t="s">
        <v>64</v>
      </c>
      <c r="P1538" t="str">
        <f>CONCATENATE("'",Tabla1[[#This Row],[Codigo]],"',")</f>
        <v>'02502',</v>
      </c>
    </row>
    <row r="1539" spans="1:16" x14ac:dyDescent="0.25">
      <c r="A1539" t="s">
        <v>11592</v>
      </c>
      <c r="B1539" t="s">
        <v>11593</v>
      </c>
      <c r="C1539" t="s">
        <v>11593</v>
      </c>
      <c r="D1539" t="s">
        <v>847</v>
      </c>
      <c r="E1539" t="s">
        <v>848</v>
      </c>
      <c r="F1539" t="s">
        <v>11594</v>
      </c>
      <c r="G1539" t="s">
        <v>1360</v>
      </c>
      <c r="H1539" t="s">
        <v>1362</v>
      </c>
      <c r="I1539" t="s">
        <v>1360</v>
      </c>
      <c r="J1539" t="s">
        <v>1421</v>
      </c>
      <c r="K1539" t="s">
        <v>1422</v>
      </c>
      <c r="L1539" t="s">
        <v>50</v>
      </c>
      <c r="M1539" s="2">
        <v>36459.96</v>
      </c>
      <c r="N1539" t="s">
        <v>11597</v>
      </c>
      <c r="O1539" t="s">
        <v>52</v>
      </c>
      <c r="P1539" t="str">
        <f>CONCATENATE("'",Tabla1[[#This Row],[Codigo]],"',")</f>
        <v>'02503',</v>
      </c>
    </row>
    <row r="1540" spans="1:16" x14ac:dyDescent="0.25">
      <c r="A1540" t="s">
        <v>11598</v>
      </c>
      <c r="B1540" t="s">
        <v>11599</v>
      </c>
      <c r="C1540" t="s">
        <v>11599</v>
      </c>
      <c r="D1540" t="s">
        <v>153</v>
      </c>
      <c r="E1540" t="s">
        <v>272</v>
      </c>
      <c r="F1540" t="s">
        <v>11600</v>
      </c>
      <c r="G1540" t="s">
        <v>2396</v>
      </c>
      <c r="H1540" t="s">
        <v>6985</v>
      </c>
      <c r="I1540" t="s">
        <v>6986</v>
      </c>
      <c r="J1540" t="s">
        <v>2320</v>
      </c>
      <c r="K1540" t="s">
        <v>2321</v>
      </c>
      <c r="L1540" t="s">
        <v>50</v>
      </c>
      <c r="M1540" s="2">
        <v>275849.46999999997</v>
      </c>
      <c r="N1540" t="s">
        <v>11602</v>
      </c>
      <c r="O1540" t="s">
        <v>115</v>
      </c>
      <c r="P1540" t="str">
        <f>CONCATENATE("'",Tabla1[[#This Row],[Codigo]],"',")</f>
        <v>'02504',</v>
      </c>
    </row>
    <row r="1541" spans="1:16" x14ac:dyDescent="0.25">
      <c r="A1541" t="s">
        <v>11603</v>
      </c>
      <c r="B1541" t="s">
        <v>11604</v>
      </c>
      <c r="C1541" t="s">
        <v>11604</v>
      </c>
      <c r="D1541" t="s">
        <v>125</v>
      </c>
      <c r="E1541" t="s">
        <v>126</v>
      </c>
      <c r="F1541" t="s">
        <v>11605</v>
      </c>
      <c r="G1541" t="s">
        <v>11606</v>
      </c>
      <c r="H1541" t="s">
        <v>9187</v>
      </c>
      <c r="I1541" t="s">
        <v>9188</v>
      </c>
      <c r="J1541" t="s">
        <v>4315</v>
      </c>
      <c r="K1541" t="s">
        <v>4316</v>
      </c>
      <c r="L1541" t="s">
        <v>50</v>
      </c>
      <c r="M1541" s="2">
        <v>112413.65</v>
      </c>
      <c r="N1541" t="s">
        <v>11609</v>
      </c>
      <c r="O1541" t="s">
        <v>115</v>
      </c>
      <c r="P1541" t="str">
        <f>CONCATENATE("'",Tabla1[[#This Row],[Codigo]],"',")</f>
        <v>'02505',</v>
      </c>
    </row>
    <row r="1542" spans="1:16" x14ac:dyDescent="0.25">
      <c r="A1542" t="s">
        <v>11610</v>
      </c>
      <c r="B1542" t="s">
        <v>11611</v>
      </c>
      <c r="C1542" t="s">
        <v>11611</v>
      </c>
      <c r="D1542" t="s">
        <v>847</v>
      </c>
      <c r="E1542" t="s">
        <v>848</v>
      </c>
      <c r="F1542" t="s">
        <v>11612</v>
      </c>
      <c r="G1542" t="s">
        <v>41</v>
      </c>
      <c r="H1542" t="s">
        <v>40</v>
      </c>
      <c r="I1542" t="s">
        <v>41</v>
      </c>
      <c r="J1542" t="s">
        <v>42</v>
      </c>
      <c r="K1542" t="s">
        <v>43</v>
      </c>
      <c r="L1542" t="s">
        <v>50</v>
      </c>
      <c r="M1542" s="2">
        <v>10909</v>
      </c>
      <c r="N1542" t="s">
        <v>64</v>
      </c>
      <c r="P1542" t="str">
        <f>CONCATENATE("'",Tabla1[[#This Row],[Codigo]],"',")</f>
        <v>'02506',</v>
      </c>
    </row>
    <row r="1543" spans="1:16" x14ac:dyDescent="0.25">
      <c r="A1543" t="s">
        <v>11615</v>
      </c>
      <c r="B1543" t="s">
        <v>11616</v>
      </c>
      <c r="C1543" t="s">
        <v>11616</v>
      </c>
      <c r="D1543" t="s">
        <v>125</v>
      </c>
      <c r="E1543" t="s">
        <v>126</v>
      </c>
      <c r="F1543" t="s">
        <v>11617</v>
      </c>
      <c r="G1543" t="s">
        <v>7263</v>
      </c>
      <c r="H1543" t="s">
        <v>2571</v>
      </c>
      <c r="I1543" t="s">
        <v>2572</v>
      </c>
      <c r="J1543" t="s">
        <v>4853</v>
      </c>
      <c r="K1543" t="s">
        <v>4854</v>
      </c>
      <c r="L1543" t="s">
        <v>50</v>
      </c>
      <c r="M1543" s="2">
        <v>1142635.03</v>
      </c>
      <c r="N1543" t="s">
        <v>11620</v>
      </c>
      <c r="O1543" t="s">
        <v>52</v>
      </c>
      <c r="P1543" t="str">
        <f>CONCATENATE("'",Tabla1[[#This Row],[Codigo]],"',")</f>
        <v>'02508',</v>
      </c>
    </row>
    <row r="1544" spans="1:16" x14ac:dyDescent="0.25">
      <c r="A1544" t="s">
        <v>11621</v>
      </c>
      <c r="B1544" t="s">
        <v>11622</v>
      </c>
      <c r="C1544" t="s">
        <v>11622</v>
      </c>
      <c r="D1544" t="s">
        <v>35</v>
      </c>
      <c r="E1544" t="s">
        <v>36</v>
      </c>
      <c r="F1544" t="s">
        <v>11623</v>
      </c>
      <c r="G1544" t="s">
        <v>8101</v>
      </c>
      <c r="H1544" t="s">
        <v>8100</v>
      </c>
      <c r="I1544" t="s">
        <v>8101</v>
      </c>
      <c r="J1544" t="s">
        <v>4853</v>
      </c>
      <c r="K1544" t="s">
        <v>4854</v>
      </c>
      <c r="L1544" t="s">
        <v>50</v>
      </c>
      <c r="M1544" s="2">
        <v>455659.35</v>
      </c>
      <c r="N1544" t="s">
        <v>11625</v>
      </c>
      <c r="O1544" t="s">
        <v>52</v>
      </c>
      <c r="P1544" t="str">
        <f>CONCATENATE("'",Tabla1[[#This Row],[Codigo]],"',")</f>
        <v>'02509',</v>
      </c>
    </row>
    <row r="1545" spans="1:16" x14ac:dyDescent="0.25">
      <c r="A1545" t="s">
        <v>11626</v>
      </c>
      <c r="B1545" t="s">
        <v>11627</v>
      </c>
      <c r="C1545" t="s">
        <v>11627</v>
      </c>
      <c r="D1545" t="s">
        <v>125</v>
      </c>
      <c r="E1545" t="s">
        <v>126</v>
      </c>
      <c r="F1545" t="s">
        <v>11628</v>
      </c>
      <c r="G1545" t="s">
        <v>11629</v>
      </c>
      <c r="H1545" t="s">
        <v>11323</v>
      </c>
      <c r="I1545" t="s">
        <v>11324</v>
      </c>
      <c r="J1545" t="s">
        <v>10093</v>
      </c>
      <c r="K1545" t="s">
        <v>10094</v>
      </c>
      <c r="L1545" t="s">
        <v>50</v>
      </c>
      <c r="M1545" s="2">
        <v>43151.81</v>
      </c>
      <c r="N1545" t="s">
        <v>11632</v>
      </c>
      <c r="O1545" t="s">
        <v>52</v>
      </c>
      <c r="P1545" t="str">
        <f>CONCATENATE("'",Tabla1[[#This Row],[Codigo]],"',")</f>
        <v>'02510',</v>
      </c>
    </row>
    <row r="1546" spans="1:16" x14ac:dyDescent="0.25">
      <c r="A1546" t="s">
        <v>11633</v>
      </c>
      <c r="B1546" t="s">
        <v>11634</v>
      </c>
      <c r="C1546" t="s">
        <v>11634</v>
      </c>
      <c r="D1546" t="s">
        <v>297</v>
      </c>
      <c r="E1546" t="s">
        <v>167</v>
      </c>
      <c r="F1546" t="s">
        <v>11635</v>
      </c>
      <c r="G1546" t="s">
        <v>443</v>
      </c>
      <c r="H1546" t="s">
        <v>445</v>
      </c>
      <c r="I1546" t="s">
        <v>446</v>
      </c>
      <c r="J1546" t="s">
        <v>69</v>
      </c>
      <c r="K1546" t="s">
        <v>70</v>
      </c>
      <c r="L1546" t="s">
        <v>50</v>
      </c>
      <c r="M1546" s="2">
        <v>94081.66</v>
      </c>
      <c r="N1546" t="s">
        <v>11638</v>
      </c>
      <c r="O1546" t="s">
        <v>115</v>
      </c>
      <c r="P1546" t="str">
        <f>CONCATENATE("'",Tabla1[[#This Row],[Codigo]],"',")</f>
        <v>'02511',</v>
      </c>
    </row>
    <row r="1547" spans="1:16" x14ac:dyDescent="0.25">
      <c r="A1547" t="s">
        <v>11644</v>
      </c>
      <c r="B1547" t="s">
        <v>11645</v>
      </c>
      <c r="C1547" t="s">
        <v>11645</v>
      </c>
      <c r="D1547" t="s">
        <v>169</v>
      </c>
      <c r="E1547" t="s">
        <v>190</v>
      </c>
      <c r="F1547" t="s">
        <v>11646</v>
      </c>
      <c r="G1547" t="s">
        <v>1335</v>
      </c>
      <c r="H1547" t="s">
        <v>254</v>
      </c>
      <c r="I1547" t="s">
        <v>255</v>
      </c>
      <c r="J1547" t="s">
        <v>2320</v>
      </c>
      <c r="K1547" t="s">
        <v>2321</v>
      </c>
      <c r="L1547" t="s">
        <v>50</v>
      </c>
      <c r="M1547" s="2">
        <v>575075.06000000006</v>
      </c>
      <c r="N1547" t="s">
        <v>11648</v>
      </c>
      <c r="O1547" t="s">
        <v>52</v>
      </c>
      <c r="P1547" t="str">
        <f>CONCATENATE("'",Tabla1[[#This Row],[Codigo]],"',")</f>
        <v>'02513',</v>
      </c>
    </row>
    <row r="1548" spans="1:16" x14ac:dyDescent="0.25">
      <c r="A1548" t="s">
        <v>11649</v>
      </c>
      <c r="B1548" t="s">
        <v>11650</v>
      </c>
      <c r="C1548" t="s">
        <v>11650</v>
      </c>
      <c r="D1548" t="s">
        <v>125</v>
      </c>
      <c r="E1548" t="s">
        <v>126</v>
      </c>
      <c r="F1548" t="s">
        <v>11651</v>
      </c>
      <c r="G1548" t="s">
        <v>11652</v>
      </c>
      <c r="H1548" t="s">
        <v>11654</v>
      </c>
      <c r="I1548" t="s">
        <v>11652</v>
      </c>
      <c r="J1548" t="s">
        <v>4315</v>
      </c>
      <c r="K1548" t="s">
        <v>4316</v>
      </c>
      <c r="L1548" t="s">
        <v>50</v>
      </c>
      <c r="M1548" s="2">
        <v>216584.77</v>
      </c>
      <c r="N1548" t="s">
        <v>11656</v>
      </c>
      <c r="O1548" t="s">
        <v>52</v>
      </c>
      <c r="P1548" t="str">
        <f>CONCATENATE("'",Tabla1[[#This Row],[Codigo]],"',")</f>
        <v>'02514',</v>
      </c>
    </row>
    <row r="1549" spans="1:16" x14ac:dyDescent="0.25">
      <c r="A1549" t="s">
        <v>11657</v>
      </c>
      <c r="B1549" t="s">
        <v>11658</v>
      </c>
      <c r="C1549" t="s">
        <v>11658</v>
      </c>
      <c r="D1549" t="s">
        <v>333</v>
      </c>
      <c r="E1549" t="s">
        <v>134</v>
      </c>
      <c r="F1549" t="s">
        <v>11659</v>
      </c>
      <c r="G1549" t="s">
        <v>11660</v>
      </c>
      <c r="H1549" t="s">
        <v>7837</v>
      </c>
      <c r="I1549" t="s">
        <v>7838</v>
      </c>
      <c r="J1549" t="s">
        <v>3487</v>
      </c>
      <c r="K1549" t="s">
        <v>3488</v>
      </c>
      <c r="L1549" t="s">
        <v>50</v>
      </c>
      <c r="M1549" s="2">
        <v>174536</v>
      </c>
      <c r="N1549" t="s">
        <v>64</v>
      </c>
      <c r="P1549" t="str">
        <f>CONCATENATE("'",Tabla1[[#This Row],[Codigo]],"',")</f>
        <v>'02515',</v>
      </c>
    </row>
    <row r="1550" spans="1:16" x14ac:dyDescent="0.25">
      <c r="A1550" t="s">
        <v>11663</v>
      </c>
      <c r="B1550" t="s">
        <v>11664</v>
      </c>
      <c r="C1550" t="s">
        <v>11664</v>
      </c>
      <c r="D1550" t="s">
        <v>125</v>
      </c>
      <c r="E1550" t="s">
        <v>126</v>
      </c>
      <c r="F1550" t="s">
        <v>11665</v>
      </c>
      <c r="G1550" t="s">
        <v>638</v>
      </c>
      <c r="H1550" t="s">
        <v>640</v>
      </c>
      <c r="I1550" t="s">
        <v>641</v>
      </c>
      <c r="J1550" t="s">
        <v>91</v>
      </c>
      <c r="K1550" t="s">
        <v>92</v>
      </c>
      <c r="L1550" t="s">
        <v>50</v>
      </c>
      <c r="M1550" s="2">
        <v>274717.57</v>
      </c>
      <c r="N1550" t="s">
        <v>11667</v>
      </c>
      <c r="O1550" t="s">
        <v>115</v>
      </c>
      <c r="P1550" t="str">
        <f>CONCATENATE("'",Tabla1[[#This Row],[Codigo]],"',")</f>
        <v>'02516',</v>
      </c>
    </row>
    <row r="1551" spans="1:16" x14ac:dyDescent="0.25">
      <c r="A1551" t="s">
        <v>11673</v>
      </c>
      <c r="B1551" t="s">
        <v>11674</v>
      </c>
      <c r="C1551" t="s">
        <v>11674</v>
      </c>
      <c r="D1551" t="s">
        <v>9774</v>
      </c>
      <c r="E1551" t="s">
        <v>134</v>
      </c>
      <c r="F1551" t="s">
        <v>11675</v>
      </c>
      <c r="G1551" t="s">
        <v>11676</v>
      </c>
      <c r="H1551" t="s">
        <v>1524</v>
      </c>
      <c r="I1551" t="s">
        <v>1525</v>
      </c>
      <c r="J1551" t="s">
        <v>120</v>
      </c>
      <c r="K1551" t="s">
        <v>121</v>
      </c>
      <c r="L1551" t="s">
        <v>50</v>
      </c>
      <c r="M1551" s="2">
        <v>87268</v>
      </c>
      <c r="N1551" t="s">
        <v>64</v>
      </c>
      <c r="P1551" t="str">
        <f>CONCATENATE("'",Tabla1[[#This Row],[Codigo]],"',")</f>
        <v>'02518',</v>
      </c>
    </row>
    <row r="1552" spans="1:16" x14ac:dyDescent="0.25">
      <c r="A1552" t="s">
        <v>11679</v>
      </c>
      <c r="B1552" t="s">
        <v>11680</v>
      </c>
      <c r="C1552" t="s">
        <v>11680</v>
      </c>
      <c r="D1552" t="s">
        <v>344</v>
      </c>
      <c r="E1552" t="s">
        <v>167</v>
      </c>
      <c r="F1552" t="s">
        <v>11681</v>
      </c>
      <c r="G1552" t="s">
        <v>7263</v>
      </c>
      <c r="H1552" t="s">
        <v>2571</v>
      </c>
      <c r="I1552" t="s">
        <v>2572</v>
      </c>
      <c r="J1552" t="s">
        <v>6987</v>
      </c>
      <c r="K1552" t="s">
        <v>6988</v>
      </c>
      <c r="L1552" t="s">
        <v>50</v>
      </c>
      <c r="M1552" s="2">
        <v>286618.02</v>
      </c>
      <c r="N1552" t="s">
        <v>11684</v>
      </c>
      <c r="O1552" t="s">
        <v>115</v>
      </c>
      <c r="P1552" t="str">
        <f>CONCATENATE("'",Tabla1[[#This Row],[Codigo]],"',")</f>
        <v>'02519',</v>
      </c>
    </row>
    <row r="1553" spans="1:16" x14ac:dyDescent="0.25">
      <c r="A1553" t="s">
        <v>11685</v>
      </c>
      <c r="B1553" t="s">
        <v>11686</v>
      </c>
      <c r="C1553" t="s">
        <v>11686</v>
      </c>
      <c r="D1553" t="s">
        <v>344</v>
      </c>
      <c r="E1553" t="s">
        <v>167</v>
      </c>
      <c r="F1553" t="s">
        <v>11687</v>
      </c>
      <c r="G1553" t="s">
        <v>7263</v>
      </c>
      <c r="H1553" t="s">
        <v>2571</v>
      </c>
      <c r="I1553" t="s">
        <v>2572</v>
      </c>
      <c r="J1553" t="s">
        <v>6987</v>
      </c>
      <c r="K1553" t="s">
        <v>6988</v>
      </c>
      <c r="L1553" t="s">
        <v>50</v>
      </c>
      <c r="M1553" s="2">
        <v>838223.12</v>
      </c>
      <c r="N1553" t="s">
        <v>11690</v>
      </c>
      <c r="O1553" t="s">
        <v>115</v>
      </c>
      <c r="P1553" t="str">
        <f>CONCATENATE("'",Tabla1[[#This Row],[Codigo]],"',")</f>
        <v>'02520',</v>
      </c>
    </row>
    <row r="1554" spans="1:16" x14ac:dyDescent="0.25">
      <c r="A1554" t="s">
        <v>11691</v>
      </c>
      <c r="B1554" t="s">
        <v>11692</v>
      </c>
      <c r="C1554" t="s">
        <v>11692</v>
      </c>
      <c r="D1554" t="s">
        <v>344</v>
      </c>
      <c r="E1554" t="s">
        <v>167</v>
      </c>
      <c r="F1554" t="s">
        <v>11693</v>
      </c>
      <c r="G1554" t="s">
        <v>11694</v>
      </c>
      <c r="H1554" t="s">
        <v>2571</v>
      </c>
      <c r="I1554" t="s">
        <v>2572</v>
      </c>
      <c r="J1554" t="s">
        <v>6987</v>
      </c>
      <c r="K1554" t="s">
        <v>6988</v>
      </c>
      <c r="L1554" t="s">
        <v>50</v>
      </c>
      <c r="M1554" s="2">
        <v>229207.53</v>
      </c>
      <c r="N1554" t="s">
        <v>11696</v>
      </c>
      <c r="O1554" t="s">
        <v>115</v>
      </c>
      <c r="P1554" t="str">
        <f>CONCATENATE("'",Tabla1[[#This Row],[Codigo]],"',")</f>
        <v>'02521',</v>
      </c>
    </row>
    <row r="1555" spans="1:16" x14ac:dyDescent="0.25">
      <c r="A1555" t="s">
        <v>11697</v>
      </c>
      <c r="B1555" t="s">
        <v>11698</v>
      </c>
      <c r="C1555" t="s">
        <v>11698</v>
      </c>
      <c r="D1555" t="s">
        <v>344</v>
      </c>
      <c r="E1555" t="s">
        <v>167</v>
      </c>
      <c r="F1555" t="s">
        <v>11699</v>
      </c>
      <c r="G1555" t="s">
        <v>7263</v>
      </c>
      <c r="H1555" t="s">
        <v>2571</v>
      </c>
      <c r="I1555" t="s">
        <v>2572</v>
      </c>
      <c r="J1555" t="s">
        <v>6987</v>
      </c>
      <c r="K1555" t="s">
        <v>6988</v>
      </c>
      <c r="L1555" t="s">
        <v>50</v>
      </c>
      <c r="M1555" s="2">
        <v>610875.51</v>
      </c>
      <c r="N1555" t="s">
        <v>11701</v>
      </c>
      <c r="P1555" t="str">
        <f>CONCATENATE("'",Tabla1[[#This Row],[Codigo]],"',")</f>
        <v>'02522',</v>
      </c>
    </row>
    <row r="1556" spans="1:16" x14ac:dyDescent="0.25">
      <c r="A1556" t="s">
        <v>11703</v>
      </c>
      <c r="B1556" t="s">
        <v>11704</v>
      </c>
      <c r="C1556" t="s">
        <v>11704</v>
      </c>
      <c r="D1556" t="s">
        <v>125</v>
      </c>
      <c r="E1556" t="s">
        <v>126</v>
      </c>
      <c r="F1556" t="s">
        <v>11705</v>
      </c>
      <c r="G1556" t="s">
        <v>9937</v>
      </c>
      <c r="H1556" t="s">
        <v>1362</v>
      </c>
      <c r="I1556" t="s">
        <v>1360</v>
      </c>
      <c r="J1556" t="s">
        <v>2320</v>
      </c>
      <c r="K1556" t="s">
        <v>2321</v>
      </c>
      <c r="L1556" t="s">
        <v>50</v>
      </c>
      <c r="M1556" s="2">
        <v>102267.61</v>
      </c>
      <c r="N1556" t="s">
        <v>11707</v>
      </c>
      <c r="O1556" t="s">
        <v>52</v>
      </c>
      <c r="P1556" t="str">
        <f>CONCATENATE("'",Tabla1[[#This Row],[Codigo]],"',")</f>
        <v>'02524',</v>
      </c>
    </row>
    <row r="1557" spans="1:16" x14ac:dyDescent="0.25">
      <c r="A1557" t="s">
        <v>11708</v>
      </c>
      <c r="B1557" t="s">
        <v>11709</v>
      </c>
      <c r="C1557" t="s">
        <v>11709</v>
      </c>
      <c r="D1557" t="s">
        <v>11710</v>
      </c>
      <c r="E1557" t="s">
        <v>224</v>
      </c>
      <c r="F1557" t="s">
        <v>11711</v>
      </c>
      <c r="G1557" t="s">
        <v>6519</v>
      </c>
      <c r="H1557" t="s">
        <v>5201</v>
      </c>
      <c r="I1557" t="s">
        <v>5202</v>
      </c>
      <c r="J1557" t="s">
        <v>4853</v>
      </c>
      <c r="K1557" t="s">
        <v>4854</v>
      </c>
      <c r="L1557" t="s">
        <v>50</v>
      </c>
      <c r="M1557" s="2">
        <v>1047411.76</v>
      </c>
      <c r="N1557" t="s">
        <v>11713</v>
      </c>
      <c r="P1557" t="str">
        <f>CONCATENATE("'",Tabla1[[#This Row],[Codigo]],"',")</f>
        <v>'02525',</v>
      </c>
    </row>
    <row r="1558" spans="1:16" x14ac:dyDescent="0.25">
      <c r="A1558" t="s">
        <v>11714</v>
      </c>
      <c r="B1558" t="s">
        <v>11715</v>
      </c>
      <c r="C1558" t="s">
        <v>11715</v>
      </c>
      <c r="D1558" t="s">
        <v>153</v>
      </c>
      <c r="E1558" t="s">
        <v>272</v>
      </c>
      <c r="F1558" t="s">
        <v>11716</v>
      </c>
      <c r="G1558" t="s">
        <v>6027</v>
      </c>
      <c r="H1558" t="s">
        <v>6029</v>
      </c>
      <c r="I1558" t="s">
        <v>6030</v>
      </c>
      <c r="J1558" t="s">
        <v>82</v>
      </c>
      <c r="K1558" t="s">
        <v>83</v>
      </c>
      <c r="L1558" t="s">
        <v>50</v>
      </c>
      <c r="M1558" s="2">
        <v>713805.65</v>
      </c>
      <c r="N1558" t="s">
        <v>11719</v>
      </c>
      <c r="P1558" t="str">
        <f>CONCATENATE("'",Tabla1[[#This Row],[Codigo]],"',")</f>
        <v>'02526',</v>
      </c>
    </row>
    <row r="1559" spans="1:16" x14ac:dyDescent="0.25">
      <c r="A1559" t="s">
        <v>11720</v>
      </c>
      <c r="B1559" t="s">
        <v>11721</v>
      </c>
      <c r="C1559" t="s">
        <v>11721</v>
      </c>
      <c r="D1559" t="s">
        <v>297</v>
      </c>
      <c r="E1559" t="s">
        <v>167</v>
      </c>
      <c r="F1559" t="s">
        <v>11722</v>
      </c>
      <c r="G1559" t="s">
        <v>11723</v>
      </c>
      <c r="H1559" t="s">
        <v>585</v>
      </c>
      <c r="I1559" t="s">
        <v>584</v>
      </c>
      <c r="J1559" t="s">
        <v>4315</v>
      </c>
      <c r="K1559" t="s">
        <v>4316</v>
      </c>
      <c r="L1559" t="s">
        <v>50</v>
      </c>
      <c r="M1559" s="2">
        <v>326953.21999999997</v>
      </c>
      <c r="N1559" t="s">
        <v>11726</v>
      </c>
      <c r="P1559" t="str">
        <f>CONCATENATE("'",Tabla1[[#This Row],[Codigo]],"',")</f>
        <v>'02527',</v>
      </c>
    </row>
    <row r="1560" spans="1:16" x14ac:dyDescent="0.25">
      <c r="A1560" t="s">
        <v>11727</v>
      </c>
      <c r="B1560" t="s">
        <v>11728</v>
      </c>
      <c r="C1560" t="s">
        <v>11728</v>
      </c>
      <c r="D1560" t="s">
        <v>847</v>
      </c>
      <c r="E1560" t="s">
        <v>848</v>
      </c>
      <c r="F1560" t="s">
        <v>11729</v>
      </c>
      <c r="G1560" t="s">
        <v>2647</v>
      </c>
      <c r="H1560" t="s">
        <v>1362</v>
      </c>
      <c r="I1560" t="s">
        <v>1360</v>
      </c>
      <c r="J1560" t="s">
        <v>1212</v>
      </c>
      <c r="K1560" t="s">
        <v>1213</v>
      </c>
      <c r="L1560" t="s">
        <v>50</v>
      </c>
      <c r="M1560" s="2">
        <v>9825.2199999999993</v>
      </c>
      <c r="N1560" t="s">
        <v>11732</v>
      </c>
      <c r="O1560" t="s">
        <v>52</v>
      </c>
      <c r="P1560" t="str">
        <f>CONCATENATE("'",Tabla1[[#This Row],[Codigo]],"',")</f>
        <v>'02528',</v>
      </c>
    </row>
    <row r="1561" spans="1:16" x14ac:dyDescent="0.25">
      <c r="A1561" t="s">
        <v>11733</v>
      </c>
      <c r="B1561" t="s">
        <v>11734</v>
      </c>
      <c r="C1561" t="s">
        <v>11734</v>
      </c>
      <c r="D1561" t="s">
        <v>344</v>
      </c>
      <c r="E1561" t="s">
        <v>167</v>
      </c>
      <c r="F1561" t="s">
        <v>11735</v>
      </c>
      <c r="G1561" t="s">
        <v>11736</v>
      </c>
      <c r="H1561" t="s">
        <v>5741</v>
      </c>
      <c r="I1561" t="s">
        <v>5739</v>
      </c>
      <c r="J1561" t="s">
        <v>6987</v>
      </c>
      <c r="K1561" t="s">
        <v>6988</v>
      </c>
      <c r="L1561" t="s">
        <v>50</v>
      </c>
      <c r="M1561" s="2">
        <v>436340</v>
      </c>
      <c r="N1561" t="s">
        <v>64</v>
      </c>
      <c r="P1561" t="str">
        <f>CONCATENATE("'",Tabla1[[#This Row],[Codigo]],"',")</f>
        <v>'02529',</v>
      </c>
    </row>
    <row r="1562" spans="1:16" x14ac:dyDescent="0.25">
      <c r="A1562" t="s">
        <v>11739</v>
      </c>
      <c r="B1562" t="s">
        <v>11740</v>
      </c>
      <c r="C1562" t="s">
        <v>11740</v>
      </c>
      <c r="D1562" t="s">
        <v>344</v>
      </c>
      <c r="E1562" t="s">
        <v>167</v>
      </c>
      <c r="F1562" t="s">
        <v>11741</v>
      </c>
      <c r="G1562" t="s">
        <v>7263</v>
      </c>
      <c r="H1562" t="s">
        <v>2571</v>
      </c>
      <c r="I1562" t="s">
        <v>2572</v>
      </c>
      <c r="J1562" t="s">
        <v>6987</v>
      </c>
      <c r="K1562" t="s">
        <v>6988</v>
      </c>
      <c r="L1562" t="s">
        <v>50</v>
      </c>
      <c r="M1562" s="2">
        <v>436340</v>
      </c>
      <c r="N1562" t="s">
        <v>64</v>
      </c>
      <c r="P1562" t="str">
        <f>CONCATENATE("'",Tabla1[[#This Row],[Codigo]],"',")</f>
        <v>'02530',</v>
      </c>
    </row>
    <row r="1563" spans="1:16" x14ac:dyDescent="0.25">
      <c r="A1563" t="s">
        <v>11748</v>
      </c>
      <c r="B1563" t="s">
        <v>11749</v>
      </c>
      <c r="C1563" t="s">
        <v>11749</v>
      </c>
      <c r="D1563" t="s">
        <v>125</v>
      </c>
      <c r="E1563" t="s">
        <v>126</v>
      </c>
      <c r="F1563" t="s">
        <v>11750</v>
      </c>
      <c r="G1563" t="s">
        <v>10105</v>
      </c>
      <c r="H1563" t="s">
        <v>10106</v>
      </c>
      <c r="I1563" t="s">
        <v>10105</v>
      </c>
      <c r="J1563" t="s">
        <v>10093</v>
      </c>
      <c r="K1563" t="s">
        <v>10094</v>
      </c>
      <c r="L1563" t="s">
        <v>50</v>
      </c>
      <c r="M1563" s="2">
        <v>40426.720000000001</v>
      </c>
      <c r="N1563" t="s">
        <v>11753</v>
      </c>
      <c r="O1563" t="s">
        <v>52</v>
      </c>
      <c r="P1563" t="str">
        <f>CONCATENATE("'",Tabla1[[#This Row],[Codigo]],"',")</f>
        <v>'02532',</v>
      </c>
    </row>
    <row r="1564" spans="1:16" x14ac:dyDescent="0.25">
      <c r="A1564" t="s">
        <v>11754</v>
      </c>
      <c r="B1564" t="s">
        <v>11755</v>
      </c>
      <c r="C1564" t="s">
        <v>11755</v>
      </c>
      <c r="D1564" t="s">
        <v>847</v>
      </c>
      <c r="E1564" t="s">
        <v>848</v>
      </c>
      <c r="F1564" t="s">
        <v>11756</v>
      </c>
      <c r="G1564" t="s">
        <v>41</v>
      </c>
      <c r="H1564" t="s">
        <v>40</v>
      </c>
      <c r="I1564" t="s">
        <v>41</v>
      </c>
      <c r="J1564" t="s">
        <v>42</v>
      </c>
      <c r="K1564" t="s">
        <v>43</v>
      </c>
      <c r="L1564" t="s">
        <v>50</v>
      </c>
      <c r="M1564" s="2">
        <v>10909</v>
      </c>
      <c r="N1564" t="s">
        <v>64</v>
      </c>
      <c r="P1564" t="str">
        <f>CONCATENATE("'",Tabla1[[#This Row],[Codigo]],"',")</f>
        <v>'02533',</v>
      </c>
    </row>
    <row r="1565" spans="1:16" x14ac:dyDescent="0.25">
      <c r="A1565" t="s">
        <v>11757</v>
      </c>
      <c r="B1565" t="s">
        <v>11758</v>
      </c>
      <c r="C1565" t="s">
        <v>11758</v>
      </c>
      <c r="D1565" t="s">
        <v>297</v>
      </c>
      <c r="E1565" t="s">
        <v>167</v>
      </c>
      <c r="F1565" t="s">
        <v>11759</v>
      </c>
      <c r="G1565" t="s">
        <v>10458</v>
      </c>
      <c r="H1565" t="s">
        <v>10460</v>
      </c>
      <c r="I1565" t="s">
        <v>10458</v>
      </c>
      <c r="J1565" t="s">
        <v>10093</v>
      </c>
      <c r="K1565" t="s">
        <v>10094</v>
      </c>
      <c r="L1565" t="s">
        <v>50</v>
      </c>
      <c r="M1565" s="2">
        <v>40808.71</v>
      </c>
      <c r="N1565" t="s">
        <v>11762</v>
      </c>
      <c r="O1565" t="s">
        <v>52</v>
      </c>
      <c r="P1565" t="str">
        <f>CONCATENATE("'",Tabla1[[#This Row],[Codigo]],"',")</f>
        <v>'02534',</v>
      </c>
    </row>
    <row r="1566" spans="1:16" x14ac:dyDescent="0.25">
      <c r="A1566" t="s">
        <v>11763</v>
      </c>
      <c r="B1566" t="s">
        <v>11764</v>
      </c>
      <c r="C1566" t="s">
        <v>11764</v>
      </c>
      <c r="D1566" t="s">
        <v>847</v>
      </c>
      <c r="E1566" t="s">
        <v>848</v>
      </c>
      <c r="F1566" t="s">
        <v>11765</v>
      </c>
      <c r="G1566" t="s">
        <v>41</v>
      </c>
      <c r="H1566" t="s">
        <v>40</v>
      </c>
      <c r="I1566" t="s">
        <v>41</v>
      </c>
      <c r="J1566" t="s">
        <v>42</v>
      </c>
      <c r="K1566" t="s">
        <v>43</v>
      </c>
      <c r="L1566" t="s">
        <v>50</v>
      </c>
      <c r="M1566" s="2">
        <v>10906.64</v>
      </c>
      <c r="N1566" t="s">
        <v>11766</v>
      </c>
      <c r="P1566" t="str">
        <f>CONCATENATE("'",Tabla1[[#This Row],[Codigo]],"',")</f>
        <v>'02535',</v>
      </c>
    </row>
    <row r="1567" spans="1:16" x14ac:dyDescent="0.25">
      <c r="A1567" t="s">
        <v>11767</v>
      </c>
      <c r="B1567" t="s">
        <v>11768</v>
      </c>
      <c r="C1567" t="s">
        <v>11768</v>
      </c>
      <c r="D1567" t="s">
        <v>125</v>
      </c>
      <c r="E1567" t="s">
        <v>126</v>
      </c>
      <c r="F1567" t="s">
        <v>11769</v>
      </c>
      <c r="G1567" t="s">
        <v>2002</v>
      </c>
      <c r="H1567" t="s">
        <v>101</v>
      </c>
      <c r="I1567" t="s">
        <v>102</v>
      </c>
      <c r="J1567" t="s">
        <v>103</v>
      </c>
      <c r="K1567" t="s">
        <v>104</v>
      </c>
      <c r="L1567" t="s">
        <v>50</v>
      </c>
      <c r="M1567" s="2">
        <v>-72484.33</v>
      </c>
      <c r="N1567" t="s">
        <v>11772</v>
      </c>
      <c r="O1567" t="s">
        <v>52</v>
      </c>
      <c r="P1567" t="str">
        <f>CONCATENATE("'",Tabla1[[#This Row],[Codigo]],"',")</f>
        <v>'02536',</v>
      </c>
    </row>
    <row r="1568" spans="1:16" x14ac:dyDescent="0.25">
      <c r="A1568" t="s">
        <v>11773</v>
      </c>
      <c r="B1568" t="s">
        <v>11774</v>
      </c>
      <c r="C1568" t="s">
        <v>11774</v>
      </c>
      <c r="D1568" t="s">
        <v>35</v>
      </c>
      <c r="E1568" t="s">
        <v>36</v>
      </c>
      <c r="F1568" t="s">
        <v>11775</v>
      </c>
      <c r="G1568" t="s">
        <v>2002</v>
      </c>
      <c r="H1568" t="s">
        <v>101</v>
      </c>
      <c r="I1568" t="s">
        <v>102</v>
      </c>
      <c r="J1568" t="s">
        <v>103</v>
      </c>
      <c r="K1568" t="s">
        <v>104</v>
      </c>
      <c r="L1568" t="s">
        <v>50</v>
      </c>
      <c r="M1568" s="2">
        <v>-94566.74</v>
      </c>
      <c r="N1568" t="s">
        <v>11777</v>
      </c>
      <c r="O1568" t="s">
        <v>52</v>
      </c>
      <c r="P1568" t="str">
        <f>CONCATENATE("'",Tabla1[[#This Row],[Codigo]],"',")</f>
        <v>'02537',</v>
      </c>
    </row>
    <row r="1569" spans="1:16" x14ac:dyDescent="0.25">
      <c r="A1569" t="s">
        <v>11778</v>
      </c>
      <c r="B1569" t="s">
        <v>11779</v>
      </c>
      <c r="C1569" t="s">
        <v>11779</v>
      </c>
      <c r="D1569" t="s">
        <v>569</v>
      </c>
      <c r="E1569" t="s">
        <v>570</v>
      </c>
      <c r="F1569" t="s">
        <v>11780</v>
      </c>
      <c r="G1569" t="s">
        <v>41</v>
      </c>
      <c r="H1569" t="s">
        <v>40</v>
      </c>
      <c r="I1569" t="s">
        <v>41</v>
      </c>
      <c r="J1569" t="s">
        <v>42</v>
      </c>
      <c r="K1569" t="s">
        <v>43</v>
      </c>
      <c r="L1569" t="s">
        <v>50</v>
      </c>
      <c r="M1569" s="2">
        <v>32726</v>
      </c>
      <c r="N1569" t="s">
        <v>64</v>
      </c>
      <c r="P1569" t="str">
        <f>CONCATENATE("'",Tabla1[[#This Row],[Codigo]],"',")</f>
        <v>'02538',</v>
      </c>
    </row>
    <row r="1570" spans="1:16" x14ac:dyDescent="0.25">
      <c r="A1570" t="s">
        <v>11781</v>
      </c>
      <c r="B1570" t="s">
        <v>11782</v>
      </c>
      <c r="C1570" t="s">
        <v>11782</v>
      </c>
      <c r="D1570" t="s">
        <v>847</v>
      </c>
      <c r="E1570" t="s">
        <v>848</v>
      </c>
      <c r="F1570" t="s">
        <v>11783</v>
      </c>
      <c r="G1570" t="s">
        <v>41</v>
      </c>
      <c r="H1570" t="s">
        <v>40</v>
      </c>
      <c r="I1570" t="s">
        <v>41</v>
      </c>
      <c r="J1570" t="s">
        <v>42</v>
      </c>
      <c r="K1570" t="s">
        <v>43</v>
      </c>
      <c r="L1570" t="s">
        <v>50</v>
      </c>
      <c r="M1570" s="2">
        <v>10659.55</v>
      </c>
      <c r="N1570" t="s">
        <v>11784</v>
      </c>
      <c r="P1570" t="str">
        <f>CONCATENATE("'",Tabla1[[#This Row],[Codigo]],"',")</f>
        <v>'02539',</v>
      </c>
    </row>
    <row r="1571" spans="1:16" x14ac:dyDescent="0.25">
      <c r="A1571" t="s">
        <v>11785</v>
      </c>
      <c r="B1571" t="s">
        <v>11786</v>
      </c>
      <c r="C1571" t="s">
        <v>11786</v>
      </c>
      <c r="D1571" t="s">
        <v>1633</v>
      </c>
      <c r="E1571" t="s">
        <v>1502</v>
      </c>
      <c r="F1571" t="s">
        <v>11787</v>
      </c>
      <c r="G1571" t="s">
        <v>79</v>
      </c>
      <c r="H1571" t="s">
        <v>495</v>
      </c>
      <c r="I1571" t="s">
        <v>79</v>
      </c>
      <c r="J1571" t="s">
        <v>3487</v>
      </c>
      <c r="K1571" t="s">
        <v>3488</v>
      </c>
      <c r="L1571" t="s">
        <v>50</v>
      </c>
      <c r="M1571" s="2">
        <v>165532.9</v>
      </c>
      <c r="N1571" t="s">
        <v>11790</v>
      </c>
      <c r="P1571" t="str">
        <f>CONCATENATE("'",Tabla1[[#This Row],[Codigo]],"',")</f>
        <v>'02540',</v>
      </c>
    </row>
    <row r="1572" spans="1:16" x14ac:dyDescent="0.25">
      <c r="A1572" t="s">
        <v>11793</v>
      </c>
      <c r="B1572" t="s">
        <v>11794</v>
      </c>
      <c r="C1572" t="s">
        <v>11794</v>
      </c>
      <c r="D1572" t="s">
        <v>1633</v>
      </c>
      <c r="E1572" t="s">
        <v>1502</v>
      </c>
      <c r="F1572" t="s">
        <v>11795</v>
      </c>
      <c r="G1572" t="s">
        <v>79</v>
      </c>
      <c r="H1572" t="s">
        <v>495</v>
      </c>
      <c r="I1572" t="s">
        <v>79</v>
      </c>
      <c r="J1572" t="s">
        <v>3487</v>
      </c>
      <c r="K1572" t="s">
        <v>3488</v>
      </c>
      <c r="L1572" t="s">
        <v>50</v>
      </c>
      <c r="M1572" s="2">
        <v>160922.01</v>
      </c>
      <c r="N1572" t="s">
        <v>11797</v>
      </c>
      <c r="P1572" t="str">
        <f>CONCATENATE("'",Tabla1[[#This Row],[Codigo]],"',")</f>
        <v>'02542',</v>
      </c>
    </row>
    <row r="1573" spans="1:16" x14ac:dyDescent="0.25">
      <c r="A1573" t="s">
        <v>11802</v>
      </c>
      <c r="B1573" t="s">
        <v>11803</v>
      </c>
      <c r="C1573" t="s">
        <v>11803</v>
      </c>
      <c r="D1573" t="s">
        <v>35</v>
      </c>
      <c r="E1573" t="s">
        <v>36</v>
      </c>
      <c r="F1573" t="s">
        <v>10922</v>
      </c>
      <c r="G1573" t="s">
        <v>11801</v>
      </c>
      <c r="H1573" t="s">
        <v>11800</v>
      </c>
      <c r="I1573" t="s">
        <v>11801</v>
      </c>
      <c r="J1573" t="s">
        <v>6987</v>
      </c>
      <c r="K1573" t="s">
        <v>6988</v>
      </c>
      <c r="L1573" t="s">
        <v>50</v>
      </c>
      <c r="M1573" s="2">
        <v>396868.57</v>
      </c>
      <c r="N1573" t="s">
        <v>11804</v>
      </c>
      <c r="O1573" t="s">
        <v>52</v>
      </c>
      <c r="P1573" t="str">
        <f>CONCATENATE("'",Tabla1[[#This Row],[Codigo]],"',")</f>
        <v>'02544',</v>
      </c>
    </row>
    <row r="1574" spans="1:16" x14ac:dyDescent="0.25">
      <c r="A1574" t="s">
        <v>11805</v>
      </c>
      <c r="B1574" t="s">
        <v>11806</v>
      </c>
      <c r="C1574" t="s">
        <v>11806</v>
      </c>
      <c r="D1574" t="s">
        <v>192</v>
      </c>
      <c r="E1574" t="s">
        <v>224</v>
      </c>
      <c r="F1574" t="s">
        <v>11807</v>
      </c>
      <c r="G1574" t="s">
        <v>7828</v>
      </c>
      <c r="H1574" t="s">
        <v>664</v>
      </c>
      <c r="I1574" t="s">
        <v>665</v>
      </c>
      <c r="J1574" t="s">
        <v>103</v>
      </c>
      <c r="K1574" t="s">
        <v>104</v>
      </c>
      <c r="L1574" t="s">
        <v>50</v>
      </c>
      <c r="M1574" s="2">
        <v>142450.57</v>
      </c>
      <c r="N1574" t="s">
        <v>11810</v>
      </c>
      <c r="P1574" t="str">
        <f>CONCATENATE("'",Tabla1[[#This Row],[Codigo]],"',")</f>
        <v>'02545',</v>
      </c>
    </row>
    <row r="1575" spans="1:16" x14ac:dyDescent="0.25">
      <c r="A1575" t="s">
        <v>11811</v>
      </c>
      <c r="B1575" t="s">
        <v>11812</v>
      </c>
      <c r="C1575" t="s">
        <v>11812</v>
      </c>
      <c r="D1575" t="s">
        <v>125</v>
      </c>
      <c r="E1575" t="s">
        <v>126</v>
      </c>
      <c r="F1575" t="s">
        <v>11813</v>
      </c>
      <c r="G1575" t="s">
        <v>7828</v>
      </c>
      <c r="H1575" t="s">
        <v>664</v>
      </c>
      <c r="I1575" t="s">
        <v>665</v>
      </c>
      <c r="J1575" t="s">
        <v>103</v>
      </c>
      <c r="K1575" t="s">
        <v>104</v>
      </c>
      <c r="L1575" t="s">
        <v>50</v>
      </c>
      <c r="M1575" s="2">
        <v>1090850</v>
      </c>
      <c r="N1575" t="s">
        <v>64</v>
      </c>
      <c r="P1575" t="str">
        <f>CONCATENATE("'",Tabla1[[#This Row],[Codigo]],"',")</f>
        <v>'02546',</v>
      </c>
    </row>
    <row r="1576" spans="1:16" x14ac:dyDescent="0.25">
      <c r="A1576" t="s">
        <v>11815</v>
      </c>
      <c r="B1576" t="s">
        <v>11816</v>
      </c>
      <c r="C1576" t="s">
        <v>11816</v>
      </c>
      <c r="D1576" t="s">
        <v>153</v>
      </c>
      <c r="E1576" t="s">
        <v>272</v>
      </c>
      <c r="F1576" t="s">
        <v>11817</v>
      </c>
      <c r="G1576" t="s">
        <v>2234</v>
      </c>
      <c r="H1576" t="s">
        <v>1108</v>
      </c>
      <c r="I1576" t="s">
        <v>1106</v>
      </c>
      <c r="J1576" t="s">
        <v>6143</v>
      </c>
      <c r="K1576" t="s">
        <v>6144</v>
      </c>
      <c r="L1576" t="s">
        <v>50</v>
      </c>
      <c r="M1576" s="2">
        <v>837088.68</v>
      </c>
      <c r="N1576" t="s">
        <v>11820</v>
      </c>
      <c r="O1576" t="s">
        <v>52</v>
      </c>
      <c r="P1576" t="str">
        <f>CONCATENATE("'",Tabla1[[#This Row],[Codigo]],"',")</f>
        <v>'02547',</v>
      </c>
    </row>
    <row r="1577" spans="1:16" x14ac:dyDescent="0.25">
      <c r="A1577" t="s">
        <v>11821</v>
      </c>
      <c r="B1577" t="s">
        <v>11822</v>
      </c>
      <c r="C1577" t="s">
        <v>11822</v>
      </c>
      <c r="D1577" t="s">
        <v>1734</v>
      </c>
      <c r="E1577" t="s">
        <v>224</v>
      </c>
      <c r="F1577" t="s">
        <v>11823</v>
      </c>
      <c r="G1577" t="s">
        <v>7828</v>
      </c>
      <c r="H1577" t="s">
        <v>664</v>
      </c>
      <c r="I1577" t="s">
        <v>665</v>
      </c>
      <c r="J1577" t="s">
        <v>103</v>
      </c>
      <c r="K1577" t="s">
        <v>104</v>
      </c>
      <c r="L1577" t="s">
        <v>50</v>
      </c>
      <c r="M1577" s="2">
        <v>1090850</v>
      </c>
      <c r="N1577" t="s">
        <v>64</v>
      </c>
      <c r="P1577" t="str">
        <f>CONCATENATE("'",Tabla1[[#This Row],[Codigo]],"',")</f>
        <v>'02548',</v>
      </c>
    </row>
    <row r="1578" spans="1:16" x14ac:dyDescent="0.25">
      <c r="A1578" t="s">
        <v>11831</v>
      </c>
      <c r="B1578" t="s">
        <v>11832</v>
      </c>
      <c r="C1578" t="s">
        <v>11832</v>
      </c>
      <c r="D1578" t="s">
        <v>35</v>
      </c>
      <c r="E1578" t="s">
        <v>36</v>
      </c>
      <c r="F1578" t="s">
        <v>11833</v>
      </c>
      <c r="G1578" t="s">
        <v>10888</v>
      </c>
      <c r="H1578" t="s">
        <v>302</v>
      </c>
      <c r="I1578" t="s">
        <v>303</v>
      </c>
      <c r="J1578" t="s">
        <v>304</v>
      </c>
      <c r="K1578" t="s">
        <v>72</v>
      </c>
      <c r="L1578" t="s">
        <v>50</v>
      </c>
      <c r="M1578" s="2">
        <v>284867.59999999998</v>
      </c>
      <c r="N1578" t="s">
        <v>11836</v>
      </c>
      <c r="O1578" t="s">
        <v>52</v>
      </c>
      <c r="P1578" t="str">
        <f>CONCATENATE("'",Tabla1[[#This Row],[Codigo]],"',")</f>
        <v>'02551',</v>
      </c>
    </row>
    <row r="1579" spans="1:16" x14ac:dyDescent="0.25">
      <c r="A1579" t="s">
        <v>11837</v>
      </c>
      <c r="B1579" t="s">
        <v>11838</v>
      </c>
      <c r="C1579" t="s">
        <v>11838</v>
      </c>
      <c r="D1579" t="s">
        <v>847</v>
      </c>
      <c r="E1579" t="s">
        <v>848</v>
      </c>
      <c r="F1579" t="s">
        <v>11839</v>
      </c>
      <c r="G1579" t="s">
        <v>10888</v>
      </c>
      <c r="H1579" t="s">
        <v>302</v>
      </c>
      <c r="I1579" t="s">
        <v>303</v>
      </c>
      <c r="J1579" t="s">
        <v>304</v>
      </c>
      <c r="K1579" t="s">
        <v>72</v>
      </c>
      <c r="L1579" t="s">
        <v>50</v>
      </c>
      <c r="M1579" s="2">
        <v>13709</v>
      </c>
      <c r="N1579" t="s">
        <v>64</v>
      </c>
      <c r="P1579" t="str">
        <f>CONCATENATE("'",Tabla1[[#This Row],[Codigo]],"',")</f>
        <v>'02552',</v>
      </c>
    </row>
    <row r="1580" spans="1:16" x14ac:dyDescent="0.25">
      <c r="A1580" t="s">
        <v>11851</v>
      </c>
      <c r="B1580" t="s">
        <v>11852</v>
      </c>
      <c r="C1580" t="s">
        <v>11852</v>
      </c>
      <c r="D1580" t="s">
        <v>649</v>
      </c>
      <c r="E1580" t="s">
        <v>871</v>
      </c>
      <c r="F1580" t="s">
        <v>11853</v>
      </c>
      <c r="G1580" t="s">
        <v>11854</v>
      </c>
      <c r="H1580" t="s">
        <v>1210</v>
      </c>
      <c r="I1580" t="s">
        <v>1211</v>
      </c>
      <c r="J1580" t="s">
        <v>1212</v>
      </c>
      <c r="K1580" t="s">
        <v>1213</v>
      </c>
      <c r="L1580" t="s">
        <v>50</v>
      </c>
      <c r="M1580" s="2">
        <v>35433.129999999997</v>
      </c>
      <c r="N1580" t="s">
        <v>11856</v>
      </c>
      <c r="O1580" t="s">
        <v>115</v>
      </c>
      <c r="P1580" t="str">
        <f>CONCATENATE("'",Tabla1[[#This Row],[Codigo]],"',")</f>
        <v>'02556',</v>
      </c>
    </row>
    <row r="1581" spans="1:16" x14ac:dyDescent="0.25">
      <c r="A1581" t="s">
        <v>11857</v>
      </c>
      <c r="B1581" t="s">
        <v>11858</v>
      </c>
      <c r="C1581" t="s">
        <v>11858</v>
      </c>
      <c r="D1581" t="s">
        <v>125</v>
      </c>
      <c r="E1581" t="s">
        <v>126</v>
      </c>
      <c r="F1581" t="s">
        <v>11859</v>
      </c>
      <c r="G1581" t="s">
        <v>11860</v>
      </c>
      <c r="H1581" t="s">
        <v>1362</v>
      </c>
      <c r="I1581" t="s">
        <v>1360</v>
      </c>
      <c r="J1581" t="s">
        <v>2320</v>
      </c>
      <c r="K1581" t="s">
        <v>2321</v>
      </c>
      <c r="L1581" t="s">
        <v>50</v>
      </c>
      <c r="M1581" s="2">
        <v>188904.81</v>
      </c>
      <c r="N1581" t="s">
        <v>11863</v>
      </c>
      <c r="O1581" t="s">
        <v>52</v>
      </c>
      <c r="P1581" t="str">
        <f>CONCATENATE("'",Tabla1[[#This Row],[Codigo]],"',")</f>
        <v>'02557',</v>
      </c>
    </row>
    <row r="1582" spans="1:16" x14ac:dyDescent="0.25">
      <c r="A1582" t="s">
        <v>11864</v>
      </c>
      <c r="B1582" t="s">
        <v>11865</v>
      </c>
      <c r="C1582" t="s">
        <v>11865</v>
      </c>
      <c r="D1582" t="s">
        <v>553</v>
      </c>
      <c r="E1582" t="s">
        <v>167</v>
      </c>
      <c r="F1582" t="s">
        <v>11866</v>
      </c>
      <c r="G1582" t="s">
        <v>11867</v>
      </c>
      <c r="H1582" t="s">
        <v>6995</v>
      </c>
      <c r="I1582" t="s">
        <v>6996</v>
      </c>
      <c r="J1582" t="s">
        <v>6987</v>
      </c>
      <c r="K1582" t="s">
        <v>6988</v>
      </c>
      <c r="L1582" t="s">
        <v>50</v>
      </c>
      <c r="M1582" s="2">
        <v>8665</v>
      </c>
      <c r="N1582" t="s">
        <v>11870</v>
      </c>
      <c r="O1582" t="s">
        <v>115</v>
      </c>
      <c r="P1582" t="str">
        <f>CONCATENATE("'",Tabla1[[#This Row],[Codigo]],"',")</f>
        <v>'02558',</v>
      </c>
    </row>
    <row r="1583" spans="1:16" x14ac:dyDescent="0.25">
      <c r="A1583" t="s">
        <v>11871</v>
      </c>
      <c r="B1583" t="s">
        <v>11872</v>
      </c>
      <c r="C1583" t="s">
        <v>11872</v>
      </c>
      <c r="D1583" t="s">
        <v>888</v>
      </c>
      <c r="E1583" t="s">
        <v>167</v>
      </c>
      <c r="F1583" t="s">
        <v>11873</v>
      </c>
      <c r="G1583" t="s">
        <v>11874</v>
      </c>
      <c r="H1583" t="s">
        <v>7203</v>
      </c>
      <c r="I1583" t="s">
        <v>7204</v>
      </c>
      <c r="J1583" t="s">
        <v>2320</v>
      </c>
      <c r="K1583" t="s">
        <v>2321</v>
      </c>
      <c r="L1583" t="s">
        <v>50</v>
      </c>
      <c r="M1583" s="2">
        <v>59231.89</v>
      </c>
      <c r="N1583" t="s">
        <v>11877</v>
      </c>
      <c r="O1583" t="s">
        <v>52</v>
      </c>
      <c r="P1583" t="str">
        <f>CONCATENATE("'",Tabla1[[#This Row],[Codigo]],"',")</f>
        <v>'02559',</v>
      </c>
    </row>
    <row r="1584" spans="1:16" x14ac:dyDescent="0.25">
      <c r="A1584" t="s">
        <v>11878</v>
      </c>
      <c r="B1584" t="s">
        <v>11879</v>
      </c>
      <c r="C1584" t="s">
        <v>11879</v>
      </c>
      <c r="D1584" t="s">
        <v>125</v>
      </c>
      <c r="E1584" t="s">
        <v>126</v>
      </c>
      <c r="F1584" t="s">
        <v>11880</v>
      </c>
      <c r="G1584" t="s">
        <v>7515</v>
      </c>
      <c r="H1584" t="s">
        <v>7517</v>
      </c>
      <c r="I1584" t="s">
        <v>7518</v>
      </c>
      <c r="J1584" t="s">
        <v>2320</v>
      </c>
      <c r="K1584" t="s">
        <v>2321</v>
      </c>
      <c r="L1584" t="s">
        <v>50</v>
      </c>
      <c r="M1584" s="2">
        <v>363649.98</v>
      </c>
      <c r="N1584" t="s">
        <v>11883</v>
      </c>
      <c r="O1584" t="s">
        <v>115</v>
      </c>
      <c r="P1584" t="str">
        <f>CONCATENATE("'",Tabla1[[#This Row],[Codigo]],"',")</f>
        <v>'02560',</v>
      </c>
    </row>
    <row r="1585" spans="1:16" x14ac:dyDescent="0.25">
      <c r="A1585" t="s">
        <v>11884</v>
      </c>
      <c r="B1585" t="s">
        <v>11885</v>
      </c>
      <c r="C1585" t="s">
        <v>11885</v>
      </c>
      <c r="D1585" t="s">
        <v>125</v>
      </c>
      <c r="E1585" t="s">
        <v>126</v>
      </c>
      <c r="F1585" t="s">
        <v>11886</v>
      </c>
      <c r="G1585" t="s">
        <v>2647</v>
      </c>
      <c r="H1585" t="s">
        <v>1362</v>
      </c>
      <c r="I1585" t="s">
        <v>1360</v>
      </c>
      <c r="J1585" t="s">
        <v>1212</v>
      </c>
      <c r="K1585" t="s">
        <v>1213</v>
      </c>
      <c r="L1585" t="s">
        <v>50</v>
      </c>
      <c r="M1585" s="2">
        <v>151028.51</v>
      </c>
      <c r="N1585" t="s">
        <v>11889</v>
      </c>
      <c r="O1585" t="s">
        <v>52</v>
      </c>
      <c r="P1585" t="str">
        <f>CONCATENATE("'",Tabla1[[#This Row],[Codigo]],"',")</f>
        <v>'02561',</v>
      </c>
    </row>
    <row r="1586" spans="1:16" x14ac:dyDescent="0.25">
      <c r="A1586" t="s">
        <v>11890</v>
      </c>
      <c r="B1586" t="s">
        <v>11891</v>
      </c>
      <c r="C1586" t="s">
        <v>11891</v>
      </c>
      <c r="D1586" t="s">
        <v>153</v>
      </c>
      <c r="E1586" t="s">
        <v>272</v>
      </c>
      <c r="F1586" t="s">
        <v>11892</v>
      </c>
      <c r="G1586" t="s">
        <v>277</v>
      </c>
      <c r="H1586" t="s">
        <v>276</v>
      </c>
      <c r="I1586" t="s">
        <v>277</v>
      </c>
      <c r="J1586" t="s">
        <v>103</v>
      </c>
      <c r="K1586" t="s">
        <v>104</v>
      </c>
      <c r="L1586" t="s">
        <v>50</v>
      </c>
      <c r="M1586" s="2">
        <v>244916.17</v>
      </c>
      <c r="N1586" t="s">
        <v>11895</v>
      </c>
      <c r="O1586" t="s">
        <v>52</v>
      </c>
      <c r="P1586" t="str">
        <f>CONCATENATE("'",Tabla1[[#This Row],[Codigo]],"',")</f>
        <v>'02562',</v>
      </c>
    </row>
    <row r="1587" spans="1:16" x14ac:dyDescent="0.25">
      <c r="A1587" t="s">
        <v>11896</v>
      </c>
      <c r="B1587" t="s">
        <v>11897</v>
      </c>
      <c r="C1587" t="s">
        <v>11897</v>
      </c>
      <c r="D1587" t="s">
        <v>35</v>
      </c>
      <c r="E1587" t="s">
        <v>36</v>
      </c>
      <c r="F1587" t="s">
        <v>11898</v>
      </c>
      <c r="G1587" t="s">
        <v>6733</v>
      </c>
      <c r="H1587" t="s">
        <v>6734</v>
      </c>
      <c r="I1587" t="s">
        <v>6735</v>
      </c>
      <c r="J1587" t="s">
        <v>557</v>
      </c>
      <c r="K1587" t="s">
        <v>558</v>
      </c>
      <c r="L1587" t="s">
        <v>50</v>
      </c>
      <c r="M1587" s="2">
        <v>205462.36</v>
      </c>
      <c r="N1587" t="s">
        <v>11901</v>
      </c>
      <c r="O1587" t="s">
        <v>115</v>
      </c>
      <c r="P1587" t="str">
        <f>CONCATENATE("'",Tabla1[[#This Row],[Codigo]],"',")</f>
        <v>'02563',</v>
      </c>
    </row>
    <row r="1588" spans="1:16" x14ac:dyDescent="0.25">
      <c r="A1588" t="s">
        <v>11902</v>
      </c>
      <c r="B1588" t="s">
        <v>11903</v>
      </c>
      <c r="C1588" t="s">
        <v>11903</v>
      </c>
      <c r="D1588" t="s">
        <v>178</v>
      </c>
      <c r="E1588" t="s">
        <v>179</v>
      </c>
      <c r="F1588" t="s">
        <v>11904</v>
      </c>
      <c r="G1588" t="s">
        <v>81</v>
      </c>
      <c r="H1588" t="s">
        <v>80</v>
      </c>
      <c r="I1588" t="s">
        <v>81</v>
      </c>
      <c r="J1588" t="s">
        <v>557</v>
      </c>
      <c r="K1588" t="s">
        <v>558</v>
      </c>
      <c r="L1588" t="s">
        <v>50</v>
      </c>
      <c r="M1588" s="2">
        <v>202675.66</v>
      </c>
      <c r="N1588" t="s">
        <v>11907</v>
      </c>
      <c r="P1588" t="str">
        <f>CONCATENATE("'",Tabla1[[#This Row],[Codigo]],"',")</f>
        <v>'02564',</v>
      </c>
    </row>
    <row r="1589" spans="1:16" x14ac:dyDescent="0.25">
      <c r="A1589" t="s">
        <v>11912</v>
      </c>
      <c r="B1589" t="s">
        <v>11913</v>
      </c>
      <c r="C1589" t="s">
        <v>11913</v>
      </c>
      <c r="D1589" t="s">
        <v>178</v>
      </c>
      <c r="E1589" t="s">
        <v>179</v>
      </c>
      <c r="F1589" t="s">
        <v>7948</v>
      </c>
      <c r="G1589" t="s">
        <v>255</v>
      </c>
      <c r="H1589" t="s">
        <v>254</v>
      </c>
      <c r="I1589" t="s">
        <v>255</v>
      </c>
      <c r="J1589" t="s">
        <v>4374</v>
      </c>
      <c r="K1589" t="s">
        <v>4375</v>
      </c>
      <c r="L1589" t="s">
        <v>50</v>
      </c>
      <c r="M1589" s="2">
        <v>-28723.200000000001</v>
      </c>
      <c r="N1589" t="s">
        <v>11914</v>
      </c>
      <c r="O1589" t="s">
        <v>115</v>
      </c>
      <c r="P1589" t="str">
        <f>CONCATENATE("'",Tabla1[[#This Row],[Codigo]],"',")</f>
        <v>'02566',</v>
      </c>
    </row>
    <row r="1590" spans="1:16" x14ac:dyDescent="0.25">
      <c r="A1590" t="s">
        <v>11915</v>
      </c>
      <c r="B1590" t="s">
        <v>11916</v>
      </c>
      <c r="C1590" t="s">
        <v>11916</v>
      </c>
      <c r="D1590" t="s">
        <v>125</v>
      </c>
      <c r="E1590" t="s">
        <v>126</v>
      </c>
      <c r="F1590" t="s">
        <v>11917</v>
      </c>
      <c r="G1590" t="s">
        <v>2647</v>
      </c>
      <c r="H1590" t="s">
        <v>1362</v>
      </c>
      <c r="I1590" t="s">
        <v>1360</v>
      </c>
      <c r="J1590" t="s">
        <v>2320</v>
      </c>
      <c r="K1590" t="s">
        <v>2321</v>
      </c>
      <c r="L1590" t="s">
        <v>50</v>
      </c>
      <c r="M1590" s="2">
        <v>122461.02</v>
      </c>
      <c r="N1590" t="s">
        <v>11920</v>
      </c>
      <c r="O1590" t="s">
        <v>115</v>
      </c>
      <c r="P1590" t="str">
        <f>CONCATENATE("'",Tabla1[[#This Row],[Codigo]],"',")</f>
        <v>'02567',</v>
      </c>
    </row>
    <row r="1591" spans="1:16" x14ac:dyDescent="0.25">
      <c r="A1591" t="s">
        <v>11921</v>
      </c>
      <c r="B1591" t="s">
        <v>11922</v>
      </c>
      <c r="C1591" t="s">
        <v>11922</v>
      </c>
      <c r="D1591" t="s">
        <v>125</v>
      </c>
      <c r="E1591" t="s">
        <v>126</v>
      </c>
      <c r="F1591" t="s">
        <v>11923</v>
      </c>
      <c r="G1591" t="s">
        <v>2647</v>
      </c>
      <c r="H1591" t="s">
        <v>1362</v>
      </c>
      <c r="I1591" t="s">
        <v>1360</v>
      </c>
      <c r="J1591" t="s">
        <v>1212</v>
      </c>
      <c r="K1591" t="s">
        <v>1213</v>
      </c>
      <c r="L1591" t="s">
        <v>50</v>
      </c>
      <c r="M1591" s="2">
        <v>152116.65</v>
      </c>
      <c r="N1591" t="s">
        <v>11926</v>
      </c>
      <c r="O1591" t="s">
        <v>52</v>
      </c>
      <c r="P1591" t="str">
        <f>CONCATENATE("'",Tabla1[[#This Row],[Codigo]],"',")</f>
        <v>'02568',</v>
      </c>
    </row>
    <row r="1592" spans="1:16" x14ac:dyDescent="0.25">
      <c r="A1592" t="s">
        <v>11927</v>
      </c>
      <c r="B1592" t="s">
        <v>11928</v>
      </c>
      <c r="C1592" t="s">
        <v>11928</v>
      </c>
      <c r="D1592" t="s">
        <v>125</v>
      </c>
      <c r="E1592" t="s">
        <v>126</v>
      </c>
      <c r="F1592" t="s">
        <v>11929</v>
      </c>
      <c r="G1592" t="s">
        <v>6285</v>
      </c>
      <c r="H1592" t="s">
        <v>1210</v>
      </c>
      <c r="I1592" t="s">
        <v>1211</v>
      </c>
      <c r="J1592" t="s">
        <v>1212</v>
      </c>
      <c r="K1592" t="s">
        <v>1213</v>
      </c>
      <c r="L1592" t="s">
        <v>50</v>
      </c>
      <c r="M1592" s="2">
        <v>272929.8</v>
      </c>
      <c r="N1592" t="s">
        <v>11932</v>
      </c>
      <c r="O1592" t="s">
        <v>52</v>
      </c>
      <c r="P1592" t="str">
        <f>CONCATENATE("'",Tabla1[[#This Row],[Codigo]],"',")</f>
        <v>'02569',</v>
      </c>
    </row>
    <row r="1593" spans="1:16" x14ac:dyDescent="0.25">
      <c r="A1593" t="s">
        <v>11933</v>
      </c>
      <c r="B1593" t="s">
        <v>11934</v>
      </c>
      <c r="C1593" t="s">
        <v>11934</v>
      </c>
      <c r="D1593" t="s">
        <v>125</v>
      </c>
      <c r="E1593" t="s">
        <v>126</v>
      </c>
      <c r="F1593" t="s">
        <v>11935</v>
      </c>
      <c r="G1593" t="s">
        <v>2647</v>
      </c>
      <c r="H1593" t="s">
        <v>1362</v>
      </c>
      <c r="I1593" t="s">
        <v>1360</v>
      </c>
      <c r="J1593" t="s">
        <v>1212</v>
      </c>
      <c r="K1593" t="s">
        <v>1213</v>
      </c>
      <c r="L1593" t="s">
        <v>50</v>
      </c>
      <c r="M1593" s="2">
        <v>326414.88</v>
      </c>
      <c r="N1593" t="s">
        <v>11938</v>
      </c>
      <c r="O1593" t="s">
        <v>52</v>
      </c>
      <c r="P1593" t="str">
        <f>CONCATENATE("'",Tabla1[[#This Row],[Codigo]],"',")</f>
        <v>'02571',</v>
      </c>
    </row>
    <row r="1594" spans="1:16" x14ac:dyDescent="0.25">
      <c r="A1594" t="s">
        <v>11939</v>
      </c>
      <c r="B1594" t="s">
        <v>11940</v>
      </c>
      <c r="C1594" t="s">
        <v>11940</v>
      </c>
      <c r="D1594" t="s">
        <v>1329</v>
      </c>
      <c r="E1594" t="s">
        <v>134</v>
      </c>
      <c r="F1594" t="s">
        <v>11941</v>
      </c>
      <c r="G1594" t="s">
        <v>11942</v>
      </c>
      <c r="H1594" t="s">
        <v>80</v>
      </c>
      <c r="I1594" t="s">
        <v>81</v>
      </c>
      <c r="J1594" t="s">
        <v>557</v>
      </c>
      <c r="K1594" t="s">
        <v>558</v>
      </c>
      <c r="L1594" t="s">
        <v>50</v>
      </c>
      <c r="M1594" s="2">
        <v>174536</v>
      </c>
      <c r="N1594" t="s">
        <v>64</v>
      </c>
      <c r="P1594" t="str">
        <f>CONCATENATE("'",Tabla1[[#This Row],[Codigo]],"',")</f>
        <v>'02572',</v>
      </c>
    </row>
    <row r="1595" spans="1:16" x14ac:dyDescent="0.25">
      <c r="A1595" t="s">
        <v>11945</v>
      </c>
      <c r="B1595" t="s">
        <v>11946</v>
      </c>
      <c r="C1595" t="s">
        <v>11946</v>
      </c>
      <c r="D1595" t="s">
        <v>153</v>
      </c>
      <c r="E1595" t="s">
        <v>272</v>
      </c>
      <c r="F1595" t="s">
        <v>11947</v>
      </c>
      <c r="G1595" t="s">
        <v>255</v>
      </c>
      <c r="H1595" t="s">
        <v>254</v>
      </c>
      <c r="I1595" t="s">
        <v>255</v>
      </c>
      <c r="J1595" t="s">
        <v>256</v>
      </c>
      <c r="K1595" t="s">
        <v>255</v>
      </c>
      <c r="L1595" t="s">
        <v>50</v>
      </c>
      <c r="M1595" s="2">
        <v>431610.22</v>
      </c>
      <c r="N1595" t="s">
        <v>11950</v>
      </c>
      <c r="O1595" t="s">
        <v>52</v>
      </c>
      <c r="P1595" t="str">
        <f>CONCATENATE("'",Tabla1[[#This Row],[Codigo]],"',")</f>
        <v>'02573',</v>
      </c>
    </row>
    <row r="1596" spans="1:16" x14ac:dyDescent="0.25">
      <c r="A1596" t="s">
        <v>11951</v>
      </c>
      <c r="B1596" t="s">
        <v>11952</v>
      </c>
      <c r="C1596" t="s">
        <v>11952</v>
      </c>
      <c r="D1596" t="s">
        <v>35</v>
      </c>
      <c r="E1596" t="s">
        <v>36</v>
      </c>
      <c r="F1596" t="s">
        <v>11953</v>
      </c>
      <c r="G1596" t="s">
        <v>11954</v>
      </c>
      <c r="H1596" t="s">
        <v>5469</v>
      </c>
      <c r="I1596" t="s">
        <v>5467</v>
      </c>
      <c r="J1596" t="s">
        <v>256</v>
      </c>
      <c r="K1596" t="s">
        <v>255</v>
      </c>
      <c r="L1596" t="s">
        <v>50</v>
      </c>
      <c r="M1596" s="2">
        <v>222263.33</v>
      </c>
      <c r="N1596" t="s">
        <v>11956</v>
      </c>
      <c r="O1596" t="s">
        <v>115</v>
      </c>
      <c r="P1596" t="str">
        <f>CONCATENATE("'",Tabla1[[#This Row],[Codigo]],"',")</f>
        <v>'02574',</v>
      </c>
    </row>
    <row r="1597" spans="1:16" x14ac:dyDescent="0.25">
      <c r="A1597" t="s">
        <v>11957</v>
      </c>
      <c r="B1597" t="s">
        <v>11958</v>
      </c>
      <c r="C1597" t="s">
        <v>11958</v>
      </c>
      <c r="D1597" t="s">
        <v>35</v>
      </c>
      <c r="E1597" t="s">
        <v>36</v>
      </c>
      <c r="F1597" t="s">
        <v>11959</v>
      </c>
      <c r="G1597" t="s">
        <v>255</v>
      </c>
      <c r="H1597" t="s">
        <v>254</v>
      </c>
      <c r="I1597" t="s">
        <v>255</v>
      </c>
      <c r="J1597" t="s">
        <v>256</v>
      </c>
      <c r="K1597" t="s">
        <v>255</v>
      </c>
      <c r="L1597" t="s">
        <v>50</v>
      </c>
      <c r="M1597" s="2">
        <v>192185.99</v>
      </c>
      <c r="N1597" t="s">
        <v>11961</v>
      </c>
      <c r="O1597" t="s">
        <v>52</v>
      </c>
      <c r="P1597" t="str">
        <f>CONCATENATE("'",Tabla1[[#This Row],[Codigo]],"',")</f>
        <v>'02575',</v>
      </c>
    </row>
    <row r="1598" spans="1:16" x14ac:dyDescent="0.25">
      <c r="A1598" t="s">
        <v>11962</v>
      </c>
      <c r="B1598" t="s">
        <v>11963</v>
      </c>
      <c r="C1598" t="s">
        <v>11963</v>
      </c>
      <c r="D1598" t="s">
        <v>847</v>
      </c>
      <c r="E1598" t="s">
        <v>848</v>
      </c>
      <c r="F1598" t="s">
        <v>11964</v>
      </c>
      <c r="G1598" t="s">
        <v>1425</v>
      </c>
      <c r="H1598" t="s">
        <v>1427</v>
      </c>
      <c r="I1598" t="s">
        <v>1428</v>
      </c>
      <c r="J1598" t="s">
        <v>82</v>
      </c>
      <c r="K1598" t="s">
        <v>83</v>
      </c>
      <c r="L1598" t="s">
        <v>50</v>
      </c>
      <c r="M1598" s="2">
        <v>214559.27</v>
      </c>
      <c r="N1598" t="s">
        <v>11967</v>
      </c>
      <c r="P1598" t="str">
        <f>CONCATENATE("'",Tabla1[[#This Row],[Codigo]],"',")</f>
        <v>'02576',</v>
      </c>
    </row>
    <row r="1599" spans="1:16" x14ac:dyDescent="0.25">
      <c r="A1599" t="s">
        <v>11968</v>
      </c>
      <c r="B1599" t="s">
        <v>11969</v>
      </c>
      <c r="C1599" t="s">
        <v>11969</v>
      </c>
      <c r="D1599" t="s">
        <v>125</v>
      </c>
      <c r="E1599" t="s">
        <v>126</v>
      </c>
      <c r="F1599" t="s">
        <v>11970</v>
      </c>
      <c r="G1599" t="s">
        <v>402</v>
      </c>
      <c r="H1599" t="s">
        <v>403</v>
      </c>
      <c r="I1599" t="s">
        <v>404</v>
      </c>
      <c r="J1599" t="s">
        <v>205</v>
      </c>
      <c r="K1599" t="s">
        <v>206</v>
      </c>
      <c r="L1599" t="s">
        <v>50</v>
      </c>
      <c r="M1599" s="2">
        <v>1708052.89</v>
      </c>
      <c r="N1599" t="s">
        <v>11973</v>
      </c>
      <c r="O1599" t="s">
        <v>52</v>
      </c>
      <c r="P1599" t="str">
        <f>CONCATENATE("'",Tabla1[[#This Row],[Codigo]],"',")</f>
        <v>'02577',</v>
      </c>
    </row>
    <row r="1600" spans="1:16" x14ac:dyDescent="0.25">
      <c r="A1600" t="s">
        <v>11979</v>
      </c>
      <c r="B1600" t="s">
        <v>11980</v>
      </c>
      <c r="C1600" t="s">
        <v>11980</v>
      </c>
      <c r="D1600" t="s">
        <v>569</v>
      </c>
      <c r="E1600" t="s">
        <v>570</v>
      </c>
      <c r="F1600" t="s">
        <v>11981</v>
      </c>
      <c r="G1600" t="s">
        <v>41</v>
      </c>
      <c r="H1600" t="s">
        <v>40</v>
      </c>
      <c r="I1600" t="s">
        <v>41</v>
      </c>
      <c r="J1600" t="s">
        <v>42</v>
      </c>
      <c r="K1600" t="s">
        <v>43</v>
      </c>
      <c r="L1600" t="s">
        <v>50</v>
      </c>
      <c r="M1600" s="2">
        <v>10904.27</v>
      </c>
      <c r="N1600" t="s">
        <v>5692</v>
      </c>
      <c r="P1600" t="str">
        <f>CONCATENATE("'",Tabla1[[#This Row],[Codigo]],"',")</f>
        <v>'02579',</v>
      </c>
    </row>
    <row r="1601" spans="1:16" x14ac:dyDescent="0.25">
      <c r="A1601" t="s">
        <v>11982</v>
      </c>
      <c r="B1601" t="s">
        <v>11983</v>
      </c>
      <c r="C1601" t="s">
        <v>11983</v>
      </c>
      <c r="D1601" t="s">
        <v>847</v>
      </c>
      <c r="E1601" t="s">
        <v>848</v>
      </c>
      <c r="F1601" t="s">
        <v>11984</v>
      </c>
      <c r="G1601" t="s">
        <v>255</v>
      </c>
      <c r="H1601" t="s">
        <v>254</v>
      </c>
      <c r="I1601" t="s">
        <v>255</v>
      </c>
      <c r="J1601" t="s">
        <v>256</v>
      </c>
      <c r="K1601" t="s">
        <v>255</v>
      </c>
      <c r="L1601" t="s">
        <v>50</v>
      </c>
      <c r="M1601" s="2">
        <v>55118.05</v>
      </c>
      <c r="N1601" t="s">
        <v>11987</v>
      </c>
      <c r="O1601" t="s">
        <v>115</v>
      </c>
      <c r="P1601" t="str">
        <f>CONCATENATE("'",Tabla1[[#This Row],[Codigo]],"',")</f>
        <v>'02580',</v>
      </c>
    </row>
    <row r="1602" spans="1:16" x14ac:dyDescent="0.25">
      <c r="A1602" t="s">
        <v>11998</v>
      </c>
      <c r="B1602" t="s">
        <v>11999</v>
      </c>
      <c r="C1602" t="s">
        <v>11999</v>
      </c>
      <c r="D1602" t="s">
        <v>321</v>
      </c>
      <c r="E1602" t="s">
        <v>224</v>
      </c>
      <c r="F1602" t="s">
        <v>12000</v>
      </c>
      <c r="G1602" t="s">
        <v>1335</v>
      </c>
      <c r="H1602" t="s">
        <v>254</v>
      </c>
      <c r="I1602" t="s">
        <v>255</v>
      </c>
      <c r="J1602" t="s">
        <v>4374</v>
      </c>
      <c r="K1602" t="s">
        <v>4375</v>
      </c>
      <c r="L1602" t="s">
        <v>50</v>
      </c>
      <c r="M1602" s="2">
        <v>88965.24</v>
      </c>
      <c r="N1602" t="s">
        <v>12003</v>
      </c>
      <c r="P1602" t="str">
        <f>CONCATENATE("'",Tabla1[[#This Row],[Codigo]],"',")</f>
        <v>'02583',</v>
      </c>
    </row>
    <row r="1603" spans="1:16" x14ac:dyDescent="0.25">
      <c r="A1603" t="s">
        <v>12004</v>
      </c>
      <c r="B1603" t="s">
        <v>12005</v>
      </c>
      <c r="C1603" t="s">
        <v>12005</v>
      </c>
      <c r="D1603" t="s">
        <v>178</v>
      </c>
      <c r="E1603" t="s">
        <v>179</v>
      </c>
      <c r="F1603" t="s">
        <v>12006</v>
      </c>
      <c r="G1603" t="s">
        <v>584</v>
      </c>
      <c r="H1603" t="s">
        <v>585</v>
      </c>
      <c r="I1603" t="s">
        <v>584</v>
      </c>
      <c r="J1603" t="s">
        <v>158</v>
      </c>
      <c r="K1603" t="s">
        <v>159</v>
      </c>
      <c r="L1603" t="s">
        <v>50</v>
      </c>
      <c r="M1603" s="2">
        <v>419419.81</v>
      </c>
      <c r="N1603" t="s">
        <v>12009</v>
      </c>
      <c r="P1603" t="str">
        <f>CONCATENATE("'",Tabla1[[#This Row],[Codigo]],"',")</f>
        <v>'02584',</v>
      </c>
    </row>
    <row r="1604" spans="1:16" x14ac:dyDescent="0.25">
      <c r="A1604" t="s">
        <v>12010</v>
      </c>
      <c r="B1604" t="s">
        <v>12011</v>
      </c>
      <c r="C1604" t="s">
        <v>12011</v>
      </c>
      <c r="D1604" t="s">
        <v>125</v>
      </c>
      <c r="E1604" t="s">
        <v>126</v>
      </c>
      <c r="F1604" t="s">
        <v>12012</v>
      </c>
      <c r="G1604" t="s">
        <v>12013</v>
      </c>
      <c r="H1604" t="s">
        <v>2159</v>
      </c>
      <c r="I1604" t="s">
        <v>2160</v>
      </c>
      <c r="J1604" t="s">
        <v>2320</v>
      </c>
      <c r="K1604" t="s">
        <v>2321</v>
      </c>
      <c r="L1604" t="s">
        <v>50</v>
      </c>
      <c r="M1604" s="2">
        <v>3044855.78</v>
      </c>
      <c r="N1604" t="s">
        <v>12016</v>
      </c>
      <c r="O1604" t="s">
        <v>52</v>
      </c>
      <c r="P1604" t="str">
        <f>CONCATENATE("'",Tabla1[[#This Row],[Codigo]],"',")</f>
        <v>'02586',</v>
      </c>
    </row>
    <row r="1605" spans="1:16" x14ac:dyDescent="0.25">
      <c r="A1605" t="s">
        <v>12017</v>
      </c>
      <c r="B1605" t="s">
        <v>12018</v>
      </c>
      <c r="C1605" t="s">
        <v>12018</v>
      </c>
      <c r="D1605" t="s">
        <v>1410</v>
      </c>
      <c r="E1605" t="s">
        <v>871</v>
      </c>
      <c r="F1605" t="s">
        <v>12019</v>
      </c>
      <c r="G1605" t="s">
        <v>252</v>
      </c>
      <c r="H1605" t="s">
        <v>254</v>
      </c>
      <c r="I1605" t="s">
        <v>255</v>
      </c>
      <c r="J1605" t="s">
        <v>4374</v>
      </c>
      <c r="K1605" t="s">
        <v>4375</v>
      </c>
      <c r="L1605" t="s">
        <v>50</v>
      </c>
      <c r="M1605" s="2">
        <v>76907.570000000007</v>
      </c>
      <c r="N1605" t="s">
        <v>12022</v>
      </c>
      <c r="O1605" t="s">
        <v>115</v>
      </c>
      <c r="P1605" t="str">
        <f>CONCATENATE("'",Tabla1[[#This Row],[Codigo]],"',")</f>
        <v>'02587',</v>
      </c>
    </row>
    <row r="1606" spans="1:16" x14ac:dyDescent="0.25">
      <c r="A1606" t="s">
        <v>12023</v>
      </c>
      <c r="B1606" t="s">
        <v>12024</v>
      </c>
      <c r="C1606" t="s">
        <v>12024</v>
      </c>
      <c r="D1606" t="s">
        <v>125</v>
      </c>
      <c r="E1606" t="s">
        <v>126</v>
      </c>
      <c r="F1606" t="s">
        <v>12025</v>
      </c>
      <c r="G1606" t="s">
        <v>41</v>
      </c>
      <c r="H1606" t="s">
        <v>40</v>
      </c>
      <c r="I1606" t="s">
        <v>41</v>
      </c>
      <c r="J1606" t="s">
        <v>42</v>
      </c>
      <c r="K1606" t="s">
        <v>43</v>
      </c>
      <c r="L1606" t="s">
        <v>50</v>
      </c>
      <c r="M1606" s="2">
        <v>6605.19</v>
      </c>
      <c r="N1606" t="s">
        <v>12026</v>
      </c>
      <c r="P1606" t="str">
        <f>CONCATENATE("'",Tabla1[[#This Row],[Codigo]],"',")</f>
        <v>'02588',</v>
      </c>
    </row>
    <row r="1607" spans="1:16" x14ac:dyDescent="0.25">
      <c r="A1607" t="s">
        <v>12027</v>
      </c>
      <c r="B1607" t="s">
        <v>12028</v>
      </c>
      <c r="C1607" t="s">
        <v>12028</v>
      </c>
      <c r="D1607" t="s">
        <v>344</v>
      </c>
      <c r="E1607" t="s">
        <v>167</v>
      </c>
      <c r="F1607" t="s">
        <v>12029</v>
      </c>
      <c r="G1607" t="s">
        <v>12030</v>
      </c>
      <c r="H1607" t="s">
        <v>12032</v>
      </c>
      <c r="I1607" t="s">
        <v>12033</v>
      </c>
      <c r="J1607" t="s">
        <v>2320</v>
      </c>
      <c r="K1607" t="s">
        <v>2321</v>
      </c>
      <c r="L1607" t="s">
        <v>50</v>
      </c>
      <c r="M1607" s="2">
        <v>298913.87</v>
      </c>
      <c r="N1607" t="s">
        <v>12035</v>
      </c>
      <c r="O1607" t="s">
        <v>115</v>
      </c>
      <c r="P1607" t="str">
        <f>CONCATENATE("'",Tabla1[[#This Row],[Codigo]],"',")</f>
        <v>'02589',</v>
      </c>
    </row>
    <row r="1608" spans="1:16" x14ac:dyDescent="0.25">
      <c r="A1608" t="s">
        <v>12041</v>
      </c>
      <c r="B1608" t="s">
        <v>12042</v>
      </c>
      <c r="C1608" t="s">
        <v>12042</v>
      </c>
      <c r="D1608" t="s">
        <v>888</v>
      </c>
      <c r="E1608" t="s">
        <v>167</v>
      </c>
      <c r="F1608" t="s">
        <v>12043</v>
      </c>
      <c r="G1608" t="s">
        <v>255</v>
      </c>
      <c r="H1608" t="s">
        <v>254</v>
      </c>
      <c r="I1608" t="s">
        <v>255</v>
      </c>
      <c r="J1608" t="s">
        <v>4374</v>
      </c>
      <c r="K1608" t="s">
        <v>4375</v>
      </c>
      <c r="L1608" t="s">
        <v>50</v>
      </c>
      <c r="M1608" s="2">
        <v>218170</v>
      </c>
      <c r="N1608" t="s">
        <v>64</v>
      </c>
      <c r="P1608" t="str">
        <f>CONCATENATE("'",Tabla1[[#This Row],[Codigo]],"',")</f>
        <v>'02591',</v>
      </c>
    </row>
    <row r="1609" spans="1:16" x14ac:dyDescent="0.25">
      <c r="A1609" t="s">
        <v>12046</v>
      </c>
      <c r="B1609" t="s">
        <v>12047</v>
      </c>
      <c r="C1609" t="s">
        <v>12047</v>
      </c>
      <c r="D1609" t="s">
        <v>870</v>
      </c>
      <c r="E1609" t="s">
        <v>871</v>
      </c>
      <c r="F1609" t="s">
        <v>12048</v>
      </c>
      <c r="G1609" t="s">
        <v>324</v>
      </c>
      <c r="H1609" t="s">
        <v>326</v>
      </c>
      <c r="I1609" t="s">
        <v>327</v>
      </c>
      <c r="J1609" t="s">
        <v>304</v>
      </c>
      <c r="K1609" t="s">
        <v>72</v>
      </c>
      <c r="L1609" t="s">
        <v>50</v>
      </c>
      <c r="M1609" s="2">
        <v>-130842.05</v>
      </c>
      <c r="N1609" t="s">
        <v>12050</v>
      </c>
      <c r="O1609" t="s">
        <v>115</v>
      </c>
      <c r="P1609" t="str">
        <f>CONCATENATE("'",Tabla1[[#This Row],[Codigo]],"',")</f>
        <v>'02592',</v>
      </c>
    </row>
    <row r="1610" spans="1:16" x14ac:dyDescent="0.25">
      <c r="A1610" t="s">
        <v>12054</v>
      </c>
      <c r="B1610" t="s">
        <v>12055</v>
      </c>
      <c r="C1610" t="s">
        <v>12055</v>
      </c>
      <c r="D1610" t="s">
        <v>35</v>
      </c>
      <c r="E1610" t="s">
        <v>36</v>
      </c>
      <c r="F1610" t="s">
        <v>12056</v>
      </c>
      <c r="G1610" t="s">
        <v>3396</v>
      </c>
      <c r="H1610" t="s">
        <v>3398</v>
      </c>
      <c r="I1610" t="s">
        <v>3399</v>
      </c>
      <c r="J1610" t="s">
        <v>304</v>
      </c>
      <c r="K1610" t="s">
        <v>72</v>
      </c>
      <c r="L1610" t="s">
        <v>50</v>
      </c>
      <c r="M1610" s="2">
        <v>1057813.17</v>
      </c>
      <c r="N1610" t="s">
        <v>12058</v>
      </c>
      <c r="O1610" t="s">
        <v>52</v>
      </c>
      <c r="P1610" t="str">
        <f>CONCATENATE("'",Tabla1[[#This Row],[Codigo]],"',")</f>
        <v>'02594',</v>
      </c>
    </row>
    <row r="1611" spans="1:16" x14ac:dyDescent="0.25">
      <c r="A1611" t="s">
        <v>12065</v>
      </c>
      <c r="B1611" t="s">
        <v>12066</v>
      </c>
      <c r="C1611" t="s">
        <v>12066</v>
      </c>
      <c r="D1611" t="s">
        <v>178</v>
      </c>
      <c r="E1611" t="s">
        <v>179</v>
      </c>
      <c r="F1611" t="s">
        <v>12067</v>
      </c>
      <c r="G1611" t="s">
        <v>255</v>
      </c>
      <c r="H1611" t="s">
        <v>254</v>
      </c>
      <c r="I1611" t="s">
        <v>255</v>
      </c>
      <c r="J1611" t="s">
        <v>256</v>
      </c>
      <c r="K1611" t="s">
        <v>255</v>
      </c>
      <c r="L1611" t="s">
        <v>50</v>
      </c>
      <c r="M1611" s="2">
        <v>327255</v>
      </c>
      <c r="N1611" t="s">
        <v>64</v>
      </c>
      <c r="P1611" t="str">
        <f>CONCATENATE("'",Tabla1[[#This Row],[Codigo]],"',")</f>
        <v>'02598',</v>
      </c>
    </row>
    <row r="1612" spans="1:16" x14ac:dyDescent="0.25">
      <c r="A1612" t="s">
        <v>12070</v>
      </c>
      <c r="B1612" t="s">
        <v>12071</v>
      </c>
      <c r="C1612" t="s">
        <v>12071</v>
      </c>
      <c r="D1612" t="s">
        <v>153</v>
      </c>
      <c r="E1612" t="s">
        <v>272</v>
      </c>
      <c r="F1612" t="s">
        <v>12072</v>
      </c>
      <c r="G1612" t="s">
        <v>255</v>
      </c>
      <c r="H1612" t="s">
        <v>254</v>
      </c>
      <c r="I1612" t="s">
        <v>255</v>
      </c>
      <c r="J1612" t="s">
        <v>256</v>
      </c>
      <c r="K1612" t="s">
        <v>255</v>
      </c>
      <c r="L1612" t="s">
        <v>50</v>
      </c>
      <c r="M1612" s="2">
        <v>10228.629999999999</v>
      </c>
      <c r="N1612" t="s">
        <v>12075</v>
      </c>
      <c r="O1612" t="s">
        <v>115</v>
      </c>
      <c r="P1612" t="str">
        <f>CONCATENATE("'",Tabla1[[#This Row],[Codigo]],"',")</f>
        <v>'02599',</v>
      </c>
    </row>
    <row r="1613" spans="1:16" x14ac:dyDescent="0.25">
      <c r="A1613" t="s">
        <v>12076</v>
      </c>
      <c r="B1613" t="s">
        <v>12077</v>
      </c>
      <c r="C1613" t="s">
        <v>12077</v>
      </c>
      <c r="D1613" t="s">
        <v>153</v>
      </c>
      <c r="E1613" t="s">
        <v>272</v>
      </c>
      <c r="F1613" t="s">
        <v>12078</v>
      </c>
      <c r="G1613" t="s">
        <v>5009</v>
      </c>
      <c r="H1613" t="s">
        <v>11459</v>
      </c>
      <c r="I1613" t="s">
        <v>11440</v>
      </c>
      <c r="J1613" t="s">
        <v>8938</v>
      </c>
      <c r="K1613" t="s">
        <v>8939</v>
      </c>
      <c r="L1613" t="s">
        <v>50</v>
      </c>
      <c r="M1613" s="2">
        <v>13558.93</v>
      </c>
      <c r="N1613" t="s">
        <v>12081</v>
      </c>
      <c r="O1613" t="s">
        <v>115</v>
      </c>
      <c r="P1613" t="str">
        <f>CONCATENATE("'",Tabla1[[#This Row],[Codigo]],"',")</f>
        <v>'02600',</v>
      </c>
    </row>
    <row r="1614" spans="1:16" x14ac:dyDescent="0.25">
      <c r="A1614" t="s">
        <v>12082</v>
      </c>
      <c r="B1614" t="s">
        <v>12083</v>
      </c>
      <c r="C1614" t="s">
        <v>12083</v>
      </c>
      <c r="D1614" t="s">
        <v>1865</v>
      </c>
      <c r="E1614" t="s">
        <v>224</v>
      </c>
      <c r="F1614" t="s">
        <v>12084</v>
      </c>
      <c r="G1614" t="s">
        <v>119</v>
      </c>
      <c r="H1614" t="s">
        <v>118</v>
      </c>
      <c r="I1614" t="s">
        <v>119</v>
      </c>
      <c r="J1614" t="s">
        <v>304</v>
      </c>
      <c r="K1614" t="s">
        <v>72</v>
      </c>
      <c r="L1614" t="s">
        <v>50</v>
      </c>
      <c r="M1614" s="2">
        <v>-138805.98000000001</v>
      </c>
      <c r="N1614" t="s">
        <v>12087</v>
      </c>
      <c r="O1614" t="s">
        <v>115</v>
      </c>
      <c r="P1614" t="str">
        <f>CONCATENATE("'",Tabla1[[#This Row],[Codigo]],"',")</f>
        <v>'02601',</v>
      </c>
    </row>
    <row r="1615" spans="1:16" x14ac:dyDescent="0.25">
      <c r="A1615" t="s">
        <v>12088</v>
      </c>
      <c r="B1615" t="s">
        <v>12089</v>
      </c>
      <c r="C1615" t="s">
        <v>12089</v>
      </c>
      <c r="D1615" t="s">
        <v>870</v>
      </c>
      <c r="E1615" t="s">
        <v>871</v>
      </c>
      <c r="F1615" t="s">
        <v>12090</v>
      </c>
      <c r="G1615" t="s">
        <v>324</v>
      </c>
      <c r="H1615" t="s">
        <v>326</v>
      </c>
      <c r="I1615" t="s">
        <v>327</v>
      </c>
      <c r="J1615" t="s">
        <v>304</v>
      </c>
      <c r="K1615" t="s">
        <v>72</v>
      </c>
      <c r="L1615" t="s">
        <v>50</v>
      </c>
      <c r="M1615" s="2">
        <v>-139370.4</v>
      </c>
      <c r="N1615" t="s">
        <v>12092</v>
      </c>
      <c r="O1615" t="s">
        <v>115</v>
      </c>
      <c r="P1615" t="str">
        <f>CONCATENATE("'",Tabla1[[#This Row],[Codigo]],"',")</f>
        <v>'02602',</v>
      </c>
    </row>
    <row r="1616" spans="1:16" x14ac:dyDescent="0.25">
      <c r="A1616" t="s">
        <v>12093</v>
      </c>
      <c r="B1616" t="s">
        <v>12094</v>
      </c>
      <c r="C1616" t="s">
        <v>12094</v>
      </c>
      <c r="D1616" t="s">
        <v>2687</v>
      </c>
      <c r="E1616" t="s">
        <v>190</v>
      </c>
      <c r="F1616" t="s">
        <v>12095</v>
      </c>
      <c r="G1616" t="s">
        <v>4180</v>
      </c>
      <c r="H1616" t="s">
        <v>1398</v>
      </c>
      <c r="I1616" t="s">
        <v>1396</v>
      </c>
      <c r="J1616" t="s">
        <v>304</v>
      </c>
      <c r="K1616" t="s">
        <v>72</v>
      </c>
      <c r="L1616" t="s">
        <v>50</v>
      </c>
      <c r="M1616" s="2">
        <v>-11903.93</v>
      </c>
      <c r="N1616" t="s">
        <v>12098</v>
      </c>
      <c r="O1616" t="s">
        <v>115</v>
      </c>
      <c r="P1616" t="str">
        <f>CONCATENATE("'",Tabla1[[#This Row],[Codigo]],"',")</f>
        <v>'02603',</v>
      </c>
    </row>
    <row r="1617" spans="1:16" x14ac:dyDescent="0.25">
      <c r="A1617" t="s">
        <v>12099</v>
      </c>
      <c r="B1617" t="s">
        <v>12100</v>
      </c>
      <c r="C1617" t="s">
        <v>12100</v>
      </c>
      <c r="D1617" t="s">
        <v>125</v>
      </c>
      <c r="E1617" t="s">
        <v>126</v>
      </c>
      <c r="F1617" t="s">
        <v>12101</v>
      </c>
      <c r="G1617" t="s">
        <v>3622</v>
      </c>
      <c r="H1617" t="s">
        <v>1730</v>
      </c>
      <c r="I1617" t="s">
        <v>1728</v>
      </c>
      <c r="J1617" t="s">
        <v>120</v>
      </c>
      <c r="K1617" t="s">
        <v>121</v>
      </c>
      <c r="L1617" t="s">
        <v>50</v>
      </c>
      <c r="M1617" s="2">
        <v>110536.02</v>
      </c>
      <c r="N1617" t="s">
        <v>12104</v>
      </c>
      <c r="O1617" t="s">
        <v>52</v>
      </c>
      <c r="P1617" t="str">
        <f>CONCATENATE("'",Tabla1[[#This Row],[Codigo]],"',")</f>
        <v>'02604',</v>
      </c>
    </row>
    <row r="1618" spans="1:16" x14ac:dyDescent="0.25">
      <c r="A1618" t="s">
        <v>12105</v>
      </c>
      <c r="B1618" t="s">
        <v>12106</v>
      </c>
      <c r="C1618" t="s">
        <v>12106</v>
      </c>
      <c r="D1618" t="s">
        <v>125</v>
      </c>
      <c r="E1618" t="s">
        <v>126</v>
      </c>
      <c r="F1618" t="s">
        <v>12107</v>
      </c>
      <c r="G1618" t="s">
        <v>3622</v>
      </c>
      <c r="H1618" t="s">
        <v>1730</v>
      </c>
      <c r="I1618" t="s">
        <v>1728</v>
      </c>
      <c r="J1618" t="s">
        <v>120</v>
      </c>
      <c r="K1618" t="s">
        <v>121</v>
      </c>
      <c r="L1618" t="s">
        <v>50</v>
      </c>
      <c r="M1618" s="2">
        <v>124604.47</v>
      </c>
      <c r="N1618" t="s">
        <v>12109</v>
      </c>
      <c r="O1618" t="s">
        <v>115</v>
      </c>
      <c r="P1618" t="str">
        <f>CONCATENATE("'",Tabla1[[#This Row],[Codigo]],"',")</f>
        <v>'02605',</v>
      </c>
    </row>
    <row r="1619" spans="1:16" x14ac:dyDescent="0.25">
      <c r="A1619" t="s">
        <v>12115</v>
      </c>
      <c r="B1619" t="s">
        <v>12116</v>
      </c>
      <c r="C1619" t="s">
        <v>12116</v>
      </c>
      <c r="D1619" t="s">
        <v>125</v>
      </c>
      <c r="E1619" t="s">
        <v>126</v>
      </c>
      <c r="F1619" t="s">
        <v>12117</v>
      </c>
      <c r="G1619" t="s">
        <v>12118</v>
      </c>
      <c r="H1619" t="s">
        <v>80</v>
      </c>
      <c r="I1619" t="s">
        <v>81</v>
      </c>
      <c r="J1619" t="s">
        <v>557</v>
      </c>
      <c r="K1619" t="s">
        <v>558</v>
      </c>
      <c r="L1619" t="s">
        <v>50</v>
      </c>
      <c r="M1619" s="2">
        <v>-6295.54</v>
      </c>
      <c r="N1619" t="s">
        <v>12121</v>
      </c>
      <c r="O1619" t="s">
        <v>115</v>
      </c>
      <c r="P1619" t="str">
        <f>CONCATENATE("'",Tabla1[[#This Row],[Codigo]],"',")</f>
        <v>'02607',</v>
      </c>
    </row>
    <row r="1620" spans="1:16" x14ac:dyDescent="0.25">
      <c r="A1620" t="s">
        <v>12122</v>
      </c>
      <c r="B1620" t="s">
        <v>12123</v>
      </c>
      <c r="C1620" t="s">
        <v>12123</v>
      </c>
      <c r="D1620" t="s">
        <v>344</v>
      </c>
      <c r="E1620" t="s">
        <v>167</v>
      </c>
      <c r="F1620" t="s">
        <v>12124</v>
      </c>
      <c r="G1620" t="s">
        <v>11694</v>
      </c>
      <c r="H1620" t="s">
        <v>2571</v>
      </c>
      <c r="I1620" t="s">
        <v>2572</v>
      </c>
      <c r="J1620" t="s">
        <v>6987</v>
      </c>
      <c r="K1620" t="s">
        <v>6988</v>
      </c>
      <c r="L1620" t="s">
        <v>50</v>
      </c>
      <c r="M1620" s="2">
        <v>360480</v>
      </c>
      <c r="N1620" t="s">
        <v>64</v>
      </c>
      <c r="P1620" t="str">
        <f>CONCATENATE("'",Tabla1[[#This Row],[Codigo]],"',")</f>
        <v>'02608',</v>
      </c>
    </row>
    <row r="1621" spans="1:16" x14ac:dyDescent="0.25">
      <c r="A1621" t="s">
        <v>12127</v>
      </c>
      <c r="B1621" t="s">
        <v>12128</v>
      </c>
      <c r="C1621" t="s">
        <v>12128</v>
      </c>
      <c r="D1621" t="s">
        <v>125</v>
      </c>
      <c r="E1621" t="s">
        <v>126</v>
      </c>
      <c r="F1621" t="s">
        <v>12129</v>
      </c>
      <c r="G1621" t="s">
        <v>7340</v>
      </c>
      <c r="H1621" t="s">
        <v>7341</v>
      </c>
      <c r="I1621" t="s">
        <v>7342</v>
      </c>
      <c r="J1621" t="s">
        <v>6987</v>
      </c>
      <c r="K1621" t="s">
        <v>6988</v>
      </c>
      <c r="L1621" t="s">
        <v>50</v>
      </c>
      <c r="M1621" s="2">
        <v>1347758.39</v>
      </c>
      <c r="N1621" t="s">
        <v>12132</v>
      </c>
      <c r="O1621" t="s">
        <v>52</v>
      </c>
      <c r="P1621" t="str">
        <f>CONCATENATE("'",Tabla1[[#This Row],[Codigo]],"',")</f>
        <v>'02609',</v>
      </c>
    </row>
    <row r="1622" spans="1:16" x14ac:dyDescent="0.25">
      <c r="A1622" t="s">
        <v>12133</v>
      </c>
      <c r="B1622" t="s">
        <v>12134</v>
      </c>
      <c r="C1622" t="s">
        <v>12134</v>
      </c>
      <c r="D1622" t="s">
        <v>297</v>
      </c>
      <c r="E1622" t="s">
        <v>167</v>
      </c>
      <c r="F1622" t="s">
        <v>12135</v>
      </c>
      <c r="G1622" t="s">
        <v>255</v>
      </c>
      <c r="H1622" t="s">
        <v>254</v>
      </c>
      <c r="I1622" t="s">
        <v>255</v>
      </c>
      <c r="J1622" t="s">
        <v>256</v>
      </c>
      <c r="K1622" t="s">
        <v>255</v>
      </c>
      <c r="L1622" t="s">
        <v>50</v>
      </c>
      <c r="M1622" s="2">
        <v>479974</v>
      </c>
      <c r="N1622" t="s">
        <v>64</v>
      </c>
      <c r="P1622" t="str">
        <f>CONCATENATE("'",Tabla1[[#This Row],[Codigo]],"',")</f>
        <v>'02610',</v>
      </c>
    </row>
    <row r="1623" spans="1:16" x14ac:dyDescent="0.25">
      <c r="A1623" t="s">
        <v>12138</v>
      </c>
      <c r="B1623" t="s">
        <v>12139</v>
      </c>
      <c r="C1623" t="s">
        <v>12139</v>
      </c>
      <c r="D1623" t="s">
        <v>35</v>
      </c>
      <c r="E1623" t="s">
        <v>36</v>
      </c>
      <c r="F1623" t="s">
        <v>12140</v>
      </c>
      <c r="G1623" t="s">
        <v>2831</v>
      </c>
      <c r="H1623" t="s">
        <v>80</v>
      </c>
      <c r="I1623" t="s">
        <v>81</v>
      </c>
      <c r="J1623" t="s">
        <v>557</v>
      </c>
      <c r="K1623" t="s">
        <v>558</v>
      </c>
      <c r="L1623" t="s">
        <v>50</v>
      </c>
      <c r="M1623" s="2">
        <v>246966.42</v>
      </c>
      <c r="N1623" t="s">
        <v>12143</v>
      </c>
      <c r="O1623" t="s">
        <v>115</v>
      </c>
      <c r="P1623" t="str">
        <f>CONCATENATE("'",Tabla1[[#This Row],[Codigo]],"',")</f>
        <v>'02611',</v>
      </c>
    </row>
    <row r="1624" spans="1:16" x14ac:dyDescent="0.25">
      <c r="A1624" t="s">
        <v>12144</v>
      </c>
      <c r="B1624" t="s">
        <v>12145</v>
      </c>
      <c r="C1624" t="s">
        <v>12145</v>
      </c>
      <c r="D1624" t="s">
        <v>553</v>
      </c>
      <c r="E1624" t="s">
        <v>167</v>
      </c>
      <c r="F1624" t="s">
        <v>12146</v>
      </c>
      <c r="G1624" t="s">
        <v>68</v>
      </c>
      <c r="H1624" t="s">
        <v>67</v>
      </c>
      <c r="I1624" t="s">
        <v>68</v>
      </c>
      <c r="J1624" t="s">
        <v>304</v>
      </c>
      <c r="K1624" t="s">
        <v>72</v>
      </c>
      <c r="L1624" t="s">
        <v>50</v>
      </c>
      <c r="M1624" s="2">
        <v>43634</v>
      </c>
      <c r="N1624" t="s">
        <v>64</v>
      </c>
      <c r="P1624" t="str">
        <f>CONCATENATE("'",Tabla1[[#This Row],[Codigo]],"',")</f>
        <v>'02612',</v>
      </c>
    </row>
    <row r="1625" spans="1:16" x14ac:dyDescent="0.25">
      <c r="A1625" t="s">
        <v>12151</v>
      </c>
      <c r="B1625" t="s">
        <v>12152</v>
      </c>
      <c r="C1625" t="s">
        <v>12152</v>
      </c>
      <c r="D1625" t="s">
        <v>125</v>
      </c>
      <c r="E1625" t="s">
        <v>126</v>
      </c>
      <c r="F1625" t="s">
        <v>12153</v>
      </c>
      <c r="G1625" t="s">
        <v>12154</v>
      </c>
      <c r="H1625" t="s">
        <v>12156</v>
      </c>
      <c r="I1625" t="s">
        <v>12157</v>
      </c>
      <c r="J1625" t="s">
        <v>10093</v>
      </c>
      <c r="K1625" t="s">
        <v>10094</v>
      </c>
      <c r="L1625" t="s">
        <v>50</v>
      </c>
      <c r="M1625" s="2">
        <v>80592.45</v>
      </c>
      <c r="N1625" t="s">
        <v>12159</v>
      </c>
      <c r="O1625" t="s">
        <v>52</v>
      </c>
      <c r="P1625" t="str">
        <f>CONCATENATE("'",Tabla1[[#This Row],[Codigo]],"',")</f>
        <v>'02614',</v>
      </c>
    </row>
    <row r="1626" spans="1:16" x14ac:dyDescent="0.25">
      <c r="A1626" t="s">
        <v>12160</v>
      </c>
      <c r="B1626" t="s">
        <v>12161</v>
      </c>
      <c r="C1626" t="s">
        <v>12161</v>
      </c>
      <c r="D1626" t="s">
        <v>35</v>
      </c>
      <c r="E1626" t="s">
        <v>36</v>
      </c>
      <c r="F1626" t="s">
        <v>12162</v>
      </c>
      <c r="G1626" t="s">
        <v>1444</v>
      </c>
      <c r="H1626" t="s">
        <v>1064</v>
      </c>
      <c r="I1626" t="s">
        <v>1062</v>
      </c>
      <c r="J1626" t="s">
        <v>304</v>
      </c>
      <c r="K1626" t="s">
        <v>72</v>
      </c>
      <c r="L1626" t="s">
        <v>50</v>
      </c>
      <c r="M1626" s="2">
        <v>-89392.37</v>
      </c>
      <c r="N1626" t="s">
        <v>12165</v>
      </c>
      <c r="O1626" t="s">
        <v>52</v>
      </c>
      <c r="P1626" t="str">
        <f>CONCATENATE("'",Tabla1[[#This Row],[Codigo]],"',")</f>
        <v>'02615',</v>
      </c>
    </row>
    <row r="1627" spans="1:16" x14ac:dyDescent="0.25">
      <c r="A1627" t="s">
        <v>12166</v>
      </c>
      <c r="B1627" t="s">
        <v>12167</v>
      </c>
      <c r="C1627" t="s">
        <v>12167</v>
      </c>
      <c r="D1627" t="s">
        <v>125</v>
      </c>
      <c r="E1627" t="s">
        <v>126</v>
      </c>
      <c r="F1627" t="s">
        <v>12168</v>
      </c>
      <c r="G1627" t="s">
        <v>391</v>
      </c>
      <c r="H1627" t="s">
        <v>393</v>
      </c>
      <c r="I1627" t="s">
        <v>394</v>
      </c>
      <c r="J1627" t="s">
        <v>61</v>
      </c>
      <c r="K1627" t="s">
        <v>62</v>
      </c>
      <c r="L1627" t="s">
        <v>50</v>
      </c>
      <c r="M1627" s="2">
        <v>145723.99</v>
      </c>
      <c r="N1627" t="s">
        <v>12171</v>
      </c>
      <c r="O1627" t="s">
        <v>52</v>
      </c>
      <c r="P1627" t="str">
        <f>CONCATENATE("'",Tabla1[[#This Row],[Codigo]],"',")</f>
        <v>'02616',</v>
      </c>
    </row>
    <row r="1628" spans="1:16" x14ac:dyDescent="0.25">
      <c r="A1628" t="s">
        <v>12172</v>
      </c>
      <c r="B1628" t="s">
        <v>12173</v>
      </c>
      <c r="C1628" t="s">
        <v>12173</v>
      </c>
      <c r="D1628" t="s">
        <v>2288</v>
      </c>
      <c r="E1628" t="s">
        <v>134</v>
      </c>
      <c r="F1628" t="s">
        <v>12174</v>
      </c>
      <c r="G1628" t="s">
        <v>1335</v>
      </c>
      <c r="H1628" t="s">
        <v>254</v>
      </c>
      <c r="I1628" t="s">
        <v>255</v>
      </c>
      <c r="J1628" t="s">
        <v>3534</v>
      </c>
      <c r="K1628" t="s">
        <v>3535</v>
      </c>
      <c r="L1628" t="s">
        <v>50</v>
      </c>
      <c r="M1628" s="2">
        <v>218170</v>
      </c>
      <c r="N1628" t="s">
        <v>64</v>
      </c>
      <c r="P1628" t="str">
        <f>CONCATENATE("'",Tabla1[[#This Row],[Codigo]],"',")</f>
        <v>'02617',</v>
      </c>
    </row>
    <row r="1629" spans="1:16" x14ac:dyDescent="0.25">
      <c r="A1629" t="s">
        <v>12177</v>
      </c>
      <c r="B1629" t="s">
        <v>12178</v>
      </c>
      <c r="C1629" t="s">
        <v>12178</v>
      </c>
      <c r="D1629" t="s">
        <v>12179</v>
      </c>
      <c r="E1629" t="s">
        <v>871</v>
      </c>
      <c r="F1629" t="s">
        <v>12180</v>
      </c>
      <c r="G1629" t="s">
        <v>5578</v>
      </c>
      <c r="H1629" t="s">
        <v>5580</v>
      </c>
      <c r="I1629" t="s">
        <v>5581</v>
      </c>
      <c r="J1629" t="s">
        <v>8938</v>
      </c>
      <c r="K1629" t="s">
        <v>8939</v>
      </c>
      <c r="L1629" t="s">
        <v>50</v>
      </c>
      <c r="M1629" s="2">
        <v>654510</v>
      </c>
      <c r="N1629" t="s">
        <v>64</v>
      </c>
      <c r="P1629" t="str">
        <f>CONCATENATE("'",Tabla1[[#This Row],[Codigo]],"',")</f>
        <v>'02618',</v>
      </c>
    </row>
    <row r="1630" spans="1:16" x14ac:dyDescent="0.25">
      <c r="A1630" t="s">
        <v>12183</v>
      </c>
      <c r="B1630" t="s">
        <v>12184</v>
      </c>
      <c r="C1630" t="s">
        <v>12184</v>
      </c>
      <c r="D1630" t="s">
        <v>125</v>
      </c>
      <c r="E1630" t="s">
        <v>126</v>
      </c>
      <c r="F1630" t="s">
        <v>12185</v>
      </c>
      <c r="G1630" t="s">
        <v>10761</v>
      </c>
      <c r="H1630" t="s">
        <v>10763</v>
      </c>
      <c r="I1630" t="s">
        <v>10764</v>
      </c>
      <c r="J1630" t="s">
        <v>10093</v>
      </c>
      <c r="K1630" t="s">
        <v>10094</v>
      </c>
      <c r="L1630" t="s">
        <v>50</v>
      </c>
      <c r="M1630" s="2">
        <v>275651.33</v>
      </c>
      <c r="N1630" t="s">
        <v>12188</v>
      </c>
      <c r="O1630" t="s">
        <v>52</v>
      </c>
      <c r="P1630" t="str">
        <f>CONCATENATE("'",Tabla1[[#This Row],[Codigo]],"',")</f>
        <v>'02619',</v>
      </c>
    </row>
    <row r="1631" spans="1:16" x14ac:dyDescent="0.25">
      <c r="A1631" t="s">
        <v>12189</v>
      </c>
      <c r="B1631" t="s">
        <v>12190</v>
      </c>
      <c r="C1631" t="s">
        <v>12190</v>
      </c>
      <c r="D1631" t="s">
        <v>125</v>
      </c>
      <c r="E1631" t="s">
        <v>126</v>
      </c>
      <c r="F1631" t="s">
        <v>12191</v>
      </c>
      <c r="G1631" t="s">
        <v>939</v>
      </c>
      <c r="H1631" t="s">
        <v>879</v>
      </c>
      <c r="I1631" t="s">
        <v>877</v>
      </c>
      <c r="J1631" t="s">
        <v>304</v>
      </c>
      <c r="K1631" t="s">
        <v>72</v>
      </c>
      <c r="L1631" t="s">
        <v>50</v>
      </c>
      <c r="M1631" s="2">
        <v>180931.33</v>
      </c>
      <c r="N1631" t="s">
        <v>12193</v>
      </c>
      <c r="O1631" t="s">
        <v>52</v>
      </c>
      <c r="P1631" t="str">
        <f>CONCATENATE("'",Tabla1[[#This Row],[Codigo]],"',")</f>
        <v>'02620',</v>
      </c>
    </row>
    <row r="1632" spans="1:16" x14ac:dyDescent="0.25">
      <c r="A1632" t="s">
        <v>12194</v>
      </c>
      <c r="B1632" t="s">
        <v>12195</v>
      </c>
      <c r="C1632" t="s">
        <v>12195</v>
      </c>
      <c r="D1632" t="s">
        <v>125</v>
      </c>
      <c r="E1632" t="s">
        <v>126</v>
      </c>
      <c r="F1632" t="s">
        <v>10221</v>
      </c>
      <c r="G1632" t="s">
        <v>10141</v>
      </c>
      <c r="H1632" t="s">
        <v>7936</v>
      </c>
      <c r="I1632" t="s">
        <v>7935</v>
      </c>
      <c r="J1632" t="s">
        <v>10093</v>
      </c>
      <c r="K1632" t="s">
        <v>10094</v>
      </c>
      <c r="L1632" t="s">
        <v>50</v>
      </c>
      <c r="M1632" s="2">
        <v>-2325.4499999999998</v>
      </c>
      <c r="N1632" t="s">
        <v>12196</v>
      </c>
      <c r="O1632" t="s">
        <v>115</v>
      </c>
      <c r="P1632" t="str">
        <f>CONCATENATE("'",Tabla1[[#This Row],[Codigo]],"',")</f>
        <v>'02621',</v>
      </c>
    </row>
    <row r="1633" spans="1:16" x14ac:dyDescent="0.25">
      <c r="A1633" t="s">
        <v>12197</v>
      </c>
      <c r="B1633" t="s">
        <v>12198</v>
      </c>
      <c r="C1633" t="s">
        <v>12198</v>
      </c>
      <c r="D1633" t="s">
        <v>1633</v>
      </c>
      <c r="E1633" t="s">
        <v>1502</v>
      </c>
      <c r="F1633" t="s">
        <v>12199</v>
      </c>
      <c r="G1633" t="s">
        <v>327</v>
      </c>
      <c r="H1633" t="s">
        <v>326</v>
      </c>
      <c r="I1633" t="s">
        <v>327</v>
      </c>
      <c r="J1633" t="s">
        <v>304</v>
      </c>
      <c r="K1633" t="s">
        <v>72</v>
      </c>
      <c r="L1633" t="s">
        <v>50</v>
      </c>
      <c r="M1633" s="2">
        <v>-143260.13</v>
      </c>
      <c r="N1633" t="s">
        <v>12201</v>
      </c>
      <c r="O1633" t="s">
        <v>115</v>
      </c>
      <c r="P1633" t="str">
        <f>CONCATENATE("'",Tabla1[[#This Row],[Codigo]],"',")</f>
        <v>'02622',</v>
      </c>
    </row>
    <row r="1634" spans="1:16" x14ac:dyDescent="0.25">
      <c r="A1634" t="s">
        <v>12202</v>
      </c>
      <c r="B1634" t="s">
        <v>12203</v>
      </c>
      <c r="C1634" t="s">
        <v>12203</v>
      </c>
      <c r="D1634" t="s">
        <v>35</v>
      </c>
      <c r="E1634" t="s">
        <v>36</v>
      </c>
      <c r="F1634" t="s">
        <v>12204</v>
      </c>
      <c r="G1634" t="s">
        <v>10141</v>
      </c>
      <c r="H1634" t="s">
        <v>7936</v>
      </c>
      <c r="I1634" t="s">
        <v>7935</v>
      </c>
      <c r="J1634" t="s">
        <v>10093</v>
      </c>
      <c r="K1634" t="s">
        <v>10094</v>
      </c>
      <c r="L1634" t="s">
        <v>50</v>
      </c>
      <c r="M1634" s="2">
        <v>388100.04</v>
      </c>
      <c r="N1634" t="s">
        <v>12207</v>
      </c>
      <c r="O1634" t="s">
        <v>52</v>
      </c>
      <c r="P1634" t="str">
        <f>CONCATENATE("'",Tabla1[[#This Row],[Codigo]],"',")</f>
        <v>'02623',</v>
      </c>
    </row>
    <row r="1635" spans="1:16" x14ac:dyDescent="0.25">
      <c r="A1635" t="s">
        <v>12208</v>
      </c>
      <c r="B1635" t="s">
        <v>12209</v>
      </c>
      <c r="C1635" t="s">
        <v>12209</v>
      </c>
      <c r="D1635" t="s">
        <v>178</v>
      </c>
      <c r="E1635" t="s">
        <v>179</v>
      </c>
      <c r="F1635" t="s">
        <v>12210</v>
      </c>
      <c r="G1635" t="s">
        <v>10141</v>
      </c>
      <c r="H1635" t="s">
        <v>7936</v>
      </c>
      <c r="I1635" t="s">
        <v>7935</v>
      </c>
      <c r="J1635" t="s">
        <v>10093</v>
      </c>
      <c r="K1635" t="s">
        <v>10094</v>
      </c>
      <c r="L1635" t="s">
        <v>50</v>
      </c>
      <c r="M1635" s="2">
        <v>60948.97</v>
      </c>
      <c r="N1635" t="s">
        <v>12213</v>
      </c>
      <c r="O1635" t="s">
        <v>115</v>
      </c>
      <c r="P1635" t="str">
        <f>CONCATENATE("'",Tabla1[[#This Row],[Codigo]],"',")</f>
        <v>'02625',</v>
      </c>
    </row>
    <row r="1636" spans="1:16" x14ac:dyDescent="0.25">
      <c r="A1636" t="s">
        <v>12214</v>
      </c>
      <c r="B1636" t="s">
        <v>12215</v>
      </c>
      <c r="C1636" t="s">
        <v>12215</v>
      </c>
      <c r="D1636" t="s">
        <v>323</v>
      </c>
      <c r="E1636" t="s">
        <v>77</v>
      </c>
      <c r="F1636" t="s">
        <v>12216</v>
      </c>
      <c r="G1636" t="s">
        <v>12217</v>
      </c>
      <c r="H1636" t="s">
        <v>11459</v>
      </c>
      <c r="I1636" t="s">
        <v>11440</v>
      </c>
      <c r="J1636" t="s">
        <v>557</v>
      </c>
      <c r="K1636" t="s">
        <v>558</v>
      </c>
      <c r="L1636" t="s">
        <v>50</v>
      </c>
      <c r="M1636" s="2">
        <v>218</v>
      </c>
      <c r="N1636" t="s">
        <v>64</v>
      </c>
      <c r="P1636" t="str">
        <f>CONCATENATE("'",Tabla1[[#This Row],[Codigo]],"',")</f>
        <v>'02626',</v>
      </c>
    </row>
    <row r="1637" spans="1:16" x14ac:dyDescent="0.25">
      <c r="A1637" t="s">
        <v>12219</v>
      </c>
      <c r="B1637" t="s">
        <v>12220</v>
      </c>
      <c r="C1637" t="s">
        <v>12220</v>
      </c>
      <c r="D1637" t="s">
        <v>569</v>
      </c>
      <c r="E1637" t="s">
        <v>570</v>
      </c>
      <c r="F1637" t="s">
        <v>12221</v>
      </c>
      <c r="G1637" t="s">
        <v>41</v>
      </c>
      <c r="H1637" t="s">
        <v>40</v>
      </c>
      <c r="I1637" t="s">
        <v>41</v>
      </c>
      <c r="J1637" t="s">
        <v>42</v>
      </c>
      <c r="K1637" t="s">
        <v>43</v>
      </c>
      <c r="L1637" t="s">
        <v>50</v>
      </c>
      <c r="M1637" s="2">
        <v>21817</v>
      </c>
      <c r="N1637" t="s">
        <v>64</v>
      </c>
      <c r="P1637" t="str">
        <f>CONCATENATE("'",Tabla1[[#This Row],[Codigo]],"',")</f>
        <v>'02628',</v>
      </c>
    </row>
    <row r="1638" spans="1:16" x14ac:dyDescent="0.25">
      <c r="A1638" t="s">
        <v>12222</v>
      </c>
      <c r="B1638" t="s">
        <v>12223</v>
      </c>
      <c r="C1638" t="s">
        <v>12223</v>
      </c>
      <c r="D1638" t="s">
        <v>4647</v>
      </c>
      <c r="E1638" t="s">
        <v>224</v>
      </c>
      <c r="F1638" t="s">
        <v>12224</v>
      </c>
      <c r="G1638" t="s">
        <v>252</v>
      </c>
      <c r="H1638" t="s">
        <v>254</v>
      </c>
      <c r="I1638" t="s">
        <v>255</v>
      </c>
      <c r="J1638" t="s">
        <v>4374</v>
      </c>
      <c r="K1638" t="s">
        <v>4375</v>
      </c>
      <c r="L1638" t="s">
        <v>50</v>
      </c>
      <c r="M1638" s="2">
        <v>258320.8</v>
      </c>
      <c r="N1638" t="s">
        <v>12227</v>
      </c>
      <c r="O1638" t="s">
        <v>115</v>
      </c>
      <c r="P1638" t="str">
        <f>CONCATENATE("'",Tabla1[[#This Row],[Codigo]],"',")</f>
        <v>'02631',</v>
      </c>
    </row>
    <row r="1639" spans="1:16" x14ac:dyDescent="0.25">
      <c r="A1639" t="s">
        <v>12228</v>
      </c>
      <c r="B1639" t="s">
        <v>12229</v>
      </c>
      <c r="C1639" t="s">
        <v>12229</v>
      </c>
      <c r="D1639" t="s">
        <v>35</v>
      </c>
      <c r="E1639" t="s">
        <v>36</v>
      </c>
      <c r="F1639" t="s">
        <v>12230</v>
      </c>
      <c r="G1639" t="s">
        <v>7340</v>
      </c>
      <c r="H1639" t="s">
        <v>7341</v>
      </c>
      <c r="I1639" t="s">
        <v>7342</v>
      </c>
      <c r="J1639" t="s">
        <v>6987</v>
      </c>
      <c r="K1639" t="s">
        <v>6988</v>
      </c>
      <c r="L1639" t="s">
        <v>50</v>
      </c>
      <c r="M1639" s="2">
        <v>41068.120000000003</v>
      </c>
      <c r="N1639" t="s">
        <v>12233</v>
      </c>
      <c r="O1639" t="s">
        <v>115</v>
      </c>
      <c r="P1639" t="str">
        <f>CONCATENATE("'",Tabla1[[#This Row],[Codigo]],"',")</f>
        <v>'02632',</v>
      </c>
    </row>
    <row r="1640" spans="1:16" x14ac:dyDescent="0.25">
      <c r="A1640" t="s">
        <v>12234</v>
      </c>
      <c r="B1640" t="s">
        <v>12235</v>
      </c>
      <c r="C1640" t="s">
        <v>12236</v>
      </c>
      <c r="D1640" t="s">
        <v>153</v>
      </c>
      <c r="E1640" t="s">
        <v>272</v>
      </c>
      <c r="F1640" t="s">
        <v>12237</v>
      </c>
      <c r="G1640" t="s">
        <v>402</v>
      </c>
      <c r="H1640" t="s">
        <v>403</v>
      </c>
      <c r="I1640" t="s">
        <v>404</v>
      </c>
      <c r="J1640" t="s">
        <v>158</v>
      </c>
      <c r="K1640" t="s">
        <v>159</v>
      </c>
      <c r="L1640" t="s">
        <v>50</v>
      </c>
      <c r="M1640" s="2">
        <v>1891495.46</v>
      </c>
      <c r="N1640" t="s">
        <v>12240</v>
      </c>
      <c r="O1640" t="s">
        <v>52</v>
      </c>
      <c r="P1640" t="str">
        <f>CONCATENATE("'",Tabla1[[#This Row],[Codigo]],"',")</f>
        <v>'02633',</v>
      </c>
    </row>
    <row r="1641" spans="1:16" x14ac:dyDescent="0.25">
      <c r="A1641" t="s">
        <v>12241</v>
      </c>
      <c r="B1641" t="s">
        <v>12242</v>
      </c>
      <c r="C1641" t="s">
        <v>12242</v>
      </c>
      <c r="D1641" t="s">
        <v>35</v>
      </c>
      <c r="E1641" t="s">
        <v>36</v>
      </c>
      <c r="F1641" t="s">
        <v>12243</v>
      </c>
      <c r="G1641" t="s">
        <v>404</v>
      </c>
      <c r="H1641" t="s">
        <v>403</v>
      </c>
      <c r="I1641" t="s">
        <v>404</v>
      </c>
      <c r="J1641" t="s">
        <v>205</v>
      </c>
      <c r="K1641" t="s">
        <v>206</v>
      </c>
      <c r="L1641" t="s">
        <v>50</v>
      </c>
      <c r="M1641" s="2">
        <v>2164755.7999999998</v>
      </c>
      <c r="N1641" t="s">
        <v>12246</v>
      </c>
      <c r="O1641" t="s">
        <v>52</v>
      </c>
      <c r="P1641" t="str">
        <f>CONCATENATE("'",Tabla1[[#This Row],[Codigo]],"',")</f>
        <v>'02634',</v>
      </c>
    </row>
    <row r="1642" spans="1:16" x14ac:dyDescent="0.25">
      <c r="A1642" t="s">
        <v>12247</v>
      </c>
      <c r="B1642" t="s">
        <v>12248</v>
      </c>
      <c r="C1642" t="s">
        <v>12248</v>
      </c>
      <c r="D1642" t="s">
        <v>125</v>
      </c>
      <c r="E1642" t="s">
        <v>126</v>
      </c>
      <c r="F1642" t="s">
        <v>12249</v>
      </c>
      <c r="G1642" t="s">
        <v>12250</v>
      </c>
      <c r="H1642" t="s">
        <v>826</v>
      </c>
      <c r="I1642" t="s">
        <v>827</v>
      </c>
      <c r="J1642" t="s">
        <v>4315</v>
      </c>
      <c r="K1642" t="s">
        <v>4316</v>
      </c>
      <c r="L1642" t="s">
        <v>50</v>
      </c>
      <c r="M1642" s="2">
        <v>56923.7</v>
      </c>
      <c r="N1642" t="s">
        <v>12252</v>
      </c>
      <c r="O1642" t="s">
        <v>52</v>
      </c>
      <c r="P1642" t="str">
        <f>CONCATENATE("'",Tabla1[[#This Row],[Codigo]],"',")</f>
        <v>'02635',</v>
      </c>
    </row>
    <row r="1643" spans="1:16" x14ac:dyDescent="0.25">
      <c r="A1643" t="s">
        <v>12253</v>
      </c>
      <c r="B1643" t="s">
        <v>12254</v>
      </c>
      <c r="C1643" t="s">
        <v>12254</v>
      </c>
      <c r="D1643" t="s">
        <v>125</v>
      </c>
      <c r="E1643" t="s">
        <v>126</v>
      </c>
      <c r="F1643" t="s">
        <v>12255</v>
      </c>
      <c r="G1643" t="s">
        <v>6670</v>
      </c>
      <c r="H1643" t="s">
        <v>5112</v>
      </c>
      <c r="I1643" t="s">
        <v>5110</v>
      </c>
      <c r="J1643" t="s">
        <v>256</v>
      </c>
      <c r="K1643" t="s">
        <v>255</v>
      </c>
      <c r="L1643" t="s">
        <v>50</v>
      </c>
      <c r="M1643" s="2">
        <v>82685.87</v>
      </c>
      <c r="N1643" t="s">
        <v>12258</v>
      </c>
      <c r="O1643" t="s">
        <v>52</v>
      </c>
      <c r="P1643" t="str">
        <f>CONCATENATE("'",Tabla1[[#This Row],[Codigo]],"',")</f>
        <v>'02636',</v>
      </c>
    </row>
    <row r="1644" spans="1:16" x14ac:dyDescent="0.25">
      <c r="A1644" t="s">
        <v>12259</v>
      </c>
      <c r="B1644" t="s">
        <v>12260</v>
      </c>
      <c r="C1644" t="s">
        <v>12260</v>
      </c>
      <c r="D1644" t="s">
        <v>2286</v>
      </c>
      <c r="E1644" t="s">
        <v>134</v>
      </c>
      <c r="F1644" t="s">
        <v>12261</v>
      </c>
      <c r="G1644" t="s">
        <v>1062</v>
      </c>
      <c r="H1644" t="s">
        <v>1064</v>
      </c>
      <c r="I1644" t="s">
        <v>1062</v>
      </c>
      <c r="J1644" t="s">
        <v>304</v>
      </c>
      <c r="K1644" t="s">
        <v>72</v>
      </c>
      <c r="L1644" t="s">
        <v>50</v>
      </c>
      <c r="M1644" s="2">
        <v>130902</v>
      </c>
      <c r="N1644" t="s">
        <v>64</v>
      </c>
      <c r="P1644" t="str">
        <f>CONCATENATE("'",Tabla1[[#This Row],[Codigo]],"',")</f>
        <v>'02639',</v>
      </c>
    </row>
    <row r="1645" spans="1:16" x14ac:dyDescent="0.25">
      <c r="A1645" t="s">
        <v>12264</v>
      </c>
      <c r="B1645" t="s">
        <v>12265</v>
      </c>
      <c r="C1645" t="s">
        <v>12265</v>
      </c>
      <c r="D1645" t="s">
        <v>299</v>
      </c>
      <c r="E1645" t="s">
        <v>167</v>
      </c>
      <c r="F1645" t="s">
        <v>12266</v>
      </c>
      <c r="G1645" t="s">
        <v>12267</v>
      </c>
      <c r="H1645" t="s">
        <v>8208</v>
      </c>
      <c r="I1645" t="s">
        <v>8209</v>
      </c>
      <c r="J1645" t="s">
        <v>3487</v>
      </c>
      <c r="K1645" t="s">
        <v>3488</v>
      </c>
      <c r="L1645" t="s">
        <v>50</v>
      </c>
      <c r="M1645" s="2">
        <v>797756.25</v>
      </c>
      <c r="N1645" t="s">
        <v>12270</v>
      </c>
      <c r="O1645" t="s">
        <v>52</v>
      </c>
      <c r="P1645" t="str">
        <f>CONCATENATE("'",Tabla1[[#This Row],[Codigo]],"',")</f>
        <v>'02640',</v>
      </c>
    </row>
    <row r="1646" spans="1:16" x14ac:dyDescent="0.25">
      <c r="A1646" t="s">
        <v>12271</v>
      </c>
      <c r="B1646" t="s">
        <v>12272</v>
      </c>
      <c r="C1646" t="s">
        <v>12273</v>
      </c>
      <c r="D1646" t="s">
        <v>125</v>
      </c>
      <c r="E1646" t="s">
        <v>126</v>
      </c>
      <c r="F1646" t="s">
        <v>8421</v>
      </c>
      <c r="G1646" t="s">
        <v>11583</v>
      </c>
      <c r="H1646" t="s">
        <v>445</v>
      </c>
      <c r="I1646" t="s">
        <v>446</v>
      </c>
      <c r="J1646" t="s">
        <v>4315</v>
      </c>
      <c r="K1646" t="s">
        <v>4316</v>
      </c>
      <c r="L1646" t="s">
        <v>50</v>
      </c>
      <c r="M1646" s="2">
        <v>50554.31</v>
      </c>
      <c r="N1646" t="s">
        <v>12275</v>
      </c>
      <c r="O1646" t="s">
        <v>52</v>
      </c>
      <c r="P1646" t="str">
        <f>CONCATENATE("'",Tabla1[[#This Row],[Codigo]],"',")</f>
        <v>'02641',</v>
      </c>
    </row>
    <row r="1647" spans="1:16" x14ac:dyDescent="0.25">
      <c r="A1647" t="s">
        <v>12276</v>
      </c>
      <c r="B1647" t="s">
        <v>12277</v>
      </c>
      <c r="C1647" t="s">
        <v>12277</v>
      </c>
      <c r="D1647" t="s">
        <v>223</v>
      </c>
      <c r="E1647" t="s">
        <v>224</v>
      </c>
      <c r="F1647" t="s">
        <v>12278</v>
      </c>
      <c r="G1647" t="s">
        <v>1335</v>
      </c>
      <c r="H1647" t="s">
        <v>254</v>
      </c>
      <c r="I1647" t="s">
        <v>255</v>
      </c>
      <c r="J1647" t="s">
        <v>4374</v>
      </c>
      <c r="K1647" t="s">
        <v>4375</v>
      </c>
      <c r="L1647" t="s">
        <v>50</v>
      </c>
      <c r="M1647" s="2">
        <v>196353</v>
      </c>
      <c r="N1647" t="s">
        <v>64</v>
      </c>
      <c r="P1647" t="str">
        <f>CONCATENATE("'",Tabla1[[#This Row],[Codigo]],"',")</f>
        <v>'02642',</v>
      </c>
    </row>
    <row r="1648" spans="1:16" x14ac:dyDescent="0.25">
      <c r="A1648" t="s">
        <v>12286</v>
      </c>
      <c r="B1648" t="s">
        <v>12287</v>
      </c>
      <c r="C1648" t="s">
        <v>12287</v>
      </c>
      <c r="D1648" t="s">
        <v>847</v>
      </c>
      <c r="E1648" t="s">
        <v>848</v>
      </c>
      <c r="F1648" t="s">
        <v>12288</v>
      </c>
      <c r="G1648" t="s">
        <v>1335</v>
      </c>
      <c r="H1648" t="s">
        <v>254</v>
      </c>
      <c r="I1648" t="s">
        <v>255</v>
      </c>
      <c r="J1648" t="s">
        <v>4374</v>
      </c>
      <c r="K1648" t="s">
        <v>4375</v>
      </c>
      <c r="L1648" t="s">
        <v>50</v>
      </c>
      <c r="M1648" s="2">
        <v>14883.08</v>
      </c>
      <c r="N1648" t="s">
        <v>12291</v>
      </c>
      <c r="O1648" t="s">
        <v>52</v>
      </c>
      <c r="P1648" t="str">
        <f>CONCATENATE("'",Tabla1[[#This Row],[Codigo]],"',")</f>
        <v>'02644',</v>
      </c>
    </row>
    <row r="1649" spans="1:16" x14ac:dyDescent="0.25">
      <c r="A1649" t="s">
        <v>12295</v>
      </c>
      <c r="B1649" t="s">
        <v>12296</v>
      </c>
      <c r="C1649" t="s">
        <v>9169</v>
      </c>
      <c r="D1649" t="s">
        <v>35</v>
      </c>
      <c r="E1649" t="s">
        <v>36</v>
      </c>
      <c r="F1649" t="s">
        <v>9170</v>
      </c>
      <c r="G1649" t="s">
        <v>12294</v>
      </c>
      <c r="H1649" t="s">
        <v>7585</v>
      </c>
      <c r="I1649" t="s">
        <v>7586</v>
      </c>
      <c r="J1649" t="s">
        <v>5966</v>
      </c>
      <c r="K1649" t="s">
        <v>5739</v>
      </c>
      <c r="L1649" t="s">
        <v>50</v>
      </c>
      <c r="M1649" s="2">
        <v>20699.490000000002</v>
      </c>
      <c r="N1649" t="s">
        <v>12297</v>
      </c>
      <c r="O1649" t="s">
        <v>52</v>
      </c>
      <c r="P1649" t="str">
        <f>CONCATENATE("'",Tabla1[[#This Row],[Codigo]],"',")</f>
        <v>'02646',</v>
      </c>
    </row>
    <row r="1650" spans="1:16" x14ac:dyDescent="0.25">
      <c r="A1650" t="s">
        <v>12298</v>
      </c>
      <c r="B1650" t="s">
        <v>12299</v>
      </c>
      <c r="C1650" t="s">
        <v>12299</v>
      </c>
      <c r="D1650" t="s">
        <v>35</v>
      </c>
      <c r="E1650" t="s">
        <v>36</v>
      </c>
      <c r="F1650" t="s">
        <v>4022</v>
      </c>
      <c r="G1650" t="s">
        <v>1581</v>
      </c>
      <c r="H1650" t="s">
        <v>203</v>
      </c>
      <c r="I1650" t="s">
        <v>204</v>
      </c>
      <c r="J1650" t="s">
        <v>205</v>
      </c>
      <c r="K1650" t="s">
        <v>206</v>
      </c>
      <c r="L1650" t="s">
        <v>50</v>
      </c>
      <c r="M1650" s="2">
        <v>67548.81</v>
      </c>
      <c r="N1650" t="s">
        <v>12301</v>
      </c>
      <c r="O1650" t="s">
        <v>115</v>
      </c>
      <c r="P1650" t="str">
        <f>CONCATENATE("'",Tabla1[[#This Row],[Codigo]],"',")</f>
        <v>'02647',</v>
      </c>
    </row>
    <row r="1651" spans="1:16" x14ac:dyDescent="0.25">
      <c r="A1651" t="s">
        <v>12302</v>
      </c>
      <c r="B1651" t="s">
        <v>12303</v>
      </c>
      <c r="C1651" t="s">
        <v>12303</v>
      </c>
      <c r="D1651" t="s">
        <v>847</v>
      </c>
      <c r="E1651" t="s">
        <v>848</v>
      </c>
      <c r="F1651" t="s">
        <v>12304</v>
      </c>
      <c r="G1651" t="s">
        <v>12305</v>
      </c>
      <c r="H1651" t="s">
        <v>6458</v>
      </c>
      <c r="I1651" t="s">
        <v>6459</v>
      </c>
      <c r="J1651" t="s">
        <v>557</v>
      </c>
      <c r="K1651" t="s">
        <v>558</v>
      </c>
      <c r="L1651" t="s">
        <v>50</v>
      </c>
      <c r="M1651" s="2">
        <v>87963.87</v>
      </c>
      <c r="N1651" t="s">
        <v>12308</v>
      </c>
      <c r="O1651" t="s">
        <v>52</v>
      </c>
      <c r="P1651" t="str">
        <f>CONCATENATE("'",Tabla1[[#This Row],[Codigo]],"',")</f>
        <v>'02648',</v>
      </c>
    </row>
    <row r="1652" spans="1:16" x14ac:dyDescent="0.25">
      <c r="A1652" t="s">
        <v>12309</v>
      </c>
      <c r="B1652" t="s">
        <v>12310</v>
      </c>
      <c r="C1652" t="s">
        <v>12310</v>
      </c>
      <c r="D1652" t="s">
        <v>3192</v>
      </c>
      <c r="E1652" t="s">
        <v>224</v>
      </c>
      <c r="F1652" t="s">
        <v>12311</v>
      </c>
      <c r="G1652" t="s">
        <v>252</v>
      </c>
      <c r="H1652" t="s">
        <v>254</v>
      </c>
      <c r="I1652" t="s">
        <v>255</v>
      </c>
      <c r="J1652" t="s">
        <v>4374</v>
      </c>
      <c r="K1652" t="s">
        <v>4375</v>
      </c>
      <c r="L1652" t="s">
        <v>50</v>
      </c>
      <c r="M1652" s="2">
        <v>96175.3</v>
      </c>
      <c r="N1652" t="s">
        <v>12314</v>
      </c>
      <c r="O1652" t="s">
        <v>115</v>
      </c>
      <c r="P1652" t="str">
        <f>CONCATENATE("'",Tabla1[[#This Row],[Codigo]],"',")</f>
        <v>'02649',</v>
      </c>
    </row>
    <row r="1653" spans="1:16" x14ac:dyDescent="0.25">
      <c r="A1653" t="s">
        <v>12315</v>
      </c>
      <c r="B1653" t="s">
        <v>15199</v>
      </c>
      <c r="C1653" t="s">
        <v>12316</v>
      </c>
      <c r="D1653" t="s">
        <v>299</v>
      </c>
      <c r="E1653" t="s">
        <v>167</v>
      </c>
      <c r="F1653" t="s">
        <v>12317</v>
      </c>
      <c r="G1653" t="s">
        <v>139</v>
      </c>
      <c r="H1653" t="s">
        <v>8853</v>
      </c>
      <c r="I1653" t="s">
        <v>139</v>
      </c>
      <c r="J1653" t="s">
        <v>941</v>
      </c>
      <c r="K1653" t="s">
        <v>139</v>
      </c>
      <c r="L1653" t="s">
        <v>50</v>
      </c>
      <c r="M1653" s="2">
        <v>218170</v>
      </c>
      <c r="N1653" t="s">
        <v>64</v>
      </c>
      <c r="P1653" t="str">
        <f>CONCATENATE("'",Tabla1[[#This Row],[Codigo]],"',")</f>
        <v>'02650',</v>
      </c>
    </row>
    <row r="1654" spans="1:16" x14ac:dyDescent="0.25">
      <c r="A1654" t="s">
        <v>12320</v>
      </c>
      <c r="B1654" t="s">
        <v>12321</v>
      </c>
      <c r="C1654" t="s">
        <v>12321</v>
      </c>
      <c r="D1654" t="s">
        <v>153</v>
      </c>
      <c r="E1654" t="s">
        <v>272</v>
      </c>
      <c r="F1654" t="s">
        <v>4931</v>
      </c>
      <c r="G1654" t="s">
        <v>2647</v>
      </c>
      <c r="H1654" t="s">
        <v>1362</v>
      </c>
      <c r="I1654" t="s">
        <v>1360</v>
      </c>
      <c r="J1654" t="s">
        <v>1421</v>
      </c>
      <c r="K1654" t="s">
        <v>1422</v>
      </c>
      <c r="L1654" t="s">
        <v>50</v>
      </c>
      <c r="M1654" s="2">
        <v>268401.26</v>
      </c>
      <c r="N1654" t="s">
        <v>12323</v>
      </c>
      <c r="O1654" t="s">
        <v>115</v>
      </c>
      <c r="P1654" t="str">
        <f>CONCATENATE("'",Tabla1[[#This Row],[Codigo]],"',")</f>
        <v>'02651',</v>
      </c>
    </row>
    <row r="1655" spans="1:16" x14ac:dyDescent="0.25">
      <c r="A1655" t="s">
        <v>12329</v>
      </c>
      <c r="B1655" t="s">
        <v>12330</v>
      </c>
      <c r="C1655" t="s">
        <v>12330</v>
      </c>
      <c r="D1655" t="s">
        <v>125</v>
      </c>
      <c r="E1655" t="s">
        <v>126</v>
      </c>
      <c r="F1655" t="s">
        <v>12331</v>
      </c>
      <c r="G1655" t="s">
        <v>3622</v>
      </c>
      <c r="H1655" t="s">
        <v>1730</v>
      </c>
      <c r="I1655" t="s">
        <v>1728</v>
      </c>
      <c r="J1655" t="s">
        <v>120</v>
      </c>
      <c r="K1655" t="s">
        <v>121</v>
      </c>
      <c r="L1655" t="s">
        <v>50</v>
      </c>
      <c r="M1655" s="2">
        <v>59213.06</v>
      </c>
      <c r="N1655" t="s">
        <v>12334</v>
      </c>
      <c r="O1655" t="s">
        <v>52</v>
      </c>
      <c r="P1655" t="str">
        <f>CONCATENATE("'",Tabla1[[#This Row],[Codigo]],"',")</f>
        <v>'02654',</v>
      </c>
    </row>
    <row r="1656" spans="1:16" x14ac:dyDescent="0.25">
      <c r="A1656" t="s">
        <v>12335</v>
      </c>
      <c r="B1656" t="s">
        <v>12336</v>
      </c>
      <c r="C1656" t="s">
        <v>12336</v>
      </c>
      <c r="D1656" t="s">
        <v>125</v>
      </c>
      <c r="E1656" t="s">
        <v>126</v>
      </c>
      <c r="F1656" t="s">
        <v>12337</v>
      </c>
      <c r="G1656" t="s">
        <v>10141</v>
      </c>
      <c r="H1656" t="s">
        <v>7936</v>
      </c>
      <c r="I1656" t="s">
        <v>7935</v>
      </c>
      <c r="J1656" t="s">
        <v>10093</v>
      </c>
      <c r="K1656" t="s">
        <v>10094</v>
      </c>
      <c r="L1656" t="s">
        <v>50</v>
      </c>
      <c r="M1656" s="2">
        <v>23571.21</v>
      </c>
      <c r="N1656" t="s">
        <v>12340</v>
      </c>
      <c r="O1656" t="s">
        <v>52</v>
      </c>
      <c r="P1656" t="str">
        <f>CONCATENATE("'",Tabla1[[#This Row],[Codigo]],"',")</f>
        <v>'02655',</v>
      </c>
    </row>
    <row r="1657" spans="1:16" x14ac:dyDescent="0.25">
      <c r="A1657" t="s">
        <v>12341</v>
      </c>
      <c r="B1657" t="s">
        <v>12342</v>
      </c>
      <c r="C1657" t="s">
        <v>12342</v>
      </c>
      <c r="D1657" t="s">
        <v>125</v>
      </c>
      <c r="E1657" t="s">
        <v>126</v>
      </c>
      <c r="F1657" t="s">
        <v>12343</v>
      </c>
      <c r="G1657" t="s">
        <v>65</v>
      </c>
      <c r="H1657" t="s">
        <v>67</v>
      </c>
      <c r="I1657" t="s">
        <v>68</v>
      </c>
      <c r="J1657" t="s">
        <v>304</v>
      </c>
      <c r="K1657" t="s">
        <v>72</v>
      </c>
      <c r="L1657" t="s">
        <v>50</v>
      </c>
      <c r="M1657" s="2">
        <v>90730.95</v>
      </c>
      <c r="N1657" t="s">
        <v>12346</v>
      </c>
      <c r="O1657" t="s">
        <v>52</v>
      </c>
      <c r="P1657" t="str">
        <f>CONCATENATE("'",Tabla1[[#This Row],[Codigo]],"',")</f>
        <v>'02656',</v>
      </c>
    </row>
    <row r="1658" spans="1:16" x14ac:dyDescent="0.25">
      <c r="A1658" t="s">
        <v>12347</v>
      </c>
      <c r="B1658" t="s">
        <v>12348</v>
      </c>
      <c r="C1658" t="s">
        <v>12349</v>
      </c>
      <c r="D1658" t="s">
        <v>847</v>
      </c>
      <c r="E1658" t="s">
        <v>848</v>
      </c>
      <c r="F1658" t="s">
        <v>12350</v>
      </c>
      <c r="G1658" t="s">
        <v>252</v>
      </c>
      <c r="H1658" t="s">
        <v>254</v>
      </c>
      <c r="I1658" t="s">
        <v>255</v>
      </c>
      <c r="J1658" t="s">
        <v>4374</v>
      </c>
      <c r="K1658" t="s">
        <v>4375</v>
      </c>
      <c r="L1658" t="s">
        <v>50</v>
      </c>
      <c r="M1658" s="2">
        <v>77794.52</v>
      </c>
      <c r="N1658" t="s">
        <v>12353</v>
      </c>
      <c r="P1658" t="str">
        <f>CONCATENATE("'",Tabla1[[#This Row],[Codigo]],"',")</f>
        <v>'02657',</v>
      </c>
    </row>
    <row r="1659" spans="1:16" x14ac:dyDescent="0.25">
      <c r="A1659" t="s">
        <v>12354</v>
      </c>
      <c r="B1659" t="s">
        <v>12355</v>
      </c>
      <c r="C1659" t="s">
        <v>12355</v>
      </c>
      <c r="D1659" t="s">
        <v>12356</v>
      </c>
      <c r="E1659" t="s">
        <v>167</v>
      </c>
      <c r="F1659" t="s">
        <v>12357</v>
      </c>
      <c r="G1659" t="s">
        <v>10141</v>
      </c>
      <c r="H1659" t="s">
        <v>7936</v>
      </c>
      <c r="I1659" t="s">
        <v>7935</v>
      </c>
      <c r="J1659" t="s">
        <v>10093</v>
      </c>
      <c r="K1659" t="s">
        <v>10094</v>
      </c>
      <c r="L1659" t="s">
        <v>50</v>
      </c>
      <c r="M1659" s="2">
        <v>160056.10999999999</v>
      </c>
      <c r="N1659" t="s">
        <v>12360</v>
      </c>
      <c r="O1659" t="s">
        <v>115</v>
      </c>
      <c r="P1659" t="str">
        <f>CONCATENATE("'",Tabla1[[#This Row],[Codigo]],"',")</f>
        <v>'02660',</v>
      </c>
    </row>
    <row r="1660" spans="1:16" x14ac:dyDescent="0.25">
      <c r="A1660" t="s">
        <v>12361</v>
      </c>
      <c r="B1660" t="s">
        <v>12362</v>
      </c>
      <c r="C1660" t="s">
        <v>12362</v>
      </c>
      <c r="D1660" t="s">
        <v>299</v>
      </c>
      <c r="E1660" t="s">
        <v>167</v>
      </c>
      <c r="F1660" t="s">
        <v>12363</v>
      </c>
      <c r="G1660" t="s">
        <v>1335</v>
      </c>
      <c r="H1660" t="s">
        <v>254</v>
      </c>
      <c r="I1660" t="s">
        <v>255</v>
      </c>
      <c r="J1660" t="s">
        <v>4374</v>
      </c>
      <c r="K1660" t="s">
        <v>4375</v>
      </c>
      <c r="L1660" t="s">
        <v>50</v>
      </c>
      <c r="M1660" s="2">
        <v>167369.54999999999</v>
      </c>
      <c r="N1660" t="s">
        <v>12366</v>
      </c>
      <c r="P1660" t="str">
        <f>CONCATENATE("'",Tabla1[[#This Row],[Codigo]],"',")</f>
        <v>'02661',</v>
      </c>
    </row>
    <row r="1661" spans="1:16" x14ac:dyDescent="0.25">
      <c r="A1661" t="s">
        <v>12367</v>
      </c>
      <c r="B1661" t="s">
        <v>15200</v>
      </c>
      <c r="C1661" t="s">
        <v>12368</v>
      </c>
      <c r="D1661" t="s">
        <v>153</v>
      </c>
      <c r="E1661" t="s">
        <v>272</v>
      </c>
      <c r="F1661" t="s">
        <v>1131</v>
      </c>
      <c r="G1661" t="s">
        <v>300</v>
      </c>
      <c r="H1661" t="s">
        <v>302</v>
      </c>
      <c r="I1661" t="s">
        <v>303</v>
      </c>
      <c r="J1661" t="s">
        <v>304</v>
      </c>
      <c r="K1661" t="s">
        <v>72</v>
      </c>
      <c r="L1661" t="s">
        <v>50</v>
      </c>
      <c r="M1661" s="2">
        <v>209193.45</v>
      </c>
      <c r="N1661" t="s">
        <v>12370</v>
      </c>
      <c r="O1661" t="s">
        <v>52</v>
      </c>
      <c r="P1661" t="str">
        <f>CONCATENATE("'",Tabla1[[#This Row],[Codigo]],"',")</f>
        <v>'02662',</v>
      </c>
    </row>
    <row r="1662" spans="1:16" x14ac:dyDescent="0.25">
      <c r="A1662" t="s">
        <v>12371</v>
      </c>
      <c r="B1662" t="s">
        <v>15201</v>
      </c>
      <c r="C1662" t="s">
        <v>12372</v>
      </c>
      <c r="D1662" t="s">
        <v>2118</v>
      </c>
      <c r="E1662" t="s">
        <v>871</v>
      </c>
      <c r="F1662" t="s">
        <v>12373</v>
      </c>
      <c r="G1662" t="s">
        <v>7147</v>
      </c>
      <c r="H1662" t="s">
        <v>6940</v>
      </c>
      <c r="I1662" t="s">
        <v>6939</v>
      </c>
      <c r="J1662" t="s">
        <v>3487</v>
      </c>
      <c r="K1662" t="s">
        <v>3488</v>
      </c>
      <c r="L1662" t="s">
        <v>50</v>
      </c>
      <c r="M1662" s="2">
        <v>1061282.69</v>
      </c>
      <c r="N1662" t="s">
        <v>12376</v>
      </c>
      <c r="O1662" t="s">
        <v>52</v>
      </c>
      <c r="P1662" t="str">
        <f>CONCATENATE("'",Tabla1[[#This Row],[Codigo]],"',")</f>
        <v>'02663',</v>
      </c>
    </row>
    <row r="1663" spans="1:16" x14ac:dyDescent="0.25">
      <c r="A1663" t="s">
        <v>12377</v>
      </c>
      <c r="B1663" t="s">
        <v>15202</v>
      </c>
      <c r="C1663" t="s">
        <v>12378</v>
      </c>
      <c r="D1663" t="s">
        <v>2339</v>
      </c>
      <c r="E1663" t="s">
        <v>134</v>
      </c>
      <c r="F1663" t="s">
        <v>12379</v>
      </c>
      <c r="G1663" t="s">
        <v>12380</v>
      </c>
      <c r="H1663" t="s">
        <v>6940</v>
      </c>
      <c r="I1663" t="s">
        <v>6939</v>
      </c>
      <c r="J1663" t="s">
        <v>3487</v>
      </c>
      <c r="K1663" t="s">
        <v>3488</v>
      </c>
      <c r="L1663" t="s">
        <v>50</v>
      </c>
      <c r="M1663" s="2">
        <v>436340</v>
      </c>
      <c r="N1663" t="s">
        <v>64</v>
      </c>
      <c r="P1663" t="str">
        <f>CONCATENATE("'",Tabla1[[#This Row],[Codigo]],"',")</f>
        <v>'02664',</v>
      </c>
    </row>
    <row r="1664" spans="1:16" x14ac:dyDescent="0.25">
      <c r="A1664" t="s">
        <v>12383</v>
      </c>
      <c r="B1664" t="s">
        <v>12384</v>
      </c>
      <c r="C1664" t="s">
        <v>12384</v>
      </c>
      <c r="D1664" t="s">
        <v>125</v>
      </c>
      <c r="E1664" t="s">
        <v>126</v>
      </c>
      <c r="F1664" t="s">
        <v>12385</v>
      </c>
      <c r="G1664" t="s">
        <v>65</v>
      </c>
      <c r="H1664" t="s">
        <v>67</v>
      </c>
      <c r="I1664" t="s">
        <v>68</v>
      </c>
      <c r="J1664" t="s">
        <v>304</v>
      </c>
      <c r="K1664" t="s">
        <v>72</v>
      </c>
      <c r="L1664" t="s">
        <v>50</v>
      </c>
      <c r="M1664" s="2">
        <v>176468.22</v>
      </c>
      <c r="N1664" t="s">
        <v>12388</v>
      </c>
      <c r="O1664" t="s">
        <v>52</v>
      </c>
      <c r="P1664" t="str">
        <f>CONCATENATE("'",Tabla1[[#This Row],[Codigo]],"',")</f>
        <v>'02665',</v>
      </c>
    </row>
    <row r="1665" spans="1:16" x14ac:dyDescent="0.25">
      <c r="A1665" t="s">
        <v>12389</v>
      </c>
      <c r="B1665" t="s">
        <v>12390</v>
      </c>
      <c r="C1665" t="s">
        <v>12390</v>
      </c>
      <c r="D1665" t="s">
        <v>3221</v>
      </c>
      <c r="E1665" t="s">
        <v>224</v>
      </c>
      <c r="F1665" t="s">
        <v>12391</v>
      </c>
      <c r="G1665" t="s">
        <v>12392</v>
      </c>
      <c r="H1665" t="s">
        <v>12394</v>
      </c>
      <c r="I1665" t="s">
        <v>12395</v>
      </c>
      <c r="J1665" t="s">
        <v>941</v>
      </c>
      <c r="K1665" t="s">
        <v>139</v>
      </c>
      <c r="L1665" t="s">
        <v>50</v>
      </c>
      <c r="M1665" s="2">
        <v>204539.38</v>
      </c>
      <c r="N1665" t="s">
        <v>12397</v>
      </c>
      <c r="P1665" t="str">
        <f>CONCATENATE("'",Tabla1[[#This Row],[Codigo]],"',")</f>
        <v>'02666',</v>
      </c>
    </row>
    <row r="1666" spans="1:16" x14ac:dyDescent="0.25">
      <c r="A1666" t="s">
        <v>12398</v>
      </c>
      <c r="B1666" t="s">
        <v>12399</v>
      </c>
      <c r="C1666" t="s">
        <v>12399</v>
      </c>
      <c r="D1666" t="s">
        <v>847</v>
      </c>
      <c r="E1666" t="s">
        <v>848</v>
      </c>
      <c r="F1666" t="s">
        <v>12400</v>
      </c>
      <c r="G1666" t="s">
        <v>402</v>
      </c>
      <c r="H1666" t="s">
        <v>403</v>
      </c>
      <c r="I1666" t="s">
        <v>404</v>
      </c>
      <c r="J1666" t="s">
        <v>205</v>
      </c>
      <c r="K1666" t="s">
        <v>206</v>
      </c>
      <c r="L1666" t="s">
        <v>50</v>
      </c>
      <c r="M1666" s="2">
        <v>174536</v>
      </c>
      <c r="N1666" t="s">
        <v>64</v>
      </c>
      <c r="P1666" t="str">
        <f>CONCATENATE("'",Tabla1[[#This Row],[Codigo]],"',")</f>
        <v>'02667',</v>
      </c>
    </row>
    <row r="1667" spans="1:16" x14ac:dyDescent="0.25">
      <c r="A1667" t="s">
        <v>12403</v>
      </c>
      <c r="B1667" t="s">
        <v>12404</v>
      </c>
      <c r="C1667" t="s">
        <v>12404</v>
      </c>
      <c r="D1667" t="s">
        <v>569</v>
      </c>
      <c r="E1667" t="s">
        <v>570</v>
      </c>
      <c r="F1667" t="s">
        <v>12405</v>
      </c>
      <c r="G1667" t="s">
        <v>12406</v>
      </c>
      <c r="H1667" t="s">
        <v>9655</v>
      </c>
      <c r="I1667" t="s">
        <v>9654</v>
      </c>
      <c r="J1667" t="s">
        <v>6143</v>
      </c>
      <c r="K1667" t="s">
        <v>6144</v>
      </c>
      <c r="L1667" t="s">
        <v>50</v>
      </c>
      <c r="M1667" s="2">
        <v>109085</v>
      </c>
      <c r="N1667" t="s">
        <v>64</v>
      </c>
      <c r="P1667" t="str">
        <f>CONCATENATE("'",Tabla1[[#This Row],[Codigo]],"',")</f>
        <v>'02668',</v>
      </c>
    </row>
    <row r="1668" spans="1:16" x14ac:dyDescent="0.25">
      <c r="A1668" t="s">
        <v>12411</v>
      </c>
      <c r="B1668" t="s">
        <v>12412</v>
      </c>
      <c r="C1668" t="s">
        <v>12412</v>
      </c>
      <c r="D1668" t="s">
        <v>847</v>
      </c>
      <c r="E1668" t="s">
        <v>848</v>
      </c>
      <c r="F1668" t="s">
        <v>12413</v>
      </c>
      <c r="G1668" t="s">
        <v>10105</v>
      </c>
      <c r="H1668" t="s">
        <v>10106</v>
      </c>
      <c r="I1668" t="s">
        <v>10105</v>
      </c>
      <c r="J1668" t="s">
        <v>4315</v>
      </c>
      <c r="K1668" t="s">
        <v>4316</v>
      </c>
      <c r="L1668" t="s">
        <v>50</v>
      </c>
      <c r="M1668" s="2">
        <v>116612.81</v>
      </c>
      <c r="N1668" t="s">
        <v>12416</v>
      </c>
      <c r="O1668" t="s">
        <v>52</v>
      </c>
      <c r="P1668" t="str">
        <f>CONCATENATE("'",Tabla1[[#This Row],[Codigo]],"',")</f>
        <v>'02670',</v>
      </c>
    </row>
    <row r="1669" spans="1:16" x14ac:dyDescent="0.25">
      <c r="A1669" t="s">
        <v>12417</v>
      </c>
      <c r="B1669" t="s">
        <v>12418</v>
      </c>
      <c r="C1669" t="s">
        <v>12418</v>
      </c>
      <c r="D1669" t="s">
        <v>35</v>
      </c>
      <c r="E1669" t="s">
        <v>36</v>
      </c>
      <c r="F1669" t="s">
        <v>12419</v>
      </c>
      <c r="G1669" t="s">
        <v>2394</v>
      </c>
      <c r="H1669" t="s">
        <v>12421</v>
      </c>
      <c r="I1669" t="s">
        <v>12422</v>
      </c>
      <c r="J1669" t="s">
        <v>941</v>
      </c>
      <c r="K1669" t="s">
        <v>139</v>
      </c>
      <c r="L1669" t="s">
        <v>50</v>
      </c>
      <c r="M1669" s="2">
        <v>435148.01</v>
      </c>
      <c r="N1669" t="s">
        <v>12424</v>
      </c>
      <c r="O1669" t="s">
        <v>52</v>
      </c>
      <c r="P1669" t="str">
        <f>CONCATENATE("'",Tabla1[[#This Row],[Codigo]],"',")</f>
        <v>'02671',</v>
      </c>
    </row>
    <row r="1670" spans="1:16" x14ac:dyDescent="0.25">
      <c r="A1670" t="s">
        <v>12425</v>
      </c>
      <c r="B1670" t="s">
        <v>12426</v>
      </c>
      <c r="C1670" t="s">
        <v>12426</v>
      </c>
      <c r="D1670" t="s">
        <v>1734</v>
      </c>
      <c r="E1670" t="s">
        <v>224</v>
      </c>
      <c r="F1670" t="s">
        <v>12427</v>
      </c>
      <c r="G1670" t="s">
        <v>404</v>
      </c>
      <c r="H1670" t="s">
        <v>403</v>
      </c>
      <c r="I1670" t="s">
        <v>404</v>
      </c>
      <c r="J1670" t="s">
        <v>205</v>
      </c>
      <c r="K1670" t="s">
        <v>206</v>
      </c>
      <c r="L1670" t="s">
        <v>50</v>
      </c>
      <c r="M1670" s="2">
        <v>14828.77</v>
      </c>
      <c r="N1670" t="s">
        <v>12430</v>
      </c>
      <c r="P1670" t="str">
        <f>CONCATENATE("'",Tabla1[[#This Row],[Codigo]],"',")</f>
        <v>'02672',</v>
      </c>
    </row>
    <row r="1671" spans="1:16" x14ac:dyDescent="0.25">
      <c r="A1671" t="s">
        <v>12431</v>
      </c>
      <c r="B1671" t="s">
        <v>12432</v>
      </c>
      <c r="C1671" t="s">
        <v>12432</v>
      </c>
      <c r="D1671" t="s">
        <v>1467</v>
      </c>
      <c r="E1671" t="s">
        <v>224</v>
      </c>
      <c r="F1671" t="s">
        <v>12433</v>
      </c>
      <c r="G1671" t="s">
        <v>1335</v>
      </c>
      <c r="H1671" t="s">
        <v>254</v>
      </c>
      <c r="I1671" t="s">
        <v>255</v>
      </c>
      <c r="J1671" t="s">
        <v>3534</v>
      </c>
      <c r="K1671" t="s">
        <v>3535</v>
      </c>
      <c r="L1671" t="s">
        <v>50</v>
      </c>
      <c r="M1671" s="2">
        <v>172577.48</v>
      </c>
      <c r="N1671" t="s">
        <v>12436</v>
      </c>
      <c r="O1671" t="s">
        <v>115</v>
      </c>
      <c r="P1671" t="str">
        <f>CONCATENATE("'",Tabla1[[#This Row],[Codigo]],"',")</f>
        <v>'02673',</v>
      </c>
    </row>
    <row r="1672" spans="1:16" x14ac:dyDescent="0.25">
      <c r="A1672" t="s">
        <v>12442</v>
      </c>
      <c r="B1672" t="s">
        <v>12443</v>
      </c>
      <c r="C1672" t="s">
        <v>12443</v>
      </c>
      <c r="D1672" t="s">
        <v>1633</v>
      </c>
      <c r="E1672" t="s">
        <v>1502</v>
      </c>
      <c r="F1672" t="s">
        <v>12444</v>
      </c>
      <c r="G1672" t="s">
        <v>6419</v>
      </c>
      <c r="H1672" t="s">
        <v>6029</v>
      </c>
      <c r="I1672" t="s">
        <v>6030</v>
      </c>
      <c r="J1672" t="s">
        <v>82</v>
      </c>
      <c r="K1672" t="s">
        <v>83</v>
      </c>
      <c r="L1672" t="s">
        <v>50</v>
      </c>
      <c r="M1672" s="2">
        <v>632693</v>
      </c>
      <c r="N1672" t="s">
        <v>64</v>
      </c>
      <c r="P1672" t="str">
        <f>CONCATENATE("'",Tabla1[[#This Row],[Codigo]],"',")</f>
        <v>'02675',</v>
      </c>
    </row>
    <row r="1673" spans="1:16" x14ac:dyDescent="0.25">
      <c r="A1673" t="s">
        <v>12447</v>
      </c>
      <c r="B1673" t="s">
        <v>12448</v>
      </c>
      <c r="C1673" t="s">
        <v>12448</v>
      </c>
      <c r="D1673" t="s">
        <v>1467</v>
      </c>
      <c r="E1673" t="s">
        <v>224</v>
      </c>
      <c r="F1673" t="s">
        <v>2871</v>
      </c>
      <c r="G1673" t="s">
        <v>1581</v>
      </c>
      <c r="H1673" t="s">
        <v>203</v>
      </c>
      <c r="I1673" t="s">
        <v>204</v>
      </c>
      <c r="J1673" t="s">
        <v>205</v>
      </c>
      <c r="K1673" t="s">
        <v>206</v>
      </c>
      <c r="L1673" t="s">
        <v>50</v>
      </c>
      <c r="M1673" s="2">
        <v>436340</v>
      </c>
      <c r="N1673" t="s">
        <v>64</v>
      </c>
      <c r="P1673" t="str">
        <f>CONCATENATE("'",Tabla1[[#This Row],[Codigo]],"',")</f>
        <v>'02676',</v>
      </c>
    </row>
    <row r="1674" spans="1:16" x14ac:dyDescent="0.25">
      <c r="A1674" t="s">
        <v>12451</v>
      </c>
      <c r="B1674" t="s">
        <v>12452</v>
      </c>
      <c r="C1674" t="s">
        <v>12452</v>
      </c>
      <c r="D1674" t="s">
        <v>331</v>
      </c>
      <c r="E1674" t="s">
        <v>224</v>
      </c>
      <c r="F1674" t="s">
        <v>12453</v>
      </c>
      <c r="G1674" t="s">
        <v>12217</v>
      </c>
      <c r="H1674" t="s">
        <v>11459</v>
      </c>
      <c r="I1674" t="s">
        <v>11440</v>
      </c>
      <c r="J1674" t="s">
        <v>8938</v>
      </c>
      <c r="K1674" t="s">
        <v>8939</v>
      </c>
      <c r="L1674" t="s">
        <v>50</v>
      </c>
      <c r="M1674" s="2">
        <v>899375.29</v>
      </c>
      <c r="N1674" t="s">
        <v>12456</v>
      </c>
      <c r="O1674" t="s">
        <v>115</v>
      </c>
      <c r="P1674" t="str">
        <f>CONCATENATE("'",Tabla1[[#This Row],[Codigo]],"',")</f>
        <v>'02677',</v>
      </c>
    </row>
    <row r="1675" spans="1:16" x14ac:dyDescent="0.25">
      <c r="A1675" t="s">
        <v>12457</v>
      </c>
      <c r="B1675" t="s">
        <v>12458</v>
      </c>
      <c r="C1675" t="s">
        <v>12458</v>
      </c>
      <c r="D1675" t="s">
        <v>1410</v>
      </c>
      <c r="E1675" t="s">
        <v>871</v>
      </c>
      <c r="F1675" t="s">
        <v>12459</v>
      </c>
      <c r="G1675" t="s">
        <v>1335</v>
      </c>
      <c r="H1675" t="s">
        <v>254</v>
      </c>
      <c r="I1675" t="s">
        <v>255</v>
      </c>
      <c r="J1675" t="s">
        <v>8938</v>
      </c>
      <c r="K1675" t="s">
        <v>8939</v>
      </c>
      <c r="L1675" t="s">
        <v>50</v>
      </c>
      <c r="M1675" s="2">
        <v>218</v>
      </c>
      <c r="N1675" t="s">
        <v>64</v>
      </c>
      <c r="P1675" t="str">
        <f>CONCATENATE("'",Tabla1[[#This Row],[Codigo]],"',")</f>
        <v>'02678',</v>
      </c>
    </row>
    <row r="1676" spans="1:16" x14ac:dyDescent="0.25">
      <c r="A1676" t="s">
        <v>12462</v>
      </c>
      <c r="B1676" t="s">
        <v>12463</v>
      </c>
      <c r="C1676" t="s">
        <v>12463</v>
      </c>
      <c r="D1676" t="s">
        <v>262</v>
      </c>
      <c r="E1676" t="s">
        <v>134</v>
      </c>
      <c r="F1676" t="s">
        <v>12464</v>
      </c>
      <c r="G1676" t="s">
        <v>1335</v>
      </c>
      <c r="H1676" t="s">
        <v>254</v>
      </c>
      <c r="I1676" t="s">
        <v>255</v>
      </c>
      <c r="J1676" t="s">
        <v>4374</v>
      </c>
      <c r="K1676" t="s">
        <v>4375</v>
      </c>
      <c r="L1676" t="s">
        <v>50</v>
      </c>
      <c r="M1676" s="2">
        <v>164177.94</v>
      </c>
      <c r="N1676" t="s">
        <v>12467</v>
      </c>
      <c r="P1676" t="str">
        <f>CONCATENATE("'",Tabla1[[#This Row],[Codigo]],"',")</f>
        <v>'02680',</v>
      </c>
    </row>
    <row r="1677" spans="1:16" x14ac:dyDescent="0.25">
      <c r="A1677" t="s">
        <v>12468</v>
      </c>
      <c r="B1677" t="s">
        <v>12469</v>
      </c>
      <c r="C1677" t="s">
        <v>12469</v>
      </c>
      <c r="D1677" t="s">
        <v>166</v>
      </c>
      <c r="E1677" t="s">
        <v>167</v>
      </c>
      <c r="F1677" t="s">
        <v>12470</v>
      </c>
      <c r="G1677" t="s">
        <v>2399</v>
      </c>
      <c r="H1677" t="s">
        <v>11225</v>
      </c>
      <c r="I1677" t="s">
        <v>2399</v>
      </c>
      <c r="J1677" t="s">
        <v>6987</v>
      </c>
      <c r="K1677" t="s">
        <v>6988</v>
      </c>
      <c r="L1677" t="s">
        <v>50</v>
      </c>
      <c r="M1677" s="2">
        <v>139852.71</v>
      </c>
      <c r="N1677" t="s">
        <v>12473</v>
      </c>
      <c r="O1677" t="s">
        <v>52</v>
      </c>
      <c r="P1677" t="str">
        <f>CONCATENATE("'",Tabla1[[#This Row],[Codigo]],"',")</f>
        <v>'02681',</v>
      </c>
    </row>
    <row r="1678" spans="1:16" x14ac:dyDescent="0.25">
      <c r="A1678" t="s">
        <v>12474</v>
      </c>
      <c r="B1678" t="s">
        <v>12475</v>
      </c>
      <c r="C1678" t="s">
        <v>9242</v>
      </c>
      <c r="D1678" t="s">
        <v>153</v>
      </c>
      <c r="E1678" t="s">
        <v>272</v>
      </c>
      <c r="F1678" t="s">
        <v>9243</v>
      </c>
      <c r="G1678" t="s">
        <v>2981</v>
      </c>
      <c r="H1678" t="s">
        <v>302</v>
      </c>
      <c r="I1678" t="s">
        <v>303</v>
      </c>
      <c r="J1678" t="s">
        <v>304</v>
      </c>
      <c r="K1678" t="s">
        <v>72</v>
      </c>
      <c r="L1678" t="s">
        <v>50</v>
      </c>
      <c r="M1678" s="2">
        <v>358681.16</v>
      </c>
      <c r="N1678" t="s">
        <v>12477</v>
      </c>
      <c r="O1678" t="s">
        <v>52</v>
      </c>
      <c r="P1678" t="str">
        <f>CONCATENATE("'",Tabla1[[#This Row],[Codigo]],"',")</f>
        <v>'02683',</v>
      </c>
    </row>
    <row r="1679" spans="1:16" x14ac:dyDescent="0.25">
      <c r="A1679" t="s">
        <v>12478</v>
      </c>
      <c r="B1679" t="s">
        <v>12479</v>
      </c>
      <c r="C1679" t="s">
        <v>9242</v>
      </c>
      <c r="D1679" t="s">
        <v>178</v>
      </c>
      <c r="E1679" t="s">
        <v>179</v>
      </c>
      <c r="F1679" t="s">
        <v>9243</v>
      </c>
      <c r="G1679" t="s">
        <v>1095</v>
      </c>
      <c r="H1679" t="s">
        <v>1038</v>
      </c>
      <c r="I1679" t="s">
        <v>1039</v>
      </c>
      <c r="J1679" t="s">
        <v>304</v>
      </c>
      <c r="K1679" t="s">
        <v>72</v>
      </c>
      <c r="L1679" t="s">
        <v>50</v>
      </c>
      <c r="M1679" s="2">
        <v>955358.68</v>
      </c>
      <c r="N1679" t="s">
        <v>12481</v>
      </c>
      <c r="O1679" t="s">
        <v>52</v>
      </c>
      <c r="P1679" t="str">
        <f>CONCATENATE("'",Tabla1[[#This Row],[Codigo]],"',")</f>
        <v>'02684',</v>
      </c>
    </row>
    <row r="1680" spans="1:16" x14ac:dyDescent="0.25">
      <c r="A1680" t="s">
        <v>12482</v>
      </c>
      <c r="B1680" t="s">
        <v>12483</v>
      </c>
      <c r="C1680" t="s">
        <v>9242</v>
      </c>
      <c r="D1680" t="s">
        <v>178</v>
      </c>
      <c r="E1680" t="s">
        <v>179</v>
      </c>
      <c r="F1680" t="s">
        <v>9243</v>
      </c>
      <c r="G1680" t="s">
        <v>1444</v>
      </c>
      <c r="H1680" t="s">
        <v>1064</v>
      </c>
      <c r="I1680" t="s">
        <v>1062</v>
      </c>
      <c r="J1680" t="s">
        <v>304</v>
      </c>
      <c r="K1680" t="s">
        <v>72</v>
      </c>
      <c r="L1680" t="s">
        <v>50</v>
      </c>
      <c r="M1680" s="2">
        <v>939905.15</v>
      </c>
      <c r="N1680" t="s">
        <v>12485</v>
      </c>
      <c r="O1680" t="s">
        <v>52</v>
      </c>
      <c r="P1680" t="str">
        <f>CONCATENATE("'",Tabla1[[#This Row],[Codigo]],"',")</f>
        <v>'02685',</v>
      </c>
    </row>
    <row r="1681" spans="1:16" x14ac:dyDescent="0.25">
      <c r="A1681" t="s">
        <v>12486</v>
      </c>
      <c r="B1681" t="s">
        <v>12487</v>
      </c>
      <c r="C1681" t="s">
        <v>9242</v>
      </c>
      <c r="D1681" t="s">
        <v>2687</v>
      </c>
      <c r="E1681" t="s">
        <v>190</v>
      </c>
      <c r="F1681" t="s">
        <v>9243</v>
      </c>
      <c r="G1681" t="s">
        <v>1039</v>
      </c>
      <c r="H1681" t="s">
        <v>1038</v>
      </c>
      <c r="I1681" t="s">
        <v>1039</v>
      </c>
      <c r="J1681" t="s">
        <v>304</v>
      </c>
      <c r="K1681" t="s">
        <v>72</v>
      </c>
      <c r="L1681" t="s">
        <v>50</v>
      </c>
      <c r="M1681" s="2">
        <v>1028299.8</v>
      </c>
      <c r="N1681" t="s">
        <v>12488</v>
      </c>
      <c r="O1681" t="s">
        <v>52</v>
      </c>
      <c r="P1681" t="str">
        <f>CONCATENATE("'",Tabla1[[#This Row],[Codigo]],"',")</f>
        <v>'02686',</v>
      </c>
    </row>
    <row r="1682" spans="1:16" x14ac:dyDescent="0.25">
      <c r="A1682" t="s">
        <v>12489</v>
      </c>
      <c r="B1682" t="s">
        <v>12490</v>
      </c>
      <c r="C1682" t="s">
        <v>9242</v>
      </c>
      <c r="D1682" t="s">
        <v>299</v>
      </c>
      <c r="E1682" t="s">
        <v>167</v>
      </c>
      <c r="F1682" t="s">
        <v>9243</v>
      </c>
      <c r="G1682" t="s">
        <v>1444</v>
      </c>
      <c r="H1682" t="s">
        <v>67</v>
      </c>
      <c r="I1682" t="s">
        <v>68</v>
      </c>
      <c r="J1682" t="s">
        <v>304</v>
      </c>
      <c r="K1682" t="s">
        <v>72</v>
      </c>
      <c r="L1682" t="s">
        <v>50</v>
      </c>
      <c r="M1682" s="2">
        <v>179317.92</v>
      </c>
      <c r="N1682" t="s">
        <v>12491</v>
      </c>
      <c r="O1682" t="s">
        <v>52</v>
      </c>
      <c r="P1682" t="str">
        <f>CONCATENATE("'",Tabla1[[#This Row],[Codigo]],"',")</f>
        <v>'02687',</v>
      </c>
    </row>
    <row r="1683" spans="1:16" x14ac:dyDescent="0.25">
      <c r="A1683" t="s">
        <v>12492</v>
      </c>
      <c r="B1683" t="s">
        <v>12493</v>
      </c>
      <c r="C1683" t="s">
        <v>9242</v>
      </c>
      <c r="D1683" t="s">
        <v>888</v>
      </c>
      <c r="E1683" t="s">
        <v>167</v>
      </c>
      <c r="F1683" t="s">
        <v>9243</v>
      </c>
      <c r="G1683" t="s">
        <v>1444</v>
      </c>
      <c r="H1683" t="s">
        <v>1064</v>
      </c>
      <c r="I1683" t="s">
        <v>1062</v>
      </c>
      <c r="J1683" t="s">
        <v>304</v>
      </c>
      <c r="K1683" t="s">
        <v>72</v>
      </c>
      <c r="L1683" t="s">
        <v>50</v>
      </c>
      <c r="M1683" s="2">
        <v>961915.14</v>
      </c>
      <c r="N1683" t="s">
        <v>12494</v>
      </c>
      <c r="O1683" t="s">
        <v>52</v>
      </c>
      <c r="P1683" t="str">
        <f>CONCATENATE("'",Tabla1[[#This Row],[Codigo]],"',")</f>
        <v>'02688',</v>
      </c>
    </row>
    <row r="1684" spans="1:16" x14ac:dyDescent="0.25">
      <c r="A1684" t="s">
        <v>12495</v>
      </c>
      <c r="B1684" t="s">
        <v>12496</v>
      </c>
      <c r="C1684" t="s">
        <v>9242</v>
      </c>
      <c r="D1684" t="s">
        <v>297</v>
      </c>
      <c r="E1684" t="s">
        <v>167</v>
      </c>
      <c r="F1684" t="s">
        <v>9243</v>
      </c>
      <c r="G1684" t="s">
        <v>87</v>
      </c>
      <c r="H1684" t="s">
        <v>89</v>
      </c>
      <c r="I1684" t="s">
        <v>90</v>
      </c>
      <c r="J1684" t="s">
        <v>304</v>
      </c>
      <c r="K1684" t="s">
        <v>72</v>
      </c>
      <c r="L1684" t="s">
        <v>50</v>
      </c>
      <c r="M1684" s="2">
        <v>1037437.5</v>
      </c>
      <c r="N1684" t="s">
        <v>12497</v>
      </c>
      <c r="O1684" t="s">
        <v>115</v>
      </c>
      <c r="P1684" t="str">
        <f>CONCATENATE("'",Tabla1[[#This Row],[Codigo]],"',")</f>
        <v>'02689',</v>
      </c>
    </row>
    <row r="1685" spans="1:16" x14ac:dyDescent="0.25">
      <c r="A1685" t="s">
        <v>12500</v>
      </c>
      <c r="B1685" t="s">
        <v>12501</v>
      </c>
      <c r="C1685" t="s">
        <v>9242</v>
      </c>
      <c r="D1685" t="s">
        <v>299</v>
      </c>
      <c r="E1685" t="s">
        <v>167</v>
      </c>
      <c r="F1685" t="s">
        <v>9243</v>
      </c>
      <c r="G1685" t="s">
        <v>87</v>
      </c>
      <c r="H1685" t="s">
        <v>89</v>
      </c>
      <c r="I1685" t="s">
        <v>90</v>
      </c>
      <c r="J1685" t="s">
        <v>304</v>
      </c>
      <c r="K1685" t="s">
        <v>72</v>
      </c>
      <c r="L1685" t="s">
        <v>50</v>
      </c>
      <c r="M1685" s="2">
        <v>978709.56</v>
      </c>
      <c r="N1685" t="s">
        <v>12502</v>
      </c>
      <c r="O1685" t="s">
        <v>52</v>
      </c>
      <c r="P1685" t="str">
        <f>CONCATENATE("'",Tabla1[[#This Row],[Codigo]],"',")</f>
        <v>'02691',</v>
      </c>
    </row>
    <row r="1686" spans="1:16" x14ac:dyDescent="0.25">
      <c r="A1686" t="s">
        <v>12503</v>
      </c>
      <c r="B1686" t="s">
        <v>12504</v>
      </c>
      <c r="C1686" t="s">
        <v>12504</v>
      </c>
      <c r="D1686" t="s">
        <v>35</v>
      </c>
      <c r="E1686" t="s">
        <v>36</v>
      </c>
      <c r="F1686" t="s">
        <v>12505</v>
      </c>
      <c r="G1686" t="s">
        <v>10141</v>
      </c>
      <c r="H1686" t="s">
        <v>7936</v>
      </c>
      <c r="I1686" t="s">
        <v>7935</v>
      </c>
      <c r="J1686" t="s">
        <v>10093</v>
      </c>
      <c r="K1686" t="s">
        <v>10094</v>
      </c>
      <c r="L1686" t="s">
        <v>50</v>
      </c>
      <c r="M1686" s="2">
        <v>761248.59</v>
      </c>
      <c r="N1686" t="s">
        <v>12508</v>
      </c>
      <c r="O1686" t="s">
        <v>52</v>
      </c>
      <c r="P1686" t="str">
        <f>CONCATENATE("'",Tabla1[[#This Row],[Codigo]],"',")</f>
        <v>'02692',</v>
      </c>
    </row>
    <row r="1687" spans="1:16" x14ac:dyDescent="0.25">
      <c r="A1687" t="s">
        <v>12513</v>
      </c>
      <c r="B1687" t="s">
        <v>12514</v>
      </c>
      <c r="C1687" t="s">
        <v>9242</v>
      </c>
      <c r="D1687" t="s">
        <v>299</v>
      </c>
      <c r="E1687" t="s">
        <v>167</v>
      </c>
      <c r="F1687" t="s">
        <v>9243</v>
      </c>
      <c r="G1687" t="s">
        <v>1062</v>
      </c>
      <c r="H1687" t="s">
        <v>1064</v>
      </c>
      <c r="I1687" t="s">
        <v>1062</v>
      </c>
      <c r="J1687" t="s">
        <v>304</v>
      </c>
      <c r="K1687" t="s">
        <v>72</v>
      </c>
      <c r="L1687" t="s">
        <v>50</v>
      </c>
      <c r="M1687" s="2">
        <v>1136748.75</v>
      </c>
      <c r="N1687" t="s">
        <v>12515</v>
      </c>
      <c r="O1687" t="s">
        <v>52</v>
      </c>
      <c r="P1687" t="str">
        <f>CONCATENATE("'",Tabla1[[#This Row],[Codigo]],"',")</f>
        <v>'02695',</v>
      </c>
    </row>
    <row r="1688" spans="1:16" x14ac:dyDescent="0.25">
      <c r="A1688" t="s">
        <v>12516</v>
      </c>
      <c r="B1688" t="s">
        <v>12517</v>
      </c>
      <c r="C1688" t="s">
        <v>9242</v>
      </c>
      <c r="D1688" t="s">
        <v>569</v>
      </c>
      <c r="E1688" t="s">
        <v>570</v>
      </c>
      <c r="F1688" t="s">
        <v>9243</v>
      </c>
      <c r="G1688" t="s">
        <v>10888</v>
      </c>
      <c r="H1688" t="s">
        <v>302</v>
      </c>
      <c r="I1688" t="s">
        <v>303</v>
      </c>
      <c r="J1688" t="s">
        <v>304</v>
      </c>
      <c r="K1688" t="s">
        <v>72</v>
      </c>
      <c r="L1688" t="s">
        <v>50</v>
      </c>
      <c r="M1688" s="2">
        <v>1042290.37</v>
      </c>
      <c r="N1688" t="s">
        <v>12518</v>
      </c>
      <c r="O1688" t="s">
        <v>52</v>
      </c>
      <c r="P1688" t="str">
        <f>CONCATENATE("'",Tabla1[[#This Row],[Codigo]],"',")</f>
        <v>'02696',</v>
      </c>
    </row>
    <row r="1689" spans="1:16" x14ac:dyDescent="0.25">
      <c r="A1689" t="s">
        <v>12519</v>
      </c>
      <c r="B1689" t="s">
        <v>12520</v>
      </c>
      <c r="C1689" t="s">
        <v>9242</v>
      </c>
      <c r="D1689" t="s">
        <v>299</v>
      </c>
      <c r="E1689" t="s">
        <v>167</v>
      </c>
      <c r="F1689" t="s">
        <v>9243</v>
      </c>
      <c r="G1689" t="s">
        <v>1095</v>
      </c>
      <c r="H1689" t="s">
        <v>1038</v>
      </c>
      <c r="I1689" t="s">
        <v>1039</v>
      </c>
      <c r="J1689" t="s">
        <v>304</v>
      </c>
      <c r="K1689" t="s">
        <v>72</v>
      </c>
      <c r="L1689" t="s">
        <v>50</v>
      </c>
      <c r="M1689" s="2">
        <v>1063897.75</v>
      </c>
      <c r="N1689" t="s">
        <v>12521</v>
      </c>
      <c r="O1689" t="s">
        <v>52</v>
      </c>
      <c r="P1689" t="str">
        <f>CONCATENATE("'",Tabla1[[#This Row],[Codigo]],"',")</f>
        <v>'02697',</v>
      </c>
    </row>
    <row r="1690" spans="1:16" x14ac:dyDescent="0.25">
      <c r="A1690" t="s">
        <v>12522</v>
      </c>
      <c r="B1690" t="s">
        <v>12523</v>
      </c>
      <c r="C1690" t="s">
        <v>9242</v>
      </c>
      <c r="D1690" t="s">
        <v>299</v>
      </c>
      <c r="E1690" t="s">
        <v>167</v>
      </c>
      <c r="F1690" t="s">
        <v>9243</v>
      </c>
      <c r="G1690" t="s">
        <v>443</v>
      </c>
      <c r="H1690" t="s">
        <v>445</v>
      </c>
      <c r="I1690" t="s">
        <v>446</v>
      </c>
      <c r="J1690" t="s">
        <v>304</v>
      </c>
      <c r="K1690" t="s">
        <v>72</v>
      </c>
      <c r="L1690" t="s">
        <v>50</v>
      </c>
      <c r="M1690" s="2">
        <v>108137.25</v>
      </c>
      <c r="N1690" t="s">
        <v>12524</v>
      </c>
      <c r="O1690" t="s">
        <v>52</v>
      </c>
      <c r="P1690" t="str">
        <f>CONCATENATE("'",Tabla1[[#This Row],[Codigo]],"',")</f>
        <v>'02698',</v>
      </c>
    </row>
    <row r="1691" spans="1:16" x14ac:dyDescent="0.25">
      <c r="A1691" t="s">
        <v>12525</v>
      </c>
      <c r="B1691" t="s">
        <v>12526</v>
      </c>
      <c r="C1691" t="s">
        <v>9242</v>
      </c>
      <c r="D1691" t="s">
        <v>299</v>
      </c>
      <c r="E1691" t="s">
        <v>167</v>
      </c>
      <c r="F1691" t="s">
        <v>9243</v>
      </c>
      <c r="G1691" t="s">
        <v>443</v>
      </c>
      <c r="H1691" t="s">
        <v>445</v>
      </c>
      <c r="I1691" t="s">
        <v>446</v>
      </c>
      <c r="J1691" t="s">
        <v>304</v>
      </c>
      <c r="K1691" t="s">
        <v>72</v>
      </c>
      <c r="L1691" t="s">
        <v>50</v>
      </c>
      <c r="M1691" s="2">
        <v>218170</v>
      </c>
      <c r="N1691" t="s">
        <v>64</v>
      </c>
      <c r="P1691" t="str">
        <f>CONCATENATE("'",Tabla1[[#This Row],[Codigo]],"',")</f>
        <v>'02699',</v>
      </c>
    </row>
    <row r="1692" spans="1:16" x14ac:dyDescent="0.25">
      <c r="A1692" t="s">
        <v>12527</v>
      </c>
      <c r="B1692" t="s">
        <v>12528</v>
      </c>
      <c r="C1692" t="s">
        <v>9242</v>
      </c>
      <c r="D1692" t="s">
        <v>569</v>
      </c>
      <c r="E1692" t="s">
        <v>570</v>
      </c>
      <c r="F1692" t="s">
        <v>9243</v>
      </c>
      <c r="G1692" t="s">
        <v>1095</v>
      </c>
      <c r="H1692" t="s">
        <v>1038</v>
      </c>
      <c r="I1692" t="s">
        <v>1039</v>
      </c>
      <c r="J1692" t="s">
        <v>304</v>
      </c>
      <c r="K1692" t="s">
        <v>72</v>
      </c>
      <c r="L1692" t="s">
        <v>50</v>
      </c>
      <c r="M1692" s="2">
        <v>285288.15000000002</v>
      </c>
      <c r="N1692" t="s">
        <v>12529</v>
      </c>
      <c r="O1692" t="s">
        <v>52</v>
      </c>
      <c r="P1692" t="str">
        <f>CONCATENATE("'",Tabla1[[#This Row],[Codigo]],"',")</f>
        <v>'02700',</v>
      </c>
    </row>
    <row r="1693" spans="1:16" x14ac:dyDescent="0.25">
      <c r="A1693" t="s">
        <v>12530</v>
      </c>
      <c r="B1693" t="s">
        <v>12531</v>
      </c>
      <c r="C1693" t="s">
        <v>9242</v>
      </c>
      <c r="D1693" t="s">
        <v>569</v>
      </c>
      <c r="E1693" t="s">
        <v>570</v>
      </c>
      <c r="F1693" t="s">
        <v>9243</v>
      </c>
      <c r="G1693" t="s">
        <v>5003</v>
      </c>
      <c r="H1693" t="s">
        <v>5005</v>
      </c>
      <c r="I1693" t="s">
        <v>5006</v>
      </c>
      <c r="J1693" t="s">
        <v>304</v>
      </c>
      <c r="K1693" t="s">
        <v>72</v>
      </c>
      <c r="L1693" t="s">
        <v>50</v>
      </c>
      <c r="M1693" s="2">
        <v>996533.31</v>
      </c>
      <c r="N1693" t="s">
        <v>12532</v>
      </c>
      <c r="O1693" t="s">
        <v>52</v>
      </c>
      <c r="P1693" t="str">
        <f>CONCATENATE("'",Tabla1[[#This Row],[Codigo]],"',")</f>
        <v>'02701',</v>
      </c>
    </row>
    <row r="1694" spans="1:16" x14ac:dyDescent="0.25">
      <c r="A1694" t="s">
        <v>12533</v>
      </c>
      <c r="B1694" t="s">
        <v>12534</v>
      </c>
      <c r="C1694" t="s">
        <v>12534</v>
      </c>
      <c r="D1694" t="s">
        <v>35</v>
      </c>
      <c r="E1694" t="s">
        <v>36</v>
      </c>
      <c r="F1694" t="s">
        <v>12535</v>
      </c>
      <c r="G1694" t="s">
        <v>8479</v>
      </c>
      <c r="H1694" t="s">
        <v>1119</v>
      </c>
      <c r="I1694" t="s">
        <v>1120</v>
      </c>
      <c r="J1694" t="s">
        <v>256</v>
      </c>
      <c r="K1694" t="s">
        <v>255</v>
      </c>
      <c r="L1694" t="s">
        <v>50</v>
      </c>
      <c r="M1694" s="2">
        <v>133120.87</v>
      </c>
      <c r="N1694" t="s">
        <v>12538</v>
      </c>
      <c r="O1694" t="s">
        <v>52</v>
      </c>
      <c r="P1694" t="str">
        <f>CONCATENATE("'",Tabla1[[#This Row],[Codigo]],"',")</f>
        <v>'02707',</v>
      </c>
    </row>
    <row r="1695" spans="1:16" x14ac:dyDescent="0.25">
      <c r="A1695" t="s">
        <v>12539</v>
      </c>
      <c r="B1695" t="s">
        <v>12540</v>
      </c>
      <c r="C1695" t="s">
        <v>12540</v>
      </c>
      <c r="D1695" t="s">
        <v>847</v>
      </c>
      <c r="E1695" t="s">
        <v>848</v>
      </c>
      <c r="F1695" t="s">
        <v>12541</v>
      </c>
      <c r="G1695" t="s">
        <v>12542</v>
      </c>
      <c r="H1695" t="s">
        <v>2571</v>
      </c>
      <c r="I1695" t="s">
        <v>2572</v>
      </c>
      <c r="J1695" t="s">
        <v>6987</v>
      </c>
      <c r="K1695" t="s">
        <v>6988</v>
      </c>
      <c r="L1695" t="s">
        <v>50</v>
      </c>
      <c r="M1695" s="2">
        <v>164771.91</v>
      </c>
      <c r="N1695" t="s">
        <v>12545</v>
      </c>
      <c r="O1695" t="s">
        <v>115</v>
      </c>
      <c r="P1695" t="str">
        <f>CONCATENATE("'",Tabla1[[#This Row],[Codigo]],"',")</f>
        <v>'02708',</v>
      </c>
    </row>
    <row r="1696" spans="1:16" x14ac:dyDescent="0.25">
      <c r="A1696" t="s">
        <v>12546</v>
      </c>
      <c r="B1696" t="s">
        <v>12547</v>
      </c>
      <c r="C1696" t="s">
        <v>12547</v>
      </c>
      <c r="D1696" t="s">
        <v>76</v>
      </c>
      <c r="E1696" t="s">
        <v>77</v>
      </c>
      <c r="F1696" t="s">
        <v>12548</v>
      </c>
      <c r="G1696" t="s">
        <v>1335</v>
      </c>
      <c r="H1696" t="s">
        <v>254</v>
      </c>
      <c r="I1696" t="s">
        <v>255</v>
      </c>
      <c r="J1696" t="s">
        <v>4374</v>
      </c>
      <c r="K1696" t="s">
        <v>4375</v>
      </c>
      <c r="L1696" t="s">
        <v>50</v>
      </c>
      <c r="M1696" s="2">
        <v>174536</v>
      </c>
      <c r="N1696" t="s">
        <v>64</v>
      </c>
      <c r="P1696" t="str">
        <f>CONCATENATE("'",Tabla1[[#This Row],[Codigo]],"',")</f>
        <v>'02709',</v>
      </c>
    </row>
    <row r="1697" spans="1:16" x14ac:dyDescent="0.25">
      <c r="A1697" t="s">
        <v>12551</v>
      </c>
      <c r="B1697" t="s">
        <v>12552</v>
      </c>
      <c r="C1697" t="s">
        <v>12552</v>
      </c>
      <c r="D1697" t="s">
        <v>125</v>
      </c>
      <c r="E1697" t="s">
        <v>126</v>
      </c>
      <c r="F1697" t="s">
        <v>12553</v>
      </c>
      <c r="G1697" t="s">
        <v>79</v>
      </c>
      <c r="H1697" t="s">
        <v>495</v>
      </c>
      <c r="I1697" t="s">
        <v>79</v>
      </c>
      <c r="J1697" t="s">
        <v>3487</v>
      </c>
      <c r="K1697" t="s">
        <v>3488</v>
      </c>
      <c r="L1697" t="s">
        <v>50</v>
      </c>
      <c r="M1697" s="2">
        <v>938852.57</v>
      </c>
      <c r="N1697" t="s">
        <v>12558</v>
      </c>
      <c r="O1697" t="s">
        <v>52</v>
      </c>
      <c r="P1697" t="str">
        <f>CONCATENATE("'",Tabla1[[#This Row],[Codigo]],"',")</f>
        <v>'02710',</v>
      </c>
    </row>
    <row r="1698" spans="1:16" x14ac:dyDescent="0.25">
      <c r="A1698" t="s">
        <v>12559</v>
      </c>
      <c r="B1698" t="s">
        <v>12560</v>
      </c>
      <c r="C1698" t="s">
        <v>12560</v>
      </c>
      <c r="D1698" t="s">
        <v>35</v>
      </c>
      <c r="E1698" t="s">
        <v>36</v>
      </c>
      <c r="F1698" t="s">
        <v>12561</v>
      </c>
      <c r="G1698" t="s">
        <v>12562</v>
      </c>
      <c r="H1698" t="s">
        <v>5938</v>
      </c>
      <c r="I1698" t="s">
        <v>5939</v>
      </c>
      <c r="J1698" t="s">
        <v>1363</v>
      </c>
      <c r="K1698" t="s">
        <v>1364</v>
      </c>
      <c r="L1698" t="s">
        <v>50</v>
      </c>
      <c r="M1698" s="2">
        <v>40699.51</v>
      </c>
      <c r="N1698" t="s">
        <v>12565</v>
      </c>
      <c r="O1698" t="s">
        <v>52</v>
      </c>
      <c r="P1698" t="str">
        <f>CONCATENATE("'",Tabla1[[#This Row],[Codigo]],"',")</f>
        <v>'02711',</v>
      </c>
    </row>
    <row r="1699" spans="1:16" x14ac:dyDescent="0.25">
      <c r="A1699" t="s">
        <v>12566</v>
      </c>
      <c r="B1699" t="s">
        <v>12567</v>
      </c>
      <c r="C1699" t="s">
        <v>12567</v>
      </c>
      <c r="D1699" t="s">
        <v>125</v>
      </c>
      <c r="E1699" t="s">
        <v>126</v>
      </c>
      <c r="F1699" t="s">
        <v>12568</v>
      </c>
      <c r="G1699" t="s">
        <v>139</v>
      </c>
      <c r="H1699" t="s">
        <v>8853</v>
      </c>
      <c r="I1699" t="s">
        <v>139</v>
      </c>
      <c r="J1699" t="s">
        <v>941</v>
      </c>
      <c r="K1699" t="s">
        <v>139</v>
      </c>
      <c r="L1699" t="s">
        <v>50</v>
      </c>
      <c r="M1699" s="2">
        <v>116485.28</v>
      </c>
      <c r="N1699" t="s">
        <v>12571</v>
      </c>
      <c r="O1699" t="s">
        <v>52</v>
      </c>
      <c r="P1699" t="str">
        <f>CONCATENATE("'",Tabla1[[#This Row],[Codigo]],"',")</f>
        <v>'02712',</v>
      </c>
    </row>
    <row r="1700" spans="1:16" x14ac:dyDescent="0.25">
      <c r="A1700" t="s">
        <v>12572</v>
      </c>
      <c r="B1700" t="s">
        <v>12573</v>
      </c>
      <c r="C1700" t="s">
        <v>12573</v>
      </c>
      <c r="D1700" t="s">
        <v>35</v>
      </c>
      <c r="E1700" t="s">
        <v>36</v>
      </c>
      <c r="F1700" t="s">
        <v>12574</v>
      </c>
      <c r="G1700" t="s">
        <v>9937</v>
      </c>
      <c r="H1700" t="s">
        <v>1362</v>
      </c>
      <c r="I1700" t="s">
        <v>1360</v>
      </c>
      <c r="J1700" t="s">
        <v>1212</v>
      </c>
      <c r="K1700" t="s">
        <v>1213</v>
      </c>
      <c r="L1700" t="s">
        <v>50</v>
      </c>
      <c r="M1700" s="2">
        <v>728566.45</v>
      </c>
      <c r="N1700" t="s">
        <v>12577</v>
      </c>
      <c r="O1700" t="s">
        <v>52</v>
      </c>
      <c r="P1700" t="str">
        <f>CONCATENATE("'",Tabla1[[#This Row],[Codigo]],"',")</f>
        <v>'02713',</v>
      </c>
    </row>
    <row r="1701" spans="1:16" x14ac:dyDescent="0.25">
      <c r="A1701" t="s">
        <v>12578</v>
      </c>
      <c r="B1701" t="s">
        <v>12579</v>
      </c>
      <c r="C1701" t="s">
        <v>12579</v>
      </c>
      <c r="D1701" t="s">
        <v>178</v>
      </c>
      <c r="E1701" t="s">
        <v>179</v>
      </c>
      <c r="F1701" t="s">
        <v>12580</v>
      </c>
      <c r="G1701" t="s">
        <v>139</v>
      </c>
      <c r="H1701" t="s">
        <v>8853</v>
      </c>
      <c r="I1701" t="s">
        <v>139</v>
      </c>
      <c r="J1701" t="s">
        <v>941</v>
      </c>
      <c r="K1701" t="s">
        <v>139</v>
      </c>
      <c r="L1701" t="s">
        <v>50</v>
      </c>
      <c r="M1701" s="2">
        <v>247029.01</v>
      </c>
      <c r="N1701" t="s">
        <v>12583</v>
      </c>
      <c r="O1701" t="s">
        <v>115</v>
      </c>
      <c r="P1701" t="str">
        <f>CONCATENATE("'",Tabla1[[#This Row],[Codigo]],"',")</f>
        <v>'02715',</v>
      </c>
    </row>
    <row r="1702" spans="1:16" x14ac:dyDescent="0.25">
      <c r="A1702" t="s">
        <v>12584</v>
      </c>
      <c r="B1702" t="s">
        <v>12585</v>
      </c>
      <c r="C1702" t="s">
        <v>12585</v>
      </c>
      <c r="D1702" t="s">
        <v>649</v>
      </c>
      <c r="E1702" t="s">
        <v>871</v>
      </c>
      <c r="F1702" t="s">
        <v>12586</v>
      </c>
      <c r="G1702" t="s">
        <v>12587</v>
      </c>
      <c r="H1702" t="s">
        <v>6239</v>
      </c>
      <c r="I1702" t="s">
        <v>6240</v>
      </c>
      <c r="J1702" t="s">
        <v>82</v>
      </c>
      <c r="K1702" t="s">
        <v>83</v>
      </c>
      <c r="L1702" t="s">
        <v>50</v>
      </c>
      <c r="M1702" s="2">
        <v>314289.46000000002</v>
      </c>
      <c r="N1702" t="s">
        <v>12590</v>
      </c>
      <c r="P1702" t="str">
        <f>CONCATENATE("'",Tabla1[[#This Row],[Codigo]],"',")</f>
        <v>'02716',</v>
      </c>
    </row>
    <row r="1703" spans="1:16" x14ac:dyDescent="0.25">
      <c r="A1703" t="s">
        <v>12597</v>
      </c>
      <c r="B1703" t="s">
        <v>12598</v>
      </c>
      <c r="C1703" t="s">
        <v>12598</v>
      </c>
      <c r="D1703" t="s">
        <v>125</v>
      </c>
      <c r="E1703" t="s">
        <v>126</v>
      </c>
      <c r="F1703" t="s">
        <v>12599</v>
      </c>
      <c r="G1703" t="s">
        <v>1335</v>
      </c>
      <c r="H1703" t="s">
        <v>254</v>
      </c>
      <c r="I1703" t="s">
        <v>255</v>
      </c>
      <c r="J1703" t="s">
        <v>256</v>
      </c>
      <c r="K1703" t="s">
        <v>255</v>
      </c>
      <c r="L1703" t="s">
        <v>50</v>
      </c>
      <c r="M1703" s="2">
        <v>1455879.02</v>
      </c>
      <c r="N1703" t="s">
        <v>12602</v>
      </c>
      <c r="O1703" t="s">
        <v>52</v>
      </c>
      <c r="P1703" t="str">
        <f>CONCATENATE("'",Tabla1[[#This Row],[Codigo]],"',")</f>
        <v>'02718',</v>
      </c>
    </row>
    <row r="1704" spans="1:16" x14ac:dyDescent="0.25">
      <c r="A1704" t="s">
        <v>12603</v>
      </c>
      <c r="B1704" t="s">
        <v>12604</v>
      </c>
      <c r="C1704" t="s">
        <v>12604</v>
      </c>
      <c r="D1704" t="s">
        <v>498</v>
      </c>
      <c r="E1704" t="s">
        <v>190</v>
      </c>
      <c r="F1704" t="s">
        <v>12605</v>
      </c>
      <c r="G1704" t="s">
        <v>12606</v>
      </c>
      <c r="H1704" t="s">
        <v>7423</v>
      </c>
      <c r="I1704" t="s">
        <v>7424</v>
      </c>
      <c r="J1704" t="s">
        <v>3487</v>
      </c>
      <c r="K1704" t="s">
        <v>3488</v>
      </c>
      <c r="L1704" t="s">
        <v>50</v>
      </c>
      <c r="M1704" s="2">
        <v>109085</v>
      </c>
      <c r="N1704" t="s">
        <v>64</v>
      </c>
      <c r="P1704" t="str">
        <f>CONCATENATE("'",Tabla1[[#This Row],[Codigo]],"',")</f>
        <v>'02719',</v>
      </c>
    </row>
    <row r="1705" spans="1:16" x14ac:dyDescent="0.25">
      <c r="A1705" t="s">
        <v>12609</v>
      </c>
      <c r="B1705" t="s">
        <v>12610</v>
      </c>
      <c r="C1705" t="s">
        <v>12610</v>
      </c>
      <c r="D1705" t="s">
        <v>125</v>
      </c>
      <c r="E1705" t="s">
        <v>126</v>
      </c>
      <c r="F1705" t="s">
        <v>12611</v>
      </c>
      <c r="G1705" t="s">
        <v>9937</v>
      </c>
      <c r="H1705" t="s">
        <v>1362</v>
      </c>
      <c r="I1705" t="s">
        <v>1360</v>
      </c>
      <c r="J1705" t="s">
        <v>1212</v>
      </c>
      <c r="K1705" t="s">
        <v>1213</v>
      </c>
      <c r="L1705" t="s">
        <v>50</v>
      </c>
      <c r="M1705" s="2">
        <v>35638.959999999999</v>
      </c>
      <c r="N1705" t="s">
        <v>12614</v>
      </c>
      <c r="O1705" t="s">
        <v>52</v>
      </c>
      <c r="P1705" t="str">
        <f>CONCATENATE("'",Tabla1[[#This Row],[Codigo]],"',")</f>
        <v>'02720',</v>
      </c>
    </row>
    <row r="1706" spans="1:16" x14ac:dyDescent="0.25">
      <c r="A1706" t="s">
        <v>12615</v>
      </c>
      <c r="B1706" t="s">
        <v>12616</v>
      </c>
      <c r="C1706" t="s">
        <v>12616</v>
      </c>
      <c r="D1706" t="s">
        <v>153</v>
      </c>
      <c r="E1706" t="s">
        <v>272</v>
      </c>
      <c r="F1706" t="s">
        <v>12617</v>
      </c>
      <c r="G1706" t="s">
        <v>139</v>
      </c>
      <c r="H1706" t="s">
        <v>8853</v>
      </c>
      <c r="I1706" t="s">
        <v>139</v>
      </c>
      <c r="J1706" t="s">
        <v>941</v>
      </c>
      <c r="K1706" t="s">
        <v>139</v>
      </c>
      <c r="L1706" t="s">
        <v>50</v>
      </c>
      <c r="M1706" s="2">
        <v>170817.3</v>
      </c>
      <c r="N1706" t="s">
        <v>12620</v>
      </c>
      <c r="O1706" t="s">
        <v>52</v>
      </c>
      <c r="P1706" t="str">
        <f>CONCATENATE("'",Tabla1[[#This Row],[Codigo]],"',")</f>
        <v>'02722',</v>
      </c>
    </row>
    <row r="1707" spans="1:16" x14ac:dyDescent="0.25">
      <c r="A1707" t="s">
        <v>12621</v>
      </c>
      <c r="B1707" t="s">
        <v>12622</v>
      </c>
      <c r="C1707" t="s">
        <v>12622</v>
      </c>
      <c r="D1707" t="s">
        <v>5597</v>
      </c>
      <c r="E1707" t="s">
        <v>224</v>
      </c>
      <c r="F1707" t="s">
        <v>12623</v>
      </c>
      <c r="G1707" t="s">
        <v>1335</v>
      </c>
      <c r="H1707" t="s">
        <v>254</v>
      </c>
      <c r="I1707" t="s">
        <v>255</v>
      </c>
      <c r="J1707" t="s">
        <v>4374</v>
      </c>
      <c r="K1707" t="s">
        <v>4375</v>
      </c>
      <c r="L1707" t="s">
        <v>50</v>
      </c>
      <c r="M1707" s="2">
        <v>152269.59</v>
      </c>
      <c r="N1707" t="s">
        <v>12626</v>
      </c>
      <c r="O1707" t="s">
        <v>115</v>
      </c>
      <c r="P1707" t="str">
        <f>CONCATENATE("'",Tabla1[[#This Row],[Codigo]],"',")</f>
        <v>'02724',</v>
      </c>
    </row>
    <row r="1708" spans="1:16" x14ac:dyDescent="0.25">
      <c r="A1708" t="s">
        <v>12627</v>
      </c>
      <c r="B1708" t="s">
        <v>12628</v>
      </c>
      <c r="C1708" t="s">
        <v>12628</v>
      </c>
      <c r="D1708" t="s">
        <v>125</v>
      </c>
      <c r="E1708" t="s">
        <v>126</v>
      </c>
      <c r="F1708" t="s">
        <v>12629</v>
      </c>
      <c r="G1708" t="s">
        <v>5202</v>
      </c>
      <c r="H1708" t="s">
        <v>5201</v>
      </c>
      <c r="I1708" t="s">
        <v>5202</v>
      </c>
      <c r="J1708" t="s">
        <v>1212</v>
      </c>
      <c r="K1708" t="s">
        <v>1213</v>
      </c>
      <c r="L1708" t="s">
        <v>50</v>
      </c>
      <c r="M1708" s="2">
        <v>-85580.69</v>
      </c>
      <c r="N1708" t="s">
        <v>12632</v>
      </c>
      <c r="O1708" t="s">
        <v>52</v>
      </c>
      <c r="P1708" t="str">
        <f>CONCATENATE("'",Tabla1[[#This Row],[Codigo]],"',")</f>
        <v>'02725',</v>
      </c>
    </row>
    <row r="1709" spans="1:16" x14ac:dyDescent="0.25">
      <c r="A1709" t="s">
        <v>12633</v>
      </c>
      <c r="B1709" t="s">
        <v>12634</v>
      </c>
      <c r="C1709" t="s">
        <v>12634</v>
      </c>
      <c r="D1709" t="s">
        <v>125</v>
      </c>
      <c r="E1709" t="s">
        <v>126</v>
      </c>
      <c r="F1709" t="s">
        <v>12635</v>
      </c>
      <c r="G1709" t="s">
        <v>11588</v>
      </c>
      <c r="H1709" t="s">
        <v>11590</v>
      </c>
      <c r="I1709" t="s">
        <v>11588</v>
      </c>
      <c r="J1709" t="s">
        <v>1212</v>
      </c>
      <c r="K1709" t="s">
        <v>1213</v>
      </c>
      <c r="L1709" t="s">
        <v>50</v>
      </c>
      <c r="M1709" s="2">
        <v>64060.22</v>
      </c>
      <c r="N1709" t="s">
        <v>12638</v>
      </c>
      <c r="O1709" t="s">
        <v>115</v>
      </c>
      <c r="P1709" t="str">
        <f>CONCATENATE("'",Tabla1[[#This Row],[Codigo]],"',")</f>
        <v>'02728',</v>
      </c>
    </row>
    <row r="1710" spans="1:16" x14ac:dyDescent="0.25">
      <c r="A1710" t="s">
        <v>12639</v>
      </c>
      <c r="B1710" t="s">
        <v>12640</v>
      </c>
      <c r="C1710" t="s">
        <v>12640</v>
      </c>
      <c r="D1710" t="s">
        <v>35</v>
      </c>
      <c r="E1710" t="s">
        <v>36</v>
      </c>
      <c r="F1710" t="s">
        <v>12641</v>
      </c>
      <c r="G1710" t="s">
        <v>2002</v>
      </c>
      <c r="H1710" t="s">
        <v>101</v>
      </c>
      <c r="I1710" t="s">
        <v>102</v>
      </c>
      <c r="J1710" t="s">
        <v>103</v>
      </c>
      <c r="K1710" t="s">
        <v>104</v>
      </c>
      <c r="L1710" t="s">
        <v>50</v>
      </c>
      <c r="M1710" s="2">
        <v>124582.39</v>
      </c>
      <c r="N1710" t="s">
        <v>12644</v>
      </c>
      <c r="O1710" t="s">
        <v>52</v>
      </c>
      <c r="P1710" t="str">
        <f>CONCATENATE("'",Tabla1[[#This Row],[Codigo]],"',")</f>
        <v>'02729',</v>
      </c>
    </row>
    <row r="1711" spans="1:16" x14ac:dyDescent="0.25">
      <c r="A1711" t="s">
        <v>12645</v>
      </c>
      <c r="B1711" t="s">
        <v>12646</v>
      </c>
      <c r="C1711" t="s">
        <v>12418</v>
      </c>
      <c r="D1711" t="s">
        <v>35</v>
      </c>
      <c r="E1711" t="s">
        <v>36</v>
      </c>
      <c r="F1711" t="s">
        <v>12419</v>
      </c>
      <c r="G1711" t="s">
        <v>2394</v>
      </c>
      <c r="H1711" t="s">
        <v>12421</v>
      </c>
      <c r="I1711" t="s">
        <v>12422</v>
      </c>
      <c r="J1711" t="s">
        <v>941</v>
      </c>
      <c r="K1711" t="s">
        <v>139</v>
      </c>
      <c r="L1711" t="s">
        <v>50</v>
      </c>
      <c r="M1711" s="2">
        <v>206248.1</v>
      </c>
      <c r="N1711" t="s">
        <v>12649</v>
      </c>
      <c r="O1711" t="s">
        <v>52</v>
      </c>
      <c r="P1711" t="str">
        <f>CONCATENATE("'",Tabla1[[#This Row],[Codigo]],"',")</f>
        <v>'02730',</v>
      </c>
    </row>
    <row r="1712" spans="1:16" x14ac:dyDescent="0.25">
      <c r="A1712" t="s">
        <v>12650</v>
      </c>
      <c r="B1712" t="s">
        <v>12651</v>
      </c>
      <c r="C1712" t="s">
        <v>12651</v>
      </c>
      <c r="D1712" t="s">
        <v>35</v>
      </c>
      <c r="E1712" t="s">
        <v>36</v>
      </c>
      <c r="F1712" t="s">
        <v>12652</v>
      </c>
      <c r="G1712" t="s">
        <v>2394</v>
      </c>
      <c r="H1712" t="s">
        <v>12421</v>
      </c>
      <c r="I1712" t="s">
        <v>12422</v>
      </c>
      <c r="J1712" t="s">
        <v>941</v>
      </c>
      <c r="K1712" t="s">
        <v>139</v>
      </c>
      <c r="L1712" t="s">
        <v>50</v>
      </c>
      <c r="M1712" s="2">
        <v>207740.43</v>
      </c>
      <c r="N1712" t="s">
        <v>12654</v>
      </c>
      <c r="O1712" t="s">
        <v>52</v>
      </c>
      <c r="P1712" t="str">
        <f>CONCATENATE("'",Tabla1[[#This Row],[Codigo]],"',")</f>
        <v>'02731',</v>
      </c>
    </row>
    <row r="1713" spans="1:16" x14ac:dyDescent="0.25">
      <c r="A1713" t="s">
        <v>12655</v>
      </c>
      <c r="B1713" t="s">
        <v>12656</v>
      </c>
      <c r="C1713" t="s">
        <v>12656</v>
      </c>
      <c r="D1713" t="s">
        <v>35</v>
      </c>
      <c r="E1713" t="s">
        <v>36</v>
      </c>
      <c r="F1713" t="s">
        <v>12657</v>
      </c>
      <c r="G1713" t="s">
        <v>11588</v>
      </c>
      <c r="H1713" t="s">
        <v>11590</v>
      </c>
      <c r="I1713" t="s">
        <v>11588</v>
      </c>
      <c r="J1713" t="s">
        <v>1212</v>
      </c>
      <c r="K1713" t="s">
        <v>1213</v>
      </c>
      <c r="L1713" t="s">
        <v>50</v>
      </c>
      <c r="M1713" s="2">
        <v>292819.62</v>
      </c>
      <c r="N1713" t="s">
        <v>12660</v>
      </c>
      <c r="O1713" t="s">
        <v>115</v>
      </c>
      <c r="P1713" t="str">
        <f>CONCATENATE("'",Tabla1[[#This Row],[Codigo]],"',")</f>
        <v>'02732',</v>
      </c>
    </row>
    <row r="1714" spans="1:16" x14ac:dyDescent="0.25">
      <c r="A1714" t="s">
        <v>12661</v>
      </c>
      <c r="B1714" t="s">
        <v>12662</v>
      </c>
      <c r="C1714" t="s">
        <v>12662</v>
      </c>
      <c r="D1714" t="s">
        <v>125</v>
      </c>
      <c r="E1714" t="s">
        <v>126</v>
      </c>
      <c r="F1714" t="s">
        <v>12663</v>
      </c>
      <c r="G1714" t="s">
        <v>12664</v>
      </c>
      <c r="H1714" t="s">
        <v>11590</v>
      </c>
      <c r="I1714" t="s">
        <v>11588</v>
      </c>
      <c r="J1714" t="s">
        <v>1212</v>
      </c>
      <c r="K1714" t="s">
        <v>1213</v>
      </c>
      <c r="L1714" t="s">
        <v>50</v>
      </c>
      <c r="M1714" s="2">
        <v>248832.24</v>
      </c>
      <c r="N1714" t="s">
        <v>12667</v>
      </c>
      <c r="O1714" t="s">
        <v>115</v>
      </c>
      <c r="P1714" t="str">
        <f>CONCATENATE("'",Tabla1[[#This Row],[Codigo]],"',")</f>
        <v>'02733',</v>
      </c>
    </row>
    <row r="1715" spans="1:16" x14ac:dyDescent="0.25">
      <c r="A1715" t="s">
        <v>12673</v>
      </c>
      <c r="B1715" t="s">
        <v>12674</v>
      </c>
      <c r="C1715" t="s">
        <v>12674</v>
      </c>
      <c r="D1715" t="s">
        <v>35</v>
      </c>
      <c r="E1715" t="s">
        <v>36</v>
      </c>
      <c r="F1715" t="s">
        <v>12675</v>
      </c>
      <c r="G1715" t="s">
        <v>1335</v>
      </c>
      <c r="H1715" t="s">
        <v>254</v>
      </c>
      <c r="I1715" t="s">
        <v>255</v>
      </c>
      <c r="J1715" t="s">
        <v>256</v>
      </c>
      <c r="K1715" t="s">
        <v>255</v>
      </c>
      <c r="L1715" t="s">
        <v>50</v>
      </c>
      <c r="M1715" s="2">
        <v>136998.53</v>
      </c>
      <c r="N1715" t="s">
        <v>12678</v>
      </c>
      <c r="O1715" t="s">
        <v>52</v>
      </c>
      <c r="P1715" t="str">
        <f>CONCATENATE("'",Tabla1[[#This Row],[Codigo]],"',")</f>
        <v>'02735',</v>
      </c>
    </row>
    <row r="1716" spans="1:16" x14ac:dyDescent="0.25">
      <c r="A1716" t="s">
        <v>12679</v>
      </c>
      <c r="B1716" t="s">
        <v>12680</v>
      </c>
      <c r="C1716" t="s">
        <v>12680</v>
      </c>
      <c r="D1716" t="s">
        <v>1734</v>
      </c>
      <c r="E1716" t="s">
        <v>224</v>
      </c>
      <c r="F1716" t="s">
        <v>12681</v>
      </c>
      <c r="G1716" t="s">
        <v>11440</v>
      </c>
      <c r="H1716" t="s">
        <v>11459</v>
      </c>
      <c r="I1716" t="s">
        <v>11440</v>
      </c>
      <c r="J1716" t="s">
        <v>8938</v>
      </c>
      <c r="K1716" t="s">
        <v>8939</v>
      </c>
      <c r="L1716" t="s">
        <v>50</v>
      </c>
      <c r="M1716" s="2">
        <v>103989.85</v>
      </c>
      <c r="N1716" t="s">
        <v>12684</v>
      </c>
      <c r="P1716" t="str">
        <f>CONCATENATE("'",Tabla1[[#This Row],[Codigo]],"',")</f>
        <v>'02736',</v>
      </c>
    </row>
    <row r="1717" spans="1:16" x14ac:dyDescent="0.25">
      <c r="A1717" t="s">
        <v>12685</v>
      </c>
      <c r="B1717" t="s">
        <v>12686</v>
      </c>
      <c r="C1717" t="s">
        <v>12686</v>
      </c>
      <c r="D1717" t="s">
        <v>498</v>
      </c>
      <c r="E1717" t="s">
        <v>190</v>
      </c>
      <c r="F1717" t="s">
        <v>12687</v>
      </c>
      <c r="G1717" t="s">
        <v>11440</v>
      </c>
      <c r="H1717" t="s">
        <v>11459</v>
      </c>
      <c r="I1717" t="s">
        <v>11440</v>
      </c>
      <c r="J1717" t="s">
        <v>8938</v>
      </c>
      <c r="K1717" t="s">
        <v>8939</v>
      </c>
      <c r="L1717" t="s">
        <v>50</v>
      </c>
      <c r="M1717" s="2">
        <v>58796</v>
      </c>
      <c r="N1717" t="s">
        <v>12689</v>
      </c>
      <c r="P1717" t="str">
        <f>CONCATENATE("'",Tabla1[[#This Row],[Codigo]],"',")</f>
        <v>'02737',</v>
      </c>
    </row>
    <row r="1718" spans="1:16" x14ac:dyDescent="0.25">
      <c r="A1718" t="s">
        <v>12695</v>
      </c>
      <c r="B1718" t="s">
        <v>12696</v>
      </c>
      <c r="C1718" t="s">
        <v>12696</v>
      </c>
      <c r="D1718" t="s">
        <v>1865</v>
      </c>
      <c r="E1718" t="s">
        <v>224</v>
      </c>
      <c r="F1718" t="s">
        <v>12697</v>
      </c>
      <c r="G1718" t="s">
        <v>139</v>
      </c>
      <c r="H1718" t="s">
        <v>8853</v>
      </c>
      <c r="I1718" t="s">
        <v>139</v>
      </c>
      <c r="J1718" t="s">
        <v>941</v>
      </c>
      <c r="K1718" t="s">
        <v>139</v>
      </c>
      <c r="L1718" t="s">
        <v>50</v>
      </c>
      <c r="M1718" s="2">
        <v>327254.99</v>
      </c>
      <c r="N1718" t="s">
        <v>9029</v>
      </c>
      <c r="P1718" t="str">
        <f>CONCATENATE("'",Tabla1[[#This Row],[Codigo]],"',")</f>
        <v>'02739',</v>
      </c>
    </row>
    <row r="1719" spans="1:16" x14ac:dyDescent="0.25">
      <c r="A1719" t="s">
        <v>12705</v>
      </c>
      <c r="B1719" t="s">
        <v>12706</v>
      </c>
      <c r="C1719" t="s">
        <v>12706</v>
      </c>
      <c r="D1719" t="s">
        <v>35</v>
      </c>
      <c r="E1719" t="s">
        <v>36</v>
      </c>
      <c r="F1719" t="s">
        <v>12707</v>
      </c>
      <c r="G1719" t="s">
        <v>6986</v>
      </c>
      <c r="H1719" t="s">
        <v>6985</v>
      </c>
      <c r="I1719" t="s">
        <v>6986</v>
      </c>
      <c r="J1719" t="s">
        <v>6987</v>
      </c>
      <c r="K1719" t="s">
        <v>6988</v>
      </c>
      <c r="L1719" t="s">
        <v>50</v>
      </c>
      <c r="M1719" s="2">
        <v>1880128.11</v>
      </c>
      <c r="N1719" t="s">
        <v>12710</v>
      </c>
      <c r="O1719" t="s">
        <v>115</v>
      </c>
      <c r="P1719" t="str">
        <f>CONCATENATE("'",Tabla1[[#This Row],[Codigo]],"',")</f>
        <v>'02741',</v>
      </c>
    </row>
    <row r="1720" spans="1:16" x14ac:dyDescent="0.25">
      <c r="A1720" t="s">
        <v>12711</v>
      </c>
      <c r="B1720" t="s">
        <v>12712</v>
      </c>
      <c r="C1720" t="s">
        <v>12712</v>
      </c>
      <c r="D1720" t="s">
        <v>569</v>
      </c>
      <c r="E1720" t="s">
        <v>570</v>
      </c>
      <c r="F1720" t="s">
        <v>12713</v>
      </c>
      <c r="G1720" t="s">
        <v>90</v>
      </c>
      <c r="H1720" t="s">
        <v>89</v>
      </c>
      <c r="I1720" t="s">
        <v>90</v>
      </c>
      <c r="J1720" t="s">
        <v>91</v>
      </c>
      <c r="K1720" t="s">
        <v>92</v>
      </c>
      <c r="L1720" t="s">
        <v>50</v>
      </c>
      <c r="M1720" s="2">
        <v>394676.06</v>
      </c>
      <c r="N1720" t="s">
        <v>12716</v>
      </c>
      <c r="O1720" t="s">
        <v>52</v>
      </c>
      <c r="P1720" t="str">
        <f>CONCATENATE("'",Tabla1[[#This Row],[Codigo]],"',")</f>
        <v>'02743',</v>
      </c>
    </row>
    <row r="1721" spans="1:16" x14ac:dyDescent="0.25">
      <c r="A1721" t="s">
        <v>12717</v>
      </c>
      <c r="B1721" t="s">
        <v>12718</v>
      </c>
      <c r="C1721" t="s">
        <v>12718</v>
      </c>
      <c r="D1721" t="s">
        <v>125</v>
      </c>
      <c r="E1721" t="s">
        <v>126</v>
      </c>
      <c r="F1721" t="s">
        <v>12719</v>
      </c>
      <c r="G1721" t="s">
        <v>12720</v>
      </c>
      <c r="H1721" t="s">
        <v>8792</v>
      </c>
      <c r="I1721" t="s">
        <v>8790</v>
      </c>
      <c r="J1721" t="s">
        <v>10093</v>
      </c>
      <c r="K1721" t="s">
        <v>10094</v>
      </c>
      <c r="L1721" t="s">
        <v>50</v>
      </c>
      <c r="M1721" s="2">
        <v>97529.27</v>
      </c>
      <c r="N1721" t="s">
        <v>12723</v>
      </c>
      <c r="O1721" t="s">
        <v>52</v>
      </c>
      <c r="P1721" t="str">
        <f>CONCATENATE("'",Tabla1[[#This Row],[Codigo]],"',")</f>
        <v>'02744',</v>
      </c>
    </row>
    <row r="1722" spans="1:16" x14ac:dyDescent="0.25">
      <c r="A1722" t="s">
        <v>12724</v>
      </c>
      <c r="B1722" t="s">
        <v>12725</v>
      </c>
      <c r="C1722" t="s">
        <v>12725</v>
      </c>
      <c r="D1722" t="s">
        <v>35</v>
      </c>
      <c r="E1722" t="s">
        <v>36</v>
      </c>
      <c r="F1722" t="s">
        <v>12726</v>
      </c>
      <c r="G1722" t="s">
        <v>9129</v>
      </c>
      <c r="H1722" t="s">
        <v>9130</v>
      </c>
      <c r="I1722" t="s">
        <v>9129</v>
      </c>
      <c r="J1722" t="s">
        <v>256</v>
      </c>
      <c r="K1722" t="s">
        <v>255</v>
      </c>
      <c r="L1722" t="s">
        <v>50</v>
      </c>
      <c r="M1722" s="2">
        <v>-4912.8599999999997</v>
      </c>
      <c r="N1722" t="s">
        <v>12729</v>
      </c>
      <c r="O1722" t="s">
        <v>52</v>
      </c>
      <c r="P1722" t="str">
        <f>CONCATENATE("'",Tabla1[[#This Row],[Codigo]],"',")</f>
        <v>'02746',</v>
      </c>
    </row>
    <row r="1723" spans="1:16" x14ac:dyDescent="0.25">
      <c r="A1723" t="s">
        <v>12730</v>
      </c>
      <c r="B1723" t="s">
        <v>12731</v>
      </c>
      <c r="C1723" t="s">
        <v>12731</v>
      </c>
      <c r="D1723" t="s">
        <v>153</v>
      </c>
      <c r="E1723" t="s">
        <v>272</v>
      </c>
      <c r="F1723" t="s">
        <v>12732</v>
      </c>
      <c r="G1723" t="s">
        <v>79</v>
      </c>
      <c r="H1723" t="s">
        <v>495</v>
      </c>
      <c r="I1723" t="s">
        <v>79</v>
      </c>
      <c r="J1723" t="s">
        <v>3487</v>
      </c>
      <c r="K1723" t="s">
        <v>3488</v>
      </c>
      <c r="L1723" t="s">
        <v>50</v>
      </c>
      <c r="M1723" s="2">
        <v>202590.1</v>
      </c>
      <c r="N1723" t="s">
        <v>12735</v>
      </c>
      <c r="O1723" t="s">
        <v>52</v>
      </c>
      <c r="P1723" t="str">
        <f>CONCATENATE("'",Tabla1[[#This Row],[Codigo]],"',")</f>
        <v>'02747',</v>
      </c>
    </row>
    <row r="1724" spans="1:16" x14ac:dyDescent="0.25">
      <c r="A1724" t="s">
        <v>12736</v>
      </c>
      <c r="B1724" t="s">
        <v>12737</v>
      </c>
      <c r="C1724" t="s">
        <v>12737</v>
      </c>
      <c r="D1724" t="s">
        <v>125</v>
      </c>
      <c r="E1724" t="s">
        <v>126</v>
      </c>
      <c r="F1724" t="s">
        <v>12738</v>
      </c>
      <c r="G1724" t="s">
        <v>8790</v>
      </c>
      <c r="H1724" t="s">
        <v>8792</v>
      </c>
      <c r="I1724" t="s">
        <v>8790</v>
      </c>
      <c r="J1724" t="s">
        <v>10093</v>
      </c>
      <c r="K1724" t="s">
        <v>10094</v>
      </c>
      <c r="L1724" t="s">
        <v>50</v>
      </c>
      <c r="M1724" s="2">
        <v>2012191.96</v>
      </c>
      <c r="N1724" t="s">
        <v>12741</v>
      </c>
      <c r="O1724" t="s">
        <v>52</v>
      </c>
      <c r="P1724" t="str">
        <f>CONCATENATE("'",Tabla1[[#This Row],[Codigo]],"',")</f>
        <v>'02748',</v>
      </c>
    </row>
    <row r="1725" spans="1:16" x14ac:dyDescent="0.25">
      <c r="A1725" t="s">
        <v>12742</v>
      </c>
      <c r="B1725" t="s">
        <v>12743</v>
      </c>
      <c r="C1725" t="s">
        <v>12743</v>
      </c>
      <c r="D1725" t="s">
        <v>125</v>
      </c>
      <c r="E1725" t="s">
        <v>126</v>
      </c>
      <c r="F1725" t="s">
        <v>12744</v>
      </c>
      <c r="G1725" t="s">
        <v>139</v>
      </c>
      <c r="H1725" t="s">
        <v>8853</v>
      </c>
      <c r="I1725" t="s">
        <v>139</v>
      </c>
      <c r="J1725" t="s">
        <v>941</v>
      </c>
      <c r="K1725" t="s">
        <v>139</v>
      </c>
      <c r="L1725" t="s">
        <v>50</v>
      </c>
      <c r="M1725" s="2">
        <v>260447.83</v>
      </c>
      <c r="N1725" t="s">
        <v>12747</v>
      </c>
      <c r="O1725" t="s">
        <v>52</v>
      </c>
      <c r="P1725" t="str">
        <f>CONCATENATE("'",Tabla1[[#This Row],[Codigo]],"',")</f>
        <v>'02749',</v>
      </c>
    </row>
    <row r="1726" spans="1:16" x14ac:dyDescent="0.25">
      <c r="A1726" t="s">
        <v>12748</v>
      </c>
      <c r="B1726" t="s">
        <v>12749</v>
      </c>
      <c r="C1726" t="s">
        <v>12749</v>
      </c>
      <c r="D1726" t="s">
        <v>4221</v>
      </c>
      <c r="E1726" t="s">
        <v>77</v>
      </c>
      <c r="F1726" t="s">
        <v>12750</v>
      </c>
      <c r="G1726" t="s">
        <v>7706</v>
      </c>
      <c r="H1726" t="s">
        <v>7705</v>
      </c>
      <c r="I1726" t="s">
        <v>7706</v>
      </c>
      <c r="J1726" t="s">
        <v>4374</v>
      </c>
      <c r="K1726" t="s">
        <v>4375</v>
      </c>
      <c r="L1726" t="s">
        <v>50</v>
      </c>
      <c r="M1726" s="2">
        <v>218170</v>
      </c>
      <c r="N1726" t="s">
        <v>64</v>
      </c>
      <c r="P1726" t="str">
        <f>CONCATENATE("'",Tabla1[[#This Row],[Codigo]],"',")</f>
        <v>'02750',</v>
      </c>
    </row>
    <row r="1727" spans="1:16" x14ac:dyDescent="0.25">
      <c r="A1727" t="s">
        <v>12758</v>
      </c>
      <c r="B1727" t="s">
        <v>15203</v>
      </c>
      <c r="C1727" t="s">
        <v>12760</v>
      </c>
      <c r="D1727" t="s">
        <v>153</v>
      </c>
      <c r="E1727" t="s">
        <v>272</v>
      </c>
      <c r="F1727" t="s">
        <v>12761</v>
      </c>
      <c r="G1727" t="s">
        <v>139</v>
      </c>
      <c r="H1727" t="s">
        <v>8853</v>
      </c>
      <c r="I1727" t="s">
        <v>139</v>
      </c>
      <c r="J1727" t="s">
        <v>941</v>
      </c>
      <c r="K1727" t="s">
        <v>139</v>
      </c>
      <c r="L1727" t="s">
        <v>50</v>
      </c>
      <c r="M1727" s="2">
        <v>217521.86</v>
      </c>
      <c r="N1727" t="s">
        <v>12764</v>
      </c>
      <c r="O1727" t="s">
        <v>52</v>
      </c>
      <c r="P1727" t="str">
        <f>CONCATENATE("'",Tabla1[[#This Row],[Codigo]],"',")</f>
        <v>'02752',</v>
      </c>
    </row>
    <row r="1728" spans="1:16" x14ac:dyDescent="0.25">
      <c r="A1728" t="s">
        <v>12765</v>
      </c>
      <c r="B1728" t="s">
        <v>12766</v>
      </c>
      <c r="C1728" t="s">
        <v>12766</v>
      </c>
      <c r="D1728" t="s">
        <v>125</v>
      </c>
      <c r="E1728" t="s">
        <v>126</v>
      </c>
      <c r="F1728" t="s">
        <v>12767</v>
      </c>
      <c r="G1728" t="s">
        <v>11440</v>
      </c>
      <c r="H1728" t="s">
        <v>11459</v>
      </c>
      <c r="I1728" t="s">
        <v>11440</v>
      </c>
      <c r="J1728" t="s">
        <v>256</v>
      </c>
      <c r="K1728" t="s">
        <v>255</v>
      </c>
      <c r="L1728" t="s">
        <v>50</v>
      </c>
      <c r="M1728" s="2">
        <v>366309.18</v>
      </c>
      <c r="N1728" t="s">
        <v>12770</v>
      </c>
      <c r="O1728" t="s">
        <v>115</v>
      </c>
      <c r="P1728" t="str">
        <f>CONCATENATE("'",Tabla1[[#This Row],[Codigo]],"',")</f>
        <v>'02753',</v>
      </c>
    </row>
    <row r="1729" spans="1:16" x14ac:dyDescent="0.25">
      <c r="A1729" s="15" t="s">
        <v>12771</v>
      </c>
      <c r="B1729" s="15" t="s">
        <v>12772</v>
      </c>
      <c r="C1729" s="15" t="s">
        <v>12772</v>
      </c>
      <c r="D1729" s="15" t="s">
        <v>55</v>
      </c>
      <c r="E1729" s="15" t="s">
        <v>56</v>
      </c>
      <c r="F1729" s="15" t="s">
        <v>12773</v>
      </c>
      <c r="G1729" s="15" t="s">
        <v>41</v>
      </c>
      <c r="H1729" s="15" t="s">
        <v>40</v>
      </c>
      <c r="I1729" s="15" t="s">
        <v>41</v>
      </c>
      <c r="J1729" s="15" t="s">
        <v>61</v>
      </c>
      <c r="K1729" s="15" t="s">
        <v>62</v>
      </c>
      <c r="L1729" s="15" t="s">
        <v>50</v>
      </c>
      <c r="M1729" s="16">
        <v>218168.22</v>
      </c>
      <c r="N1729" s="15" t="s">
        <v>12776</v>
      </c>
      <c r="O1729" s="15" t="s">
        <v>115</v>
      </c>
      <c r="P1729" t="str">
        <f>CONCATENATE("'",Tabla1[[#This Row],[Codigo]],"',")</f>
        <v>'02754',</v>
      </c>
    </row>
    <row r="1730" spans="1:16" x14ac:dyDescent="0.25">
      <c r="A1730" t="s">
        <v>12777</v>
      </c>
      <c r="B1730" t="s">
        <v>12778</v>
      </c>
      <c r="C1730" t="s">
        <v>8492</v>
      </c>
      <c r="D1730" t="s">
        <v>2288</v>
      </c>
      <c r="E1730" t="s">
        <v>134</v>
      </c>
      <c r="F1730" t="s">
        <v>8493</v>
      </c>
      <c r="G1730" t="s">
        <v>7263</v>
      </c>
      <c r="H1730" t="s">
        <v>2571</v>
      </c>
      <c r="I1730" t="s">
        <v>2572</v>
      </c>
      <c r="J1730" t="s">
        <v>6987</v>
      </c>
      <c r="K1730" t="s">
        <v>6988</v>
      </c>
      <c r="L1730" t="s">
        <v>50</v>
      </c>
      <c r="M1730" s="2">
        <v>218169.59</v>
      </c>
      <c r="N1730" t="s">
        <v>12780</v>
      </c>
      <c r="P1730" t="str">
        <f>CONCATENATE("'",Tabla1[[#This Row],[Codigo]],"',")</f>
        <v>'02756',</v>
      </c>
    </row>
    <row r="1731" spans="1:16" x14ac:dyDescent="0.25">
      <c r="A1731" t="s">
        <v>12781</v>
      </c>
      <c r="B1731" t="s">
        <v>12782</v>
      </c>
      <c r="C1731" t="s">
        <v>12782</v>
      </c>
      <c r="D1731" t="s">
        <v>847</v>
      </c>
      <c r="E1731" t="s">
        <v>848</v>
      </c>
      <c r="F1731" t="s">
        <v>12783</v>
      </c>
      <c r="G1731" t="s">
        <v>41</v>
      </c>
      <c r="H1731" t="s">
        <v>40</v>
      </c>
      <c r="I1731" t="s">
        <v>41</v>
      </c>
      <c r="J1731" t="s">
        <v>42</v>
      </c>
      <c r="K1731" t="s">
        <v>43</v>
      </c>
      <c r="L1731" t="s">
        <v>50</v>
      </c>
      <c r="M1731" s="2">
        <v>10909</v>
      </c>
      <c r="N1731" t="s">
        <v>64</v>
      </c>
      <c r="P1731" t="str">
        <f>CONCATENATE("'",Tabla1[[#This Row],[Codigo]],"',")</f>
        <v>'02757',</v>
      </c>
    </row>
    <row r="1732" spans="1:16" x14ac:dyDescent="0.25">
      <c r="A1732" t="s">
        <v>12786</v>
      </c>
      <c r="B1732" t="s">
        <v>12787</v>
      </c>
      <c r="C1732" t="s">
        <v>12787</v>
      </c>
      <c r="D1732" t="s">
        <v>847</v>
      </c>
      <c r="E1732" t="s">
        <v>848</v>
      </c>
      <c r="F1732" t="s">
        <v>12788</v>
      </c>
      <c r="G1732" t="s">
        <v>41</v>
      </c>
      <c r="H1732" t="s">
        <v>40</v>
      </c>
      <c r="I1732" t="s">
        <v>41</v>
      </c>
      <c r="J1732" t="s">
        <v>42</v>
      </c>
      <c r="K1732" t="s">
        <v>43</v>
      </c>
      <c r="L1732" t="s">
        <v>50</v>
      </c>
      <c r="M1732" s="2">
        <v>218170</v>
      </c>
      <c r="N1732" t="s">
        <v>64</v>
      </c>
      <c r="P1732" t="str">
        <f>CONCATENATE("'",Tabla1[[#This Row],[Codigo]],"',")</f>
        <v>'02758',</v>
      </c>
    </row>
    <row r="1733" spans="1:16" x14ac:dyDescent="0.25">
      <c r="A1733" t="s">
        <v>12790</v>
      </c>
      <c r="B1733" t="s">
        <v>12791</v>
      </c>
      <c r="C1733" t="s">
        <v>12791</v>
      </c>
      <c r="D1733" t="s">
        <v>4402</v>
      </c>
      <c r="E1733" t="s">
        <v>134</v>
      </c>
      <c r="F1733" t="s">
        <v>12792</v>
      </c>
      <c r="G1733" t="s">
        <v>41</v>
      </c>
      <c r="H1733" t="s">
        <v>40</v>
      </c>
      <c r="I1733" t="s">
        <v>41</v>
      </c>
      <c r="J1733" t="s">
        <v>42</v>
      </c>
      <c r="K1733" t="s">
        <v>43</v>
      </c>
      <c r="L1733" t="s">
        <v>50</v>
      </c>
      <c r="M1733" s="2">
        <v>10909</v>
      </c>
      <c r="N1733" t="s">
        <v>64</v>
      </c>
      <c r="P1733" t="str">
        <f>CONCATENATE("'",Tabla1[[#This Row],[Codigo]],"',")</f>
        <v>'02759',</v>
      </c>
    </row>
    <row r="1734" spans="1:16" x14ac:dyDescent="0.25">
      <c r="A1734" t="s">
        <v>12794</v>
      </c>
      <c r="B1734" t="s">
        <v>12795</v>
      </c>
      <c r="C1734" t="s">
        <v>12795</v>
      </c>
      <c r="D1734" t="s">
        <v>153</v>
      </c>
      <c r="E1734" t="s">
        <v>272</v>
      </c>
      <c r="F1734" t="s">
        <v>12796</v>
      </c>
      <c r="G1734" t="s">
        <v>1448</v>
      </c>
      <c r="H1734" t="s">
        <v>1450</v>
      </c>
      <c r="I1734" t="s">
        <v>1448</v>
      </c>
      <c r="J1734" t="s">
        <v>2320</v>
      </c>
      <c r="K1734" t="s">
        <v>2321</v>
      </c>
      <c r="L1734" t="s">
        <v>50</v>
      </c>
      <c r="M1734" s="2">
        <v>17807.5</v>
      </c>
      <c r="N1734" t="s">
        <v>12799</v>
      </c>
      <c r="O1734" t="s">
        <v>52</v>
      </c>
      <c r="P1734" t="str">
        <f>CONCATENATE("'",Tabla1[[#This Row],[Codigo]],"',")</f>
        <v>'02764',</v>
      </c>
    </row>
    <row r="1735" spans="1:16" x14ac:dyDescent="0.25">
      <c r="A1735" t="s">
        <v>12800</v>
      </c>
      <c r="B1735" t="s">
        <v>12801</v>
      </c>
      <c r="C1735" t="s">
        <v>12801</v>
      </c>
      <c r="D1735" t="s">
        <v>478</v>
      </c>
      <c r="E1735" t="s">
        <v>190</v>
      </c>
      <c r="F1735" t="s">
        <v>12802</v>
      </c>
      <c r="G1735" t="s">
        <v>139</v>
      </c>
      <c r="H1735" t="s">
        <v>8853</v>
      </c>
      <c r="I1735" t="s">
        <v>139</v>
      </c>
      <c r="J1735" t="s">
        <v>941</v>
      </c>
      <c r="K1735" t="s">
        <v>139</v>
      </c>
      <c r="L1735" t="s">
        <v>50</v>
      </c>
      <c r="M1735" s="2">
        <v>61604.89</v>
      </c>
      <c r="N1735" t="s">
        <v>12805</v>
      </c>
      <c r="P1735" t="str">
        <f>CONCATENATE("'",Tabla1[[#This Row],[Codigo]],"',")</f>
        <v>'02765',</v>
      </c>
    </row>
    <row r="1736" spans="1:16" x14ac:dyDescent="0.25">
      <c r="A1736" t="s">
        <v>12811</v>
      </c>
      <c r="B1736" t="s">
        <v>12812</v>
      </c>
      <c r="C1736" t="s">
        <v>12812</v>
      </c>
      <c r="D1736" t="s">
        <v>297</v>
      </c>
      <c r="E1736" t="s">
        <v>167</v>
      </c>
      <c r="F1736" t="s">
        <v>12813</v>
      </c>
      <c r="G1736" t="s">
        <v>437</v>
      </c>
      <c r="H1736" t="s">
        <v>436</v>
      </c>
      <c r="I1736" t="s">
        <v>437</v>
      </c>
      <c r="J1736" t="s">
        <v>316</v>
      </c>
      <c r="K1736" t="s">
        <v>317</v>
      </c>
      <c r="L1736" t="s">
        <v>50</v>
      </c>
      <c r="M1736" s="2">
        <v>191097.33</v>
      </c>
      <c r="N1736" t="s">
        <v>12816</v>
      </c>
      <c r="O1736" t="s">
        <v>52</v>
      </c>
      <c r="P1736" t="str">
        <f>CONCATENATE("'",Tabla1[[#This Row],[Codigo]],"',")</f>
        <v>'02767',</v>
      </c>
    </row>
    <row r="1737" spans="1:16" x14ac:dyDescent="0.25">
      <c r="A1737" t="s">
        <v>12821</v>
      </c>
      <c r="B1737" t="s">
        <v>12822</v>
      </c>
      <c r="C1737" t="s">
        <v>12818</v>
      </c>
      <c r="D1737" t="s">
        <v>299</v>
      </c>
      <c r="E1737" t="s">
        <v>167</v>
      </c>
      <c r="F1737" t="s">
        <v>12819</v>
      </c>
      <c r="G1737" t="s">
        <v>65</v>
      </c>
      <c r="H1737" t="s">
        <v>67</v>
      </c>
      <c r="I1737" t="s">
        <v>68</v>
      </c>
      <c r="J1737" t="s">
        <v>304</v>
      </c>
      <c r="K1737" t="s">
        <v>72</v>
      </c>
      <c r="L1737" t="s">
        <v>50</v>
      </c>
      <c r="M1737" s="2">
        <v>184732.18</v>
      </c>
      <c r="N1737" t="s">
        <v>12823</v>
      </c>
      <c r="O1737" t="s">
        <v>52</v>
      </c>
      <c r="P1737" t="str">
        <f>CONCATENATE("'",Tabla1[[#This Row],[Codigo]],"',")</f>
        <v>'02769',</v>
      </c>
    </row>
    <row r="1738" spans="1:16" x14ac:dyDescent="0.25">
      <c r="A1738" t="s">
        <v>12824</v>
      </c>
      <c r="B1738" t="s">
        <v>12825</v>
      </c>
      <c r="C1738" t="s">
        <v>12818</v>
      </c>
      <c r="D1738" t="s">
        <v>35</v>
      </c>
      <c r="E1738" t="s">
        <v>36</v>
      </c>
      <c r="F1738" t="s">
        <v>12819</v>
      </c>
      <c r="G1738" t="s">
        <v>446</v>
      </c>
      <c r="H1738" t="s">
        <v>445</v>
      </c>
      <c r="I1738" t="s">
        <v>446</v>
      </c>
      <c r="J1738" t="s">
        <v>304</v>
      </c>
      <c r="K1738" t="s">
        <v>72</v>
      </c>
      <c r="L1738" t="s">
        <v>50</v>
      </c>
      <c r="M1738" s="2">
        <v>136861.01999999999</v>
      </c>
      <c r="N1738" t="s">
        <v>12826</v>
      </c>
      <c r="O1738" t="s">
        <v>52</v>
      </c>
      <c r="P1738" t="str">
        <f>CONCATENATE("'",Tabla1[[#This Row],[Codigo]],"',")</f>
        <v>'02770',</v>
      </c>
    </row>
    <row r="1739" spans="1:16" x14ac:dyDescent="0.25">
      <c r="A1739" t="s">
        <v>12832</v>
      </c>
      <c r="B1739" t="s">
        <v>12833</v>
      </c>
      <c r="C1739" t="s">
        <v>12833</v>
      </c>
      <c r="D1739" t="s">
        <v>125</v>
      </c>
      <c r="E1739" t="s">
        <v>126</v>
      </c>
      <c r="F1739" t="s">
        <v>12834</v>
      </c>
      <c r="G1739" t="s">
        <v>139</v>
      </c>
      <c r="H1739" t="s">
        <v>8853</v>
      </c>
      <c r="I1739" t="s">
        <v>139</v>
      </c>
      <c r="J1739" t="s">
        <v>941</v>
      </c>
      <c r="K1739" t="s">
        <v>139</v>
      </c>
      <c r="L1739" t="s">
        <v>50</v>
      </c>
      <c r="M1739" s="2">
        <v>65065.9</v>
      </c>
      <c r="N1739" t="s">
        <v>12837</v>
      </c>
      <c r="O1739" t="s">
        <v>52</v>
      </c>
      <c r="P1739" t="str">
        <f>CONCATENATE("'",Tabla1[[#This Row],[Codigo]],"',")</f>
        <v>'02772',</v>
      </c>
    </row>
    <row r="1740" spans="1:16" x14ac:dyDescent="0.25">
      <c r="A1740" t="s">
        <v>12838</v>
      </c>
      <c r="B1740" t="s">
        <v>12839</v>
      </c>
      <c r="C1740" t="s">
        <v>12839</v>
      </c>
      <c r="D1740" t="s">
        <v>153</v>
      </c>
      <c r="E1740" t="s">
        <v>272</v>
      </c>
      <c r="F1740" t="s">
        <v>12840</v>
      </c>
      <c r="G1740" t="s">
        <v>137</v>
      </c>
      <c r="H1740" t="s">
        <v>136</v>
      </c>
      <c r="I1740" t="s">
        <v>137</v>
      </c>
      <c r="J1740" t="s">
        <v>256</v>
      </c>
      <c r="K1740" t="s">
        <v>255</v>
      </c>
      <c r="L1740" t="s">
        <v>50</v>
      </c>
      <c r="M1740" s="2">
        <v>396838.98</v>
      </c>
      <c r="N1740" t="s">
        <v>12843</v>
      </c>
      <c r="O1740" t="s">
        <v>52</v>
      </c>
      <c r="P1740" t="str">
        <f>CONCATENATE("'",Tabla1[[#This Row],[Codigo]],"',")</f>
        <v>'02773',</v>
      </c>
    </row>
    <row r="1741" spans="1:16" x14ac:dyDescent="0.25">
      <c r="A1741" t="s">
        <v>12844</v>
      </c>
      <c r="B1741" t="s">
        <v>12845</v>
      </c>
      <c r="C1741" t="s">
        <v>12845</v>
      </c>
      <c r="D1741" t="s">
        <v>35</v>
      </c>
      <c r="E1741" t="s">
        <v>36</v>
      </c>
      <c r="F1741" t="s">
        <v>12846</v>
      </c>
      <c r="G1741" t="s">
        <v>252</v>
      </c>
      <c r="H1741" t="s">
        <v>254</v>
      </c>
      <c r="I1741" t="s">
        <v>255</v>
      </c>
      <c r="J1741" t="s">
        <v>3534</v>
      </c>
      <c r="K1741" t="s">
        <v>3535</v>
      </c>
      <c r="L1741" t="s">
        <v>50</v>
      </c>
      <c r="M1741" s="2">
        <v>127536.77</v>
      </c>
      <c r="N1741" t="s">
        <v>12848</v>
      </c>
      <c r="O1741" t="s">
        <v>52</v>
      </c>
      <c r="P1741" t="str">
        <f>CONCATENATE("'",Tabla1[[#This Row],[Codigo]],"',")</f>
        <v>'02774',</v>
      </c>
    </row>
    <row r="1742" spans="1:16" x14ac:dyDescent="0.25">
      <c r="A1742" t="s">
        <v>12849</v>
      </c>
      <c r="B1742" t="s">
        <v>12850</v>
      </c>
      <c r="C1742" t="s">
        <v>12850</v>
      </c>
      <c r="D1742" t="s">
        <v>577</v>
      </c>
      <c r="E1742" t="s">
        <v>134</v>
      </c>
      <c r="F1742" t="s">
        <v>12851</v>
      </c>
      <c r="G1742" t="s">
        <v>137</v>
      </c>
      <c r="H1742" t="s">
        <v>136</v>
      </c>
      <c r="I1742" t="s">
        <v>137</v>
      </c>
      <c r="J1742" t="s">
        <v>8938</v>
      </c>
      <c r="K1742" t="s">
        <v>8939</v>
      </c>
      <c r="L1742" t="s">
        <v>50</v>
      </c>
      <c r="M1742" s="2">
        <v>276637.78000000003</v>
      </c>
      <c r="N1742" t="s">
        <v>12854</v>
      </c>
      <c r="P1742" t="str">
        <f>CONCATENATE("'",Tabla1[[#This Row],[Codigo]],"',")</f>
        <v>'02775',</v>
      </c>
    </row>
    <row r="1743" spans="1:16" x14ac:dyDescent="0.25">
      <c r="A1743" t="s">
        <v>12855</v>
      </c>
      <c r="B1743" t="s">
        <v>12856</v>
      </c>
      <c r="C1743" t="s">
        <v>12856</v>
      </c>
      <c r="D1743" t="s">
        <v>569</v>
      </c>
      <c r="E1743" t="s">
        <v>570</v>
      </c>
      <c r="F1743" t="s">
        <v>12857</v>
      </c>
      <c r="G1743" t="s">
        <v>12118</v>
      </c>
      <c r="H1743" t="s">
        <v>80</v>
      </c>
      <c r="I1743" t="s">
        <v>81</v>
      </c>
      <c r="J1743" t="s">
        <v>304</v>
      </c>
      <c r="K1743" t="s">
        <v>72</v>
      </c>
      <c r="L1743" t="s">
        <v>50</v>
      </c>
      <c r="M1743" s="2">
        <v>1039668.91</v>
      </c>
      <c r="N1743" t="s">
        <v>12859</v>
      </c>
      <c r="O1743" t="s">
        <v>52</v>
      </c>
      <c r="P1743" t="str">
        <f>CONCATENATE("'",Tabla1[[#This Row],[Codigo]],"',")</f>
        <v>'02776',</v>
      </c>
    </row>
    <row r="1744" spans="1:16" x14ac:dyDescent="0.25">
      <c r="A1744" t="s">
        <v>12860</v>
      </c>
      <c r="B1744" t="s">
        <v>12861</v>
      </c>
      <c r="C1744" t="s">
        <v>12861</v>
      </c>
      <c r="D1744" t="s">
        <v>1243</v>
      </c>
      <c r="E1744" t="s">
        <v>871</v>
      </c>
      <c r="F1744" t="s">
        <v>12862</v>
      </c>
      <c r="G1744" t="s">
        <v>12118</v>
      </c>
      <c r="H1744" t="s">
        <v>80</v>
      </c>
      <c r="I1744" t="s">
        <v>81</v>
      </c>
      <c r="J1744" t="s">
        <v>304</v>
      </c>
      <c r="K1744" t="s">
        <v>72</v>
      </c>
      <c r="L1744" t="s">
        <v>50</v>
      </c>
      <c r="M1744" s="2">
        <v>1090850</v>
      </c>
      <c r="N1744" t="s">
        <v>64</v>
      </c>
      <c r="P1744" t="str">
        <f>CONCATENATE("'",Tabla1[[#This Row],[Codigo]],"',")</f>
        <v>'02777',</v>
      </c>
    </row>
    <row r="1745" spans="1:16" x14ac:dyDescent="0.25">
      <c r="A1745" t="s">
        <v>12863</v>
      </c>
      <c r="B1745" t="s">
        <v>12864</v>
      </c>
      <c r="C1745" t="s">
        <v>12864</v>
      </c>
      <c r="D1745" t="s">
        <v>192</v>
      </c>
      <c r="E1745" t="s">
        <v>224</v>
      </c>
      <c r="F1745" t="s">
        <v>12865</v>
      </c>
      <c r="G1745" t="s">
        <v>41</v>
      </c>
      <c r="H1745" t="s">
        <v>40</v>
      </c>
      <c r="I1745" t="s">
        <v>41</v>
      </c>
      <c r="J1745" t="s">
        <v>42</v>
      </c>
      <c r="K1745" t="s">
        <v>43</v>
      </c>
      <c r="L1745" t="s">
        <v>50</v>
      </c>
      <c r="M1745" s="2">
        <v>209443</v>
      </c>
      <c r="N1745" t="s">
        <v>64</v>
      </c>
      <c r="P1745" t="str">
        <f>CONCATENATE("'",Tabla1[[#This Row],[Codigo]],"',")</f>
        <v>'02778',</v>
      </c>
    </row>
    <row r="1746" spans="1:16" x14ac:dyDescent="0.25">
      <c r="A1746" t="s">
        <v>12868</v>
      </c>
      <c r="B1746" t="s">
        <v>12869</v>
      </c>
      <c r="C1746" t="s">
        <v>12869</v>
      </c>
      <c r="D1746" t="s">
        <v>847</v>
      </c>
      <c r="E1746" t="s">
        <v>848</v>
      </c>
      <c r="F1746" t="s">
        <v>12870</v>
      </c>
      <c r="G1746" t="s">
        <v>139</v>
      </c>
      <c r="H1746" t="s">
        <v>8853</v>
      </c>
      <c r="I1746" t="s">
        <v>139</v>
      </c>
      <c r="J1746" t="s">
        <v>941</v>
      </c>
      <c r="K1746" t="s">
        <v>139</v>
      </c>
      <c r="L1746" t="s">
        <v>50</v>
      </c>
      <c r="M1746" s="2">
        <v>361560.91</v>
      </c>
      <c r="N1746" t="s">
        <v>12873</v>
      </c>
      <c r="O1746" t="s">
        <v>52</v>
      </c>
      <c r="P1746" t="str">
        <f>CONCATENATE("'",Tabla1[[#This Row],[Codigo]],"',")</f>
        <v>'02779',</v>
      </c>
    </row>
    <row r="1747" spans="1:16" x14ac:dyDescent="0.25">
      <c r="A1747" t="s">
        <v>12874</v>
      </c>
      <c r="B1747" t="s">
        <v>12875</v>
      </c>
      <c r="C1747" t="s">
        <v>12875</v>
      </c>
      <c r="D1747" t="s">
        <v>125</v>
      </c>
      <c r="E1747" t="s">
        <v>126</v>
      </c>
      <c r="F1747" t="s">
        <v>12876</v>
      </c>
      <c r="G1747" t="s">
        <v>139</v>
      </c>
      <c r="H1747" t="s">
        <v>8853</v>
      </c>
      <c r="I1747" t="s">
        <v>139</v>
      </c>
      <c r="J1747" t="s">
        <v>941</v>
      </c>
      <c r="K1747" t="s">
        <v>139</v>
      </c>
      <c r="L1747" t="s">
        <v>50</v>
      </c>
      <c r="M1747" s="2">
        <v>437967.14</v>
      </c>
      <c r="N1747" t="s">
        <v>12879</v>
      </c>
      <c r="O1747" t="s">
        <v>52</v>
      </c>
      <c r="P1747" t="str">
        <f>CONCATENATE("'",Tabla1[[#This Row],[Codigo]],"',")</f>
        <v>'02780',</v>
      </c>
    </row>
    <row r="1748" spans="1:16" x14ac:dyDescent="0.25">
      <c r="A1748" t="s">
        <v>12880</v>
      </c>
      <c r="B1748" t="s">
        <v>12881</v>
      </c>
      <c r="C1748" t="s">
        <v>12881</v>
      </c>
      <c r="D1748" t="s">
        <v>569</v>
      </c>
      <c r="E1748" t="s">
        <v>570</v>
      </c>
      <c r="F1748" t="s">
        <v>12882</v>
      </c>
      <c r="G1748" t="s">
        <v>324</v>
      </c>
      <c r="H1748" t="s">
        <v>326</v>
      </c>
      <c r="I1748" t="s">
        <v>327</v>
      </c>
      <c r="J1748" t="s">
        <v>120</v>
      </c>
      <c r="K1748" t="s">
        <v>121</v>
      </c>
      <c r="L1748" t="s">
        <v>50</v>
      </c>
      <c r="M1748" s="2">
        <v>354824.23</v>
      </c>
      <c r="N1748" t="s">
        <v>12885</v>
      </c>
      <c r="O1748" t="s">
        <v>52</v>
      </c>
      <c r="P1748" t="str">
        <f>CONCATENATE("'",Tabla1[[#This Row],[Codigo]],"',")</f>
        <v>'02781',</v>
      </c>
    </row>
    <row r="1749" spans="1:16" x14ac:dyDescent="0.25">
      <c r="A1749" t="s">
        <v>12886</v>
      </c>
      <c r="B1749" t="s">
        <v>12887</v>
      </c>
      <c r="C1749" t="s">
        <v>12888</v>
      </c>
      <c r="D1749" t="s">
        <v>153</v>
      </c>
      <c r="E1749" t="s">
        <v>272</v>
      </c>
      <c r="F1749" t="s">
        <v>12889</v>
      </c>
      <c r="G1749" t="s">
        <v>12422</v>
      </c>
      <c r="H1749" t="s">
        <v>12421</v>
      </c>
      <c r="I1749" t="s">
        <v>12422</v>
      </c>
      <c r="J1749" t="s">
        <v>941</v>
      </c>
      <c r="K1749" t="s">
        <v>139</v>
      </c>
      <c r="L1749" t="s">
        <v>50</v>
      </c>
      <c r="M1749" s="2">
        <v>86983.43</v>
      </c>
      <c r="N1749" t="s">
        <v>12891</v>
      </c>
      <c r="O1749" t="s">
        <v>52</v>
      </c>
      <c r="P1749" t="str">
        <f>CONCATENATE("'",Tabla1[[#This Row],[Codigo]],"',")</f>
        <v>'02782',</v>
      </c>
    </row>
    <row r="1750" spans="1:16" x14ac:dyDescent="0.25">
      <c r="A1750" t="s">
        <v>12897</v>
      </c>
      <c r="B1750" t="s">
        <v>12898</v>
      </c>
      <c r="C1750" t="s">
        <v>12898</v>
      </c>
      <c r="D1750" t="s">
        <v>299</v>
      </c>
      <c r="E1750" t="s">
        <v>167</v>
      </c>
      <c r="F1750" t="s">
        <v>12899</v>
      </c>
      <c r="G1750" t="s">
        <v>300</v>
      </c>
      <c r="H1750" t="s">
        <v>302</v>
      </c>
      <c r="I1750" t="s">
        <v>303</v>
      </c>
      <c r="J1750" t="s">
        <v>304</v>
      </c>
      <c r="K1750" t="s">
        <v>72</v>
      </c>
      <c r="L1750" t="s">
        <v>50</v>
      </c>
      <c r="M1750" s="2">
        <v>1082404.54</v>
      </c>
      <c r="N1750" t="s">
        <v>12901</v>
      </c>
      <c r="P1750" t="str">
        <f>CONCATENATE("'",Tabla1[[#This Row],[Codigo]],"',")</f>
        <v>'02784',</v>
      </c>
    </row>
    <row r="1751" spans="1:16" x14ac:dyDescent="0.25">
      <c r="A1751" t="s">
        <v>12907</v>
      </c>
      <c r="B1751" t="s">
        <v>12908</v>
      </c>
      <c r="C1751" t="s">
        <v>12908</v>
      </c>
      <c r="D1751" t="s">
        <v>125</v>
      </c>
      <c r="E1751" t="s">
        <v>126</v>
      </c>
      <c r="F1751" t="s">
        <v>12909</v>
      </c>
      <c r="G1751" t="s">
        <v>12910</v>
      </c>
      <c r="H1751" t="s">
        <v>10374</v>
      </c>
      <c r="I1751" t="s">
        <v>10375</v>
      </c>
      <c r="J1751" t="s">
        <v>10093</v>
      </c>
      <c r="K1751" t="s">
        <v>10094</v>
      </c>
      <c r="L1751" t="s">
        <v>50</v>
      </c>
      <c r="M1751" s="2">
        <v>545875.84</v>
      </c>
      <c r="N1751" t="s">
        <v>12913</v>
      </c>
      <c r="O1751" t="s">
        <v>52</v>
      </c>
      <c r="P1751" t="str">
        <f>CONCATENATE("'",Tabla1[[#This Row],[Codigo]],"',")</f>
        <v>'02786',</v>
      </c>
    </row>
    <row r="1752" spans="1:16" x14ac:dyDescent="0.25">
      <c r="A1752" t="s">
        <v>12914</v>
      </c>
      <c r="B1752" t="s">
        <v>12915</v>
      </c>
      <c r="C1752" t="s">
        <v>12916</v>
      </c>
      <c r="D1752" t="s">
        <v>1467</v>
      </c>
      <c r="E1752" t="s">
        <v>224</v>
      </c>
      <c r="F1752" t="s">
        <v>5352</v>
      </c>
      <c r="G1752" t="s">
        <v>87</v>
      </c>
      <c r="H1752" t="s">
        <v>89</v>
      </c>
      <c r="I1752" t="s">
        <v>90</v>
      </c>
      <c r="J1752" t="s">
        <v>91</v>
      </c>
      <c r="K1752" t="s">
        <v>92</v>
      </c>
      <c r="L1752" t="s">
        <v>50</v>
      </c>
      <c r="M1752" s="2">
        <v>218170</v>
      </c>
      <c r="N1752" t="s">
        <v>64</v>
      </c>
      <c r="P1752" t="str">
        <f>CONCATENATE("'",Tabla1[[#This Row],[Codigo]],"',")</f>
        <v>'02787',</v>
      </c>
    </row>
    <row r="1753" spans="1:16" x14ac:dyDescent="0.25">
      <c r="A1753" t="s">
        <v>12917</v>
      </c>
      <c r="B1753" t="s">
        <v>12918</v>
      </c>
      <c r="C1753" t="s">
        <v>12919</v>
      </c>
      <c r="D1753" t="s">
        <v>1467</v>
      </c>
      <c r="E1753" t="s">
        <v>224</v>
      </c>
      <c r="F1753" t="s">
        <v>5352</v>
      </c>
      <c r="G1753" t="s">
        <v>87</v>
      </c>
      <c r="H1753" t="s">
        <v>640</v>
      </c>
      <c r="I1753" t="s">
        <v>641</v>
      </c>
      <c r="J1753" t="s">
        <v>91</v>
      </c>
      <c r="K1753" t="s">
        <v>92</v>
      </c>
      <c r="L1753" t="s">
        <v>50</v>
      </c>
      <c r="M1753" s="2">
        <v>218170</v>
      </c>
      <c r="N1753" t="s">
        <v>64</v>
      </c>
      <c r="P1753" t="str">
        <f>CONCATENATE("'",Tabla1[[#This Row],[Codigo]],"',")</f>
        <v>'02788',</v>
      </c>
    </row>
    <row r="1754" spans="1:16" x14ac:dyDescent="0.25">
      <c r="A1754" t="s">
        <v>12920</v>
      </c>
      <c r="B1754" t="s">
        <v>12921</v>
      </c>
      <c r="C1754" t="s">
        <v>12921</v>
      </c>
      <c r="D1754" t="s">
        <v>35</v>
      </c>
      <c r="E1754" t="s">
        <v>36</v>
      </c>
      <c r="F1754" t="s">
        <v>12922</v>
      </c>
      <c r="G1754" t="s">
        <v>1335</v>
      </c>
      <c r="H1754" t="s">
        <v>254</v>
      </c>
      <c r="I1754" t="s">
        <v>255</v>
      </c>
      <c r="J1754" t="s">
        <v>4374</v>
      </c>
      <c r="K1754" t="s">
        <v>4375</v>
      </c>
      <c r="L1754" t="s">
        <v>50</v>
      </c>
      <c r="M1754" s="2">
        <v>218132.73</v>
      </c>
      <c r="N1754" t="s">
        <v>12925</v>
      </c>
      <c r="O1754" t="s">
        <v>115</v>
      </c>
      <c r="P1754" t="str">
        <f>CONCATENATE("'",Tabla1[[#This Row],[Codigo]],"',")</f>
        <v>'02789',</v>
      </c>
    </row>
    <row r="1755" spans="1:16" x14ac:dyDescent="0.25">
      <c r="A1755" t="s">
        <v>12926</v>
      </c>
      <c r="B1755" t="s">
        <v>12927</v>
      </c>
      <c r="C1755" t="s">
        <v>12927</v>
      </c>
      <c r="D1755" t="s">
        <v>35</v>
      </c>
      <c r="E1755" t="s">
        <v>36</v>
      </c>
      <c r="F1755" t="s">
        <v>12928</v>
      </c>
      <c r="G1755" t="s">
        <v>79</v>
      </c>
      <c r="H1755" t="s">
        <v>495</v>
      </c>
      <c r="I1755" t="s">
        <v>79</v>
      </c>
      <c r="J1755" t="s">
        <v>3487</v>
      </c>
      <c r="K1755" t="s">
        <v>3488</v>
      </c>
      <c r="L1755" t="s">
        <v>50</v>
      </c>
      <c r="M1755" s="2">
        <v>143178.99</v>
      </c>
      <c r="N1755" t="s">
        <v>12930</v>
      </c>
      <c r="O1755" t="s">
        <v>52</v>
      </c>
      <c r="P1755" t="str">
        <f>CONCATENATE("'",Tabla1[[#This Row],[Codigo]],"',")</f>
        <v>'02790',</v>
      </c>
    </row>
    <row r="1756" spans="1:16" x14ac:dyDescent="0.25">
      <c r="A1756" t="s">
        <v>12931</v>
      </c>
      <c r="B1756" t="s">
        <v>12932</v>
      </c>
      <c r="C1756" t="s">
        <v>12932</v>
      </c>
      <c r="D1756" t="s">
        <v>35</v>
      </c>
      <c r="E1756" t="s">
        <v>36</v>
      </c>
      <c r="F1756" t="s">
        <v>12933</v>
      </c>
      <c r="G1756" t="s">
        <v>12934</v>
      </c>
      <c r="H1756" t="s">
        <v>12556</v>
      </c>
      <c r="I1756" t="s">
        <v>12557</v>
      </c>
      <c r="J1756" t="s">
        <v>3487</v>
      </c>
      <c r="K1756" t="s">
        <v>3488</v>
      </c>
      <c r="L1756" t="s">
        <v>50</v>
      </c>
      <c r="M1756" s="2">
        <v>923785.44</v>
      </c>
      <c r="N1756" t="s">
        <v>12937</v>
      </c>
      <c r="O1756" t="s">
        <v>52</v>
      </c>
      <c r="P1756" t="str">
        <f>CONCATENATE("'",Tabla1[[#This Row],[Codigo]],"',")</f>
        <v>'02791',</v>
      </c>
    </row>
    <row r="1757" spans="1:16" x14ac:dyDescent="0.25">
      <c r="A1757" t="s">
        <v>12938</v>
      </c>
      <c r="B1757" t="s">
        <v>12939</v>
      </c>
      <c r="C1757" t="s">
        <v>12939</v>
      </c>
      <c r="D1757" t="s">
        <v>125</v>
      </c>
      <c r="E1757" t="s">
        <v>126</v>
      </c>
      <c r="F1757" t="s">
        <v>12940</v>
      </c>
      <c r="G1757" t="s">
        <v>3119</v>
      </c>
      <c r="H1757" t="s">
        <v>3121</v>
      </c>
      <c r="I1757" t="s">
        <v>3122</v>
      </c>
      <c r="J1757" t="s">
        <v>1212</v>
      </c>
      <c r="K1757" t="s">
        <v>1213</v>
      </c>
      <c r="L1757" t="s">
        <v>50</v>
      </c>
      <c r="M1757" s="2">
        <v>218334.76</v>
      </c>
      <c r="N1757" t="s">
        <v>12943</v>
      </c>
      <c r="O1757" t="s">
        <v>52</v>
      </c>
      <c r="P1757" t="str">
        <f>CONCATENATE("'",Tabla1[[#This Row],[Codigo]],"',")</f>
        <v>'02792',</v>
      </c>
    </row>
    <row r="1758" spans="1:16" x14ac:dyDescent="0.25">
      <c r="A1758" t="s">
        <v>12949</v>
      </c>
      <c r="B1758" t="s">
        <v>15204</v>
      </c>
      <c r="C1758" t="s">
        <v>12950</v>
      </c>
      <c r="D1758" t="s">
        <v>984</v>
      </c>
      <c r="E1758" t="s">
        <v>985</v>
      </c>
      <c r="F1758" t="s">
        <v>12951</v>
      </c>
      <c r="G1758" t="s">
        <v>12498</v>
      </c>
      <c r="H1758" t="s">
        <v>80</v>
      </c>
      <c r="I1758" t="s">
        <v>81</v>
      </c>
      <c r="J1758" t="s">
        <v>557</v>
      </c>
      <c r="K1758" t="s">
        <v>558</v>
      </c>
      <c r="L1758" t="s">
        <v>50</v>
      </c>
      <c r="M1758" s="2">
        <v>190166.78</v>
      </c>
      <c r="N1758" t="s">
        <v>12954</v>
      </c>
      <c r="O1758" t="s">
        <v>115</v>
      </c>
      <c r="P1758" t="str">
        <f>CONCATENATE("'",Tabla1[[#This Row],[Codigo]],"',")</f>
        <v>'02794',</v>
      </c>
    </row>
    <row r="1759" spans="1:16" x14ac:dyDescent="0.25">
      <c r="A1759" t="s">
        <v>12955</v>
      </c>
      <c r="B1759" t="s">
        <v>12956</v>
      </c>
      <c r="C1759" t="s">
        <v>12956</v>
      </c>
      <c r="D1759" t="s">
        <v>153</v>
      </c>
      <c r="E1759" t="s">
        <v>272</v>
      </c>
      <c r="F1759" t="s">
        <v>12957</v>
      </c>
      <c r="G1759" t="s">
        <v>2399</v>
      </c>
      <c r="H1759" t="s">
        <v>11225</v>
      </c>
      <c r="I1759" t="s">
        <v>2399</v>
      </c>
      <c r="J1759" t="s">
        <v>6987</v>
      </c>
      <c r="K1759" t="s">
        <v>6988</v>
      </c>
      <c r="L1759" t="s">
        <v>50</v>
      </c>
      <c r="M1759" s="2">
        <v>-93237.25</v>
      </c>
      <c r="N1759" t="s">
        <v>12960</v>
      </c>
      <c r="O1759" t="s">
        <v>115</v>
      </c>
      <c r="P1759" t="str">
        <f>CONCATENATE("'",Tabla1[[#This Row],[Codigo]],"',")</f>
        <v>'02795',</v>
      </c>
    </row>
    <row r="1760" spans="1:16" x14ac:dyDescent="0.25">
      <c r="A1760" t="s">
        <v>12966</v>
      </c>
      <c r="B1760" t="s">
        <v>12967</v>
      </c>
      <c r="C1760" t="s">
        <v>12967</v>
      </c>
      <c r="D1760" t="s">
        <v>35</v>
      </c>
      <c r="E1760" t="s">
        <v>36</v>
      </c>
      <c r="F1760" t="s">
        <v>12968</v>
      </c>
      <c r="G1760" t="s">
        <v>238</v>
      </c>
      <c r="H1760" t="s">
        <v>118</v>
      </c>
      <c r="I1760" t="s">
        <v>119</v>
      </c>
      <c r="J1760" t="s">
        <v>120</v>
      </c>
      <c r="K1760" t="s">
        <v>121</v>
      </c>
      <c r="L1760" t="s">
        <v>50</v>
      </c>
      <c r="M1760" s="2">
        <v>153701.81</v>
      </c>
      <c r="N1760" t="s">
        <v>12971</v>
      </c>
      <c r="O1760" t="s">
        <v>52</v>
      </c>
      <c r="P1760" t="str">
        <f>CONCATENATE("'",Tabla1[[#This Row],[Codigo]],"',")</f>
        <v>'02797',</v>
      </c>
    </row>
    <row r="1761" spans="1:16" x14ac:dyDescent="0.25">
      <c r="A1761" t="s">
        <v>12972</v>
      </c>
      <c r="B1761" t="s">
        <v>12973</v>
      </c>
      <c r="C1761" t="s">
        <v>12973</v>
      </c>
      <c r="D1761" t="s">
        <v>35</v>
      </c>
      <c r="E1761" t="s">
        <v>36</v>
      </c>
      <c r="F1761" t="s">
        <v>12974</v>
      </c>
      <c r="G1761" t="s">
        <v>7668</v>
      </c>
      <c r="H1761" t="s">
        <v>7669</v>
      </c>
      <c r="I1761" t="s">
        <v>7670</v>
      </c>
      <c r="J1761" t="s">
        <v>5966</v>
      </c>
      <c r="K1761" t="s">
        <v>5739</v>
      </c>
      <c r="L1761" t="s">
        <v>50</v>
      </c>
      <c r="M1761" s="2">
        <v>218170</v>
      </c>
      <c r="N1761" t="s">
        <v>64</v>
      </c>
      <c r="P1761" t="str">
        <f>CONCATENATE("'",Tabla1[[#This Row],[Codigo]],"',")</f>
        <v>'02798',</v>
      </c>
    </row>
    <row r="1762" spans="1:16" x14ac:dyDescent="0.25">
      <c r="A1762" t="s">
        <v>12982</v>
      </c>
      <c r="B1762" t="s">
        <v>12983</v>
      </c>
      <c r="C1762" t="s">
        <v>12983</v>
      </c>
      <c r="D1762" t="s">
        <v>847</v>
      </c>
      <c r="E1762" t="s">
        <v>848</v>
      </c>
      <c r="F1762" t="s">
        <v>12984</v>
      </c>
      <c r="G1762" t="s">
        <v>7935</v>
      </c>
      <c r="H1762" t="s">
        <v>7936</v>
      </c>
      <c r="I1762" t="s">
        <v>7935</v>
      </c>
      <c r="J1762" t="s">
        <v>10093</v>
      </c>
      <c r="K1762" t="s">
        <v>10094</v>
      </c>
      <c r="L1762" t="s">
        <v>50</v>
      </c>
      <c r="M1762" s="2">
        <v>107465.32</v>
      </c>
      <c r="N1762" t="s">
        <v>12987</v>
      </c>
      <c r="O1762" t="s">
        <v>52</v>
      </c>
      <c r="P1762" t="str">
        <f>CONCATENATE("'",Tabla1[[#This Row],[Codigo]],"',")</f>
        <v>'02800',</v>
      </c>
    </row>
    <row r="1763" spans="1:16" x14ac:dyDescent="0.25">
      <c r="A1763" t="s">
        <v>12988</v>
      </c>
      <c r="B1763" t="s">
        <v>12989</v>
      </c>
      <c r="C1763" t="s">
        <v>12990</v>
      </c>
      <c r="D1763" t="s">
        <v>649</v>
      </c>
      <c r="E1763" t="s">
        <v>871</v>
      </c>
      <c r="F1763" t="s">
        <v>12991</v>
      </c>
      <c r="G1763" t="s">
        <v>139</v>
      </c>
      <c r="H1763" t="s">
        <v>8853</v>
      </c>
      <c r="I1763" t="s">
        <v>139</v>
      </c>
      <c r="J1763" t="s">
        <v>941</v>
      </c>
      <c r="K1763" t="s">
        <v>139</v>
      </c>
      <c r="L1763" t="s">
        <v>50</v>
      </c>
      <c r="M1763" s="2">
        <v>177792</v>
      </c>
      <c r="N1763" t="s">
        <v>12994</v>
      </c>
      <c r="O1763" t="s">
        <v>52</v>
      </c>
      <c r="P1763" t="str">
        <f>CONCATENATE("'",Tabla1[[#This Row],[Codigo]],"',")</f>
        <v>'02801',</v>
      </c>
    </row>
    <row r="1764" spans="1:16" x14ac:dyDescent="0.25">
      <c r="A1764" t="s">
        <v>12995</v>
      </c>
      <c r="B1764" t="s">
        <v>12996</v>
      </c>
      <c r="C1764" t="s">
        <v>12996</v>
      </c>
      <c r="D1764" t="s">
        <v>485</v>
      </c>
      <c r="E1764" t="s">
        <v>224</v>
      </c>
      <c r="F1764" t="s">
        <v>12991</v>
      </c>
      <c r="G1764" t="s">
        <v>139</v>
      </c>
      <c r="H1764" t="s">
        <v>8853</v>
      </c>
      <c r="I1764" t="s">
        <v>139</v>
      </c>
      <c r="J1764" t="s">
        <v>941</v>
      </c>
      <c r="K1764" t="s">
        <v>139</v>
      </c>
      <c r="L1764" t="s">
        <v>50</v>
      </c>
      <c r="M1764" s="2">
        <v>218170</v>
      </c>
      <c r="N1764" t="s">
        <v>64</v>
      </c>
      <c r="P1764" t="str">
        <f>CONCATENATE("'",Tabla1[[#This Row],[Codigo]],"',")</f>
        <v>'02802',</v>
      </c>
    </row>
    <row r="1765" spans="1:16" x14ac:dyDescent="0.25">
      <c r="A1765" t="s">
        <v>12997</v>
      </c>
      <c r="B1765" t="s">
        <v>12998</v>
      </c>
      <c r="C1765" t="s">
        <v>12998</v>
      </c>
      <c r="D1765" t="s">
        <v>847</v>
      </c>
      <c r="E1765" t="s">
        <v>848</v>
      </c>
      <c r="F1765" t="s">
        <v>9578</v>
      </c>
      <c r="G1765" t="s">
        <v>6058</v>
      </c>
      <c r="H1765" t="s">
        <v>5741</v>
      </c>
      <c r="I1765" t="s">
        <v>5739</v>
      </c>
      <c r="J1765" t="s">
        <v>5966</v>
      </c>
      <c r="K1765" t="s">
        <v>5739</v>
      </c>
      <c r="L1765" t="s">
        <v>50</v>
      </c>
      <c r="M1765" s="2">
        <v>197451.59</v>
      </c>
      <c r="N1765" t="s">
        <v>13000</v>
      </c>
      <c r="O1765" t="s">
        <v>115</v>
      </c>
      <c r="P1765" t="str">
        <f>CONCATENATE("'",Tabla1[[#This Row],[Codigo]],"',")</f>
        <v>'02803',</v>
      </c>
    </row>
    <row r="1766" spans="1:16" x14ac:dyDescent="0.25">
      <c r="A1766" t="s">
        <v>13001</v>
      </c>
      <c r="B1766" t="s">
        <v>13002</v>
      </c>
      <c r="C1766" t="s">
        <v>13002</v>
      </c>
      <c r="D1766" t="s">
        <v>125</v>
      </c>
      <c r="E1766" t="s">
        <v>126</v>
      </c>
      <c r="F1766" t="s">
        <v>13003</v>
      </c>
      <c r="G1766" t="s">
        <v>137</v>
      </c>
      <c r="H1766" t="s">
        <v>136</v>
      </c>
      <c r="I1766" t="s">
        <v>137</v>
      </c>
      <c r="J1766" t="s">
        <v>256</v>
      </c>
      <c r="K1766" t="s">
        <v>255</v>
      </c>
      <c r="L1766" t="s">
        <v>50</v>
      </c>
      <c r="M1766" s="2">
        <v>273303.86</v>
      </c>
      <c r="N1766" t="s">
        <v>13005</v>
      </c>
      <c r="O1766" t="s">
        <v>52</v>
      </c>
      <c r="P1766" t="str">
        <f>CONCATENATE("'",Tabla1[[#This Row],[Codigo]],"',")</f>
        <v>'02804',</v>
      </c>
    </row>
    <row r="1767" spans="1:16" x14ac:dyDescent="0.25">
      <c r="A1767" t="s">
        <v>13006</v>
      </c>
      <c r="B1767" t="s">
        <v>13007</v>
      </c>
      <c r="C1767" t="s">
        <v>13007</v>
      </c>
      <c r="D1767" t="s">
        <v>1939</v>
      </c>
      <c r="E1767" t="s">
        <v>224</v>
      </c>
      <c r="F1767" t="s">
        <v>13008</v>
      </c>
      <c r="G1767" t="s">
        <v>11860</v>
      </c>
      <c r="H1767" t="s">
        <v>1362</v>
      </c>
      <c r="I1767" t="s">
        <v>1360</v>
      </c>
      <c r="J1767" t="s">
        <v>1421</v>
      </c>
      <c r="K1767" t="s">
        <v>1422</v>
      </c>
      <c r="L1767" t="s">
        <v>50</v>
      </c>
      <c r="M1767" s="2">
        <v>218170</v>
      </c>
      <c r="N1767" t="s">
        <v>64</v>
      </c>
      <c r="P1767" t="str">
        <f>CONCATENATE("'",Tabla1[[#This Row],[Codigo]],"',")</f>
        <v>'02805',</v>
      </c>
    </row>
    <row r="1768" spans="1:16" x14ac:dyDescent="0.25">
      <c r="A1768" t="s">
        <v>13011</v>
      </c>
      <c r="B1768" t="s">
        <v>13012</v>
      </c>
      <c r="C1768" t="s">
        <v>13012</v>
      </c>
      <c r="D1768" t="s">
        <v>166</v>
      </c>
      <c r="E1768" t="s">
        <v>167</v>
      </c>
      <c r="F1768" t="s">
        <v>13013</v>
      </c>
      <c r="G1768" t="s">
        <v>139</v>
      </c>
      <c r="H1768" t="s">
        <v>8853</v>
      </c>
      <c r="I1768" t="s">
        <v>139</v>
      </c>
      <c r="J1768" t="s">
        <v>10093</v>
      </c>
      <c r="K1768" t="s">
        <v>10094</v>
      </c>
      <c r="L1768" t="s">
        <v>50</v>
      </c>
      <c r="M1768" s="2">
        <v>354878.69</v>
      </c>
      <c r="N1768" t="s">
        <v>13016</v>
      </c>
      <c r="O1768" t="s">
        <v>115</v>
      </c>
      <c r="P1768" t="str">
        <f>CONCATENATE("'",Tabla1[[#This Row],[Codigo]],"',")</f>
        <v>'02806',</v>
      </c>
    </row>
    <row r="1769" spans="1:16" x14ac:dyDescent="0.25">
      <c r="A1769" t="s">
        <v>13022</v>
      </c>
      <c r="B1769" t="s">
        <v>13023</v>
      </c>
      <c r="C1769" t="s">
        <v>13023</v>
      </c>
      <c r="D1769" t="s">
        <v>35</v>
      </c>
      <c r="E1769" t="s">
        <v>36</v>
      </c>
      <c r="F1769" t="s">
        <v>13024</v>
      </c>
      <c r="G1769" t="s">
        <v>2396</v>
      </c>
      <c r="H1769" t="s">
        <v>6985</v>
      </c>
      <c r="I1769" t="s">
        <v>6986</v>
      </c>
      <c r="J1769" t="s">
        <v>6987</v>
      </c>
      <c r="K1769" t="s">
        <v>6988</v>
      </c>
      <c r="L1769" t="s">
        <v>50</v>
      </c>
      <c r="M1769" s="2">
        <v>432839.66</v>
      </c>
      <c r="N1769" t="s">
        <v>13027</v>
      </c>
      <c r="O1769" t="s">
        <v>52</v>
      </c>
      <c r="P1769" t="str">
        <f>CONCATENATE("'",Tabla1[[#This Row],[Codigo]],"',")</f>
        <v>'02808',</v>
      </c>
    </row>
    <row r="1770" spans="1:16" x14ac:dyDescent="0.25">
      <c r="A1770" t="s">
        <v>13028</v>
      </c>
      <c r="B1770" t="s">
        <v>13029</v>
      </c>
      <c r="C1770" t="s">
        <v>13029</v>
      </c>
      <c r="D1770" t="s">
        <v>619</v>
      </c>
      <c r="E1770" t="s">
        <v>77</v>
      </c>
      <c r="F1770" t="s">
        <v>13030</v>
      </c>
      <c r="G1770" t="s">
        <v>5009</v>
      </c>
      <c r="H1770" t="s">
        <v>11459</v>
      </c>
      <c r="I1770" t="s">
        <v>11440</v>
      </c>
      <c r="J1770" t="s">
        <v>8938</v>
      </c>
      <c r="K1770" t="s">
        <v>8939</v>
      </c>
      <c r="L1770" t="s">
        <v>50</v>
      </c>
      <c r="M1770" s="2">
        <v>218170</v>
      </c>
      <c r="N1770" t="s">
        <v>64</v>
      </c>
      <c r="P1770" t="str">
        <f>CONCATENATE("'",Tabla1[[#This Row],[Codigo]],"',")</f>
        <v>'02809',</v>
      </c>
    </row>
    <row r="1771" spans="1:16" x14ac:dyDescent="0.25">
      <c r="A1771" t="s">
        <v>13033</v>
      </c>
      <c r="B1771" t="s">
        <v>13034</v>
      </c>
      <c r="C1771" t="s">
        <v>13034</v>
      </c>
      <c r="D1771" t="s">
        <v>125</v>
      </c>
      <c r="E1771" t="s">
        <v>126</v>
      </c>
      <c r="F1771" t="s">
        <v>13035</v>
      </c>
      <c r="G1771" t="s">
        <v>10141</v>
      </c>
      <c r="H1771" t="s">
        <v>7936</v>
      </c>
      <c r="I1771" t="s">
        <v>7935</v>
      </c>
      <c r="J1771" t="s">
        <v>10093</v>
      </c>
      <c r="K1771" t="s">
        <v>10094</v>
      </c>
      <c r="L1771" t="s">
        <v>50</v>
      </c>
      <c r="M1771" s="2">
        <v>1081.1300000000001</v>
      </c>
      <c r="N1771" t="s">
        <v>13038</v>
      </c>
      <c r="O1771" t="s">
        <v>52</v>
      </c>
      <c r="P1771" t="str">
        <f>CONCATENATE("'",Tabla1[[#This Row],[Codigo]],"',")</f>
        <v>'02810',</v>
      </c>
    </row>
    <row r="1772" spans="1:16" x14ac:dyDescent="0.25">
      <c r="A1772" t="s">
        <v>13039</v>
      </c>
      <c r="B1772" t="s">
        <v>13040</v>
      </c>
      <c r="C1772" t="s">
        <v>13040</v>
      </c>
      <c r="D1772" t="s">
        <v>125</v>
      </c>
      <c r="E1772" t="s">
        <v>126</v>
      </c>
      <c r="F1772" t="s">
        <v>13041</v>
      </c>
      <c r="G1772" t="s">
        <v>139</v>
      </c>
      <c r="H1772" t="s">
        <v>8853</v>
      </c>
      <c r="I1772" t="s">
        <v>139</v>
      </c>
      <c r="J1772" t="s">
        <v>941</v>
      </c>
      <c r="K1772" t="s">
        <v>139</v>
      </c>
      <c r="L1772" t="s">
        <v>50</v>
      </c>
      <c r="M1772" s="2">
        <v>140307.14000000001</v>
      </c>
      <c r="N1772" t="s">
        <v>13044</v>
      </c>
      <c r="O1772" t="s">
        <v>52</v>
      </c>
      <c r="P1772" t="str">
        <f>CONCATENATE("'",Tabla1[[#This Row],[Codigo]],"',")</f>
        <v>'02811',</v>
      </c>
    </row>
    <row r="1773" spans="1:16" x14ac:dyDescent="0.25">
      <c r="A1773" t="s">
        <v>13045</v>
      </c>
      <c r="B1773" t="s">
        <v>13046</v>
      </c>
      <c r="C1773" t="s">
        <v>13046</v>
      </c>
      <c r="D1773" t="s">
        <v>153</v>
      </c>
      <c r="E1773" t="s">
        <v>272</v>
      </c>
      <c r="F1773" t="s">
        <v>13047</v>
      </c>
      <c r="G1773" t="s">
        <v>5009</v>
      </c>
      <c r="H1773" t="s">
        <v>11459</v>
      </c>
      <c r="I1773" t="s">
        <v>11440</v>
      </c>
      <c r="J1773" t="s">
        <v>256</v>
      </c>
      <c r="K1773" t="s">
        <v>255</v>
      </c>
      <c r="L1773" t="s">
        <v>50</v>
      </c>
      <c r="M1773" s="2">
        <v>242114.26</v>
      </c>
      <c r="N1773" t="s">
        <v>13049</v>
      </c>
      <c r="O1773" t="s">
        <v>52</v>
      </c>
      <c r="P1773" t="str">
        <f>CONCATENATE("'",Tabla1[[#This Row],[Codigo]],"',")</f>
        <v>'02812',</v>
      </c>
    </row>
    <row r="1774" spans="1:16" x14ac:dyDescent="0.25">
      <c r="A1774" t="s">
        <v>13050</v>
      </c>
      <c r="B1774" t="s">
        <v>13051</v>
      </c>
      <c r="C1774" t="s">
        <v>13051</v>
      </c>
      <c r="D1774" t="s">
        <v>35</v>
      </c>
      <c r="E1774" t="s">
        <v>36</v>
      </c>
      <c r="F1774" t="s">
        <v>13052</v>
      </c>
      <c r="G1774" t="s">
        <v>10950</v>
      </c>
      <c r="H1774" t="s">
        <v>403</v>
      </c>
      <c r="I1774" t="s">
        <v>404</v>
      </c>
      <c r="J1774" t="s">
        <v>158</v>
      </c>
      <c r="K1774" t="s">
        <v>159</v>
      </c>
      <c r="L1774" t="s">
        <v>50</v>
      </c>
      <c r="M1774" s="2">
        <v>1999895.54</v>
      </c>
      <c r="N1774" t="s">
        <v>13054</v>
      </c>
      <c r="O1774" t="s">
        <v>52</v>
      </c>
      <c r="P1774" t="str">
        <f>CONCATENATE("'",Tabla1[[#This Row],[Codigo]],"',")</f>
        <v>'02813',</v>
      </c>
    </row>
    <row r="1775" spans="1:16" x14ac:dyDescent="0.25">
      <c r="A1775" t="s">
        <v>13055</v>
      </c>
      <c r="B1775" t="s">
        <v>13056</v>
      </c>
      <c r="C1775" t="s">
        <v>13056</v>
      </c>
      <c r="D1775" t="s">
        <v>35</v>
      </c>
      <c r="E1775" t="s">
        <v>36</v>
      </c>
      <c r="F1775" t="s">
        <v>13057</v>
      </c>
      <c r="G1775" t="s">
        <v>116</v>
      </c>
      <c r="H1775" t="s">
        <v>118</v>
      </c>
      <c r="I1775" t="s">
        <v>119</v>
      </c>
      <c r="J1775" t="s">
        <v>120</v>
      </c>
      <c r="K1775" t="s">
        <v>121</v>
      </c>
      <c r="L1775" t="s">
        <v>50</v>
      </c>
      <c r="M1775" s="2">
        <v>434908.24</v>
      </c>
      <c r="N1775" t="s">
        <v>13060</v>
      </c>
      <c r="O1775" t="s">
        <v>52</v>
      </c>
      <c r="P1775" t="str">
        <f>CONCATENATE("'",Tabla1[[#This Row],[Codigo]],"',")</f>
        <v>'02814',</v>
      </c>
    </row>
    <row r="1776" spans="1:16" x14ac:dyDescent="0.25">
      <c r="A1776" t="s">
        <v>13061</v>
      </c>
      <c r="B1776" t="s">
        <v>13062</v>
      </c>
      <c r="C1776" t="s">
        <v>13062</v>
      </c>
      <c r="D1776" t="s">
        <v>153</v>
      </c>
      <c r="E1776" t="s">
        <v>272</v>
      </c>
      <c r="F1776" t="s">
        <v>13063</v>
      </c>
      <c r="G1776" t="s">
        <v>238</v>
      </c>
      <c r="H1776" t="s">
        <v>118</v>
      </c>
      <c r="I1776" t="s">
        <v>119</v>
      </c>
      <c r="J1776" t="s">
        <v>120</v>
      </c>
      <c r="K1776" t="s">
        <v>121</v>
      </c>
      <c r="L1776" t="s">
        <v>50</v>
      </c>
      <c r="M1776" s="2">
        <v>163219.53</v>
      </c>
      <c r="N1776" t="s">
        <v>13066</v>
      </c>
      <c r="O1776" t="s">
        <v>52</v>
      </c>
      <c r="P1776" t="str">
        <f>CONCATENATE("'",Tabla1[[#This Row],[Codigo]],"',")</f>
        <v>'02815',</v>
      </c>
    </row>
    <row r="1777" spans="1:16" x14ac:dyDescent="0.25">
      <c r="A1777" t="s">
        <v>13067</v>
      </c>
      <c r="B1777" t="s">
        <v>13068</v>
      </c>
      <c r="C1777" t="s">
        <v>13068</v>
      </c>
      <c r="D1777" t="s">
        <v>35</v>
      </c>
      <c r="E1777" t="s">
        <v>36</v>
      </c>
      <c r="F1777" t="s">
        <v>13069</v>
      </c>
      <c r="G1777" t="s">
        <v>5009</v>
      </c>
      <c r="H1777" t="s">
        <v>7568</v>
      </c>
      <c r="I1777" t="s">
        <v>7569</v>
      </c>
      <c r="J1777" t="s">
        <v>256</v>
      </c>
      <c r="K1777" t="s">
        <v>255</v>
      </c>
      <c r="L1777" t="s">
        <v>50</v>
      </c>
      <c r="M1777" s="2">
        <v>-21949.32</v>
      </c>
      <c r="N1777" t="s">
        <v>13072</v>
      </c>
      <c r="O1777" t="s">
        <v>115</v>
      </c>
      <c r="P1777" t="str">
        <f>CONCATENATE("'",Tabla1[[#This Row],[Codigo]],"',")</f>
        <v>'02816',</v>
      </c>
    </row>
    <row r="1778" spans="1:16" x14ac:dyDescent="0.25">
      <c r="A1778" t="s">
        <v>13073</v>
      </c>
      <c r="B1778" t="s">
        <v>13074</v>
      </c>
      <c r="C1778" t="s">
        <v>13074</v>
      </c>
      <c r="D1778" t="s">
        <v>125</v>
      </c>
      <c r="E1778" t="s">
        <v>126</v>
      </c>
      <c r="F1778" t="s">
        <v>13075</v>
      </c>
      <c r="G1778" t="s">
        <v>5009</v>
      </c>
      <c r="H1778" t="s">
        <v>11459</v>
      </c>
      <c r="I1778" t="s">
        <v>11440</v>
      </c>
      <c r="J1778" t="s">
        <v>2320</v>
      </c>
      <c r="K1778" t="s">
        <v>2321</v>
      </c>
      <c r="L1778" t="s">
        <v>50</v>
      </c>
      <c r="M1778" s="2">
        <v>35779.65</v>
      </c>
      <c r="N1778" t="s">
        <v>13078</v>
      </c>
      <c r="O1778" t="s">
        <v>52</v>
      </c>
      <c r="P1778" t="str">
        <f>CONCATENATE("'",Tabla1[[#This Row],[Codigo]],"',")</f>
        <v>'02817',</v>
      </c>
    </row>
    <row r="1779" spans="1:16" x14ac:dyDescent="0.25">
      <c r="A1779" t="s">
        <v>13084</v>
      </c>
      <c r="B1779" t="s">
        <v>13085</v>
      </c>
      <c r="C1779" t="s">
        <v>13085</v>
      </c>
      <c r="D1779" t="s">
        <v>125</v>
      </c>
      <c r="E1779" t="s">
        <v>126</v>
      </c>
      <c r="F1779" t="s">
        <v>13086</v>
      </c>
      <c r="G1779" t="s">
        <v>11860</v>
      </c>
      <c r="H1779" t="s">
        <v>1362</v>
      </c>
      <c r="I1779" t="s">
        <v>1360</v>
      </c>
      <c r="J1779" t="s">
        <v>1421</v>
      </c>
      <c r="K1779" t="s">
        <v>1422</v>
      </c>
      <c r="L1779" t="s">
        <v>50</v>
      </c>
      <c r="M1779" s="2">
        <v>122670.15</v>
      </c>
      <c r="N1779" t="s">
        <v>13089</v>
      </c>
      <c r="O1779" t="s">
        <v>52</v>
      </c>
      <c r="P1779" t="str">
        <f>CONCATENATE("'",Tabla1[[#This Row],[Codigo]],"',")</f>
        <v>'02819',</v>
      </c>
    </row>
    <row r="1780" spans="1:16" x14ac:dyDescent="0.25">
      <c r="A1780" t="s">
        <v>13096</v>
      </c>
      <c r="B1780" t="s">
        <v>13097</v>
      </c>
      <c r="C1780" t="s">
        <v>13097</v>
      </c>
      <c r="D1780" t="s">
        <v>847</v>
      </c>
      <c r="E1780" t="s">
        <v>848</v>
      </c>
      <c r="F1780" t="s">
        <v>13098</v>
      </c>
      <c r="G1780" t="s">
        <v>5009</v>
      </c>
      <c r="H1780" t="s">
        <v>11459</v>
      </c>
      <c r="I1780" t="s">
        <v>11440</v>
      </c>
      <c r="J1780" t="s">
        <v>2320</v>
      </c>
      <c r="K1780" t="s">
        <v>2321</v>
      </c>
      <c r="L1780" t="s">
        <v>50</v>
      </c>
      <c r="M1780" s="2">
        <v>28945.95</v>
      </c>
      <c r="N1780" t="s">
        <v>13101</v>
      </c>
      <c r="O1780" t="s">
        <v>52</v>
      </c>
      <c r="P1780" t="str">
        <f>CONCATENATE("'",Tabla1[[#This Row],[Codigo]],"',")</f>
        <v>'02821',</v>
      </c>
    </row>
    <row r="1781" spans="1:16" x14ac:dyDescent="0.25">
      <c r="A1781" t="s">
        <v>13105</v>
      </c>
      <c r="B1781" t="s">
        <v>13106</v>
      </c>
      <c r="C1781" t="s">
        <v>13106</v>
      </c>
      <c r="D1781" t="s">
        <v>35</v>
      </c>
      <c r="E1781" t="s">
        <v>36</v>
      </c>
      <c r="F1781" t="s">
        <v>13107</v>
      </c>
      <c r="G1781" t="s">
        <v>139</v>
      </c>
      <c r="H1781" t="s">
        <v>8853</v>
      </c>
      <c r="I1781" t="s">
        <v>139</v>
      </c>
      <c r="J1781" t="s">
        <v>6987</v>
      </c>
      <c r="K1781" t="s">
        <v>6988</v>
      </c>
      <c r="L1781" t="s">
        <v>50</v>
      </c>
      <c r="M1781" s="2">
        <v>26057.99</v>
      </c>
      <c r="N1781" t="s">
        <v>13110</v>
      </c>
      <c r="O1781" t="s">
        <v>115</v>
      </c>
      <c r="P1781" t="str">
        <f>CONCATENATE("'",Tabla1[[#This Row],[Codigo]],"',")</f>
        <v>'02823',</v>
      </c>
    </row>
    <row r="1782" spans="1:16" x14ac:dyDescent="0.25">
      <c r="A1782" t="s">
        <v>13111</v>
      </c>
      <c r="B1782" t="s">
        <v>13112</v>
      </c>
      <c r="C1782" t="s">
        <v>13112</v>
      </c>
      <c r="D1782" t="s">
        <v>125</v>
      </c>
      <c r="E1782" t="s">
        <v>126</v>
      </c>
      <c r="F1782" t="s">
        <v>13113</v>
      </c>
      <c r="G1782" t="s">
        <v>11860</v>
      </c>
      <c r="H1782" t="s">
        <v>1362</v>
      </c>
      <c r="I1782" t="s">
        <v>1360</v>
      </c>
      <c r="J1782" t="s">
        <v>1212</v>
      </c>
      <c r="K1782" t="s">
        <v>1213</v>
      </c>
      <c r="L1782" t="s">
        <v>50</v>
      </c>
      <c r="M1782" s="2">
        <v>240749.32</v>
      </c>
      <c r="N1782" t="s">
        <v>13116</v>
      </c>
      <c r="O1782" t="s">
        <v>115</v>
      </c>
      <c r="P1782" t="str">
        <f>CONCATENATE("'",Tabla1[[#This Row],[Codigo]],"',")</f>
        <v>'02825',</v>
      </c>
    </row>
    <row r="1783" spans="1:16" x14ac:dyDescent="0.25">
      <c r="A1783" t="s">
        <v>13117</v>
      </c>
      <c r="B1783" t="s">
        <v>13118</v>
      </c>
      <c r="C1783" t="s">
        <v>13118</v>
      </c>
      <c r="D1783" t="s">
        <v>125</v>
      </c>
      <c r="E1783" t="s">
        <v>126</v>
      </c>
      <c r="F1783" t="s">
        <v>13119</v>
      </c>
      <c r="G1783" t="s">
        <v>7210</v>
      </c>
      <c r="H1783" t="s">
        <v>4996</v>
      </c>
      <c r="I1783" t="s">
        <v>4997</v>
      </c>
      <c r="J1783" t="s">
        <v>1212</v>
      </c>
      <c r="K1783" t="s">
        <v>1213</v>
      </c>
      <c r="L1783" t="s">
        <v>50</v>
      </c>
      <c r="M1783" s="2">
        <v>30739.51</v>
      </c>
      <c r="N1783" t="s">
        <v>13121</v>
      </c>
      <c r="O1783" t="s">
        <v>52</v>
      </c>
      <c r="P1783" t="str">
        <f>CONCATENATE("'",Tabla1[[#This Row],[Codigo]],"',")</f>
        <v>'02826',</v>
      </c>
    </row>
    <row r="1784" spans="1:16" x14ac:dyDescent="0.25">
      <c r="A1784" t="s">
        <v>13122</v>
      </c>
      <c r="B1784" t="s">
        <v>13123</v>
      </c>
      <c r="C1784" t="s">
        <v>13123</v>
      </c>
      <c r="D1784" t="s">
        <v>2139</v>
      </c>
      <c r="E1784" t="s">
        <v>134</v>
      </c>
      <c r="F1784" t="s">
        <v>13124</v>
      </c>
      <c r="G1784" t="s">
        <v>7515</v>
      </c>
      <c r="H1784" t="s">
        <v>7517</v>
      </c>
      <c r="I1784" t="s">
        <v>7518</v>
      </c>
      <c r="J1784" t="s">
        <v>1212</v>
      </c>
      <c r="K1784" t="s">
        <v>1213</v>
      </c>
      <c r="L1784" t="s">
        <v>50</v>
      </c>
      <c r="M1784" s="2">
        <v>218170</v>
      </c>
      <c r="N1784" t="s">
        <v>64</v>
      </c>
      <c r="P1784" t="str">
        <f>CONCATENATE("'",Tabla1[[#This Row],[Codigo]],"',")</f>
        <v>'02827',</v>
      </c>
    </row>
    <row r="1785" spans="1:16" x14ac:dyDescent="0.25">
      <c r="A1785" t="s">
        <v>13127</v>
      </c>
      <c r="B1785" t="s">
        <v>13128</v>
      </c>
      <c r="C1785" t="s">
        <v>9242</v>
      </c>
      <c r="D1785" t="s">
        <v>297</v>
      </c>
      <c r="E1785" t="s">
        <v>167</v>
      </c>
      <c r="F1785" t="s">
        <v>9243</v>
      </c>
      <c r="G1785" t="s">
        <v>90</v>
      </c>
      <c r="H1785" t="s">
        <v>89</v>
      </c>
      <c r="I1785" t="s">
        <v>90</v>
      </c>
      <c r="J1785" t="s">
        <v>304</v>
      </c>
      <c r="K1785" t="s">
        <v>72</v>
      </c>
      <c r="L1785" t="s">
        <v>50</v>
      </c>
      <c r="M1785" s="2">
        <v>963764.58</v>
      </c>
      <c r="N1785" t="s">
        <v>13129</v>
      </c>
      <c r="O1785" t="s">
        <v>52</v>
      </c>
      <c r="P1785" t="str">
        <f>CONCATENATE("'",Tabla1[[#This Row],[Codigo]],"',")</f>
        <v>'02828',</v>
      </c>
    </row>
    <row r="1786" spans="1:16" x14ac:dyDescent="0.25">
      <c r="A1786" t="s">
        <v>13130</v>
      </c>
      <c r="B1786" t="s">
        <v>13131</v>
      </c>
      <c r="C1786" t="s">
        <v>13131</v>
      </c>
      <c r="D1786" t="s">
        <v>153</v>
      </c>
      <c r="E1786" t="s">
        <v>272</v>
      </c>
      <c r="F1786" t="s">
        <v>13132</v>
      </c>
      <c r="G1786" t="s">
        <v>10141</v>
      </c>
      <c r="H1786" t="s">
        <v>7936</v>
      </c>
      <c r="I1786" t="s">
        <v>7935</v>
      </c>
      <c r="J1786" t="s">
        <v>10093</v>
      </c>
      <c r="K1786" t="s">
        <v>10094</v>
      </c>
      <c r="L1786" t="s">
        <v>50</v>
      </c>
      <c r="M1786" s="2">
        <v>88707.42</v>
      </c>
      <c r="N1786" t="s">
        <v>13135</v>
      </c>
      <c r="O1786" t="s">
        <v>52</v>
      </c>
      <c r="P1786" t="str">
        <f>CONCATENATE("'",Tabla1[[#This Row],[Codigo]],"',")</f>
        <v>'02829',</v>
      </c>
    </row>
    <row r="1787" spans="1:16" x14ac:dyDescent="0.25">
      <c r="A1787" t="s">
        <v>13136</v>
      </c>
      <c r="B1787" t="s">
        <v>13137</v>
      </c>
      <c r="C1787" t="s">
        <v>13137</v>
      </c>
      <c r="D1787" t="s">
        <v>321</v>
      </c>
      <c r="E1787" t="s">
        <v>224</v>
      </c>
      <c r="F1787" t="s">
        <v>13138</v>
      </c>
      <c r="G1787" t="s">
        <v>139</v>
      </c>
      <c r="H1787" t="s">
        <v>8853</v>
      </c>
      <c r="I1787" t="s">
        <v>139</v>
      </c>
      <c r="J1787" t="s">
        <v>941</v>
      </c>
      <c r="K1787" t="s">
        <v>139</v>
      </c>
      <c r="L1787" t="s">
        <v>50</v>
      </c>
      <c r="M1787" s="2">
        <v>218170</v>
      </c>
      <c r="N1787" t="s">
        <v>64</v>
      </c>
      <c r="P1787" t="str">
        <f>CONCATENATE("'",Tabla1[[#This Row],[Codigo]],"',")</f>
        <v>'02830',</v>
      </c>
    </row>
    <row r="1788" spans="1:16" x14ac:dyDescent="0.25">
      <c r="A1788" t="s">
        <v>13141</v>
      </c>
      <c r="B1788" t="s">
        <v>13142</v>
      </c>
      <c r="C1788" t="s">
        <v>13142</v>
      </c>
      <c r="D1788" t="s">
        <v>35</v>
      </c>
      <c r="E1788" t="s">
        <v>36</v>
      </c>
      <c r="F1788" t="s">
        <v>1281</v>
      </c>
      <c r="G1788" t="s">
        <v>404</v>
      </c>
      <c r="H1788" t="s">
        <v>403</v>
      </c>
      <c r="I1788" t="s">
        <v>404</v>
      </c>
      <c r="J1788" t="s">
        <v>205</v>
      </c>
      <c r="K1788" t="s">
        <v>206</v>
      </c>
      <c r="L1788" t="s">
        <v>50</v>
      </c>
      <c r="M1788" s="2">
        <v>634851.81000000006</v>
      </c>
      <c r="N1788" t="s">
        <v>13144</v>
      </c>
      <c r="O1788" t="s">
        <v>115</v>
      </c>
      <c r="P1788" t="str">
        <f>CONCATENATE("'",Tabla1[[#This Row],[Codigo]],"',")</f>
        <v>'02831',</v>
      </c>
    </row>
    <row r="1789" spans="1:16" x14ac:dyDescent="0.25">
      <c r="A1789" t="s">
        <v>13145</v>
      </c>
      <c r="B1789" t="s">
        <v>13146</v>
      </c>
      <c r="C1789" t="s">
        <v>13146</v>
      </c>
      <c r="D1789" t="s">
        <v>153</v>
      </c>
      <c r="E1789" t="s">
        <v>272</v>
      </c>
      <c r="F1789" t="s">
        <v>13147</v>
      </c>
      <c r="G1789" t="s">
        <v>8775</v>
      </c>
      <c r="H1789" t="s">
        <v>8777</v>
      </c>
      <c r="I1789" t="s">
        <v>8778</v>
      </c>
      <c r="J1789" t="s">
        <v>1421</v>
      </c>
      <c r="K1789" t="s">
        <v>1422</v>
      </c>
      <c r="L1789" t="s">
        <v>50</v>
      </c>
      <c r="M1789" s="2">
        <v>107012.51</v>
      </c>
      <c r="N1789" t="s">
        <v>13150</v>
      </c>
      <c r="O1789" t="s">
        <v>115</v>
      </c>
      <c r="P1789" t="str">
        <f>CONCATENATE("'",Tabla1[[#This Row],[Codigo]],"',")</f>
        <v>'02832',</v>
      </c>
    </row>
    <row r="1790" spans="1:16" x14ac:dyDescent="0.25">
      <c r="A1790" t="s">
        <v>13151</v>
      </c>
      <c r="B1790" t="s">
        <v>13152</v>
      </c>
      <c r="C1790" t="s">
        <v>13152</v>
      </c>
      <c r="D1790" t="s">
        <v>1865</v>
      </c>
      <c r="E1790" t="s">
        <v>224</v>
      </c>
      <c r="F1790" t="s">
        <v>13153</v>
      </c>
      <c r="G1790" t="s">
        <v>1072</v>
      </c>
      <c r="H1790" t="s">
        <v>13155</v>
      </c>
      <c r="I1790" t="s">
        <v>13156</v>
      </c>
      <c r="J1790" t="s">
        <v>120</v>
      </c>
      <c r="K1790" t="s">
        <v>121</v>
      </c>
      <c r="L1790" t="s">
        <v>50</v>
      </c>
      <c r="M1790" s="2">
        <v>32726</v>
      </c>
      <c r="N1790" t="s">
        <v>64</v>
      </c>
      <c r="P1790" t="str">
        <f>CONCATENATE("'",Tabla1[[#This Row],[Codigo]],"',")</f>
        <v>'02833',</v>
      </c>
    </row>
    <row r="1791" spans="1:16" x14ac:dyDescent="0.25">
      <c r="A1791" t="s">
        <v>13158</v>
      </c>
      <c r="B1791" t="s">
        <v>13159</v>
      </c>
      <c r="C1791" t="s">
        <v>13160</v>
      </c>
      <c r="D1791" t="s">
        <v>125</v>
      </c>
      <c r="E1791" t="s">
        <v>126</v>
      </c>
      <c r="F1791" t="s">
        <v>13161</v>
      </c>
      <c r="G1791" t="s">
        <v>12217</v>
      </c>
      <c r="H1791" t="s">
        <v>11459</v>
      </c>
      <c r="I1791" t="s">
        <v>11440</v>
      </c>
      <c r="J1791" t="s">
        <v>2320</v>
      </c>
      <c r="K1791" t="s">
        <v>2321</v>
      </c>
      <c r="L1791" t="s">
        <v>50</v>
      </c>
      <c r="M1791" s="2">
        <v>11259.25</v>
      </c>
      <c r="N1791" t="s">
        <v>13164</v>
      </c>
      <c r="O1791" t="s">
        <v>52</v>
      </c>
      <c r="P1791" t="str">
        <f>CONCATENATE("'",Tabla1[[#This Row],[Codigo]],"',")</f>
        <v>'02834',</v>
      </c>
    </row>
    <row r="1792" spans="1:16" x14ac:dyDescent="0.25">
      <c r="A1792" t="s">
        <v>13165</v>
      </c>
      <c r="B1792" t="s">
        <v>13166</v>
      </c>
      <c r="C1792" t="s">
        <v>13166</v>
      </c>
      <c r="D1792" t="s">
        <v>125</v>
      </c>
      <c r="E1792" t="s">
        <v>126</v>
      </c>
      <c r="F1792" t="s">
        <v>13167</v>
      </c>
      <c r="G1792" t="s">
        <v>10155</v>
      </c>
      <c r="H1792" t="s">
        <v>10157</v>
      </c>
      <c r="I1792" t="s">
        <v>10155</v>
      </c>
      <c r="J1792" t="s">
        <v>10093</v>
      </c>
      <c r="K1792" t="s">
        <v>10094</v>
      </c>
      <c r="L1792" t="s">
        <v>50</v>
      </c>
      <c r="M1792" s="2">
        <v>18224.439999999999</v>
      </c>
      <c r="N1792" t="s">
        <v>13170</v>
      </c>
      <c r="O1792" t="s">
        <v>52</v>
      </c>
      <c r="P1792" t="str">
        <f>CONCATENATE("'",Tabla1[[#This Row],[Codigo]],"',")</f>
        <v>'02835',</v>
      </c>
    </row>
    <row r="1793" spans="1:16" x14ac:dyDescent="0.25">
      <c r="A1793" t="s">
        <v>13171</v>
      </c>
      <c r="B1793" t="s">
        <v>13172</v>
      </c>
      <c r="C1793" t="s">
        <v>13172</v>
      </c>
      <c r="D1793" t="s">
        <v>35</v>
      </c>
      <c r="E1793" t="s">
        <v>36</v>
      </c>
      <c r="F1793" t="s">
        <v>13173</v>
      </c>
      <c r="G1793" t="s">
        <v>5009</v>
      </c>
      <c r="H1793" t="s">
        <v>11459</v>
      </c>
      <c r="I1793" t="s">
        <v>11440</v>
      </c>
      <c r="J1793" t="s">
        <v>256</v>
      </c>
      <c r="K1793" t="s">
        <v>255</v>
      </c>
      <c r="L1793" t="s">
        <v>50</v>
      </c>
      <c r="M1793" s="2">
        <v>171400.63</v>
      </c>
      <c r="N1793" t="s">
        <v>13176</v>
      </c>
      <c r="O1793" t="s">
        <v>52</v>
      </c>
      <c r="P1793" t="str">
        <f>CONCATENATE("'",Tabla1[[#This Row],[Codigo]],"',")</f>
        <v>'02836',</v>
      </c>
    </row>
    <row r="1794" spans="1:16" x14ac:dyDescent="0.25">
      <c r="A1794" t="s">
        <v>13177</v>
      </c>
      <c r="B1794" t="s">
        <v>13178</v>
      </c>
      <c r="C1794" t="s">
        <v>13178</v>
      </c>
      <c r="D1794" t="s">
        <v>773</v>
      </c>
      <c r="E1794" t="s">
        <v>224</v>
      </c>
      <c r="F1794" t="s">
        <v>13179</v>
      </c>
      <c r="G1794" t="s">
        <v>2275</v>
      </c>
      <c r="H1794" t="s">
        <v>2277</v>
      </c>
      <c r="I1794" t="s">
        <v>2278</v>
      </c>
      <c r="J1794" t="s">
        <v>3534</v>
      </c>
      <c r="K1794" t="s">
        <v>3535</v>
      </c>
      <c r="L1794" t="s">
        <v>50</v>
      </c>
      <c r="M1794" s="2">
        <v>218170</v>
      </c>
      <c r="N1794" t="s">
        <v>64</v>
      </c>
      <c r="P1794" t="str">
        <f>CONCATENATE("'",Tabla1[[#This Row],[Codigo]],"',")</f>
        <v>'02837',</v>
      </c>
    </row>
    <row r="1795" spans="1:16" x14ac:dyDescent="0.25">
      <c r="A1795" t="s">
        <v>13182</v>
      </c>
      <c r="B1795" t="s">
        <v>13183</v>
      </c>
      <c r="C1795" t="s">
        <v>13183</v>
      </c>
      <c r="D1795" t="s">
        <v>5795</v>
      </c>
      <c r="E1795" t="s">
        <v>134</v>
      </c>
      <c r="F1795" t="s">
        <v>13184</v>
      </c>
      <c r="G1795" t="s">
        <v>324</v>
      </c>
      <c r="H1795" t="s">
        <v>326</v>
      </c>
      <c r="I1795" t="s">
        <v>327</v>
      </c>
      <c r="J1795" t="s">
        <v>304</v>
      </c>
      <c r="K1795" t="s">
        <v>72</v>
      </c>
      <c r="L1795" t="s">
        <v>50</v>
      </c>
      <c r="M1795" s="2">
        <v>1309020</v>
      </c>
      <c r="N1795" t="s">
        <v>64</v>
      </c>
      <c r="P1795" t="str">
        <f>CONCATENATE("'",Tabla1[[#This Row],[Codigo]],"',")</f>
        <v>'02838',</v>
      </c>
    </row>
    <row r="1796" spans="1:16" x14ac:dyDescent="0.25">
      <c r="A1796" t="s">
        <v>13187</v>
      </c>
      <c r="B1796" t="s">
        <v>13188</v>
      </c>
      <c r="C1796" t="s">
        <v>13188</v>
      </c>
      <c r="D1796" t="s">
        <v>35</v>
      </c>
      <c r="E1796" t="s">
        <v>36</v>
      </c>
      <c r="F1796" t="s">
        <v>13189</v>
      </c>
      <c r="G1796" t="s">
        <v>3254</v>
      </c>
      <c r="H1796" t="s">
        <v>3256</v>
      </c>
      <c r="I1796" t="s">
        <v>3257</v>
      </c>
      <c r="J1796" t="s">
        <v>4315</v>
      </c>
      <c r="K1796" t="s">
        <v>4316</v>
      </c>
      <c r="L1796" t="s">
        <v>50</v>
      </c>
      <c r="M1796" s="2">
        <v>34199.24</v>
      </c>
      <c r="N1796" t="s">
        <v>13192</v>
      </c>
      <c r="O1796" t="s">
        <v>52</v>
      </c>
      <c r="P1796" t="str">
        <f>CONCATENATE("'",Tabla1[[#This Row],[Codigo]],"',")</f>
        <v>'02839',</v>
      </c>
    </row>
    <row r="1797" spans="1:16" x14ac:dyDescent="0.25">
      <c r="A1797" t="s">
        <v>13193</v>
      </c>
      <c r="B1797" t="s">
        <v>13194</v>
      </c>
      <c r="C1797" t="s">
        <v>13195</v>
      </c>
      <c r="D1797" t="s">
        <v>498</v>
      </c>
      <c r="E1797" t="s">
        <v>190</v>
      </c>
      <c r="F1797" t="s">
        <v>9243</v>
      </c>
      <c r="G1797" t="s">
        <v>922</v>
      </c>
      <c r="H1797" t="s">
        <v>822</v>
      </c>
      <c r="I1797" t="s">
        <v>820</v>
      </c>
      <c r="J1797" t="s">
        <v>304</v>
      </c>
      <c r="K1797" t="s">
        <v>72</v>
      </c>
      <c r="L1797" t="s">
        <v>50</v>
      </c>
      <c r="M1797" s="2">
        <v>1029406.9</v>
      </c>
      <c r="N1797" t="s">
        <v>13197</v>
      </c>
      <c r="O1797" t="s">
        <v>52</v>
      </c>
      <c r="P1797" t="str">
        <f>CONCATENATE("'",Tabla1[[#This Row],[Codigo]],"',")</f>
        <v>'02840',</v>
      </c>
    </row>
    <row r="1798" spans="1:16" x14ac:dyDescent="0.25">
      <c r="A1798" t="s">
        <v>13198</v>
      </c>
      <c r="B1798" t="s">
        <v>13199</v>
      </c>
      <c r="C1798" t="s">
        <v>13199</v>
      </c>
      <c r="D1798" t="s">
        <v>2687</v>
      </c>
      <c r="E1798" t="s">
        <v>190</v>
      </c>
      <c r="F1798" t="s">
        <v>13200</v>
      </c>
      <c r="G1798" t="s">
        <v>4130</v>
      </c>
      <c r="H1798" t="s">
        <v>9130</v>
      </c>
      <c r="I1798" t="s">
        <v>9129</v>
      </c>
      <c r="J1798" t="s">
        <v>3534</v>
      </c>
      <c r="K1798" t="s">
        <v>3535</v>
      </c>
      <c r="L1798" t="s">
        <v>50</v>
      </c>
      <c r="M1798" s="2">
        <v>356556.07</v>
      </c>
      <c r="N1798" t="s">
        <v>13203</v>
      </c>
      <c r="O1798" t="s">
        <v>115</v>
      </c>
      <c r="P1798" t="str">
        <f>CONCATENATE("'",Tabla1[[#This Row],[Codigo]],"',")</f>
        <v>'02841',</v>
      </c>
    </row>
    <row r="1799" spans="1:16" x14ac:dyDescent="0.25">
      <c r="A1799" t="s">
        <v>13204</v>
      </c>
      <c r="B1799" t="s">
        <v>13205</v>
      </c>
      <c r="C1799" t="s">
        <v>13205</v>
      </c>
      <c r="D1799" t="s">
        <v>125</v>
      </c>
      <c r="E1799" t="s">
        <v>126</v>
      </c>
      <c r="F1799" t="s">
        <v>13206</v>
      </c>
      <c r="G1799" t="s">
        <v>12562</v>
      </c>
      <c r="H1799" t="s">
        <v>5938</v>
      </c>
      <c r="I1799" t="s">
        <v>5939</v>
      </c>
      <c r="J1799" t="s">
        <v>557</v>
      </c>
      <c r="K1799" t="s">
        <v>558</v>
      </c>
      <c r="L1799" t="s">
        <v>50</v>
      </c>
      <c r="M1799" s="2">
        <v>93993.22</v>
      </c>
      <c r="N1799" t="s">
        <v>13209</v>
      </c>
      <c r="O1799" t="s">
        <v>52</v>
      </c>
      <c r="P1799" t="str">
        <f>CONCATENATE("'",Tabla1[[#This Row],[Codigo]],"',")</f>
        <v>'02842',</v>
      </c>
    </row>
    <row r="1800" spans="1:16" x14ac:dyDescent="0.25">
      <c r="A1800" t="s">
        <v>13210</v>
      </c>
      <c r="B1800" t="s">
        <v>13211</v>
      </c>
      <c r="C1800" t="s">
        <v>13212</v>
      </c>
      <c r="D1800" t="s">
        <v>125</v>
      </c>
      <c r="E1800" t="s">
        <v>126</v>
      </c>
      <c r="F1800" t="s">
        <v>11904</v>
      </c>
      <c r="G1800" t="s">
        <v>12118</v>
      </c>
      <c r="H1800" t="s">
        <v>80</v>
      </c>
      <c r="I1800" t="s">
        <v>81</v>
      </c>
      <c r="J1800" t="s">
        <v>557</v>
      </c>
      <c r="K1800" t="s">
        <v>558</v>
      </c>
      <c r="L1800" t="s">
        <v>50</v>
      </c>
      <c r="M1800" s="2">
        <v>55258.05</v>
      </c>
      <c r="N1800" t="s">
        <v>13214</v>
      </c>
      <c r="O1800" t="s">
        <v>115</v>
      </c>
      <c r="P1800" t="str">
        <f>CONCATENATE("'",Tabla1[[#This Row],[Codigo]],"',")</f>
        <v>'02843',</v>
      </c>
    </row>
    <row r="1801" spans="1:16" x14ac:dyDescent="0.25">
      <c r="A1801" t="s">
        <v>13215</v>
      </c>
      <c r="B1801" t="s">
        <v>13216</v>
      </c>
      <c r="C1801" t="s">
        <v>13216</v>
      </c>
      <c r="D1801" t="s">
        <v>125</v>
      </c>
      <c r="E1801" t="s">
        <v>126</v>
      </c>
      <c r="F1801" t="s">
        <v>13217</v>
      </c>
      <c r="G1801" t="s">
        <v>13218</v>
      </c>
      <c r="H1801" t="s">
        <v>10256</v>
      </c>
      <c r="I1801" t="s">
        <v>10257</v>
      </c>
      <c r="J1801" t="s">
        <v>10093</v>
      </c>
      <c r="K1801" t="s">
        <v>10094</v>
      </c>
      <c r="L1801" t="s">
        <v>50</v>
      </c>
      <c r="M1801" s="2">
        <v>652713.76</v>
      </c>
      <c r="N1801" t="s">
        <v>13221</v>
      </c>
      <c r="O1801" t="s">
        <v>52</v>
      </c>
      <c r="P1801" t="str">
        <f>CONCATENATE("'",Tabla1[[#This Row],[Codigo]],"',")</f>
        <v>'02844',</v>
      </c>
    </row>
    <row r="1802" spans="1:16" x14ac:dyDescent="0.25">
      <c r="A1802" t="s">
        <v>13222</v>
      </c>
      <c r="B1802" t="s">
        <v>13223</v>
      </c>
      <c r="C1802" t="s">
        <v>13224</v>
      </c>
      <c r="D1802" t="s">
        <v>569</v>
      </c>
      <c r="E1802" t="s">
        <v>570</v>
      </c>
      <c r="F1802" t="s">
        <v>13225</v>
      </c>
      <c r="G1802" t="s">
        <v>5261</v>
      </c>
      <c r="H1802" t="s">
        <v>5263</v>
      </c>
      <c r="I1802" t="s">
        <v>5264</v>
      </c>
      <c r="J1802" t="s">
        <v>941</v>
      </c>
      <c r="K1802" t="s">
        <v>139</v>
      </c>
      <c r="L1802" t="s">
        <v>50</v>
      </c>
      <c r="M1802" s="2">
        <v>245670</v>
      </c>
      <c r="N1802" t="s">
        <v>64</v>
      </c>
      <c r="P1802" t="str">
        <f>CONCATENATE("'",Tabla1[[#This Row],[Codigo]],"',")</f>
        <v>'02845',</v>
      </c>
    </row>
    <row r="1803" spans="1:16" x14ac:dyDescent="0.25">
      <c r="A1803" t="s">
        <v>13228</v>
      </c>
      <c r="B1803" t="s">
        <v>13229</v>
      </c>
      <c r="C1803" t="s">
        <v>13230</v>
      </c>
      <c r="D1803" t="s">
        <v>35</v>
      </c>
      <c r="E1803" t="s">
        <v>36</v>
      </c>
      <c r="F1803" t="s">
        <v>13231</v>
      </c>
      <c r="G1803" t="s">
        <v>79</v>
      </c>
      <c r="H1803" t="s">
        <v>495</v>
      </c>
      <c r="I1803" t="s">
        <v>79</v>
      </c>
      <c r="J1803" t="s">
        <v>3487</v>
      </c>
      <c r="K1803" t="s">
        <v>3488</v>
      </c>
      <c r="L1803" t="s">
        <v>50</v>
      </c>
      <c r="M1803" s="2">
        <v>-3371.49</v>
      </c>
      <c r="N1803" t="s">
        <v>13234</v>
      </c>
      <c r="O1803" t="s">
        <v>52</v>
      </c>
      <c r="P1803" t="str">
        <f>CONCATENATE("'",Tabla1[[#This Row],[Codigo]],"',")</f>
        <v>'02846',</v>
      </c>
    </row>
    <row r="1804" spans="1:16" x14ac:dyDescent="0.25">
      <c r="A1804" t="s">
        <v>13241</v>
      </c>
      <c r="B1804" t="s">
        <v>13242</v>
      </c>
      <c r="C1804" t="s">
        <v>13243</v>
      </c>
      <c r="D1804" t="s">
        <v>35</v>
      </c>
      <c r="E1804" t="s">
        <v>36</v>
      </c>
      <c r="F1804" t="s">
        <v>13244</v>
      </c>
      <c r="G1804" t="s">
        <v>2002</v>
      </c>
      <c r="H1804" t="s">
        <v>101</v>
      </c>
      <c r="I1804" t="s">
        <v>102</v>
      </c>
      <c r="J1804" t="s">
        <v>103</v>
      </c>
      <c r="K1804" t="s">
        <v>104</v>
      </c>
      <c r="L1804" t="s">
        <v>50</v>
      </c>
      <c r="M1804" s="2">
        <v>10101.81</v>
      </c>
      <c r="N1804" t="s">
        <v>13247</v>
      </c>
      <c r="O1804" t="s">
        <v>52</v>
      </c>
      <c r="P1804" t="str">
        <f>CONCATENATE("'",Tabla1[[#This Row],[Codigo]],"',")</f>
        <v>'02849',</v>
      </c>
    </row>
    <row r="1805" spans="1:16" x14ac:dyDescent="0.25">
      <c r="A1805" t="s">
        <v>13248</v>
      </c>
      <c r="B1805" t="s">
        <v>13249</v>
      </c>
      <c r="C1805" t="s">
        <v>13249</v>
      </c>
      <c r="D1805" t="s">
        <v>35</v>
      </c>
      <c r="E1805" t="s">
        <v>36</v>
      </c>
      <c r="F1805" t="s">
        <v>13250</v>
      </c>
      <c r="G1805" t="s">
        <v>252</v>
      </c>
      <c r="H1805" t="s">
        <v>254</v>
      </c>
      <c r="I1805" t="s">
        <v>255</v>
      </c>
      <c r="J1805" t="s">
        <v>256</v>
      </c>
      <c r="K1805" t="s">
        <v>255</v>
      </c>
      <c r="L1805" t="s">
        <v>50</v>
      </c>
      <c r="M1805" s="2">
        <v>168347.19</v>
      </c>
      <c r="N1805" t="s">
        <v>13252</v>
      </c>
      <c r="O1805" t="s">
        <v>52</v>
      </c>
      <c r="P1805" t="str">
        <f>CONCATENATE("'",Tabla1[[#This Row],[Codigo]],"',")</f>
        <v>'02850',</v>
      </c>
    </row>
    <row r="1806" spans="1:16" x14ac:dyDescent="0.25">
      <c r="A1806" t="s">
        <v>13253</v>
      </c>
      <c r="B1806" t="s">
        <v>13254</v>
      </c>
      <c r="C1806" t="s">
        <v>13255</v>
      </c>
      <c r="D1806" t="s">
        <v>847</v>
      </c>
      <c r="E1806" t="s">
        <v>848</v>
      </c>
      <c r="F1806" t="s">
        <v>13256</v>
      </c>
      <c r="G1806" t="s">
        <v>4130</v>
      </c>
      <c r="H1806" t="s">
        <v>9130</v>
      </c>
      <c r="I1806" t="s">
        <v>9129</v>
      </c>
      <c r="J1806" t="s">
        <v>256</v>
      </c>
      <c r="K1806" t="s">
        <v>255</v>
      </c>
      <c r="L1806" t="s">
        <v>50</v>
      </c>
      <c r="M1806" s="2">
        <v>11127.59</v>
      </c>
      <c r="N1806" t="s">
        <v>13258</v>
      </c>
      <c r="O1806" t="s">
        <v>115</v>
      </c>
      <c r="P1806" t="str">
        <f>CONCATENATE("'",Tabla1[[#This Row],[Codigo]],"',")</f>
        <v>'02851',</v>
      </c>
    </row>
    <row r="1807" spans="1:16" x14ac:dyDescent="0.25">
      <c r="A1807" t="s">
        <v>13259</v>
      </c>
      <c r="B1807" t="s">
        <v>13260</v>
      </c>
      <c r="C1807" t="s">
        <v>13260</v>
      </c>
      <c r="D1807" t="s">
        <v>35</v>
      </c>
      <c r="E1807" t="s">
        <v>36</v>
      </c>
      <c r="F1807" t="s">
        <v>13261</v>
      </c>
      <c r="G1807" t="s">
        <v>10155</v>
      </c>
      <c r="H1807" t="s">
        <v>10157</v>
      </c>
      <c r="I1807" t="s">
        <v>10155</v>
      </c>
      <c r="J1807" t="s">
        <v>10093</v>
      </c>
      <c r="K1807" t="s">
        <v>10094</v>
      </c>
      <c r="L1807" t="s">
        <v>50</v>
      </c>
      <c r="M1807" s="2">
        <v>191612.81</v>
      </c>
      <c r="N1807" t="s">
        <v>13264</v>
      </c>
      <c r="O1807" t="s">
        <v>52</v>
      </c>
      <c r="P1807" t="str">
        <f>CONCATENATE("'",Tabla1[[#This Row],[Codigo]],"',")</f>
        <v>'02852',</v>
      </c>
    </row>
    <row r="1808" spans="1:16" x14ac:dyDescent="0.25">
      <c r="A1808" t="s">
        <v>13265</v>
      </c>
      <c r="B1808" t="s">
        <v>13266</v>
      </c>
      <c r="C1808" t="s">
        <v>13266</v>
      </c>
      <c r="D1808" t="s">
        <v>125</v>
      </c>
      <c r="E1808" t="s">
        <v>126</v>
      </c>
      <c r="F1808" t="s">
        <v>13267</v>
      </c>
      <c r="G1808" t="s">
        <v>5261</v>
      </c>
      <c r="H1808" t="s">
        <v>5263</v>
      </c>
      <c r="I1808" t="s">
        <v>5264</v>
      </c>
      <c r="J1808" t="s">
        <v>941</v>
      </c>
      <c r="K1808" t="s">
        <v>139</v>
      </c>
      <c r="L1808" t="s">
        <v>50</v>
      </c>
      <c r="M1808" s="2">
        <v>2546.63</v>
      </c>
      <c r="N1808" t="s">
        <v>13270</v>
      </c>
      <c r="O1808" t="s">
        <v>52</v>
      </c>
      <c r="P1808" t="str">
        <f>CONCATENATE("'",Tabla1[[#This Row],[Codigo]],"',")</f>
        <v>'02853',</v>
      </c>
    </row>
    <row r="1809" spans="1:16" x14ac:dyDescent="0.25">
      <c r="A1809" t="s">
        <v>13271</v>
      </c>
      <c r="B1809" t="s">
        <v>13272</v>
      </c>
      <c r="C1809" t="s">
        <v>13272</v>
      </c>
      <c r="D1809" t="s">
        <v>297</v>
      </c>
      <c r="E1809" t="s">
        <v>167</v>
      </c>
      <c r="F1809" t="s">
        <v>13273</v>
      </c>
      <c r="G1809" t="s">
        <v>1335</v>
      </c>
      <c r="H1809" t="s">
        <v>254</v>
      </c>
      <c r="I1809" t="s">
        <v>255</v>
      </c>
      <c r="J1809" t="s">
        <v>256</v>
      </c>
      <c r="K1809" t="s">
        <v>255</v>
      </c>
      <c r="L1809" t="s">
        <v>50</v>
      </c>
      <c r="M1809" s="2">
        <v>436340</v>
      </c>
      <c r="N1809" t="s">
        <v>64</v>
      </c>
      <c r="P1809" t="str">
        <f>CONCATENATE("'",Tabla1[[#This Row],[Codigo]],"',")</f>
        <v>'02854',</v>
      </c>
    </row>
    <row r="1810" spans="1:16" x14ac:dyDescent="0.25">
      <c r="A1810" t="s">
        <v>13276</v>
      </c>
      <c r="B1810" t="s">
        <v>13277</v>
      </c>
      <c r="C1810" t="s">
        <v>13277</v>
      </c>
      <c r="D1810" t="s">
        <v>297</v>
      </c>
      <c r="E1810" t="s">
        <v>167</v>
      </c>
      <c r="F1810" t="s">
        <v>13278</v>
      </c>
      <c r="G1810" t="s">
        <v>9937</v>
      </c>
      <c r="H1810" t="s">
        <v>1362</v>
      </c>
      <c r="I1810" t="s">
        <v>1360</v>
      </c>
      <c r="J1810" t="s">
        <v>1421</v>
      </c>
      <c r="K1810" t="s">
        <v>1422</v>
      </c>
      <c r="L1810" t="s">
        <v>50</v>
      </c>
      <c r="M1810" s="2">
        <v>370889</v>
      </c>
      <c r="N1810" t="s">
        <v>64</v>
      </c>
      <c r="P1810" t="str">
        <f>CONCATENATE("'",Tabla1[[#This Row],[Codigo]],"',")</f>
        <v>'02855',</v>
      </c>
    </row>
    <row r="1811" spans="1:16" x14ac:dyDescent="0.25">
      <c r="A1811" t="s">
        <v>13280</v>
      </c>
      <c r="B1811" t="s">
        <v>13281</v>
      </c>
      <c r="C1811" t="s">
        <v>13281</v>
      </c>
      <c r="D1811" t="s">
        <v>35</v>
      </c>
      <c r="E1811" t="s">
        <v>36</v>
      </c>
      <c r="F1811" t="s">
        <v>13282</v>
      </c>
      <c r="G1811" t="s">
        <v>79</v>
      </c>
      <c r="H1811" t="s">
        <v>495</v>
      </c>
      <c r="I1811" t="s">
        <v>79</v>
      </c>
      <c r="J1811" t="s">
        <v>3487</v>
      </c>
      <c r="K1811" t="s">
        <v>3488</v>
      </c>
      <c r="L1811" t="s">
        <v>50</v>
      </c>
      <c r="M1811" s="2">
        <v>1127417.27</v>
      </c>
      <c r="N1811" t="s">
        <v>13285</v>
      </c>
      <c r="O1811" t="s">
        <v>52</v>
      </c>
      <c r="P1811" t="str">
        <f>CONCATENATE("'",Tabla1[[#This Row],[Codigo]],"',")</f>
        <v>'02856',</v>
      </c>
    </row>
    <row r="1812" spans="1:16" x14ac:dyDescent="0.25">
      <c r="A1812" t="s">
        <v>13286</v>
      </c>
      <c r="B1812" t="s">
        <v>13287</v>
      </c>
      <c r="C1812" t="s">
        <v>13287</v>
      </c>
      <c r="D1812" t="s">
        <v>2120</v>
      </c>
      <c r="E1812" t="s">
        <v>224</v>
      </c>
      <c r="F1812" t="s">
        <v>13288</v>
      </c>
      <c r="G1812" t="s">
        <v>2045</v>
      </c>
      <c r="H1812" t="s">
        <v>67</v>
      </c>
      <c r="I1812" t="s">
        <v>68</v>
      </c>
      <c r="J1812" t="s">
        <v>304</v>
      </c>
      <c r="K1812" t="s">
        <v>72</v>
      </c>
      <c r="L1812" t="s">
        <v>50</v>
      </c>
      <c r="M1812" s="2">
        <v>215140.12</v>
      </c>
      <c r="N1812" t="s">
        <v>13291</v>
      </c>
      <c r="P1812" t="str">
        <f>CONCATENATE("'",Tabla1[[#This Row],[Codigo]],"',")</f>
        <v>'02857',</v>
      </c>
    </row>
    <row r="1813" spans="1:16" x14ac:dyDescent="0.25">
      <c r="A1813" t="s">
        <v>13292</v>
      </c>
      <c r="B1813" t="s">
        <v>13293</v>
      </c>
      <c r="C1813" t="s">
        <v>13293</v>
      </c>
      <c r="D1813" t="s">
        <v>35</v>
      </c>
      <c r="E1813" t="s">
        <v>36</v>
      </c>
      <c r="F1813" t="s">
        <v>13294</v>
      </c>
      <c r="G1813" t="s">
        <v>13295</v>
      </c>
      <c r="H1813" t="s">
        <v>13297</v>
      </c>
      <c r="I1813" t="s">
        <v>13295</v>
      </c>
      <c r="J1813" t="s">
        <v>10093</v>
      </c>
      <c r="K1813" t="s">
        <v>10094</v>
      </c>
      <c r="L1813" t="s">
        <v>50</v>
      </c>
      <c r="M1813" s="2">
        <v>498611.64</v>
      </c>
      <c r="N1813" t="s">
        <v>13299</v>
      </c>
      <c r="O1813" t="s">
        <v>52</v>
      </c>
      <c r="P1813" t="str">
        <f>CONCATENATE("'",Tabla1[[#This Row],[Codigo]],"',")</f>
        <v>'02858',</v>
      </c>
    </row>
    <row r="1814" spans="1:16" x14ac:dyDescent="0.25">
      <c r="A1814" t="s">
        <v>13300</v>
      </c>
      <c r="B1814" t="s">
        <v>13301</v>
      </c>
      <c r="C1814" t="s">
        <v>13301</v>
      </c>
      <c r="D1814" t="s">
        <v>125</v>
      </c>
      <c r="E1814" t="s">
        <v>126</v>
      </c>
      <c r="F1814" t="s">
        <v>13302</v>
      </c>
      <c r="G1814" t="s">
        <v>13295</v>
      </c>
      <c r="H1814" t="s">
        <v>13297</v>
      </c>
      <c r="I1814" t="s">
        <v>13295</v>
      </c>
      <c r="J1814" t="s">
        <v>10093</v>
      </c>
      <c r="K1814" t="s">
        <v>10094</v>
      </c>
      <c r="L1814" t="s">
        <v>50</v>
      </c>
      <c r="M1814" s="2">
        <v>1308295.1499999999</v>
      </c>
      <c r="N1814" t="s">
        <v>13305</v>
      </c>
      <c r="O1814" t="s">
        <v>52</v>
      </c>
      <c r="P1814" t="str">
        <f>CONCATENATE("'",Tabla1[[#This Row],[Codigo]],"',")</f>
        <v>'02859',</v>
      </c>
    </row>
    <row r="1815" spans="1:16" x14ac:dyDescent="0.25">
      <c r="A1815" t="s">
        <v>13306</v>
      </c>
      <c r="B1815" t="s">
        <v>13307</v>
      </c>
      <c r="C1815" t="s">
        <v>13308</v>
      </c>
      <c r="D1815" t="s">
        <v>125</v>
      </c>
      <c r="E1815" t="s">
        <v>126</v>
      </c>
      <c r="F1815" t="s">
        <v>13309</v>
      </c>
      <c r="G1815" t="s">
        <v>13295</v>
      </c>
      <c r="H1815" t="s">
        <v>13297</v>
      </c>
      <c r="I1815" t="s">
        <v>13295</v>
      </c>
      <c r="J1815" t="s">
        <v>10093</v>
      </c>
      <c r="K1815" t="s">
        <v>10094</v>
      </c>
      <c r="L1815" t="s">
        <v>50</v>
      </c>
      <c r="M1815" s="2">
        <v>506196.32</v>
      </c>
      <c r="N1815" t="s">
        <v>13312</v>
      </c>
      <c r="O1815" t="s">
        <v>52</v>
      </c>
      <c r="P1815" t="str">
        <f>CONCATENATE("'",Tabla1[[#This Row],[Codigo]],"',")</f>
        <v>'02860',</v>
      </c>
    </row>
    <row r="1816" spans="1:16" x14ac:dyDescent="0.25">
      <c r="A1816" t="s">
        <v>13313</v>
      </c>
      <c r="B1816" t="s">
        <v>13314</v>
      </c>
      <c r="C1816" t="s">
        <v>13314</v>
      </c>
      <c r="D1816" t="s">
        <v>153</v>
      </c>
      <c r="E1816" t="s">
        <v>272</v>
      </c>
      <c r="F1816" t="s">
        <v>13315</v>
      </c>
      <c r="G1816" t="s">
        <v>6685</v>
      </c>
      <c r="H1816" t="s">
        <v>254</v>
      </c>
      <c r="I1816" t="s">
        <v>255</v>
      </c>
      <c r="J1816" t="s">
        <v>3534</v>
      </c>
      <c r="K1816" t="s">
        <v>3535</v>
      </c>
      <c r="L1816" t="s">
        <v>50</v>
      </c>
      <c r="M1816" s="2">
        <v>180180.82</v>
      </c>
      <c r="N1816" t="s">
        <v>13318</v>
      </c>
      <c r="O1816" t="s">
        <v>115</v>
      </c>
      <c r="P1816" t="str">
        <f>CONCATENATE("'",Tabla1[[#This Row],[Codigo]],"',")</f>
        <v>'02861',</v>
      </c>
    </row>
    <row r="1817" spans="1:16" x14ac:dyDescent="0.25">
      <c r="A1817" t="s">
        <v>13319</v>
      </c>
      <c r="B1817" t="s">
        <v>13320</v>
      </c>
      <c r="C1817" t="s">
        <v>13320</v>
      </c>
      <c r="D1817" t="s">
        <v>35</v>
      </c>
      <c r="E1817" t="s">
        <v>36</v>
      </c>
      <c r="F1817" t="s">
        <v>13321</v>
      </c>
      <c r="G1817" t="s">
        <v>139</v>
      </c>
      <c r="H1817" t="s">
        <v>8853</v>
      </c>
      <c r="I1817" t="s">
        <v>139</v>
      </c>
      <c r="J1817" t="s">
        <v>941</v>
      </c>
      <c r="K1817" t="s">
        <v>139</v>
      </c>
      <c r="L1817" t="s">
        <v>50</v>
      </c>
      <c r="M1817" s="2">
        <v>33846.99</v>
      </c>
      <c r="N1817" t="s">
        <v>13324</v>
      </c>
      <c r="O1817" t="s">
        <v>52</v>
      </c>
      <c r="P1817" t="str">
        <f>CONCATENATE("'",Tabla1[[#This Row],[Codigo]],"',")</f>
        <v>'02862',</v>
      </c>
    </row>
    <row r="1818" spans="1:16" x14ac:dyDescent="0.25">
      <c r="A1818" t="s">
        <v>13325</v>
      </c>
      <c r="B1818" t="s">
        <v>13326</v>
      </c>
      <c r="C1818" t="s">
        <v>13327</v>
      </c>
      <c r="D1818" t="s">
        <v>35</v>
      </c>
      <c r="E1818" t="s">
        <v>36</v>
      </c>
      <c r="F1818" t="s">
        <v>7834</v>
      </c>
      <c r="G1818" t="s">
        <v>8673</v>
      </c>
      <c r="H1818" t="s">
        <v>8675</v>
      </c>
      <c r="I1818" t="s">
        <v>8673</v>
      </c>
      <c r="J1818" t="s">
        <v>3487</v>
      </c>
      <c r="K1818" t="s">
        <v>3488</v>
      </c>
      <c r="L1818" t="s">
        <v>50</v>
      </c>
      <c r="M1818" s="2">
        <v>5882786.0700000003</v>
      </c>
      <c r="N1818" t="s">
        <v>13329</v>
      </c>
      <c r="O1818" t="s">
        <v>115</v>
      </c>
      <c r="P1818" t="str">
        <f>CONCATENATE("'",Tabla1[[#This Row],[Codigo]],"',")</f>
        <v>'02863',</v>
      </c>
    </row>
    <row r="1819" spans="1:16" x14ac:dyDescent="0.25">
      <c r="A1819" t="s">
        <v>13330</v>
      </c>
      <c r="B1819" t="s">
        <v>13331</v>
      </c>
      <c r="C1819" t="s">
        <v>13332</v>
      </c>
      <c r="D1819" t="s">
        <v>847</v>
      </c>
      <c r="E1819" t="s">
        <v>848</v>
      </c>
      <c r="F1819" t="s">
        <v>13333</v>
      </c>
      <c r="G1819" t="s">
        <v>12422</v>
      </c>
      <c r="H1819" t="s">
        <v>12421</v>
      </c>
      <c r="I1819" t="s">
        <v>12422</v>
      </c>
      <c r="J1819" t="s">
        <v>941</v>
      </c>
      <c r="K1819" t="s">
        <v>139</v>
      </c>
      <c r="L1819" t="s">
        <v>50</v>
      </c>
      <c r="M1819" s="2">
        <v>115447.59</v>
      </c>
      <c r="N1819" t="s">
        <v>13336</v>
      </c>
      <c r="O1819" t="s">
        <v>52</v>
      </c>
      <c r="P1819" t="str">
        <f>CONCATENATE("'",Tabla1[[#This Row],[Codigo]],"',")</f>
        <v>'02864',</v>
      </c>
    </row>
    <row r="1820" spans="1:16" x14ac:dyDescent="0.25">
      <c r="A1820" t="s">
        <v>13337</v>
      </c>
      <c r="B1820" t="s">
        <v>13338</v>
      </c>
      <c r="C1820" t="s">
        <v>13338</v>
      </c>
      <c r="D1820" t="s">
        <v>819</v>
      </c>
      <c r="E1820" t="s">
        <v>224</v>
      </c>
      <c r="F1820" t="s">
        <v>13339</v>
      </c>
      <c r="G1820" t="s">
        <v>139</v>
      </c>
      <c r="H1820" t="s">
        <v>8853</v>
      </c>
      <c r="I1820" t="s">
        <v>139</v>
      </c>
      <c r="J1820" t="s">
        <v>941</v>
      </c>
      <c r="K1820" t="s">
        <v>139</v>
      </c>
      <c r="L1820" t="s">
        <v>50</v>
      </c>
      <c r="M1820" s="2">
        <v>218170</v>
      </c>
      <c r="N1820" t="s">
        <v>64</v>
      </c>
      <c r="P1820" t="str">
        <f>CONCATENATE("'",Tabla1[[#This Row],[Codigo]],"',")</f>
        <v>'02865',</v>
      </c>
    </row>
    <row r="1821" spans="1:16" x14ac:dyDescent="0.25">
      <c r="A1821" t="s">
        <v>13341</v>
      </c>
      <c r="B1821" t="s">
        <v>13342</v>
      </c>
      <c r="C1821" t="s">
        <v>13342</v>
      </c>
      <c r="D1821" t="s">
        <v>125</v>
      </c>
      <c r="E1821" t="s">
        <v>126</v>
      </c>
      <c r="F1821" t="s">
        <v>13343</v>
      </c>
      <c r="G1821" t="s">
        <v>139</v>
      </c>
      <c r="H1821" t="s">
        <v>8853</v>
      </c>
      <c r="I1821" t="s">
        <v>139</v>
      </c>
      <c r="J1821" t="s">
        <v>941</v>
      </c>
      <c r="K1821" t="s">
        <v>139</v>
      </c>
      <c r="L1821" t="s">
        <v>50</v>
      </c>
      <c r="M1821" s="2">
        <v>78427.19</v>
      </c>
      <c r="N1821" t="s">
        <v>13346</v>
      </c>
      <c r="O1821" t="s">
        <v>52</v>
      </c>
      <c r="P1821" t="str">
        <f>CONCATENATE("'",Tabla1[[#This Row],[Codigo]],"',")</f>
        <v>'02866',</v>
      </c>
    </row>
    <row r="1822" spans="1:16" x14ac:dyDescent="0.25">
      <c r="A1822" t="s">
        <v>13347</v>
      </c>
      <c r="B1822" t="s">
        <v>13348</v>
      </c>
      <c r="C1822" t="s">
        <v>13349</v>
      </c>
      <c r="D1822" t="s">
        <v>35</v>
      </c>
      <c r="E1822" t="s">
        <v>36</v>
      </c>
      <c r="F1822" t="s">
        <v>13256</v>
      </c>
      <c r="G1822" t="s">
        <v>1335</v>
      </c>
      <c r="H1822" t="s">
        <v>254</v>
      </c>
      <c r="I1822" t="s">
        <v>255</v>
      </c>
      <c r="J1822" t="s">
        <v>256</v>
      </c>
      <c r="K1822" t="s">
        <v>255</v>
      </c>
      <c r="L1822" t="s">
        <v>50</v>
      </c>
      <c r="M1822" s="2">
        <v>-94077.89</v>
      </c>
      <c r="N1822" t="s">
        <v>13352</v>
      </c>
      <c r="O1822" t="s">
        <v>115</v>
      </c>
      <c r="P1822" t="str">
        <f>CONCATENATE("'",Tabla1[[#This Row],[Codigo]],"',")</f>
        <v>'02867',</v>
      </c>
    </row>
    <row r="1823" spans="1:16" x14ac:dyDescent="0.25">
      <c r="A1823" t="s">
        <v>13353</v>
      </c>
      <c r="B1823" t="s">
        <v>13354</v>
      </c>
      <c r="C1823" t="s">
        <v>13354</v>
      </c>
      <c r="D1823" t="s">
        <v>125</v>
      </c>
      <c r="E1823" t="s">
        <v>126</v>
      </c>
      <c r="F1823" t="s">
        <v>13355</v>
      </c>
      <c r="G1823" t="s">
        <v>10672</v>
      </c>
      <c r="H1823" t="s">
        <v>8208</v>
      </c>
      <c r="I1823" t="s">
        <v>8209</v>
      </c>
      <c r="J1823" t="s">
        <v>2320</v>
      </c>
      <c r="K1823" t="s">
        <v>2321</v>
      </c>
      <c r="L1823" t="s">
        <v>50</v>
      </c>
      <c r="M1823" s="2">
        <v>160080.87</v>
      </c>
      <c r="N1823" t="s">
        <v>13358</v>
      </c>
      <c r="O1823" t="s">
        <v>115</v>
      </c>
      <c r="P1823" t="str">
        <f>CONCATENATE("'",Tabla1[[#This Row],[Codigo]],"',")</f>
        <v>'02868',</v>
      </c>
    </row>
    <row r="1824" spans="1:16" x14ac:dyDescent="0.25">
      <c r="A1824" t="s">
        <v>13359</v>
      </c>
      <c r="B1824" t="s">
        <v>13360</v>
      </c>
      <c r="C1824" t="s">
        <v>5351</v>
      </c>
      <c r="D1824" t="s">
        <v>1467</v>
      </c>
      <c r="E1824" t="s">
        <v>224</v>
      </c>
      <c r="F1824" t="s">
        <v>5352</v>
      </c>
      <c r="G1824" t="s">
        <v>11671</v>
      </c>
      <c r="H1824" t="s">
        <v>89</v>
      </c>
      <c r="I1824" t="s">
        <v>90</v>
      </c>
      <c r="J1824" t="s">
        <v>91</v>
      </c>
      <c r="K1824" t="s">
        <v>92</v>
      </c>
      <c r="L1824" t="s">
        <v>50</v>
      </c>
      <c r="M1824" s="2">
        <v>218170</v>
      </c>
      <c r="N1824" t="s">
        <v>64</v>
      </c>
      <c r="P1824" t="str">
        <f>CONCATENATE("'",Tabla1[[#This Row],[Codigo]],"',")</f>
        <v>'02869',</v>
      </c>
    </row>
    <row r="1825" spans="1:16" x14ac:dyDescent="0.25">
      <c r="A1825" t="s">
        <v>13362</v>
      </c>
      <c r="B1825" t="s">
        <v>13363</v>
      </c>
      <c r="C1825" t="s">
        <v>13363</v>
      </c>
      <c r="D1825" t="s">
        <v>619</v>
      </c>
      <c r="E1825" t="s">
        <v>77</v>
      </c>
      <c r="F1825" t="s">
        <v>13364</v>
      </c>
      <c r="G1825" t="s">
        <v>13365</v>
      </c>
      <c r="H1825" t="s">
        <v>13366</v>
      </c>
      <c r="I1825" t="s">
        <v>13365</v>
      </c>
      <c r="J1825" t="s">
        <v>91</v>
      </c>
      <c r="K1825" t="s">
        <v>92</v>
      </c>
      <c r="L1825" t="s">
        <v>50</v>
      </c>
      <c r="M1825" s="2">
        <v>65451</v>
      </c>
      <c r="N1825" t="s">
        <v>64</v>
      </c>
      <c r="P1825" t="str">
        <f>CONCATENATE("'",Tabla1[[#This Row],[Codigo]],"',")</f>
        <v>'02870',</v>
      </c>
    </row>
    <row r="1826" spans="1:16" x14ac:dyDescent="0.25">
      <c r="A1826" t="s">
        <v>13368</v>
      </c>
      <c r="B1826" t="s">
        <v>13369</v>
      </c>
      <c r="C1826" t="s">
        <v>13369</v>
      </c>
      <c r="D1826" t="s">
        <v>819</v>
      </c>
      <c r="E1826" t="s">
        <v>224</v>
      </c>
      <c r="F1826" t="s">
        <v>13370</v>
      </c>
      <c r="G1826" t="s">
        <v>1222</v>
      </c>
      <c r="H1826" t="s">
        <v>1221</v>
      </c>
      <c r="I1826" t="s">
        <v>1222</v>
      </c>
      <c r="J1826" t="s">
        <v>205</v>
      </c>
      <c r="K1826" t="s">
        <v>206</v>
      </c>
      <c r="L1826" t="s">
        <v>50</v>
      </c>
      <c r="M1826" s="2">
        <v>109085</v>
      </c>
      <c r="N1826" t="s">
        <v>64</v>
      </c>
      <c r="P1826" t="str">
        <f>CONCATENATE("'",Tabla1[[#This Row],[Codigo]],"',")</f>
        <v>'02871',</v>
      </c>
    </row>
    <row r="1827" spans="1:16" x14ac:dyDescent="0.25">
      <c r="A1827" t="s">
        <v>13373</v>
      </c>
      <c r="B1827" t="s">
        <v>13374</v>
      </c>
      <c r="C1827" t="s">
        <v>5351</v>
      </c>
      <c r="D1827" t="s">
        <v>1467</v>
      </c>
      <c r="E1827" t="s">
        <v>224</v>
      </c>
      <c r="F1827" t="s">
        <v>5352</v>
      </c>
      <c r="G1827" t="s">
        <v>11671</v>
      </c>
      <c r="H1827" t="s">
        <v>89</v>
      </c>
      <c r="I1827" t="s">
        <v>90</v>
      </c>
      <c r="J1827" t="s">
        <v>91</v>
      </c>
      <c r="K1827" t="s">
        <v>92</v>
      </c>
      <c r="L1827" t="s">
        <v>50</v>
      </c>
      <c r="M1827" s="2">
        <v>218170</v>
      </c>
      <c r="N1827" t="s">
        <v>64</v>
      </c>
      <c r="P1827" t="str">
        <f>CONCATENATE("'",Tabla1[[#This Row],[Codigo]],"',")</f>
        <v>'02872',</v>
      </c>
    </row>
    <row r="1828" spans="1:16" x14ac:dyDescent="0.25">
      <c r="A1828" t="s">
        <v>13376</v>
      </c>
      <c r="B1828" t="s">
        <v>13377</v>
      </c>
      <c r="C1828" t="s">
        <v>13377</v>
      </c>
      <c r="D1828" t="s">
        <v>153</v>
      </c>
      <c r="E1828" t="s">
        <v>272</v>
      </c>
      <c r="F1828" t="s">
        <v>13256</v>
      </c>
      <c r="G1828" t="s">
        <v>1335</v>
      </c>
      <c r="H1828" t="s">
        <v>254</v>
      </c>
      <c r="I1828" t="s">
        <v>255</v>
      </c>
      <c r="J1828" t="s">
        <v>256</v>
      </c>
      <c r="K1828" t="s">
        <v>255</v>
      </c>
      <c r="L1828" t="s">
        <v>50</v>
      </c>
      <c r="M1828" s="2">
        <v>116377.99</v>
      </c>
      <c r="N1828" t="s">
        <v>13379</v>
      </c>
      <c r="O1828" t="s">
        <v>115</v>
      </c>
      <c r="P1828" t="str">
        <f>CONCATENATE("'",Tabla1[[#This Row],[Codigo]],"',")</f>
        <v>'02873',</v>
      </c>
    </row>
    <row r="1829" spans="1:16" x14ac:dyDescent="0.25">
      <c r="A1829" t="s">
        <v>13380</v>
      </c>
      <c r="B1829" t="s">
        <v>13381</v>
      </c>
      <c r="C1829" t="s">
        <v>13381</v>
      </c>
      <c r="D1829" t="s">
        <v>1865</v>
      </c>
      <c r="E1829" t="s">
        <v>224</v>
      </c>
      <c r="F1829" t="s">
        <v>13382</v>
      </c>
      <c r="G1829" t="s">
        <v>1335</v>
      </c>
      <c r="H1829" t="s">
        <v>254</v>
      </c>
      <c r="I1829" t="s">
        <v>255</v>
      </c>
      <c r="J1829" t="s">
        <v>3534</v>
      </c>
      <c r="K1829" t="s">
        <v>3535</v>
      </c>
      <c r="L1829" t="s">
        <v>50</v>
      </c>
      <c r="M1829" s="2">
        <v>218170</v>
      </c>
      <c r="N1829" t="s">
        <v>64</v>
      </c>
      <c r="P1829" t="str">
        <f>CONCATENATE("'",Tabla1[[#This Row],[Codigo]],"',")</f>
        <v>'02874',</v>
      </c>
    </row>
    <row r="1830" spans="1:16" x14ac:dyDescent="0.25">
      <c r="A1830" t="s">
        <v>13390</v>
      </c>
      <c r="B1830" t="s">
        <v>13391</v>
      </c>
      <c r="C1830" t="s">
        <v>13391</v>
      </c>
      <c r="D1830" t="s">
        <v>847</v>
      </c>
      <c r="E1830" t="s">
        <v>848</v>
      </c>
      <c r="F1830" t="s">
        <v>13392</v>
      </c>
      <c r="G1830" t="s">
        <v>8775</v>
      </c>
      <c r="H1830" t="s">
        <v>8777</v>
      </c>
      <c r="I1830" t="s">
        <v>8778</v>
      </c>
      <c r="J1830" t="s">
        <v>1421</v>
      </c>
      <c r="K1830" t="s">
        <v>1422</v>
      </c>
      <c r="L1830" t="s">
        <v>50</v>
      </c>
      <c r="M1830" s="2">
        <v>218170</v>
      </c>
      <c r="N1830" t="s">
        <v>64</v>
      </c>
      <c r="P1830" t="str">
        <f>CONCATENATE("'",Tabla1[[#This Row],[Codigo]],"',")</f>
        <v>'02876',</v>
      </c>
    </row>
    <row r="1831" spans="1:16" x14ac:dyDescent="0.25">
      <c r="A1831" t="s">
        <v>13395</v>
      </c>
      <c r="B1831" t="s">
        <v>13396</v>
      </c>
      <c r="C1831" t="s">
        <v>13396</v>
      </c>
      <c r="D1831" t="s">
        <v>125</v>
      </c>
      <c r="E1831" t="s">
        <v>126</v>
      </c>
      <c r="F1831" t="s">
        <v>13397</v>
      </c>
      <c r="G1831" t="s">
        <v>6419</v>
      </c>
      <c r="H1831" t="s">
        <v>6029</v>
      </c>
      <c r="I1831" t="s">
        <v>6030</v>
      </c>
      <c r="J1831" t="s">
        <v>82</v>
      </c>
      <c r="K1831" t="s">
        <v>83</v>
      </c>
      <c r="L1831" t="s">
        <v>50</v>
      </c>
      <c r="M1831" s="2">
        <v>69409.02</v>
      </c>
      <c r="N1831" t="s">
        <v>13400</v>
      </c>
      <c r="O1831" t="s">
        <v>52</v>
      </c>
      <c r="P1831" t="str">
        <f>CONCATENATE("'",Tabla1[[#This Row],[Codigo]],"',")</f>
        <v>'02877',</v>
      </c>
    </row>
    <row r="1832" spans="1:16" x14ac:dyDescent="0.25">
      <c r="A1832" t="s">
        <v>13401</v>
      </c>
      <c r="B1832" t="s">
        <v>3897</v>
      </c>
      <c r="C1832" t="s">
        <v>3897</v>
      </c>
      <c r="D1832" t="s">
        <v>555</v>
      </c>
      <c r="E1832" t="s">
        <v>1502</v>
      </c>
      <c r="F1832" t="s">
        <v>13402</v>
      </c>
      <c r="G1832" t="s">
        <v>6288</v>
      </c>
      <c r="H1832" t="s">
        <v>2767</v>
      </c>
      <c r="I1832" t="s">
        <v>2768</v>
      </c>
      <c r="J1832" t="s">
        <v>82</v>
      </c>
      <c r="K1832" t="s">
        <v>83</v>
      </c>
      <c r="L1832" t="s">
        <v>50</v>
      </c>
      <c r="M1832" s="2">
        <v>193359.53</v>
      </c>
      <c r="N1832" t="s">
        <v>13405</v>
      </c>
      <c r="P1832" t="str">
        <f>CONCATENATE("'",Tabla1[[#This Row],[Codigo]],"',")</f>
        <v>'02878',</v>
      </c>
    </row>
    <row r="1833" spans="1:16" x14ac:dyDescent="0.25">
      <c r="A1833" t="s">
        <v>13406</v>
      </c>
      <c r="B1833" t="s">
        <v>13407</v>
      </c>
      <c r="C1833" t="s">
        <v>13407</v>
      </c>
      <c r="D1833" t="s">
        <v>299</v>
      </c>
      <c r="E1833" t="s">
        <v>167</v>
      </c>
      <c r="F1833" t="s">
        <v>13408</v>
      </c>
      <c r="G1833" t="s">
        <v>9937</v>
      </c>
      <c r="H1833" t="s">
        <v>1362</v>
      </c>
      <c r="I1833" t="s">
        <v>1360</v>
      </c>
      <c r="J1833" t="s">
        <v>1212</v>
      </c>
      <c r="K1833" t="s">
        <v>1213</v>
      </c>
      <c r="L1833" t="s">
        <v>50</v>
      </c>
      <c r="M1833" s="2">
        <v>197268.52</v>
      </c>
      <c r="N1833" t="s">
        <v>13411</v>
      </c>
      <c r="O1833" t="s">
        <v>52</v>
      </c>
      <c r="P1833" t="str">
        <f>CONCATENATE("'",Tabla1[[#This Row],[Codigo]],"',")</f>
        <v>'02879',</v>
      </c>
    </row>
    <row r="1834" spans="1:16" x14ac:dyDescent="0.25">
      <c r="A1834" t="s">
        <v>13416</v>
      </c>
      <c r="B1834" t="s">
        <v>13417</v>
      </c>
      <c r="C1834" t="s">
        <v>13417</v>
      </c>
      <c r="D1834" t="s">
        <v>297</v>
      </c>
      <c r="E1834" t="s">
        <v>167</v>
      </c>
      <c r="F1834" t="s">
        <v>13418</v>
      </c>
      <c r="G1834" t="s">
        <v>922</v>
      </c>
      <c r="H1834" t="s">
        <v>822</v>
      </c>
      <c r="I1834" t="s">
        <v>820</v>
      </c>
      <c r="J1834" t="s">
        <v>91</v>
      </c>
      <c r="K1834" t="s">
        <v>92</v>
      </c>
      <c r="L1834" t="s">
        <v>50</v>
      </c>
      <c r="M1834" s="2">
        <v>65451</v>
      </c>
      <c r="N1834" t="s">
        <v>64</v>
      </c>
      <c r="P1834" t="str">
        <f>CONCATENATE("'",Tabla1[[#This Row],[Codigo]],"',")</f>
        <v>'02881',</v>
      </c>
    </row>
    <row r="1835" spans="1:16" x14ac:dyDescent="0.25">
      <c r="A1835" t="s">
        <v>13421</v>
      </c>
      <c r="B1835" t="s">
        <v>13422</v>
      </c>
      <c r="C1835" t="s">
        <v>13422</v>
      </c>
      <c r="D1835" t="s">
        <v>847</v>
      </c>
      <c r="E1835" t="s">
        <v>848</v>
      </c>
      <c r="F1835" t="s">
        <v>13423</v>
      </c>
      <c r="G1835" t="s">
        <v>6419</v>
      </c>
      <c r="H1835" t="s">
        <v>6029</v>
      </c>
      <c r="I1835" t="s">
        <v>6030</v>
      </c>
      <c r="J1835" t="s">
        <v>82</v>
      </c>
      <c r="K1835" t="s">
        <v>83</v>
      </c>
      <c r="L1835" t="s">
        <v>50</v>
      </c>
      <c r="M1835" s="2">
        <v>270590.40999999997</v>
      </c>
      <c r="N1835" t="s">
        <v>13425</v>
      </c>
      <c r="O1835" t="s">
        <v>52</v>
      </c>
      <c r="P1835" t="str">
        <f>CONCATENATE("'",Tabla1[[#This Row],[Codigo]],"',")</f>
        <v>'02882',</v>
      </c>
    </row>
    <row r="1836" spans="1:16" x14ac:dyDescent="0.25">
      <c r="A1836" t="s">
        <v>13426</v>
      </c>
      <c r="B1836" t="s">
        <v>13427</v>
      </c>
      <c r="C1836" t="s">
        <v>13427</v>
      </c>
      <c r="D1836" t="s">
        <v>1410</v>
      </c>
      <c r="E1836" t="s">
        <v>871</v>
      </c>
      <c r="F1836" t="s">
        <v>13428</v>
      </c>
      <c r="G1836" t="s">
        <v>10395</v>
      </c>
      <c r="H1836" t="s">
        <v>6940</v>
      </c>
      <c r="I1836" t="s">
        <v>6939</v>
      </c>
      <c r="J1836" t="s">
        <v>3487</v>
      </c>
      <c r="K1836" t="s">
        <v>3488</v>
      </c>
      <c r="L1836" t="s">
        <v>50</v>
      </c>
      <c r="M1836" s="2">
        <v>130902</v>
      </c>
      <c r="N1836" t="s">
        <v>64</v>
      </c>
      <c r="P1836" t="str">
        <f>CONCATENATE("'",Tabla1[[#This Row],[Codigo]],"',")</f>
        <v>'02883',</v>
      </c>
    </row>
    <row r="1837" spans="1:16" x14ac:dyDescent="0.25">
      <c r="A1837" t="s">
        <v>13431</v>
      </c>
      <c r="B1837" t="s">
        <v>13432</v>
      </c>
      <c r="C1837" t="s">
        <v>13432</v>
      </c>
      <c r="D1837" t="s">
        <v>153</v>
      </c>
      <c r="E1837" t="s">
        <v>272</v>
      </c>
      <c r="F1837" t="s">
        <v>13433</v>
      </c>
      <c r="G1837" t="s">
        <v>79</v>
      </c>
      <c r="H1837" t="s">
        <v>8100</v>
      </c>
      <c r="I1837" t="s">
        <v>8101</v>
      </c>
      <c r="J1837" t="s">
        <v>4853</v>
      </c>
      <c r="K1837" t="s">
        <v>4854</v>
      </c>
      <c r="L1837" t="s">
        <v>50</v>
      </c>
      <c r="M1837" s="2">
        <v>339656.35</v>
      </c>
      <c r="N1837" t="s">
        <v>13436</v>
      </c>
      <c r="O1837" t="s">
        <v>52</v>
      </c>
      <c r="P1837" t="str">
        <f>CONCATENATE("'",Tabla1[[#This Row],[Codigo]],"',")</f>
        <v>'02884',</v>
      </c>
    </row>
    <row r="1838" spans="1:16" x14ac:dyDescent="0.25">
      <c r="A1838" t="s">
        <v>13437</v>
      </c>
      <c r="B1838" t="s">
        <v>13438</v>
      </c>
      <c r="C1838" t="s">
        <v>13438</v>
      </c>
      <c r="D1838" t="s">
        <v>125</v>
      </c>
      <c r="E1838" t="s">
        <v>126</v>
      </c>
      <c r="F1838" t="s">
        <v>13439</v>
      </c>
      <c r="G1838" t="s">
        <v>5261</v>
      </c>
      <c r="H1838" t="s">
        <v>5263</v>
      </c>
      <c r="I1838" t="s">
        <v>5264</v>
      </c>
      <c r="J1838" t="s">
        <v>941</v>
      </c>
      <c r="K1838" t="s">
        <v>139</v>
      </c>
      <c r="L1838" t="s">
        <v>50</v>
      </c>
      <c r="M1838" s="2">
        <v>47707.95</v>
      </c>
      <c r="N1838" t="s">
        <v>13442</v>
      </c>
      <c r="O1838" t="s">
        <v>52</v>
      </c>
      <c r="P1838" t="str">
        <f>CONCATENATE("'",Tabla1[[#This Row],[Codigo]],"',")</f>
        <v>'02885',</v>
      </c>
    </row>
    <row r="1839" spans="1:16" x14ac:dyDescent="0.25">
      <c r="A1839" t="s">
        <v>13448</v>
      </c>
      <c r="B1839" t="s">
        <v>13449</v>
      </c>
      <c r="C1839" t="s">
        <v>13449</v>
      </c>
      <c r="D1839" t="s">
        <v>792</v>
      </c>
      <c r="E1839" t="s">
        <v>190</v>
      </c>
      <c r="F1839" t="s">
        <v>13450</v>
      </c>
      <c r="G1839" t="s">
        <v>10141</v>
      </c>
      <c r="H1839" t="s">
        <v>7936</v>
      </c>
      <c r="I1839" t="s">
        <v>7935</v>
      </c>
      <c r="J1839" t="s">
        <v>10093</v>
      </c>
      <c r="K1839" t="s">
        <v>10094</v>
      </c>
      <c r="L1839" t="s">
        <v>50</v>
      </c>
      <c r="M1839" s="2">
        <v>195667.56</v>
      </c>
      <c r="N1839" t="s">
        <v>13453</v>
      </c>
      <c r="O1839" t="s">
        <v>52</v>
      </c>
      <c r="P1839" t="str">
        <f>CONCATENATE("'",Tabla1[[#This Row],[Codigo]],"',")</f>
        <v>'02887',</v>
      </c>
    </row>
    <row r="1840" spans="1:16" x14ac:dyDescent="0.25">
      <c r="A1840" t="s">
        <v>13454</v>
      </c>
      <c r="B1840" t="s">
        <v>13455</v>
      </c>
      <c r="C1840" t="s">
        <v>13455</v>
      </c>
      <c r="D1840" t="s">
        <v>153</v>
      </c>
      <c r="E1840" t="s">
        <v>272</v>
      </c>
      <c r="F1840" t="s">
        <v>13456</v>
      </c>
      <c r="G1840" t="s">
        <v>10695</v>
      </c>
      <c r="H1840" t="s">
        <v>80</v>
      </c>
      <c r="I1840" t="s">
        <v>81</v>
      </c>
      <c r="J1840" t="s">
        <v>557</v>
      </c>
      <c r="K1840" t="s">
        <v>558</v>
      </c>
      <c r="L1840" t="s">
        <v>50</v>
      </c>
      <c r="M1840" s="2">
        <v>187703.62</v>
      </c>
      <c r="N1840" t="s">
        <v>13458</v>
      </c>
      <c r="O1840" t="s">
        <v>115</v>
      </c>
      <c r="P1840" t="str">
        <f>CONCATENATE("'",Tabla1[[#This Row],[Codigo]],"',")</f>
        <v>'02888',</v>
      </c>
    </row>
    <row r="1841" spans="1:16" x14ac:dyDescent="0.25">
      <c r="A1841" t="s">
        <v>13459</v>
      </c>
      <c r="B1841" t="s">
        <v>13460</v>
      </c>
      <c r="C1841" t="s">
        <v>13461</v>
      </c>
      <c r="D1841" t="s">
        <v>847</v>
      </c>
      <c r="E1841" t="s">
        <v>848</v>
      </c>
      <c r="F1841" t="s">
        <v>8203</v>
      </c>
      <c r="G1841" t="s">
        <v>1335</v>
      </c>
      <c r="H1841" t="s">
        <v>254</v>
      </c>
      <c r="I1841" t="s">
        <v>255</v>
      </c>
      <c r="J1841" t="s">
        <v>256</v>
      </c>
      <c r="K1841" t="s">
        <v>255</v>
      </c>
      <c r="L1841" t="s">
        <v>50</v>
      </c>
      <c r="M1841" s="2">
        <v>37030.120000000003</v>
      </c>
      <c r="N1841" t="s">
        <v>13464</v>
      </c>
      <c r="P1841" t="str">
        <f>CONCATENATE("'",Tabla1[[#This Row],[Codigo]],"',")</f>
        <v>'02889',</v>
      </c>
    </row>
    <row r="1842" spans="1:16" x14ac:dyDescent="0.25">
      <c r="A1842" t="s">
        <v>13465</v>
      </c>
      <c r="B1842" t="s">
        <v>13466</v>
      </c>
      <c r="C1842" t="s">
        <v>13466</v>
      </c>
      <c r="D1842" t="s">
        <v>297</v>
      </c>
      <c r="E1842" t="s">
        <v>167</v>
      </c>
      <c r="F1842" t="s">
        <v>13467</v>
      </c>
      <c r="G1842" t="s">
        <v>1072</v>
      </c>
      <c r="H1842" t="s">
        <v>1074</v>
      </c>
      <c r="I1842" t="s">
        <v>1075</v>
      </c>
      <c r="J1842" t="s">
        <v>304</v>
      </c>
      <c r="K1842" t="s">
        <v>72</v>
      </c>
      <c r="L1842" t="s">
        <v>50</v>
      </c>
      <c r="M1842" s="2">
        <v>405695.16</v>
      </c>
      <c r="N1842" t="s">
        <v>13469</v>
      </c>
      <c r="P1842" t="str">
        <f>CONCATENATE("'",Tabla1[[#This Row],[Codigo]],"',")</f>
        <v>'02890',</v>
      </c>
    </row>
    <row r="1843" spans="1:16" x14ac:dyDescent="0.25">
      <c r="A1843" t="s">
        <v>13470</v>
      </c>
      <c r="B1843" t="s">
        <v>13471</v>
      </c>
      <c r="C1843" t="s">
        <v>13471</v>
      </c>
      <c r="D1843" t="s">
        <v>125</v>
      </c>
      <c r="E1843" t="s">
        <v>126</v>
      </c>
      <c r="F1843" t="s">
        <v>13472</v>
      </c>
      <c r="G1843" t="s">
        <v>10141</v>
      </c>
      <c r="H1843" t="s">
        <v>7936</v>
      </c>
      <c r="I1843" t="s">
        <v>7935</v>
      </c>
      <c r="J1843" t="s">
        <v>10093</v>
      </c>
      <c r="K1843" t="s">
        <v>10094</v>
      </c>
      <c r="L1843" t="s">
        <v>50</v>
      </c>
      <c r="M1843" s="2">
        <v>519757.03</v>
      </c>
      <c r="N1843" t="s">
        <v>13476</v>
      </c>
      <c r="O1843" t="s">
        <v>52</v>
      </c>
      <c r="P1843" t="str">
        <f>CONCATENATE("'",Tabla1[[#This Row],[Codigo]],"',")</f>
        <v>'02891',</v>
      </c>
    </row>
    <row r="1844" spans="1:16" x14ac:dyDescent="0.25">
      <c r="A1844" t="s">
        <v>13477</v>
      </c>
      <c r="B1844" t="s">
        <v>13478</v>
      </c>
      <c r="C1844" t="s">
        <v>13478</v>
      </c>
      <c r="D1844" t="s">
        <v>153</v>
      </c>
      <c r="E1844" t="s">
        <v>272</v>
      </c>
      <c r="F1844" t="s">
        <v>13479</v>
      </c>
      <c r="G1844" t="s">
        <v>10141</v>
      </c>
      <c r="H1844" t="s">
        <v>7936</v>
      </c>
      <c r="I1844" t="s">
        <v>7935</v>
      </c>
      <c r="J1844" t="s">
        <v>10093</v>
      </c>
      <c r="K1844" t="s">
        <v>10094</v>
      </c>
      <c r="L1844" t="s">
        <v>50</v>
      </c>
      <c r="M1844" s="2">
        <v>740576.57</v>
      </c>
      <c r="N1844" t="s">
        <v>13482</v>
      </c>
      <c r="O1844" t="s">
        <v>52</v>
      </c>
      <c r="P1844" t="str">
        <f>CONCATENATE("'",Tabla1[[#This Row],[Codigo]],"',")</f>
        <v>'02892',</v>
      </c>
    </row>
    <row r="1845" spans="1:16" x14ac:dyDescent="0.25">
      <c r="A1845" t="s">
        <v>13483</v>
      </c>
      <c r="B1845" t="s">
        <v>13484</v>
      </c>
      <c r="C1845" t="s">
        <v>13485</v>
      </c>
      <c r="D1845" t="s">
        <v>297</v>
      </c>
      <c r="E1845" t="s">
        <v>167</v>
      </c>
      <c r="F1845" t="s">
        <v>13486</v>
      </c>
      <c r="G1845" t="s">
        <v>2508</v>
      </c>
      <c r="H1845" t="s">
        <v>700</v>
      </c>
      <c r="I1845" t="s">
        <v>699</v>
      </c>
      <c r="J1845" t="s">
        <v>69</v>
      </c>
      <c r="K1845" t="s">
        <v>70</v>
      </c>
      <c r="L1845" t="s">
        <v>50</v>
      </c>
      <c r="M1845" s="2">
        <v>218170</v>
      </c>
      <c r="N1845" t="s">
        <v>64</v>
      </c>
      <c r="P1845" t="str">
        <f>CONCATENATE("'",Tabla1[[#This Row],[Codigo]],"',")</f>
        <v>'02893',</v>
      </c>
    </row>
    <row r="1846" spans="1:16" x14ac:dyDescent="0.25">
      <c r="A1846" t="s">
        <v>13494</v>
      </c>
      <c r="B1846" t="s">
        <v>13495</v>
      </c>
      <c r="C1846" t="s">
        <v>13495</v>
      </c>
      <c r="D1846" t="s">
        <v>847</v>
      </c>
      <c r="E1846" t="s">
        <v>848</v>
      </c>
      <c r="F1846" t="s">
        <v>13496</v>
      </c>
      <c r="G1846" t="s">
        <v>8192</v>
      </c>
      <c r="H1846" t="s">
        <v>8191</v>
      </c>
      <c r="I1846" t="s">
        <v>8192</v>
      </c>
      <c r="J1846" t="s">
        <v>2320</v>
      </c>
      <c r="K1846" t="s">
        <v>2321</v>
      </c>
      <c r="L1846" t="s">
        <v>50</v>
      </c>
      <c r="M1846" s="2">
        <v>1917403.54</v>
      </c>
      <c r="N1846" t="s">
        <v>13498</v>
      </c>
      <c r="O1846" t="s">
        <v>115</v>
      </c>
      <c r="P1846" t="str">
        <f>CONCATENATE("'",Tabla1[[#This Row],[Codigo]],"',")</f>
        <v>'02895',</v>
      </c>
    </row>
    <row r="1847" spans="1:16" x14ac:dyDescent="0.25">
      <c r="A1847" t="s">
        <v>13499</v>
      </c>
      <c r="B1847" t="s">
        <v>13500</v>
      </c>
      <c r="C1847" t="s">
        <v>13085</v>
      </c>
      <c r="D1847" t="s">
        <v>153</v>
      </c>
      <c r="E1847" t="s">
        <v>272</v>
      </c>
      <c r="F1847" t="s">
        <v>2744</v>
      </c>
      <c r="G1847" t="s">
        <v>2981</v>
      </c>
      <c r="H1847" t="s">
        <v>1064</v>
      </c>
      <c r="I1847" t="s">
        <v>1062</v>
      </c>
      <c r="J1847" t="s">
        <v>103</v>
      </c>
      <c r="K1847" t="s">
        <v>104</v>
      </c>
      <c r="L1847" t="s">
        <v>50</v>
      </c>
      <c r="M1847" s="2">
        <v>224796.7</v>
      </c>
      <c r="N1847" t="s">
        <v>13502</v>
      </c>
      <c r="O1847" t="s">
        <v>52</v>
      </c>
      <c r="P1847" t="str">
        <f>CONCATENATE("'",Tabla1[[#This Row],[Codigo]],"',")</f>
        <v>'02896',</v>
      </c>
    </row>
    <row r="1848" spans="1:16" x14ac:dyDescent="0.25">
      <c r="A1848" t="s">
        <v>13503</v>
      </c>
      <c r="B1848" t="s">
        <v>13504</v>
      </c>
      <c r="C1848" t="s">
        <v>13504</v>
      </c>
      <c r="D1848" t="s">
        <v>125</v>
      </c>
      <c r="E1848" t="s">
        <v>126</v>
      </c>
      <c r="F1848" t="s">
        <v>13505</v>
      </c>
      <c r="G1848" t="s">
        <v>9937</v>
      </c>
      <c r="H1848" t="s">
        <v>1362</v>
      </c>
      <c r="I1848" t="s">
        <v>1360</v>
      </c>
      <c r="J1848" t="s">
        <v>1212</v>
      </c>
      <c r="K1848" t="s">
        <v>1213</v>
      </c>
      <c r="L1848" t="s">
        <v>50</v>
      </c>
      <c r="M1848" s="2">
        <v>87872.72</v>
      </c>
      <c r="N1848" t="s">
        <v>13508</v>
      </c>
      <c r="O1848" t="s">
        <v>52</v>
      </c>
      <c r="P1848" t="str">
        <f>CONCATENATE("'",Tabla1[[#This Row],[Codigo]],"',")</f>
        <v>'02897',</v>
      </c>
    </row>
    <row r="1849" spans="1:16" x14ac:dyDescent="0.25">
      <c r="A1849" t="s">
        <v>13509</v>
      </c>
      <c r="B1849" t="s">
        <v>13510</v>
      </c>
      <c r="C1849" t="s">
        <v>13510</v>
      </c>
      <c r="D1849" t="s">
        <v>13511</v>
      </c>
      <c r="E1849" t="s">
        <v>134</v>
      </c>
      <c r="F1849" t="s">
        <v>13512</v>
      </c>
      <c r="G1849" t="s">
        <v>5003</v>
      </c>
      <c r="H1849" t="s">
        <v>5005</v>
      </c>
      <c r="I1849" t="s">
        <v>5006</v>
      </c>
      <c r="J1849" t="s">
        <v>8938</v>
      </c>
      <c r="K1849" t="s">
        <v>8939</v>
      </c>
      <c r="L1849" t="s">
        <v>50</v>
      </c>
      <c r="M1849" s="2">
        <v>218170</v>
      </c>
      <c r="N1849" t="s">
        <v>64</v>
      </c>
      <c r="P1849" t="str">
        <f>CONCATENATE("'",Tabla1[[#This Row],[Codigo]],"',")</f>
        <v>'02898',</v>
      </c>
    </row>
    <row r="1850" spans="1:16" x14ac:dyDescent="0.25">
      <c r="A1850" t="s">
        <v>13520</v>
      </c>
      <c r="B1850" t="s">
        <v>13521</v>
      </c>
      <c r="C1850" t="s">
        <v>13521</v>
      </c>
      <c r="D1850" t="s">
        <v>569</v>
      </c>
      <c r="E1850" t="s">
        <v>570</v>
      </c>
      <c r="F1850" t="s">
        <v>13522</v>
      </c>
      <c r="G1850" t="s">
        <v>13523</v>
      </c>
      <c r="H1850" t="s">
        <v>13525</v>
      </c>
      <c r="I1850" t="s">
        <v>13526</v>
      </c>
      <c r="J1850" t="s">
        <v>6341</v>
      </c>
      <c r="K1850" t="s">
        <v>6342</v>
      </c>
      <c r="L1850" t="s">
        <v>50</v>
      </c>
      <c r="M1850" s="2">
        <v>245670</v>
      </c>
      <c r="N1850" t="s">
        <v>64</v>
      </c>
      <c r="P1850" t="str">
        <f>CONCATENATE("'",Tabla1[[#This Row],[Codigo]],"',")</f>
        <v>'02900',</v>
      </c>
    </row>
    <row r="1851" spans="1:16" x14ac:dyDescent="0.25">
      <c r="A1851" t="s">
        <v>13528</v>
      </c>
      <c r="B1851" t="s">
        <v>13529</v>
      </c>
      <c r="C1851" t="s">
        <v>13529</v>
      </c>
      <c r="D1851" t="s">
        <v>125</v>
      </c>
      <c r="E1851" t="s">
        <v>126</v>
      </c>
      <c r="F1851" t="s">
        <v>13530</v>
      </c>
      <c r="G1851" t="s">
        <v>10141</v>
      </c>
      <c r="H1851" t="s">
        <v>7936</v>
      </c>
      <c r="I1851" t="s">
        <v>7935</v>
      </c>
      <c r="J1851" t="s">
        <v>10093</v>
      </c>
      <c r="K1851" t="s">
        <v>10094</v>
      </c>
      <c r="L1851" t="s">
        <v>50</v>
      </c>
      <c r="M1851" s="2">
        <v>873459.21</v>
      </c>
      <c r="N1851" t="s">
        <v>13533</v>
      </c>
      <c r="O1851" t="s">
        <v>52</v>
      </c>
      <c r="P1851" t="str">
        <f>CONCATENATE("'",Tabla1[[#This Row],[Codigo]],"',")</f>
        <v>'02901',</v>
      </c>
    </row>
    <row r="1852" spans="1:16" x14ac:dyDescent="0.25">
      <c r="A1852" t="s">
        <v>13534</v>
      </c>
      <c r="B1852" t="s">
        <v>13535</v>
      </c>
      <c r="C1852" t="s">
        <v>13529</v>
      </c>
      <c r="D1852" t="s">
        <v>125</v>
      </c>
      <c r="E1852" t="s">
        <v>126</v>
      </c>
      <c r="F1852" t="s">
        <v>13530</v>
      </c>
      <c r="G1852" t="s">
        <v>10141</v>
      </c>
      <c r="H1852" t="s">
        <v>7936</v>
      </c>
      <c r="I1852" t="s">
        <v>7935</v>
      </c>
      <c r="J1852" t="s">
        <v>10093</v>
      </c>
      <c r="K1852" t="s">
        <v>10094</v>
      </c>
      <c r="L1852" t="s">
        <v>50</v>
      </c>
      <c r="M1852" s="2">
        <v>826688.92</v>
      </c>
      <c r="N1852" t="s">
        <v>13537</v>
      </c>
      <c r="O1852" t="s">
        <v>52</v>
      </c>
      <c r="P1852" t="str">
        <f>CONCATENATE("'",Tabla1[[#This Row],[Codigo]],"',")</f>
        <v>'02902',</v>
      </c>
    </row>
    <row r="1853" spans="1:16" x14ac:dyDescent="0.25">
      <c r="A1853" t="s">
        <v>13538</v>
      </c>
      <c r="B1853" t="s">
        <v>13539</v>
      </c>
      <c r="C1853" t="s">
        <v>13539</v>
      </c>
      <c r="D1853" t="s">
        <v>847</v>
      </c>
      <c r="E1853" t="s">
        <v>848</v>
      </c>
      <c r="F1853" t="s">
        <v>13540</v>
      </c>
      <c r="G1853" t="s">
        <v>10571</v>
      </c>
      <c r="H1853" t="s">
        <v>10572</v>
      </c>
      <c r="I1853" t="s">
        <v>10571</v>
      </c>
      <c r="J1853" t="s">
        <v>557</v>
      </c>
      <c r="K1853" t="s">
        <v>558</v>
      </c>
      <c r="L1853" t="s">
        <v>50</v>
      </c>
      <c r="M1853" s="2">
        <v>248189.63</v>
      </c>
      <c r="N1853" t="s">
        <v>13543</v>
      </c>
      <c r="O1853" t="s">
        <v>52</v>
      </c>
      <c r="P1853" t="str">
        <f>CONCATENATE("'",Tabla1[[#This Row],[Codigo]],"',")</f>
        <v>'02903',</v>
      </c>
    </row>
    <row r="1854" spans="1:16" x14ac:dyDescent="0.25">
      <c r="A1854" t="s">
        <v>13551</v>
      </c>
      <c r="B1854" t="s">
        <v>13552</v>
      </c>
      <c r="C1854" t="s">
        <v>13553</v>
      </c>
      <c r="D1854" t="s">
        <v>2286</v>
      </c>
      <c r="E1854" t="s">
        <v>134</v>
      </c>
      <c r="F1854" t="s">
        <v>13554</v>
      </c>
      <c r="G1854" t="s">
        <v>41</v>
      </c>
      <c r="H1854" t="s">
        <v>40</v>
      </c>
      <c r="I1854" t="s">
        <v>41</v>
      </c>
      <c r="L1854" t="s">
        <v>50</v>
      </c>
      <c r="M1854" s="2">
        <v>1090850</v>
      </c>
      <c r="N1854" t="s">
        <v>64</v>
      </c>
      <c r="P1854" t="str">
        <f>CONCATENATE("'",Tabla1[[#This Row],[Codigo]],"',")</f>
        <v>'02905',</v>
      </c>
    </row>
    <row r="1855" spans="1:16" x14ac:dyDescent="0.25">
      <c r="A1855" t="s">
        <v>13558</v>
      </c>
      <c r="B1855" t="s">
        <v>13559</v>
      </c>
      <c r="C1855" t="s">
        <v>13559</v>
      </c>
      <c r="D1855" t="s">
        <v>847</v>
      </c>
      <c r="E1855" t="s">
        <v>848</v>
      </c>
      <c r="F1855" t="s">
        <v>13560</v>
      </c>
      <c r="G1855" t="s">
        <v>11588</v>
      </c>
      <c r="H1855" t="s">
        <v>11590</v>
      </c>
      <c r="I1855" t="s">
        <v>11588</v>
      </c>
      <c r="J1855" t="s">
        <v>1212</v>
      </c>
      <c r="K1855" t="s">
        <v>1213</v>
      </c>
      <c r="L1855" t="s">
        <v>50</v>
      </c>
      <c r="M1855" s="2">
        <v>35506.239999999998</v>
      </c>
      <c r="N1855" t="s">
        <v>13563</v>
      </c>
      <c r="O1855" t="s">
        <v>115</v>
      </c>
      <c r="P1855" t="str">
        <f>CONCATENATE("'",Tabla1[[#This Row],[Codigo]],"',")</f>
        <v>'02907',</v>
      </c>
    </row>
    <row r="1856" spans="1:16" x14ac:dyDescent="0.25">
      <c r="A1856" t="s">
        <v>13564</v>
      </c>
      <c r="B1856" t="s">
        <v>13565</v>
      </c>
      <c r="C1856" t="s">
        <v>12785</v>
      </c>
      <c r="D1856" t="s">
        <v>98</v>
      </c>
      <c r="E1856" t="s">
        <v>77</v>
      </c>
      <c r="F1856" t="s">
        <v>13566</v>
      </c>
      <c r="G1856" t="s">
        <v>41</v>
      </c>
      <c r="H1856" t="s">
        <v>40</v>
      </c>
      <c r="I1856" t="s">
        <v>41</v>
      </c>
      <c r="L1856" t="s">
        <v>50</v>
      </c>
      <c r="M1856" s="2">
        <v>1084853.96</v>
      </c>
      <c r="N1856" t="s">
        <v>13567</v>
      </c>
      <c r="P1856" t="str">
        <f>CONCATENATE("'",Tabla1[[#This Row],[Codigo]],"',")</f>
        <v>'02908',</v>
      </c>
    </row>
    <row r="1857" spans="1:16" x14ac:dyDescent="0.25">
      <c r="A1857" t="s">
        <v>13568</v>
      </c>
      <c r="B1857" t="s">
        <v>13569</v>
      </c>
      <c r="C1857" t="s">
        <v>13569</v>
      </c>
      <c r="D1857" t="s">
        <v>792</v>
      </c>
      <c r="E1857" t="s">
        <v>190</v>
      </c>
      <c r="F1857" t="s">
        <v>13570</v>
      </c>
      <c r="G1857" t="s">
        <v>6104</v>
      </c>
      <c r="H1857" t="s">
        <v>6106</v>
      </c>
      <c r="I1857" t="s">
        <v>6107</v>
      </c>
      <c r="J1857" t="s">
        <v>4315</v>
      </c>
      <c r="K1857" t="s">
        <v>4316</v>
      </c>
      <c r="L1857" t="s">
        <v>50</v>
      </c>
      <c r="M1857" s="2">
        <v>68199.839999999997</v>
      </c>
      <c r="N1857" t="s">
        <v>13573</v>
      </c>
      <c r="O1857" t="s">
        <v>52</v>
      </c>
      <c r="P1857" t="str">
        <f>CONCATENATE("'",Tabla1[[#This Row],[Codigo]],"',")</f>
        <v>'02909',</v>
      </c>
    </row>
    <row r="1858" spans="1:16" x14ac:dyDescent="0.25">
      <c r="A1858" t="s">
        <v>13574</v>
      </c>
      <c r="B1858" t="s">
        <v>13575</v>
      </c>
      <c r="C1858" t="s">
        <v>13575</v>
      </c>
      <c r="D1858" t="s">
        <v>847</v>
      </c>
      <c r="E1858" t="s">
        <v>848</v>
      </c>
      <c r="F1858" t="s">
        <v>13576</v>
      </c>
      <c r="G1858" t="s">
        <v>10695</v>
      </c>
      <c r="H1858" t="s">
        <v>80</v>
      </c>
      <c r="I1858" t="s">
        <v>81</v>
      </c>
      <c r="J1858" t="s">
        <v>557</v>
      </c>
      <c r="K1858" t="s">
        <v>558</v>
      </c>
      <c r="L1858" t="s">
        <v>50</v>
      </c>
      <c r="M1858" s="2">
        <v>216018.76</v>
      </c>
      <c r="N1858" t="s">
        <v>13578</v>
      </c>
      <c r="P1858" t="str">
        <f>CONCATENATE("'",Tabla1[[#This Row],[Codigo]],"',")</f>
        <v>'02910',</v>
      </c>
    </row>
    <row r="1859" spans="1:16" x14ac:dyDescent="0.25">
      <c r="A1859" t="s">
        <v>13579</v>
      </c>
      <c r="B1859" t="s">
        <v>13580</v>
      </c>
      <c r="C1859" t="s">
        <v>13580</v>
      </c>
      <c r="D1859" t="s">
        <v>125</v>
      </c>
      <c r="E1859" t="s">
        <v>126</v>
      </c>
      <c r="F1859" t="s">
        <v>13581</v>
      </c>
      <c r="G1859" t="s">
        <v>13582</v>
      </c>
      <c r="H1859" t="s">
        <v>13584</v>
      </c>
      <c r="I1859" t="s">
        <v>13585</v>
      </c>
      <c r="J1859" t="s">
        <v>10093</v>
      </c>
      <c r="K1859" t="s">
        <v>10094</v>
      </c>
      <c r="L1859" t="s">
        <v>50</v>
      </c>
      <c r="M1859" s="2">
        <v>90248.79</v>
      </c>
      <c r="N1859" t="s">
        <v>13587</v>
      </c>
      <c r="O1859" t="s">
        <v>52</v>
      </c>
      <c r="P1859" t="str">
        <f>CONCATENATE("'",Tabla1[[#This Row],[Codigo]],"',")</f>
        <v>'02911',</v>
      </c>
    </row>
    <row r="1860" spans="1:16" x14ac:dyDescent="0.25">
      <c r="A1860" t="s">
        <v>13588</v>
      </c>
      <c r="B1860" t="s">
        <v>13589</v>
      </c>
      <c r="C1860" t="s">
        <v>13589</v>
      </c>
      <c r="D1860" t="s">
        <v>3402</v>
      </c>
      <c r="E1860" t="s">
        <v>134</v>
      </c>
      <c r="F1860" t="s">
        <v>13590</v>
      </c>
      <c r="G1860" t="s">
        <v>12118</v>
      </c>
      <c r="H1860" t="s">
        <v>80</v>
      </c>
      <c r="I1860" t="s">
        <v>81</v>
      </c>
      <c r="J1860" t="s">
        <v>557</v>
      </c>
      <c r="K1860" t="s">
        <v>558</v>
      </c>
      <c r="L1860" t="s">
        <v>50</v>
      </c>
      <c r="M1860" s="2">
        <v>109085</v>
      </c>
      <c r="N1860" t="s">
        <v>64</v>
      </c>
      <c r="P1860" t="str">
        <f>CONCATENATE("'",Tabla1[[#This Row],[Codigo]],"',")</f>
        <v>'02912',</v>
      </c>
    </row>
    <row r="1861" spans="1:16" x14ac:dyDescent="0.25">
      <c r="A1861" t="s">
        <v>13593</v>
      </c>
      <c r="B1861" t="s">
        <v>13594</v>
      </c>
      <c r="C1861" t="s">
        <v>3352</v>
      </c>
      <c r="D1861" t="s">
        <v>331</v>
      </c>
      <c r="E1861" t="s">
        <v>224</v>
      </c>
      <c r="F1861" t="s">
        <v>3353</v>
      </c>
      <c r="G1861" t="s">
        <v>41</v>
      </c>
      <c r="H1861" t="s">
        <v>40</v>
      </c>
      <c r="I1861" t="s">
        <v>41</v>
      </c>
      <c r="J1861" t="s">
        <v>61</v>
      </c>
      <c r="K1861" t="s">
        <v>62</v>
      </c>
      <c r="L1861" t="s">
        <v>50</v>
      </c>
      <c r="M1861" s="2">
        <v>13090200</v>
      </c>
      <c r="N1861" t="s">
        <v>64</v>
      </c>
      <c r="P1861" t="str">
        <f>CONCATENATE("'",Tabla1[[#This Row],[Codigo]],"',")</f>
        <v>'02913',</v>
      </c>
    </row>
    <row r="1862" spans="1:16" x14ac:dyDescent="0.25">
      <c r="A1862" t="s">
        <v>13595</v>
      </c>
      <c r="B1862" t="s">
        <v>13596</v>
      </c>
      <c r="C1862" t="s">
        <v>3352</v>
      </c>
      <c r="D1862" t="s">
        <v>331</v>
      </c>
      <c r="E1862" t="s">
        <v>224</v>
      </c>
      <c r="F1862" t="s">
        <v>3353</v>
      </c>
      <c r="G1862" t="s">
        <v>41</v>
      </c>
      <c r="H1862" t="s">
        <v>40</v>
      </c>
      <c r="I1862" t="s">
        <v>41</v>
      </c>
      <c r="J1862" t="s">
        <v>61</v>
      </c>
      <c r="K1862" t="s">
        <v>62</v>
      </c>
      <c r="L1862" t="s">
        <v>50</v>
      </c>
      <c r="M1862" s="2">
        <v>13090200</v>
      </c>
      <c r="N1862" t="s">
        <v>64</v>
      </c>
      <c r="P1862" t="str">
        <f>CONCATENATE("'",Tabla1[[#This Row],[Codigo]],"',")</f>
        <v>'02914',</v>
      </c>
    </row>
    <row r="1863" spans="1:16" x14ac:dyDescent="0.25">
      <c r="A1863" t="s">
        <v>13597</v>
      </c>
      <c r="B1863" t="s">
        <v>13598</v>
      </c>
      <c r="C1863" t="s">
        <v>13599</v>
      </c>
      <c r="D1863" t="s">
        <v>3221</v>
      </c>
      <c r="E1863" t="s">
        <v>224</v>
      </c>
      <c r="F1863" t="s">
        <v>3353</v>
      </c>
      <c r="G1863" t="s">
        <v>41</v>
      </c>
      <c r="H1863" t="s">
        <v>40</v>
      </c>
      <c r="I1863" t="s">
        <v>41</v>
      </c>
      <c r="J1863" t="s">
        <v>61</v>
      </c>
      <c r="K1863" t="s">
        <v>62</v>
      </c>
      <c r="L1863" t="s">
        <v>50</v>
      </c>
      <c r="M1863" s="2">
        <v>13090200</v>
      </c>
      <c r="N1863" t="s">
        <v>64</v>
      </c>
      <c r="P1863" t="str">
        <f>CONCATENATE("'",Tabla1[[#This Row],[Codigo]],"',")</f>
        <v>'02915',</v>
      </c>
    </row>
    <row r="1864" spans="1:16" x14ac:dyDescent="0.25">
      <c r="A1864" t="s">
        <v>13600</v>
      </c>
      <c r="B1864" t="s">
        <v>13601</v>
      </c>
      <c r="C1864" t="s">
        <v>3352</v>
      </c>
      <c r="D1864" t="s">
        <v>264</v>
      </c>
      <c r="E1864" t="s">
        <v>134</v>
      </c>
      <c r="F1864" t="s">
        <v>3353</v>
      </c>
      <c r="G1864" t="s">
        <v>41</v>
      </c>
      <c r="H1864" t="s">
        <v>40</v>
      </c>
      <c r="I1864" t="s">
        <v>41</v>
      </c>
      <c r="J1864" t="s">
        <v>61</v>
      </c>
      <c r="K1864" t="s">
        <v>62</v>
      </c>
      <c r="L1864" t="s">
        <v>50</v>
      </c>
      <c r="M1864" s="2">
        <v>13090200</v>
      </c>
      <c r="N1864" t="s">
        <v>64</v>
      </c>
      <c r="P1864" t="str">
        <f>CONCATENATE("'",Tabla1[[#This Row],[Codigo]],"',")</f>
        <v>'02916',</v>
      </c>
    </row>
    <row r="1865" spans="1:16" x14ac:dyDescent="0.25">
      <c r="A1865" t="s">
        <v>13602</v>
      </c>
      <c r="B1865" t="s">
        <v>13603</v>
      </c>
      <c r="C1865" t="s">
        <v>3352</v>
      </c>
      <c r="D1865" t="s">
        <v>331</v>
      </c>
      <c r="E1865" t="s">
        <v>224</v>
      </c>
      <c r="F1865" t="s">
        <v>3353</v>
      </c>
      <c r="G1865" t="s">
        <v>41</v>
      </c>
      <c r="H1865" t="s">
        <v>40</v>
      </c>
      <c r="I1865" t="s">
        <v>41</v>
      </c>
      <c r="J1865" t="s">
        <v>61</v>
      </c>
      <c r="K1865" t="s">
        <v>62</v>
      </c>
      <c r="L1865" t="s">
        <v>50</v>
      </c>
      <c r="M1865" s="2">
        <v>13090200</v>
      </c>
      <c r="N1865" t="s">
        <v>64</v>
      </c>
      <c r="P1865" t="str">
        <f>CONCATENATE("'",Tabla1[[#This Row],[Codigo]],"',")</f>
        <v>'02917',</v>
      </c>
    </row>
    <row r="1866" spans="1:16" x14ac:dyDescent="0.25">
      <c r="A1866" t="s">
        <v>13604</v>
      </c>
      <c r="B1866" t="s">
        <v>13605</v>
      </c>
      <c r="C1866" t="s">
        <v>3352</v>
      </c>
      <c r="D1866" t="s">
        <v>331</v>
      </c>
      <c r="E1866" t="s">
        <v>224</v>
      </c>
      <c r="F1866" t="s">
        <v>3353</v>
      </c>
      <c r="G1866" t="s">
        <v>41</v>
      </c>
      <c r="H1866" t="s">
        <v>40</v>
      </c>
      <c r="I1866" t="s">
        <v>41</v>
      </c>
      <c r="J1866" t="s">
        <v>61</v>
      </c>
      <c r="K1866" t="s">
        <v>62</v>
      </c>
      <c r="L1866" t="s">
        <v>50</v>
      </c>
      <c r="M1866" s="2">
        <v>13090200</v>
      </c>
      <c r="N1866" t="s">
        <v>64</v>
      </c>
      <c r="P1866" t="str">
        <f>CONCATENATE("'",Tabla1[[#This Row],[Codigo]],"',")</f>
        <v>'02918',</v>
      </c>
    </row>
    <row r="1867" spans="1:16" x14ac:dyDescent="0.25">
      <c r="A1867" t="s">
        <v>13608</v>
      </c>
      <c r="B1867" t="s">
        <v>13609</v>
      </c>
      <c r="C1867" t="s">
        <v>3352</v>
      </c>
      <c r="D1867" t="s">
        <v>223</v>
      </c>
      <c r="E1867" t="s">
        <v>224</v>
      </c>
      <c r="F1867" t="s">
        <v>3353</v>
      </c>
      <c r="G1867" t="s">
        <v>41</v>
      </c>
      <c r="H1867" t="s">
        <v>40</v>
      </c>
      <c r="I1867" t="s">
        <v>41</v>
      </c>
      <c r="J1867" t="s">
        <v>61</v>
      </c>
      <c r="K1867" t="s">
        <v>62</v>
      </c>
      <c r="L1867" t="s">
        <v>50</v>
      </c>
      <c r="M1867" s="2">
        <v>13090200</v>
      </c>
      <c r="N1867" t="s">
        <v>64</v>
      </c>
      <c r="P1867" t="str">
        <f>CONCATENATE("'",Tabla1[[#This Row],[Codigo]],"',")</f>
        <v>'02920',</v>
      </c>
    </row>
    <row r="1868" spans="1:16" x14ac:dyDescent="0.25">
      <c r="A1868" t="s">
        <v>13610</v>
      </c>
      <c r="B1868" t="s">
        <v>13611</v>
      </c>
      <c r="C1868" t="s">
        <v>3352</v>
      </c>
      <c r="D1868" t="s">
        <v>331</v>
      </c>
      <c r="E1868" t="s">
        <v>224</v>
      </c>
      <c r="F1868" t="s">
        <v>3353</v>
      </c>
      <c r="G1868" t="s">
        <v>41</v>
      </c>
      <c r="H1868" t="s">
        <v>40</v>
      </c>
      <c r="I1868" t="s">
        <v>41</v>
      </c>
      <c r="J1868" t="s">
        <v>61</v>
      </c>
      <c r="K1868" t="s">
        <v>62</v>
      </c>
      <c r="L1868" t="s">
        <v>50</v>
      </c>
      <c r="M1868" s="2">
        <v>13090200</v>
      </c>
      <c r="N1868" t="s">
        <v>64</v>
      </c>
      <c r="P1868" t="str">
        <f>CONCATENATE("'",Tabla1[[#This Row],[Codigo]],"',")</f>
        <v>'02921',</v>
      </c>
    </row>
    <row r="1869" spans="1:16" x14ac:dyDescent="0.25">
      <c r="A1869" t="s">
        <v>13612</v>
      </c>
      <c r="B1869" t="s">
        <v>13613</v>
      </c>
      <c r="C1869" t="s">
        <v>3352</v>
      </c>
      <c r="D1869" t="s">
        <v>331</v>
      </c>
      <c r="E1869" t="s">
        <v>224</v>
      </c>
      <c r="F1869" t="s">
        <v>3353</v>
      </c>
      <c r="G1869" t="s">
        <v>41</v>
      </c>
      <c r="H1869" t="s">
        <v>40</v>
      </c>
      <c r="I1869" t="s">
        <v>41</v>
      </c>
      <c r="J1869" t="s">
        <v>61</v>
      </c>
      <c r="K1869" t="s">
        <v>62</v>
      </c>
      <c r="L1869" t="s">
        <v>50</v>
      </c>
      <c r="M1869" s="2">
        <v>13090200</v>
      </c>
      <c r="N1869" t="s">
        <v>64</v>
      </c>
      <c r="P1869" t="str">
        <f>CONCATENATE("'",Tabla1[[#This Row],[Codigo]],"',")</f>
        <v>'02922',</v>
      </c>
    </row>
    <row r="1870" spans="1:16" x14ac:dyDescent="0.25">
      <c r="A1870" t="s">
        <v>13614</v>
      </c>
      <c r="B1870" t="s">
        <v>13615</v>
      </c>
      <c r="C1870" t="s">
        <v>3352</v>
      </c>
      <c r="D1870" t="s">
        <v>331</v>
      </c>
      <c r="E1870" t="s">
        <v>224</v>
      </c>
      <c r="F1870" t="s">
        <v>3353</v>
      </c>
      <c r="G1870" t="s">
        <v>41</v>
      </c>
      <c r="H1870" t="s">
        <v>40</v>
      </c>
      <c r="I1870" t="s">
        <v>41</v>
      </c>
      <c r="J1870" t="s">
        <v>61</v>
      </c>
      <c r="K1870" t="s">
        <v>62</v>
      </c>
      <c r="L1870" t="s">
        <v>50</v>
      </c>
      <c r="M1870" s="2">
        <v>13090200</v>
      </c>
      <c r="N1870" t="s">
        <v>64</v>
      </c>
      <c r="P1870" t="str">
        <f>CONCATENATE("'",Tabla1[[#This Row],[Codigo]],"',")</f>
        <v>'02923',</v>
      </c>
    </row>
    <row r="1871" spans="1:16" x14ac:dyDescent="0.25">
      <c r="A1871" t="s">
        <v>13616</v>
      </c>
      <c r="B1871" t="s">
        <v>13617</v>
      </c>
      <c r="C1871" t="s">
        <v>3352</v>
      </c>
      <c r="D1871" t="s">
        <v>223</v>
      </c>
      <c r="E1871" t="s">
        <v>224</v>
      </c>
      <c r="F1871" t="s">
        <v>3353</v>
      </c>
      <c r="G1871" t="s">
        <v>41</v>
      </c>
      <c r="H1871" t="s">
        <v>40</v>
      </c>
      <c r="I1871" t="s">
        <v>41</v>
      </c>
      <c r="J1871" t="s">
        <v>61</v>
      </c>
      <c r="K1871" t="s">
        <v>62</v>
      </c>
      <c r="L1871" t="s">
        <v>50</v>
      </c>
      <c r="M1871" s="2">
        <v>13090200</v>
      </c>
      <c r="N1871" t="s">
        <v>64</v>
      </c>
      <c r="P1871" t="str">
        <f>CONCATENATE("'",Tabla1[[#This Row],[Codigo]],"',")</f>
        <v>'02924',</v>
      </c>
    </row>
    <row r="1872" spans="1:16" x14ac:dyDescent="0.25">
      <c r="A1872" t="s">
        <v>13618</v>
      </c>
      <c r="B1872" t="s">
        <v>13619</v>
      </c>
      <c r="C1872" t="s">
        <v>3352</v>
      </c>
      <c r="D1872" t="s">
        <v>3221</v>
      </c>
      <c r="E1872" t="s">
        <v>224</v>
      </c>
      <c r="F1872" t="s">
        <v>3353</v>
      </c>
      <c r="G1872" t="s">
        <v>41</v>
      </c>
      <c r="H1872" t="s">
        <v>40</v>
      </c>
      <c r="I1872" t="s">
        <v>41</v>
      </c>
      <c r="J1872" t="s">
        <v>61</v>
      </c>
      <c r="K1872" t="s">
        <v>62</v>
      </c>
      <c r="L1872" t="s">
        <v>50</v>
      </c>
      <c r="M1872" s="2">
        <v>13090200</v>
      </c>
      <c r="N1872" t="s">
        <v>64</v>
      </c>
      <c r="P1872" t="str">
        <f>CONCATENATE("'",Tabla1[[#This Row],[Codigo]],"',")</f>
        <v>'02925',</v>
      </c>
    </row>
    <row r="1873" spans="1:16" x14ac:dyDescent="0.25">
      <c r="A1873" t="s">
        <v>13620</v>
      </c>
      <c r="B1873" t="s">
        <v>13621</v>
      </c>
      <c r="C1873" t="s">
        <v>3352</v>
      </c>
      <c r="D1873" t="s">
        <v>1865</v>
      </c>
      <c r="E1873" t="s">
        <v>224</v>
      </c>
      <c r="F1873" t="s">
        <v>3353</v>
      </c>
      <c r="G1873" t="s">
        <v>41</v>
      </c>
      <c r="H1873" t="s">
        <v>40</v>
      </c>
      <c r="I1873" t="s">
        <v>41</v>
      </c>
      <c r="J1873" t="s">
        <v>61</v>
      </c>
      <c r="K1873" t="s">
        <v>62</v>
      </c>
      <c r="L1873" t="s">
        <v>50</v>
      </c>
      <c r="M1873" s="2">
        <v>13090200</v>
      </c>
      <c r="N1873" t="s">
        <v>64</v>
      </c>
      <c r="P1873" t="str">
        <f>CONCATENATE("'",Tabla1[[#This Row],[Codigo]],"',")</f>
        <v>'02926',</v>
      </c>
    </row>
    <row r="1874" spans="1:16" x14ac:dyDescent="0.25">
      <c r="A1874" t="s">
        <v>13622</v>
      </c>
      <c r="B1874" t="s">
        <v>13623</v>
      </c>
      <c r="C1874" t="s">
        <v>13623</v>
      </c>
      <c r="D1874" t="s">
        <v>299</v>
      </c>
      <c r="E1874" t="s">
        <v>167</v>
      </c>
      <c r="F1874" t="s">
        <v>13624</v>
      </c>
      <c r="G1874" t="s">
        <v>10395</v>
      </c>
      <c r="H1874" t="s">
        <v>6940</v>
      </c>
      <c r="I1874" t="s">
        <v>6939</v>
      </c>
      <c r="J1874" t="s">
        <v>3487</v>
      </c>
      <c r="K1874" t="s">
        <v>3488</v>
      </c>
      <c r="L1874" t="s">
        <v>50</v>
      </c>
      <c r="M1874" s="2">
        <v>186022.78</v>
      </c>
      <c r="N1874" t="s">
        <v>13627</v>
      </c>
      <c r="P1874" t="str">
        <f>CONCATENATE("'",Tabla1[[#This Row],[Codigo]],"',")</f>
        <v>'02927',</v>
      </c>
    </row>
    <row r="1875" spans="1:16" x14ac:dyDescent="0.25">
      <c r="A1875" t="s">
        <v>13628</v>
      </c>
      <c r="B1875" t="s">
        <v>13629</v>
      </c>
      <c r="C1875" t="s">
        <v>3352</v>
      </c>
      <c r="D1875" t="s">
        <v>331</v>
      </c>
      <c r="E1875" t="s">
        <v>224</v>
      </c>
      <c r="F1875" t="s">
        <v>3353</v>
      </c>
      <c r="G1875" t="s">
        <v>41</v>
      </c>
      <c r="H1875" t="s">
        <v>40</v>
      </c>
      <c r="I1875" t="s">
        <v>41</v>
      </c>
      <c r="J1875" t="s">
        <v>61</v>
      </c>
      <c r="K1875" t="s">
        <v>62</v>
      </c>
      <c r="L1875" t="s">
        <v>50</v>
      </c>
      <c r="M1875" s="2">
        <v>13090200</v>
      </c>
      <c r="N1875" t="s">
        <v>64</v>
      </c>
      <c r="P1875" t="str">
        <f>CONCATENATE("'",Tabla1[[#This Row],[Codigo]],"',")</f>
        <v>'02928',</v>
      </c>
    </row>
    <row r="1876" spans="1:16" x14ac:dyDescent="0.25">
      <c r="A1876" t="s">
        <v>13630</v>
      </c>
      <c r="B1876" t="s">
        <v>13631</v>
      </c>
      <c r="C1876" t="s">
        <v>3352</v>
      </c>
      <c r="D1876" t="s">
        <v>331</v>
      </c>
      <c r="E1876" t="s">
        <v>224</v>
      </c>
      <c r="F1876" t="s">
        <v>3353</v>
      </c>
      <c r="G1876" t="s">
        <v>41</v>
      </c>
      <c r="H1876" t="s">
        <v>40</v>
      </c>
      <c r="I1876" t="s">
        <v>41</v>
      </c>
      <c r="J1876" t="s">
        <v>61</v>
      </c>
      <c r="K1876" t="s">
        <v>62</v>
      </c>
      <c r="L1876" t="s">
        <v>50</v>
      </c>
      <c r="M1876" s="2">
        <v>13090200</v>
      </c>
      <c r="N1876" t="s">
        <v>64</v>
      </c>
      <c r="P1876" t="str">
        <f>CONCATENATE("'",Tabla1[[#This Row],[Codigo]],"',")</f>
        <v>'02929',</v>
      </c>
    </row>
    <row r="1877" spans="1:16" x14ac:dyDescent="0.25">
      <c r="A1877" t="s">
        <v>13632</v>
      </c>
      <c r="B1877" t="s">
        <v>13633</v>
      </c>
      <c r="C1877" t="s">
        <v>13599</v>
      </c>
      <c r="D1877" t="s">
        <v>1865</v>
      </c>
      <c r="E1877" t="s">
        <v>224</v>
      </c>
      <c r="F1877" t="s">
        <v>3353</v>
      </c>
      <c r="G1877" t="s">
        <v>41</v>
      </c>
      <c r="H1877" t="s">
        <v>40</v>
      </c>
      <c r="I1877" t="s">
        <v>41</v>
      </c>
      <c r="J1877" t="s">
        <v>61</v>
      </c>
      <c r="K1877" t="s">
        <v>62</v>
      </c>
      <c r="L1877" t="s">
        <v>50</v>
      </c>
      <c r="M1877" s="2">
        <v>12959704.640000001</v>
      </c>
      <c r="N1877" t="s">
        <v>13634</v>
      </c>
      <c r="P1877" t="str">
        <f>CONCATENATE("'",Tabla1[[#This Row],[Codigo]],"',")</f>
        <v>'02930',</v>
      </c>
    </row>
    <row r="1878" spans="1:16" x14ac:dyDescent="0.25">
      <c r="A1878" t="s">
        <v>13635</v>
      </c>
      <c r="B1878" t="s">
        <v>13636</v>
      </c>
      <c r="C1878" t="s">
        <v>3352</v>
      </c>
      <c r="D1878" t="s">
        <v>331</v>
      </c>
      <c r="E1878" t="s">
        <v>224</v>
      </c>
      <c r="F1878" t="s">
        <v>3353</v>
      </c>
      <c r="G1878" t="s">
        <v>41</v>
      </c>
      <c r="H1878" t="s">
        <v>40</v>
      </c>
      <c r="I1878" t="s">
        <v>41</v>
      </c>
      <c r="J1878" t="s">
        <v>61</v>
      </c>
      <c r="K1878" t="s">
        <v>62</v>
      </c>
      <c r="L1878" t="s">
        <v>50</v>
      </c>
      <c r="M1878" s="2">
        <v>13090200</v>
      </c>
      <c r="N1878" t="s">
        <v>64</v>
      </c>
      <c r="P1878" t="str">
        <f>CONCATENATE("'",Tabla1[[#This Row],[Codigo]],"',")</f>
        <v>'02931',</v>
      </c>
    </row>
    <row r="1879" spans="1:16" x14ac:dyDescent="0.25">
      <c r="A1879" t="s">
        <v>13637</v>
      </c>
      <c r="B1879" t="s">
        <v>13638</v>
      </c>
      <c r="C1879" t="s">
        <v>3352</v>
      </c>
      <c r="D1879" t="s">
        <v>1865</v>
      </c>
      <c r="E1879" t="s">
        <v>224</v>
      </c>
      <c r="F1879" t="s">
        <v>3353</v>
      </c>
      <c r="G1879" t="s">
        <v>41</v>
      </c>
      <c r="H1879" t="s">
        <v>40</v>
      </c>
      <c r="I1879" t="s">
        <v>41</v>
      </c>
      <c r="J1879" t="s">
        <v>61</v>
      </c>
      <c r="K1879" t="s">
        <v>62</v>
      </c>
      <c r="L1879" t="s">
        <v>50</v>
      </c>
      <c r="M1879" s="2">
        <v>13090200</v>
      </c>
      <c r="N1879" t="s">
        <v>64</v>
      </c>
      <c r="P1879" t="str">
        <f>CONCATENATE("'",Tabla1[[#This Row],[Codigo]],"',")</f>
        <v>'02932',</v>
      </c>
    </row>
    <row r="1880" spans="1:16" x14ac:dyDescent="0.25">
      <c r="A1880" t="s">
        <v>13639</v>
      </c>
      <c r="B1880" t="s">
        <v>13640</v>
      </c>
      <c r="C1880" t="s">
        <v>3352</v>
      </c>
      <c r="D1880" t="s">
        <v>1865</v>
      </c>
      <c r="E1880" t="s">
        <v>224</v>
      </c>
      <c r="F1880" t="s">
        <v>3353</v>
      </c>
      <c r="G1880" t="s">
        <v>41</v>
      </c>
      <c r="H1880" t="s">
        <v>40</v>
      </c>
      <c r="I1880" t="s">
        <v>41</v>
      </c>
      <c r="J1880" t="s">
        <v>61</v>
      </c>
      <c r="K1880" t="s">
        <v>62</v>
      </c>
      <c r="L1880" t="s">
        <v>50</v>
      </c>
      <c r="M1880" s="2">
        <v>13090200</v>
      </c>
      <c r="N1880" t="s">
        <v>64</v>
      </c>
      <c r="P1880" t="str">
        <f>CONCATENATE("'",Tabla1[[#This Row],[Codigo]],"',")</f>
        <v>'02933',</v>
      </c>
    </row>
    <row r="1881" spans="1:16" x14ac:dyDescent="0.25">
      <c r="A1881" t="s">
        <v>13641</v>
      </c>
      <c r="B1881" t="s">
        <v>13642</v>
      </c>
      <c r="C1881" t="s">
        <v>3352</v>
      </c>
      <c r="D1881" t="s">
        <v>1865</v>
      </c>
      <c r="E1881" t="s">
        <v>224</v>
      </c>
      <c r="F1881" t="s">
        <v>3353</v>
      </c>
      <c r="G1881" t="s">
        <v>41</v>
      </c>
      <c r="H1881" t="s">
        <v>40</v>
      </c>
      <c r="I1881" t="s">
        <v>41</v>
      </c>
      <c r="J1881" t="s">
        <v>61</v>
      </c>
      <c r="K1881" t="s">
        <v>62</v>
      </c>
      <c r="L1881" t="s">
        <v>50</v>
      </c>
      <c r="M1881" s="2">
        <v>13090200</v>
      </c>
      <c r="N1881" t="s">
        <v>64</v>
      </c>
      <c r="P1881" t="str">
        <f>CONCATENATE("'",Tabla1[[#This Row],[Codigo]],"',")</f>
        <v>'02934',</v>
      </c>
    </row>
    <row r="1882" spans="1:16" x14ac:dyDescent="0.25">
      <c r="A1882" t="s">
        <v>13643</v>
      </c>
      <c r="B1882" t="s">
        <v>13644</v>
      </c>
      <c r="C1882" t="s">
        <v>13644</v>
      </c>
      <c r="D1882" t="s">
        <v>125</v>
      </c>
      <c r="E1882" t="s">
        <v>126</v>
      </c>
      <c r="F1882" t="s">
        <v>13645</v>
      </c>
      <c r="G1882" t="s">
        <v>10141</v>
      </c>
      <c r="H1882" t="s">
        <v>7936</v>
      </c>
      <c r="I1882" t="s">
        <v>7935</v>
      </c>
      <c r="J1882" t="s">
        <v>10093</v>
      </c>
      <c r="K1882" t="s">
        <v>10094</v>
      </c>
      <c r="L1882" t="s">
        <v>50</v>
      </c>
      <c r="M1882" s="2">
        <v>183338.67</v>
      </c>
      <c r="N1882" t="s">
        <v>13648</v>
      </c>
      <c r="O1882" t="s">
        <v>115</v>
      </c>
      <c r="P1882" t="str">
        <f>CONCATENATE("'",Tabla1[[#This Row],[Codigo]],"',")</f>
        <v>'02935',</v>
      </c>
    </row>
    <row r="1883" spans="1:16" x14ac:dyDescent="0.25">
      <c r="A1883" t="s">
        <v>13649</v>
      </c>
      <c r="B1883" t="s">
        <v>13650</v>
      </c>
      <c r="C1883" t="s">
        <v>13650</v>
      </c>
      <c r="D1883" t="s">
        <v>125</v>
      </c>
      <c r="E1883" t="s">
        <v>126</v>
      </c>
      <c r="F1883" t="s">
        <v>13651</v>
      </c>
      <c r="G1883" t="s">
        <v>13652</v>
      </c>
      <c r="H1883" t="s">
        <v>13654</v>
      </c>
      <c r="I1883" t="s">
        <v>13655</v>
      </c>
      <c r="J1883" t="s">
        <v>10093</v>
      </c>
      <c r="K1883" t="s">
        <v>10094</v>
      </c>
      <c r="L1883" t="s">
        <v>50</v>
      </c>
      <c r="M1883" s="2">
        <v>316505.36</v>
      </c>
      <c r="N1883" t="s">
        <v>13657</v>
      </c>
      <c r="O1883" t="s">
        <v>52</v>
      </c>
      <c r="P1883" t="str">
        <f>CONCATENATE("'",Tabla1[[#This Row],[Codigo]],"',")</f>
        <v>'02936',</v>
      </c>
    </row>
    <row r="1884" spans="1:16" x14ac:dyDescent="0.25">
      <c r="A1884" t="s">
        <v>13658</v>
      </c>
      <c r="B1884" t="s">
        <v>13659</v>
      </c>
      <c r="C1884" t="s">
        <v>13659</v>
      </c>
      <c r="D1884" t="s">
        <v>35</v>
      </c>
      <c r="E1884" t="s">
        <v>36</v>
      </c>
      <c r="F1884" t="s">
        <v>13660</v>
      </c>
      <c r="G1884" t="s">
        <v>10631</v>
      </c>
      <c r="H1884" t="s">
        <v>10343</v>
      </c>
      <c r="I1884" t="s">
        <v>10344</v>
      </c>
      <c r="J1884" t="s">
        <v>10093</v>
      </c>
      <c r="K1884" t="s">
        <v>10094</v>
      </c>
      <c r="L1884" t="s">
        <v>50</v>
      </c>
      <c r="M1884" s="2">
        <v>185725.68</v>
      </c>
      <c r="N1884" t="s">
        <v>13663</v>
      </c>
      <c r="O1884" t="s">
        <v>52</v>
      </c>
      <c r="P1884" t="str">
        <f>CONCATENATE("'",Tabla1[[#This Row],[Codigo]],"',")</f>
        <v>'02937',</v>
      </c>
    </row>
    <row r="1885" spans="1:16" x14ac:dyDescent="0.25">
      <c r="A1885" t="s">
        <v>13669</v>
      </c>
      <c r="B1885" t="s">
        <v>13670</v>
      </c>
      <c r="C1885" t="s">
        <v>13670</v>
      </c>
      <c r="D1885" t="s">
        <v>299</v>
      </c>
      <c r="E1885" t="s">
        <v>167</v>
      </c>
      <c r="F1885" t="s">
        <v>13671</v>
      </c>
      <c r="G1885" t="s">
        <v>2508</v>
      </c>
      <c r="H1885" t="s">
        <v>700</v>
      </c>
      <c r="I1885" t="s">
        <v>699</v>
      </c>
      <c r="J1885" t="s">
        <v>69</v>
      </c>
      <c r="K1885" t="s">
        <v>70</v>
      </c>
      <c r="L1885" t="s">
        <v>50</v>
      </c>
      <c r="M1885" s="2">
        <v>3228724.95</v>
      </c>
      <c r="N1885" t="s">
        <v>13673</v>
      </c>
      <c r="O1885" t="s">
        <v>115</v>
      </c>
      <c r="P1885" t="str">
        <f>CONCATENATE("'",Tabla1[[#This Row],[Codigo]],"',")</f>
        <v>'02939',</v>
      </c>
    </row>
    <row r="1886" spans="1:16" x14ac:dyDescent="0.25">
      <c r="A1886" t="s">
        <v>13690</v>
      </c>
      <c r="B1886" t="s">
        <v>13691</v>
      </c>
      <c r="C1886" t="s">
        <v>13691</v>
      </c>
      <c r="D1886" t="s">
        <v>847</v>
      </c>
      <c r="E1886" t="s">
        <v>848</v>
      </c>
      <c r="F1886" t="s">
        <v>13692</v>
      </c>
      <c r="G1886" t="s">
        <v>8524</v>
      </c>
      <c r="H1886" t="s">
        <v>2571</v>
      </c>
      <c r="I1886" t="s">
        <v>2572</v>
      </c>
      <c r="J1886" t="s">
        <v>2320</v>
      </c>
      <c r="K1886" t="s">
        <v>2321</v>
      </c>
      <c r="L1886" t="s">
        <v>50</v>
      </c>
      <c r="M1886" s="2">
        <v>1757870.63</v>
      </c>
      <c r="N1886" t="s">
        <v>13695</v>
      </c>
      <c r="O1886" t="s">
        <v>115</v>
      </c>
      <c r="P1886" t="str">
        <f>CONCATENATE("'",Tabla1[[#This Row],[Codigo]],"',")</f>
        <v>'02943',</v>
      </c>
    </row>
    <row r="1887" spans="1:16" x14ac:dyDescent="0.25">
      <c r="A1887" t="s">
        <v>13696</v>
      </c>
      <c r="B1887" t="s">
        <v>13697</v>
      </c>
      <c r="C1887" t="s">
        <v>13697</v>
      </c>
      <c r="D1887" t="s">
        <v>577</v>
      </c>
      <c r="E1887" t="s">
        <v>134</v>
      </c>
      <c r="F1887" t="s">
        <v>13698</v>
      </c>
      <c r="G1887" t="s">
        <v>358</v>
      </c>
      <c r="H1887" t="s">
        <v>360</v>
      </c>
      <c r="I1887" t="s">
        <v>361</v>
      </c>
      <c r="J1887" t="s">
        <v>42</v>
      </c>
      <c r="K1887" t="s">
        <v>43</v>
      </c>
      <c r="L1887" t="s">
        <v>50</v>
      </c>
      <c r="M1887" s="2">
        <v>65451</v>
      </c>
      <c r="N1887" t="s">
        <v>64</v>
      </c>
      <c r="P1887" t="str">
        <f>CONCATENATE("'",Tabla1[[#This Row],[Codigo]],"',")</f>
        <v>'02944',</v>
      </c>
    </row>
    <row r="1888" spans="1:16" x14ac:dyDescent="0.25">
      <c r="A1888" t="s">
        <v>13700</v>
      </c>
      <c r="B1888" t="s">
        <v>13701</v>
      </c>
      <c r="C1888" t="s">
        <v>13701</v>
      </c>
      <c r="D1888" t="s">
        <v>569</v>
      </c>
      <c r="E1888" t="s">
        <v>570</v>
      </c>
      <c r="F1888" t="s">
        <v>13702</v>
      </c>
      <c r="G1888" t="s">
        <v>238</v>
      </c>
      <c r="H1888" t="s">
        <v>118</v>
      </c>
      <c r="I1888" t="s">
        <v>119</v>
      </c>
      <c r="J1888" t="s">
        <v>120</v>
      </c>
      <c r="K1888" t="s">
        <v>121</v>
      </c>
      <c r="L1888" t="s">
        <v>50</v>
      </c>
      <c r="M1888" s="2">
        <v>604050.53</v>
      </c>
      <c r="N1888" t="s">
        <v>13705</v>
      </c>
      <c r="O1888" t="s">
        <v>115</v>
      </c>
      <c r="P1888" t="str">
        <f>CONCATENATE("'",Tabla1[[#This Row],[Codigo]],"',")</f>
        <v>'02945',</v>
      </c>
    </row>
    <row r="1889" spans="1:16" x14ac:dyDescent="0.25">
      <c r="A1889" t="s">
        <v>13706</v>
      </c>
      <c r="B1889" t="s">
        <v>13707</v>
      </c>
      <c r="C1889" t="s">
        <v>13707</v>
      </c>
      <c r="D1889" t="s">
        <v>125</v>
      </c>
      <c r="E1889" t="s">
        <v>126</v>
      </c>
      <c r="F1889" t="s">
        <v>13708</v>
      </c>
      <c r="G1889" t="s">
        <v>10361</v>
      </c>
      <c r="H1889" t="s">
        <v>10362</v>
      </c>
      <c r="I1889" t="s">
        <v>10361</v>
      </c>
      <c r="J1889" t="s">
        <v>10093</v>
      </c>
      <c r="K1889" t="s">
        <v>10094</v>
      </c>
      <c r="L1889" t="s">
        <v>50</v>
      </c>
      <c r="M1889" s="2">
        <v>1728249.74</v>
      </c>
      <c r="N1889" t="s">
        <v>13711</v>
      </c>
      <c r="O1889" t="s">
        <v>52</v>
      </c>
      <c r="P1889" t="str">
        <f>CONCATENATE("'",Tabla1[[#This Row],[Codigo]],"',")</f>
        <v>'02946',</v>
      </c>
    </row>
    <row r="1890" spans="1:16" x14ac:dyDescent="0.25">
      <c r="A1890" t="s">
        <v>13712</v>
      </c>
      <c r="B1890" t="s">
        <v>13713</v>
      </c>
      <c r="C1890" t="s">
        <v>13713</v>
      </c>
      <c r="D1890" t="s">
        <v>178</v>
      </c>
      <c r="E1890" t="s">
        <v>179</v>
      </c>
      <c r="F1890" t="s">
        <v>13714</v>
      </c>
      <c r="G1890" t="s">
        <v>1211</v>
      </c>
      <c r="H1890" t="s">
        <v>1210</v>
      </c>
      <c r="I1890" t="s">
        <v>1211</v>
      </c>
      <c r="J1890" t="s">
        <v>1421</v>
      </c>
      <c r="K1890" t="s">
        <v>1422</v>
      </c>
      <c r="L1890" t="s">
        <v>50</v>
      </c>
      <c r="M1890" s="2">
        <v>62214.8</v>
      </c>
      <c r="N1890" t="s">
        <v>13717</v>
      </c>
      <c r="O1890" t="s">
        <v>52</v>
      </c>
      <c r="P1890" t="str">
        <f>CONCATENATE("'",Tabla1[[#This Row],[Codigo]],"',")</f>
        <v>'02947',</v>
      </c>
    </row>
    <row r="1891" spans="1:16" x14ac:dyDescent="0.25">
      <c r="A1891" t="s">
        <v>13718</v>
      </c>
      <c r="B1891" t="s">
        <v>13719</v>
      </c>
      <c r="C1891" t="s">
        <v>8700</v>
      </c>
      <c r="D1891" t="s">
        <v>153</v>
      </c>
      <c r="E1891" t="s">
        <v>272</v>
      </c>
      <c r="F1891" t="s">
        <v>8701</v>
      </c>
      <c r="G1891" t="s">
        <v>7828</v>
      </c>
      <c r="H1891" t="s">
        <v>664</v>
      </c>
      <c r="I1891" t="s">
        <v>665</v>
      </c>
      <c r="J1891" t="s">
        <v>103</v>
      </c>
      <c r="K1891" t="s">
        <v>104</v>
      </c>
      <c r="L1891" t="s">
        <v>50</v>
      </c>
      <c r="M1891" s="2">
        <v>114102.59</v>
      </c>
      <c r="N1891" t="s">
        <v>13721</v>
      </c>
      <c r="O1891" t="s">
        <v>52</v>
      </c>
      <c r="P1891" t="str">
        <f>CONCATENATE("'",Tabla1[[#This Row],[Codigo]],"',")</f>
        <v>'02948',</v>
      </c>
    </row>
    <row r="1892" spans="1:16" x14ac:dyDescent="0.25">
      <c r="A1892" t="s">
        <v>13722</v>
      </c>
      <c r="B1892" t="s">
        <v>13723</v>
      </c>
      <c r="C1892" t="s">
        <v>13723</v>
      </c>
      <c r="D1892" t="s">
        <v>178</v>
      </c>
      <c r="E1892" t="s">
        <v>179</v>
      </c>
      <c r="F1892" t="s">
        <v>13724</v>
      </c>
      <c r="G1892" t="s">
        <v>12118</v>
      </c>
      <c r="H1892" t="s">
        <v>80</v>
      </c>
      <c r="I1892" t="s">
        <v>81</v>
      </c>
      <c r="J1892" t="s">
        <v>557</v>
      </c>
      <c r="K1892" t="s">
        <v>558</v>
      </c>
      <c r="L1892" t="s">
        <v>50</v>
      </c>
      <c r="M1892" s="2">
        <v>187119.63</v>
      </c>
      <c r="N1892" t="s">
        <v>13727</v>
      </c>
      <c r="O1892" t="s">
        <v>52</v>
      </c>
      <c r="P1892" t="str">
        <f>CONCATENATE("'",Tabla1[[#This Row],[Codigo]],"',")</f>
        <v>'02949',</v>
      </c>
    </row>
    <row r="1893" spans="1:16" x14ac:dyDescent="0.25">
      <c r="A1893" t="s">
        <v>13728</v>
      </c>
      <c r="B1893" t="s">
        <v>13729</v>
      </c>
      <c r="C1893" t="s">
        <v>13729</v>
      </c>
      <c r="D1893" t="s">
        <v>1289</v>
      </c>
      <c r="E1893" t="s">
        <v>224</v>
      </c>
      <c r="F1893" t="s">
        <v>13730</v>
      </c>
      <c r="G1893" t="s">
        <v>4761</v>
      </c>
      <c r="H1893" t="s">
        <v>4763</v>
      </c>
      <c r="I1893" t="s">
        <v>4764</v>
      </c>
      <c r="J1893" t="s">
        <v>1421</v>
      </c>
      <c r="K1893" t="s">
        <v>1422</v>
      </c>
      <c r="L1893" t="s">
        <v>50</v>
      </c>
      <c r="M1893" s="2">
        <v>218170</v>
      </c>
      <c r="N1893" t="s">
        <v>64</v>
      </c>
      <c r="P1893" t="str">
        <f>CONCATENATE("'",Tabla1[[#This Row],[Codigo]],"',")</f>
        <v>'02950',</v>
      </c>
    </row>
    <row r="1894" spans="1:16" x14ac:dyDescent="0.25">
      <c r="A1894" t="s">
        <v>13733</v>
      </c>
      <c r="B1894" t="s">
        <v>13734</v>
      </c>
      <c r="C1894" t="s">
        <v>13734</v>
      </c>
      <c r="D1894" t="s">
        <v>178</v>
      </c>
      <c r="E1894" t="s">
        <v>179</v>
      </c>
      <c r="F1894" t="s">
        <v>13735</v>
      </c>
      <c r="G1894" t="s">
        <v>9783</v>
      </c>
      <c r="H1894" t="s">
        <v>1427</v>
      </c>
      <c r="I1894" t="s">
        <v>1428</v>
      </c>
      <c r="J1894" t="s">
        <v>82</v>
      </c>
      <c r="K1894" t="s">
        <v>83</v>
      </c>
      <c r="L1894" t="s">
        <v>50</v>
      </c>
      <c r="M1894" s="2">
        <v>218170</v>
      </c>
      <c r="N1894" t="s">
        <v>64</v>
      </c>
      <c r="P1894" t="str">
        <f>CONCATENATE("'",Tabla1[[#This Row],[Codigo]],"',")</f>
        <v>'02951',</v>
      </c>
    </row>
    <row r="1895" spans="1:16" x14ac:dyDescent="0.25">
      <c r="A1895" t="s">
        <v>13748</v>
      </c>
      <c r="B1895" t="s">
        <v>13749</v>
      </c>
      <c r="C1895" t="s">
        <v>13749</v>
      </c>
      <c r="D1895" t="s">
        <v>125</v>
      </c>
      <c r="E1895" t="s">
        <v>126</v>
      </c>
      <c r="F1895" t="s">
        <v>13750</v>
      </c>
      <c r="G1895" t="s">
        <v>13751</v>
      </c>
      <c r="H1895" t="s">
        <v>13752</v>
      </c>
      <c r="I1895" t="s">
        <v>13753</v>
      </c>
      <c r="J1895" t="s">
        <v>2320</v>
      </c>
      <c r="K1895" t="s">
        <v>2321</v>
      </c>
      <c r="L1895" t="s">
        <v>50</v>
      </c>
      <c r="M1895" s="2">
        <v>11331680.550000001</v>
      </c>
      <c r="N1895" t="s">
        <v>13756</v>
      </c>
      <c r="O1895" t="s">
        <v>115</v>
      </c>
      <c r="P1895" t="str">
        <f>CONCATENATE("'",Tabla1[[#This Row],[Codigo]],"',")</f>
        <v>'02954',</v>
      </c>
    </row>
    <row r="1896" spans="1:16" x14ac:dyDescent="0.25">
      <c r="A1896" t="s">
        <v>13757</v>
      </c>
      <c r="B1896" t="s">
        <v>13758</v>
      </c>
      <c r="C1896" t="s">
        <v>13758</v>
      </c>
      <c r="D1896" t="s">
        <v>1865</v>
      </c>
      <c r="E1896" t="s">
        <v>224</v>
      </c>
      <c r="F1896" t="s">
        <v>13759</v>
      </c>
      <c r="G1896" t="s">
        <v>2831</v>
      </c>
      <c r="H1896" t="s">
        <v>80</v>
      </c>
      <c r="I1896" t="s">
        <v>81</v>
      </c>
      <c r="J1896" t="s">
        <v>557</v>
      </c>
      <c r="K1896" t="s">
        <v>558</v>
      </c>
      <c r="L1896" t="s">
        <v>50</v>
      </c>
      <c r="M1896" s="2">
        <v>218170</v>
      </c>
      <c r="N1896" t="s">
        <v>64</v>
      </c>
      <c r="P1896" t="str">
        <f>CONCATENATE("'",Tabla1[[#This Row],[Codigo]],"',")</f>
        <v>'02955',</v>
      </c>
    </row>
    <row r="1897" spans="1:16" x14ac:dyDescent="0.25">
      <c r="A1897" t="s">
        <v>13762</v>
      </c>
      <c r="B1897" t="s">
        <v>13763</v>
      </c>
      <c r="C1897" t="s">
        <v>13763</v>
      </c>
      <c r="D1897" t="s">
        <v>125</v>
      </c>
      <c r="E1897" t="s">
        <v>126</v>
      </c>
      <c r="F1897" t="s">
        <v>13764</v>
      </c>
      <c r="G1897" t="s">
        <v>10105</v>
      </c>
      <c r="H1897" t="s">
        <v>10106</v>
      </c>
      <c r="I1897" t="s">
        <v>10105</v>
      </c>
      <c r="J1897" t="s">
        <v>10093</v>
      </c>
      <c r="K1897" t="s">
        <v>10094</v>
      </c>
      <c r="L1897" t="s">
        <v>50</v>
      </c>
      <c r="M1897" s="2">
        <v>382395.73</v>
      </c>
      <c r="N1897" t="s">
        <v>13767</v>
      </c>
      <c r="O1897" t="s">
        <v>52</v>
      </c>
      <c r="P1897" t="str">
        <f>CONCATENATE("'",Tabla1[[#This Row],[Codigo]],"',")</f>
        <v>'02956',</v>
      </c>
    </row>
    <row r="1898" spans="1:16" x14ac:dyDescent="0.25">
      <c r="A1898" t="s">
        <v>13768</v>
      </c>
      <c r="B1898" t="s">
        <v>13769</v>
      </c>
      <c r="C1898" t="s">
        <v>13769</v>
      </c>
      <c r="D1898" t="s">
        <v>553</v>
      </c>
      <c r="E1898" t="s">
        <v>167</v>
      </c>
      <c r="F1898" t="s">
        <v>13770</v>
      </c>
      <c r="G1898" t="s">
        <v>10695</v>
      </c>
      <c r="H1898" t="s">
        <v>80</v>
      </c>
      <c r="I1898" t="s">
        <v>81</v>
      </c>
      <c r="J1898" t="s">
        <v>82</v>
      </c>
      <c r="K1898" t="s">
        <v>83</v>
      </c>
      <c r="L1898" t="s">
        <v>50</v>
      </c>
      <c r="M1898" s="2">
        <v>181959.04000000001</v>
      </c>
      <c r="N1898" t="s">
        <v>13773</v>
      </c>
      <c r="O1898" t="s">
        <v>52</v>
      </c>
      <c r="P1898" t="str">
        <f>CONCATENATE("'",Tabla1[[#This Row],[Codigo]],"',")</f>
        <v>'02957',</v>
      </c>
    </row>
    <row r="1899" spans="1:16" x14ac:dyDescent="0.25">
      <c r="A1899" t="s">
        <v>13780</v>
      </c>
      <c r="B1899" t="s">
        <v>13781</v>
      </c>
      <c r="C1899" t="s">
        <v>13781</v>
      </c>
      <c r="D1899" t="s">
        <v>166</v>
      </c>
      <c r="E1899" t="s">
        <v>167</v>
      </c>
      <c r="F1899" t="s">
        <v>13782</v>
      </c>
      <c r="G1899" t="s">
        <v>1901</v>
      </c>
      <c r="H1899" t="s">
        <v>1900</v>
      </c>
      <c r="I1899" t="s">
        <v>1901</v>
      </c>
      <c r="J1899" t="s">
        <v>158</v>
      </c>
      <c r="K1899" t="s">
        <v>159</v>
      </c>
      <c r="L1899" t="s">
        <v>50</v>
      </c>
      <c r="M1899" s="2">
        <v>218170</v>
      </c>
      <c r="N1899" t="s">
        <v>64</v>
      </c>
      <c r="P1899" t="str">
        <f>CONCATENATE("'",Tabla1[[#This Row],[Codigo]],"',")</f>
        <v>'02959',</v>
      </c>
    </row>
    <row r="1900" spans="1:16" x14ac:dyDescent="0.25">
      <c r="A1900" t="s">
        <v>13785</v>
      </c>
      <c r="B1900" t="s">
        <v>13786</v>
      </c>
      <c r="C1900" t="s">
        <v>13786</v>
      </c>
      <c r="D1900" t="s">
        <v>9774</v>
      </c>
      <c r="E1900" t="s">
        <v>134</v>
      </c>
      <c r="F1900" t="s">
        <v>13787</v>
      </c>
      <c r="G1900" t="s">
        <v>8479</v>
      </c>
      <c r="H1900" t="s">
        <v>1119</v>
      </c>
      <c r="I1900" t="s">
        <v>1120</v>
      </c>
      <c r="J1900" t="s">
        <v>256</v>
      </c>
      <c r="K1900" t="s">
        <v>255</v>
      </c>
      <c r="L1900" t="s">
        <v>50</v>
      </c>
      <c r="M1900" s="2">
        <v>218170</v>
      </c>
      <c r="N1900" t="s">
        <v>64</v>
      </c>
      <c r="P1900" t="str">
        <f>CONCATENATE("'",Tabla1[[#This Row],[Codigo]],"',")</f>
        <v>'02960',</v>
      </c>
    </row>
    <row r="1901" spans="1:16" x14ac:dyDescent="0.25">
      <c r="A1901" t="s">
        <v>13790</v>
      </c>
      <c r="B1901" t="s">
        <v>13791</v>
      </c>
      <c r="C1901" t="s">
        <v>13791</v>
      </c>
      <c r="D1901" t="s">
        <v>847</v>
      </c>
      <c r="E1901" t="s">
        <v>848</v>
      </c>
      <c r="F1901" t="s">
        <v>13792</v>
      </c>
      <c r="G1901" t="s">
        <v>10695</v>
      </c>
      <c r="H1901" t="s">
        <v>80</v>
      </c>
      <c r="I1901" t="s">
        <v>81</v>
      </c>
      <c r="J1901" t="s">
        <v>557</v>
      </c>
      <c r="K1901" t="s">
        <v>558</v>
      </c>
      <c r="L1901" t="s">
        <v>50</v>
      </c>
      <c r="M1901" s="2">
        <v>942134.81</v>
      </c>
      <c r="N1901" t="s">
        <v>13795</v>
      </c>
      <c r="O1901" t="s">
        <v>115</v>
      </c>
      <c r="P1901" t="str">
        <f>CONCATENATE("'",Tabla1[[#This Row],[Codigo]],"',")</f>
        <v>'02961',</v>
      </c>
    </row>
    <row r="1902" spans="1:16" x14ac:dyDescent="0.25">
      <c r="A1902" t="s">
        <v>13796</v>
      </c>
      <c r="B1902" t="s">
        <v>10771</v>
      </c>
      <c r="C1902" t="s">
        <v>10771</v>
      </c>
      <c r="D1902" t="s">
        <v>1854</v>
      </c>
      <c r="E1902" t="s">
        <v>224</v>
      </c>
      <c r="F1902" t="s">
        <v>13797</v>
      </c>
      <c r="G1902" t="s">
        <v>7090</v>
      </c>
      <c r="H1902" t="s">
        <v>7089</v>
      </c>
      <c r="I1902" t="s">
        <v>7090</v>
      </c>
      <c r="J1902" t="s">
        <v>557</v>
      </c>
      <c r="K1902" t="s">
        <v>558</v>
      </c>
      <c r="L1902" t="s">
        <v>50</v>
      </c>
      <c r="M1902" s="2">
        <v>218170</v>
      </c>
      <c r="N1902" t="s">
        <v>64</v>
      </c>
      <c r="P1902" t="str">
        <f>CONCATENATE("'",Tabla1[[#This Row],[Codigo]],"',")</f>
        <v>'02962',</v>
      </c>
    </row>
    <row r="1903" spans="1:16" x14ac:dyDescent="0.25">
      <c r="A1903" t="s">
        <v>13800</v>
      </c>
      <c r="B1903" t="s">
        <v>13801</v>
      </c>
      <c r="C1903" t="s">
        <v>13801</v>
      </c>
      <c r="D1903" t="s">
        <v>847</v>
      </c>
      <c r="E1903" t="s">
        <v>848</v>
      </c>
      <c r="F1903" t="s">
        <v>13802</v>
      </c>
      <c r="G1903" t="s">
        <v>4943</v>
      </c>
      <c r="H1903" t="s">
        <v>3121</v>
      </c>
      <c r="I1903" t="s">
        <v>3122</v>
      </c>
      <c r="J1903" t="s">
        <v>1212</v>
      </c>
      <c r="K1903" t="s">
        <v>1213</v>
      </c>
      <c r="L1903" t="s">
        <v>50</v>
      </c>
      <c r="M1903" s="2">
        <v>201398.67</v>
      </c>
      <c r="N1903" t="s">
        <v>13805</v>
      </c>
      <c r="O1903" t="s">
        <v>52</v>
      </c>
      <c r="P1903" t="str">
        <f>CONCATENATE("'",Tabla1[[#This Row],[Codigo]],"',")</f>
        <v>'02963',</v>
      </c>
    </row>
    <row r="1904" spans="1:16" x14ac:dyDescent="0.25">
      <c r="A1904" t="s">
        <v>13806</v>
      </c>
      <c r="B1904" t="s">
        <v>13807</v>
      </c>
      <c r="C1904" t="s">
        <v>12534</v>
      </c>
      <c r="D1904" t="s">
        <v>1854</v>
      </c>
      <c r="E1904" t="s">
        <v>224</v>
      </c>
      <c r="F1904" t="s">
        <v>12535</v>
      </c>
      <c r="G1904" t="s">
        <v>828</v>
      </c>
      <c r="H1904" t="s">
        <v>254</v>
      </c>
      <c r="I1904" t="s">
        <v>255</v>
      </c>
      <c r="J1904" t="s">
        <v>256</v>
      </c>
      <c r="K1904" t="s">
        <v>255</v>
      </c>
      <c r="L1904" t="s">
        <v>50</v>
      </c>
      <c r="M1904" s="2">
        <v>2618040</v>
      </c>
      <c r="N1904" t="s">
        <v>64</v>
      </c>
      <c r="P1904" t="str">
        <f>CONCATENATE("'",Tabla1[[#This Row],[Codigo]],"',")</f>
        <v>'02964',</v>
      </c>
    </row>
    <row r="1905" spans="1:16" x14ac:dyDescent="0.25">
      <c r="A1905" t="s">
        <v>13809</v>
      </c>
      <c r="B1905" t="s">
        <v>13810</v>
      </c>
      <c r="C1905" t="s">
        <v>13810</v>
      </c>
      <c r="D1905" t="s">
        <v>1633</v>
      </c>
      <c r="E1905" t="s">
        <v>1502</v>
      </c>
      <c r="F1905" t="s">
        <v>13811</v>
      </c>
      <c r="G1905" t="s">
        <v>13777</v>
      </c>
      <c r="H1905" t="s">
        <v>254</v>
      </c>
      <c r="I1905" t="s">
        <v>255</v>
      </c>
      <c r="J1905" t="s">
        <v>3534</v>
      </c>
      <c r="K1905" t="s">
        <v>3535</v>
      </c>
      <c r="L1905" t="s">
        <v>50</v>
      </c>
      <c r="M1905" s="2">
        <v>1173720</v>
      </c>
      <c r="N1905" t="s">
        <v>13814</v>
      </c>
      <c r="P1905" t="str">
        <f>CONCATENATE("'",Tabla1[[#This Row],[Codigo]],"',")</f>
        <v>'02965',</v>
      </c>
    </row>
    <row r="1906" spans="1:16" x14ac:dyDescent="0.25">
      <c r="A1906" t="s">
        <v>13815</v>
      </c>
      <c r="B1906" t="s">
        <v>13816</v>
      </c>
      <c r="C1906" t="s">
        <v>13816</v>
      </c>
      <c r="D1906" t="s">
        <v>178</v>
      </c>
      <c r="E1906" t="s">
        <v>179</v>
      </c>
      <c r="F1906" t="s">
        <v>13817</v>
      </c>
      <c r="G1906" t="s">
        <v>6419</v>
      </c>
      <c r="H1906" t="s">
        <v>6029</v>
      </c>
      <c r="I1906" t="s">
        <v>6030</v>
      </c>
      <c r="J1906" t="s">
        <v>82</v>
      </c>
      <c r="K1906" t="s">
        <v>83</v>
      </c>
      <c r="L1906" t="s">
        <v>50</v>
      </c>
      <c r="M1906" s="2">
        <v>233314.62</v>
      </c>
      <c r="N1906" t="s">
        <v>13819</v>
      </c>
      <c r="O1906" t="s">
        <v>52</v>
      </c>
      <c r="P1906" t="str">
        <f>CONCATENATE("'",Tabla1[[#This Row],[Codigo]],"',")</f>
        <v>'02966',</v>
      </c>
    </row>
    <row r="1907" spans="1:16" x14ac:dyDescent="0.25">
      <c r="A1907" t="s">
        <v>13836</v>
      </c>
      <c r="B1907" t="s">
        <v>13837</v>
      </c>
      <c r="C1907" t="s">
        <v>3352</v>
      </c>
      <c r="D1907" t="s">
        <v>331</v>
      </c>
      <c r="E1907" t="s">
        <v>224</v>
      </c>
      <c r="F1907" t="s">
        <v>3353</v>
      </c>
      <c r="G1907" t="s">
        <v>245</v>
      </c>
      <c r="H1907" t="s">
        <v>40</v>
      </c>
      <c r="I1907" t="s">
        <v>41</v>
      </c>
      <c r="J1907" t="s">
        <v>61</v>
      </c>
      <c r="K1907" t="s">
        <v>62</v>
      </c>
      <c r="L1907" t="s">
        <v>50</v>
      </c>
      <c r="M1907" s="2">
        <v>13090200</v>
      </c>
      <c r="N1907" t="s">
        <v>64</v>
      </c>
      <c r="P1907" t="str">
        <f>CONCATENATE("'",Tabla1[[#This Row],[Codigo]],"',")</f>
        <v>'02970',</v>
      </c>
    </row>
    <row r="1908" spans="1:16" x14ac:dyDescent="0.25">
      <c r="A1908" t="s">
        <v>13839</v>
      </c>
      <c r="B1908" t="s">
        <v>13840</v>
      </c>
      <c r="C1908" t="s">
        <v>13840</v>
      </c>
      <c r="D1908" t="s">
        <v>299</v>
      </c>
      <c r="E1908" t="s">
        <v>167</v>
      </c>
      <c r="F1908" t="s">
        <v>13841</v>
      </c>
      <c r="G1908" t="s">
        <v>13842</v>
      </c>
      <c r="H1908" t="s">
        <v>13844</v>
      </c>
      <c r="I1908" t="s">
        <v>13845</v>
      </c>
      <c r="J1908" t="s">
        <v>10093</v>
      </c>
      <c r="K1908" t="s">
        <v>10094</v>
      </c>
      <c r="L1908" t="s">
        <v>50</v>
      </c>
      <c r="M1908" s="2">
        <v>117312.08</v>
      </c>
      <c r="N1908" t="s">
        <v>13847</v>
      </c>
      <c r="O1908" t="s">
        <v>115</v>
      </c>
      <c r="P1908" t="str">
        <f>CONCATENATE("'",Tabla1[[#This Row],[Codigo]],"',")</f>
        <v>'02971',</v>
      </c>
    </row>
    <row r="1909" spans="1:16" x14ac:dyDescent="0.25">
      <c r="A1909" t="s">
        <v>13848</v>
      </c>
      <c r="B1909" t="s">
        <v>13849</v>
      </c>
      <c r="C1909" t="s">
        <v>13849</v>
      </c>
      <c r="D1909" t="s">
        <v>35</v>
      </c>
      <c r="E1909" t="s">
        <v>36</v>
      </c>
      <c r="F1909" t="s">
        <v>13850</v>
      </c>
      <c r="G1909" t="s">
        <v>8524</v>
      </c>
      <c r="H1909" t="s">
        <v>2571</v>
      </c>
      <c r="I1909" t="s">
        <v>2572</v>
      </c>
      <c r="J1909" t="s">
        <v>6987</v>
      </c>
      <c r="K1909" t="s">
        <v>6988</v>
      </c>
      <c r="L1909" t="s">
        <v>50</v>
      </c>
      <c r="M1909" s="2">
        <v>37644.050000000003</v>
      </c>
      <c r="N1909" t="s">
        <v>13853</v>
      </c>
      <c r="O1909" t="s">
        <v>52</v>
      </c>
      <c r="P1909" t="str">
        <f>CONCATENATE("'",Tabla1[[#This Row],[Codigo]],"',")</f>
        <v>'02972',</v>
      </c>
    </row>
    <row r="1910" spans="1:16" x14ac:dyDescent="0.25">
      <c r="A1910" t="s">
        <v>13854</v>
      </c>
      <c r="B1910" t="s">
        <v>13855</v>
      </c>
      <c r="C1910" t="s">
        <v>13855</v>
      </c>
      <c r="D1910" t="s">
        <v>125</v>
      </c>
      <c r="E1910" t="s">
        <v>126</v>
      </c>
      <c r="F1910" t="s">
        <v>13856</v>
      </c>
      <c r="G1910" t="s">
        <v>10092</v>
      </c>
      <c r="H1910" t="s">
        <v>10091</v>
      </c>
      <c r="I1910" t="s">
        <v>10092</v>
      </c>
      <c r="J1910" t="s">
        <v>10093</v>
      </c>
      <c r="K1910" t="s">
        <v>10094</v>
      </c>
      <c r="L1910" t="s">
        <v>50</v>
      </c>
      <c r="M1910" s="2">
        <v>1208969.17</v>
      </c>
      <c r="N1910" t="s">
        <v>13859</v>
      </c>
      <c r="O1910" t="s">
        <v>52</v>
      </c>
      <c r="P1910" t="str">
        <f>CONCATENATE("'",Tabla1[[#This Row],[Codigo]],"',")</f>
        <v>'02973',</v>
      </c>
    </row>
    <row r="1911" spans="1:16" x14ac:dyDescent="0.25">
      <c r="A1911" t="s">
        <v>13860</v>
      </c>
      <c r="B1911" t="s">
        <v>13861</v>
      </c>
      <c r="C1911" t="s">
        <v>407</v>
      </c>
      <c r="D1911" t="s">
        <v>125</v>
      </c>
      <c r="E1911" t="s">
        <v>126</v>
      </c>
      <c r="F1911" t="s">
        <v>408</v>
      </c>
      <c r="G1911" t="s">
        <v>324</v>
      </c>
      <c r="H1911" t="s">
        <v>326</v>
      </c>
      <c r="I1911" t="s">
        <v>327</v>
      </c>
      <c r="J1911" t="s">
        <v>120</v>
      </c>
      <c r="K1911" t="s">
        <v>121</v>
      </c>
      <c r="L1911" t="s">
        <v>50</v>
      </c>
      <c r="M1911" s="2">
        <v>580383.59</v>
      </c>
      <c r="N1911" t="s">
        <v>13863</v>
      </c>
      <c r="O1911" t="s">
        <v>52</v>
      </c>
      <c r="P1911" t="str">
        <f>CONCATENATE("'",Tabla1[[#This Row],[Codigo]],"',")</f>
        <v>'02974',</v>
      </c>
    </row>
    <row r="1912" spans="1:16" x14ac:dyDescent="0.25">
      <c r="A1912" t="s">
        <v>13864</v>
      </c>
      <c r="B1912" t="s">
        <v>13865</v>
      </c>
      <c r="C1912" t="s">
        <v>13866</v>
      </c>
      <c r="D1912" t="s">
        <v>125</v>
      </c>
      <c r="E1912" t="s">
        <v>126</v>
      </c>
      <c r="F1912" t="s">
        <v>365</v>
      </c>
      <c r="G1912" t="s">
        <v>349</v>
      </c>
      <c r="H1912" t="s">
        <v>348</v>
      </c>
      <c r="I1912" t="s">
        <v>349</v>
      </c>
      <c r="J1912" t="s">
        <v>316</v>
      </c>
      <c r="K1912" t="s">
        <v>317</v>
      </c>
      <c r="L1912" t="s">
        <v>50</v>
      </c>
      <c r="M1912" s="2">
        <v>2053737.6</v>
      </c>
      <c r="N1912" t="s">
        <v>13869</v>
      </c>
      <c r="O1912" t="s">
        <v>52</v>
      </c>
      <c r="P1912" t="str">
        <f>CONCATENATE("'",Tabla1[[#This Row],[Codigo]],"',")</f>
        <v>'02975',</v>
      </c>
    </row>
    <row r="1913" spans="1:16" x14ac:dyDescent="0.25">
      <c r="A1913" t="s">
        <v>13870</v>
      </c>
      <c r="B1913" t="s">
        <v>13871</v>
      </c>
      <c r="C1913" t="s">
        <v>13871</v>
      </c>
      <c r="D1913" t="s">
        <v>344</v>
      </c>
      <c r="E1913" t="s">
        <v>167</v>
      </c>
      <c r="F1913" t="s">
        <v>13872</v>
      </c>
      <c r="G1913" t="s">
        <v>3122</v>
      </c>
      <c r="H1913" t="s">
        <v>3121</v>
      </c>
      <c r="I1913" t="s">
        <v>3122</v>
      </c>
      <c r="J1913" t="s">
        <v>1212</v>
      </c>
      <c r="K1913" t="s">
        <v>1213</v>
      </c>
      <c r="L1913" t="s">
        <v>50</v>
      </c>
      <c r="M1913" s="2">
        <v>286473.64</v>
      </c>
      <c r="N1913" t="s">
        <v>13874</v>
      </c>
      <c r="O1913" t="s">
        <v>115</v>
      </c>
      <c r="P1913" t="str">
        <f>CONCATENATE("'",Tabla1[[#This Row],[Codigo]],"',")</f>
        <v>'02976',</v>
      </c>
    </row>
    <row r="1914" spans="1:16" x14ac:dyDescent="0.25">
      <c r="A1914" t="s">
        <v>13875</v>
      </c>
      <c r="B1914" t="s">
        <v>13876</v>
      </c>
      <c r="C1914" t="s">
        <v>13876</v>
      </c>
      <c r="D1914" t="s">
        <v>35</v>
      </c>
      <c r="E1914" t="s">
        <v>36</v>
      </c>
      <c r="F1914" t="s">
        <v>13877</v>
      </c>
      <c r="G1914" t="s">
        <v>13878</v>
      </c>
      <c r="H1914" t="s">
        <v>8853</v>
      </c>
      <c r="I1914" t="s">
        <v>139</v>
      </c>
      <c r="J1914" t="s">
        <v>941</v>
      </c>
      <c r="K1914" t="s">
        <v>139</v>
      </c>
      <c r="L1914" t="s">
        <v>50</v>
      </c>
      <c r="M1914" s="2">
        <v>232269.66</v>
      </c>
      <c r="N1914" t="s">
        <v>13880</v>
      </c>
      <c r="O1914" t="s">
        <v>52</v>
      </c>
      <c r="P1914" t="str">
        <f>CONCATENATE("'",Tabla1[[#This Row],[Codigo]],"',")</f>
        <v>'02977',</v>
      </c>
    </row>
    <row r="1915" spans="1:16" x14ac:dyDescent="0.25">
      <c r="A1915" t="s">
        <v>13881</v>
      </c>
      <c r="B1915" t="s">
        <v>15205</v>
      </c>
      <c r="C1915" t="s">
        <v>13882</v>
      </c>
      <c r="D1915" t="s">
        <v>35</v>
      </c>
      <c r="E1915" t="s">
        <v>36</v>
      </c>
      <c r="F1915" t="s">
        <v>13883</v>
      </c>
      <c r="G1915" t="s">
        <v>79</v>
      </c>
      <c r="H1915" t="s">
        <v>8100</v>
      </c>
      <c r="I1915" t="s">
        <v>8101</v>
      </c>
      <c r="J1915" t="s">
        <v>4853</v>
      </c>
      <c r="K1915" t="s">
        <v>4854</v>
      </c>
      <c r="L1915" t="s">
        <v>50</v>
      </c>
      <c r="M1915" s="2">
        <v>-3093.52</v>
      </c>
      <c r="N1915" t="s">
        <v>13885</v>
      </c>
      <c r="O1915" t="s">
        <v>52</v>
      </c>
      <c r="P1915" t="str">
        <f>CONCATENATE("'",Tabla1[[#This Row],[Codigo]],"',")</f>
        <v>'02978',</v>
      </c>
    </row>
    <row r="1916" spans="1:16" x14ac:dyDescent="0.25">
      <c r="A1916" t="s">
        <v>13886</v>
      </c>
      <c r="B1916" t="s">
        <v>13887</v>
      </c>
      <c r="C1916" t="s">
        <v>4021</v>
      </c>
      <c r="D1916" t="s">
        <v>153</v>
      </c>
      <c r="E1916" t="s">
        <v>272</v>
      </c>
      <c r="F1916" t="s">
        <v>4022</v>
      </c>
      <c r="G1916" t="s">
        <v>404</v>
      </c>
      <c r="H1916" t="s">
        <v>403</v>
      </c>
      <c r="I1916" t="s">
        <v>404</v>
      </c>
      <c r="J1916" t="s">
        <v>205</v>
      </c>
      <c r="K1916" t="s">
        <v>206</v>
      </c>
      <c r="L1916" t="s">
        <v>50</v>
      </c>
      <c r="M1916" s="2">
        <v>183341.29</v>
      </c>
      <c r="N1916" t="s">
        <v>13889</v>
      </c>
      <c r="O1916" t="s">
        <v>115</v>
      </c>
      <c r="P1916" t="str">
        <f>CONCATENATE("'",Tabla1[[#This Row],[Codigo]],"',")</f>
        <v>'02979',</v>
      </c>
    </row>
    <row r="1917" spans="1:16" x14ac:dyDescent="0.25">
      <c r="A1917" t="s">
        <v>13890</v>
      </c>
      <c r="B1917" t="s">
        <v>13891</v>
      </c>
      <c r="C1917" t="s">
        <v>13891</v>
      </c>
      <c r="D1917" t="s">
        <v>1865</v>
      </c>
      <c r="E1917" t="s">
        <v>224</v>
      </c>
      <c r="F1917" t="s">
        <v>13892</v>
      </c>
      <c r="G1917" t="s">
        <v>81</v>
      </c>
      <c r="H1917" t="s">
        <v>80</v>
      </c>
      <c r="I1917" t="s">
        <v>81</v>
      </c>
      <c r="J1917" t="s">
        <v>557</v>
      </c>
      <c r="K1917" t="s">
        <v>558</v>
      </c>
      <c r="L1917" t="s">
        <v>50</v>
      </c>
      <c r="M1917" s="2">
        <v>218170</v>
      </c>
      <c r="N1917" t="s">
        <v>64</v>
      </c>
      <c r="P1917" t="str">
        <f>CONCATENATE("'",Tabla1[[#This Row],[Codigo]],"',")</f>
        <v>'02980',</v>
      </c>
    </row>
    <row r="1918" spans="1:16" x14ac:dyDescent="0.25">
      <c r="A1918" t="s">
        <v>13894</v>
      </c>
      <c r="B1918" t="s">
        <v>13895</v>
      </c>
      <c r="C1918" t="s">
        <v>13895</v>
      </c>
      <c r="D1918" t="s">
        <v>847</v>
      </c>
      <c r="E1918" t="s">
        <v>848</v>
      </c>
      <c r="F1918" t="s">
        <v>13896</v>
      </c>
      <c r="G1918" t="s">
        <v>1062</v>
      </c>
      <c r="H1918" t="s">
        <v>1064</v>
      </c>
      <c r="I1918" t="s">
        <v>1062</v>
      </c>
      <c r="J1918" t="s">
        <v>304</v>
      </c>
      <c r="K1918" t="s">
        <v>72</v>
      </c>
      <c r="L1918" t="s">
        <v>50</v>
      </c>
      <c r="M1918" s="2">
        <v>367585.53</v>
      </c>
      <c r="N1918" t="s">
        <v>13899</v>
      </c>
      <c r="O1918" t="s">
        <v>52</v>
      </c>
      <c r="P1918" t="str">
        <f>CONCATENATE("'",Tabla1[[#This Row],[Codigo]],"',")</f>
        <v>'02981',</v>
      </c>
    </row>
    <row r="1919" spans="1:16" x14ac:dyDescent="0.25">
      <c r="A1919" t="s">
        <v>13900</v>
      </c>
      <c r="B1919" t="s">
        <v>13901</v>
      </c>
      <c r="C1919" t="s">
        <v>13901</v>
      </c>
      <c r="D1919" t="s">
        <v>847</v>
      </c>
      <c r="E1919" t="s">
        <v>848</v>
      </c>
      <c r="F1919" t="s">
        <v>13902</v>
      </c>
      <c r="G1919" t="s">
        <v>10361</v>
      </c>
      <c r="H1919" t="s">
        <v>10362</v>
      </c>
      <c r="I1919" t="s">
        <v>10361</v>
      </c>
      <c r="J1919" t="s">
        <v>10093</v>
      </c>
      <c r="K1919" t="s">
        <v>10094</v>
      </c>
      <c r="L1919" t="s">
        <v>50</v>
      </c>
      <c r="M1919" s="2">
        <v>1116821.73</v>
      </c>
      <c r="N1919" t="s">
        <v>13904</v>
      </c>
      <c r="O1919" t="s">
        <v>52</v>
      </c>
      <c r="P1919" t="str">
        <f>CONCATENATE("'",Tabla1[[#This Row],[Codigo]],"',")</f>
        <v>'02982',</v>
      </c>
    </row>
    <row r="1920" spans="1:16" x14ac:dyDescent="0.25">
      <c r="A1920" t="s">
        <v>13905</v>
      </c>
      <c r="B1920" t="s">
        <v>13906</v>
      </c>
      <c r="C1920" t="s">
        <v>13906</v>
      </c>
      <c r="D1920" t="s">
        <v>2687</v>
      </c>
      <c r="E1920" t="s">
        <v>190</v>
      </c>
      <c r="F1920" t="s">
        <v>13907</v>
      </c>
      <c r="G1920" t="s">
        <v>4130</v>
      </c>
      <c r="H1920" t="s">
        <v>9130</v>
      </c>
      <c r="I1920" t="s">
        <v>9129</v>
      </c>
      <c r="J1920" t="s">
        <v>3534</v>
      </c>
      <c r="K1920" t="s">
        <v>3535</v>
      </c>
      <c r="L1920" t="s">
        <v>50</v>
      </c>
      <c r="M1920" s="2">
        <v>202029.23</v>
      </c>
      <c r="N1920" t="s">
        <v>13910</v>
      </c>
      <c r="O1920" t="s">
        <v>115</v>
      </c>
      <c r="P1920" t="str">
        <f>CONCATENATE("'",Tabla1[[#This Row],[Codigo]],"',")</f>
        <v>'02983',</v>
      </c>
    </row>
    <row r="1921" spans="1:16" x14ac:dyDescent="0.25">
      <c r="A1921" t="s">
        <v>13915</v>
      </c>
      <c r="B1921" t="s">
        <v>13916</v>
      </c>
      <c r="C1921" t="s">
        <v>13916</v>
      </c>
      <c r="D1921" t="s">
        <v>331</v>
      </c>
      <c r="E1921" t="s">
        <v>224</v>
      </c>
      <c r="F1921" t="s">
        <v>3353</v>
      </c>
      <c r="G1921" t="s">
        <v>41</v>
      </c>
      <c r="H1921" t="s">
        <v>40</v>
      </c>
      <c r="I1921" t="s">
        <v>41</v>
      </c>
      <c r="J1921" t="s">
        <v>61</v>
      </c>
      <c r="K1921" t="s">
        <v>62</v>
      </c>
      <c r="L1921" t="s">
        <v>50</v>
      </c>
      <c r="M1921" s="2">
        <v>1309020</v>
      </c>
      <c r="N1921" t="s">
        <v>64</v>
      </c>
      <c r="P1921" t="str">
        <f>CONCATENATE("'",Tabla1[[#This Row],[Codigo]],"',")</f>
        <v>'02985',</v>
      </c>
    </row>
    <row r="1922" spans="1:16" x14ac:dyDescent="0.25">
      <c r="A1922" t="s">
        <v>13918</v>
      </c>
      <c r="B1922" t="s">
        <v>13919</v>
      </c>
      <c r="C1922" t="s">
        <v>13919</v>
      </c>
      <c r="D1922" t="s">
        <v>888</v>
      </c>
      <c r="E1922" t="s">
        <v>167</v>
      </c>
      <c r="F1922" t="s">
        <v>13920</v>
      </c>
      <c r="G1922" t="s">
        <v>8687</v>
      </c>
      <c r="H1922" t="s">
        <v>8689</v>
      </c>
      <c r="I1922" t="s">
        <v>8687</v>
      </c>
      <c r="J1922" t="s">
        <v>4853</v>
      </c>
      <c r="K1922" t="s">
        <v>4854</v>
      </c>
      <c r="L1922" t="s">
        <v>50</v>
      </c>
      <c r="M1922" s="2">
        <v>312254.08000000002</v>
      </c>
      <c r="N1922" t="s">
        <v>13923</v>
      </c>
      <c r="P1922" t="str">
        <f>CONCATENATE("'",Tabla1[[#This Row],[Codigo]],"',")</f>
        <v>'02986',</v>
      </c>
    </row>
    <row r="1923" spans="1:16" x14ac:dyDescent="0.25">
      <c r="A1923" t="s">
        <v>13924</v>
      </c>
      <c r="B1923" t="s">
        <v>13925</v>
      </c>
      <c r="C1923" t="s">
        <v>13925</v>
      </c>
      <c r="D1923" t="s">
        <v>35</v>
      </c>
      <c r="E1923" t="s">
        <v>36</v>
      </c>
      <c r="F1923" t="s">
        <v>13926</v>
      </c>
      <c r="G1923" t="s">
        <v>12118</v>
      </c>
      <c r="H1923" t="s">
        <v>5938</v>
      </c>
      <c r="I1923" t="s">
        <v>5939</v>
      </c>
      <c r="J1923" t="s">
        <v>82</v>
      </c>
      <c r="K1923" t="s">
        <v>83</v>
      </c>
      <c r="L1923" t="s">
        <v>50</v>
      </c>
      <c r="M1923" s="2">
        <v>51899.02</v>
      </c>
      <c r="N1923" t="s">
        <v>13929</v>
      </c>
      <c r="O1923" t="s">
        <v>115</v>
      </c>
      <c r="P1923" t="str">
        <f>CONCATENATE("'",Tabla1[[#This Row],[Codigo]],"',")</f>
        <v>'02987',</v>
      </c>
    </row>
    <row r="1924" spans="1:16" x14ac:dyDescent="0.25">
      <c r="A1924" t="s">
        <v>13935</v>
      </c>
      <c r="B1924" t="s">
        <v>13936</v>
      </c>
      <c r="C1924" t="s">
        <v>13936</v>
      </c>
      <c r="D1924" t="s">
        <v>297</v>
      </c>
      <c r="E1924" t="s">
        <v>167</v>
      </c>
      <c r="F1924" t="s">
        <v>13937</v>
      </c>
      <c r="G1924" t="s">
        <v>6986</v>
      </c>
      <c r="H1924" t="s">
        <v>6985</v>
      </c>
      <c r="I1924" t="s">
        <v>6986</v>
      </c>
      <c r="J1924" t="s">
        <v>6987</v>
      </c>
      <c r="K1924" t="s">
        <v>6988</v>
      </c>
      <c r="L1924" t="s">
        <v>50</v>
      </c>
      <c r="M1924" s="2">
        <v>359828.65</v>
      </c>
      <c r="N1924" t="s">
        <v>13939</v>
      </c>
      <c r="O1924" t="s">
        <v>52</v>
      </c>
      <c r="P1924" t="str">
        <f>CONCATENATE("'",Tabla1[[#This Row],[Codigo]],"',")</f>
        <v>'02989',</v>
      </c>
    </row>
    <row r="1925" spans="1:16" x14ac:dyDescent="0.25">
      <c r="A1925" t="s">
        <v>13940</v>
      </c>
      <c r="B1925" t="s">
        <v>13941</v>
      </c>
      <c r="C1925" t="s">
        <v>13941</v>
      </c>
      <c r="D1925" t="s">
        <v>344</v>
      </c>
      <c r="E1925" t="s">
        <v>167</v>
      </c>
      <c r="F1925" t="s">
        <v>13942</v>
      </c>
      <c r="G1925" t="s">
        <v>1335</v>
      </c>
      <c r="H1925" t="s">
        <v>254</v>
      </c>
      <c r="I1925" t="s">
        <v>255</v>
      </c>
      <c r="J1925" t="s">
        <v>3534</v>
      </c>
      <c r="K1925" t="s">
        <v>3535</v>
      </c>
      <c r="L1925" t="s">
        <v>50</v>
      </c>
      <c r="M1925" s="2">
        <v>214660.61</v>
      </c>
      <c r="N1925" t="s">
        <v>13944</v>
      </c>
      <c r="O1925" t="s">
        <v>115</v>
      </c>
      <c r="P1925" t="str">
        <f>CONCATENATE("'",Tabla1[[#This Row],[Codigo]],"',")</f>
        <v>'02990',</v>
      </c>
    </row>
    <row r="1926" spans="1:16" x14ac:dyDescent="0.25">
      <c r="A1926" t="s">
        <v>13945</v>
      </c>
      <c r="B1926" t="s">
        <v>13946</v>
      </c>
      <c r="C1926" t="s">
        <v>13946</v>
      </c>
      <c r="D1926" t="s">
        <v>35</v>
      </c>
      <c r="E1926" t="s">
        <v>36</v>
      </c>
      <c r="F1926" t="s">
        <v>13947</v>
      </c>
      <c r="G1926" t="s">
        <v>1335</v>
      </c>
      <c r="H1926" t="s">
        <v>254</v>
      </c>
      <c r="I1926" t="s">
        <v>255</v>
      </c>
      <c r="J1926" t="s">
        <v>4374</v>
      </c>
      <c r="K1926" t="s">
        <v>4375</v>
      </c>
      <c r="L1926" t="s">
        <v>50</v>
      </c>
      <c r="M1926" s="2">
        <v>169003.78</v>
      </c>
      <c r="N1926" t="s">
        <v>13949</v>
      </c>
      <c r="O1926" t="s">
        <v>115</v>
      </c>
      <c r="P1926" t="str">
        <f>CONCATENATE("'",Tabla1[[#This Row],[Codigo]],"',")</f>
        <v>'02991',</v>
      </c>
    </row>
    <row r="1927" spans="1:16" x14ac:dyDescent="0.25">
      <c r="A1927" t="s">
        <v>13950</v>
      </c>
      <c r="B1927" t="s">
        <v>13951</v>
      </c>
      <c r="C1927" t="s">
        <v>13951</v>
      </c>
      <c r="D1927" t="s">
        <v>888</v>
      </c>
      <c r="E1927" t="s">
        <v>167</v>
      </c>
      <c r="F1927" t="s">
        <v>13952</v>
      </c>
      <c r="G1927" t="s">
        <v>7938</v>
      </c>
      <c r="H1927" t="s">
        <v>13297</v>
      </c>
      <c r="I1927" t="s">
        <v>13295</v>
      </c>
      <c r="J1927" t="s">
        <v>10093</v>
      </c>
      <c r="K1927" t="s">
        <v>10094</v>
      </c>
      <c r="L1927" t="s">
        <v>50</v>
      </c>
      <c r="M1927" s="2">
        <v>183958.46</v>
      </c>
      <c r="N1927" t="s">
        <v>13955</v>
      </c>
      <c r="P1927" t="str">
        <f>CONCATENATE("'",Tabla1[[#This Row],[Codigo]],"',")</f>
        <v>'02992',</v>
      </c>
    </row>
    <row r="1928" spans="1:16" x14ac:dyDescent="0.25">
      <c r="A1928" t="s">
        <v>13969</v>
      </c>
      <c r="B1928" t="s">
        <v>13970</v>
      </c>
      <c r="C1928" t="s">
        <v>13970</v>
      </c>
      <c r="D1928" t="s">
        <v>847</v>
      </c>
      <c r="E1928" t="s">
        <v>848</v>
      </c>
      <c r="F1928" t="s">
        <v>13971</v>
      </c>
      <c r="G1928" t="s">
        <v>7938</v>
      </c>
      <c r="H1928" t="s">
        <v>10106</v>
      </c>
      <c r="I1928" t="s">
        <v>10105</v>
      </c>
      <c r="J1928" t="s">
        <v>10093</v>
      </c>
      <c r="K1928" t="s">
        <v>10094</v>
      </c>
      <c r="L1928" t="s">
        <v>50</v>
      </c>
      <c r="M1928" s="2">
        <v>74926.710000000006</v>
      </c>
      <c r="N1928" t="s">
        <v>13974</v>
      </c>
      <c r="O1928" t="s">
        <v>52</v>
      </c>
      <c r="P1928" t="str">
        <f>CONCATENATE("'",Tabla1[[#This Row],[Codigo]],"',")</f>
        <v>'02995',</v>
      </c>
    </row>
    <row r="1929" spans="1:16" x14ac:dyDescent="0.25">
      <c r="A1929" t="s">
        <v>13975</v>
      </c>
      <c r="B1929" t="s">
        <v>13976</v>
      </c>
      <c r="C1929" t="s">
        <v>13976</v>
      </c>
      <c r="D1929" t="s">
        <v>125</v>
      </c>
      <c r="E1929" t="s">
        <v>126</v>
      </c>
      <c r="F1929" t="s">
        <v>13977</v>
      </c>
      <c r="G1929" t="s">
        <v>10141</v>
      </c>
      <c r="H1929" t="s">
        <v>10216</v>
      </c>
      <c r="I1929" t="s">
        <v>10214</v>
      </c>
      <c r="J1929" t="s">
        <v>10093</v>
      </c>
      <c r="K1929" t="s">
        <v>10094</v>
      </c>
      <c r="L1929" t="s">
        <v>50</v>
      </c>
      <c r="M1929" s="2">
        <v>82274.55</v>
      </c>
      <c r="N1929" t="s">
        <v>13979</v>
      </c>
      <c r="O1929" t="s">
        <v>52</v>
      </c>
      <c r="P1929" t="str">
        <f>CONCATENATE("'",Tabla1[[#This Row],[Codigo]],"',")</f>
        <v>'02996',</v>
      </c>
    </row>
    <row r="1930" spans="1:16" x14ac:dyDescent="0.25">
      <c r="A1930" t="s">
        <v>13980</v>
      </c>
      <c r="B1930" t="s">
        <v>13981</v>
      </c>
      <c r="C1930" t="s">
        <v>13981</v>
      </c>
      <c r="D1930" t="s">
        <v>125</v>
      </c>
      <c r="E1930" t="s">
        <v>126</v>
      </c>
      <c r="F1930" t="s">
        <v>13982</v>
      </c>
      <c r="G1930" t="s">
        <v>7938</v>
      </c>
      <c r="H1930" t="s">
        <v>8792</v>
      </c>
      <c r="I1930" t="s">
        <v>8790</v>
      </c>
      <c r="J1930" t="s">
        <v>10093</v>
      </c>
      <c r="K1930" t="s">
        <v>10094</v>
      </c>
      <c r="L1930" t="s">
        <v>50</v>
      </c>
      <c r="M1930" s="2">
        <v>342698.28</v>
      </c>
      <c r="N1930" t="s">
        <v>13985</v>
      </c>
      <c r="O1930" t="s">
        <v>52</v>
      </c>
      <c r="P1930" t="str">
        <f>CONCATENATE("'",Tabla1[[#This Row],[Codigo]],"',")</f>
        <v>'02997',</v>
      </c>
    </row>
    <row r="1931" spans="1:16" x14ac:dyDescent="0.25">
      <c r="A1931" t="s">
        <v>13986</v>
      </c>
      <c r="B1931" t="s">
        <v>13987</v>
      </c>
      <c r="C1931" t="s">
        <v>13987</v>
      </c>
      <c r="D1931" t="s">
        <v>125</v>
      </c>
      <c r="E1931" t="s">
        <v>126</v>
      </c>
      <c r="F1931" t="s">
        <v>13971</v>
      </c>
      <c r="G1931" t="s">
        <v>7938</v>
      </c>
      <c r="H1931" t="s">
        <v>11323</v>
      </c>
      <c r="I1931" t="s">
        <v>11324</v>
      </c>
      <c r="J1931" t="s">
        <v>10093</v>
      </c>
      <c r="K1931" t="s">
        <v>10094</v>
      </c>
      <c r="L1931" t="s">
        <v>50</v>
      </c>
      <c r="M1931" s="2">
        <v>90090.34</v>
      </c>
      <c r="N1931" t="s">
        <v>13989</v>
      </c>
      <c r="O1931" t="s">
        <v>52</v>
      </c>
      <c r="P1931" t="str">
        <f>CONCATENATE("'",Tabla1[[#This Row],[Codigo]],"',")</f>
        <v>'02998',</v>
      </c>
    </row>
    <row r="1932" spans="1:16" x14ac:dyDescent="0.25">
      <c r="A1932" t="s">
        <v>13990</v>
      </c>
      <c r="B1932" t="s">
        <v>13991</v>
      </c>
      <c r="C1932" t="s">
        <v>13991</v>
      </c>
      <c r="D1932" t="s">
        <v>125</v>
      </c>
      <c r="E1932" t="s">
        <v>126</v>
      </c>
      <c r="F1932" t="s">
        <v>13971</v>
      </c>
      <c r="G1932" t="s">
        <v>7938</v>
      </c>
      <c r="H1932" t="s">
        <v>11323</v>
      </c>
      <c r="I1932" t="s">
        <v>11324</v>
      </c>
      <c r="J1932" t="s">
        <v>10093</v>
      </c>
      <c r="K1932" t="s">
        <v>10094</v>
      </c>
      <c r="L1932" t="s">
        <v>50</v>
      </c>
      <c r="M1932" s="2">
        <v>63263.839999999997</v>
      </c>
      <c r="N1932" t="s">
        <v>13993</v>
      </c>
      <c r="O1932" t="s">
        <v>52</v>
      </c>
      <c r="P1932" t="str">
        <f>CONCATENATE("'",Tabla1[[#This Row],[Codigo]],"',")</f>
        <v>'02999',</v>
      </c>
    </row>
    <row r="1933" spans="1:16" x14ac:dyDescent="0.25">
      <c r="A1933" t="s">
        <v>13994</v>
      </c>
      <c r="B1933" t="s">
        <v>13995</v>
      </c>
      <c r="C1933" t="s">
        <v>13996</v>
      </c>
      <c r="D1933" t="s">
        <v>847</v>
      </c>
      <c r="E1933" t="s">
        <v>848</v>
      </c>
      <c r="F1933" t="s">
        <v>13997</v>
      </c>
      <c r="G1933" t="s">
        <v>1360</v>
      </c>
      <c r="H1933" t="s">
        <v>1362</v>
      </c>
      <c r="I1933" t="s">
        <v>1360</v>
      </c>
      <c r="J1933" t="s">
        <v>4853</v>
      </c>
      <c r="K1933" t="s">
        <v>4854</v>
      </c>
      <c r="L1933" t="s">
        <v>50</v>
      </c>
      <c r="M1933" s="2">
        <v>85932.9</v>
      </c>
      <c r="N1933" t="s">
        <v>13999</v>
      </c>
      <c r="O1933" t="s">
        <v>52</v>
      </c>
      <c r="P1933" t="str">
        <f>CONCATENATE("'",Tabla1[[#This Row],[Codigo]],"',")</f>
        <v>'03000',</v>
      </c>
    </row>
    <row r="1934" spans="1:16" x14ac:dyDescent="0.25">
      <c r="A1934" t="s">
        <v>14000</v>
      </c>
      <c r="B1934" t="s">
        <v>14001</v>
      </c>
      <c r="C1934" t="s">
        <v>14001</v>
      </c>
      <c r="D1934" t="s">
        <v>847</v>
      </c>
      <c r="E1934" t="s">
        <v>848</v>
      </c>
      <c r="F1934" t="s">
        <v>14002</v>
      </c>
      <c r="G1934" t="s">
        <v>1360</v>
      </c>
      <c r="H1934" t="s">
        <v>1362</v>
      </c>
      <c r="I1934" t="s">
        <v>1360</v>
      </c>
      <c r="J1934" t="s">
        <v>1421</v>
      </c>
      <c r="K1934" t="s">
        <v>1422</v>
      </c>
      <c r="L1934" t="s">
        <v>50</v>
      </c>
      <c r="M1934" s="2">
        <v>197844.56</v>
      </c>
      <c r="N1934" t="s">
        <v>14004</v>
      </c>
      <c r="O1934" t="s">
        <v>115</v>
      </c>
      <c r="P1934" t="str">
        <f>CONCATENATE("'",Tabla1[[#This Row],[Codigo]],"',")</f>
        <v>'03001',</v>
      </c>
    </row>
    <row r="1935" spans="1:16" x14ac:dyDescent="0.25">
      <c r="A1935" t="s">
        <v>14005</v>
      </c>
      <c r="B1935" t="s">
        <v>14006</v>
      </c>
      <c r="C1935" t="s">
        <v>14006</v>
      </c>
      <c r="D1935" t="s">
        <v>297</v>
      </c>
      <c r="E1935" t="s">
        <v>167</v>
      </c>
      <c r="F1935" t="s">
        <v>14007</v>
      </c>
      <c r="G1935" t="s">
        <v>12118</v>
      </c>
      <c r="H1935" t="s">
        <v>80</v>
      </c>
      <c r="I1935" t="s">
        <v>81</v>
      </c>
      <c r="J1935" t="s">
        <v>557</v>
      </c>
      <c r="K1935" t="s">
        <v>558</v>
      </c>
      <c r="L1935" t="s">
        <v>50</v>
      </c>
      <c r="M1935" s="2">
        <v>200136.83</v>
      </c>
      <c r="N1935" t="s">
        <v>14010</v>
      </c>
      <c r="O1935" t="s">
        <v>52</v>
      </c>
      <c r="P1935" t="str">
        <f>CONCATENATE("'",Tabla1[[#This Row],[Codigo]],"',")</f>
        <v>'03002',</v>
      </c>
    </row>
    <row r="1936" spans="1:16" x14ac:dyDescent="0.25">
      <c r="A1936" t="s">
        <v>14011</v>
      </c>
      <c r="B1936" t="s">
        <v>14012</v>
      </c>
      <c r="C1936" t="s">
        <v>14012</v>
      </c>
      <c r="D1936" t="s">
        <v>125</v>
      </c>
      <c r="E1936" t="s">
        <v>126</v>
      </c>
      <c r="F1936" t="s">
        <v>14013</v>
      </c>
      <c r="G1936" t="s">
        <v>10141</v>
      </c>
      <c r="H1936" t="s">
        <v>7936</v>
      </c>
      <c r="I1936" t="s">
        <v>7935</v>
      </c>
      <c r="J1936" t="s">
        <v>10093</v>
      </c>
      <c r="K1936" t="s">
        <v>10094</v>
      </c>
      <c r="L1936" t="s">
        <v>50</v>
      </c>
      <c r="M1936" s="2">
        <v>1251781.03</v>
      </c>
      <c r="N1936" t="s">
        <v>14016</v>
      </c>
      <c r="O1936" t="s">
        <v>52</v>
      </c>
      <c r="P1936" t="str">
        <f>CONCATENATE("'",Tabla1[[#This Row],[Codigo]],"',")</f>
        <v>'03003',</v>
      </c>
    </row>
    <row r="1937" spans="1:16" x14ac:dyDescent="0.25">
      <c r="A1937" t="s">
        <v>14017</v>
      </c>
      <c r="B1937" t="s">
        <v>14018</v>
      </c>
      <c r="C1937" t="s">
        <v>14018</v>
      </c>
      <c r="D1937" t="s">
        <v>847</v>
      </c>
      <c r="E1937" t="s">
        <v>848</v>
      </c>
      <c r="F1937" t="s">
        <v>14019</v>
      </c>
      <c r="G1937" t="s">
        <v>10141</v>
      </c>
      <c r="H1937" t="s">
        <v>7936</v>
      </c>
      <c r="I1937" t="s">
        <v>7935</v>
      </c>
      <c r="J1937" t="s">
        <v>10093</v>
      </c>
      <c r="K1937" t="s">
        <v>10094</v>
      </c>
      <c r="L1937" t="s">
        <v>50</v>
      </c>
      <c r="M1937" s="2">
        <v>162667.63</v>
      </c>
      <c r="N1937" t="s">
        <v>14022</v>
      </c>
      <c r="O1937" t="s">
        <v>52</v>
      </c>
      <c r="P1937" t="str">
        <f>CONCATENATE("'",Tabla1[[#This Row],[Codigo]],"',")</f>
        <v>'03004',</v>
      </c>
    </row>
    <row r="1938" spans="1:16" x14ac:dyDescent="0.25">
      <c r="A1938" t="s">
        <v>14023</v>
      </c>
      <c r="B1938" t="s">
        <v>15206</v>
      </c>
      <c r="C1938" t="s">
        <v>14024</v>
      </c>
      <c r="D1938" t="s">
        <v>478</v>
      </c>
      <c r="E1938" t="s">
        <v>190</v>
      </c>
      <c r="F1938" t="s">
        <v>14025</v>
      </c>
      <c r="G1938" t="s">
        <v>10141</v>
      </c>
      <c r="H1938" t="s">
        <v>7936</v>
      </c>
      <c r="I1938" t="s">
        <v>7935</v>
      </c>
      <c r="J1938" t="s">
        <v>10093</v>
      </c>
      <c r="K1938" t="s">
        <v>10094</v>
      </c>
      <c r="L1938" t="s">
        <v>50</v>
      </c>
      <c r="M1938" s="2">
        <v>218170</v>
      </c>
      <c r="N1938" t="s">
        <v>64</v>
      </c>
      <c r="P1938" t="str">
        <f>CONCATENATE("'",Tabla1[[#This Row],[Codigo]],"',")</f>
        <v>'03005',</v>
      </c>
    </row>
    <row r="1939" spans="1:16" x14ac:dyDescent="0.25">
      <c r="A1939" t="s">
        <v>14028</v>
      </c>
      <c r="B1939" t="s">
        <v>14029</v>
      </c>
      <c r="C1939" t="s">
        <v>14029</v>
      </c>
      <c r="D1939" t="s">
        <v>169</v>
      </c>
      <c r="E1939" t="s">
        <v>190</v>
      </c>
      <c r="F1939" t="s">
        <v>14030</v>
      </c>
      <c r="G1939" t="s">
        <v>7938</v>
      </c>
      <c r="H1939" t="s">
        <v>8792</v>
      </c>
      <c r="I1939" t="s">
        <v>8790</v>
      </c>
      <c r="J1939" t="s">
        <v>10093</v>
      </c>
      <c r="K1939" t="s">
        <v>10094</v>
      </c>
      <c r="L1939" t="s">
        <v>50</v>
      </c>
      <c r="M1939" s="2">
        <v>218170</v>
      </c>
      <c r="N1939" t="s">
        <v>64</v>
      </c>
      <c r="P1939" t="str">
        <f>CONCATENATE("'",Tabla1[[#This Row],[Codigo]],"',")</f>
        <v>'03006',</v>
      </c>
    </row>
    <row r="1940" spans="1:16" x14ac:dyDescent="0.25">
      <c r="A1940" t="s">
        <v>14033</v>
      </c>
      <c r="B1940" t="s">
        <v>14034</v>
      </c>
      <c r="C1940" t="s">
        <v>14034</v>
      </c>
      <c r="D1940" t="s">
        <v>125</v>
      </c>
      <c r="E1940" t="s">
        <v>126</v>
      </c>
      <c r="F1940" t="s">
        <v>14035</v>
      </c>
      <c r="G1940" t="s">
        <v>139</v>
      </c>
      <c r="H1940" t="s">
        <v>8853</v>
      </c>
      <c r="I1940" t="s">
        <v>139</v>
      </c>
      <c r="J1940" t="s">
        <v>941</v>
      </c>
      <c r="K1940" t="s">
        <v>139</v>
      </c>
      <c r="L1940" t="s">
        <v>50</v>
      </c>
      <c r="M1940" s="2">
        <v>176687.5</v>
      </c>
      <c r="N1940" t="s">
        <v>14038</v>
      </c>
      <c r="O1940" t="s">
        <v>52</v>
      </c>
      <c r="P1940" t="str">
        <f>CONCATENATE("'",Tabla1[[#This Row],[Codigo]],"',")</f>
        <v>'03007',</v>
      </c>
    </row>
    <row r="1941" spans="1:16" x14ac:dyDescent="0.25">
      <c r="A1941" t="s">
        <v>14044</v>
      </c>
      <c r="B1941" t="s">
        <v>14045</v>
      </c>
      <c r="C1941" t="s">
        <v>14045</v>
      </c>
      <c r="D1941" t="s">
        <v>178</v>
      </c>
      <c r="E1941" t="s">
        <v>179</v>
      </c>
      <c r="F1941" t="s">
        <v>14046</v>
      </c>
      <c r="G1941" t="s">
        <v>8790</v>
      </c>
      <c r="H1941" t="s">
        <v>8792</v>
      </c>
      <c r="I1941" t="s">
        <v>8790</v>
      </c>
      <c r="J1941" t="s">
        <v>10093</v>
      </c>
      <c r="K1941" t="s">
        <v>10094</v>
      </c>
      <c r="L1941" t="s">
        <v>50</v>
      </c>
      <c r="M1941" s="2">
        <v>210280.97</v>
      </c>
      <c r="N1941" t="s">
        <v>14048</v>
      </c>
      <c r="O1941" t="s">
        <v>52</v>
      </c>
      <c r="P1941" t="str">
        <f>CONCATENATE("'",Tabla1[[#This Row],[Codigo]],"',")</f>
        <v>'03009',</v>
      </c>
    </row>
    <row r="1942" spans="1:16" x14ac:dyDescent="0.25">
      <c r="A1942" t="s">
        <v>14049</v>
      </c>
      <c r="B1942" t="s">
        <v>14050</v>
      </c>
      <c r="C1942" t="s">
        <v>14050</v>
      </c>
      <c r="D1942" t="s">
        <v>847</v>
      </c>
      <c r="E1942" t="s">
        <v>848</v>
      </c>
      <c r="F1942" t="s">
        <v>14051</v>
      </c>
      <c r="G1942" t="s">
        <v>7938</v>
      </c>
      <c r="H1942" t="s">
        <v>14053</v>
      </c>
      <c r="I1942" t="s">
        <v>14054</v>
      </c>
      <c r="J1942" t="s">
        <v>10093</v>
      </c>
      <c r="K1942" t="s">
        <v>10094</v>
      </c>
      <c r="L1942" t="s">
        <v>50</v>
      </c>
      <c r="M1942" s="2">
        <v>179879.75</v>
      </c>
      <c r="N1942" t="s">
        <v>14056</v>
      </c>
      <c r="O1942" t="s">
        <v>52</v>
      </c>
      <c r="P1942" t="str">
        <f>CONCATENATE("'",Tabla1[[#This Row],[Codigo]],"',")</f>
        <v>'03010',</v>
      </c>
    </row>
    <row r="1943" spans="1:16" x14ac:dyDescent="0.25">
      <c r="A1943" t="s">
        <v>14057</v>
      </c>
      <c r="B1943" t="s">
        <v>14058</v>
      </c>
      <c r="C1943" t="s">
        <v>14059</v>
      </c>
      <c r="D1943" t="s">
        <v>125</v>
      </c>
      <c r="E1943" t="s">
        <v>126</v>
      </c>
      <c r="F1943" t="s">
        <v>14060</v>
      </c>
      <c r="G1943" t="s">
        <v>1360</v>
      </c>
      <c r="H1943" t="s">
        <v>1362</v>
      </c>
      <c r="I1943" t="s">
        <v>1360</v>
      </c>
      <c r="J1943" t="s">
        <v>1212</v>
      </c>
      <c r="K1943" t="s">
        <v>1213</v>
      </c>
      <c r="L1943" t="s">
        <v>50</v>
      </c>
      <c r="M1943" s="2">
        <v>4333.78</v>
      </c>
      <c r="N1943" t="s">
        <v>14063</v>
      </c>
      <c r="O1943" t="s">
        <v>52</v>
      </c>
      <c r="P1943" t="str">
        <f>CONCATENATE("'",Tabla1[[#This Row],[Codigo]],"',")</f>
        <v>'03011',</v>
      </c>
    </row>
    <row r="1944" spans="1:16" x14ac:dyDescent="0.25">
      <c r="A1944" t="s">
        <v>14064</v>
      </c>
      <c r="B1944" t="s">
        <v>14065</v>
      </c>
      <c r="C1944" t="s">
        <v>14059</v>
      </c>
      <c r="D1944" t="s">
        <v>125</v>
      </c>
      <c r="E1944" t="s">
        <v>126</v>
      </c>
      <c r="F1944" t="s">
        <v>14060</v>
      </c>
      <c r="G1944" t="s">
        <v>1360</v>
      </c>
      <c r="H1944" t="s">
        <v>14066</v>
      </c>
      <c r="I1944" t="s">
        <v>3124</v>
      </c>
      <c r="J1944" t="s">
        <v>1212</v>
      </c>
      <c r="K1944" t="s">
        <v>1213</v>
      </c>
      <c r="L1944" t="s">
        <v>50</v>
      </c>
      <c r="M1944" s="2">
        <v>30690.51</v>
      </c>
      <c r="N1944" t="s">
        <v>14067</v>
      </c>
      <c r="O1944" t="s">
        <v>52</v>
      </c>
      <c r="P1944" t="str">
        <f>CONCATENATE("'",Tabla1[[#This Row],[Codigo]],"',")</f>
        <v>'03012',</v>
      </c>
    </row>
    <row r="1945" spans="1:16" x14ac:dyDescent="0.25">
      <c r="A1945" t="s">
        <v>14068</v>
      </c>
      <c r="B1945" t="s">
        <v>14069</v>
      </c>
      <c r="C1945" t="s">
        <v>14059</v>
      </c>
      <c r="D1945" t="s">
        <v>847</v>
      </c>
      <c r="E1945" t="s">
        <v>848</v>
      </c>
      <c r="F1945" t="s">
        <v>14060</v>
      </c>
      <c r="G1945" t="s">
        <v>1360</v>
      </c>
      <c r="H1945" t="s">
        <v>1362</v>
      </c>
      <c r="I1945" t="s">
        <v>1360</v>
      </c>
      <c r="J1945" t="s">
        <v>1212</v>
      </c>
      <c r="K1945" t="s">
        <v>1213</v>
      </c>
      <c r="L1945" t="s">
        <v>50</v>
      </c>
      <c r="M1945" s="2">
        <v>82443.56</v>
      </c>
      <c r="N1945" t="s">
        <v>14070</v>
      </c>
      <c r="O1945" t="s">
        <v>52</v>
      </c>
      <c r="P1945" t="str">
        <f>CONCATENATE("'",Tabla1[[#This Row],[Codigo]],"',")</f>
        <v>'03013',</v>
      </c>
    </row>
    <row r="1946" spans="1:16" x14ac:dyDescent="0.25">
      <c r="A1946" t="s">
        <v>14071</v>
      </c>
      <c r="B1946" t="s">
        <v>14072</v>
      </c>
      <c r="C1946" t="s">
        <v>14073</v>
      </c>
      <c r="D1946" t="s">
        <v>847</v>
      </c>
      <c r="E1946" t="s">
        <v>848</v>
      </c>
      <c r="F1946" t="s">
        <v>14060</v>
      </c>
      <c r="G1946" t="s">
        <v>1360</v>
      </c>
      <c r="H1946" t="s">
        <v>1362</v>
      </c>
      <c r="I1946" t="s">
        <v>1360</v>
      </c>
      <c r="J1946" t="s">
        <v>1212</v>
      </c>
      <c r="K1946" t="s">
        <v>1213</v>
      </c>
      <c r="L1946" t="s">
        <v>50</v>
      </c>
      <c r="M1946" s="2">
        <v>109933.72</v>
      </c>
      <c r="N1946" t="s">
        <v>14074</v>
      </c>
      <c r="O1946" t="s">
        <v>52</v>
      </c>
      <c r="P1946" t="str">
        <f>CONCATENATE("'",Tabla1[[#This Row],[Codigo]],"',")</f>
        <v>'03014',</v>
      </c>
    </row>
    <row r="1947" spans="1:16" x14ac:dyDescent="0.25">
      <c r="A1947" t="s">
        <v>14075</v>
      </c>
      <c r="B1947" t="s">
        <v>14076</v>
      </c>
      <c r="C1947" t="s">
        <v>14076</v>
      </c>
      <c r="D1947" t="s">
        <v>125</v>
      </c>
      <c r="E1947" t="s">
        <v>126</v>
      </c>
      <c r="F1947" t="s">
        <v>14077</v>
      </c>
      <c r="G1947" t="s">
        <v>2399</v>
      </c>
      <c r="H1947" t="s">
        <v>11225</v>
      </c>
      <c r="I1947" t="s">
        <v>2399</v>
      </c>
      <c r="J1947" t="s">
        <v>6987</v>
      </c>
      <c r="K1947" t="s">
        <v>6988</v>
      </c>
      <c r="L1947" t="s">
        <v>50</v>
      </c>
      <c r="M1947" s="2">
        <v>161735</v>
      </c>
      <c r="N1947" t="s">
        <v>64</v>
      </c>
      <c r="P1947" t="str">
        <f>CONCATENATE("'",Tabla1[[#This Row],[Codigo]],"',")</f>
        <v>'03015',</v>
      </c>
    </row>
    <row r="1948" spans="1:16" x14ac:dyDescent="0.25">
      <c r="A1948" t="s">
        <v>14080</v>
      </c>
      <c r="B1948" t="s">
        <v>14081</v>
      </c>
      <c r="C1948" t="s">
        <v>14081</v>
      </c>
      <c r="D1948" t="s">
        <v>125</v>
      </c>
      <c r="E1948" t="s">
        <v>126</v>
      </c>
      <c r="F1948" t="s">
        <v>14082</v>
      </c>
      <c r="G1948" t="s">
        <v>7938</v>
      </c>
      <c r="H1948" t="s">
        <v>7936</v>
      </c>
      <c r="I1948" t="s">
        <v>7935</v>
      </c>
      <c r="J1948" t="s">
        <v>10093</v>
      </c>
      <c r="K1948" t="s">
        <v>10094</v>
      </c>
      <c r="L1948" t="s">
        <v>50</v>
      </c>
      <c r="M1948" s="2">
        <v>1185274.19</v>
      </c>
      <c r="N1948" t="s">
        <v>14085</v>
      </c>
      <c r="O1948" t="s">
        <v>52</v>
      </c>
      <c r="P1948" t="str">
        <f>CONCATENATE("'",Tabla1[[#This Row],[Codigo]],"',")</f>
        <v>'03016',</v>
      </c>
    </row>
    <row r="1949" spans="1:16" x14ac:dyDescent="0.25">
      <c r="A1949" t="s">
        <v>14086</v>
      </c>
      <c r="B1949" t="s">
        <v>14087</v>
      </c>
      <c r="C1949" t="s">
        <v>14087</v>
      </c>
      <c r="D1949" t="s">
        <v>478</v>
      </c>
      <c r="E1949" t="s">
        <v>190</v>
      </c>
      <c r="F1949" t="s">
        <v>14088</v>
      </c>
      <c r="G1949" t="s">
        <v>139</v>
      </c>
      <c r="H1949" t="s">
        <v>8853</v>
      </c>
      <c r="I1949" t="s">
        <v>139</v>
      </c>
      <c r="J1949" t="s">
        <v>941</v>
      </c>
      <c r="K1949" t="s">
        <v>139</v>
      </c>
      <c r="L1949" t="s">
        <v>50</v>
      </c>
      <c r="M1949" s="2">
        <v>216857</v>
      </c>
      <c r="N1949" t="s">
        <v>14091</v>
      </c>
      <c r="O1949" t="s">
        <v>52</v>
      </c>
      <c r="P1949" t="str">
        <f>CONCATENATE("'",Tabla1[[#This Row],[Codigo]],"',")</f>
        <v>'03017',</v>
      </c>
    </row>
    <row r="1950" spans="1:16" x14ac:dyDescent="0.25">
      <c r="A1950" t="s">
        <v>14092</v>
      </c>
      <c r="B1950" t="s">
        <v>14093</v>
      </c>
      <c r="C1950" t="s">
        <v>14093</v>
      </c>
      <c r="D1950" t="s">
        <v>153</v>
      </c>
      <c r="E1950" t="s">
        <v>272</v>
      </c>
      <c r="F1950" t="s">
        <v>14094</v>
      </c>
      <c r="G1950" t="s">
        <v>2951</v>
      </c>
      <c r="H1950" t="s">
        <v>1725</v>
      </c>
      <c r="I1950" t="s">
        <v>1723</v>
      </c>
      <c r="J1950" t="s">
        <v>120</v>
      </c>
      <c r="K1950" t="s">
        <v>121</v>
      </c>
      <c r="L1950" t="s">
        <v>50</v>
      </c>
      <c r="M1950" s="2">
        <v>9660661.75</v>
      </c>
      <c r="N1950" t="s">
        <v>14097</v>
      </c>
      <c r="O1950" t="s">
        <v>115</v>
      </c>
      <c r="P1950" t="str">
        <f>CONCATENATE("'",Tabla1[[#This Row],[Codigo]],"',")</f>
        <v>'03018',</v>
      </c>
    </row>
    <row r="1951" spans="1:16" x14ac:dyDescent="0.25">
      <c r="A1951" t="s">
        <v>14098</v>
      </c>
      <c r="B1951" t="s">
        <v>14099</v>
      </c>
      <c r="C1951" t="s">
        <v>14100</v>
      </c>
      <c r="D1951" t="s">
        <v>125</v>
      </c>
      <c r="E1951" t="s">
        <v>126</v>
      </c>
      <c r="F1951" t="s">
        <v>14013</v>
      </c>
      <c r="G1951" t="s">
        <v>10141</v>
      </c>
      <c r="H1951" t="s">
        <v>7936</v>
      </c>
      <c r="I1951" t="s">
        <v>7935</v>
      </c>
      <c r="J1951" t="s">
        <v>10093</v>
      </c>
      <c r="K1951" t="s">
        <v>10094</v>
      </c>
      <c r="L1951" t="s">
        <v>50</v>
      </c>
      <c r="M1951" s="2">
        <v>175004.64</v>
      </c>
      <c r="N1951" t="s">
        <v>14103</v>
      </c>
      <c r="O1951" t="s">
        <v>52</v>
      </c>
      <c r="P1951" t="str">
        <f>CONCATENATE("'",Tabla1[[#This Row],[Codigo]],"',")</f>
        <v>'03019',</v>
      </c>
    </row>
    <row r="1952" spans="1:16" x14ac:dyDescent="0.25">
      <c r="A1952" t="s">
        <v>14104</v>
      </c>
      <c r="B1952" t="s">
        <v>14105</v>
      </c>
      <c r="C1952" t="s">
        <v>14106</v>
      </c>
      <c r="D1952" t="s">
        <v>125</v>
      </c>
      <c r="E1952" t="s">
        <v>126</v>
      </c>
      <c r="F1952" t="s">
        <v>14107</v>
      </c>
      <c r="G1952" t="s">
        <v>5939</v>
      </c>
      <c r="H1952" t="s">
        <v>5938</v>
      </c>
      <c r="I1952" t="s">
        <v>5939</v>
      </c>
      <c r="J1952" t="s">
        <v>82</v>
      </c>
      <c r="K1952" t="s">
        <v>83</v>
      </c>
      <c r="L1952" t="s">
        <v>50</v>
      </c>
      <c r="M1952" s="2">
        <v>99622.17</v>
      </c>
      <c r="N1952" t="s">
        <v>14110</v>
      </c>
      <c r="O1952" t="s">
        <v>52</v>
      </c>
      <c r="P1952" t="str">
        <f>CONCATENATE("'",Tabla1[[#This Row],[Codigo]],"',")</f>
        <v>'03020',</v>
      </c>
    </row>
    <row r="1953" spans="1:16" x14ac:dyDescent="0.25">
      <c r="A1953" t="s">
        <v>14121</v>
      </c>
      <c r="B1953" t="s">
        <v>15207</v>
      </c>
      <c r="C1953" t="s">
        <v>14122</v>
      </c>
      <c r="D1953" t="s">
        <v>299</v>
      </c>
      <c r="E1953" t="s">
        <v>167</v>
      </c>
      <c r="F1953" t="s">
        <v>14123</v>
      </c>
      <c r="G1953" t="s">
        <v>2105</v>
      </c>
      <c r="H1953" t="s">
        <v>1546</v>
      </c>
      <c r="I1953" t="s">
        <v>1547</v>
      </c>
      <c r="J1953" t="s">
        <v>103</v>
      </c>
      <c r="K1953" t="s">
        <v>104</v>
      </c>
      <c r="L1953" t="s">
        <v>50</v>
      </c>
      <c r="M1953" s="2">
        <v>1821720</v>
      </c>
      <c r="N1953" t="s">
        <v>64</v>
      </c>
      <c r="P1953" t="str">
        <f>CONCATENATE("'",Tabla1[[#This Row],[Codigo]],"',")</f>
        <v>'03023',</v>
      </c>
    </row>
    <row r="1954" spans="1:16" x14ac:dyDescent="0.25">
      <c r="A1954" t="s">
        <v>14126</v>
      </c>
      <c r="B1954" t="s">
        <v>14127</v>
      </c>
      <c r="C1954" t="s">
        <v>14127</v>
      </c>
      <c r="D1954" t="s">
        <v>1410</v>
      </c>
      <c r="E1954" t="s">
        <v>871</v>
      </c>
      <c r="F1954" t="s">
        <v>14128</v>
      </c>
      <c r="G1954" t="s">
        <v>1607</v>
      </c>
      <c r="H1954" t="s">
        <v>1221</v>
      </c>
      <c r="I1954" t="s">
        <v>1222</v>
      </c>
      <c r="J1954" t="s">
        <v>256</v>
      </c>
      <c r="K1954" t="s">
        <v>255</v>
      </c>
      <c r="L1954" t="s">
        <v>50</v>
      </c>
      <c r="M1954" s="2">
        <v>2275600</v>
      </c>
      <c r="N1954" t="s">
        <v>64</v>
      </c>
      <c r="P1954" t="str">
        <f>CONCATENATE("'",Tabla1[[#This Row],[Codigo]],"',")</f>
        <v>'03024',</v>
      </c>
    </row>
    <row r="1955" spans="1:16" x14ac:dyDescent="0.25">
      <c r="A1955" t="s">
        <v>14131</v>
      </c>
      <c r="B1955" t="s">
        <v>14132</v>
      </c>
      <c r="C1955" t="s">
        <v>14132</v>
      </c>
      <c r="D1955" t="s">
        <v>35</v>
      </c>
      <c r="E1955" t="s">
        <v>36</v>
      </c>
      <c r="F1955" t="s">
        <v>14133</v>
      </c>
      <c r="G1955" t="s">
        <v>139</v>
      </c>
      <c r="H1955" t="s">
        <v>8853</v>
      </c>
      <c r="I1955" t="s">
        <v>139</v>
      </c>
      <c r="J1955" t="s">
        <v>6987</v>
      </c>
      <c r="K1955" t="s">
        <v>6988</v>
      </c>
      <c r="L1955" t="s">
        <v>50</v>
      </c>
      <c r="M1955" s="2">
        <v>261453.58</v>
      </c>
      <c r="N1955" t="s">
        <v>14136</v>
      </c>
      <c r="O1955" t="s">
        <v>115</v>
      </c>
      <c r="P1955" t="str">
        <f>CONCATENATE("'",Tabla1[[#This Row],[Codigo]],"',")</f>
        <v>'03025',</v>
      </c>
    </row>
    <row r="1956" spans="1:16" x14ac:dyDescent="0.25">
      <c r="A1956" t="s">
        <v>14137</v>
      </c>
      <c r="B1956" t="s">
        <v>14138</v>
      </c>
      <c r="C1956" t="s">
        <v>14138</v>
      </c>
      <c r="D1956" t="s">
        <v>153</v>
      </c>
      <c r="E1956" t="s">
        <v>272</v>
      </c>
      <c r="F1956" t="s">
        <v>14139</v>
      </c>
      <c r="G1956" t="s">
        <v>277</v>
      </c>
      <c r="H1956" t="s">
        <v>276</v>
      </c>
      <c r="I1956" t="s">
        <v>277</v>
      </c>
      <c r="J1956" t="s">
        <v>103</v>
      </c>
      <c r="K1956" t="s">
        <v>104</v>
      </c>
      <c r="L1956" t="s">
        <v>50</v>
      </c>
      <c r="M1956" s="2">
        <v>914153.25</v>
      </c>
      <c r="N1956" t="s">
        <v>14141</v>
      </c>
      <c r="O1956" t="s">
        <v>52</v>
      </c>
      <c r="P1956" t="str">
        <f>CONCATENATE("'",Tabla1[[#This Row],[Codigo]],"',")</f>
        <v>'03026',</v>
      </c>
    </row>
    <row r="1957" spans="1:16" x14ac:dyDescent="0.25">
      <c r="A1957" t="s">
        <v>14142</v>
      </c>
      <c r="B1957" t="s">
        <v>14143</v>
      </c>
      <c r="C1957" t="s">
        <v>14143</v>
      </c>
      <c r="D1957" t="s">
        <v>125</v>
      </c>
      <c r="E1957" t="s">
        <v>126</v>
      </c>
      <c r="F1957" t="s">
        <v>14144</v>
      </c>
      <c r="G1957" t="s">
        <v>139</v>
      </c>
      <c r="H1957" t="s">
        <v>8853</v>
      </c>
      <c r="I1957" t="s">
        <v>139</v>
      </c>
      <c r="J1957" t="s">
        <v>941</v>
      </c>
      <c r="K1957" t="s">
        <v>139</v>
      </c>
      <c r="L1957" t="s">
        <v>50</v>
      </c>
      <c r="M1957" s="2">
        <v>218170</v>
      </c>
      <c r="N1957" t="s">
        <v>64</v>
      </c>
      <c r="P1957" t="str">
        <f>CONCATENATE("'",Tabla1[[#This Row],[Codigo]],"',")</f>
        <v>'03027',</v>
      </c>
    </row>
    <row r="1958" spans="1:16" x14ac:dyDescent="0.25">
      <c r="A1958" t="s">
        <v>14147</v>
      </c>
      <c r="B1958" t="s">
        <v>14148</v>
      </c>
      <c r="C1958" t="s">
        <v>14148</v>
      </c>
      <c r="D1958" t="s">
        <v>153</v>
      </c>
      <c r="E1958" t="s">
        <v>272</v>
      </c>
      <c r="F1958" t="s">
        <v>14149</v>
      </c>
      <c r="G1958" t="s">
        <v>277</v>
      </c>
      <c r="H1958" t="s">
        <v>276</v>
      </c>
      <c r="I1958" t="s">
        <v>277</v>
      </c>
      <c r="J1958" t="s">
        <v>103</v>
      </c>
      <c r="K1958" t="s">
        <v>104</v>
      </c>
      <c r="L1958" t="s">
        <v>50</v>
      </c>
      <c r="M1958" s="2">
        <v>445778.93</v>
      </c>
      <c r="N1958" t="s">
        <v>14151</v>
      </c>
      <c r="O1958" t="s">
        <v>52</v>
      </c>
      <c r="P1958" t="str">
        <f>CONCATENATE("'",Tabla1[[#This Row],[Codigo]],"',")</f>
        <v>'03028',</v>
      </c>
    </row>
    <row r="1959" spans="1:16" x14ac:dyDescent="0.25">
      <c r="A1959" t="s">
        <v>14157</v>
      </c>
      <c r="B1959" t="s">
        <v>14158</v>
      </c>
      <c r="C1959" t="s">
        <v>14158</v>
      </c>
      <c r="D1959" t="s">
        <v>847</v>
      </c>
      <c r="E1959" t="s">
        <v>848</v>
      </c>
      <c r="F1959" t="s">
        <v>14159</v>
      </c>
      <c r="G1959" t="s">
        <v>9129</v>
      </c>
      <c r="H1959" t="s">
        <v>9130</v>
      </c>
      <c r="I1959" t="s">
        <v>9129</v>
      </c>
      <c r="J1959" t="s">
        <v>256</v>
      </c>
      <c r="K1959" t="s">
        <v>255</v>
      </c>
      <c r="L1959" t="s">
        <v>50</v>
      </c>
      <c r="M1959" s="2">
        <v>86032.29</v>
      </c>
      <c r="N1959" t="s">
        <v>14162</v>
      </c>
      <c r="O1959" t="s">
        <v>52</v>
      </c>
      <c r="P1959" t="str">
        <f>CONCATENATE("'",Tabla1[[#This Row],[Codigo]],"',")</f>
        <v>'03030',</v>
      </c>
    </row>
    <row r="1960" spans="1:16" x14ac:dyDescent="0.25">
      <c r="A1960" t="s">
        <v>14163</v>
      </c>
      <c r="B1960" t="s">
        <v>14164</v>
      </c>
      <c r="C1960" t="s">
        <v>14165</v>
      </c>
      <c r="D1960" t="s">
        <v>125</v>
      </c>
      <c r="E1960" t="s">
        <v>126</v>
      </c>
      <c r="F1960" t="s">
        <v>14166</v>
      </c>
      <c r="G1960" t="s">
        <v>12118</v>
      </c>
      <c r="H1960" t="s">
        <v>80</v>
      </c>
      <c r="I1960" t="s">
        <v>81</v>
      </c>
      <c r="J1960" t="s">
        <v>557</v>
      </c>
      <c r="K1960" t="s">
        <v>558</v>
      </c>
      <c r="L1960" t="s">
        <v>50</v>
      </c>
      <c r="M1960" s="2">
        <v>148310.32</v>
      </c>
      <c r="N1960" t="s">
        <v>14169</v>
      </c>
      <c r="P1960" t="str">
        <f>CONCATENATE("'",Tabla1[[#This Row],[Codigo]],"',")</f>
        <v>'03031',</v>
      </c>
    </row>
    <row r="1961" spans="1:16" x14ac:dyDescent="0.25">
      <c r="A1961" t="s">
        <v>14175</v>
      </c>
      <c r="B1961" t="s">
        <v>14176</v>
      </c>
      <c r="C1961" t="s">
        <v>14176</v>
      </c>
      <c r="D1961" t="s">
        <v>166</v>
      </c>
      <c r="E1961" t="s">
        <v>167</v>
      </c>
      <c r="F1961" t="s">
        <v>14177</v>
      </c>
      <c r="G1961" t="s">
        <v>1644</v>
      </c>
      <c r="H1961" t="s">
        <v>118</v>
      </c>
      <c r="I1961" t="s">
        <v>119</v>
      </c>
      <c r="J1961" t="s">
        <v>120</v>
      </c>
      <c r="K1961" t="s">
        <v>121</v>
      </c>
      <c r="L1961" t="s">
        <v>50</v>
      </c>
      <c r="M1961" s="2">
        <v>233560</v>
      </c>
      <c r="N1961" t="s">
        <v>64</v>
      </c>
      <c r="P1961" t="str">
        <f>CONCATENATE("'",Tabla1[[#This Row],[Codigo]],"',")</f>
        <v>'03033',</v>
      </c>
    </row>
    <row r="1962" spans="1:16" x14ac:dyDescent="0.25">
      <c r="A1962" t="s">
        <v>14180</v>
      </c>
      <c r="B1962" t="s">
        <v>14181</v>
      </c>
      <c r="C1962" t="s">
        <v>14181</v>
      </c>
      <c r="D1962" t="s">
        <v>153</v>
      </c>
      <c r="E1962" t="s">
        <v>272</v>
      </c>
      <c r="F1962" t="s">
        <v>14182</v>
      </c>
      <c r="G1962" t="s">
        <v>10141</v>
      </c>
      <c r="H1962" t="s">
        <v>7936</v>
      </c>
      <c r="I1962" t="s">
        <v>7935</v>
      </c>
      <c r="J1962" t="s">
        <v>1109</v>
      </c>
      <c r="K1962" t="s">
        <v>1110</v>
      </c>
      <c r="L1962" t="s">
        <v>50</v>
      </c>
      <c r="M1962" s="2">
        <v>186949.75</v>
      </c>
      <c r="N1962" t="s">
        <v>14184</v>
      </c>
      <c r="O1962" t="s">
        <v>52</v>
      </c>
      <c r="P1962" t="str">
        <f>CONCATENATE("'",Tabla1[[#This Row],[Codigo]],"',")</f>
        <v>'03034',</v>
      </c>
    </row>
    <row r="1963" spans="1:16" x14ac:dyDescent="0.25">
      <c r="A1963" t="s">
        <v>14185</v>
      </c>
      <c r="B1963" t="s">
        <v>14186</v>
      </c>
      <c r="C1963" t="s">
        <v>14186</v>
      </c>
      <c r="D1963" t="s">
        <v>125</v>
      </c>
      <c r="E1963" t="s">
        <v>126</v>
      </c>
      <c r="F1963" t="s">
        <v>14187</v>
      </c>
      <c r="G1963" t="s">
        <v>10155</v>
      </c>
      <c r="H1963" t="s">
        <v>10157</v>
      </c>
      <c r="I1963" t="s">
        <v>10155</v>
      </c>
      <c r="J1963" t="s">
        <v>1109</v>
      </c>
      <c r="K1963" t="s">
        <v>1110</v>
      </c>
      <c r="L1963" t="s">
        <v>50</v>
      </c>
      <c r="M1963" s="2">
        <v>113228.45</v>
      </c>
      <c r="N1963" t="s">
        <v>14190</v>
      </c>
      <c r="O1963" t="s">
        <v>52</v>
      </c>
      <c r="P1963" t="str">
        <f>CONCATENATE("'",Tabla1[[#This Row],[Codigo]],"',")</f>
        <v>'03035',</v>
      </c>
    </row>
    <row r="1964" spans="1:16" x14ac:dyDescent="0.25">
      <c r="A1964" t="s">
        <v>14191</v>
      </c>
      <c r="B1964" t="s">
        <v>14192</v>
      </c>
      <c r="C1964" t="s">
        <v>14192</v>
      </c>
      <c r="D1964" t="s">
        <v>35</v>
      </c>
      <c r="E1964" t="s">
        <v>36</v>
      </c>
      <c r="F1964" t="s">
        <v>14193</v>
      </c>
      <c r="G1964" t="s">
        <v>6728</v>
      </c>
      <c r="H1964" t="s">
        <v>6730</v>
      </c>
      <c r="I1964" t="s">
        <v>6728</v>
      </c>
      <c r="J1964" t="s">
        <v>557</v>
      </c>
      <c r="K1964" t="s">
        <v>558</v>
      </c>
      <c r="L1964" t="s">
        <v>50</v>
      </c>
      <c r="M1964" s="2">
        <v>2490.16</v>
      </c>
      <c r="N1964" t="s">
        <v>14196</v>
      </c>
      <c r="O1964" t="s">
        <v>52</v>
      </c>
      <c r="P1964" t="str">
        <f>CONCATENATE("'",Tabla1[[#This Row],[Codigo]],"',")</f>
        <v>'03036',</v>
      </c>
    </row>
    <row r="1965" spans="1:16" x14ac:dyDescent="0.25">
      <c r="A1965" t="s">
        <v>14197</v>
      </c>
      <c r="B1965" t="s">
        <v>14198</v>
      </c>
      <c r="C1965" t="s">
        <v>14198</v>
      </c>
      <c r="D1965" t="s">
        <v>153</v>
      </c>
      <c r="E1965" t="s">
        <v>272</v>
      </c>
      <c r="F1965" t="s">
        <v>14199</v>
      </c>
      <c r="G1965" t="s">
        <v>14200</v>
      </c>
      <c r="H1965" t="s">
        <v>14202</v>
      </c>
      <c r="I1965" t="s">
        <v>106</v>
      </c>
      <c r="J1965" t="s">
        <v>103</v>
      </c>
      <c r="K1965" t="s">
        <v>104</v>
      </c>
      <c r="L1965" t="s">
        <v>50</v>
      </c>
      <c r="M1965" s="2">
        <v>188962.02</v>
      </c>
      <c r="N1965" t="s">
        <v>14204</v>
      </c>
      <c r="O1965" t="s">
        <v>115</v>
      </c>
      <c r="P1965" t="str">
        <f>CONCATENATE("'",Tabla1[[#This Row],[Codigo]],"',")</f>
        <v>'03037',</v>
      </c>
    </row>
    <row r="1966" spans="1:16" x14ac:dyDescent="0.25">
      <c r="A1966" t="s">
        <v>14205</v>
      </c>
      <c r="B1966" t="s">
        <v>14206</v>
      </c>
      <c r="C1966" t="s">
        <v>14206</v>
      </c>
      <c r="D1966" t="s">
        <v>569</v>
      </c>
      <c r="E1966" t="s">
        <v>570</v>
      </c>
      <c r="F1966" t="s">
        <v>14207</v>
      </c>
      <c r="G1966" t="s">
        <v>6027</v>
      </c>
      <c r="H1966" t="s">
        <v>6029</v>
      </c>
      <c r="I1966" t="s">
        <v>6030</v>
      </c>
      <c r="J1966" t="s">
        <v>82</v>
      </c>
      <c r="K1966" t="s">
        <v>83</v>
      </c>
      <c r="L1966" t="s">
        <v>50</v>
      </c>
      <c r="M1966" s="2">
        <v>194002.78</v>
      </c>
      <c r="N1966" t="s">
        <v>14210</v>
      </c>
      <c r="O1966" t="s">
        <v>52</v>
      </c>
      <c r="P1966" t="str">
        <f>CONCATENATE("'",Tabla1[[#This Row],[Codigo]],"',")</f>
        <v>'03038',</v>
      </c>
    </row>
    <row r="1967" spans="1:16" x14ac:dyDescent="0.25">
      <c r="A1967" t="s">
        <v>14211</v>
      </c>
      <c r="B1967" t="s">
        <v>14212</v>
      </c>
      <c r="C1967" t="s">
        <v>14212</v>
      </c>
      <c r="D1967" t="s">
        <v>125</v>
      </c>
      <c r="E1967" t="s">
        <v>126</v>
      </c>
      <c r="F1967" t="s">
        <v>14213</v>
      </c>
      <c r="G1967" t="s">
        <v>10576</v>
      </c>
      <c r="H1967" t="s">
        <v>10572</v>
      </c>
      <c r="I1967" t="s">
        <v>10571</v>
      </c>
      <c r="J1967" t="s">
        <v>14215</v>
      </c>
      <c r="K1967" t="s">
        <v>10167</v>
      </c>
      <c r="L1967" t="s">
        <v>50</v>
      </c>
      <c r="M1967" s="2">
        <v>278468.17</v>
      </c>
      <c r="N1967" t="s">
        <v>14217</v>
      </c>
      <c r="O1967" t="s">
        <v>52</v>
      </c>
      <c r="P1967" t="str">
        <f>CONCATENATE("'",Tabla1[[#This Row],[Codigo]],"',")</f>
        <v>'03039',</v>
      </c>
    </row>
    <row r="1968" spans="1:16" x14ac:dyDescent="0.25">
      <c r="A1968" t="s">
        <v>14218</v>
      </c>
      <c r="B1968" t="s">
        <v>14219</v>
      </c>
      <c r="C1968" t="s">
        <v>14219</v>
      </c>
      <c r="D1968" t="s">
        <v>178</v>
      </c>
      <c r="E1968" t="s">
        <v>179</v>
      </c>
      <c r="F1968" t="s">
        <v>14220</v>
      </c>
      <c r="G1968" t="s">
        <v>137</v>
      </c>
      <c r="H1968" t="s">
        <v>136</v>
      </c>
      <c r="I1968" t="s">
        <v>137</v>
      </c>
      <c r="J1968" t="s">
        <v>256</v>
      </c>
      <c r="K1968" t="s">
        <v>255</v>
      </c>
      <c r="L1968" t="s">
        <v>50</v>
      </c>
      <c r="M1968" s="2">
        <v>180979.55</v>
      </c>
      <c r="N1968" t="s">
        <v>14223</v>
      </c>
      <c r="O1968" t="s">
        <v>52</v>
      </c>
      <c r="P1968" t="str">
        <f>CONCATENATE("'",Tabla1[[#This Row],[Codigo]],"',")</f>
        <v>'03040',</v>
      </c>
    </row>
    <row r="1969" spans="1:16" x14ac:dyDescent="0.25">
      <c r="A1969" t="s">
        <v>14224</v>
      </c>
      <c r="B1969" t="s">
        <v>14225</v>
      </c>
      <c r="C1969" t="s">
        <v>14225</v>
      </c>
      <c r="D1969" t="s">
        <v>125</v>
      </c>
      <c r="E1969" t="s">
        <v>126</v>
      </c>
      <c r="F1969" t="s">
        <v>14226</v>
      </c>
      <c r="G1969" t="s">
        <v>10155</v>
      </c>
      <c r="H1969" t="s">
        <v>10157</v>
      </c>
      <c r="I1969" t="s">
        <v>10155</v>
      </c>
      <c r="J1969" t="s">
        <v>10093</v>
      </c>
      <c r="K1969" t="s">
        <v>10094</v>
      </c>
      <c r="L1969" t="s">
        <v>50</v>
      </c>
      <c r="M1969" s="2">
        <v>149318.64000000001</v>
      </c>
      <c r="N1969" t="s">
        <v>14229</v>
      </c>
      <c r="O1969" t="s">
        <v>52</v>
      </c>
      <c r="P1969" t="str">
        <f>CONCATENATE("'",Tabla1[[#This Row],[Codigo]],"',")</f>
        <v>'03041',</v>
      </c>
    </row>
    <row r="1970" spans="1:16" x14ac:dyDescent="0.25">
      <c r="A1970" t="s">
        <v>14230</v>
      </c>
      <c r="B1970" t="s">
        <v>14231</v>
      </c>
      <c r="C1970" t="s">
        <v>13255</v>
      </c>
      <c r="D1970" t="s">
        <v>847</v>
      </c>
      <c r="E1970" t="s">
        <v>848</v>
      </c>
      <c r="F1970" t="s">
        <v>13256</v>
      </c>
      <c r="G1970" t="s">
        <v>14232</v>
      </c>
      <c r="H1970" t="s">
        <v>136</v>
      </c>
      <c r="I1970" t="s">
        <v>137</v>
      </c>
      <c r="J1970" t="s">
        <v>256</v>
      </c>
      <c r="K1970" t="s">
        <v>255</v>
      </c>
      <c r="L1970" t="s">
        <v>50</v>
      </c>
      <c r="M1970" s="2">
        <v>-29331.86</v>
      </c>
      <c r="N1970" t="s">
        <v>14235</v>
      </c>
      <c r="O1970" t="s">
        <v>115</v>
      </c>
      <c r="P1970" t="str">
        <f>CONCATENATE("'",Tabla1[[#This Row],[Codigo]],"',")</f>
        <v>'03042',</v>
      </c>
    </row>
    <row r="1971" spans="1:16" x14ac:dyDescent="0.25">
      <c r="A1971" t="s">
        <v>14246</v>
      </c>
      <c r="B1971" t="s">
        <v>14247</v>
      </c>
      <c r="C1971" t="s">
        <v>14247</v>
      </c>
      <c r="D1971" t="s">
        <v>847</v>
      </c>
      <c r="E1971" t="s">
        <v>848</v>
      </c>
      <c r="F1971" t="s">
        <v>14248</v>
      </c>
      <c r="G1971" t="s">
        <v>12118</v>
      </c>
      <c r="H1971" t="s">
        <v>80</v>
      </c>
      <c r="I1971" t="s">
        <v>81</v>
      </c>
      <c r="J1971" t="s">
        <v>557</v>
      </c>
      <c r="K1971" t="s">
        <v>558</v>
      </c>
      <c r="L1971" t="s">
        <v>50</v>
      </c>
      <c r="M1971" s="2">
        <v>196862.41</v>
      </c>
      <c r="N1971" t="s">
        <v>14251</v>
      </c>
      <c r="P1971" t="str">
        <f>CONCATENATE("'",Tabla1[[#This Row],[Codigo]],"',")</f>
        <v>'03045',</v>
      </c>
    </row>
    <row r="1972" spans="1:16" x14ac:dyDescent="0.25">
      <c r="A1972" t="s">
        <v>14252</v>
      </c>
      <c r="B1972" t="s">
        <v>14253</v>
      </c>
      <c r="C1972" t="s">
        <v>14253</v>
      </c>
      <c r="D1972" t="s">
        <v>125</v>
      </c>
      <c r="E1972" t="s">
        <v>126</v>
      </c>
      <c r="F1972" t="s">
        <v>14254</v>
      </c>
      <c r="G1972" t="s">
        <v>8984</v>
      </c>
      <c r="H1972" t="s">
        <v>8986</v>
      </c>
      <c r="I1972" t="s">
        <v>8984</v>
      </c>
      <c r="J1972" t="s">
        <v>2320</v>
      </c>
      <c r="K1972" t="s">
        <v>2321</v>
      </c>
      <c r="L1972" t="s">
        <v>50</v>
      </c>
      <c r="M1972" s="2">
        <v>107621.46</v>
      </c>
      <c r="N1972" t="s">
        <v>14257</v>
      </c>
      <c r="O1972" t="s">
        <v>115</v>
      </c>
      <c r="P1972" t="str">
        <f>CONCATENATE("'",Tabla1[[#This Row],[Codigo]],"',")</f>
        <v>'03046',</v>
      </c>
    </row>
    <row r="1973" spans="1:16" x14ac:dyDescent="0.25">
      <c r="A1973" t="s">
        <v>14258</v>
      </c>
      <c r="B1973" t="s">
        <v>14259</v>
      </c>
      <c r="C1973" t="s">
        <v>14259</v>
      </c>
      <c r="D1973" t="s">
        <v>125</v>
      </c>
      <c r="E1973" t="s">
        <v>126</v>
      </c>
      <c r="F1973" t="s">
        <v>14260</v>
      </c>
      <c r="G1973" t="s">
        <v>8984</v>
      </c>
      <c r="H1973" t="s">
        <v>8986</v>
      </c>
      <c r="I1973" t="s">
        <v>8984</v>
      </c>
      <c r="J1973" t="s">
        <v>2320</v>
      </c>
      <c r="K1973" t="s">
        <v>2321</v>
      </c>
      <c r="L1973" t="s">
        <v>50</v>
      </c>
      <c r="M1973" s="2">
        <v>209059.37</v>
      </c>
      <c r="N1973" t="s">
        <v>14262</v>
      </c>
      <c r="O1973" t="s">
        <v>115</v>
      </c>
      <c r="P1973" t="str">
        <f>CONCATENATE("'",Tabla1[[#This Row],[Codigo]],"',")</f>
        <v>'03047',</v>
      </c>
    </row>
    <row r="1974" spans="1:16" x14ac:dyDescent="0.25">
      <c r="A1974" t="s">
        <v>14263</v>
      </c>
      <c r="B1974" t="s">
        <v>14264</v>
      </c>
      <c r="C1974" t="s">
        <v>14264</v>
      </c>
      <c r="D1974" t="s">
        <v>35</v>
      </c>
      <c r="E1974" t="s">
        <v>36</v>
      </c>
      <c r="F1974" t="s">
        <v>14265</v>
      </c>
      <c r="G1974" t="s">
        <v>7493</v>
      </c>
      <c r="H1974" t="s">
        <v>9611</v>
      </c>
      <c r="I1974" t="s">
        <v>7493</v>
      </c>
      <c r="J1974" t="s">
        <v>2320</v>
      </c>
      <c r="K1974" t="s">
        <v>2321</v>
      </c>
      <c r="L1974" t="s">
        <v>50</v>
      </c>
      <c r="M1974" s="2">
        <v>58185.61</v>
      </c>
      <c r="N1974" t="s">
        <v>14268</v>
      </c>
      <c r="O1974" t="s">
        <v>115</v>
      </c>
      <c r="P1974" t="str">
        <f>CONCATENATE("'",Tabla1[[#This Row],[Codigo]],"',")</f>
        <v>'03048',</v>
      </c>
    </row>
    <row r="1975" spans="1:16" x14ac:dyDescent="0.25">
      <c r="A1975" t="s">
        <v>14269</v>
      </c>
      <c r="B1975" t="s">
        <v>14270</v>
      </c>
      <c r="C1975" t="s">
        <v>14270</v>
      </c>
      <c r="D1975" t="s">
        <v>125</v>
      </c>
      <c r="E1975" t="s">
        <v>126</v>
      </c>
      <c r="F1975" t="s">
        <v>14271</v>
      </c>
      <c r="G1975" t="s">
        <v>6237</v>
      </c>
      <c r="H1975" t="s">
        <v>6239</v>
      </c>
      <c r="I1975" t="s">
        <v>6240</v>
      </c>
      <c r="J1975" t="s">
        <v>2320</v>
      </c>
      <c r="K1975" t="s">
        <v>2321</v>
      </c>
      <c r="L1975" t="s">
        <v>50</v>
      </c>
      <c r="M1975" s="2">
        <v>82970.98</v>
      </c>
      <c r="N1975" t="s">
        <v>14273</v>
      </c>
      <c r="O1975" t="s">
        <v>115</v>
      </c>
      <c r="P1975" t="str">
        <f>CONCATENATE("'",Tabla1[[#This Row],[Codigo]],"',")</f>
        <v>'03049',</v>
      </c>
    </row>
    <row r="1976" spans="1:16" x14ac:dyDescent="0.25">
      <c r="A1976" t="s">
        <v>14274</v>
      </c>
      <c r="B1976" t="s">
        <v>14275</v>
      </c>
      <c r="C1976" t="s">
        <v>14275</v>
      </c>
      <c r="D1976" t="s">
        <v>125</v>
      </c>
      <c r="E1976" t="s">
        <v>126</v>
      </c>
      <c r="F1976" t="s">
        <v>14276</v>
      </c>
      <c r="G1976" t="s">
        <v>6237</v>
      </c>
      <c r="H1976" t="s">
        <v>6239</v>
      </c>
      <c r="I1976" t="s">
        <v>6240</v>
      </c>
      <c r="J1976" t="s">
        <v>2320</v>
      </c>
      <c r="K1976" t="s">
        <v>2321</v>
      </c>
      <c r="L1976" t="s">
        <v>50</v>
      </c>
      <c r="M1976" s="2">
        <v>354194.8</v>
      </c>
      <c r="N1976" t="s">
        <v>14278</v>
      </c>
      <c r="O1976" t="s">
        <v>115</v>
      </c>
      <c r="P1976" t="str">
        <f>CONCATENATE("'",Tabla1[[#This Row],[Codigo]],"',")</f>
        <v>'03050',</v>
      </c>
    </row>
    <row r="1977" spans="1:16" x14ac:dyDescent="0.25">
      <c r="A1977" t="s">
        <v>14279</v>
      </c>
      <c r="B1977" t="s">
        <v>14280</v>
      </c>
      <c r="C1977" t="s">
        <v>14280</v>
      </c>
      <c r="D1977" t="s">
        <v>478</v>
      </c>
      <c r="E1977" t="s">
        <v>190</v>
      </c>
      <c r="F1977" t="s">
        <v>14281</v>
      </c>
      <c r="G1977" t="s">
        <v>3233</v>
      </c>
      <c r="H1977" t="s">
        <v>3232</v>
      </c>
      <c r="I1977" t="s">
        <v>3233</v>
      </c>
      <c r="J1977" t="s">
        <v>2320</v>
      </c>
      <c r="K1977" t="s">
        <v>2321</v>
      </c>
      <c r="L1977" t="s">
        <v>50</v>
      </c>
      <c r="M1977" s="2">
        <v>654261.77</v>
      </c>
      <c r="N1977" t="s">
        <v>14283</v>
      </c>
      <c r="O1977" t="s">
        <v>115</v>
      </c>
      <c r="P1977" t="str">
        <f>CONCATENATE("'",Tabla1[[#This Row],[Codigo]],"',")</f>
        <v>'03051',</v>
      </c>
    </row>
    <row r="1978" spans="1:16" x14ac:dyDescent="0.25">
      <c r="A1978" t="s">
        <v>14284</v>
      </c>
      <c r="B1978" t="s">
        <v>14285</v>
      </c>
      <c r="C1978" t="s">
        <v>14285</v>
      </c>
      <c r="D1978" t="s">
        <v>35</v>
      </c>
      <c r="E1978" t="s">
        <v>36</v>
      </c>
      <c r="F1978" t="s">
        <v>14286</v>
      </c>
      <c r="G1978" t="s">
        <v>9834</v>
      </c>
      <c r="H1978" t="s">
        <v>9588</v>
      </c>
      <c r="I1978" t="s">
        <v>9589</v>
      </c>
      <c r="J1978" t="s">
        <v>2320</v>
      </c>
      <c r="K1978" t="s">
        <v>2321</v>
      </c>
      <c r="L1978" t="s">
        <v>50</v>
      </c>
      <c r="M1978" s="2">
        <v>286472.12</v>
      </c>
      <c r="N1978" t="s">
        <v>14288</v>
      </c>
      <c r="O1978" t="s">
        <v>115</v>
      </c>
      <c r="P1978" t="str">
        <f>CONCATENATE("'",Tabla1[[#This Row],[Codigo]],"',")</f>
        <v>'03052',</v>
      </c>
    </row>
    <row r="1979" spans="1:16" x14ac:dyDescent="0.25">
      <c r="A1979" t="s">
        <v>14289</v>
      </c>
      <c r="B1979" t="s">
        <v>14290</v>
      </c>
      <c r="C1979" t="s">
        <v>14290</v>
      </c>
      <c r="D1979" t="s">
        <v>35</v>
      </c>
      <c r="E1979" t="s">
        <v>36</v>
      </c>
      <c r="F1979" t="s">
        <v>14291</v>
      </c>
      <c r="G1979" t="s">
        <v>12294</v>
      </c>
      <c r="H1979" t="s">
        <v>7585</v>
      </c>
      <c r="I1979" t="s">
        <v>7586</v>
      </c>
      <c r="J1979" t="s">
        <v>2320</v>
      </c>
      <c r="K1979" t="s">
        <v>2321</v>
      </c>
      <c r="L1979" t="s">
        <v>50</v>
      </c>
      <c r="M1979" s="2">
        <v>12074.42</v>
      </c>
      <c r="N1979" t="s">
        <v>14293</v>
      </c>
      <c r="O1979" t="s">
        <v>115</v>
      </c>
      <c r="P1979" t="str">
        <f>CONCATENATE("'",Tabla1[[#This Row],[Codigo]],"',")</f>
        <v>'03053',</v>
      </c>
    </row>
    <row r="1980" spans="1:16" x14ac:dyDescent="0.25">
      <c r="A1980" t="s">
        <v>14294</v>
      </c>
      <c r="B1980" t="s">
        <v>14295</v>
      </c>
      <c r="C1980" t="s">
        <v>14295</v>
      </c>
      <c r="D1980" t="s">
        <v>35</v>
      </c>
      <c r="E1980" t="s">
        <v>36</v>
      </c>
      <c r="F1980" t="s">
        <v>14296</v>
      </c>
      <c r="G1980" t="s">
        <v>10436</v>
      </c>
      <c r="H1980" t="s">
        <v>10438</v>
      </c>
      <c r="I1980" t="s">
        <v>10436</v>
      </c>
      <c r="J1980" t="s">
        <v>2320</v>
      </c>
      <c r="K1980" t="s">
        <v>2321</v>
      </c>
      <c r="L1980" t="s">
        <v>50</v>
      </c>
      <c r="M1980" s="2">
        <v>119144.71</v>
      </c>
      <c r="N1980" t="s">
        <v>14298</v>
      </c>
      <c r="O1980" t="s">
        <v>52</v>
      </c>
      <c r="P1980" t="str">
        <f>CONCATENATE("'",Tabla1[[#This Row],[Codigo]],"',")</f>
        <v>'03054',</v>
      </c>
    </row>
    <row r="1981" spans="1:16" x14ac:dyDescent="0.25">
      <c r="A1981" t="s">
        <v>14299</v>
      </c>
      <c r="B1981" t="s">
        <v>14300</v>
      </c>
      <c r="C1981" t="s">
        <v>14300</v>
      </c>
      <c r="D1981" t="s">
        <v>297</v>
      </c>
      <c r="E1981" t="s">
        <v>167</v>
      </c>
      <c r="F1981" t="s">
        <v>14301</v>
      </c>
      <c r="G1981" t="s">
        <v>14302</v>
      </c>
      <c r="H1981" t="s">
        <v>14304</v>
      </c>
      <c r="I1981" t="s">
        <v>14302</v>
      </c>
      <c r="J1981" t="s">
        <v>14215</v>
      </c>
      <c r="K1981" t="s">
        <v>10167</v>
      </c>
      <c r="L1981" t="s">
        <v>50</v>
      </c>
      <c r="M1981" s="2">
        <v>205971.11</v>
      </c>
      <c r="N1981" t="s">
        <v>14306</v>
      </c>
      <c r="O1981" t="s">
        <v>52</v>
      </c>
      <c r="P1981" t="str">
        <f>CONCATENATE("'",Tabla1[[#This Row],[Codigo]],"',")</f>
        <v>'03055',</v>
      </c>
    </row>
    <row r="1982" spans="1:16" x14ac:dyDescent="0.25">
      <c r="A1982" t="s">
        <v>14307</v>
      </c>
      <c r="B1982" t="s">
        <v>14308</v>
      </c>
      <c r="C1982" t="s">
        <v>14308</v>
      </c>
      <c r="D1982" t="s">
        <v>553</v>
      </c>
      <c r="E1982" t="s">
        <v>167</v>
      </c>
      <c r="F1982" t="s">
        <v>14309</v>
      </c>
      <c r="G1982" t="s">
        <v>10571</v>
      </c>
      <c r="H1982" t="s">
        <v>10572</v>
      </c>
      <c r="I1982" t="s">
        <v>10571</v>
      </c>
      <c r="J1982" t="s">
        <v>14215</v>
      </c>
      <c r="K1982" t="s">
        <v>10167</v>
      </c>
      <c r="L1982" t="s">
        <v>50</v>
      </c>
      <c r="M1982" s="2">
        <v>218170</v>
      </c>
      <c r="N1982" t="s">
        <v>64</v>
      </c>
      <c r="P1982" t="str">
        <f>CONCATENATE("'",Tabla1[[#This Row],[Codigo]],"',")</f>
        <v>'03056',</v>
      </c>
    </row>
    <row r="1983" spans="1:16" x14ac:dyDescent="0.25">
      <c r="A1983" t="s">
        <v>14312</v>
      </c>
      <c r="B1983" t="s">
        <v>14313</v>
      </c>
      <c r="C1983" t="s">
        <v>14313</v>
      </c>
      <c r="D1983" t="s">
        <v>870</v>
      </c>
      <c r="E1983" t="s">
        <v>871</v>
      </c>
      <c r="F1983" t="s">
        <v>14314</v>
      </c>
      <c r="G1983" t="s">
        <v>12422</v>
      </c>
      <c r="H1983" t="s">
        <v>12421</v>
      </c>
      <c r="I1983" t="s">
        <v>12422</v>
      </c>
      <c r="J1983" t="s">
        <v>941</v>
      </c>
      <c r="K1983" t="s">
        <v>139</v>
      </c>
      <c r="L1983" t="s">
        <v>50</v>
      </c>
      <c r="M1983" s="2">
        <v>153267.32999999999</v>
      </c>
      <c r="N1983" t="s">
        <v>14317</v>
      </c>
      <c r="O1983" t="s">
        <v>115</v>
      </c>
      <c r="P1983" t="str">
        <f>CONCATENATE("'",Tabla1[[#This Row],[Codigo]],"',")</f>
        <v>'03057',</v>
      </c>
    </row>
    <row r="1984" spans="1:16" x14ac:dyDescent="0.25">
      <c r="A1984" t="s">
        <v>14318</v>
      </c>
      <c r="B1984" t="s">
        <v>14319</v>
      </c>
      <c r="C1984" t="s">
        <v>14319</v>
      </c>
      <c r="D1984" t="s">
        <v>125</v>
      </c>
      <c r="E1984" t="s">
        <v>126</v>
      </c>
      <c r="F1984" t="s">
        <v>14320</v>
      </c>
      <c r="G1984" t="s">
        <v>12422</v>
      </c>
      <c r="H1984" t="s">
        <v>12421</v>
      </c>
      <c r="I1984" t="s">
        <v>12422</v>
      </c>
      <c r="J1984" t="s">
        <v>941</v>
      </c>
      <c r="K1984" t="s">
        <v>139</v>
      </c>
      <c r="L1984" t="s">
        <v>50</v>
      </c>
      <c r="M1984" s="2">
        <v>82031.289999999994</v>
      </c>
      <c r="N1984" t="s">
        <v>14323</v>
      </c>
      <c r="O1984" t="s">
        <v>52</v>
      </c>
      <c r="P1984" t="str">
        <f>CONCATENATE("'",Tabla1[[#This Row],[Codigo]],"',")</f>
        <v>'03058',</v>
      </c>
    </row>
    <row r="1985" spans="1:16" x14ac:dyDescent="0.25">
      <c r="A1985" t="s">
        <v>14331</v>
      </c>
      <c r="B1985" t="s">
        <v>14332</v>
      </c>
      <c r="C1985" t="s">
        <v>14332</v>
      </c>
      <c r="D1985" t="s">
        <v>297</v>
      </c>
      <c r="E1985" t="s">
        <v>167</v>
      </c>
      <c r="F1985" t="s">
        <v>14333</v>
      </c>
      <c r="G1985" t="s">
        <v>12422</v>
      </c>
      <c r="H1985" t="s">
        <v>12421</v>
      </c>
      <c r="I1985" t="s">
        <v>12422</v>
      </c>
      <c r="J1985" t="s">
        <v>941</v>
      </c>
      <c r="K1985" t="s">
        <v>139</v>
      </c>
      <c r="L1985" t="s">
        <v>50</v>
      </c>
      <c r="M1985" s="2">
        <v>153735.95000000001</v>
      </c>
      <c r="N1985" t="s">
        <v>14335</v>
      </c>
      <c r="O1985" t="s">
        <v>52</v>
      </c>
      <c r="P1985" t="str">
        <f>CONCATENATE("'",Tabla1[[#This Row],[Codigo]],"',")</f>
        <v>'03060',</v>
      </c>
    </row>
    <row r="1986" spans="1:16" x14ac:dyDescent="0.25">
      <c r="A1986" t="s">
        <v>14336</v>
      </c>
      <c r="B1986" t="s">
        <v>14337</v>
      </c>
      <c r="C1986" t="s">
        <v>9581</v>
      </c>
      <c r="D1986" t="s">
        <v>35</v>
      </c>
      <c r="E1986" t="s">
        <v>36</v>
      </c>
      <c r="F1986" t="s">
        <v>9578</v>
      </c>
      <c r="G1986" t="s">
        <v>9834</v>
      </c>
      <c r="H1986" t="s">
        <v>9588</v>
      </c>
      <c r="I1986" t="s">
        <v>9589</v>
      </c>
      <c r="J1986" t="s">
        <v>5966</v>
      </c>
      <c r="K1986" t="s">
        <v>5739</v>
      </c>
      <c r="L1986" t="s">
        <v>50</v>
      </c>
      <c r="M1986" s="2">
        <v>211021.6</v>
      </c>
      <c r="N1986" t="s">
        <v>14339</v>
      </c>
      <c r="O1986" t="s">
        <v>52</v>
      </c>
      <c r="P1986" t="str">
        <f>CONCATENATE("'",Tabla1[[#This Row],[Codigo]],"',")</f>
        <v>'03061',</v>
      </c>
    </row>
    <row r="1987" spans="1:16" x14ac:dyDescent="0.25">
      <c r="A1987" t="s">
        <v>14340</v>
      </c>
      <c r="B1987" t="s">
        <v>14341</v>
      </c>
      <c r="C1987" t="s">
        <v>14341</v>
      </c>
      <c r="D1987" t="s">
        <v>1243</v>
      </c>
      <c r="E1987" t="s">
        <v>871</v>
      </c>
      <c r="F1987" t="s">
        <v>14342</v>
      </c>
      <c r="G1987" t="s">
        <v>139</v>
      </c>
      <c r="H1987" t="s">
        <v>8853</v>
      </c>
      <c r="I1987" t="s">
        <v>139</v>
      </c>
      <c r="J1987" t="s">
        <v>941</v>
      </c>
      <c r="K1987" t="s">
        <v>139</v>
      </c>
      <c r="L1987" t="s">
        <v>50</v>
      </c>
      <c r="M1987" s="2">
        <v>218170</v>
      </c>
      <c r="N1987" t="s">
        <v>64</v>
      </c>
      <c r="P1987" t="str">
        <f>CONCATENATE("'",Tabla1[[#This Row],[Codigo]],"',")</f>
        <v>'03062',</v>
      </c>
    </row>
    <row r="1988" spans="1:16" x14ac:dyDescent="0.25">
      <c r="A1988" t="s">
        <v>14344</v>
      </c>
      <c r="B1988" t="s">
        <v>14345</v>
      </c>
      <c r="C1988" t="s">
        <v>14345</v>
      </c>
      <c r="D1988" t="s">
        <v>153</v>
      </c>
      <c r="E1988" t="s">
        <v>272</v>
      </c>
      <c r="F1988" t="s">
        <v>14346</v>
      </c>
      <c r="G1988" t="s">
        <v>1607</v>
      </c>
      <c r="H1988" t="s">
        <v>403</v>
      </c>
      <c r="I1988" t="s">
        <v>404</v>
      </c>
      <c r="J1988" t="s">
        <v>205</v>
      </c>
      <c r="K1988" t="s">
        <v>206</v>
      </c>
      <c r="L1988" t="s">
        <v>50</v>
      </c>
      <c r="M1988" s="2">
        <v>365837.17</v>
      </c>
      <c r="N1988" t="s">
        <v>14348</v>
      </c>
      <c r="O1988" t="s">
        <v>52</v>
      </c>
      <c r="P1988" t="str">
        <f>CONCATENATE("'",Tabla1[[#This Row],[Codigo]],"',")</f>
        <v>'03063',</v>
      </c>
    </row>
    <row r="1989" spans="1:16" x14ac:dyDescent="0.25">
      <c r="A1989" t="s">
        <v>14372</v>
      </c>
      <c r="B1989" t="s">
        <v>14373</v>
      </c>
      <c r="C1989" t="s">
        <v>14373</v>
      </c>
      <c r="D1989" t="s">
        <v>792</v>
      </c>
      <c r="E1989" t="s">
        <v>190</v>
      </c>
      <c r="F1989" t="s">
        <v>14374</v>
      </c>
      <c r="G1989" t="s">
        <v>10163</v>
      </c>
      <c r="H1989" t="s">
        <v>10165</v>
      </c>
      <c r="I1989" t="s">
        <v>10163</v>
      </c>
      <c r="J1989" t="s">
        <v>14215</v>
      </c>
      <c r="K1989" t="s">
        <v>10167</v>
      </c>
      <c r="L1989" t="s">
        <v>50</v>
      </c>
      <c r="M1989" s="2">
        <v>155210.06</v>
      </c>
      <c r="N1989" t="s">
        <v>14377</v>
      </c>
      <c r="O1989" t="s">
        <v>52</v>
      </c>
      <c r="P1989" t="str">
        <f>CONCATENATE("'",Tabla1[[#This Row],[Codigo]],"',")</f>
        <v>'03069',</v>
      </c>
    </row>
    <row r="1990" spans="1:16" x14ac:dyDescent="0.25">
      <c r="A1990" t="s">
        <v>14378</v>
      </c>
      <c r="B1990" t="s">
        <v>14379</v>
      </c>
      <c r="C1990" t="s">
        <v>14379</v>
      </c>
      <c r="D1990" t="s">
        <v>297</v>
      </c>
      <c r="E1990" t="s">
        <v>167</v>
      </c>
      <c r="F1990" t="s">
        <v>14380</v>
      </c>
      <c r="G1990" t="s">
        <v>6627</v>
      </c>
      <c r="H1990" t="s">
        <v>6629</v>
      </c>
      <c r="I1990" t="s">
        <v>6630</v>
      </c>
      <c r="J1990" t="s">
        <v>3487</v>
      </c>
      <c r="K1990" t="s">
        <v>3488</v>
      </c>
      <c r="L1990" t="s">
        <v>50</v>
      </c>
      <c r="M1990" s="2">
        <v>205311.57</v>
      </c>
      <c r="N1990" t="s">
        <v>14383</v>
      </c>
      <c r="O1990" t="s">
        <v>52</v>
      </c>
      <c r="P1990" t="str">
        <f>CONCATENATE("'",Tabla1[[#This Row],[Codigo]],"',")</f>
        <v>'03070',</v>
      </c>
    </row>
    <row r="1991" spans="1:16" x14ac:dyDescent="0.25">
      <c r="A1991" t="s">
        <v>14389</v>
      </c>
      <c r="B1991" t="s">
        <v>15208</v>
      </c>
      <c r="C1991" t="s">
        <v>14390</v>
      </c>
      <c r="D1991" t="s">
        <v>125</v>
      </c>
      <c r="E1991" t="s">
        <v>126</v>
      </c>
      <c r="F1991" t="s">
        <v>14391</v>
      </c>
      <c r="G1991" t="s">
        <v>14302</v>
      </c>
      <c r="H1991" t="s">
        <v>14304</v>
      </c>
      <c r="I1991" t="s">
        <v>14302</v>
      </c>
      <c r="J1991" t="s">
        <v>14215</v>
      </c>
      <c r="K1991" t="s">
        <v>10167</v>
      </c>
      <c r="L1991" t="s">
        <v>50</v>
      </c>
      <c r="M1991" s="2">
        <v>307323.17</v>
      </c>
      <c r="N1991" t="s">
        <v>14394</v>
      </c>
      <c r="O1991" t="s">
        <v>52</v>
      </c>
      <c r="P1991" t="str">
        <f>CONCATENATE("'",Tabla1[[#This Row],[Codigo]],"',")</f>
        <v>'03072',</v>
      </c>
    </row>
    <row r="1992" spans="1:16" x14ac:dyDescent="0.25">
      <c r="A1992" t="s">
        <v>14400</v>
      </c>
      <c r="B1992" t="s">
        <v>14401</v>
      </c>
      <c r="C1992" t="s">
        <v>14401</v>
      </c>
      <c r="D1992" t="s">
        <v>35</v>
      </c>
      <c r="E1992" t="s">
        <v>36</v>
      </c>
      <c r="F1992" t="s">
        <v>14402</v>
      </c>
      <c r="G1992" t="s">
        <v>9834</v>
      </c>
      <c r="H1992" t="s">
        <v>9588</v>
      </c>
      <c r="I1992" t="s">
        <v>9589</v>
      </c>
      <c r="J1992" t="s">
        <v>2320</v>
      </c>
      <c r="K1992" t="s">
        <v>2321</v>
      </c>
      <c r="L1992" t="s">
        <v>50</v>
      </c>
      <c r="M1992" s="2">
        <v>737769.55</v>
      </c>
      <c r="N1992" t="s">
        <v>14404</v>
      </c>
      <c r="O1992" t="s">
        <v>115</v>
      </c>
      <c r="P1992" t="str">
        <f>CONCATENATE("'",Tabla1[[#This Row],[Codigo]],"',")</f>
        <v>'03074',</v>
      </c>
    </row>
    <row r="1993" spans="1:16" x14ac:dyDescent="0.25">
      <c r="A1993" t="s">
        <v>14405</v>
      </c>
      <c r="B1993" t="s">
        <v>14406</v>
      </c>
      <c r="C1993" t="s">
        <v>14406</v>
      </c>
      <c r="D1993" t="s">
        <v>35</v>
      </c>
      <c r="E1993" t="s">
        <v>36</v>
      </c>
      <c r="F1993" t="s">
        <v>14407</v>
      </c>
      <c r="G1993" t="s">
        <v>9587</v>
      </c>
      <c r="H1993" t="s">
        <v>9588</v>
      </c>
      <c r="I1993" t="s">
        <v>9589</v>
      </c>
      <c r="J1993" t="s">
        <v>2320</v>
      </c>
      <c r="K1993" t="s">
        <v>2321</v>
      </c>
      <c r="L1993" t="s">
        <v>50</v>
      </c>
      <c r="M1993" s="2">
        <v>7022.18</v>
      </c>
      <c r="N1993" t="s">
        <v>14409</v>
      </c>
      <c r="O1993" t="s">
        <v>115</v>
      </c>
      <c r="P1993" t="str">
        <f>CONCATENATE("'",Tabla1[[#This Row],[Codigo]],"',")</f>
        <v>'03075',</v>
      </c>
    </row>
    <row r="1994" spans="1:16" x14ac:dyDescent="0.25">
      <c r="A1994" t="s">
        <v>14410</v>
      </c>
      <c r="B1994" t="s">
        <v>14411</v>
      </c>
      <c r="C1994" t="s">
        <v>14411</v>
      </c>
      <c r="D1994" t="s">
        <v>125</v>
      </c>
      <c r="E1994" t="s">
        <v>126</v>
      </c>
      <c r="F1994" t="s">
        <v>14412</v>
      </c>
      <c r="G1994" t="s">
        <v>10350</v>
      </c>
      <c r="H1994" t="s">
        <v>10352</v>
      </c>
      <c r="I1994" t="s">
        <v>10350</v>
      </c>
      <c r="J1994" t="s">
        <v>10093</v>
      </c>
      <c r="K1994" t="s">
        <v>10094</v>
      </c>
      <c r="L1994" t="s">
        <v>50</v>
      </c>
      <c r="M1994" s="2">
        <v>524694.6</v>
      </c>
      <c r="N1994" t="s">
        <v>14415</v>
      </c>
      <c r="O1994" t="s">
        <v>52</v>
      </c>
      <c r="P1994" t="str">
        <f>CONCATENATE("'",Tabla1[[#This Row],[Codigo]],"',")</f>
        <v>'03076',</v>
      </c>
    </row>
    <row r="1995" spans="1:16" x14ac:dyDescent="0.25">
      <c r="A1995" t="s">
        <v>14416</v>
      </c>
      <c r="B1995" t="s">
        <v>14417</v>
      </c>
      <c r="C1995" t="s">
        <v>14417</v>
      </c>
      <c r="D1995" t="s">
        <v>847</v>
      </c>
      <c r="E1995" t="s">
        <v>848</v>
      </c>
      <c r="F1995" t="s">
        <v>14418</v>
      </c>
      <c r="G1995" t="s">
        <v>137</v>
      </c>
      <c r="H1995" t="s">
        <v>14420</v>
      </c>
      <c r="I1995" t="s">
        <v>14421</v>
      </c>
      <c r="J1995" t="s">
        <v>256</v>
      </c>
      <c r="K1995" t="s">
        <v>255</v>
      </c>
      <c r="L1995" t="s">
        <v>50</v>
      </c>
      <c r="M1995" s="2">
        <v>-5103.1400000000003</v>
      </c>
      <c r="N1995" t="s">
        <v>14423</v>
      </c>
      <c r="O1995" t="s">
        <v>52</v>
      </c>
      <c r="P1995" t="str">
        <f>CONCATENATE("'",Tabla1[[#This Row],[Codigo]],"',")</f>
        <v>'03077',</v>
      </c>
    </row>
    <row r="1996" spans="1:16" x14ac:dyDescent="0.25">
      <c r="A1996" t="s">
        <v>14424</v>
      </c>
      <c r="B1996" t="s">
        <v>14425</v>
      </c>
      <c r="C1996" t="s">
        <v>14425</v>
      </c>
      <c r="D1996" t="s">
        <v>847</v>
      </c>
      <c r="E1996" t="s">
        <v>848</v>
      </c>
      <c r="F1996" t="s">
        <v>14426</v>
      </c>
      <c r="G1996" t="s">
        <v>10214</v>
      </c>
      <c r="H1996" t="s">
        <v>10216</v>
      </c>
      <c r="I1996" t="s">
        <v>10214</v>
      </c>
      <c r="J1996" t="s">
        <v>10093</v>
      </c>
      <c r="K1996" t="s">
        <v>10094</v>
      </c>
      <c r="L1996" t="s">
        <v>50</v>
      </c>
      <c r="M1996" s="2">
        <v>195490.54</v>
      </c>
      <c r="N1996" t="s">
        <v>14429</v>
      </c>
      <c r="O1996" t="s">
        <v>52</v>
      </c>
      <c r="P1996" t="str">
        <f>CONCATENATE("'",Tabla1[[#This Row],[Codigo]],"',")</f>
        <v>'03078',</v>
      </c>
    </row>
    <row r="1997" spans="1:16" x14ac:dyDescent="0.25">
      <c r="A1997" t="s">
        <v>14450</v>
      </c>
      <c r="B1997" t="s">
        <v>14451</v>
      </c>
      <c r="C1997" t="s">
        <v>14451</v>
      </c>
      <c r="D1997" t="s">
        <v>125</v>
      </c>
      <c r="E1997" t="s">
        <v>126</v>
      </c>
      <c r="F1997" t="s">
        <v>14452</v>
      </c>
      <c r="G1997" t="s">
        <v>10571</v>
      </c>
      <c r="H1997" t="s">
        <v>10572</v>
      </c>
      <c r="I1997" t="s">
        <v>10571</v>
      </c>
      <c r="J1997" t="s">
        <v>14215</v>
      </c>
      <c r="K1997" t="s">
        <v>10167</v>
      </c>
      <c r="L1997" t="s">
        <v>50</v>
      </c>
      <c r="M1997" s="2">
        <v>207333.42</v>
      </c>
      <c r="N1997" t="s">
        <v>14455</v>
      </c>
      <c r="O1997" t="s">
        <v>115</v>
      </c>
      <c r="P1997" t="str">
        <f>CONCATENATE("'",Tabla1[[#This Row],[Codigo]],"',")</f>
        <v>'03083',</v>
      </c>
    </row>
    <row r="1998" spans="1:16" x14ac:dyDescent="0.25">
      <c r="A1998" t="s">
        <v>14456</v>
      </c>
      <c r="B1998" t="s">
        <v>14457</v>
      </c>
      <c r="C1998" t="s">
        <v>14457</v>
      </c>
      <c r="D1998" t="s">
        <v>847</v>
      </c>
      <c r="E1998" t="s">
        <v>848</v>
      </c>
      <c r="F1998" t="s">
        <v>14458</v>
      </c>
      <c r="G1998" t="s">
        <v>137</v>
      </c>
      <c r="H1998" t="s">
        <v>136</v>
      </c>
      <c r="I1998" t="s">
        <v>137</v>
      </c>
      <c r="J1998" t="s">
        <v>3534</v>
      </c>
      <c r="K1998" t="s">
        <v>3535</v>
      </c>
      <c r="L1998" t="s">
        <v>50</v>
      </c>
      <c r="M1998" s="2">
        <v>108572.8</v>
      </c>
      <c r="N1998" t="s">
        <v>14461</v>
      </c>
      <c r="O1998" t="s">
        <v>52</v>
      </c>
      <c r="P1998" t="str">
        <f>CONCATENATE("'",Tabla1[[#This Row],[Codigo]],"',")</f>
        <v>'03084',</v>
      </c>
    </row>
    <row r="1999" spans="1:16" x14ac:dyDescent="0.25">
      <c r="A1999" t="s">
        <v>14462</v>
      </c>
      <c r="B1999" t="s">
        <v>14463</v>
      </c>
      <c r="C1999" t="s">
        <v>14463</v>
      </c>
      <c r="D1999" t="s">
        <v>299</v>
      </c>
      <c r="E1999" t="s">
        <v>167</v>
      </c>
      <c r="F1999" t="s">
        <v>14464</v>
      </c>
      <c r="G1999" t="s">
        <v>12118</v>
      </c>
      <c r="H1999" t="s">
        <v>80</v>
      </c>
      <c r="I1999" t="s">
        <v>81</v>
      </c>
      <c r="J1999" t="s">
        <v>557</v>
      </c>
      <c r="K1999" t="s">
        <v>558</v>
      </c>
      <c r="L1999" t="s">
        <v>50</v>
      </c>
      <c r="M1999" s="2">
        <v>214233.74</v>
      </c>
      <c r="N1999" t="s">
        <v>14467</v>
      </c>
      <c r="P1999" t="str">
        <f>CONCATENATE("'",Tabla1[[#This Row],[Codigo]],"',")</f>
        <v>'03085',</v>
      </c>
    </row>
    <row r="2000" spans="1:16" x14ac:dyDescent="0.25">
      <c r="A2000" t="s">
        <v>14468</v>
      </c>
      <c r="B2000" t="s">
        <v>14469</v>
      </c>
      <c r="C2000" t="s">
        <v>14469</v>
      </c>
      <c r="D2000" t="s">
        <v>125</v>
      </c>
      <c r="E2000" t="s">
        <v>126</v>
      </c>
      <c r="F2000" t="s">
        <v>14470</v>
      </c>
      <c r="G2000" t="s">
        <v>139</v>
      </c>
      <c r="H2000" t="s">
        <v>8853</v>
      </c>
      <c r="I2000" t="s">
        <v>139</v>
      </c>
      <c r="J2000" t="s">
        <v>941</v>
      </c>
      <c r="K2000" t="s">
        <v>139</v>
      </c>
      <c r="L2000" t="s">
        <v>50</v>
      </c>
      <c r="M2000" s="2">
        <v>14439.5</v>
      </c>
      <c r="N2000" t="s">
        <v>14473</v>
      </c>
      <c r="O2000" t="s">
        <v>52</v>
      </c>
      <c r="P2000" t="str">
        <f>CONCATENATE("'",Tabla1[[#This Row],[Codigo]],"',")</f>
        <v>'03086',</v>
      </c>
    </row>
    <row r="2001" spans="1:16" x14ac:dyDescent="0.25">
      <c r="A2001" t="s">
        <v>14474</v>
      </c>
      <c r="B2001" t="s">
        <v>14475</v>
      </c>
      <c r="C2001" t="s">
        <v>14475</v>
      </c>
      <c r="D2001" t="s">
        <v>153</v>
      </c>
      <c r="E2001" t="s">
        <v>272</v>
      </c>
      <c r="F2001" t="s">
        <v>14476</v>
      </c>
      <c r="G2001" t="s">
        <v>139</v>
      </c>
      <c r="H2001" t="s">
        <v>8853</v>
      </c>
      <c r="I2001" t="s">
        <v>139</v>
      </c>
      <c r="J2001" t="s">
        <v>941</v>
      </c>
      <c r="K2001" t="s">
        <v>139</v>
      </c>
      <c r="L2001" t="s">
        <v>50</v>
      </c>
      <c r="M2001" s="2">
        <v>35462.67</v>
      </c>
      <c r="N2001" t="s">
        <v>14479</v>
      </c>
      <c r="O2001" t="s">
        <v>115</v>
      </c>
      <c r="P2001" t="str">
        <f>CONCATENATE("'",Tabla1[[#This Row],[Codigo]],"',")</f>
        <v>'03087',</v>
      </c>
    </row>
    <row r="2002" spans="1:16" x14ac:dyDescent="0.25">
      <c r="A2002" t="s">
        <v>14480</v>
      </c>
      <c r="B2002" t="s">
        <v>15209</v>
      </c>
      <c r="C2002" t="s">
        <v>14481</v>
      </c>
      <c r="D2002" t="s">
        <v>847</v>
      </c>
      <c r="E2002" t="s">
        <v>848</v>
      </c>
      <c r="F2002" t="s">
        <v>14482</v>
      </c>
      <c r="G2002" t="s">
        <v>8401</v>
      </c>
      <c r="H2002" t="s">
        <v>8403</v>
      </c>
      <c r="I2002" t="s">
        <v>8401</v>
      </c>
      <c r="J2002" t="s">
        <v>6987</v>
      </c>
      <c r="K2002" t="s">
        <v>6988</v>
      </c>
      <c r="L2002" t="s">
        <v>50</v>
      </c>
      <c r="M2002" s="2">
        <v>183651.86</v>
      </c>
      <c r="N2002" t="s">
        <v>14485</v>
      </c>
      <c r="O2002" t="s">
        <v>115</v>
      </c>
      <c r="P2002" t="str">
        <f>CONCATENATE("'",Tabla1[[#This Row],[Codigo]],"',")</f>
        <v>'03088',</v>
      </c>
    </row>
    <row r="2003" spans="1:16" x14ac:dyDescent="0.25">
      <c r="A2003" t="s">
        <v>14486</v>
      </c>
      <c r="B2003" t="s">
        <v>14487</v>
      </c>
      <c r="C2003" t="s">
        <v>14487</v>
      </c>
      <c r="D2003" t="s">
        <v>125</v>
      </c>
      <c r="E2003" t="s">
        <v>126</v>
      </c>
      <c r="F2003" t="s">
        <v>14488</v>
      </c>
      <c r="G2003" t="s">
        <v>10155</v>
      </c>
      <c r="H2003" t="s">
        <v>10157</v>
      </c>
      <c r="I2003" t="s">
        <v>10155</v>
      </c>
      <c r="J2003" t="s">
        <v>10093</v>
      </c>
      <c r="K2003" t="s">
        <v>10094</v>
      </c>
      <c r="L2003" t="s">
        <v>50</v>
      </c>
      <c r="M2003" s="2">
        <v>156076.64000000001</v>
      </c>
      <c r="N2003" t="s">
        <v>14490</v>
      </c>
      <c r="O2003" t="s">
        <v>52</v>
      </c>
      <c r="P2003" t="str">
        <f>CONCATENATE("'",Tabla1[[#This Row],[Codigo]],"',")</f>
        <v>'03089',</v>
      </c>
    </row>
    <row r="2004" spans="1:16" x14ac:dyDescent="0.25">
      <c r="A2004" t="s">
        <v>14491</v>
      </c>
      <c r="B2004" t="s">
        <v>14492</v>
      </c>
      <c r="C2004" t="s">
        <v>14492</v>
      </c>
      <c r="D2004" t="s">
        <v>125</v>
      </c>
      <c r="E2004" t="s">
        <v>126</v>
      </c>
      <c r="F2004" t="s">
        <v>14493</v>
      </c>
      <c r="G2004" t="s">
        <v>11848</v>
      </c>
      <c r="H2004" t="s">
        <v>8675</v>
      </c>
      <c r="I2004" t="s">
        <v>8673</v>
      </c>
      <c r="J2004" t="s">
        <v>3487</v>
      </c>
      <c r="K2004" t="s">
        <v>3488</v>
      </c>
      <c r="L2004" t="s">
        <v>50</v>
      </c>
      <c r="M2004" s="2">
        <v>218170</v>
      </c>
      <c r="N2004" t="s">
        <v>64</v>
      </c>
      <c r="P2004" t="str">
        <f>CONCATENATE("'",Tabla1[[#This Row],[Codigo]],"',")</f>
        <v>'03090',</v>
      </c>
    </row>
    <row r="2005" spans="1:16" x14ac:dyDescent="0.25">
      <c r="A2005" t="s">
        <v>14496</v>
      </c>
      <c r="B2005" t="s">
        <v>14497</v>
      </c>
      <c r="C2005" t="s">
        <v>14497</v>
      </c>
      <c r="D2005" t="s">
        <v>1243</v>
      </c>
      <c r="E2005" t="s">
        <v>871</v>
      </c>
      <c r="F2005" t="s">
        <v>14498</v>
      </c>
      <c r="G2005" t="s">
        <v>10576</v>
      </c>
      <c r="H2005" t="s">
        <v>10572</v>
      </c>
      <c r="I2005" t="s">
        <v>10571</v>
      </c>
      <c r="J2005" t="s">
        <v>14215</v>
      </c>
      <c r="K2005" t="s">
        <v>10167</v>
      </c>
      <c r="L2005" t="s">
        <v>50</v>
      </c>
      <c r="M2005" s="2">
        <v>233560</v>
      </c>
      <c r="N2005" t="s">
        <v>64</v>
      </c>
      <c r="P2005" t="str">
        <f>CONCATENATE("'",Tabla1[[#This Row],[Codigo]],"',")</f>
        <v>'03091',</v>
      </c>
    </row>
    <row r="2006" spans="1:16" x14ac:dyDescent="0.25">
      <c r="A2006" t="s">
        <v>14501</v>
      </c>
      <c r="B2006" t="s">
        <v>14502</v>
      </c>
      <c r="C2006" t="s">
        <v>14502</v>
      </c>
      <c r="D2006" t="s">
        <v>125</v>
      </c>
      <c r="E2006" t="s">
        <v>126</v>
      </c>
      <c r="F2006" t="s">
        <v>14503</v>
      </c>
      <c r="G2006" t="s">
        <v>10576</v>
      </c>
      <c r="H2006" t="s">
        <v>10572</v>
      </c>
      <c r="I2006" t="s">
        <v>10571</v>
      </c>
      <c r="J2006" t="s">
        <v>14215</v>
      </c>
      <c r="K2006" t="s">
        <v>10167</v>
      </c>
      <c r="L2006" t="s">
        <v>50</v>
      </c>
      <c r="M2006" s="2">
        <v>70579.13</v>
      </c>
      <c r="N2006" t="s">
        <v>14506</v>
      </c>
      <c r="O2006" t="s">
        <v>52</v>
      </c>
      <c r="P2006" t="str">
        <f>CONCATENATE("'",Tabla1[[#This Row],[Codigo]],"',")</f>
        <v>'03092',</v>
      </c>
    </row>
    <row r="2007" spans="1:16" x14ac:dyDescent="0.25">
      <c r="A2007" t="s">
        <v>14507</v>
      </c>
      <c r="B2007" t="s">
        <v>14508</v>
      </c>
      <c r="C2007" t="s">
        <v>14508</v>
      </c>
      <c r="D2007" t="s">
        <v>35</v>
      </c>
      <c r="E2007" t="s">
        <v>36</v>
      </c>
      <c r="F2007" t="s">
        <v>14509</v>
      </c>
      <c r="G2007" t="s">
        <v>65</v>
      </c>
      <c r="H2007" t="s">
        <v>67</v>
      </c>
      <c r="I2007" t="s">
        <v>68</v>
      </c>
      <c r="J2007" t="s">
        <v>304</v>
      </c>
      <c r="K2007" t="s">
        <v>72</v>
      </c>
      <c r="L2007" t="s">
        <v>50</v>
      </c>
      <c r="M2007" s="2">
        <v>23953.38</v>
      </c>
      <c r="N2007" t="s">
        <v>14512</v>
      </c>
      <c r="O2007" t="s">
        <v>52</v>
      </c>
      <c r="P2007" t="str">
        <f>CONCATENATE("'",Tabla1[[#This Row],[Codigo]],"',")</f>
        <v>'03093',</v>
      </c>
    </row>
    <row r="2008" spans="1:16" x14ac:dyDescent="0.25">
      <c r="A2008" t="s">
        <v>14513</v>
      </c>
      <c r="B2008" t="s">
        <v>14514</v>
      </c>
      <c r="C2008" t="s">
        <v>14514</v>
      </c>
      <c r="D2008" t="s">
        <v>125</v>
      </c>
      <c r="E2008" t="s">
        <v>126</v>
      </c>
      <c r="F2008" t="s">
        <v>14515</v>
      </c>
      <c r="G2008" t="s">
        <v>10077</v>
      </c>
      <c r="H2008" t="s">
        <v>10078</v>
      </c>
      <c r="I2008" t="s">
        <v>10079</v>
      </c>
      <c r="J2008" t="s">
        <v>6987</v>
      </c>
      <c r="K2008" t="s">
        <v>6988</v>
      </c>
      <c r="L2008" t="s">
        <v>50</v>
      </c>
      <c r="M2008" s="2">
        <v>46811.17</v>
      </c>
      <c r="N2008" t="s">
        <v>14518</v>
      </c>
      <c r="O2008" t="s">
        <v>52</v>
      </c>
      <c r="P2008" t="str">
        <f>CONCATENATE("'",Tabla1[[#This Row],[Codigo]],"',")</f>
        <v>'03094',</v>
      </c>
    </row>
    <row r="2009" spans="1:16" x14ac:dyDescent="0.25">
      <c r="A2009" t="s">
        <v>14519</v>
      </c>
      <c r="B2009" t="s">
        <v>14520</v>
      </c>
      <c r="C2009" t="s">
        <v>14521</v>
      </c>
      <c r="D2009" t="s">
        <v>125</v>
      </c>
      <c r="E2009" t="s">
        <v>126</v>
      </c>
      <c r="F2009" t="s">
        <v>10162</v>
      </c>
      <c r="G2009" t="s">
        <v>10163</v>
      </c>
      <c r="H2009" t="s">
        <v>10165</v>
      </c>
      <c r="I2009" t="s">
        <v>10163</v>
      </c>
      <c r="J2009" t="s">
        <v>10093</v>
      </c>
      <c r="K2009" t="s">
        <v>10094</v>
      </c>
      <c r="L2009" t="s">
        <v>50</v>
      </c>
      <c r="M2009" s="2">
        <v>686848.7</v>
      </c>
      <c r="N2009" t="s">
        <v>14524</v>
      </c>
      <c r="O2009" t="s">
        <v>52</v>
      </c>
      <c r="P2009" t="str">
        <f>CONCATENATE("'",Tabla1[[#This Row],[Codigo]],"',")</f>
        <v>'03095',</v>
      </c>
    </row>
    <row r="2010" spans="1:16" x14ac:dyDescent="0.25">
      <c r="A2010" t="s">
        <v>14525</v>
      </c>
      <c r="B2010" t="s">
        <v>14526</v>
      </c>
      <c r="C2010" t="s">
        <v>14526</v>
      </c>
      <c r="D2010" t="s">
        <v>35</v>
      </c>
      <c r="E2010" t="s">
        <v>36</v>
      </c>
      <c r="F2010" t="s">
        <v>14527</v>
      </c>
      <c r="G2010" t="s">
        <v>4978</v>
      </c>
      <c r="H2010" t="s">
        <v>4980</v>
      </c>
      <c r="I2010" t="s">
        <v>4981</v>
      </c>
      <c r="J2010" t="s">
        <v>103</v>
      </c>
      <c r="K2010" t="s">
        <v>104</v>
      </c>
      <c r="L2010" t="s">
        <v>50</v>
      </c>
      <c r="M2010" s="2">
        <v>171638.62</v>
      </c>
      <c r="N2010" t="s">
        <v>14530</v>
      </c>
      <c r="O2010" t="s">
        <v>115</v>
      </c>
      <c r="P2010" t="str">
        <f>CONCATENATE("'",Tabla1[[#This Row],[Codigo]],"',")</f>
        <v>'03096',</v>
      </c>
    </row>
    <row r="2011" spans="1:16" x14ac:dyDescent="0.25">
      <c r="A2011" t="s">
        <v>14531</v>
      </c>
      <c r="B2011" t="s">
        <v>14532</v>
      </c>
      <c r="C2011" t="s">
        <v>14532</v>
      </c>
      <c r="D2011" t="s">
        <v>125</v>
      </c>
      <c r="E2011" t="s">
        <v>126</v>
      </c>
      <c r="F2011" t="s">
        <v>14533</v>
      </c>
      <c r="G2011" t="s">
        <v>2831</v>
      </c>
      <c r="H2011" t="s">
        <v>80</v>
      </c>
      <c r="I2011" t="s">
        <v>81</v>
      </c>
      <c r="J2011" t="s">
        <v>82</v>
      </c>
      <c r="K2011" t="s">
        <v>83</v>
      </c>
      <c r="L2011" t="s">
        <v>50</v>
      </c>
      <c r="M2011" s="2">
        <v>73655.78</v>
      </c>
      <c r="N2011" t="s">
        <v>14536</v>
      </c>
      <c r="O2011" t="s">
        <v>52</v>
      </c>
      <c r="P2011" t="str">
        <f>CONCATENATE("'",Tabla1[[#This Row],[Codigo]],"',")</f>
        <v>'03097',</v>
      </c>
    </row>
    <row r="2012" spans="1:16" x14ac:dyDescent="0.25">
      <c r="A2012" t="s">
        <v>14537</v>
      </c>
      <c r="B2012" t="s">
        <v>14538</v>
      </c>
      <c r="C2012" t="s">
        <v>14538</v>
      </c>
      <c r="D2012" t="s">
        <v>1245</v>
      </c>
      <c r="E2012" t="s">
        <v>224</v>
      </c>
      <c r="F2012" t="s">
        <v>14539</v>
      </c>
      <c r="G2012" t="s">
        <v>317</v>
      </c>
      <c r="H2012" t="s">
        <v>203</v>
      </c>
      <c r="I2012" t="s">
        <v>204</v>
      </c>
      <c r="J2012" t="s">
        <v>205</v>
      </c>
      <c r="K2012" t="s">
        <v>206</v>
      </c>
      <c r="L2012" t="s">
        <v>50</v>
      </c>
      <c r="M2012" s="2">
        <v>218170</v>
      </c>
      <c r="N2012" t="s">
        <v>64</v>
      </c>
      <c r="P2012" t="str">
        <f>CONCATENATE("'",Tabla1[[#This Row],[Codigo]],"',")</f>
        <v>'03098',</v>
      </c>
    </row>
    <row r="2013" spans="1:16" x14ac:dyDescent="0.25">
      <c r="A2013" t="s">
        <v>14546</v>
      </c>
      <c r="B2013" t="s">
        <v>14547</v>
      </c>
      <c r="C2013" t="s">
        <v>14548</v>
      </c>
      <c r="D2013" t="s">
        <v>2118</v>
      </c>
      <c r="E2013" t="s">
        <v>871</v>
      </c>
      <c r="F2013" t="s">
        <v>14549</v>
      </c>
      <c r="G2013" t="s">
        <v>137</v>
      </c>
      <c r="H2013" t="s">
        <v>2277</v>
      </c>
      <c r="I2013" t="s">
        <v>2278</v>
      </c>
      <c r="J2013" t="s">
        <v>6341</v>
      </c>
      <c r="K2013" t="s">
        <v>6342</v>
      </c>
      <c r="L2013" t="s">
        <v>50</v>
      </c>
      <c r="M2013" s="2">
        <v>65297.13</v>
      </c>
      <c r="N2013" t="s">
        <v>14552</v>
      </c>
      <c r="O2013" t="s">
        <v>52</v>
      </c>
      <c r="P2013" t="str">
        <f>CONCATENATE("'",Tabla1[[#This Row],[Codigo]],"',")</f>
        <v>'03100',</v>
      </c>
    </row>
    <row r="2014" spans="1:16" x14ac:dyDescent="0.25">
      <c r="A2014" t="s">
        <v>14553</v>
      </c>
      <c r="B2014" t="s">
        <v>14554</v>
      </c>
      <c r="C2014" t="s">
        <v>2743</v>
      </c>
      <c r="D2014" t="s">
        <v>178</v>
      </c>
      <c r="E2014" t="s">
        <v>179</v>
      </c>
      <c r="F2014" t="s">
        <v>2744</v>
      </c>
      <c r="G2014" t="s">
        <v>3729</v>
      </c>
      <c r="H2014" t="s">
        <v>1332</v>
      </c>
      <c r="I2014" t="s">
        <v>1330</v>
      </c>
      <c r="J2014" t="s">
        <v>103</v>
      </c>
      <c r="K2014" t="s">
        <v>104</v>
      </c>
      <c r="L2014" t="s">
        <v>50</v>
      </c>
      <c r="M2014" s="2">
        <v>51844.63</v>
      </c>
      <c r="N2014" t="s">
        <v>14555</v>
      </c>
      <c r="O2014" t="s">
        <v>52</v>
      </c>
      <c r="P2014" t="str">
        <f>CONCATENATE("'",Tabla1[[#This Row],[Codigo]],"',")</f>
        <v>'03101',</v>
      </c>
    </row>
    <row r="2015" spans="1:16" x14ac:dyDescent="0.25">
      <c r="A2015" t="s">
        <v>14556</v>
      </c>
      <c r="B2015" t="s">
        <v>14557</v>
      </c>
      <c r="C2015" t="s">
        <v>11192</v>
      </c>
      <c r="D2015" t="s">
        <v>344</v>
      </c>
      <c r="E2015" t="s">
        <v>167</v>
      </c>
      <c r="F2015" t="s">
        <v>11193</v>
      </c>
      <c r="G2015" t="s">
        <v>300</v>
      </c>
      <c r="H2015" t="s">
        <v>302</v>
      </c>
      <c r="I2015" t="s">
        <v>303</v>
      </c>
      <c r="J2015" t="s">
        <v>304</v>
      </c>
      <c r="K2015" t="s">
        <v>72</v>
      </c>
      <c r="L2015" t="s">
        <v>50</v>
      </c>
      <c r="M2015" s="2">
        <v>19269.830000000002</v>
      </c>
      <c r="N2015" t="s">
        <v>14559</v>
      </c>
      <c r="O2015" t="s">
        <v>52</v>
      </c>
      <c r="P2015" t="str">
        <f>CONCATENATE("'",Tabla1[[#This Row],[Codigo]],"',")</f>
        <v>'03102',</v>
      </c>
    </row>
    <row r="2016" spans="1:16" x14ac:dyDescent="0.25">
      <c r="A2016" t="s">
        <v>14565</v>
      </c>
      <c r="B2016" t="s">
        <v>14566</v>
      </c>
      <c r="C2016" t="s">
        <v>14566</v>
      </c>
      <c r="D2016" t="s">
        <v>153</v>
      </c>
      <c r="E2016" t="s">
        <v>272</v>
      </c>
      <c r="F2016" t="s">
        <v>14567</v>
      </c>
      <c r="G2016" t="s">
        <v>1898</v>
      </c>
      <c r="H2016" t="s">
        <v>1900</v>
      </c>
      <c r="I2016" t="s">
        <v>1901</v>
      </c>
      <c r="J2016" t="s">
        <v>158</v>
      </c>
      <c r="K2016" t="s">
        <v>159</v>
      </c>
      <c r="L2016" t="s">
        <v>50</v>
      </c>
      <c r="M2016" s="2">
        <v>854807.09</v>
      </c>
      <c r="N2016" t="s">
        <v>14569</v>
      </c>
      <c r="O2016" t="s">
        <v>52</v>
      </c>
      <c r="P2016" t="str">
        <f>CONCATENATE("'",Tabla1[[#This Row],[Codigo]],"',")</f>
        <v>'03104',</v>
      </c>
    </row>
    <row r="2017" spans="1:16" x14ac:dyDescent="0.25">
      <c r="A2017" t="s">
        <v>14570</v>
      </c>
      <c r="B2017" t="s">
        <v>14571</v>
      </c>
      <c r="C2017" t="s">
        <v>14571</v>
      </c>
      <c r="D2017" t="s">
        <v>297</v>
      </c>
      <c r="E2017" t="s">
        <v>167</v>
      </c>
      <c r="F2017" t="s">
        <v>14572</v>
      </c>
      <c r="G2017" t="s">
        <v>10576</v>
      </c>
      <c r="H2017" t="s">
        <v>10572</v>
      </c>
      <c r="I2017" t="s">
        <v>10571</v>
      </c>
      <c r="J2017" t="s">
        <v>14215</v>
      </c>
      <c r="K2017" t="s">
        <v>10167</v>
      </c>
      <c r="L2017" t="s">
        <v>50</v>
      </c>
      <c r="M2017" s="2">
        <v>178847.19</v>
      </c>
      <c r="N2017" t="s">
        <v>14575</v>
      </c>
      <c r="O2017" t="s">
        <v>52</v>
      </c>
      <c r="P2017" t="str">
        <f>CONCATENATE("'",Tabla1[[#This Row],[Codigo]],"',")</f>
        <v>'03105',</v>
      </c>
    </row>
    <row r="2018" spans="1:16" x14ac:dyDescent="0.25">
      <c r="A2018" t="s">
        <v>14576</v>
      </c>
      <c r="B2018" t="s">
        <v>14577</v>
      </c>
      <c r="C2018" t="s">
        <v>14577</v>
      </c>
      <c r="D2018" t="s">
        <v>125</v>
      </c>
      <c r="E2018" t="s">
        <v>126</v>
      </c>
      <c r="F2018" t="s">
        <v>14578</v>
      </c>
      <c r="G2018" t="s">
        <v>10141</v>
      </c>
      <c r="H2018" t="s">
        <v>7936</v>
      </c>
      <c r="I2018" t="s">
        <v>7935</v>
      </c>
      <c r="J2018" t="s">
        <v>10093</v>
      </c>
      <c r="K2018" t="s">
        <v>10094</v>
      </c>
      <c r="L2018" t="s">
        <v>50</v>
      </c>
      <c r="M2018" s="2">
        <v>152370.63</v>
      </c>
      <c r="N2018" t="s">
        <v>14581</v>
      </c>
      <c r="O2018" t="s">
        <v>52</v>
      </c>
      <c r="P2018" t="str">
        <f>CONCATENATE("'",Tabla1[[#This Row],[Codigo]],"',")</f>
        <v>'03106',</v>
      </c>
    </row>
    <row r="2019" spans="1:16" x14ac:dyDescent="0.25">
      <c r="A2019" t="s">
        <v>14587</v>
      </c>
      <c r="B2019" t="s">
        <v>14588</v>
      </c>
      <c r="C2019" t="s">
        <v>14588</v>
      </c>
      <c r="D2019" t="s">
        <v>299</v>
      </c>
      <c r="E2019" t="s">
        <v>167</v>
      </c>
      <c r="F2019" t="s">
        <v>14589</v>
      </c>
      <c r="G2019" t="s">
        <v>10571</v>
      </c>
      <c r="H2019" t="s">
        <v>10572</v>
      </c>
      <c r="I2019" t="s">
        <v>10571</v>
      </c>
      <c r="J2019" t="s">
        <v>14215</v>
      </c>
      <c r="K2019" t="s">
        <v>10167</v>
      </c>
      <c r="L2019" t="s">
        <v>50</v>
      </c>
      <c r="M2019" s="2">
        <v>184656.5</v>
      </c>
      <c r="N2019" t="s">
        <v>14592</v>
      </c>
      <c r="O2019" t="s">
        <v>52</v>
      </c>
      <c r="P2019" t="str">
        <f>CONCATENATE("'",Tabla1[[#This Row],[Codigo]],"',")</f>
        <v>'03108',</v>
      </c>
    </row>
    <row r="2020" spans="1:16" x14ac:dyDescent="0.25">
      <c r="A2020" t="s">
        <v>14593</v>
      </c>
      <c r="B2020" t="s">
        <v>14594</v>
      </c>
      <c r="C2020" t="s">
        <v>14594</v>
      </c>
      <c r="D2020" t="s">
        <v>153</v>
      </c>
      <c r="E2020" t="s">
        <v>272</v>
      </c>
      <c r="F2020" t="s">
        <v>14595</v>
      </c>
      <c r="G2020" t="s">
        <v>139</v>
      </c>
      <c r="H2020" t="s">
        <v>8853</v>
      </c>
      <c r="I2020" t="s">
        <v>139</v>
      </c>
      <c r="J2020" t="s">
        <v>941</v>
      </c>
      <c r="K2020" t="s">
        <v>139</v>
      </c>
      <c r="L2020" t="s">
        <v>50</v>
      </c>
      <c r="M2020" s="2">
        <v>17614.21</v>
      </c>
      <c r="N2020" t="s">
        <v>14598</v>
      </c>
      <c r="O2020" t="s">
        <v>52</v>
      </c>
      <c r="P2020" t="str">
        <f>CONCATENATE("'",Tabla1[[#This Row],[Codigo]],"',")</f>
        <v>'03109',</v>
      </c>
    </row>
    <row r="2021" spans="1:16" x14ac:dyDescent="0.25">
      <c r="A2021" t="s">
        <v>14599</v>
      </c>
      <c r="B2021" t="s">
        <v>14600</v>
      </c>
      <c r="C2021" t="s">
        <v>14601</v>
      </c>
      <c r="D2021" t="s">
        <v>125</v>
      </c>
      <c r="E2021" t="s">
        <v>126</v>
      </c>
      <c r="F2021" t="s">
        <v>8057</v>
      </c>
      <c r="G2021" t="s">
        <v>137</v>
      </c>
      <c r="H2021" t="s">
        <v>5190</v>
      </c>
      <c r="I2021" t="s">
        <v>5188</v>
      </c>
      <c r="J2021" t="s">
        <v>2320</v>
      </c>
      <c r="K2021" t="s">
        <v>2321</v>
      </c>
      <c r="L2021" t="s">
        <v>50</v>
      </c>
      <c r="M2021" s="2">
        <v>278069.12</v>
      </c>
      <c r="N2021" t="s">
        <v>14602</v>
      </c>
      <c r="O2021" t="s">
        <v>52</v>
      </c>
      <c r="P2021" t="str">
        <f>CONCATENATE("'",Tabla1[[#This Row],[Codigo]],"',")</f>
        <v>'03110',</v>
      </c>
    </row>
    <row r="2022" spans="1:16" x14ac:dyDescent="0.25">
      <c r="A2022" t="s">
        <v>14603</v>
      </c>
      <c r="B2022" t="s">
        <v>14604</v>
      </c>
      <c r="C2022" t="s">
        <v>14601</v>
      </c>
      <c r="D2022" t="s">
        <v>166</v>
      </c>
      <c r="E2022" t="s">
        <v>167</v>
      </c>
      <c r="F2022" t="s">
        <v>8057</v>
      </c>
      <c r="G2022" t="s">
        <v>137</v>
      </c>
      <c r="H2022" t="s">
        <v>136</v>
      </c>
      <c r="I2022" t="s">
        <v>137</v>
      </c>
      <c r="J2022" t="s">
        <v>2320</v>
      </c>
      <c r="K2022" t="s">
        <v>2321</v>
      </c>
      <c r="L2022" t="s">
        <v>50</v>
      </c>
      <c r="M2022" s="2">
        <v>59866.3</v>
      </c>
      <c r="N2022" t="s">
        <v>14605</v>
      </c>
      <c r="O2022" t="s">
        <v>52</v>
      </c>
      <c r="P2022" t="str">
        <f>CONCATENATE("'",Tabla1[[#This Row],[Codigo]],"',")</f>
        <v>'03111',</v>
      </c>
    </row>
    <row r="2023" spans="1:16" x14ac:dyDescent="0.25">
      <c r="A2023" t="s">
        <v>14606</v>
      </c>
      <c r="B2023" t="s">
        <v>14607</v>
      </c>
      <c r="C2023" t="s">
        <v>14601</v>
      </c>
      <c r="D2023" t="s">
        <v>125</v>
      </c>
      <c r="E2023" t="s">
        <v>126</v>
      </c>
      <c r="F2023" t="s">
        <v>8057</v>
      </c>
      <c r="G2023" t="s">
        <v>137</v>
      </c>
      <c r="H2023" t="s">
        <v>5665</v>
      </c>
      <c r="I2023" t="s">
        <v>5664</v>
      </c>
      <c r="J2023" t="s">
        <v>2320</v>
      </c>
      <c r="K2023" t="s">
        <v>2321</v>
      </c>
      <c r="L2023" t="s">
        <v>50</v>
      </c>
      <c r="M2023" s="2">
        <v>337570.57</v>
      </c>
      <c r="N2023" t="s">
        <v>14609</v>
      </c>
      <c r="O2023" t="s">
        <v>52</v>
      </c>
      <c r="P2023" t="str">
        <f>CONCATENATE("'",Tabla1[[#This Row],[Codigo]],"',")</f>
        <v>'03112',</v>
      </c>
    </row>
    <row r="2024" spans="1:16" x14ac:dyDescent="0.25">
      <c r="A2024" t="s">
        <v>14610</v>
      </c>
      <c r="B2024" t="s">
        <v>14611</v>
      </c>
      <c r="C2024" t="s">
        <v>14562</v>
      </c>
      <c r="D2024" t="s">
        <v>153</v>
      </c>
      <c r="E2024" t="s">
        <v>272</v>
      </c>
      <c r="F2024" t="s">
        <v>14563</v>
      </c>
      <c r="G2024" t="s">
        <v>79</v>
      </c>
      <c r="H2024" t="s">
        <v>495</v>
      </c>
      <c r="I2024" t="s">
        <v>79</v>
      </c>
      <c r="J2024" t="s">
        <v>3487</v>
      </c>
      <c r="K2024" t="s">
        <v>3488</v>
      </c>
      <c r="L2024" t="s">
        <v>50</v>
      </c>
      <c r="M2024" s="2">
        <v>116662.59</v>
      </c>
      <c r="N2024" t="s">
        <v>14612</v>
      </c>
      <c r="O2024" t="s">
        <v>115</v>
      </c>
      <c r="P2024" t="str">
        <f>CONCATENATE("'",Tabla1[[#This Row],[Codigo]],"',")</f>
        <v>'03113',</v>
      </c>
    </row>
    <row r="2025" spans="1:16" x14ac:dyDescent="0.25">
      <c r="A2025" t="s">
        <v>14613</v>
      </c>
      <c r="B2025" t="s">
        <v>14614</v>
      </c>
      <c r="C2025" t="s">
        <v>14615</v>
      </c>
      <c r="D2025" t="s">
        <v>888</v>
      </c>
      <c r="E2025" t="s">
        <v>167</v>
      </c>
      <c r="F2025" t="s">
        <v>1227</v>
      </c>
      <c r="G2025" t="s">
        <v>939</v>
      </c>
      <c r="H2025" t="s">
        <v>879</v>
      </c>
      <c r="I2025" t="s">
        <v>877</v>
      </c>
      <c r="J2025" t="s">
        <v>304</v>
      </c>
      <c r="K2025" t="s">
        <v>72</v>
      </c>
      <c r="L2025" t="s">
        <v>50</v>
      </c>
      <c r="M2025" s="2">
        <v>297990.8</v>
      </c>
      <c r="N2025" t="s">
        <v>14618</v>
      </c>
      <c r="O2025" t="s">
        <v>52</v>
      </c>
      <c r="P2025" t="str">
        <f>CONCATENATE("'",Tabla1[[#This Row],[Codigo]],"',")</f>
        <v>'03114',</v>
      </c>
    </row>
    <row r="2026" spans="1:16" x14ac:dyDescent="0.25">
      <c r="A2026" t="s">
        <v>14619</v>
      </c>
      <c r="B2026" t="s">
        <v>14620</v>
      </c>
      <c r="C2026" t="s">
        <v>14620</v>
      </c>
      <c r="D2026" t="s">
        <v>178</v>
      </c>
      <c r="E2026" t="s">
        <v>179</v>
      </c>
      <c r="F2026" t="s">
        <v>14621</v>
      </c>
      <c r="G2026" t="s">
        <v>11694</v>
      </c>
      <c r="H2026" t="s">
        <v>2571</v>
      </c>
      <c r="I2026" t="s">
        <v>2572</v>
      </c>
      <c r="J2026" t="s">
        <v>6987</v>
      </c>
      <c r="K2026" t="s">
        <v>6988</v>
      </c>
      <c r="L2026" t="s">
        <v>50</v>
      </c>
      <c r="M2026" s="2">
        <v>123820.54</v>
      </c>
      <c r="N2026" t="s">
        <v>14624</v>
      </c>
      <c r="O2026" t="s">
        <v>52</v>
      </c>
      <c r="P2026" t="str">
        <f>CONCATENATE("'",Tabla1[[#This Row],[Codigo]],"',")</f>
        <v>'03115',</v>
      </c>
    </row>
    <row r="2027" spans="1:16" x14ac:dyDescent="0.25">
      <c r="A2027" t="s">
        <v>14625</v>
      </c>
      <c r="B2027" t="s">
        <v>14626</v>
      </c>
      <c r="C2027" t="s">
        <v>14626</v>
      </c>
      <c r="D2027" t="s">
        <v>870</v>
      </c>
      <c r="E2027" t="s">
        <v>871</v>
      </c>
      <c r="F2027" t="s">
        <v>14627</v>
      </c>
      <c r="G2027" t="s">
        <v>5261</v>
      </c>
      <c r="H2027" t="s">
        <v>5263</v>
      </c>
      <c r="I2027" t="s">
        <v>5264</v>
      </c>
      <c r="J2027" t="s">
        <v>941</v>
      </c>
      <c r="K2027" t="s">
        <v>139</v>
      </c>
      <c r="L2027" t="s">
        <v>50</v>
      </c>
      <c r="M2027" s="2">
        <v>445074.16</v>
      </c>
      <c r="N2027" t="s">
        <v>14630</v>
      </c>
      <c r="O2027" t="s">
        <v>52</v>
      </c>
      <c r="P2027" t="str">
        <f>CONCATENATE("'",Tabla1[[#This Row],[Codigo]],"',")</f>
        <v>'03116',</v>
      </c>
    </row>
    <row r="2028" spans="1:16" x14ac:dyDescent="0.25">
      <c r="A2028" t="s">
        <v>14631</v>
      </c>
      <c r="B2028" t="s">
        <v>14632</v>
      </c>
      <c r="C2028" t="s">
        <v>14626</v>
      </c>
      <c r="D2028" t="s">
        <v>478</v>
      </c>
      <c r="E2028" t="s">
        <v>190</v>
      </c>
      <c r="F2028" t="s">
        <v>14627</v>
      </c>
      <c r="G2028" t="s">
        <v>5261</v>
      </c>
      <c r="H2028" t="s">
        <v>5263</v>
      </c>
      <c r="I2028" t="s">
        <v>5264</v>
      </c>
      <c r="J2028" t="s">
        <v>941</v>
      </c>
      <c r="K2028" t="s">
        <v>139</v>
      </c>
      <c r="L2028" t="s">
        <v>50</v>
      </c>
      <c r="M2028" s="2">
        <v>495440.94</v>
      </c>
      <c r="N2028" t="s">
        <v>14633</v>
      </c>
      <c r="O2028" t="s">
        <v>52</v>
      </c>
      <c r="P2028" t="str">
        <f>CONCATENATE("'",Tabla1[[#This Row],[Codigo]],"',")</f>
        <v>'03117',</v>
      </c>
    </row>
    <row r="2029" spans="1:16" x14ac:dyDescent="0.25">
      <c r="A2029" t="s">
        <v>14634</v>
      </c>
      <c r="B2029" t="s">
        <v>14635</v>
      </c>
      <c r="C2029" t="s">
        <v>14635</v>
      </c>
      <c r="D2029" t="s">
        <v>1633</v>
      </c>
      <c r="E2029" t="s">
        <v>1502</v>
      </c>
      <c r="F2029" t="s">
        <v>14636</v>
      </c>
      <c r="G2029" t="s">
        <v>139</v>
      </c>
      <c r="H2029" t="s">
        <v>8853</v>
      </c>
      <c r="I2029" t="s">
        <v>139</v>
      </c>
      <c r="J2029" t="s">
        <v>941</v>
      </c>
      <c r="K2029" t="s">
        <v>139</v>
      </c>
      <c r="L2029" t="s">
        <v>50</v>
      </c>
      <c r="M2029" s="2">
        <v>8365.2999999999993</v>
      </c>
      <c r="N2029" t="s">
        <v>14638</v>
      </c>
      <c r="O2029" t="s">
        <v>52</v>
      </c>
      <c r="P2029" t="str">
        <f>CONCATENATE("'",Tabla1[[#This Row],[Codigo]],"',")</f>
        <v>'03118',</v>
      </c>
    </row>
    <row r="2030" spans="1:16" x14ac:dyDescent="0.25">
      <c r="A2030" t="s">
        <v>14639</v>
      </c>
      <c r="B2030" t="s">
        <v>14640</v>
      </c>
      <c r="C2030" t="s">
        <v>14640</v>
      </c>
      <c r="D2030" t="s">
        <v>125</v>
      </c>
      <c r="E2030" t="s">
        <v>126</v>
      </c>
      <c r="F2030" t="s">
        <v>14641</v>
      </c>
      <c r="G2030" t="s">
        <v>10576</v>
      </c>
      <c r="H2030" t="s">
        <v>10572</v>
      </c>
      <c r="I2030" t="s">
        <v>10571</v>
      </c>
      <c r="J2030" t="s">
        <v>14215</v>
      </c>
      <c r="K2030" t="s">
        <v>10167</v>
      </c>
      <c r="L2030" t="s">
        <v>50</v>
      </c>
      <c r="M2030" s="2">
        <v>172379.51999999999</v>
      </c>
      <c r="N2030" t="s">
        <v>14644</v>
      </c>
      <c r="O2030" t="s">
        <v>52</v>
      </c>
      <c r="P2030" t="str">
        <f>CONCATENATE("'",Tabla1[[#This Row],[Codigo]],"',")</f>
        <v>'03119',</v>
      </c>
    </row>
    <row r="2031" spans="1:16" x14ac:dyDescent="0.25">
      <c r="A2031" t="s">
        <v>14645</v>
      </c>
      <c r="B2031" t="s">
        <v>14646</v>
      </c>
      <c r="C2031" t="s">
        <v>14646</v>
      </c>
      <c r="D2031" t="s">
        <v>125</v>
      </c>
      <c r="E2031" t="s">
        <v>126</v>
      </c>
      <c r="F2031" t="s">
        <v>14647</v>
      </c>
      <c r="G2031" t="s">
        <v>14302</v>
      </c>
      <c r="H2031" t="s">
        <v>14304</v>
      </c>
      <c r="I2031" t="s">
        <v>14302</v>
      </c>
      <c r="J2031" t="s">
        <v>14215</v>
      </c>
      <c r="K2031" t="s">
        <v>10167</v>
      </c>
      <c r="L2031" t="s">
        <v>50</v>
      </c>
      <c r="M2031" s="2">
        <v>17349.509999999998</v>
      </c>
      <c r="N2031" t="s">
        <v>14650</v>
      </c>
      <c r="O2031" t="s">
        <v>52</v>
      </c>
      <c r="P2031" t="str">
        <f>CONCATENATE("'",Tabla1[[#This Row],[Codigo]],"',")</f>
        <v>'03120',</v>
      </c>
    </row>
    <row r="2032" spans="1:16" x14ac:dyDescent="0.25">
      <c r="A2032" t="s">
        <v>14651</v>
      </c>
      <c r="B2032" t="s">
        <v>14652</v>
      </c>
      <c r="C2032" t="s">
        <v>14652</v>
      </c>
      <c r="D2032" t="s">
        <v>153</v>
      </c>
      <c r="E2032" t="s">
        <v>272</v>
      </c>
      <c r="F2032" t="s">
        <v>14653</v>
      </c>
      <c r="G2032" t="s">
        <v>1531</v>
      </c>
      <c r="H2032" t="s">
        <v>585</v>
      </c>
      <c r="I2032" t="s">
        <v>584</v>
      </c>
      <c r="J2032" t="s">
        <v>158</v>
      </c>
      <c r="K2032" t="s">
        <v>159</v>
      </c>
      <c r="L2032" t="s">
        <v>50</v>
      </c>
      <c r="M2032" s="2">
        <v>3053309.94</v>
      </c>
      <c r="N2032" t="s">
        <v>2628</v>
      </c>
      <c r="P2032" t="str">
        <f>CONCATENATE("'",Tabla1[[#This Row],[Codigo]],"',")</f>
        <v>'03121',</v>
      </c>
    </row>
    <row r="2033" spans="1:16" x14ac:dyDescent="0.25">
      <c r="A2033" t="s">
        <v>14656</v>
      </c>
      <c r="B2033" t="s">
        <v>14657</v>
      </c>
      <c r="C2033" t="s">
        <v>14657</v>
      </c>
      <c r="D2033" t="s">
        <v>2118</v>
      </c>
      <c r="E2033" t="s">
        <v>871</v>
      </c>
      <c r="F2033" t="s">
        <v>14658</v>
      </c>
      <c r="G2033" t="s">
        <v>9657</v>
      </c>
      <c r="H2033" t="s">
        <v>14659</v>
      </c>
      <c r="I2033" t="s">
        <v>9657</v>
      </c>
      <c r="J2033" t="s">
        <v>941</v>
      </c>
      <c r="K2033" t="s">
        <v>139</v>
      </c>
      <c r="L2033" t="s">
        <v>50</v>
      </c>
      <c r="M2033" s="2">
        <v>39395.230000000003</v>
      </c>
      <c r="N2033" t="s">
        <v>14661</v>
      </c>
      <c r="O2033" t="s">
        <v>52</v>
      </c>
      <c r="P2033" t="str">
        <f>CONCATENATE("'",Tabla1[[#This Row],[Codigo]],"',")</f>
        <v>'03122',</v>
      </c>
    </row>
    <row r="2034" spans="1:16" x14ac:dyDescent="0.25">
      <c r="A2034" t="s">
        <v>14662</v>
      </c>
      <c r="B2034" t="s">
        <v>14663</v>
      </c>
      <c r="C2034" t="s">
        <v>14663</v>
      </c>
      <c r="D2034" t="s">
        <v>870</v>
      </c>
      <c r="E2034" t="s">
        <v>871</v>
      </c>
      <c r="F2034" t="s">
        <v>14664</v>
      </c>
      <c r="G2034" t="s">
        <v>9657</v>
      </c>
      <c r="H2034" t="s">
        <v>14659</v>
      </c>
      <c r="I2034" t="s">
        <v>9657</v>
      </c>
      <c r="J2034" t="s">
        <v>941</v>
      </c>
      <c r="K2034" t="s">
        <v>139</v>
      </c>
      <c r="L2034" t="s">
        <v>50</v>
      </c>
      <c r="M2034" s="2">
        <v>60600.35</v>
      </c>
      <c r="N2034" t="s">
        <v>14666</v>
      </c>
      <c r="O2034" t="s">
        <v>52</v>
      </c>
      <c r="P2034" t="str">
        <f>CONCATENATE("'",Tabla1[[#This Row],[Codigo]],"',")</f>
        <v>'03123',</v>
      </c>
    </row>
    <row r="2035" spans="1:16" x14ac:dyDescent="0.25">
      <c r="A2035" t="s">
        <v>14667</v>
      </c>
      <c r="B2035" t="s">
        <v>14668</v>
      </c>
      <c r="C2035" t="s">
        <v>14668</v>
      </c>
      <c r="D2035" t="s">
        <v>35</v>
      </c>
      <c r="E2035" t="s">
        <v>36</v>
      </c>
      <c r="F2035" t="s">
        <v>14669</v>
      </c>
      <c r="G2035" t="s">
        <v>14670</v>
      </c>
      <c r="H2035" t="s">
        <v>14672</v>
      </c>
      <c r="I2035" t="s">
        <v>14673</v>
      </c>
      <c r="J2035" t="s">
        <v>14215</v>
      </c>
      <c r="K2035" t="s">
        <v>10167</v>
      </c>
      <c r="L2035" t="s">
        <v>50</v>
      </c>
      <c r="M2035" s="2">
        <v>406243.99</v>
      </c>
      <c r="N2035" t="s">
        <v>14675</v>
      </c>
      <c r="O2035" t="s">
        <v>52</v>
      </c>
      <c r="P2035" t="str">
        <f>CONCATENATE("'",Tabla1[[#This Row],[Codigo]],"',")</f>
        <v>'03124',</v>
      </c>
    </row>
    <row r="2036" spans="1:16" x14ac:dyDescent="0.25">
      <c r="A2036" t="s">
        <v>14676</v>
      </c>
      <c r="B2036" t="s">
        <v>14677</v>
      </c>
      <c r="C2036" t="s">
        <v>14677</v>
      </c>
      <c r="D2036" t="s">
        <v>478</v>
      </c>
      <c r="E2036" t="s">
        <v>190</v>
      </c>
      <c r="F2036" t="s">
        <v>14678</v>
      </c>
      <c r="G2036" t="s">
        <v>10163</v>
      </c>
      <c r="H2036" t="s">
        <v>10165</v>
      </c>
      <c r="I2036" t="s">
        <v>10163</v>
      </c>
      <c r="J2036" t="s">
        <v>14215</v>
      </c>
      <c r="K2036" t="s">
        <v>10167</v>
      </c>
      <c r="L2036" t="s">
        <v>50</v>
      </c>
      <c r="M2036" s="2">
        <v>84934.78</v>
      </c>
      <c r="N2036" t="s">
        <v>14680</v>
      </c>
      <c r="O2036" t="s">
        <v>52</v>
      </c>
      <c r="P2036" t="str">
        <f>CONCATENATE("'",Tabla1[[#This Row],[Codigo]],"',")</f>
        <v>'03125',</v>
      </c>
    </row>
    <row r="2037" spans="1:16" x14ac:dyDescent="0.25">
      <c r="A2037" t="s">
        <v>14681</v>
      </c>
      <c r="B2037" t="s">
        <v>14682</v>
      </c>
      <c r="C2037" t="s">
        <v>14682</v>
      </c>
      <c r="D2037" t="s">
        <v>35</v>
      </c>
      <c r="E2037" t="s">
        <v>36</v>
      </c>
      <c r="F2037" t="s">
        <v>14683</v>
      </c>
      <c r="G2037" t="s">
        <v>14684</v>
      </c>
      <c r="H2037" t="s">
        <v>14685</v>
      </c>
      <c r="I2037" t="s">
        <v>14684</v>
      </c>
      <c r="J2037" t="s">
        <v>941</v>
      </c>
      <c r="K2037" t="s">
        <v>139</v>
      </c>
      <c r="L2037" t="s">
        <v>50</v>
      </c>
      <c r="M2037" s="2">
        <v>19958.349999999999</v>
      </c>
      <c r="N2037" t="s">
        <v>14687</v>
      </c>
      <c r="O2037" t="s">
        <v>52</v>
      </c>
      <c r="P2037" t="str">
        <f>CONCATENATE("'",Tabla1[[#This Row],[Codigo]],"',")</f>
        <v>'03126',</v>
      </c>
    </row>
    <row r="2038" spans="1:16" x14ac:dyDescent="0.25">
      <c r="A2038" t="s">
        <v>14688</v>
      </c>
      <c r="B2038" t="s">
        <v>14689</v>
      </c>
      <c r="C2038" t="s">
        <v>14689</v>
      </c>
      <c r="D2038" t="s">
        <v>125</v>
      </c>
      <c r="E2038" t="s">
        <v>126</v>
      </c>
      <c r="F2038" t="s">
        <v>14690</v>
      </c>
      <c r="G2038" t="s">
        <v>10576</v>
      </c>
      <c r="H2038" t="s">
        <v>10572</v>
      </c>
      <c r="I2038" t="s">
        <v>10571</v>
      </c>
      <c r="J2038" t="s">
        <v>14215</v>
      </c>
      <c r="K2038" t="s">
        <v>10167</v>
      </c>
      <c r="L2038" t="s">
        <v>50</v>
      </c>
      <c r="M2038" s="2">
        <v>646.28</v>
      </c>
      <c r="N2038" t="s">
        <v>14693</v>
      </c>
      <c r="O2038" t="s">
        <v>52</v>
      </c>
      <c r="P2038" t="str">
        <f>CONCATENATE("'",Tabla1[[#This Row],[Codigo]],"',")</f>
        <v>'03127',</v>
      </c>
    </row>
    <row r="2039" spans="1:16" x14ac:dyDescent="0.25">
      <c r="A2039" t="s">
        <v>14704</v>
      </c>
      <c r="B2039" t="s">
        <v>14705</v>
      </c>
      <c r="C2039" t="s">
        <v>14705</v>
      </c>
      <c r="D2039" t="s">
        <v>153</v>
      </c>
      <c r="E2039" t="s">
        <v>272</v>
      </c>
      <c r="F2039" t="s">
        <v>14706</v>
      </c>
      <c r="G2039" t="s">
        <v>10141</v>
      </c>
      <c r="H2039" t="s">
        <v>7936</v>
      </c>
      <c r="I2039" t="s">
        <v>7935</v>
      </c>
      <c r="J2039" t="s">
        <v>10093</v>
      </c>
      <c r="K2039" t="s">
        <v>10094</v>
      </c>
      <c r="L2039" t="s">
        <v>50</v>
      </c>
      <c r="M2039" s="2">
        <v>45395.85</v>
      </c>
      <c r="N2039" t="s">
        <v>14709</v>
      </c>
      <c r="O2039" t="s">
        <v>52</v>
      </c>
      <c r="P2039" t="str">
        <f>CONCATENATE("'",Tabla1[[#This Row],[Codigo]],"',")</f>
        <v>'03130',</v>
      </c>
    </row>
    <row r="2040" spans="1:16" x14ac:dyDescent="0.25">
      <c r="A2040" t="s">
        <v>14710</v>
      </c>
      <c r="B2040" t="s">
        <v>14711</v>
      </c>
      <c r="C2040" t="s">
        <v>14711</v>
      </c>
      <c r="D2040" t="s">
        <v>847</v>
      </c>
      <c r="E2040" t="s">
        <v>848</v>
      </c>
      <c r="F2040" t="s">
        <v>14712</v>
      </c>
      <c r="G2040" t="s">
        <v>14713</v>
      </c>
      <c r="H2040" t="s">
        <v>14715</v>
      </c>
      <c r="I2040" t="s">
        <v>14713</v>
      </c>
      <c r="J2040" t="s">
        <v>14215</v>
      </c>
      <c r="K2040" t="s">
        <v>10167</v>
      </c>
      <c r="L2040" t="s">
        <v>50</v>
      </c>
      <c r="M2040" s="2">
        <v>495368.27</v>
      </c>
      <c r="N2040" t="s">
        <v>14718</v>
      </c>
      <c r="O2040" t="s">
        <v>52</v>
      </c>
      <c r="P2040" t="str">
        <f>CONCATENATE("'",Tabla1[[#This Row],[Codigo]],"',")</f>
        <v>'03131',</v>
      </c>
    </row>
    <row r="2041" spans="1:16" x14ac:dyDescent="0.25">
      <c r="A2041" t="s">
        <v>14726</v>
      </c>
      <c r="B2041" t="s">
        <v>14727</v>
      </c>
      <c r="C2041" t="s">
        <v>14727</v>
      </c>
      <c r="D2041" t="s">
        <v>166</v>
      </c>
      <c r="E2041" t="s">
        <v>167</v>
      </c>
      <c r="F2041" t="s">
        <v>14728</v>
      </c>
      <c r="G2041" t="s">
        <v>14729</v>
      </c>
      <c r="H2041" t="s">
        <v>14731</v>
      </c>
      <c r="I2041" t="s">
        <v>14729</v>
      </c>
      <c r="J2041" t="s">
        <v>14215</v>
      </c>
      <c r="K2041" t="s">
        <v>10167</v>
      </c>
      <c r="L2041" t="s">
        <v>50</v>
      </c>
      <c r="M2041" s="2">
        <v>8485.0400000000009</v>
      </c>
      <c r="N2041" t="s">
        <v>14733</v>
      </c>
      <c r="O2041" t="s">
        <v>52</v>
      </c>
      <c r="P2041" t="str">
        <f>CONCATENATE("'",Tabla1[[#This Row],[Codigo]],"',")</f>
        <v>'03133',</v>
      </c>
    </row>
    <row r="2042" spans="1:16" x14ac:dyDescent="0.25">
      <c r="A2042" t="s">
        <v>14734</v>
      </c>
      <c r="B2042" t="s">
        <v>14735</v>
      </c>
      <c r="C2042" t="s">
        <v>13342</v>
      </c>
      <c r="D2042" t="s">
        <v>847</v>
      </c>
      <c r="E2042" t="s">
        <v>848</v>
      </c>
      <c r="F2042" t="s">
        <v>13343</v>
      </c>
      <c r="G2042" t="s">
        <v>14736</v>
      </c>
      <c r="H2042" t="s">
        <v>14738</v>
      </c>
      <c r="I2042" t="s">
        <v>14736</v>
      </c>
      <c r="J2042" t="s">
        <v>941</v>
      </c>
      <c r="K2042" t="s">
        <v>139</v>
      </c>
      <c r="L2042" t="s">
        <v>50</v>
      </c>
      <c r="M2042" s="2">
        <v>108734.65</v>
      </c>
      <c r="N2042" t="s">
        <v>14740</v>
      </c>
      <c r="O2042" t="s">
        <v>52</v>
      </c>
      <c r="P2042" t="str">
        <f>CONCATENATE("'",Tabla1[[#This Row],[Codigo]],"',")</f>
        <v>'03134',</v>
      </c>
    </row>
    <row r="2043" spans="1:16" x14ac:dyDescent="0.25">
      <c r="A2043" t="s">
        <v>14741</v>
      </c>
      <c r="B2043" t="s">
        <v>14742</v>
      </c>
      <c r="C2043" t="s">
        <v>14742</v>
      </c>
      <c r="D2043" t="s">
        <v>125</v>
      </c>
      <c r="E2043" t="s">
        <v>126</v>
      </c>
      <c r="F2043" t="s">
        <v>14743</v>
      </c>
      <c r="G2043" t="s">
        <v>10155</v>
      </c>
      <c r="H2043" t="s">
        <v>10157</v>
      </c>
      <c r="I2043" t="s">
        <v>10155</v>
      </c>
      <c r="J2043" t="s">
        <v>10093</v>
      </c>
      <c r="K2043" t="s">
        <v>10094</v>
      </c>
      <c r="L2043" t="s">
        <v>50</v>
      </c>
      <c r="M2043" s="2">
        <v>61774.080000000002</v>
      </c>
      <c r="N2043" t="s">
        <v>14746</v>
      </c>
      <c r="O2043" t="s">
        <v>52</v>
      </c>
      <c r="P2043" t="str">
        <f>CONCATENATE("'",Tabla1[[#This Row],[Codigo]],"',")</f>
        <v>'03135',</v>
      </c>
    </row>
    <row r="2044" spans="1:16" x14ac:dyDescent="0.25">
      <c r="A2044" t="s">
        <v>14747</v>
      </c>
      <c r="B2044" t="s">
        <v>14748</v>
      </c>
      <c r="C2044" t="s">
        <v>14748</v>
      </c>
      <c r="D2044" t="s">
        <v>125</v>
      </c>
      <c r="E2044" t="s">
        <v>126</v>
      </c>
      <c r="F2044" t="s">
        <v>14749</v>
      </c>
      <c r="G2044" t="s">
        <v>10141</v>
      </c>
      <c r="H2044" t="s">
        <v>7936</v>
      </c>
      <c r="I2044" t="s">
        <v>7935</v>
      </c>
      <c r="J2044" t="s">
        <v>10093</v>
      </c>
      <c r="K2044" t="s">
        <v>10094</v>
      </c>
      <c r="L2044" t="s">
        <v>50</v>
      </c>
      <c r="M2044" s="2">
        <v>47492.480000000003</v>
      </c>
      <c r="N2044" t="s">
        <v>14751</v>
      </c>
      <c r="O2044" t="s">
        <v>52</v>
      </c>
      <c r="P2044" t="str">
        <f>CONCATENATE("'",Tabla1[[#This Row],[Codigo]],"',")</f>
        <v>'03136',</v>
      </c>
    </row>
    <row r="2045" spans="1:16" x14ac:dyDescent="0.25">
      <c r="A2045" t="s">
        <v>14752</v>
      </c>
      <c r="B2045" t="s">
        <v>14753</v>
      </c>
      <c r="C2045" t="s">
        <v>14753</v>
      </c>
      <c r="D2045" t="s">
        <v>3472</v>
      </c>
      <c r="E2045" t="s">
        <v>871</v>
      </c>
      <c r="F2045" t="s">
        <v>14754</v>
      </c>
      <c r="G2045" t="s">
        <v>10214</v>
      </c>
      <c r="H2045" t="s">
        <v>10216</v>
      </c>
      <c r="I2045" t="s">
        <v>10214</v>
      </c>
      <c r="J2045" t="s">
        <v>10093</v>
      </c>
      <c r="K2045" t="s">
        <v>10094</v>
      </c>
      <c r="L2045" t="s">
        <v>50</v>
      </c>
      <c r="M2045" s="2">
        <v>200291.81</v>
      </c>
      <c r="N2045" t="s">
        <v>14756</v>
      </c>
      <c r="O2045" t="s">
        <v>52</v>
      </c>
      <c r="P2045" t="str">
        <f>CONCATENATE("'",Tabla1[[#This Row],[Codigo]],"',")</f>
        <v>'03137',</v>
      </c>
    </row>
    <row r="2046" spans="1:16" x14ac:dyDescent="0.25">
      <c r="A2046" t="s">
        <v>14757</v>
      </c>
      <c r="B2046" t="s">
        <v>14758</v>
      </c>
      <c r="C2046" t="s">
        <v>14748</v>
      </c>
      <c r="D2046" t="s">
        <v>153</v>
      </c>
      <c r="E2046" t="s">
        <v>272</v>
      </c>
      <c r="F2046" t="s">
        <v>14749</v>
      </c>
      <c r="G2046" t="s">
        <v>10141</v>
      </c>
      <c r="H2046" t="s">
        <v>7936</v>
      </c>
      <c r="I2046" t="s">
        <v>7935</v>
      </c>
      <c r="J2046" t="s">
        <v>10093</v>
      </c>
      <c r="K2046" t="s">
        <v>10094</v>
      </c>
      <c r="L2046" t="s">
        <v>50</v>
      </c>
      <c r="M2046" s="2">
        <v>146489.35</v>
      </c>
      <c r="N2046" t="s">
        <v>14759</v>
      </c>
      <c r="O2046" t="s">
        <v>52</v>
      </c>
      <c r="P2046" t="str">
        <f>CONCATENATE("'",Tabla1[[#This Row],[Codigo]],"',")</f>
        <v>'03138',</v>
      </c>
    </row>
    <row r="2047" spans="1:16" x14ac:dyDescent="0.25">
      <c r="A2047" t="s">
        <v>14760</v>
      </c>
      <c r="B2047" t="s">
        <v>14761</v>
      </c>
      <c r="C2047" t="s">
        <v>14761</v>
      </c>
      <c r="D2047" t="s">
        <v>125</v>
      </c>
      <c r="E2047" t="s">
        <v>126</v>
      </c>
      <c r="F2047" t="s">
        <v>14762</v>
      </c>
      <c r="G2047" t="s">
        <v>9834</v>
      </c>
      <c r="H2047" t="s">
        <v>9588</v>
      </c>
      <c r="I2047" t="s">
        <v>9589</v>
      </c>
      <c r="J2047" t="s">
        <v>2320</v>
      </c>
      <c r="K2047" t="s">
        <v>2321</v>
      </c>
      <c r="L2047" t="s">
        <v>50</v>
      </c>
      <c r="M2047" s="2">
        <v>141153.23000000001</v>
      </c>
      <c r="N2047" t="s">
        <v>14764</v>
      </c>
      <c r="O2047" t="s">
        <v>52</v>
      </c>
      <c r="P2047" t="str">
        <f>CONCATENATE("'",Tabla1[[#This Row],[Codigo]],"',")</f>
        <v>'03139',</v>
      </c>
    </row>
    <row r="2048" spans="1:16" x14ac:dyDescent="0.25">
      <c r="A2048" t="s">
        <v>14780</v>
      </c>
      <c r="B2048" t="s">
        <v>14781</v>
      </c>
      <c r="C2048" t="s">
        <v>4021</v>
      </c>
      <c r="D2048" t="s">
        <v>153</v>
      </c>
      <c r="E2048" t="s">
        <v>272</v>
      </c>
      <c r="F2048" t="s">
        <v>4022</v>
      </c>
      <c r="G2048" t="s">
        <v>201</v>
      </c>
      <c r="H2048" t="s">
        <v>203</v>
      </c>
      <c r="I2048" t="s">
        <v>204</v>
      </c>
      <c r="J2048" t="s">
        <v>205</v>
      </c>
      <c r="K2048" t="s">
        <v>206</v>
      </c>
      <c r="L2048" t="s">
        <v>50</v>
      </c>
      <c r="M2048" s="2">
        <v>114742.55</v>
      </c>
      <c r="N2048" t="s">
        <v>14782</v>
      </c>
      <c r="O2048" t="s">
        <v>52</v>
      </c>
      <c r="P2048" t="str">
        <f>CONCATENATE("'",Tabla1[[#This Row],[Codigo]],"',")</f>
        <v>'03143',</v>
      </c>
    </row>
    <row r="2049" spans="1:16" x14ac:dyDescent="0.25">
      <c r="A2049" t="s">
        <v>14787</v>
      </c>
      <c r="B2049" t="s">
        <v>14788</v>
      </c>
      <c r="C2049" t="s">
        <v>14158</v>
      </c>
      <c r="D2049" t="s">
        <v>35</v>
      </c>
      <c r="E2049" t="s">
        <v>36</v>
      </c>
      <c r="F2049" t="s">
        <v>14159</v>
      </c>
      <c r="G2049" t="s">
        <v>1335</v>
      </c>
      <c r="H2049" t="s">
        <v>254</v>
      </c>
      <c r="I2049" t="s">
        <v>255</v>
      </c>
      <c r="J2049" t="s">
        <v>256</v>
      </c>
      <c r="K2049" t="s">
        <v>255</v>
      </c>
      <c r="L2049" t="s">
        <v>50</v>
      </c>
      <c r="M2049" s="2">
        <v>61871.28</v>
      </c>
      <c r="N2049" t="s">
        <v>14790</v>
      </c>
      <c r="O2049" t="s">
        <v>52</v>
      </c>
      <c r="P2049" t="str">
        <f>CONCATENATE("'",Tabla1[[#This Row],[Codigo]],"',")</f>
        <v>'03145',</v>
      </c>
    </row>
    <row r="2050" spans="1:16" x14ac:dyDescent="0.25">
      <c r="A2050" t="s">
        <v>14791</v>
      </c>
      <c r="B2050" t="s">
        <v>14792</v>
      </c>
      <c r="C2050" t="s">
        <v>14792</v>
      </c>
      <c r="D2050" t="s">
        <v>35</v>
      </c>
      <c r="E2050" t="s">
        <v>36</v>
      </c>
      <c r="F2050" t="s">
        <v>14793</v>
      </c>
      <c r="G2050" t="s">
        <v>14794</v>
      </c>
      <c r="H2050" t="s">
        <v>14796</v>
      </c>
      <c r="I2050" t="s">
        <v>14794</v>
      </c>
      <c r="J2050" t="s">
        <v>14215</v>
      </c>
      <c r="K2050" t="s">
        <v>10167</v>
      </c>
      <c r="L2050" t="s">
        <v>50</v>
      </c>
      <c r="M2050" s="2">
        <v>90705.74</v>
      </c>
      <c r="N2050" t="s">
        <v>14799</v>
      </c>
      <c r="O2050" t="s">
        <v>52</v>
      </c>
      <c r="P2050" t="str">
        <f>CONCATENATE("'",Tabla1[[#This Row],[Codigo]],"',")</f>
        <v>'03146',</v>
      </c>
    </row>
    <row r="2051" spans="1:16" x14ac:dyDescent="0.25">
      <c r="A2051" t="s">
        <v>14800</v>
      </c>
      <c r="B2051" t="s">
        <v>14801</v>
      </c>
      <c r="C2051" t="s">
        <v>14801</v>
      </c>
      <c r="D2051" t="s">
        <v>35</v>
      </c>
      <c r="E2051" t="s">
        <v>36</v>
      </c>
      <c r="F2051" t="s">
        <v>14802</v>
      </c>
      <c r="G2051" t="s">
        <v>300</v>
      </c>
      <c r="H2051" t="s">
        <v>302</v>
      </c>
      <c r="I2051" t="s">
        <v>303</v>
      </c>
      <c r="J2051" t="s">
        <v>304</v>
      </c>
      <c r="K2051" t="s">
        <v>72</v>
      </c>
      <c r="L2051" t="s">
        <v>50</v>
      </c>
      <c r="M2051" s="2">
        <v>183937.51</v>
      </c>
      <c r="N2051" t="s">
        <v>14805</v>
      </c>
      <c r="O2051" t="s">
        <v>52</v>
      </c>
      <c r="P2051" t="str">
        <f>CONCATENATE("'",Tabla1[[#This Row],[Codigo]],"',")</f>
        <v>'03147',</v>
      </c>
    </row>
    <row r="2052" spans="1:16" x14ac:dyDescent="0.25">
      <c r="A2052" t="s">
        <v>14806</v>
      </c>
      <c r="B2052" t="s">
        <v>14807</v>
      </c>
      <c r="C2052" t="s">
        <v>14807</v>
      </c>
      <c r="D2052" t="s">
        <v>125</v>
      </c>
      <c r="E2052" t="s">
        <v>126</v>
      </c>
      <c r="F2052" t="s">
        <v>14808</v>
      </c>
      <c r="G2052" t="s">
        <v>7938</v>
      </c>
      <c r="H2052" t="s">
        <v>14809</v>
      </c>
      <c r="I2052" t="s">
        <v>14810</v>
      </c>
      <c r="J2052" t="s">
        <v>10093</v>
      </c>
      <c r="K2052" t="s">
        <v>10094</v>
      </c>
      <c r="L2052" t="s">
        <v>50</v>
      </c>
      <c r="M2052" s="2">
        <v>58664.95</v>
      </c>
      <c r="N2052" t="s">
        <v>14813</v>
      </c>
      <c r="O2052" t="s">
        <v>52</v>
      </c>
      <c r="P2052" t="str">
        <f>CONCATENATE("'",Tabla1[[#This Row],[Codigo]],"',")</f>
        <v>'03148',</v>
      </c>
    </row>
    <row r="2053" spans="1:16" x14ac:dyDescent="0.25">
      <c r="A2053" t="s">
        <v>14814</v>
      </c>
      <c r="B2053" t="s">
        <v>14815</v>
      </c>
      <c r="C2053" t="s">
        <v>14815</v>
      </c>
      <c r="D2053" t="s">
        <v>553</v>
      </c>
      <c r="E2053" t="s">
        <v>167</v>
      </c>
      <c r="F2053" t="s">
        <v>14816</v>
      </c>
      <c r="G2053" t="s">
        <v>1425</v>
      </c>
      <c r="H2053" t="s">
        <v>1427</v>
      </c>
      <c r="I2053" t="s">
        <v>1428</v>
      </c>
      <c r="J2053" t="s">
        <v>304</v>
      </c>
      <c r="K2053" t="s">
        <v>72</v>
      </c>
      <c r="L2053" t="s">
        <v>50</v>
      </c>
      <c r="M2053" s="2">
        <v>214047.57</v>
      </c>
      <c r="N2053" t="s">
        <v>14819</v>
      </c>
      <c r="O2053" t="s">
        <v>52</v>
      </c>
      <c r="P2053" t="str">
        <f>CONCATENATE("'",Tabla1[[#This Row],[Codigo]],"',")</f>
        <v>'03149',</v>
      </c>
    </row>
    <row r="2054" spans="1:16" x14ac:dyDescent="0.25">
      <c r="A2054" t="s">
        <v>14820</v>
      </c>
      <c r="B2054" t="s">
        <v>14821</v>
      </c>
      <c r="C2054" t="s">
        <v>14821</v>
      </c>
      <c r="D2054" t="s">
        <v>35</v>
      </c>
      <c r="E2054" t="s">
        <v>36</v>
      </c>
      <c r="F2054" t="s">
        <v>14822</v>
      </c>
      <c r="G2054" t="s">
        <v>10571</v>
      </c>
      <c r="H2054" t="s">
        <v>10572</v>
      </c>
      <c r="I2054" t="s">
        <v>10571</v>
      </c>
      <c r="J2054" t="s">
        <v>557</v>
      </c>
      <c r="K2054" t="s">
        <v>558</v>
      </c>
      <c r="L2054" t="s">
        <v>50</v>
      </c>
      <c r="M2054" s="2">
        <v>233559.99</v>
      </c>
      <c r="N2054" t="s">
        <v>9029</v>
      </c>
      <c r="P2054" t="str">
        <f>CONCATENATE("'",Tabla1[[#This Row],[Codigo]],"',")</f>
        <v>'03150',</v>
      </c>
    </row>
    <row r="2055" spans="1:16" x14ac:dyDescent="0.25">
      <c r="A2055" t="s">
        <v>14824</v>
      </c>
      <c r="B2055" t="s">
        <v>14825</v>
      </c>
      <c r="C2055" t="s">
        <v>14825</v>
      </c>
      <c r="D2055" t="s">
        <v>35</v>
      </c>
      <c r="E2055" t="s">
        <v>36</v>
      </c>
      <c r="F2055" t="s">
        <v>14826</v>
      </c>
      <c r="G2055" t="s">
        <v>87</v>
      </c>
      <c r="H2055" t="s">
        <v>89</v>
      </c>
      <c r="I2055" t="s">
        <v>90</v>
      </c>
      <c r="J2055" t="s">
        <v>103</v>
      </c>
      <c r="K2055" t="s">
        <v>104</v>
      </c>
      <c r="L2055" t="s">
        <v>50</v>
      </c>
      <c r="M2055" s="2">
        <v>88212.31</v>
      </c>
      <c r="N2055" t="s">
        <v>14828</v>
      </c>
      <c r="O2055" t="s">
        <v>52</v>
      </c>
      <c r="P2055" t="str">
        <f>CONCATENATE("'",Tabla1[[#This Row],[Codigo]],"',")</f>
        <v>'03151',</v>
      </c>
    </row>
    <row r="2056" spans="1:16" x14ac:dyDescent="0.25">
      <c r="A2056" t="s">
        <v>14829</v>
      </c>
      <c r="B2056" t="s">
        <v>14830</v>
      </c>
      <c r="C2056" t="s">
        <v>14830</v>
      </c>
      <c r="D2056" t="s">
        <v>125</v>
      </c>
      <c r="E2056" t="s">
        <v>126</v>
      </c>
      <c r="F2056" t="s">
        <v>14831</v>
      </c>
      <c r="G2056" t="s">
        <v>10341</v>
      </c>
      <c r="H2056" t="s">
        <v>10343</v>
      </c>
      <c r="I2056" t="s">
        <v>10344</v>
      </c>
      <c r="J2056" t="s">
        <v>10093</v>
      </c>
      <c r="K2056" t="s">
        <v>10094</v>
      </c>
      <c r="L2056" t="s">
        <v>50</v>
      </c>
      <c r="M2056" s="2">
        <v>11156.86</v>
      </c>
      <c r="N2056" t="s">
        <v>14834</v>
      </c>
      <c r="O2056" t="s">
        <v>52</v>
      </c>
      <c r="P2056" t="str">
        <f>CONCATENATE("'",Tabla1[[#This Row],[Codigo]],"',")</f>
        <v>'03152',</v>
      </c>
    </row>
    <row r="2057" spans="1:16" x14ac:dyDescent="0.25">
      <c r="A2057" t="s">
        <v>14835</v>
      </c>
      <c r="B2057" t="s">
        <v>14836</v>
      </c>
      <c r="C2057" t="s">
        <v>14100</v>
      </c>
      <c r="D2057" t="s">
        <v>125</v>
      </c>
      <c r="E2057" t="s">
        <v>126</v>
      </c>
      <c r="F2057" t="s">
        <v>14013</v>
      </c>
      <c r="G2057" t="s">
        <v>10141</v>
      </c>
      <c r="H2057" t="s">
        <v>7936</v>
      </c>
      <c r="I2057" t="s">
        <v>7935</v>
      </c>
      <c r="J2057" t="s">
        <v>10093</v>
      </c>
      <c r="K2057" t="s">
        <v>10094</v>
      </c>
      <c r="L2057" t="s">
        <v>50</v>
      </c>
      <c r="M2057" s="2">
        <v>72993.81</v>
      </c>
      <c r="N2057" t="s">
        <v>14837</v>
      </c>
      <c r="O2057" t="s">
        <v>52</v>
      </c>
      <c r="P2057" t="str">
        <f>CONCATENATE("'",Tabla1[[#This Row],[Codigo]],"',")</f>
        <v>'03153',</v>
      </c>
    </row>
    <row r="2058" spans="1:16" x14ac:dyDescent="0.25">
      <c r="A2058" t="s">
        <v>14838</v>
      </c>
      <c r="B2058" t="s">
        <v>14839</v>
      </c>
      <c r="C2058" t="s">
        <v>14839</v>
      </c>
      <c r="D2058" t="s">
        <v>847</v>
      </c>
      <c r="E2058" t="s">
        <v>848</v>
      </c>
      <c r="F2058" t="s">
        <v>14840</v>
      </c>
      <c r="G2058" t="s">
        <v>10105</v>
      </c>
      <c r="H2058" t="s">
        <v>10106</v>
      </c>
      <c r="I2058" t="s">
        <v>10105</v>
      </c>
      <c r="J2058" t="s">
        <v>10093</v>
      </c>
      <c r="K2058" t="s">
        <v>10094</v>
      </c>
      <c r="L2058" t="s">
        <v>50</v>
      </c>
      <c r="M2058" s="2">
        <v>204916.78</v>
      </c>
      <c r="N2058" t="s">
        <v>14843</v>
      </c>
      <c r="O2058" t="s">
        <v>52</v>
      </c>
      <c r="P2058" t="str">
        <f>CONCATENATE("'",Tabla1[[#This Row],[Codigo]],"',")</f>
        <v>'03154',</v>
      </c>
    </row>
    <row r="2059" spans="1:16" x14ac:dyDescent="0.25">
      <c r="A2059" t="s">
        <v>14844</v>
      </c>
      <c r="B2059" t="s">
        <v>14845</v>
      </c>
      <c r="C2059" t="s">
        <v>14753</v>
      </c>
      <c r="D2059" t="s">
        <v>35</v>
      </c>
      <c r="E2059" t="s">
        <v>36</v>
      </c>
      <c r="F2059" t="s">
        <v>14754</v>
      </c>
      <c r="G2059" t="s">
        <v>7897</v>
      </c>
      <c r="H2059" t="s">
        <v>541</v>
      </c>
      <c r="I2059" t="s">
        <v>542</v>
      </c>
      <c r="J2059" t="s">
        <v>10093</v>
      </c>
      <c r="K2059" t="s">
        <v>10094</v>
      </c>
      <c r="L2059" t="s">
        <v>50</v>
      </c>
      <c r="M2059" s="2">
        <v>65093.03</v>
      </c>
      <c r="N2059" t="s">
        <v>14847</v>
      </c>
      <c r="O2059" t="s">
        <v>52</v>
      </c>
      <c r="P2059" t="str">
        <f>CONCATENATE("'",Tabla1[[#This Row],[Codigo]],"',")</f>
        <v>'03155',</v>
      </c>
    </row>
    <row r="2060" spans="1:16" x14ac:dyDescent="0.25">
      <c r="A2060" t="s">
        <v>14848</v>
      </c>
      <c r="B2060" t="s">
        <v>14849</v>
      </c>
      <c r="C2060" t="s">
        <v>14849</v>
      </c>
      <c r="D2060" t="s">
        <v>297</v>
      </c>
      <c r="E2060" t="s">
        <v>167</v>
      </c>
      <c r="F2060" t="s">
        <v>14850</v>
      </c>
      <c r="G2060" t="s">
        <v>7263</v>
      </c>
      <c r="H2060" t="s">
        <v>2571</v>
      </c>
      <c r="I2060" t="s">
        <v>2572</v>
      </c>
      <c r="J2060" t="s">
        <v>6987</v>
      </c>
      <c r="K2060" t="s">
        <v>6988</v>
      </c>
      <c r="L2060" t="s">
        <v>50</v>
      </c>
      <c r="M2060" s="2">
        <v>388761.29</v>
      </c>
      <c r="N2060" t="s">
        <v>14853</v>
      </c>
      <c r="O2060" t="s">
        <v>52</v>
      </c>
      <c r="P2060" t="str">
        <f>CONCATENATE("'",Tabla1[[#This Row],[Codigo]],"',")</f>
        <v>'03156',</v>
      </c>
    </row>
    <row r="2061" spans="1:16" x14ac:dyDescent="0.25">
      <c r="A2061" t="s">
        <v>14854</v>
      </c>
      <c r="B2061" t="s">
        <v>14855</v>
      </c>
      <c r="C2061" t="s">
        <v>14856</v>
      </c>
      <c r="D2061" t="s">
        <v>153</v>
      </c>
      <c r="E2061" t="s">
        <v>272</v>
      </c>
      <c r="F2061" t="s">
        <v>14857</v>
      </c>
      <c r="G2061" t="s">
        <v>5003</v>
      </c>
      <c r="H2061" t="s">
        <v>5005</v>
      </c>
      <c r="I2061" t="s">
        <v>5006</v>
      </c>
      <c r="J2061" t="s">
        <v>256</v>
      </c>
      <c r="K2061" t="s">
        <v>255</v>
      </c>
      <c r="L2061" t="s">
        <v>50</v>
      </c>
      <c r="M2061" s="2">
        <v>156688.01999999999</v>
      </c>
      <c r="N2061" t="s">
        <v>14860</v>
      </c>
      <c r="O2061" t="s">
        <v>52</v>
      </c>
      <c r="P2061" t="str">
        <f>CONCATENATE("'",Tabla1[[#This Row],[Codigo]],"',")</f>
        <v>'03157',</v>
      </c>
    </row>
    <row r="2062" spans="1:16" x14ac:dyDescent="0.25">
      <c r="A2062" t="s">
        <v>14869</v>
      </c>
      <c r="B2062" t="s">
        <v>14870</v>
      </c>
      <c r="C2062" t="s">
        <v>14870</v>
      </c>
      <c r="D2062" t="s">
        <v>847</v>
      </c>
      <c r="E2062" t="s">
        <v>848</v>
      </c>
      <c r="F2062" t="s">
        <v>14871</v>
      </c>
      <c r="G2062" t="s">
        <v>14872</v>
      </c>
      <c r="H2062" t="s">
        <v>14874</v>
      </c>
      <c r="I2062" t="s">
        <v>14872</v>
      </c>
      <c r="J2062" t="s">
        <v>14215</v>
      </c>
      <c r="K2062" t="s">
        <v>10167</v>
      </c>
      <c r="L2062" t="s">
        <v>50</v>
      </c>
      <c r="M2062" s="2">
        <v>65908.37</v>
      </c>
      <c r="N2062" t="s">
        <v>14876</v>
      </c>
      <c r="O2062" t="s">
        <v>52</v>
      </c>
      <c r="P2062" t="str">
        <f>CONCATENATE("'",Tabla1[[#This Row],[Codigo]],"',")</f>
        <v>'03159',</v>
      </c>
    </row>
    <row r="2063" spans="1:16" x14ac:dyDescent="0.25">
      <c r="A2063" t="s">
        <v>14877</v>
      </c>
      <c r="B2063" t="s">
        <v>14878</v>
      </c>
      <c r="C2063" t="s">
        <v>14878</v>
      </c>
      <c r="D2063" t="s">
        <v>553</v>
      </c>
      <c r="E2063" t="s">
        <v>167</v>
      </c>
      <c r="F2063" t="s">
        <v>14879</v>
      </c>
      <c r="G2063" t="s">
        <v>9937</v>
      </c>
      <c r="H2063" t="s">
        <v>1362</v>
      </c>
      <c r="I2063" t="s">
        <v>1360</v>
      </c>
      <c r="J2063" t="s">
        <v>1421</v>
      </c>
      <c r="K2063" t="s">
        <v>1422</v>
      </c>
      <c r="L2063" t="s">
        <v>50</v>
      </c>
      <c r="M2063" s="2">
        <v>4239.2</v>
      </c>
      <c r="N2063" t="s">
        <v>14882</v>
      </c>
      <c r="O2063" t="s">
        <v>52</v>
      </c>
      <c r="P2063" t="str">
        <f>CONCATENATE("'",Tabla1[[#This Row],[Codigo]],"',")</f>
        <v>'03160',</v>
      </c>
    </row>
    <row r="2064" spans="1:16" x14ac:dyDescent="0.25">
      <c r="A2064" t="s">
        <v>14883</v>
      </c>
      <c r="B2064" t="s">
        <v>14884</v>
      </c>
      <c r="C2064" t="s">
        <v>14884</v>
      </c>
      <c r="D2064" t="s">
        <v>166</v>
      </c>
      <c r="E2064" t="s">
        <v>167</v>
      </c>
      <c r="F2064" t="s">
        <v>14885</v>
      </c>
      <c r="G2064" t="s">
        <v>14886</v>
      </c>
      <c r="H2064" t="s">
        <v>14888</v>
      </c>
      <c r="I2064" t="s">
        <v>14886</v>
      </c>
      <c r="J2064" t="s">
        <v>941</v>
      </c>
      <c r="K2064" t="s">
        <v>139</v>
      </c>
      <c r="L2064" t="s">
        <v>50</v>
      </c>
      <c r="M2064" s="2">
        <v>315402.96999999997</v>
      </c>
      <c r="N2064" t="s">
        <v>14890</v>
      </c>
      <c r="O2064" t="s">
        <v>52</v>
      </c>
      <c r="P2064" t="str">
        <f>CONCATENATE("'",Tabla1[[#This Row],[Codigo]],"',")</f>
        <v>'03161',</v>
      </c>
    </row>
    <row r="2065" spans="1:16" x14ac:dyDescent="0.25">
      <c r="A2065" t="s">
        <v>14891</v>
      </c>
      <c r="B2065" t="s">
        <v>14892</v>
      </c>
      <c r="C2065" t="s">
        <v>14892</v>
      </c>
      <c r="D2065" t="s">
        <v>178</v>
      </c>
      <c r="E2065" t="s">
        <v>179</v>
      </c>
      <c r="F2065" t="s">
        <v>14893</v>
      </c>
      <c r="G2065" t="s">
        <v>14794</v>
      </c>
      <c r="H2065" t="s">
        <v>14796</v>
      </c>
      <c r="I2065" t="s">
        <v>14794</v>
      </c>
      <c r="J2065" t="s">
        <v>14215</v>
      </c>
      <c r="K2065" t="s">
        <v>10167</v>
      </c>
      <c r="L2065" t="s">
        <v>50</v>
      </c>
      <c r="M2065" s="2">
        <v>22222.98</v>
      </c>
      <c r="N2065" t="s">
        <v>14896</v>
      </c>
      <c r="O2065" t="s">
        <v>52</v>
      </c>
      <c r="P2065" t="str">
        <f>CONCATENATE("'",Tabla1[[#This Row],[Codigo]],"',")</f>
        <v>'03162',</v>
      </c>
    </row>
    <row r="2066" spans="1:16" x14ac:dyDescent="0.25">
      <c r="A2066" t="s">
        <v>14897</v>
      </c>
      <c r="B2066" t="s">
        <v>14898</v>
      </c>
      <c r="C2066" t="s">
        <v>14898</v>
      </c>
      <c r="D2066" t="s">
        <v>299</v>
      </c>
      <c r="E2066" t="s">
        <v>167</v>
      </c>
      <c r="F2066" t="s">
        <v>14899</v>
      </c>
      <c r="G2066" t="s">
        <v>10141</v>
      </c>
      <c r="H2066" t="s">
        <v>7936</v>
      </c>
      <c r="I2066" t="s">
        <v>7935</v>
      </c>
      <c r="J2066" t="s">
        <v>10093</v>
      </c>
      <c r="K2066" t="s">
        <v>10094</v>
      </c>
      <c r="L2066" t="s">
        <v>50</v>
      </c>
      <c r="M2066" s="2">
        <v>9488.0300000000007</v>
      </c>
      <c r="N2066" t="s">
        <v>14902</v>
      </c>
      <c r="O2066" t="s">
        <v>52</v>
      </c>
      <c r="P2066" t="str">
        <f>CONCATENATE("'",Tabla1[[#This Row],[Codigo]],"',")</f>
        <v>'03163',</v>
      </c>
    </row>
    <row r="2067" spans="1:16" x14ac:dyDescent="0.25">
      <c r="A2067" t="s">
        <v>14903</v>
      </c>
      <c r="B2067" t="s">
        <v>14904</v>
      </c>
      <c r="C2067" t="s">
        <v>14904</v>
      </c>
      <c r="D2067" t="s">
        <v>125</v>
      </c>
      <c r="E2067" t="s">
        <v>126</v>
      </c>
      <c r="F2067" t="s">
        <v>14905</v>
      </c>
      <c r="G2067" t="s">
        <v>2647</v>
      </c>
      <c r="H2067" t="s">
        <v>1362</v>
      </c>
      <c r="I2067" t="s">
        <v>1360</v>
      </c>
      <c r="J2067" t="s">
        <v>1421</v>
      </c>
      <c r="K2067" t="s">
        <v>1422</v>
      </c>
      <c r="L2067" t="s">
        <v>50</v>
      </c>
      <c r="M2067" s="2">
        <v>6129.54</v>
      </c>
      <c r="N2067" t="s">
        <v>14907</v>
      </c>
      <c r="O2067" t="s">
        <v>115</v>
      </c>
      <c r="P2067" t="str">
        <f>CONCATENATE("'",Tabla1[[#This Row],[Codigo]],"',")</f>
        <v>'03164',</v>
      </c>
    </row>
    <row r="2068" spans="1:16" x14ac:dyDescent="0.25">
      <c r="A2068" t="s">
        <v>14908</v>
      </c>
      <c r="B2068" t="s">
        <v>14909</v>
      </c>
      <c r="C2068" t="s">
        <v>14910</v>
      </c>
      <c r="D2068" t="s">
        <v>125</v>
      </c>
      <c r="E2068" t="s">
        <v>126</v>
      </c>
      <c r="F2068" t="s">
        <v>11141</v>
      </c>
      <c r="G2068" t="s">
        <v>1522</v>
      </c>
      <c r="H2068" t="s">
        <v>1524</v>
      </c>
      <c r="I2068" t="s">
        <v>1525</v>
      </c>
      <c r="J2068" t="s">
        <v>120</v>
      </c>
      <c r="K2068" t="s">
        <v>121</v>
      </c>
      <c r="L2068" t="s">
        <v>50</v>
      </c>
      <c r="M2068" s="2">
        <v>380400</v>
      </c>
      <c r="N2068" t="s">
        <v>64</v>
      </c>
      <c r="P2068" t="str">
        <f>CONCATENATE("'",Tabla1[[#This Row],[Codigo]],"',")</f>
        <v>'03165',</v>
      </c>
    </row>
    <row r="2069" spans="1:16" x14ac:dyDescent="0.25">
      <c r="A2069" t="s">
        <v>14940</v>
      </c>
      <c r="B2069" t="s">
        <v>14941</v>
      </c>
      <c r="C2069" t="s">
        <v>14941</v>
      </c>
      <c r="D2069" t="s">
        <v>35</v>
      </c>
      <c r="E2069" t="s">
        <v>36</v>
      </c>
      <c r="F2069" t="s">
        <v>14942</v>
      </c>
      <c r="G2069" t="s">
        <v>12118</v>
      </c>
      <c r="H2069" t="s">
        <v>80</v>
      </c>
      <c r="I2069" t="s">
        <v>81</v>
      </c>
      <c r="J2069" t="s">
        <v>82</v>
      </c>
      <c r="K2069" t="s">
        <v>83</v>
      </c>
      <c r="L2069" t="s">
        <v>50</v>
      </c>
      <c r="M2069" s="2">
        <v>52775.83</v>
      </c>
      <c r="N2069" t="s">
        <v>14944</v>
      </c>
      <c r="O2069" t="s">
        <v>52</v>
      </c>
      <c r="P2069" t="str">
        <f>CONCATENATE("'",Tabla1[[#This Row],[Codigo]],"',")</f>
        <v>'03171',</v>
      </c>
    </row>
    <row r="2070" spans="1:16" x14ac:dyDescent="0.25">
      <c r="A2070" t="s">
        <v>14945</v>
      </c>
      <c r="B2070" t="s">
        <v>14946</v>
      </c>
      <c r="C2070" t="s">
        <v>14946</v>
      </c>
      <c r="D2070" t="s">
        <v>297</v>
      </c>
      <c r="E2070" t="s">
        <v>167</v>
      </c>
      <c r="F2070" t="s">
        <v>14947</v>
      </c>
      <c r="G2070" t="s">
        <v>10576</v>
      </c>
      <c r="H2070" t="s">
        <v>10572</v>
      </c>
      <c r="I2070" t="s">
        <v>10571</v>
      </c>
      <c r="J2070" t="s">
        <v>14215</v>
      </c>
      <c r="K2070" t="s">
        <v>10167</v>
      </c>
      <c r="L2070" t="s">
        <v>50</v>
      </c>
      <c r="M2070" s="2">
        <v>192880.72</v>
      </c>
      <c r="N2070" t="s">
        <v>14950</v>
      </c>
      <c r="O2070" t="s">
        <v>52</v>
      </c>
      <c r="P2070" t="str">
        <f>CONCATENATE("'",Tabla1[[#This Row],[Codigo]],"',")</f>
        <v>'03172',</v>
      </c>
    </row>
    <row r="2071" spans="1:16" x14ac:dyDescent="0.25">
      <c r="A2071" t="s">
        <v>14951</v>
      </c>
      <c r="B2071" t="s">
        <v>7199</v>
      </c>
      <c r="C2071" t="s">
        <v>7199</v>
      </c>
      <c r="D2071" t="s">
        <v>297</v>
      </c>
      <c r="E2071" t="s">
        <v>167</v>
      </c>
      <c r="F2071" t="s">
        <v>14952</v>
      </c>
      <c r="G2071" t="s">
        <v>10576</v>
      </c>
      <c r="H2071" t="s">
        <v>10572</v>
      </c>
      <c r="I2071" t="s">
        <v>10571</v>
      </c>
      <c r="J2071" t="s">
        <v>14215</v>
      </c>
      <c r="K2071" t="s">
        <v>10167</v>
      </c>
      <c r="L2071" t="s">
        <v>50</v>
      </c>
      <c r="M2071" s="2">
        <v>217145.03</v>
      </c>
      <c r="N2071" t="s">
        <v>14955</v>
      </c>
      <c r="O2071" t="s">
        <v>52</v>
      </c>
      <c r="P2071" t="str">
        <f>CONCATENATE("'",Tabla1[[#This Row],[Codigo]],"',")</f>
        <v>'03173',</v>
      </c>
    </row>
    <row r="2072" spans="1:16" x14ac:dyDescent="0.25">
      <c r="A2072" t="s">
        <v>14956</v>
      </c>
      <c r="B2072" t="s">
        <v>14957</v>
      </c>
      <c r="C2072" t="s">
        <v>14957</v>
      </c>
      <c r="D2072" t="s">
        <v>35</v>
      </c>
      <c r="E2072" t="s">
        <v>36</v>
      </c>
      <c r="F2072" t="s">
        <v>14958</v>
      </c>
      <c r="G2072" t="s">
        <v>13682</v>
      </c>
      <c r="H2072" t="s">
        <v>5119</v>
      </c>
      <c r="I2072" t="s">
        <v>1216</v>
      </c>
      <c r="J2072" t="s">
        <v>1421</v>
      </c>
      <c r="K2072" t="s">
        <v>1422</v>
      </c>
      <c r="L2072" t="s">
        <v>50</v>
      </c>
      <c r="M2072" s="2">
        <v>134386.34</v>
      </c>
      <c r="N2072" t="s">
        <v>14961</v>
      </c>
      <c r="O2072" t="s">
        <v>52</v>
      </c>
      <c r="P2072" t="str">
        <f>CONCATENATE("'",Tabla1[[#This Row],[Codigo]],"',")</f>
        <v>'03174',</v>
      </c>
    </row>
    <row r="2073" spans="1:16" x14ac:dyDescent="0.25">
      <c r="A2073" t="s">
        <v>14962</v>
      </c>
      <c r="B2073" t="s">
        <v>14963</v>
      </c>
      <c r="C2073" t="s">
        <v>14963</v>
      </c>
      <c r="D2073" t="s">
        <v>35</v>
      </c>
      <c r="E2073" t="s">
        <v>36</v>
      </c>
      <c r="F2073" t="s">
        <v>14964</v>
      </c>
      <c r="G2073" t="s">
        <v>1444</v>
      </c>
      <c r="H2073" t="s">
        <v>1064</v>
      </c>
      <c r="I2073" t="s">
        <v>1062</v>
      </c>
      <c r="J2073" t="s">
        <v>304</v>
      </c>
      <c r="K2073" t="s">
        <v>72</v>
      </c>
      <c r="L2073" t="s">
        <v>50</v>
      </c>
      <c r="M2073" s="2">
        <v>67056.52</v>
      </c>
      <c r="N2073" t="s">
        <v>14967</v>
      </c>
      <c r="O2073" t="s">
        <v>52</v>
      </c>
      <c r="P2073" t="str">
        <f>CONCATENATE("'",Tabla1[[#This Row],[Codigo]],"',")</f>
        <v>'03175',</v>
      </c>
    </row>
    <row r="2074" spans="1:16" x14ac:dyDescent="0.25">
      <c r="A2074" t="s">
        <v>14968</v>
      </c>
      <c r="B2074" t="s">
        <v>14969</v>
      </c>
      <c r="C2074" t="s">
        <v>14970</v>
      </c>
      <c r="D2074" t="s">
        <v>178</v>
      </c>
      <c r="E2074" t="s">
        <v>179</v>
      </c>
      <c r="F2074" t="s">
        <v>14971</v>
      </c>
      <c r="G2074" t="s">
        <v>932</v>
      </c>
      <c r="H2074" t="s">
        <v>933</v>
      </c>
      <c r="I2074" t="s">
        <v>932</v>
      </c>
      <c r="J2074" t="s">
        <v>103</v>
      </c>
      <c r="K2074" t="s">
        <v>104</v>
      </c>
      <c r="L2074" t="s">
        <v>50</v>
      </c>
      <c r="M2074" s="2">
        <v>170531.46</v>
      </c>
      <c r="N2074" t="s">
        <v>14974</v>
      </c>
      <c r="O2074" t="s">
        <v>52</v>
      </c>
      <c r="P2074" t="str">
        <f>CONCATENATE("'",Tabla1[[#This Row],[Codigo]],"',")</f>
        <v>'03176',</v>
      </c>
    </row>
    <row r="2075" spans="1:16" x14ac:dyDescent="0.25">
      <c r="A2075" t="s">
        <v>14975</v>
      </c>
      <c r="B2075" t="s">
        <v>14976</v>
      </c>
      <c r="C2075" t="s">
        <v>14976</v>
      </c>
      <c r="D2075" t="s">
        <v>344</v>
      </c>
      <c r="E2075" t="s">
        <v>167</v>
      </c>
      <c r="F2075" t="s">
        <v>14977</v>
      </c>
      <c r="G2075" t="s">
        <v>1123</v>
      </c>
      <c r="H2075" t="s">
        <v>1900</v>
      </c>
      <c r="I2075" t="s">
        <v>1901</v>
      </c>
      <c r="J2075" t="s">
        <v>158</v>
      </c>
      <c r="K2075" t="s">
        <v>159</v>
      </c>
      <c r="L2075" t="s">
        <v>50</v>
      </c>
      <c r="M2075" s="2">
        <v>242989.95</v>
      </c>
      <c r="N2075" t="s">
        <v>14980</v>
      </c>
      <c r="O2075" t="s">
        <v>115</v>
      </c>
      <c r="P2075" t="str">
        <f>CONCATENATE("'",Tabla1[[#This Row],[Codigo]],"',")</f>
        <v>'03178',</v>
      </c>
    </row>
    <row r="2076" spans="1:16" x14ac:dyDescent="0.25">
      <c r="A2076" t="s">
        <v>14981</v>
      </c>
      <c r="B2076" t="s">
        <v>14982</v>
      </c>
      <c r="C2076" t="s">
        <v>14982</v>
      </c>
      <c r="D2076" t="s">
        <v>153</v>
      </c>
      <c r="E2076" t="s">
        <v>272</v>
      </c>
      <c r="F2076" t="s">
        <v>14983</v>
      </c>
      <c r="G2076" t="s">
        <v>1444</v>
      </c>
      <c r="H2076" t="s">
        <v>1064</v>
      </c>
      <c r="I2076" t="s">
        <v>1062</v>
      </c>
      <c r="J2076" t="s">
        <v>304</v>
      </c>
      <c r="K2076" t="s">
        <v>72</v>
      </c>
      <c r="L2076" t="s">
        <v>50</v>
      </c>
      <c r="M2076" s="2">
        <v>143509.70000000001</v>
      </c>
      <c r="N2076" t="s">
        <v>14986</v>
      </c>
      <c r="O2076" t="s">
        <v>52</v>
      </c>
      <c r="P2076" t="str">
        <f>CONCATENATE("'",Tabla1[[#This Row],[Codigo]],"',")</f>
        <v>'03179',</v>
      </c>
    </row>
    <row r="2077" spans="1:16" x14ac:dyDescent="0.25">
      <c r="A2077" t="s">
        <v>14987</v>
      </c>
      <c r="B2077" t="s">
        <v>14988</v>
      </c>
      <c r="C2077" t="s">
        <v>14988</v>
      </c>
      <c r="D2077" t="s">
        <v>297</v>
      </c>
      <c r="E2077" t="s">
        <v>167</v>
      </c>
      <c r="F2077" t="s">
        <v>14989</v>
      </c>
      <c r="G2077" t="s">
        <v>10576</v>
      </c>
      <c r="H2077" t="s">
        <v>10572</v>
      </c>
      <c r="I2077" t="s">
        <v>10571</v>
      </c>
      <c r="J2077" t="s">
        <v>14215</v>
      </c>
      <c r="K2077" t="s">
        <v>10167</v>
      </c>
      <c r="L2077" t="s">
        <v>50</v>
      </c>
      <c r="M2077" s="2">
        <v>218120.95999999999</v>
      </c>
      <c r="N2077" t="s">
        <v>14992</v>
      </c>
      <c r="O2077" t="s">
        <v>52</v>
      </c>
      <c r="P2077" t="str">
        <f>CONCATENATE("'",Tabla1[[#This Row],[Codigo]],"',")</f>
        <v>'03180',</v>
      </c>
    </row>
    <row r="2078" spans="1:16" x14ac:dyDescent="0.25">
      <c r="A2078" t="s">
        <v>14998</v>
      </c>
      <c r="B2078" t="s">
        <v>14999</v>
      </c>
      <c r="C2078" t="s">
        <v>14999</v>
      </c>
      <c r="D2078" t="s">
        <v>847</v>
      </c>
      <c r="E2078" t="s">
        <v>848</v>
      </c>
      <c r="F2078" t="s">
        <v>15000</v>
      </c>
      <c r="G2078" t="s">
        <v>15001</v>
      </c>
      <c r="H2078" t="s">
        <v>15003</v>
      </c>
      <c r="I2078" t="s">
        <v>15001</v>
      </c>
      <c r="J2078" t="s">
        <v>941</v>
      </c>
      <c r="K2078" t="s">
        <v>139</v>
      </c>
      <c r="L2078" t="s">
        <v>50</v>
      </c>
      <c r="M2078" s="2">
        <v>327051.49</v>
      </c>
      <c r="N2078" t="s">
        <v>15005</v>
      </c>
      <c r="O2078" t="s">
        <v>52</v>
      </c>
      <c r="P2078" t="str">
        <f>CONCATENATE("'",Tabla1[[#This Row],[Codigo]],"',")</f>
        <v>'03182',</v>
      </c>
    </row>
    <row r="2079" spans="1:16" x14ac:dyDescent="0.25">
      <c r="A2079" t="s">
        <v>15006</v>
      </c>
      <c r="B2079" t="s">
        <v>15007</v>
      </c>
      <c r="C2079" t="s">
        <v>15007</v>
      </c>
      <c r="D2079" t="s">
        <v>125</v>
      </c>
      <c r="E2079" t="s">
        <v>126</v>
      </c>
      <c r="F2079" t="s">
        <v>15008</v>
      </c>
      <c r="G2079" t="s">
        <v>10141</v>
      </c>
      <c r="H2079" t="s">
        <v>7936</v>
      </c>
      <c r="I2079" t="s">
        <v>7935</v>
      </c>
      <c r="J2079" t="s">
        <v>10093</v>
      </c>
      <c r="K2079" t="s">
        <v>10094</v>
      </c>
      <c r="L2079" t="s">
        <v>50</v>
      </c>
      <c r="M2079" s="2">
        <v>177883.97</v>
      </c>
      <c r="N2079" t="s">
        <v>15011</v>
      </c>
      <c r="O2079" t="s">
        <v>52</v>
      </c>
      <c r="P2079" t="str">
        <f>CONCATENATE("'",Tabla1[[#This Row],[Codigo]],"',")</f>
        <v>'03183',</v>
      </c>
    </row>
    <row r="2080" spans="1:16" x14ac:dyDescent="0.25">
      <c r="A2080" t="s">
        <v>15022</v>
      </c>
      <c r="B2080" t="s">
        <v>15023</v>
      </c>
      <c r="C2080" t="s">
        <v>15023</v>
      </c>
      <c r="D2080" t="s">
        <v>847</v>
      </c>
      <c r="E2080" t="s">
        <v>848</v>
      </c>
      <c r="F2080" t="s">
        <v>15024</v>
      </c>
      <c r="G2080" t="s">
        <v>10576</v>
      </c>
      <c r="H2080" t="s">
        <v>10572</v>
      </c>
      <c r="I2080" t="s">
        <v>10571</v>
      </c>
      <c r="J2080" t="s">
        <v>14215</v>
      </c>
      <c r="K2080" t="s">
        <v>10167</v>
      </c>
      <c r="L2080" t="s">
        <v>50</v>
      </c>
      <c r="M2080" s="2">
        <v>68825.289999999994</v>
      </c>
      <c r="N2080" t="s">
        <v>15027</v>
      </c>
      <c r="O2080" t="s">
        <v>52</v>
      </c>
      <c r="P2080" t="str">
        <f>CONCATENATE("'",Tabla1[[#This Row],[Codigo]],"',")</f>
        <v>'03186',</v>
      </c>
    </row>
    <row r="2081" spans="1:16" x14ac:dyDescent="0.25">
      <c r="A2081" t="s">
        <v>15028</v>
      </c>
      <c r="B2081" t="s">
        <v>15029</v>
      </c>
      <c r="C2081" t="s">
        <v>15029</v>
      </c>
      <c r="D2081" t="s">
        <v>847</v>
      </c>
      <c r="E2081" t="s">
        <v>848</v>
      </c>
      <c r="F2081" t="s">
        <v>15030</v>
      </c>
      <c r="G2081" t="s">
        <v>10576</v>
      </c>
      <c r="H2081" t="s">
        <v>10572</v>
      </c>
      <c r="I2081" t="s">
        <v>10571</v>
      </c>
      <c r="J2081" t="s">
        <v>14215</v>
      </c>
      <c r="K2081" t="s">
        <v>10167</v>
      </c>
      <c r="L2081" t="s">
        <v>50</v>
      </c>
      <c r="M2081" s="2">
        <v>58514.52</v>
      </c>
      <c r="N2081" t="s">
        <v>15032</v>
      </c>
      <c r="O2081" t="s">
        <v>52</v>
      </c>
      <c r="P2081" t="str">
        <f>CONCATENATE("'",Tabla1[[#This Row],[Codigo]],"',")</f>
        <v>'03187',</v>
      </c>
    </row>
    <row r="2082" spans="1:16" x14ac:dyDescent="0.25">
      <c r="A2082" t="s">
        <v>15033</v>
      </c>
      <c r="B2082" t="s">
        <v>15034</v>
      </c>
      <c r="C2082" t="s">
        <v>15034</v>
      </c>
      <c r="D2082" t="s">
        <v>847</v>
      </c>
      <c r="E2082" t="s">
        <v>848</v>
      </c>
      <c r="F2082" t="s">
        <v>15035</v>
      </c>
      <c r="G2082" t="s">
        <v>10576</v>
      </c>
      <c r="H2082" t="s">
        <v>10572</v>
      </c>
      <c r="I2082" t="s">
        <v>10571</v>
      </c>
      <c r="J2082" t="s">
        <v>14215</v>
      </c>
      <c r="K2082" t="s">
        <v>10167</v>
      </c>
      <c r="L2082" t="s">
        <v>50</v>
      </c>
      <c r="M2082" s="2">
        <v>83771.289999999994</v>
      </c>
      <c r="N2082" t="s">
        <v>15037</v>
      </c>
      <c r="O2082" t="s">
        <v>52</v>
      </c>
      <c r="P2082" t="str">
        <f>CONCATENATE("'",Tabla1[[#This Row],[Codigo]],"',")</f>
        <v>'03188',</v>
      </c>
    </row>
    <row r="2083" spans="1:16" x14ac:dyDescent="0.25">
      <c r="A2083" t="s">
        <v>15038</v>
      </c>
      <c r="B2083" t="s">
        <v>15039</v>
      </c>
      <c r="C2083" t="s">
        <v>15039</v>
      </c>
      <c r="D2083" t="s">
        <v>125</v>
      </c>
      <c r="E2083" t="s">
        <v>126</v>
      </c>
      <c r="F2083" t="s">
        <v>15040</v>
      </c>
      <c r="G2083" t="s">
        <v>7535</v>
      </c>
      <c r="H2083" t="s">
        <v>7534</v>
      </c>
      <c r="I2083" t="s">
        <v>7535</v>
      </c>
      <c r="J2083" t="s">
        <v>6987</v>
      </c>
      <c r="K2083" t="s">
        <v>6988</v>
      </c>
      <c r="L2083" t="s">
        <v>50</v>
      </c>
      <c r="M2083" s="2">
        <v>168479.43</v>
      </c>
      <c r="N2083" t="s">
        <v>15043</v>
      </c>
      <c r="O2083" t="s">
        <v>115</v>
      </c>
      <c r="P2083" t="str">
        <f>CONCATENATE("'",Tabla1[[#This Row],[Codigo]],"',")</f>
        <v>'03189',</v>
      </c>
    </row>
    <row r="2084" spans="1:16" x14ac:dyDescent="0.25">
      <c r="A2084" t="s">
        <v>15066</v>
      </c>
      <c r="B2084" t="s">
        <v>15067</v>
      </c>
      <c r="C2084" t="s">
        <v>15067</v>
      </c>
      <c r="D2084" t="s">
        <v>35</v>
      </c>
      <c r="E2084" t="s">
        <v>36</v>
      </c>
      <c r="F2084" t="s">
        <v>15068</v>
      </c>
      <c r="G2084" t="s">
        <v>90</v>
      </c>
      <c r="H2084" t="s">
        <v>89</v>
      </c>
      <c r="I2084" t="s">
        <v>90</v>
      </c>
      <c r="J2084" t="s">
        <v>91</v>
      </c>
      <c r="K2084" t="s">
        <v>92</v>
      </c>
      <c r="L2084" t="s">
        <v>50</v>
      </c>
      <c r="M2084" s="2">
        <v>3787976.29</v>
      </c>
      <c r="N2084" t="s">
        <v>15070</v>
      </c>
      <c r="O2084" t="s">
        <v>52</v>
      </c>
      <c r="P2084" t="str">
        <f>CONCATENATE("'",Tabla1[[#This Row],[Codigo]],"',")</f>
        <v>'03197',</v>
      </c>
    </row>
    <row r="2085" spans="1:16" x14ac:dyDescent="0.25">
      <c r="A2085" t="s">
        <v>15076</v>
      </c>
      <c r="B2085" t="s">
        <v>15077</v>
      </c>
      <c r="C2085" t="s">
        <v>15077</v>
      </c>
      <c r="D2085" t="s">
        <v>125</v>
      </c>
      <c r="E2085" t="s">
        <v>126</v>
      </c>
      <c r="F2085" t="s">
        <v>15078</v>
      </c>
      <c r="G2085" t="s">
        <v>79</v>
      </c>
      <c r="H2085" t="s">
        <v>495</v>
      </c>
      <c r="I2085" t="s">
        <v>79</v>
      </c>
      <c r="J2085" t="s">
        <v>3487</v>
      </c>
      <c r="K2085" t="s">
        <v>3488</v>
      </c>
      <c r="L2085" t="s">
        <v>50</v>
      </c>
      <c r="M2085" s="2">
        <v>44978.6</v>
      </c>
      <c r="N2085" t="s">
        <v>15081</v>
      </c>
      <c r="O2085" t="s">
        <v>52</v>
      </c>
      <c r="P2085" t="str">
        <f>CONCATENATE("'",Tabla1[[#This Row],[Codigo]],"',")</f>
        <v>'03199',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FAF9-A628-46F6-81F6-B56E672FD5E2}">
  <dimension ref="A1:I2056"/>
  <sheetViews>
    <sheetView tabSelected="1" topLeftCell="D1" workbookViewId="0">
      <selection activeCell="G4" sqref="G4"/>
    </sheetView>
  </sheetViews>
  <sheetFormatPr baseColWidth="10" defaultRowHeight="15" x14ac:dyDescent="0.25"/>
  <cols>
    <col min="1" max="1" width="78.5703125" customWidth="1"/>
    <col min="3" max="3" width="255.7109375" bestFit="1" customWidth="1"/>
    <col min="4" max="4" width="113.5703125" customWidth="1"/>
    <col min="9" max="9" width="17" customWidth="1"/>
  </cols>
  <sheetData>
    <row r="1" spans="1:9" ht="31.5" x14ac:dyDescent="0.25">
      <c r="A1" s="17" t="s">
        <v>15210</v>
      </c>
      <c r="B1" s="18" t="s">
        <v>15211</v>
      </c>
      <c r="C1" s="17" t="s">
        <v>15218</v>
      </c>
      <c r="D1" s="17" t="s">
        <v>15219</v>
      </c>
      <c r="E1" s="18" t="s">
        <v>15212</v>
      </c>
      <c r="F1" s="17" t="s">
        <v>15213</v>
      </c>
      <c r="G1" s="17" t="s">
        <v>15214</v>
      </c>
      <c r="H1" s="17" t="s">
        <v>15215</v>
      </c>
      <c r="I1" s="17" t="s">
        <v>15216</v>
      </c>
    </row>
    <row r="2" spans="1:9" x14ac:dyDescent="0.25">
      <c r="A2" t="s">
        <v>34</v>
      </c>
      <c r="B2" t="s">
        <v>37</v>
      </c>
      <c r="C2" t="s">
        <v>44</v>
      </c>
      <c r="D2" t="s">
        <v>44</v>
      </c>
      <c r="E2" t="s">
        <v>39</v>
      </c>
      <c r="F2">
        <v>6201</v>
      </c>
      <c r="G2" t="s">
        <v>38</v>
      </c>
      <c r="H2" t="s">
        <v>15220</v>
      </c>
      <c r="I2">
        <v>41423</v>
      </c>
    </row>
    <row r="3" spans="1:9" x14ac:dyDescent="0.25">
      <c r="A3" t="s">
        <v>74</v>
      </c>
      <c r="B3" t="s">
        <v>78</v>
      </c>
      <c r="C3" t="s">
        <v>84</v>
      </c>
      <c r="D3" t="s">
        <v>15221</v>
      </c>
      <c r="F3">
        <v>8566</v>
      </c>
      <c r="G3" t="s">
        <v>79</v>
      </c>
      <c r="H3" t="s">
        <v>85</v>
      </c>
      <c r="I3">
        <v>49612</v>
      </c>
    </row>
    <row r="4" spans="1:9" x14ac:dyDescent="0.25">
      <c r="A4" t="s">
        <v>96</v>
      </c>
      <c r="B4" t="s">
        <v>97</v>
      </c>
      <c r="C4" t="s">
        <v>105</v>
      </c>
      <c r="D4" t="s">
        <v>105</v>
      </c>
      <c r="E4">
        <v>4149460165</v>
      </c>
      <c r="F4">
        <v>8527</v>
      </c>
      <c r="G4" t="s">
        <v>99</v>
      </c>
      <c r="H4" t="s">
        <v>106</v>
      </c>
      <c r="I4">
        <v>18031</v>
      </c>
    </row>
    <row r="5" spans="1:9" x14ac:dyDescent="0.25">
      <c r="A5" t="s">
        <v>110</v>
      </c>
      <c r="B5" t="s">
        <v>111</v>
      </c>
      <c r="C5" t="s">
        <v>113</v>
      </c>
      <c r="D5" t="s">
        <v>113</v>
      </c>
      <c r="E5" t="s">
        <v>112</v>
      </c>
      <c r="F5">
        <v>8531</v>
      </c>
      <c r="G5" t="s">
        <v>87</v>
      </c>
      <c r="H5" t="s">
        <v>15222</v>
      </c>
      <c r="I5">
        <v>40203</v>
      </c>
    </row>
    <row r="6" spans="1:9" x14ac:dyDescent="0.25">
      <c r="A6" t="s">
        <v>124</v>
      </c>
      <c r="B6" t="s">
        <v>127</v>
      </c>
      <c r="C6" t="s">
        <v>129</v>
      </c>
      <c r="D6" t="s">
        <v>15223</v>
      </c>
      <c r="E6" t="s">
        <v>128</v>
      </c>
      <c r="F6">
        <v>6201</v>
      </c>
      <c r="G6" t="s">
        <v>38</v>
      </c>
      <c r="H6" t="s">
        <v>15220</v>
      </c>
      <c r="I6">
        <v>7637</v>
      </c>
    </row>
    <row r="7" spans="1:9" x14ac:dyDescent="0.25">
      <c r="A7" t="s">
        <v>144</v>
      </c>
      <c r="B7" t="s">
        <v>145</v>
      </c>
      <c r="C7" t="s">
        <v>147</v>
      </c>
      <c r="D7" t="s">
        <v>15224</v>
      </c>
      <c r="E7" t="s">
        <v>146</v>
      </c>
      <c r="F7">
        <v>6201</v>
      </c>
      <c r="G7" t="s">
        <v>38</v>
      </c>
      <c r="H7" t="s">
        <v>15220</v>
      </c>
      <c r="I7">
        <v>6807</v>
      </c>
    </row>
    <row r="8" spans="1:9" x14ac:dyDescent="0.25">
      <c r="A8" t="s">
        <v>150</v>
      </c>
      <c r="B8" t="s">
        <v>152</v>
      </c>
      <c r="C8" t="s">
        <v>160</v>
      </c>
      <c r="D8" t="s">
        <v>15225</v>
      </c>
      <c r="E8" t="s">
        <v>155</v>
      </c>
      <c r="F8">
        <v>8516</v>
      </c>
      <c r="G8" t="s">
        <v>154</v>
      </c>
      <c r="H8" t="s">
        <v>15226</v>
      </c>
      <c r="I8">
        <v>37892</v>
      </c>
    </row>
    <row r="9" spans="1:9" x14ac:dyDescent="0.25">
      <c r="A9" t="s">
        <v>165</v>
      </c>
      <c r="B9" t="s">
        <v>168</v>
      </c>
      <c r="C9" t="s">
        <v>174</v>
      </c>
      <c r="D9" t="s">
        <v>15227</v>
      </c>
      <c r="E9" t="s">
        <v>171</v>
      </c>
      <c r="F9">
        <v>8521</v>
      </c>
      <c r="G9" t="s">
        <v>170</v>
      </c>
      <c r="H9" t="s">
        <v>15226</v>
      </c>
      <c r="I9">
        <v>39502</v>
      </c>
    </row>
    <row r="10" spans="1:9" x14ac:dyDescent="0.25">
      <c r="A10" t="s">
        <v>177</v>
      </c>
      <c r="B10" t="s">
        <v>180</v>
      </c>
      <c r="C10" t="s">
        <v>185</v>
      </c>
      <c r="D10" t="s">
        <v>15228</v>
      </c>
      <c r="E10" t="s">
        <v>182</v>
      </c>
      <c r="F10">
        <v>8517</v>
      </c>
      <c r="G10" t="s">
        <v>181</v>
      </c>
      <c r="H10" t="s">
        <v>15226</v>
      </c>
      <c r="I10">
        <v>8057</v>
      </c>
    </row>
    <row r="11" spans="1:9" x14ac:dyDescent="0.25">
      <c r="A11" t="s">
        <v>188</v>
      </c>
      <c r="B11" t="s">
        <v>191</v>
      </c>
      <c r="C11" t="s">
        <v>197</v>
      </c>
      <c r="D11" t="s">
        <v>197</v>
      </c>
      <c r="E11" t="s">
        <v>194</v>
      </c>
      <c r="F11">
        <v>8554</v>
      </c>
      <c r="G11" t="s">
        <v>193</v>
      </c>
      <c r="H11" t="s">
        <v>15220</v>
      </c>
      <c r="I11">
        <v>1368</v>
      </c>
    </row>
    <row r="12" spans="1:9" x14ac:dyDescent="0.25">
      <c r="A12" t="s">
        <v>15137</v>
      </c>
      <c r="B12" t="s">
        <v>57</v>
      </c>
      <c r="C12" t="s">
        <v>63</v>
      </c>
      <c r="D12" t="s">
        <v>63</v>
      </c>
      <c r="F12">
        <v>6201</v>
      </c>
      <c r="G12" t="s">
        <v>38</v>
      </c>
      <c r="H12" t="s">
        <v>15220</v>
      </c>
    </row>
    <row r="13" spans="1:9" x14ac:dyDescent="0.25">
      <c r="A13" t="s">
        <v>227</v>
      </c>
      <c r="B13" t="s">
        <v>228</v>
      </c>
      <c r="C13" t="s">
        <v>233</v>
      </c>
      <c r="D13" t="s">
        <v>15229</v>
      </c>
      <c r="E13" t="s">
        <v>230</v>
      </c>
      <c r="F13">
        <v>8567</v>
      </c>
      <c r="G13" t="s">
        <v>229</v>
      </c>
      <c r="H13" t="s">
        <v>15220</v>
      </c>
      <c r="I13">
        <v>50722</v>
      </c>
    </row>
    <row r="14" spans="1:9" x14ac:dyDescent="0.25">
      <c r="A14" t="s">
        <v>236</v>
      </c>
      <c r="B14" t="s">
        <v>237</v>
      </c>
      <c r="C14" t="s">
        <v>240</v>
      </c>
      <c r="D14" t="s">
        <v>240</v>
      </c>
      <c r="E14" t="s">
        <v>15230</v>
      </c>
      <c r="F14">
        <v>8544</v>
      </c>
      <c r="G14" t="s">
        <v>238</v>
      </c>
      <c r="H14" t="s">
        <v>15231</v>
      </c>
      <c r="I14">
        <v>1901</v>
      </c>
    </row>
    <row r="15" spans="1:9" x14ac:dyDescent="0.25">
      <c r="A15" t="s">
        <v>261</v>
      </c>
      <c r="B15" t="s">
        <v>263</v>
      </c>
      <c r="C15" t="s">
        <v>269</v>
      </c>
      <c r="D15" t="s">
        <v>269</v>
      </c>
      <c r="E15" t="s">
        <v>266</v>
      </c>
      <c r="F15">
        <v>8559</v>
      </c>
      <c r="G15" t="s">
        <v>265</v>
      </c>
      <c r="H15" t="s">
        <v>106</v>
      </c>
      <c r="I15">
        <v>43773</v>
      </c>
    </row>
    <row r="16" spans="1:9" x14ac:dyDescent="0.25">
      <c r="A16" t="s">
        <v>271</v>
      </c>
      <c r="B16" t="s">
        <v>273</v>
      </c>
      <c r="C16" t="s">
        <v>278</v>
      </c>
      <c r="D16" t="s">
        <v>278</v>
      </c>
      <c r="E16" t="s">
        <v>275</v>
      </c>
      <c r="F16">
        <v>8583</v>
      </c>
      <c r="G16" t="s">
        <v>15232</v>
      </c>
      <c r="H16" t="s">
        <v>279</v>
      </c>
      <c r="I16">
        <v>7996</v>
      </c>
    </row>
    <row r="17" spans="1:9" x14ac:dyDescent="0.25">
      <c r="A17" t="s">
        <v>296</v>
      </c>
      <c r="B17" t="s">
        <v>298</v>
      </c>
      <c r="C17" t="s">
        <v>305</v>
      </c>
      <c r="D17" t="s">
        <v>305</v>
      </c>
      <c r="E17" t="s">
        <v>301</v>
      </c>
      <c r="F17">
        <v>8533</v>
      </c>
      <c r="G17" t="s">
        <v>300</v>
      </c>
      <c r="H17" t="s">
        <v>72</v>
      </c>
      <c r="I17">
        <v>30691</v>
      </c>
    </row>
    <row r="18" spans="1:9" x14ac:dyDescent="0.25">
      <c r="A18" t="s">
        <v>320</v>
      </c>
      <c r="B18" t="s">
        <v>322</v>
      </c>
      <c r="C18" t="s">
        <v>328</v>
      </c>
      <c r="D18" t="s">
        <v>328</v>
      </c>
      <c r="E18" t="s">
        <v>325</v>
      </c>
      <c r="F18">
        <v>8545</v>
      </c>
      <c r="G18" t="s">
        <v>324</v>
      </c>
      <c r="H18" t="s">
        <v>15231</v>
      </c>
      <c r="I18">
        <v>41171</v>
      </c>
    </row>
    <row r="19" spans="1:9" x14ac:dyDescent="0.25">
      <c r="A19" t="s">
        <v>330</v>
      </c>
      <c r="B19" t="s">
        <v>332</v>
      </c>
      <c r="C19" t="s">
        <v>335</v>
      </c>
      <c r="D19" t="s">
        <v>335</v>
      </c>
      <c r="E19">
        <v>4147607247</v>
      </c>
      <c r="F19">
        <v>8545</v>
      </c>
      <c r="G19" t="s">
        <v>324</v>
      </c>
      <c r="H19" t="s">
        <v>15231</v>
      </c>
      <c r="I19">
        <v>33071</v>
      </c>
    </row>
    <row r="20" spans="1:9" x14ac:dyDescent="0.25">
      <c r="A20" t="s">
        <v>343</v>
      </c>
      <c r="B20" t="s">
        <v>345</v>
      </c>
      <c r="C20" t="s">
        <v>350</v>
      </c>
      <c r="D20" t="s">
        <v>350</v>
      </c>
      <c r="E20" t="s">
        <v>347</v>
      </c>
      <c r="F20">
        <v>8551</v>
      </c>
      <c r="G20" t="s">
        <v>346</v>
      </c>
      <c r="H20" t="s">
        <v>15233</v>
      </c>
      <c r="I20">
        <v>31930</v>
      </c>
    </row>
    <row r="21" spans="1:9" x14ac:dyDescent="0.25">
      <c r="A21" t="s">
        <v>353</v>
      </c>
      <c r="B21" t="s">
        <v>354</v>
      </c>
      <c r="C21" t="s">
        <v>356</v>
      </c>
      <c r="D21" t="s">
        <v>356</v>
      </c>
      <c r="E21">
        <v>4248646488</v>
      </c>
      <c r="F21">
        <v>8544</v>
      </c>
      <c r="G21" t="s">
        <v>238</v>
      </c>
      <c r="H21" t="s">
        <v>15231</v>
      </c>
      <c r="I21">
        <v>36548</v>
      </c>
    </row>
    <row r="22" spans="1:9" x14ac:dyDescent="0.25">
      <c r="A22" t="s">
        <v>364</v>
      </c>
      <c r="B22" t="s">
        <v>365</v>
      </c>
      <c r="C22" t="s">
        <v>368</v>
      </c>
      <c r="D22" t="s">
        <v>368</v>
      </c>
      <c r="E22">
        <v>4120942569</v>
      </c>
      <c r="F22">
        <v>8551</v>
      </c>
      <c r="G22" t="s">
        <v>366</v>
      </c>
      <c r="H22" t="s">
        <v>15233</v>
      </c>
      <c r="I22">
        <v>37642</v>
      </c>
    </row>
    <row r="23" spans="1:9" x14ac:dyDescent="0.25">
      <c r="A23" t="s">
        <v>389</v>
      </c>
      <c r="B23" t="s">
        <v>390</v>
      </c>
      <c r="C23" t="s">
        <v>395</v>
      </c>
      <c r="D23" t="s">
        <v>395</v>
      </c>
      <c r="E23" t="s">
        <v>392</v>
      </c>
      <c r="F23">
        <v>8602</v>
      </c>
      <c r="G23" t="s">
        <v>391</v>
      </c>
      <c r="H23" t="s">
        <v>15220</v>
      </c>
      <c r="I23">
        <v>37458</v>
      </c>
    </row>
    <row r="24" spans="1:9" x14ac:dyDescent="0.25">
      <c r="A24" t="s">
        <v>407</v>
      </c>
      <c r="B24" t="s">
        <v>408</v>
      </c>
      <c r="C24" t="s">
        <v>410</v>
      </c>
      <c r="D24" t="s">
        <v>15234</v>
      </c>
      <c r="E24" t="s">
        <v>409</v>
      </c>
      <c r="F24">
        <v>8545</v>
      </c>
      <c r="G24" t="s">
        <v>324</v>
      </c>
      <c r="H24" t="s">
        <v>15231</v>
      </c>
      <c r="I24">
        <v>42016</v>
      </c>
    </row>
    <row r="25" spans="1:9" x14ac:dyDescent="0.25">
      <c r="A25" t="s">
        <v>413</v>
      </c>
      <c r="B25" t="s">
        <v>414</v>
      </c>
      <c r="C25" t="s">
        <v>419</v>
      </c>
      <c r="D25" t="s">
        <v>419</v>
      </c>
      <c r="E25" t="s">
        <v>416</v>
      </c>
      <c r="F25">
        <v>8529</v>
      </c>
      <c r="G25" t="s">
        <v>15235</v>
      </c>
      <c r="H25" t="s">
        <v>15220</v>
      </c>
      <c r="I25">
        <v>37942</v>
      </c>
    </row>
    <row r="26" spans="1:9" x14ac:dyDescent="0.25">
      <c r="A26" t="s">
        <v>424</v>
      </c>
      <c r="B26" t="s">
        <v>425</v>
      </c>
      <c r="C26" t="s">
        <v>427</v>
      </c>
      <c r="D26" t="s">
        <v>427</v>
      </c>
      <c r="E26" t="s">
        <v>426</v>
      </c>
      <c r="F26">
        <v>8545</v>
      </c>
      <c r="G26" t="s">
        <v>324</v>
      </c>
      <c r="H26" t="s">
        <v>15231</v>
      </c>
      <c r="I26">
        <v>39470</v>
      </c>
    </row>
    <row r="27" spans="1:9" x14ac:dyDescent="0.25">
      <c r="A27" t="s">
        <v>432</v>
      </c>
      <c r="B27" t="s">
        <v>433</v>
      </c>
      <c r="C27" t="s">
        <v>438</v>
      </c>
      <c r="D27" t="s">
        <v>438</v>
      </c>
      <c r="E27" t="s">
        <v>435</v>
      </c>
      <c r="F27">
        <v>8552</v>
      </c>
      <c r="G27" t="s">
        <v>434</v>
      </c>
      <c r="H27" t="s">
        <v>15220</v>
      </c>
      <c r="I27">
        <v>33731</v>
      </c>
    </row>
    <row r="28" spans="1:9" x14ac:dyDescent="0.25">
      <c r="A28" t="s">
        <v>441</v>
      </c>
      <c r="B28" t="s">
        <v>442</v>
      </c>
      <c r="C28" t="s">
        <v>447</v>
      </c>
      <c r="D28" t="s">
        <v>15236</v>
      </c>
      <c r="E28" t="s">
        <v>444</v>
      </c>
      <c r="F28">
        <v>8534</v>
      </c>
      <c r="G28" t="s">
        <v>443</v>
      </c>
      <c r="H28" t="s">
        <v>72</v>
      </c>
      <c r="I28">
        <v>40696</v>
      </c>
    </row>
    <row r="29" spans="1:9" x14ac:dyDescent="0.25">
      <c r="A29" t="s">
        <v>450</v>
      </c>
      <c r="B29" t="s">
        <v>451</v>
      </c>
      <c r="C29" t="s">
        <v>453</v>
      </c>
      <c r="D29" t="s">
        <v>453</v>
      </c>
      <c r="E29" t="s">
        <v>15237</v>
      </c>
      <c r="F29">
        <v>8551</v>
      </c>
      <c r="G29" t="s">
        <v>366</v>
      </c>
      <c r="H29" t="s">
        <v>15233</v>
      </c>
      <c r="I29">
        <v>4162</v>
      </c>
    </row>
    <row r="30" spans="1:9" x14ac:dyDescent="0.25">
      <c r="A30" t="s">
        <v>463</v>
      </c>
      <c r="B30" t="s">
        <v>464</v>
      </c>
      <c r="C30" t="s">
        <v>466</v>
      </c>
      <c r="D30" t="s">
        <v>466</v>
      </c>
      <c r="E30" t="s">
        <v>465</v>
      </c>
      <c r="F30">
        <v>8545</v>
      </c>
      <c r="G30" t="s">
        <v>324</v>
      </c>
      <c r="H30" t="s">
        <v>15231</v>
      </c>
      <c r="I30">
        <v>39402</v>
      </c>
    </row>
    <row r="31" spans="1:9" x14ac:dyDescent="0.25">
      <c r="A31" t="s">
        <v>476</v>
      </c>
      <c r="B31" t="s">
        <v>477</v>
      </c>
      <c r="C31" t="s">
        <v>480</v>
      </c>
      <c r="D31" t="s">
        <v>480</v>
      </c>
      <c r="E31" t="s">
        <v>479</v>
      </c>
      <c r="F31">
        <v>6201</v>
      </c>
      <c r="G31" t="s">
        <v>38</v>
      </c>
      <c r="H31" t="s">
        <v>15220</v>
      </c>
      <c r="I31">
        <v>42293</v>
      </c>
    </row>
    <row r="32" spans="1:9" x14ac:dyDescent="0.25">
      <c r="A32" t="s">
        <v>483</v>
      </c>
      <c r="B32" t="s">
        <v>484</v>
      </c>
      <c r="C32" t="s">
        <v>487</v>
      </c>
      <c r="D32" t="s">
        <v>487</v>
      </c>
      <c r="E32" t="s">
        <v>486</v>
      </c>
      <c r="F32">
        <v>8551</v>
      </c>
      <c r="G32" t="s">
        <v>349</v>
      </c>
      <c r="H32" t="s">
        <v>15233</v>
      </c>
      <c r="I32">
        <v>42379</v>
      </c>
    </row>
    <row r="33" spans="1:9" x14ac:dyDescent="0.25">
      <c r="A33" t="s">
        <v>490</v>
      </c>
      <c r="B33" t="s">
        <v>401</v>
      </c>
      <c r="C33" t="s">
        <v>15238</v>
      </c>
      <c r="D33" t="s">
        <v>15239</v>
      </c>
      <c r="E33">
        <v>4148968772</v>
      </c>
      <c r="F33">
        <v>8524</v>
      </c>
      <c r="G33" t="s">
        <v>404</v>
      </c>
      <c r="H33" t="s">
        <v>15226</v>
      </c>
      <c r="I33">
        <v>43708</v>
      </c>
    </row>
    <row r="34" spans="1:9" x14ac:dyDescent="0.25">
      <c r="A34" t="s">
        <v>497</v>
      </c>
      <c r="B34" t="s">
        <v>499</v>
      </c>
      <c r="C34" t="s">
        <v>501</v>
      </c>
      <c r="D34" t="s">
        <v>501</v>
      </c>
      <c r="E34" t="s">
        <v>500</v>
      </c>
      <c r="F34">
        <v>8551</v>
      </c>
      <c r="G34" t="s">
        <v>349</v>
      </c>
      <c r="H34" t="s">
        <v>15233</v>
      </c>
      <c r="I34">
        <v>36718</v>
      </c>
    </row>
    <row r="35" spans="1:9" x14ac:dyDescent="0.25">
      <c r="A35" t="s">
        <v>507</v>
      </c>
      <c r="B35" t="s">
        <v>508</v>
      </c>
      <c r="C35" t="s">
        <v>510</v>
      </c>
      <c r="D35" t="s">
        <v>510</v>
      </c>
      <c r="E35" t="s">
        <v>509</v>
      </c>
      <c r="F35">
        <v>8524</v>
      </c>
      <c r="G35" t="s">
        <v>404</v>
      </c>
      <c r="H35" t="s">
        <v>15226</v>
      </c>
      <c r="I35">
        <v>41776</v>
      </c>
    </row>
    <row r="36" spans="1:9" x14ac:dyDescent="0.25">
      <c r="A36" t="s">
        <v>518</v>
      </c>
      <c r="B36" t="s">
        <v>520</v>
      </c>
      <c r="C36" t="s">
        <v>525</v>
      </c>
      <c r="D36" t="s">
        <v>525</v>
      </c>
      <c r="E36" t="s">
        <v>522</v>
      </c>
      <c r="F36">
        <v>8609</v>
      </c>
      <c r="G36" t="s">
        <v>521</v>
      </c>
      <c r="H36" t="s">
        <v>15222</v>
      </c>
      <c r="I36">
        <v>5661</v>
      </c>
    </row>
    <row r="37" spans="1:9" x14ac:dyDescent="0.25">
      <c r="A37" t="s">
        <v>532</v>
      </c>
      <c r="B37" t="s">
        <v>533</v>
      </c>
      <c r="C37" t="s">
        <v>535</v>
      </c>
      <c r="D37" t="s">
        <v>535</v>
      </c>
      <c r="E37" t="s">
        <v>534</v>
      </c>
      <c r="F37">
        <v>8602</v>
      </c>
      <c r="G37" t="s">
        <v>394</v>
      </c>
      <c r="H37" t="s">
        <v>15220</v>
      </c>
      <c r="I37">
        <v>51886</v>
      </c>
    </row>
    <row r="38" spans="1:9" x14ac:dyDescent="0.25">
      <c r="A38" t="s">
        <v>552</v>
      </c>
      <c r="B38" t="s">
        <v>554</v>
      </c>
      <c r="C38" t="s">
        <v>559</v>
      </c>
      <c r="D38" t="s">
        <v>559</v>
      </c>
      <c r="E38" t="s">
        <v>556</v>
      </c>
      <c r="F38">
        <v>8566</v>
      </c>
      <c r="G38" t="s">
        <v>81</v>
      </c>
      <c r="H38" t="s">
        <v>85</v>
      </c>
      <c r="I38">
        <v>41032</v>
      </c>
    </row>
    <row r="39" spans="1:9" x14ac:dyDescent="0.25">
      <c r="A39" t="s">
        <v>568</v>
      </c>
      <c r="B39" t="s">
        <v>571</v>
      </c>
      <c r="C39" t="s">
        <v>573</v>
      </c>
      <c r="D39" t="s">
        <v>15240</v>
      </c>
      <c r="E39" t="s">
        <v>572</v>
      </c>
      <c r="F39">
        <v>8531</v>
      </c>
      <c r="G39" t="s">
        <v>87</v>
      </c>
      <c r="H39" t="s">
        <v>15222</v>
      </c>
    </row>
    <row r="40" spans="1:9" x14ac:dyDescent="0.25">
      <c r="A40" t="s">
        <v>575</v>
      </c>
      <c r="B40" t="s">
        <v>576</v>
      </c>
      <c r="C40" t="s">
        <v>579</v>
      </c>
      <c r="D40" t="s">
        <v>579</v>
      </c>
      <c r="E40" t="s">
        <v>578</v>
      </c>
      <c r="F40">
        <v>8554</v>
      </c>
      <c r="G40" t="s">
        <v>196</v>
      </c>
      <c r="H40" t="s">
        <v>15220</v>
      </c>
      <c r="I40">
        <v>6188</v>
      </c>
    </row>
    <row r="41" spans="1:9" x14ac:dyDescent="0.25">
      <c r="A41" t="s">
        <v>582</v>
      </c>
      <c r="B41" t="s">
        <v>583</v>
      </c>
      <c r="C41" t="s">
        <v>586</v>
      </c>
      <c r="D41" t="s">
        <v>586</v>
      </c>
      <c r="F41">
        <v>8520</v>
      </c>
      <c r="G41" t="s">
        <v>584</v>
      </c>
      <c r="H41" t="s">
        <v>15226</v>
      </c>
      <c r="I41">
        <v>51138</v>
      </c>
    </row>
    <row r="42" spans="1:9" x14ac:dyDescent="0.25">
      <c r="A42" t="s">
        <v>588</v>
      </c>
      <c r="B42" t="s">
        <v>589</v>
      </c>
      <c r="C42" t="s">
        <v>594</v>
      </c>
      <c r="D42" t="s">
        <v>594</v>
      </c>
      <c r="E42" t="s">
        <v>591</v>
      </c>
      <c r="F42">
        <v>8668</v>
      </c>
      <c r="G42" t="s">
        <v>15241</v>
      </c>
      <c r="H42" t="s">
        <v>15222</v>
      </c>
      <c r="I42">
        <v>37341</v>
      </c>
    </row>
    <row r="43" spans="1:9" x14ac:dyDescent="0.25">
      <c r="A43" t="s">
        <v>609</v>
      </c>
      <c r="B43" t="s">
        <v>610</v>
      </c>
      <c r="C43" t="s">
        <v>615</v>
      </c>
      <c r="D43" t="s">
        <v>615</v>
      </c>
      <c r="E43" t="s">
        <v>612</v>
      </c>
      <c r="F43">
        <v>8532</v>
      </c>
      <c r="G43" t="s">
        <v>15242</v>
      </c>
      <c r="H43" t="s">
        <v>15222</v>
      </c>
      <c r="I43">
        <v>33383</v>
      </c>
    </row>
    <row r="44" spans="1:9" x14ac:dyDescent="0.25">
      <c r="A44" t="s">
        <v>618</v>
      </c>
      <c r="B44" t="s">
        <v>620</v>
      </c>
      <c r="C44" t="s">
        <v>625</v>
      </c>
      <c r="D44" t="s">
        <v>625</v>
      </c>
      <c r="E44" t="s">
        <v>623</v>
      </c>
      <c r="F44">
        <v>8615</v>
      </c>
      <c r="G44" t="s">
        <v>622</v>
      </c>
      <c r="H44" t="s">
        <v>15222</v>
      </c>
      <c r="I44">
        <v>4356</v>
      </c>
    </row>
    <row r="45" spans="1:9" x14ac:dyDescent="0.25">
      <c r="A45" t="s">
        <v>629</v>
      </c>
      <c r="B45" t="s">
        <v>630</v>
      </c>
      <c r="C45" t="s">
        <v>632</v>
      </c>
      <c r="D45" t="s">
        <v>15243</v>
      </c>
      <c r="E45" t="s">
        <v>631</v>
      </c>
      <c r="F45">
        <v>8534</v>
      </c>
      <c r="G45" t="s">
        <v>446</v>
      </c>
      <c r="H45" t="s">
        <v>72</v>
      </c>
      <c r="I45">
        <v>6905</v>
      </c>
    </row>
    <row r="46" spans="1:9" x14ac:dyDescent="0.25">
      <c r="A46" t="s">
        <v>635</v>
      </c>
      <c r="B46" t="s">
        <v>637</v>
      </c>
      <c r="C46" t="s">
        <v>642</v>
      </c>
      <c r="D46" t="s">
        <v>642</v>
      </c>
      <c r="E46" t="s">
        <v>639</v>
      </c>
      <c r="F46">
        <v>8608</v>
      </c>
      <c r="G46" t="s">
        <v>638</v>
      </c>
      <c r="H46" t="s">
        <v>15222</v>
      </c>
      <c r="I46">
        <v>22312</v>
      </c>
    </row>
    <row r="47" spans="1:9" x14ac:dyDescent="0.25">
      <c r="A47" t="s">
        <v>647</v>
      </c>
      <c r="B47" t="s">
        <v>648</v>
      </c>
      <c r="C47" t="s">
        <v>654</v>
      </c>
      <c r="D47" t="s">
        <v>654</v>
      </c>
      <c r="E47" t="s">
        <v>651</v>
      </c>
      <c r="F47">
        <v>8535</v>
      </c>
      <c r="G47" t="s">
        <v>650</v>
      </c>
      <c r="H47" t="s">
        <v>72</v>
      </c>
      <c r="I47">
        <v>4478</v>
      </c>
    </row>
    <row r="48" spans="1:9" x14ac:dyDescent="0.25">
      <c r="A48" t="s">
        <v>660</v>
      </c>
      <c r="B48" t="s">
        <v>661</v>
      </c>
      <c r="C48" t="s">
        <v>666</v>
      </c>
      <c r="D48" t="s">
        <v>666</v>
      </c>
      <c r="E48" t="s">
        <v>15244</v>
      </c>
      <c r="F48">
        <v>8526</v>
      </c>
      <c r="G48" t="s">
        <v>662</v>
      </c>
      <c r="H48" t="s">
        <v>106</v>
      </c>
      <c r="I48">
        <v>40200</v>
      </c>
    </row>
    <row r="49" spans="1:9" x14ac:dyDescent="0.25">
      <c r="A49" t="s">
        <v>673</v>
      </c>
      <c r="B49" t="s">
        <v>674</v>
      </c>
      <c r="C49" t="s">
        <v>676</v>
      </c>
      <c r="D49" t="s">
        <v>676</v>
      </c>
      <c r="E49" t="s">
        <v>675</v>
      </c>
      <c r="F49">
        <v>8551</v>
      </c>
      <c r="G49" t="s">
        <v>349</v>
      </c>
      <c r="H49" t="s">
        <v>15233</v>
      </c>
      <c r="I49">
        <v>37491</v>
      </c>
    </row>
    <row r="50" spans="1:9" x14ac:dyDescent="0.25">
      <c r="A50" t="s">
        <v>679</v>
      </c>
      <c r="B50" t="s">
        <v>680</v>
      </c>
      <c r="C50" t="s">
        <v>682</v>
      </c>
      <c r="D50" t="s">
        <v>682</v>
      </c>
      <c r="E50" t="s">
        <v>681</v>
      </c>
      <c r="F50">
        <v>8551</v>
      </c>
      <c r="G50" t="s">
        <v>349</v>
      </c>
      <c r="H50" t="s">
        <v>15233</v>
      </c>
      <c r="I50">
        <v>2006</v>
      </c>
    </row>
    <row r="51" spans="1:9" x14ac:dyDescent="0.25">
      <c r="A51" t="s">
        <v>691</v>
      </c>
      <c r="B51" t="s">
        <v>692</v>
      </c>
      <c r="C51" t="s">
        <v>694</v>
      </c>
      <c r="D51" t="s">
        <v>694</v>
      </c>
      <c r="E51" t="s">
        <v>693</v>
      </c>
      <c r="F51">
        <v>6201</v>
      </c>
      <c r="G51" t="s">
        <v>41</v>
      </c>
      <c r="H51" t="s">
        <v>15220</v>
      </c>
      <c r="I51">
        <v>7470</v>
      </c>
    </row>
    <row r="52" spans="1:9" x14ac:dyDescent="0.25">
      <c r="A52" t="s">
        <v>697</v>
      </c>
      <c r="B52" t="s">
        <v>698</v>
      </c>
      <c r="C52" t="s">
        <v>701</v>
      </c>
      <c r="D52" t="s">
        <v>701</v>
      </c>
      <c r="F52">
        <v>8543</v>
      </c>
      <c r="G52" t="s">
        <v>699</v>
      </c>
      <c r="H52" t="s">
        <v>72</v>
      </c>
      <c r="I52">
        <v>51461</v>
      </c>
    </row>
    <row r="53" spans="1:9" x14ac:dyDescent="0.25">
      <c r="A53" t="s">
        <v>704</v>
      </c>
      <c r="B53" t="s">
        <v>705</v>
      </c>
      <c r="C53" t="s">
        <v>707</v>
      </c>
      <c r="D53" t="s">
        <v>707</v>
      </c>
      <c r="E53" t="s">
        <v>706</v>
      </c>
      <c r="F53">
        <v>8550</v>
      </c>
      <c r="G53" t="s">
        <v>315</v>
      </c>
      <c r="H53" t="s">
        <v>15220</v>
      </c>
    </row>
    <row r="54" spans="1:9" x14ac:dyDescent="0.25">
      <c r="A54" t="s">
        <v>719</v>
      </c>
      <c r="B54" t="s">
        <v>720</v>
      </c>
      <c r="C54" t="s">
        <v>723</v>
      </c>
      <c r="D54" t="s">
        <v>723</v>
      </c>
      <c r="F54">
        <v>7101</v>
      </c>
      <c r="G54" t="s">
        <v>721</v>
      </c>
      <c r="H54" t="s">
        <v>15226</v>
      </c>
      <c r="I54">
        <v>50933</v>
      </c>
    </row>
    <row r="55" spans="1:9" x14ac:dyDescent="0.25">
      <c r="A55" t="s">
        <v>737</v>
      </c>
      <c r="B55" t="s">
        <v>738</v>
      </c>
      <c r="C55" t="s">
        <v>740</v>
      </c>
      <c r="D55" t="s">
        <v>740</v>
      </c>
      <c r="E55" t="s">
        <v>15245</v>
      </c>
      <c r="F55">
        <v>8544</v>
      </c>
      <c r="G55" t="s">
        <v>116</v>
      </c>
      <c r="H55" t="s">
        <v>15231</v>
      </c>
      <c r="I55">
        <v>32635</v>
      </c>
    </row>
    <row r="56" spans="1:9" x14ac:dyDescent="0.25">
      <c r="A56" t="s">
        <v>743</v>
      </c>
      <c r="B56" t="s">
        <v>744</v>
      </c>
      <c r="C56" t="s">
        <v>746</v>
      </c>
      <c r="D56" t="s">
        <v>746</v>
      </c>
      <c r="E56" t="s">
        <v>15246</v>
      </c>
      <c r="F56">
        <v>6301</v>
      </c>
      <c r="G56" t="s">
        <v>597</v>
      </c>
      <c r="H56" t="s">
        <v>15222</v>
      </c>
      <c r="I56">
        <v>9900</v>
      </c>
    </row>
    <row r="57" spans="1:9" x14ac:dyDescent="0.25">
      <c r="A57" t="s">
        <v>757</v>
      </c>
      <c r="B57" t="s">
        <v>758</v>
      </c>
      <c r="C57" t="s">
        <v>760</v>
      </c>
      <c r="D57" t="s">
        <v>760</v>
      </c>
      <c r="E57" t="s">
        <v>759</v>
      </c>
      <c r="F57">
        <v>6201</v>
      </c>
      <c r="G57" t="s">
        <v>41</v>
      </c>
      <c r="H57" t="s">
        <v>15220</v>
      </c>
      <c r="I57">
        <v>37238</v>
      </c>
    </row>
    <row r="58" spans="1:9" x14ac:dyDescent="0.25">
      <c r="A58" t="s">
        <v>763</v>
      </c>
      <c r="B58" t="s">
        <v>765</v>
      </c>
      <c r="C58" t="s">
        <v>767</v>
      </c>
      <c r="D58" t="s">
        <v>767</v>
      </c>
      <c r="E58" t="s">
        <v>766</v>
      </c>
      <c r="F58">
        <v>8583</v>
      </c>
      <c r="G58" t="s">
        <v>277</v>
      </c>
      <c r="H58" t="s">
        <v>279</v>
      </c>
      <c r="I58">
        <v>32566</v>
      </c>
    </row>
    <row r="59" spans="1:9" x14ac:dyDescent="0.25">
      <c r="A59" t="s">
        <v>771</v>
      </c>
      <c r="B59" t="s">
        <v>772</v>
      </c>
      <c r="C59" t="s">
        <v>775</v>
      </c>
      <c r="D59" t="s">
        <v>775</v>
      </c>
      <c r="E59" t="s">
        <v>15247</v>
      </c>
      <c r="F59">
        <v>6201</v>
      </c>
      <c r="G59" t="s">
        <v>47</v>
      </c>
      <c r="H59" t="s">
        <v>15220</v>
      </c>
      <c r="I59">
        <v>28147</v>
      </c>
    </row>
    <row r="60" spans="1:9" x14ac:dyDescent="0.25">
      <c r="A60" t="s">
        <v>777</v>
      </c>
      <c r="B60" t="s">
        <v>778</v>
      </c>
      <c r="C60" t="s">
        <v>781</v>
      </c>
      <c r="D60" t="s">
        <v>781</v>
      </c>
      <c r="E60" t="s">
        <v>780</v>
      </c>
      <c r="F60">
        <v>8559</v>
      </c>
      <c r="G60" t="s">
        <v>779</v>
      </c>
      <c r="H60" t="s">
        <v>106</v>
      </c>
      <c r="I60">
        <v>4554</v>
      </c>
    </row>
    <row r="61" spans="1:9" x14ac:dyDescent="0.25">
      <c r="A61" t="s">
        <v>790</v>
      </c>
      <c r="B61" t="s">
        <v>791</v>
      </c>
      <c r="C61" t="s">
        <v>15248</v>
      </c>
      <c r="D61" t="s">
        <v>15248</v>
      </c>
      <c r="E61" t="s">
        <v>793</v>
      </c>
      <c r="F61">
        <v>8515</v>
      </c>
      <c r="G61" t="s">
        <v>255</v>
      </c>
      <c r="H61" t="s">
        <v>15249</v>
      </c>
      <c r="I61">
        <v>49133</v>
      </c>
    </row>
    <row r="62" spans="1:9" x14ac:dyDescent="0.25">
      <c r="A62" t="s">
        <v>810</v>
      </c>
      <c r="B62" t="s">
        <v>811</v>
      </c>
      <c r="C62" t="s">
        <v>813</v>
      </c>
      <c r="D62" t="s">
        <v>813</v>
      </c>
      <c r="E62" t="s">
        <v>1018</v>
      </c>
      <c r="F62">
        <v>8524</v>
      </c>
      <c r="G62" t="s">
        <v>404</v>
      </c>
      <c r="H62" t="s">
        <v>15226</v>
      </c>
      <c r="I62">
        <v>39387</v>
      </c>
    </row>
    <row r="63" spans="1:9" x14ac:dyDescent="0.25">
      <c r="A63" t="s">
        <v>816</v>
      </c>
      <c r="B63" t="s">
        <v>818</v>
      </c>
      <c r="C63" t="s">
        <v>823</v>
      </c>
      <c r="D63" t="s">
        <v>823</v>
      </c>
      <c r="E63" t="s">
        <v>821</v>
      </c>
      <c r="F63">
        <v>8555</v>
      </c>
      <c r="G63" t="s">
        <v>820</v>
      </c>
      <c r="H63" t="s">
        <v>15222</v>
      </c>
      <c r="I63">
        <v>39660</v>
      </c>
    </row>
    <row r="64" spans="1:9" x14ac:dyDescent="0.25">
      <c r="A64" t="s">
        <v>841</v>
      </c>
      <c r="B64" t="s">
        <v>842</v>
      </c>
      <c r="C64" t="s">
        <v>844</v>
      </c>
      <c r="D64" t="s">
        <v>844</v>
      </c>
      <c r="E64" t="s">
        <v>843</v>
      </c>
      <c r="F64">
        <v>8521</v>
      </c>
      <c r="G64" t="s">
        <v>173</v>
      </c>
      <c r="H64" t="s">
        <v>15226</v>
      </c>
      <c r="I64">
        <v>42222</v>
      </c>
    </row>
    <row r="65" spans="1:9" x14ac:dyDescent="0.25">
      <c r="A65" t="s">
        <v>855</v>
      </c>
      <c r="B65" t="s">
        <v>857</v>
      </c>
      <c r="C65" t="s">
        <v>862</v>
      </c>
      <c r="D65" t="s">
        <v>15250</v>
      </c>
      <c r="E65" t="s">
        <v>859</v>
      </c>
      <c r="F65">
        <v>8573</v>
      </c>
      <c r="G65" t="s">
        <v>858</v>
      </c>
      <c r="H65" t="s">
        <v>106</v>
      </c>
      <c r="I65">
        <v>6090</v>
      </c>
    </row>
    <row r="66" spans="1:9" x14ac:dyDescent="0.25">
      <c r="A66" t="s">
        <v>868</v>
      </c>
      <c r="B66" t="s">
        <v>872</v>
      </c>
      <c r="C66" t="s">
        <v>875</v>
      </c>
      <c r="D66" t="s">
        <v>875</v>
      </c>
      <c r="E66" t="s">
        <v>874</v>
      </c>
      <c r="F66">
        <v>8516</v>
      </c>
      <c r="G66" t="s">
        <v>157</v>
      </c>
      <c r="H66" t="s">
        <v>15226</v>
      </c>
      <c r="I66">
        <v>6238</v>
      </c>
    </row>
    <row r="67" spans="1:9" x14ac:dyDescent="0.25">
      <c r="A67" t="s">
        <v>886</v>
      </c>
      <c r="B67" t="s">
        <v>887</v>
      </c>
      <c r="C67" t="s">
        <v>891</v>
      </c>
      <c r="D67" t="s">
        <v>891</v>
      </c>
      <c r="E67" t="s">
        <v>890</v>
      </c>
      <c r="F67">
        <v>8531</v>
      </c>
      <c r="G67" t="s">
        <v>889</v>
      </c>
      <c r="H67" t="s">
        <v>15222</v>
      </c>
      <c r="I67">
        <v>40053</v>
      </c>
    </row>
    <row r="68" spans="1:9" x14ac:dyDescent="0.25">
      <c r="A68" t="s">
        <v>894</v>
      </c>
      <c r="B68" t="s">
        <v>895</v>
      </c>
      <c r="C68" t="s">
        <v>897</v>
      </c>
      <c r="D68" t="s">
        <v>897</v>
      </c>
      <c r="E68" t="s">
        <v>896</v>
      </c>
      <c r="F68">
        <v>8518</v>
      </c>
      <c r="G68" t="s">
        <v>881</v>
      </c>
      <c r="H68" t="s">
        <v>15226</v>
      </c>
      <c r="I68">
        <v>46656</v>
      </c>
    </row>
    <row r="69" spans="1:9" x14ac:dyDescent="0.25">
      <c r="A69" t="s">
        <v>900</v>
      </c>
      <c r="B69" t="s">
        <v>901</v>
      </c>
      <c r="C69" t="s">
        <v>906</v>
      </c>
      <c r="D69" t="s">
        <v>906</v>
      </c>
      <c r="E69" t="s">
        <v>903</v>
      </c>
      <c r="F69">
        <v>8537</v>
      </c>
      <c r="G69" t="s">
        <v>902</v>
      </c>
      <c r="H69" t="s">
        <v>72</v>
      </c>
      <c r="I69">
        <v>7250</v>
      </c>
    </row>
    <row r="70" spans="1:9" x14ac:dyDescent="0.25">
      <c r="A70" t="s">
        <v>909</v>
      </c>
      <c r="B70" t="s">
        <v>910</v>
      </c>
      <c r="C70" t="s">
        <v>915</v>
      </c>
      <c r="D70" t="s">
        <v>915</v>
      </c>
      <c r="E70" t="s">
        <v>912</v>
      </c>
      <c r="F70">
        <v>8574</v>
      </c>
      <c r="G70" t="s">
        <v>911</v>
      </c>
      <c r="H70" t="s">
        <v>106</v>
      </c>
      <c r="I70">
        <v>26793</v>
      </c>
    </row>
    <row r="71" spans="1:9" x14ac:dyDescent="0.25">
      <c r="A71" t="s">
        <v>15138</v>
      </c>
      <c r="B71" t="s">
        <v>931</v>
      </c>
      <c r="C71" t="s">
        <v>934</v>
      </c>
      <c r="D71" t="s">
        <v>934</v>
      </c>
      <c r="F71">
        <v>8653</v>
      </c>
      <c r="G71" t="s">
        <v>932</v>
      </c>
      <c r="H71" t="s">
        <v>279</v>
      </c>
      <c r="I71">
        <v>7334</v>
      </c>
    </row>
    <row r="72" spans="1:9" x14ac:dyDescent="0.25">
      <c r="A72" t="s">
        <v>944</v>
      </c>
      <c r="B72" t="s">
        <v>945</v>
      </c>
      <c r="C72" t="s">
        <v>947</v>
      </c>
      <c r="D72" t="s">
        <v>15251</v>
      </c>
      <c r="E72" t="s">
        <v>946</v>
      </c>
      <c r="F72">
        <v>8513</v>
      </c>
      <c r="G72" t="s">
        <v>68</v>
      </c>
      <c r="H72" t="s">
        <v>72</v>
      </c>
      <c r="I72">
        <v>39978</v>
      </c>
    </row>
    <row r="73" spans="1:9" x14ac:dyDescent="0.25">
      <c r="A73" t="s">
        <v>950</v>
      </c>
      <c r="B73" t="s">
        <v>951</v>
      </c>
      <c r="C73" t="s">
        <v>953</v>
      </c>
      <c r="D73" t="s">
        <v>953</v>
      </c>
      <c r="E73" t="s">
        <v>952</v>
      </c>
      <c r="F73">
        <v>8521</v>
      </c>
      <c r="G73" t="s">
        <v>173</v>
      </c>
      <c r="H73" t="s">
        <v>15226</v>
      </c>
      <c r="I73">
        <v>39501</v>
      </c>
    </row>
    <row r="74" spans="1:9" x14ac:dyDescent="0.25">
      <c r="A74" t="s">
        <v>971</v>
      </c>
      <c r="B74" t="s">
        <v>972</v>
      </c>
      <c r="C74" t="s">
        <v>974</v>
      </c>
      <c r="D74" t="s">
        <v>974</v>
      </c>
      <c r="E74">
        <v>4147983001</v>
      </c>
      <c r="F74">
        <v>8544</v>
      </c>
      <c r="G74" t="s">
        <v>119</v>
      </c>
      <c r="H74" t="s">
        <v>15231</v>
      </c>
      <c r="I74">
        <v>51108</v>
      </c>
    </row>
    <row r="75" spans="1:9" x14ac:dyDescent="0.25">
      <c r="A75" t="s">
        <v>977</v>
      </c>
      <c r="B75" t="s">
        <v>978</v>
      </c>
      <c r="C75" t="s">
        <v>980</v>
      </c>
      <c r="D75" t="s">
        <v>980</v>
      </c>
      <c r="E75" t="s">
        <v>979</v>
      </c>
      <c r="F75">
        <v>6201</v>
      </c>
      <c r="G75" t="s">
        <v>41</v>
      </c>
      <c r="H75" t="s">
        <v>15220</v>
      </c>
      <c r="I75">
        <v>19457</v>
      </c>
    </row>
    <row r="76" spans="1:9" x14ac:dyDescent="0.25">
      <c r="A76" t="s">
        <v>983</v>
      </c>
      <c r="B76" t="s">
        <v>986</v>
      </c>
      <c r="C76" t="s">
        <v>988</v>
      </c>
      <c r="D76" t="s">
        <v>988</v>
      </c>
      <c r="E76" t="s">
        <v>987</v>
      </c>
      <c r="F76">
        <v>8534</v>
      </c>
      <c r="G76" t="s">
        <v>443</v>
      </c>
      <c r="H76" t="s">
        <v>72</v>
      </c>
      <c r="I76">
        <v>33408</v>
      </c>
    </row>
    <row r="77" spans="1:9" x14ac:dyDescent="0.25">
      <c r="A77" t="s">
        <v>991</v>
      </c>
      <c r="B77" t="s">
        <v>992</v>
      </c>
      <c r="C77" t="s">
        <v>994</v>
      </c>
      <c r="D77" t="s">
        <v>15252</v>
      </c>
      <c r="E77" t="s">
        <v>993</v>
      </c>
      <c r="F77">
        <v>8535</v>
      </c>
      <c r="G77" t="s">
        <v>653</v>
      </c>
      <c r="H77" t="s">
        <v>72</v>
      </c>
      <c r="I77">
        <v>40842</v>
      </c>
    </row>
    <row r="78" spans="1:9" x14ac:dyDescent="0.25">
      <c r="A78" t="s">
        <v>1002</v>
      </c>
      <c r="B78" t="s">
        <v>1003</v>
      </c>
      <c r="E78" t="s">
        <v>39</v>
      </c>
      <c r="F78">
        <v>8512</v>
      </c>
      <c r="H78" t="s">
        <v>15220</v>
      </c>
    </row>
    <row r="79" spans="1:9" x14ac:dyDescent="0.25">
      <c r="A79" t="s">
        <v>1010</v>
      </c>
      <c r="B79" t="s">
        <v>1011</v>
      </c>
      <c r="C79" t="s">
        <v>1013</v>
      </c>
      <c r="E79">
        <v>4169885686</v>
      </c>
      <c r="F79">
        <v>8521</v>
      </c>
      <c r="G79" t="s">
        <v>173</v>
      </c>
      <c r="H79" t="s">
        <v>15226</v>
      </c>
    </row>
    <row r="80" spans="1:9" x14ac:dyDescent="0.25">
      <c r="A80" t="s">
        <v>1016</v>
      </c>
      <c r="B80" t="s">
        <v>1017</v>
      </c>
      <c r="C80" t="s">
        <v>1019</v>
      </c>
      <c r="D80" t="s">
        <v>1019</v>
      </c>
      <c r="E80" t="s">
        <v>1018</v>
      </c>
      <c r="F80">
        <v>8524</v>
      </c>
      <c r="G80" t="s">
        <v>404</v>
      </c>
      <c r="H80" t="s">
        <v>15226</v>
      </c>
      <c r="I80">
        <v>40950</v>
      </c>
    </row>
    <row r="81" spans="1:9" x14ac:dyDescent="0.25">
      <c r="A81" t="s">
        <v>1022</v>
      </c>
      <c r="B81" t="s">
        <v>1023</v>
      </c>
      <c r="C81" t="s">
        <v>1025</v>
      </c>
      <c r="E81" t="s">
        <v>1024</v>
      </c>
      <c r="F81">
        <v>6201</v>
      </c>
      <c r="G81" t="s">
        <v>41</v>
      </c>
      <c r="H81" t="s">
        <v>15220</v>
      </c>
    </row>
    <row r="82" spans="1:9" x14ac:dyDescent="0.25">
      <c r="A82" t="s">
        <v>15139</v>
      </c>
      <c r="B82" t="s">
        <v>1028</v>
      </c>
      <c r="C82" t="s">
        <v>1032</v>
      </c>
      <c r="D82" t="s">
        <v>1032</v>
      </c>
      <c r="E82" t="s">
        <v>1030</v>
      </c>
      <c r="F82">
        <v>8654</v>
      </c>
      <c r="G82" t="s">
        <v>1029</v>
      </c>
      <c r="H82" t="s">
        <v>106</v>
      </c>
      <c r="I82">
        <v>38475</v>
      </c>
    </row>
    <row r="83" spans="1:9" x14ac:dyDescent="0.25">
      <c r="A83" t="s">
        <v>1043</v>
      </c>
      <c r="B83" t="s">
        <v>1044</v>
      </c>
      <c r="C83" t="s">
        <v>1046</v>
      </c>
      <c r="E83" t="s">
        <v>1045</v>
      </c>
      <c r="F83">
        <v>8521</v>
      </c>
      <c r="G83" t="s">
        <v>173</v>
      </c>
      <c r="H83" t="s">
        <v>15226</v>
      </c>
    </row>
    <row r="84" spans="1:9" x14ac:dyDescent="0.25">
      <c r="A84" t="s">
        <v>1051</v>
      </c>
      <c r="B84" t="s">
        <v>1052</v>
      </c>
      <c r="C84" t="s">
        <v>1054</v>
      </c>
      <c r="D84" t="s">
        <v>1054</v>
      </c>
      <c r="E84" t="s">
        <v>1053</v>
      </c>
      <c r="F84">
        <v>8538</v>
      </c>
      <c r="G84" t="s">
        <v>964</v>
      </c>
      <c r="H84" t="s">
        <v>72</v>
      </c>
      <c r="I84">
        <v>40350</v>
      </c>
    </row>
    <row r="85" spans="1:9" x14ac:dyDescent="0.25">
      <c r="A85" t="s">
        <v>1057</v>
      </c>
      <c r="B85" t="s">
        <v>1058</v>
      </c>
      <c r="C85" t="s">
        <v>1060</v>
      </c>
      <c r="F85">
        <v>8652</v>
      </c>
      <c r="G85" t="s">
        <v>15253</v>
      </c>
      <c r="H85" t="s">
        <v>15222</v>
      </c>
      <c r="I85">
        <v>2866</v>
      </c>
    </row>
    <row r="86" spans="1:9" x14ac:dyDescent="0.25">
      <c r="A86" t="s">
        <v>1067</v>
      </c>
      <c r="B86" t="s">
        <v>1068</v>
      </c>
      <c r="C86" t="s">
        <v>1070</v>
      </c>
      <c r="D86" t="s">
        <v>1070</v>
      </c>
      <c r="E86" t="s">
        <v>1069</v>
      </c>
      <c r="F86">
        <v>8537</v>
      </c>
      <c r="G86" t="s">
        <v>905</v>
      </c>
      <c r="H86" t="s">
        <v>72</v>
      </c>
      <c r="I86">
        <v>28180</v>
      </c>
    </row>
    <row r="87" spans="1:9" x14ac:dyDescent="0.25">
      <c r="A87" t="s">
        <v>1078</v>
      </c>
      <c r="B87" t="s">
        <v>1079</v>
      </c>
      <c r="C87" t="s">
        <v>1081</v>
      </c>
      <c r="D87" t="s">
        <v>1081</v>
      </c>
      <c r="E87" t="s">
        <v>1080</v>
      </c>
      <c r="F87">
        <v>8538</v>
      </c>
      <c r="G87" t="s">
        <v>964</v>
      </c>
      <c r="H87" t="s">
        <v>72</v>
      </c>
      <c r="I87">
        <v>36076</v>
      </c>
    </row>
    <row r="88" spans="1:9" x14ac:dyDescent="0.25">
      <c r="A88" t="s">
        <v>1087</v>
      </c>
      <c r="B88" t="s">
        <v>1088</v>
      </c>
      <c r="C88" t="s">
        <v>1089</v>
      </c>
      <c r="F88">
        <v>8653</v>
      </c>
      <c r="G88" t="s">
        <v>932</v>
      </c>
      <c r="H88" t="s">
        <v>279</v>
      </c>
      <c r="I88">
        <v>7490</v>
      </c>
    </row>
    <row r="89" spans="1:9" x14ac:dyDescent="0.25">
      <c r="A89" t="s">
        <v>1092</v>
      </c>
      <c r="B89" t="s">
        <v>1093</v>
      </c>
      <c r="C89" t="s">
        <v>1097</v>
      </c>
      <c r="D89" t="s">
        <v>1097</v>
      </c>
      <c r="E89" t="s">
        <v>1096</v>
      </c>
      <c r="F89">
        <v>8539</v>
      </c>
      <c r="G89" t="s">
        <v>1095</v>
      </c>
      <c r="H89" t="s">
        <v>72</v>
      </c>
      <c r="I89">
        <v>40538</v>
      </c>
    </row>
    <row r="90" spans="1:9" x14ac:dyDescent="0.25">
      <c r="A90" t="s">
        <v>1104</v>
      </c>
      <c r="B90" t="s">
        <v>1105</v>
      </c>
      <c r="C90" t="s">
        <v>1111</v>
      </c>
      <c r="D90" t="s">
        <v>15254</v>
      </c>
      <c r="E90" t="s">
        <v>1107</v>
      </c>
      <c r="F90">
        <v>8579</v>
      </c>
      <c r="G90" t="s">
        <v>1106</v>
      </c>
      <c r="H90" t="s">
        <v>15255</v>
      </c>
      <c r="I90">
        <v>24374</v>
      </c>
    </row>
    <row r="91" spans="1:9" x14ac:dyDescent="0.25">
      <c r="A91" t="s">
        <v>1130</v>
      </c>
      <c r="B91" t="s">
        <v>1131</v>
      </c>
      <c r="C91" t="s">
        <v>1133</v>
      </c>
      <c r="D91" t="s">
        <v>1133</v>
      </c>
      <c r="E91" t="s">
        <v>1132</v>
      </c>
      <c r="F91">
        <v>8533</v>
      </c>
      <c r="G91" t="s">
        <v>303</v>
      </c>
      <c r="H91" t="s">
        <v>72</v>
      </c>
      <c r="I91">
        <v>5451</v>
      </c>
    </row>
    <row r="92" spans="1:9" x14ac:dyDescent="0.25">
      <c r="A92" t="s">
        <v>1141</v>
      </c>
      <c r="B92" t="s">
        <v>1143</v>
      </c>
      <c r="C92" t="s">
        <v>1145</v>
      </c>
      <c r="D92" t="s">
        <v>15256</v>
      </c>
      <c r="E92" t="s">
        <v>15257</v>
      </c>
      <c r="F92">
        <v>8533</v>
      </c>
      <c r="G92" t="s">
        <v>303</v>
      </c>
      <c r="H92" t="s">
        <v>72</v>
      </c>
      <c r="I92">
        <v>50596</v>
      </c>
    </row>
    <row r="93" spans="1:9" x14ac:dyDescent="0.25">
      <c r="A93" t="s">
        <v>1161</v>
      </c>
      <c r="B93" t="s">
        <v>1162</v>
      </c>
      <c r="C93" t="s">
        <v>1164</v>
      </c>
      <c r="E93" t="s">
        <v>1163</v>
      </c>
      <c r="F93">
        <v>8520</v>
      </c>
      <c r="G93" t="s">
        <v>584</v>
      </c>
      <c r="H93" t="s">
        <v>15226</v>
      </c>
    </row>
    <row r="94" spans="1:9" x14ac:dyDescent="0.25">
      <c r="A94" t="s">
        <v>1167</v>
      </c>
      <c r="B94" t="s">
        <v>1168</v>
      </c>
      <c r="C94" t="s">
        <v>1171</v>
      </c>
      <c r="E94" t="s">
        <v>1170</v>
      </c>
      <c r="F94">
        <v>8524</v>
      </c>
      <c r="G94" t="s">
        <v>404</v>
      </c>
      <c r="H94" t="s">
        <v>15226</v>
      </c>
      <c r="I94">
        <v>27813</v>
      </c>
    </row>
    <row r="95" spans="1:9" x14ac:dyDescent="0.25">
      <c r="A95" t="s">
        <v>1175</v>
      </c>
      <c r="B95" t="s">
        <v>1177</v>
      </c>
      <c r="C95" t="s">
        <v>1178</v>
      </c>
      <c r="D95" t="s">
        <v>1178</v>
      </c>
      <c r="F95">
        <v>8517</v>
      </c>
      <c r="G95" t="s">
        <v>184</v>
      </c>
      <c r="H95" t="s">
        <v>15226</v>
      </c>
      <c r="I95">
        <v>46260</v>
      </c>
    </row>
    <row r="96" spans="1:9" x14ac:dyDescent="0.25">
      <c r="A96" t="s">
        <v>1183</v>
      </c>
      <c r="B96" t="s">
        <v>1184</v>
      </c>
      <c r="C96" t="s">
        <v>1186</v>
      </c>
      <c r="D96" t="s">
        <v>15258</v>
      </c>
      <c r="E96">
        <v>4125305574</v>
      </c>
      <c r="F96">
        <v>8524</v>
      </c>
      <c r="G96" t="s">
        <v>404</v>
      </c>
      <c r="H96" t="s">
        <v>15226</v>
      </c>
      <c r="I96">
        <v>32629</v>
      </c>
    </row>
    <row r="97" spans="1:9" x14ac:dyDescent="0.25">
      <c r="A97" t="s">
        <v>1191</v>
      </c>
      <c r="B97" t="s">
        <v>1192</v>
      </c>
      <c r="C97" t="s">
        <v>1194</v>
      </c>
      <c r="E97" t="s">
        <v>1193</v>
      </c>
      <c r="F97">
        <v>6201</v>
      </c>
      <c r="G97" t="s">
        <v>41</v>
      </c>
      <c r="H97" t="s">
        <v>15220</v>
      </c>
      <c r="I97">
        <v>6228</v>
      </c>
    </row>
    <row r="98" spans="1:9" x14ac:dyDescent="0.25">
      <c r="A98" t="s">
        <v>1206</v>
      </c>
      <c r="B98" t="s">
        <v>1207</v>
      </c>
      <c r="C98" t="s">
        <v>1214</v>
      </c>
      <c r="D98" t="s">
        <v>15259</v>
      </c>
      <c r="E98" t="s">
        <v>15260</v>
      </c>
      <c r="F98">
        <v>8649</v>
      </c>
      <c r="G98" t="s">
        <v>1208</v>
      </c>
      <c r="H98" t="s">
        <v>1215</v>
      </c>
      <c r="I98">
        <v>47966</v>
      </c>
    </row>
    <row r="99" spans="1:9" x14ac:dyDescent="0.25">
      <c r="A99" t="s">
        <v>1226</v>
      </c>
      <c r="B99" t="s">
        <v>1227</v>
      </c>
      <c r="C99" t="s">
        <v>1229</v>
      </c>
      <c r="D99" t="s">
        <v>1229</v>
      </c>
      <c r="E99" t="s">
        <v>1228</v>
      </c>
      <c r="F99">
        <v>8513</v>
      </c>
      <c r="G99" t="s">
        <v>68</v>
      </c>
      <c r="H99" t="s">
        <v>72</v>
      </c>
      <c r="I99">
        <v>42804</v>
      </c>
    </row>
    <row r="100" spans="1:9" x14ac:dyDescent="0.25">
      <c r="A100" t="s">
        <v>1236</v>
      </c>
      <c r="B100" t="s">
        <v>1237</v>
      </c>
      <c r="C100" t="s">
        <v>1239</v>
      </c>
      <c r="E100" t="s">
        <v>1238</v>
      </c>
      <c r="F100">
        <v>8523</v>
      </c>
      <c r="G100" t="s">
        <v>1222</v>
      </c>
      <c r="H100" t="s">
        <v>15226</v>
      </c>
      <c r="I100">
        <v>41332</v>
      </c>
    </row>
    <row r="101" spans="1:9" x14ac:dyDescent="0.25">
      <c r="A101" t="s">
        <v>1242</v>
      </c>
      <c r="B101" t="s">
        <v>1244</v>
      </c>
      <c r="C101" t="s">
        <v>1247</v>
      </c>
      <c r="D101" t="s">
        <v>1247</v>
      </c>
      <c r="E101" t="s">
        <v>1246</v>
      </c>
      <c r="F101">
        <v>8540</v>
      </c>
      <c r="G101" t="s">
        <v>1062</v>
      </c>
      <c r="H101" t="s">
        <v>72</v>
      </c>
      <c r="I101">
        <v>46556</v>
      </c>
    </row>
    <row r="102" spans="1:9" x14ac:dyDescent="0.25">
      <c r="A102" t="s">
        <v>1250</v>
      </c>
      <c r="B102" t="s">
        <v>1251</v>
      </c>
      <c r="C102" t="s">
        <v>1253</v>
      </c>
      <c r="D102" t="s">
        <v>1253</v>
      </c>
      <c r="E102" t="s">
        <v>1252</v>
      </c>
      <c r="F102">
        <v>8533</v>
      </c>
      <c r="G102" t="s">
        <v>303</v>
      </c>
      <c r="H102" t="s">
        <v>72</v>
      </c>
      <c r="I102">
        <v>39875</v>
      </c>
    </row>
    <row r="103" spans="1:9" x14ac:dyDescent="0.25">
      <c r="A103" t="s">
        <v>1256</v>
      </c>
      <c r="B103" t="s">
        <v>1257</v>
      </c>
      <c r="C103" t="s">
        <v>1259</v>
      </c>
      <c r="E103" t="s">
        <v>1258</v>
      </c>
      <c r="F103">
        <v>8520</v>
      </c>
      <c r="G103" t="s">
        <v>584</v>
      </c>
      <c r="H103" t="s">
        <v>15226</v>
      </c>
      <c r="I103">
        <v>8317</v>
      </c>
    </row>
    <row r="104" spans="1:9" x14ac:dyDescent="0.25">
      <c r="A104" t="s">
        <v>1264</v>
      </c>
      <c r="B104" t="s">
        <v>1265</v>
      </c>
      <c r="C104" t="s">
        <v>1267</v>
      </c>
      <c r="E104" t="s">
        <v>1266</v>
      </c>
      <c r="F104">
        <v>8551</v>
      </c>
      <c r="G104" t="s">
        <v>349</v>
      </c>
      <c r="H104" t="s">
        <v>15233</v>
      </c>
      <c r="I104">
        <v>22679</v>
      </c>
    </row>
    <row r="105" spans="1:9" x14ac:dyDescent="0.25">
      <c r="A105" t="s">
        <v>1274</v>
      </c>
      <c r="B105" t="s">
        <v>1275</v>
      </c>
      <c r="C105" t="s">
        <v>1277</v>
      </c>
      <c r="E105" t="s">
        <v>1276</v>
      </c>
      <c r="F105">
        <v>6201</v>
      </c>
      <c r="G105" t="s">
        <v>41</v>
      </c>
      <c r="H105" t="s">
        <v>15220</v>
      </c>
      <c r="I105">
        <v>5567</v>
      </c>
    </row>
    <row r="106" spans="1:9" x14ac:dyDescent="0.25">
      <c r="A106" t="s">
        <v>1288</v>
      </c>
      <c r="B106" t="s">
        <v>1290</v>
      </c>
      <c r="C106" t="s">
        <v>1293</v>
      </c>
      <c r="D106" t="s">
        <v>1293</v>
      </c>
      <c r="E106" t="s">
        <v>1292</v>
      </c>
      <c r="F106">
        <v>8655</v>
      </c>
      <c r="G106" t="s">
        <v>1117</v>
      </c>
      <c r="H106" t="s">
        <v>15261</v>
      </c>
      <c r="I106">
        <v>2865</v>
      </c>
    </row>
    <row r="107" spans="1:9" x14ac:dyDescent="0.25">
      <c r="A107" t="s">
        <v>1296</v>
      </c>
      <c r="B107" t="s">
        <v>1297</v>
      </c>
      <c r="C107" t="s">
        <v>1299</v>
      </c>
      <c r="D107" t="s">
        <v>1299</v>
      </c>
      <c r="E107" t="s">
        <v>1298</v>
      </c>
      <c r="F107">
        <v>8525</v>
      </c>
      <c r="G107" t="s">
        <v>201</v>
      </c>
      <c r="H107" t="s">
        <v>15226</v>
      </c>
      <c r="I107">
        <v>16397</v>
      </c>
    </row>
    <row r="108" spans="1:9" x14ac:dyDescent="0.25">
      <c r="A108" t="s">
        <v>1302</v>
      </c>
      <c r="B108" t="s">
        <v>1303</v>
      </c>
      <c r="C108" t="s">
        <v>1307</v>
      </c>
      <c r="D108" t="s">
        <v>1307</v>
      </c>
      <c r="E108" t="s">
        <v>1305</v>
      </c>
      <c r="F108">
        <v>8547</v>
      </c>
      <c r="G108" t="s">
        <v>1304</v>
      </c>
      <c r="H108" t="s">
        <v>15231</v>
      </c>
      <c r="I108">
        <v>36932</v>
      </c>
    </row>
    <row r="109" spans="1:9" x14ac:dyDescent="0.25">
      <c r="A109" t="s">
        <v>1310</v>
      </c>
      <c r="B109" t="s">
        <v>1311</v>
      </c>
      <c r="C109" t="s">
        <v>1314</v>
      </c>
      <c r="D109" t="s">
        <v>15262</v>
      </c>
      <c r="E109" t="s">
        <v>1313</v>
      </c>
      <c r="F109">
        <v>8518</v>
      </c>
      <c r="G109" t="s">
        <v>1312</v>
      </c>
      <c r="H109" t="s">
        <v>15226</v>
      </c>
    </row>
    <row r="110" spans="1:9" x14ac:dyDescent="0.25">
      <c r="A110" t="s">
        <v>1316</v>
      </c>
      <c r="B110" t="s">
        <v>1317</v>
      </c>
      <c r="C110" t="s">
        <v>1319</v>
      </c>
      <c r="E110" t="s">
        <v>1318</v>
      </c>
      <c r="F110">
        <v>8524</v>
      </c>
      <c r="G110" t="s">
        <v>404</v>
      </c>
      <c r="H110" t="s">
        <v>15226</v>
      </c>
      <c r="I110">
        <v>39894</v>
      </c>
    </row>
    <row r="111" spans="1:9" x14ac:dyDescent="0.25">
      <c r="A111" t="s">
        <v>1322</v>
      </c>
      <c r="B111" t="s">
        <v>1323</v>
      </c>
      <c r="F111">
        <v>6201</v>
      </c>
      <c r="H111" t="s">
        <v>15220</v>
      </c>
    </row>
    <row r="112" spans="1:9" x14ac:dyDescent="0.25">
      <c r="A112" t="s">
        <v>1327</v>
      </c>
      <c r="B112" t="s">
        <v>1328</v>
      </c>
      <c r="C112" t="s">
        <v>1333</v>
      </c>
      <c r="D112" t="s">
        <v>15263</v>
      </c>
      <c r="E112" t="s">
        <v>1331</v>
      </c>
      <c r="F112">
        <v>8542</v>
      </c>
      <c r="G112" t="s">
        <v>1330</v>
      </c>
      <c r="H112" t="s">
        <v>72</v>
      </c>
      <c r="I112">
        <v>5054</v>
      </c>
    </row>
    <row r="113" spans="1:9" x14ac:dyDescent="0.25">
      <c r="A113" t="s">
        <v>1339</v>
      </c>
      <c r="B113" t="s">
        <v>1340</v>
      </c>
      <c r="C113" t="s">
        <v>1341</v>
      </c>
      <c r="D113" t="s">
        <v>15264</v>
      </c>
      <c r="E113">
        <v>559591173780</v>
      </c>
      <c r="F113">
        <v>8630</v>
      </c>
      <c r="G113" t="s">
        <v>1123</v>
      </c>
      <c r="H113" t="s">
        <v>15226</v>
      </c>
      <c r="I113">
        <v>43754</v>
      </c>
    </row>
    <row r="114" spans="1:9" x14ac:dyDescent="0.25">
      <c r="A114" t="s">
        <v>1346</v>
      </c>
      <c r="B114" t="s">
        <v>1347</v>
      </c>
      <c r="C114" t="s">
        <v>1349</v>
      </c>
      <c r="D114" t="s">
        <v>15265</v>
      </c>
      <c r="E114" t="s">
        <v>1348</v>
      </c>
      <c r="F114">
        <v>8568</v>
      </c>
      <c r="G114" t="s">
        <v>361</v>
      </c>
      <c r="H114" t="s">
        <v>15220</v>
      </c>
      <c r="I114">
        <v>33723</v>
      </c>
    </row>
    <row r="115" spans="1:9" x14ac:dyDescent="0.25">
      <c r="A115" t="s">
        <v>1352</v>
      </c>
      <c r="B115" t="s">
        <v>1353</v>
      </c>
      <c r="F115">
        <v>6201</v>
      </c>
      <c r="G115" t="s">
        <v>41</v>
      </c>
      <c r="H115" t="s">
        <v>15220</v>
      </c>
    </row>
    <row r="116" spans="1:9" x14ac:dyDescent="0.25">
      <c r="A116" t="s">
        <v>159</v>
      </c>
      <c r="B116" t="s">
        <v>1356</v>
      </c>
      <c r="F116">
        <v>6201</v>
      </c>
      <c r="H116" t="s">
        <v>15220</v>
      </c>
    </row>
    <row r="117" spans="1:9" x14ac:dyDescent="0.25">
      <c r="A117" t="s">
        <v>1367</v>
      </c>
      <c r="B117" t="s">
        <v>1368</v>
      </c>
      <c r="C117" t="s">
        <v>1370</v>
      </c>
      <c r="D117" t="s">
        <v>1370</v>
      </c>
      <c r="E117" t="s">
        <v>1369</v>
      </c>
      <c r="F117">
        <v>8533</v>
      </c>
      <c r="G117" t="s">
        <v>303</v>
      </c>
      <c r="H117" t="s">
        <v>72</v>
      </c>
      <c r="I117">
        <v>22366</v>
      </c>
    </row>
    <row r="118" spans="1:9" x14ac:dyDescent="0.25">
      <c r="A118" t="s">
        <v>1373</v>
      </c>
      <c r="B118" t="s">
        <v>1374</v>
      </c>
      <c r="C118" t="s">
        <v>1376</v>
      </c>
      <c r="E118" t="s">
        <v>1375</v>
      </c>
      <c r="F118">
        <v>8523</v>
      </c>
      <c r="G118" t="s">
        <v>1222</v>
      </c>
      <c r="H118" t="s">
        <v>15226</v>
      </c>
      <c r="I118">
        <v>28038</v>
      </c>
    </row>
    <row r="119" spans="1:9" x14ac:dyDescent="0.25">
      <c r="A119" t="s">
        <v>1394</v>
      </c>
      <c r="B119" t="s">
        <v>1395</v>
      </c>
      <c r="C119" t="s">
        <v>1399</v>
      </c>
      <c r="D119" t="s">
        <v>1399</v>
      </c>
      <c r="E119" t="s">
        <v>15266</v>
      </c>
      <c r="F119">
        <v>8548</v>
      </c>
      <c r="G119" t="s">
        <v>1396</v>
      </c>
      <c r="H119" t="s">
        <v>15231</v>
      </c>
      <c r="I119">
        <v>7622</v>
      </c>
    </row>
    <row r="120" spans="1:9" x14ac:dyDescent="0.25">
      <c r="A120" t="s">
        <v>1402</v>
      </c>
      <c r="B120" t="s">
        <v>1403</v>
      </c>
      <c r="C120" t="s">
        <v>1405</v>
      </c>
      <c r="D120" t="s">
        <v>1405</v>
      </c>
      <c r="E120" t="s">
        <v>1404</v>
      </c>
      <c r="F120">
        <v>8539</v>
      </c>
      <c r="G120" t="s">
        <v>1039</v>
      </c>
      <c r="H120" t="s">
        <v>72</v>
      </c>
      <c r="I120">
        <v>2736</v>
      </c>
    </row>
    <row r="121" spans="1:9" x14ac:dyDescent="0.25">
      <c r="A121" t="s">
        <v>1408</v>
      </c>
      <c r="B121" t="s">
        <v>1409</v>
      </c>
      <c r="C121" t="s">
        <v>1412</v>
      </c>
      <c r="D121" t="s">
        <v>1412</v>
      </c>
      <c r="E121" t="s">
        <v>1411</v>
      </c>
      <c r="F121">
        <v>8523</v>
      </c>
      <c r="G121" t="s">
        <v>1222</v>
      </c>
      <c r="H121" t="s">
        <v>15226</v>
      </c>
      <c r="I121">
        <v>42356</v>
      </c>
    </row>
    <row r="122" spans="1:9" x14ac:dyDescent="0.25">
      <c r="A122" t="s">
        <v>1415</v>
      </c>
      <c r="B122" t="s">
        <v>1416</v>
      </c>
      <c r="C122" t="s">
        <v>1423</v>
      </c>
      <c r="D122" t="s">
        <v>15267</v>
      </c>
      <c r="E122" t="s">
        <v>1418</v>
      </c>
      <c r="F122">
        <v>2001</v>
      </c>
      <c r="G122" t="s">
        <v>1417</v>
      </c>
      <c r="H122" t="s">
        <v>1215</v>
      </c>
      <c r="I122">
        <v>43178</v>
      </c>
    </row>
    <row r="123" spans="1:9" x14ac:dyDescent="0.25">
      <c r="A123" t="s">
        <v>1434</v>
      </c>
      <c r="B123" t="s">
        <v>1435</v>
      </c>
      <c r="C123" t="s">
        <v>1437</v>
      </c>
      <c r="E123" t="s">
        <v>1436</v>
      </c>
      <c r="F123">
        <v>8551</v>
      </c>
      <c r="G123" t="s">
        <v>349</v>
      </c>
      <c r="H123" t="s">
        <v>15233</v>
      </c>
      <c r="I123">
        <v>37096</v>
      </c>
    </row>
    <row r="124" spans="1:9" x14ac:dyDescent="0.25">
      <c r="A124" t="s">
        <v>1442</v>
      </c>
      <c r="B124" t="s">
        <v>1443</v>
      </c>
      <c r="C124" t="s">
        <v>1446</v>
      </c>
      <c r="D124" t="s">
        <v>1446</v>
      </c>
      <c r="E124" t="s">
        <v>1445</v>
      </c>
      <c r="F124">
        <v>8540</v>
      </c>
      <c r="G124" t="s">
        <v>15268</v>
      </c>
      <c r="H124" t="s">
        <v>72</v>
      </c>
      <c r="I124">
        <v>37662</v>
      </c>
    </row>
    <row r="125" spans="1:9" x14ac:dyDescent="0.25">
      <c r="A125" t="s">
        <v>1453</v>
      </c>
      <c r="B125" t="s">
        <v>1455</v>
      </c>
      <c r="C125" t="s">
        <v>1457</v>
      </c>
      <c r="D125" t="s">
        <v>1457</v>
      </c>
      <c r="E125" t="s">
        <v>1456</v>
      </c>
      <c r="F125">
        <v>8533</v>
      </c>
      <c r="G125" t="s">
        <v>303</v>
      </c>
      <c r="H125" t="s">
        <v>72</v>
      </c>
      <c r="I125">
        <v>4973</v>
      </c>
    </row>
    <row r="126" spans="1:9" x14ac:dyDescent="0.25">
      <c r="A126" t="s">
        <v>1459</v>
      </c>
      <c r="B126" t="s">
        <v>1460</v>
      </c>
      <c r="C126" t="s">
        <v>1462</v>
      </c>
      <c r="D126" t="s">
        <v>1462</v>
      </c>
      <c r="E126" t="s">
        <v>15269</v>
      </c>
      <c r="F126">
        <v>8540</v>
      </c>
      <c r="G126" t="s">
        <v>1062</v>
      </c>
      <c r="H126" t="s">
        <v>72</v>
      </c>
      <c r="I126">
        <v>41139</v>
      </c>
    </row>
    <row r="127" spans="1:9" x14ac:dyDescent="0.25">
      <c r="A127" t="s">
        <v>1465</v>
      </c>
      <c r="B127" t="s">
        <v>1466</v>
      </c>
      <c r="C127" t="s">
        <v>1469</v>
      </c>
      <c r="D127" t="s">
        <v>15270</v>
      </c>
      <c r="E127" t="s">
        <v>1468</v>
      </c>
      <c r="F127">
        <v>8535</v>
      </c>
      <c r="G127" t="s">
        <v>653</v>
      </c>
      <c r="H127" t="s">
        <v>72</v>
      </c>
      <c r="I127">
        <v>32638</v>
      </c>
    </row>
    <row r="128" spans="1:9" x14ac:dyDescent="0.25">
      <c r="A128" t="s">
        <v>1474</v>
      </c>
      <c r="B128" t="s">
        <v>1475</v>
      </c>
      <c r="C128" t="s">
        <v>1477</v>
      </c>
      <c r="E128" t="s">
        <v>1476</v>
      </c>
      <c r="F128">
        <v>8566</v>
      </c>
      <c r="G128" t="s">
        <v>81</v>
      </c>
      <c r="H128" t="s">
        <v>1215</v>
      </c>
    </row>
    <row r="129" spans="1:9" x14ac:dyDescent="0.25">
      <c r="A129" t="s">
        <v>1485</v>
      </c>
      <c r="B129" t="s">
        <v>1159</v>
      </c>
      <c r="C129" t="s">
        <v>1488</v>
      </c>
      <c r="D129" t="s">
        <v>1488</v>
      </c>
      <c r="E129" t="s">
        <v>1487</v>
      </c>
      <c r="F129">
        <v>8521</v>
      </c>
      <c r="G129" t="s">
        <v>173</v>
      </c>
      <c r="H129" t="s">
        <v>15226</v>
      </c>
      <c r="I129">
        <v>1983</v>
      </c>
    </row>
    <row r="130" spans="1:9" x14ac:dyDescent="0.25">
      <c r="A130" t="s">
        <v>1490</v>
      </c>
      <c r="B130" t="s">
        <v>1491</v>
      </c>
      <c r="C130" t="s">
        <v>1493</v>
      </c>
      <c r="D130" t="s">
        <v>15271</v>
      </c>
      <c r="E130">
        <v>4248041578</v>
      </c>
      <c r="F130">
        <v>8543</v>
      </c>
      <c r="G130" t="s">
        <v>699</v>
      </c>
      <c r="H130" t="s">
        <v>72</v>
      </c>
      <c r="I130">
        <v>36094</v>
      </c>
    </row>
    <row r="131" spans="1:9" x14ac:dyDescent="0.25">
      <c r="A131" t="s">
        <v>1501</v>
      </c>
      <c r="B131" t="s">
        <v>1503</v>
      </c>
      <c r="C131" t="s">
        <v>1506</v>
      </c>
      <c r="E131" t="s">
        <v>1505</v>
      </c>
      <c r="F131">
        <v>8516</v>
      </c>
      <c r="G131" t="s">
        <v>157</v>
      </c>
      <c r="H131" t="s">
        <v>15226</v>
      </c>
      <c r="I131">
        <v>34446</v>
      </c>
    </row>
    <row r="132" spans="1:9" x14ac:dyDescent="0.25">
      <c r="A132" t="s">
        <v>1509</v>
      </c>
      <c r="B132" t="s">
        <v>1510</v>
      </c>
      <c r="C132" t="s">
        <v>1512</v>
      </c>
      <c r="D132" t="s">
        <v>1512</v>
      </c>
      <c r="E132">
        <v>4248236698</v>
      </c>
      <c r="F132">
        <v>8534</v>
      </c>
      <c r="G132" t="s">
        <v>446</v>
      </c>
      <c r="H132" t="s">
        <v>72</v>
      </c>
      <c r="I132">
        <v>33672</v>
      </c>
    </row>
    <row r="133" spans="1:9" x14ac:dyDescent="0.25">
      <c r="A133" t="s">
        <v>1519</v>
      </c>
      <c r="B133" t="s">
        <v>1521</v>
      </c>
      <c r="C133" t="s">
        <v>1526</v>
      </c>
      <c r="D133" t="s">
        <v>1526</v>
      </c>
      <c r="E133" t="s">
        <v>1523</v>
      </c>
      <c r="F133">
        <v>8571</v>
      </c>
      <c r="G133" t="s">
        <v>1522</v>
      </c>
      <c r="H133" t="s">
        <v>15231</v>
      </c>
      <c r="I133">
        <v>4080</v>
      </c>
    </row>
    <row r="134" spans="1:9" x14ac:dyDescent="0.25">
      <c r="A134" t="s">
        <v>1528</v>
      </c>
      <c r="B134" t="s">
        <v>1530</v>
      </c>
      <c r="C134" t="s">
        <v>1533</v>
      </c>
      <c r="D134" t="s">
        <v>15272</v>
      </c>
      <c r="E134" t="s">
        <v>1532</v>
      </c>
      <c r="F134">
        <v>8520</v>
      </c>
      <c r="G134" t="s">
        <v>1531</v>
      </c>
      <c r="H134" t="s">
        <v>15226</v>
      </c>
    </row>
    <row r="135" spans="1:9" x14ac:dyDescent="0.25">
      <c r="A135" t="s">
        <v>1536</v>
      </c>
      <c r="B135" t="s">
        <v>1537</v>
      </c>
      <c r="C135" t="s">
        <v>1539</v>
      </c>
      <c r="E135" t="s">
        <v>1538</v>
      </c>
      <c r="F135">
        <v>8524</v>
      </c>
      <c r="G135" t="s">
        <v>404</v>
      </c>
      <c r="H135" t="s">
        <v>15226</v>
      </c>
      <c r="I135">
        <v>32513</v>
      </c>
    </row>
    <row r="136" spans="1:9" x14ac:dyDescent="0.25">
      <c r="A136" t="s">
        <v>1542</v>
      </c>
      <c r="B136" t="s">
        <v>1543</v>
      </c>
      <c r="C136" t="s">
        <v>1548</v>
      </c>
      <c r="D136" t="s">
        <v>15273</v>
      </c>
      <c r="E136" t="s">
        <v>1545</v>
      </c>
      <c r="F136">
        <v>8575</v>
      </c>
      <c r="G136" t="s">
        <v>1544</v>
      </c>
      <c r="H136" t="s">
        <v>279</v>
      </c>
      <c r="I136">
        <v>7503</v>
      </c>
    </row>
    <row r="137" spans="1:9" x14ac:dyDescent="0.25">
      <c r="A137" t="s">
        <v>1551</v>
      </c>
      <c r="B137" t="s">
        <v>1553</v>
      </c>
      <c r="C137" t="s">
        <v>1558</v>
      </c>
      <c r="D137" t="s">
        <v>1558</v>
      </c>
      <c r="E137" t="s">
        <v>1555</v>
      </c>
      <c r="F137">
        <v>8553</v>
      </c>
      <c r="G137" t="s">
        <v>1554</v>
      </c>
      <c r="H137" t="s">
        <v>15220</v>
      </c>
      <c r="I137">
        <v>36759</v>
      </c>
    </row>
    <row r="138" spans="1:9" x14ac:dyDescent="0.25">
      <c r="A138" t="s">
        <v>1562</v>
      </c>
      <c r="B138" t="s">
        <v>1563</v>
      </c>
      <c r="C138" t="s">
        <v>1565</v>
      </c>
      <c r="E138" t="s">
        <v>1564</v>
      </c>
      <c r="F138">
        <v>8523</v>
      </c>
      <c r="G138" t="s">
        <v>1222</v>
      </c>
      <c r="H138" t="s">
        <v>15226</v>
      </c>
      <c r="I138">
        <v>40238</v>
      </c>
    </row>
    <row r="139" spans="1:9" x14ac:dyDescent="0.25">
      <c r="A139" t="s">
        <v>1573</v>
      </c>
      <c r="B139" t="s">
        <v>1574</v>
      </c>
      <c r="C139" t="s">
        <v>1575</v>
      </c>
      <c r="F139">
        <v>6201</v>
      </c>
      <c r="G139" t="s">
        <v>41</v>
      </c>
      <c r="H139" t="s">
        <v>15220</v>
      </c>
    </row>
    <row r="140" spans="1:9" x14ac:dyDescent="0.25">
      <c r="A140" t="s">
        <v>1578</v>
      </c>
      <c r="B140" t="s">
        <v>1580</v>
      </c>
      <c r="C140" t="s">
        <v>1582</v>
      </c>
      <c r="D140" t="s">
        <v>15274</v>
      </c>
      <c r="F140">
        <v>8525</v>
      </c>
      <c r="G140" t="s">
        <v>1581</v>
      </c>
      <c r="H140" t="s">
        <v>15226</v>
      </c>
      <c r="I140">
        <v>40237</v>
      </c>
    </row>
    <row r="141" spans="1:9" x14ac:dyDescent="0.25">
      <c r="A141" t="s">
        <v>1587</v>
      </c>
      <c r="B141" t="s">
        <v>1588</v>
      </c>
      <c r="C141" t="s">
        <v>1590</v>
      </c>
      <c r="E141" t="s">
        <v>1589</v>
      </c>
      <c r="F141">
        <v>6201</v>
      </c>
      <c r="G141" t="s">
        <v>41</v>
      </c>
      <c r="H141" t="s">
        <v>15220</v>
      </c>
      <c r="I141">
        <v>22329</v>
      </c>
    </row>
    <row r="142" spans="1:9" x14ac:dyDescent="0.25">
      <c r="A142" t="s">
        <v>1595</v>
      </c>
      <c r="B142" t="s">
        <v>1596</v>
      </c>
      <c r="C142" t="s">
        <v>1598</v>
      </c>
      <c r="E142" t="s">
        <v>1597</v>
      </c>
      <c r="F142">
        <v>8554</v>
      </c>
      <c r="G142" t="s">
        <v>196</v>
      </c>
      <c r="H142" t="s">
        <v>15220</v>
      </c>
      <c r="I142">
        <v>20915</v>
      </c>
    </row>
    <row r="143" spans="1:9" x14ac:dyDescent="0.25">
      <c r="A143" t="s">
        <v>1601</v>
      </c>
      <c r="B143" t="s">
        <v>1603</v>
      </c>
      <c r="C143" t="s">
        <v>1605</v>
      </c>
      <c r="D143" t="s">
        <v>1605</v>
      </c>
      <c r="E143" t="s">
        <v>1604</v>
      </c>
      <c r="F143">
        <v>8545</v>
      </c>
      <c r="G143" t="s">
        <v>327</v>
      </c>
      <c r="H143" t="s">
        <v>15231</v>
      </c>
      <c r="I143">
        <v>4742</v>
      </c>
    </row>
    <row r="144" spans="1:9" x14ac:dyDescent="0.25">
      <c r="A144" t="s">
        <v>1612</v>
      </c>
      <c r="B144" t="s">
        <v>1613</v>
      </c>
      <c r="C144" t="s">
        <v>1615</v>
      </c>
      <c r="D144" t="s">
        <v>1615</v>
      </c>
      <c r="E144" t="s">
        <v>1614</v>
      </c>
      <c r="F144">
        <v>8533</v>
      </c>
      <c r="G144" t="s">
        <v>303</v>
      </c>
      <c r="H144" t="s">
        <v>72</v>
      </c>
      <c r="I144">
        <v>18426</v>
      </c>
    </row>
    <row r="145" spans="1:9" x14ac:dyDescent="0.25">
      <c r="A145" t="s">
        <v>1625</v>
      </c>
      <c r="B145" t="s">
        <v>1626</v>
      </c>
      <c r="C145" t="s">
        <v>1628</v>
      </c>
      <c r="D145" t="s">
        <v>1628</v>
      </c>
      <c r="E145" t="s">
        <v>1627</v>
      </c>
      <c r="F145">
        <v>8570</v>
      </c>
      <c r="G145" t="s">
        <v>213</v>
      </c>
      <c r="H145" t="s">
        <v>15220</v>
      </c>
      <c r="I145">
        <v>41156</v>
      </c>
    </row>
    <row r="146" spans="1:9" x14ac:dyDescent="0.25">
      <c r="A146" t="s">
        <v>1632</v>
      </c>
      <c r="B146" t="s">
        <v>1634</v>
      </c>
      <c r="C146" t="s">
        <v>1636</v>
      </c>
      <c r="D146" t="s">
        <v>1636</v>
      </c>
      <c r="E146" t="s">
        <v>1635</v>
      </c>
      <c r="F146">
        <v>8540</v>
      </c>
      <c r="G146" t="s">
        <v>1062</v>
      </c>
      <c r="H146" t="s">
        <v>72</v>
      </c>
      <c r="I146">
        <v>37890</v>
      </c>
    </row>
    <row r="147" spans="1:9" x14ac:dyDescent="0.25">
      <c r="A147" t="s">
        <v>1639</v>
      </c>
      <c r="B147" t="s">
        <v>1640</v>
      </c>
      <c r="C147" t="s">
        <v>1642</v>
      </c>
      <c r="D147" t="s">
        <v>1642</v>
      </c>
      <c r="E147" t="s">
        <v>1641</v>
      </c>
      <c r="F147">
        <v>8525</v>
      </c>
      <c r="G147" t="s">
        <v>204</v>
      </c>
      <c r="H147" t="s">
        <v>15226</v>
      </c>
      <c r="I147">
        <v>7671</v>
      </c>
    </row>
    <row r="148" spans="1:9" x14ac:dyDescent="0.25">
      <c r="A148" t="s">
        <v>1650</v>
      </c>
      <c r="B148" t="s">
        <v>1651</v>
      </c>
      <c r="C148" t="s">
        <v>1653</v>
      </c>
      <c r="D148" t="s">
        <v>1653</v>
      </c>
      <c r="E148" t="s">
        <v>15275</v>
      </c>
      <c r="F148">
        <v>8526</v>
      </c>
      <c r="G148" t="s">
        <v>665</v>
      </c>
      <c r="H148" t="s">
        <v>106</v>
      </c>
      <c r="I148">
        <v>2002</v>
      </c>
    </row>
    <row r="149" spans="1:9" x14ac:dyDescent="0.25">
      <c r="A149" t="s">
        <v>1662</v>
      </c>
      <c r="B149" t="s">
        <v>1663</v>
      </c>
      <c r="C149" t="s">
        <v>1665</v>
      </c>
      <c r="E149" t="s">
        <v>1664</v>
      </c>
      <c r="F149">
        <v>8523</v>
      </c>
      <c r="G149" t="s">
        <v>1222</v>
      </c>
      <c r="H149" t="s">
        <v>15226</v>
      </c>
      <c r="I149">
        <v>6373</v>
      </c>
    </row>
    <row r="150" spans="1:9" x14ac:dyDescent="0.25">
      <c r="A150" t="s">
        <v>1670</v>
      </c>
      <c r="B150" t="s">
        <v>1671</v>
      </c>
      <c r="C150" t="s">
        <v>1673</v>
      </c>
      <c r="D150" t="s">
        <v>1673</v>
      </c>
      <c r="E150" t="s">
        <v>15276</v>
      </c>
      <c r="F150">
        <v>8545</v>
      </c>
      <c r="G150" t="s">
        <v>327</v>
      </c>
      <c r="H150" t="s">
        <v>15231</v>
      </c>
      <c r="I150">
        <v>36931</v>
      </c>
    </row>
    <row r="151" spans="1:9" x14ac:dyDescent="0.25">
      <c r="A151" t="s">
        <v>1676</v>
      </c>
      <c r="B151" t="s">
        <v>1678</v>
      </c>
      <c r="C151" t="s">
        <v>15277</v>
      </c>
      <c r="D151" t="s">
        <v>15277</v>
      </c>
      <c r="E151" t="s">
        <v>15278</v>
      </c>
      <c r="F151">
        <v>8545</v>
      </c>
      <c r="G151" t="s">
        <v>324</v>
      </c>
      <c r="H151" t="s">
        <v>15231</v>
      </c>
      <c r="I151">
        <v>5199</v>
      </c>
    </row>
    <row r="152" spans="1:9" x14ac:dyDescent="0.25">
      <c r="A152" t="s">
        <v>1693</v>
      </c>
      <c r="B152" t="s">
        <v>1694</v>
      </c>
      <c r="C152" t="s">
        <v>1696</v>
      </c>
      <c r="E152" t="s">
        <v>1695</v>
      </c>
      <c r="F152">
        <v>8516</v>
      </c>
      <c r="G152" t="s">
        <v>157</v>
      </c>
      <c r="H152" t="s">
        <v>15226</v>
      </c>
      <c r="I152">
        <v>3911</v>
      </c>
    </row>
    <row r="153" spans="1:9" x14ac:dyDescent="0.25">
      <c r="A153" t="s">
        <v>1704</v>
      </c>
      <c r="B153" t="s">
        <v>1705</v>
      </c>
      <c r="C153" t="s">
        <v>1707</v>
      </c>
      <c r="D153" t="s">
        <v>1707</v>
      </c>
      <c r="E153" t="s">
        <v>1706</v>
      </c>
      <c r="F153">
        <v>8544</v>
      </c>
      <c r="G153" t="s">
        <v>116</v>
      </c>
      <c r="H153" t="s">
        <v>15231</v>
      </c>
      <c r="I153">
        <v>41283</v>
      </c>
    </row>
    <row r="154" spans="1:9" x14ac:dyDescent="0.25">
      <c r="A154" t="s">
        <v>1712</v>
      </c>
      <c r="B154" t="s">
        <v>338</v>
      </c>
      <c r="C154" t="s">
        <v>1715</v>
      </c>
      <c r="D154" t="s">
        <v>1715</v>
      </c>
      <c r="E154" t="s">
        <v>1714</v>
      </c>
      <c r="F154">
        <v>8687</v>
      </c>
      <c r="G154" t="s">
        <v>339</v>
      </c>
      <c r="H154" t="s">
        <v>15220</v>
      </c>
      <c r="I154">
        <v>4968</v>
      </c>
    </row>
    <row r="155" spans="1:9" x14ac:dyDescent="0.25">
      <c r="A155" t="s">
        <v>1721</v>
      </c>
      <c r="B155" t="s">
        <v>1722</v>
      </c>
      <c r="C155" t="s">
        <v>1726</v>
      </c>
      <c r="D155" t="s">
        <v>1726</v>
      </c>
      <c r="E155" t="s">
        <v>1724</v>
      </c>
      <c r="F155">
        <v>8557</v>
      </c>
      <c r="G155" t="s">
        <v>1723</v>
      </c>
      <c r="H155" t="s">
        <v>15231</v>
      </c>
      <c r="I155">
        <v>7603</v>
      </c>
    </row>
    <row r="156" spans="1:9" x14ac:dyDescent="0.25">
      <c r="A156" t="s">
        <v>1733</v>
      </c>
      <c r="B156" t="s">
        <v>1735</v>
      </c>
      <c r="C156" t="s">
        <v>1737</v>
      </c>
      <c r="E156" t="s">
        <v>1736</v>
      </c>
      <c r="F156">
        <v>8553</v>
      </c>
      <c r="G156" t="s">
        <v>1557</v>
      </c>
      <c r="H156" t="s">
        <v>15233</v>
      </c>
      <c r="I156">
        <v>40587</v>
      </c>
    </row>
    <row r="157" spans="1:9" x14ac:dyDescent="0.25">
      <c r="A157" t="s">
        <v>1739</v>
      </c>
      <c r="B157" t="s">
        <v>1740</v>
      </c>
      <c r="C157" t="s">
        <v>1742</v>
      </c>
      <c r="D157" t="s">
        <v>15279</v>
      </c>
      <c r="E157" t="s">
        <v>1741</v>
      </c>
      <c r="F157">
        <v>8545</v>
      </c>
      <c r="G157" t="s">
        <v>327</v>
      </c>
      <c r="H157" t="s">
        <v>15231</v>
      </c>
      <c r="I157">
        <v>17529</v>
      </c>
    </row>
    <row r="158" spans="1:9" x14ac:dyDescent="0.25">
      <c r="A158" t="s">
        <v>1745</v>
      </c>
      <c r="B158" t="s">
        <v>1746</v>
      </c>
      <c r="C158" t="s">
        <v>1748</v>
      </c>
      <c r="D158" t="s">
        <v>15280</v>
      </c>
      <c r="E158" t="s">
        <v>1747</v>
      </c>
      <c r="F158">
        <v>8513</v>
      </c>
      <c r="G158" t="s">
        <v>68</v>
      </c>
      <c r="H158" t="s">
        <v>72</v>
      </c>
      <c r="I158">
        <v>2124</v>
      </c>
    </row>
    <row r="159" spans="1:9" x14ac:dyDescent="0.25">
      <c r="A159" t="s">
        <v>1751</v>
      </c>
      <c r="B159" t="s">
        <v>1753</v>
      </c>
      <c r="C159" t="s">
        <v>1755</v>
      </c>
      <c r="E159" t="s">
        <v>1641</v>
      </c>
      <c r="F159">
        <v>8525</v>
      </c>
      <c r="G159" t="s">
        <v>204</v>
      </c>
      <c r="H159" t="s">
        <v>15226</v>
      </c>
      <c r="I159">
        <v>7740</v>
      </c>
    </row>
    <row r="160" spans="1:9" x14ac:dyDescent="0.25">
      <c r="A160" t="s">
        <v>1758</v>
      </c>
      <c r="B160" t="s">
        <v>1759</v>
      </c>
      <c r="C160" t="s">
        <v>1761</v>
      </c>
      <c r="E160" t="s">
        <v>1760</v>
      </c>
      <c r="F160">
        <v>8540</v>
      </c>
      <c r="G160" t="s">
        <v>1062</v>
      </c>
      <c r="H160" t="s">
        <v>72</v>
      </c>
      <c r="I160">
        <v>39155</v>
      </c>
    </row>
    <row r="161" spans="1:9" x14ac:dyDescent="0.25">
      <c r="A161" t="s">
        <v>1770</v>
      </c>
      <c r="B161" t="s">
        <v>1771</v>
      </c>
      <c r="C161" t="s">
        <v>1773</v>
      </c>
      <c r="E161" t="s">
        <v>1772</v>
      </c>
      <c r="F161">
        <v>8521</v>
      </c>
      <c r="G161" t="s">
        <v>173</v>
      </c>
      <c r="H161" t="s">
        <v>15226</v>
      </c>
    </row>
    <row r="162" spans="1:9" x14ac:dyDescent="0.25">
      <c r="A162" t="s">
        <v>1780</v>
      </c>
      <c r="B162" t="s">
        <v>1781</v>
      </c>
      <c r="C162" t="s">
        <v>1783</v>
      </c>
      <c r="D162" t="s">
        <v>1783</v>
      </c>
      <c r="E162" t="s">
        <v>1782</v>
      </c>
      <c r="F162">
        <v>8545</v>
      </c>
      <c r="G162" t="s">
        <v>327</v>
      </c>
      <c r="H162" t="s">
        <v>15231</v>
      </c>
      <c r="I162">
        <v>22833</v>
      </c>
    </row>
    <row r="163" spans="1:9" x14ac:dyDescent="0.25">
      <c r="A163" t="s">
        <v>1785</v>
      </c>
      <c r="B163" t="s">
        <v>1786</v>
      </c>
      <c r="C163" t="s">
        <v>1788</v>
      </c>
      <c r="E163" t="s">
        <v>1787</v>
      </c>
      <c r="F163">
        <v>8560</v>
      </c>
      <c r="G163" t="s">
        <v>751</v>
      </c>
      <c r="H163" t="s">
        <v>15220</v>
      </c>
      <c r="I163">
        <v>3956</v>
      </c>
    </row>
    <row r="164" spans="1:9" x14ac:dyDescent="0.25">
      <c r="A164" t="s">
        <v>1791</v>
      </c>
      <c r="B164" t="s">
        <v>1792</v>
      </c>
      <c r="C164" t="s">
        <v>1794</v>
      </c>
      <c r="E164" t="s">
        <v>1793</v>
      </c>
      <c r="F164">
        <v>8533</v>
      </c>
      <c r="G164" t="s">
        <v>303</v>
      </c>
      <c r="H164" t="s">
        <v>72</v>
      </c>
      <c r="I164">
        <v>41579</v>
      </c>
    </row>
    <row r="165" spans="1:9" x14ac:dyDescent="0.25">
      <c r="A165" t="s">
        <v>1802</v>
      </c>
      <c r="B165" t="s">
        <v>1803</v>
      </c>
      <c r="C165" t="s">
        <v>1805</v>
      </c>
      <c r="E165" t="s">
        <v>1804</v>
      </c>
      <c r="F165">
        <v>8540</v>
      </c>
      <c r="G165" t="s">
        <v>1062</v>
      </c>
      <c r="H165" t="s">
        <v>72</v>
      </c>
      <c r="I165">
        <v>6234</v>
      </c>
    </row>
    <row r="166" spans="1:9" x14ac:dyDescent="0.25">
      <c r="A166" t="s">
        <v>1814</v>
      </c>
      <c r="B166" t="s">
        <v>1815</v>
      </c>
      <c r="C166" t="s">
        <v>1817</v>
      </c>
      <c r="D166" t="s">
        <v>1817</v>
      </c>
      <c r="E166" t="s">
        <v>1816</v>
      </c>
      <c r="F166">
        <v>8521</v>
      </c>
      <c r="G166" t="s">
        <v>170</v>
      </c>
      <c r="H166" t="s">
        <v>15226</v>
      </c>
    </row>
    <row r="167" spans="1:9" x14ac:dyDescent="0.25">
      <c r="A167" t="s">
        <v>1820</v>
      </c>
      <c r="B167" t="s">
        <v>1821</v>
      </c>
      <c r="C167" t="s">
        <v>1823</v>
      </c>
      <c r="D167" t="s">
        <v>15281</v>
      </c>
      <c r="E167" t="s">
        <v>1822</v>
      </c>
      <c r="F167">
        <v>8583</v>
      </c>
      <c r="G167" t="s">
        <v>277</v>
      </c>
      <c r="H167" t="s">
        <v>279</v>
      </c>
      <c r="I167">
        <v>974</v>
      </c>
    </row>
    <row r="168" spans="1:9" x14ac:dyDescent="0.25">
      <c r="A168" t="s">
        <v>1833</v>
      </c>
      <c r="B168" t="s">
        <v>1834</v>
      </c>
      <c r="C168" t="s">
        <v>1836</v>
      </c>
      <c r="E168" t="s">
        <v>1835</v>
      </c>
      <c r="F168">
        <v>8553</v>
      </c>
      <c r="G168" t="s">
        <v>1554</v>
      </c>
      <c r="H168" t="s">
        <v>15220</v>
      </c>
      <c r="I168">
        <v>42000</v>
      </c>
    </row>
    <row r="169" spans="1:9" x14ac:dyDescent="0.25">
      <c r="A169" t="s">
        <v>1844</v>
      </c>
      <c r="B169" t="s">
        <v>1845</v>
      </c>
      <c r="C169" t="s">
        <v>1850</v>
      </c>
      <c r="D169" t="s">
        <v>1850</v>
      </c>
      <c r="E169" t="s">
        <v>1848</v>
      </c>
      <c r="F169">
        <v>8561</v>
      </c>
      <c r="G169" t="s">
        <v>1847</v>
      </c>
      <c r="H169" t="s">
        <v>15231</v>
      </c>
      <c r="I169">
        <v>17166</v>
      </c>
    </row>
    <row r="170" spans="1:9" x14ac:dyDescent="0.25">
      <c r="A170" t="s">
        <v>1852</v>
      </c>
      <c r="B170" t="s">
        <v>1855</v>
      </c>
      <c r="C170" t="s">
        <v>1857</v>
      </c>
      <c r="D170" t="s">
        <v>1857</v>
      </c>
      <c r="E170" t="s">
        <v>15282</v>
      </c>
      <c r="F170">
        <v>8515</v>
      </c>
      <c r="G170" t="s">
        <v>255</v>
      </c>
      <c r="H170" t="s">
        <v>15249</v>
      </c>
      <c r="I170">
        <v>7659</v>
      </c>
    </row>
    <row r="171" spans="1:9" x14ac:dyDescent="0.25">
      <c r="A171" t="s">
        <v>1863</v>
      </c>
      <c r="B171" t="s">
        <v>1864</v>
      </c>
      <c r="C171" t="s">
        <v>1867</v>
      </c>
      <c r="D171" t="s">
        <v>1867</v>
      </c>
      <c r="E171" t="s">
        <v>1866</v>
      </c>
      <c r="F171">
        <v>8557</v>
      </c>
      <c r="G171" t="s">
        <v>1723</v>
      </c>
      <c r="H171" t="s">
        <v>15231</v>
      </c>
      <c r="I171">
        <v>10268</v>
      </c>
    </row>
    <row r="172" spans="1:9" x14ac:dyDescent="0.25">
      <c r="A172" t="s">
        <v>1869</v>
      </c>
      <c r="B172" t="s">
        <v>1870</v>
      </c>
      <c r="C172" t="s">
        <v>1874</v>
      </c>
      <c r="D172" t="s">
        <v>1874</v>
      </c>
      <c r="E172" t="s">
        <v>1872</v>
      </c>
      <c r="F172">
        <v>8562</v>
      </c>
      <c r="G172" t="s">
        <v>1871</v>
      </c>
      <c r="H172" t="s">
        <v>15231</v>
      </c>
      <c r="I172">
        <v>7277</v>
      </c>
    </row>
    <row r="173" spans="1:9" x14ac:dyDescent="0.25">
      <c r="A173" t="s">
        <v>1884</v>
      </c>
      <c r="B173" t="s">
        <v>1885</v>
      </c>
      <c r="C173" t="s">
        <v>1887</v>
      </c>
      <c r="E173" t="s">
        <v>1886</v>
      </c>
      <c r="F173">
        <v>8551</v>
      </c>
      <c r="G173" t="s">
        <v>349</v>
      </c>
      <c r="H173" t="s">
        <v>15233</v>
      </c>
      <c r="I173">
        <v>38181</v>
      </c>
    </row>
    <row r="174" spans="1:9" x14ac:dyDescent="0.25">
      <c r="A174" t="s">
        <v>1890</v>
      </c>
      <c r="B174" t="s">
        <v>1891</v>
      </c>
      <c r="C174" t="s">
        <v>1893</v>
      </c>
      <c r="D174" t="s">
        <v>1893</v>
      </c>
      <c r="E174" t="s">
        <v>1892</v>
      </c>
      <c r="F174">
        <v>8518</v>
      </c>
      <c r="G174" t="s">
        <v>881</v>
      </c>
      <c r="H174" t="s">
        <v>15226</v>
      </c>
    </row>
    <row r="175" spans="1:9" x14ac:dyDescent="0.25">
      <c r="A175" t="s">
        <v>1896</v>
      </c>
      <c r="B175" t="s">
        <v>505</v>
      </c>
      <c r="C175" t="s">
        <v>1902</v>
      </c>
      <c r="D175" t="s">
        <v>1902</v>
      </c>
      <c r="E175" t="s">
        <v>1899</v>
      </c>
      <c r="F175">
        <v>8519</v>
      </c>
      <c r="G175" t="s">
        <v>1898</v>
      </c>
      <c r="H175" t="s">
        <v>15226</v>
      </c>
      <c r="I175">
        <v>50289</v>
      </c>
    </row>
    <row r="176" spans="1:9" x14ac:dyDescent="0.25">
      <c r="A176" t="s">
        <v>1904</v>
      </c>
      <c r="B176" t="s">
        <v>1905</v>
      </c>
      <c r="C176" t="s">
        <v>1906</v>
      </c>
      <c r="D176" t="s">
        <v>15283</v>
      </c>
      <c r="F176">
        <v>8527</v>
      </c>
      <c r="G176" t="s">
        <v>102</v>
      </c>
      <c r="H176" t="s">
        <v>106</v>
      </c>
      <c r="I176">
        <v>5643</v>
      </c>
    </row>
    <row r="177" spans="1:9" x14ac:dyDescent="0.25">
      <c r="A177" t="s">
        <v>1926</v>
      </c>
      <c r="B177" t="s">
        <v>1927</v>
      </c>
      <c r="C177" t="s">
        <v>1929</v>
      </c>
      <c r="E177" t="s">
        <v>1928</v>
      </c>
      <c r="F177">
        <v>8523</v>
      </c>
      <c r="G177" t="s">
        <v>1222</v>
      </c>
      <c r="H177" t="s">
        <v>15226</v>
      </c>
      <c r="I177">
        <v>42210</v>
      </c>
    </row>
    <row r="178" spans="1:9" x14ac:dyDescent="0.25">
      <c r="A178" t="s">
        <v>1932</v>
      </c>
      <c r="B178" t="s">
        <v>1933</v>
      </c>
      <c r="C178" t="s">
        <v>1935</v>
      </c>
      <c r="E178" t="s">
        <v>1934</v>
      </c>
      <c r="F178">
        <v>6201</v>
      </c>
      <c r="G178" t="s">
        <v>41</v>
      </c>
      <c r="H178" t="s">
        <v>15220</v>
      </c>
      <c r="I178">
        <v>18398</v>
      </c>
    </row>
    <row r="179" spans="1:9" x14ac:dyDescent="0.25">
      <c r="A179" t="s">
        <v>1938</v>
      </c>
      <c r="B179" t="s">
        <v>1940</v>
      </c>
      <c r="C179" t="s">
        <v>1943</v>
      </c>
      <c r="D179" t="s">
        <v>1943</v>
      </c>
      <c r="E179" t="s">
        <v>1942</v>
      </c>
      <c r="F179">
        <v>8552</v>
      </c>
      <c r="G179" t="s">
        <v>437</v>
      </c>
      <c r="H179" t="s">
        <v>15220</v>
      </c>
      <c r="I179">
        <v>52199</v>
      </c>
    </row>
    <row r="180" spans="1:9" x14ac:dyDescent="0.25">
      <c r="A180" t="s">
        <v>1946</v>
      </c>
      <c r="B180" t="s">
        <v>1947</v>
      </c>
      <c r="C180" t="s">
        <v>1949</v>
      </c>
      <c r="E180" t="s">
        <v>1948</v>
      </c>
      <c r="F180">
        <v>8553</v>
      </c>
      <c r="G180" t="s">
        <v>1557</v>
      </c>
      <c r="H180" t="s">
        <v>15233</v>
      </c>
      <c r="I180">
        <v>3871</v>
      </c>
    </row>
    <row r="181" spans="1:9" x14ac:dyDescent="0.25">
      <c r="A181" t="s">
        <v>1957</v>
      </c>
      <c r="B181" t="s">
        <v>1959</v>
      </c>
      <c r="C181" t="s">
        <v>1963</v>
      </c>
      <c r="E181" t="s">
        <v>1962</v>
      </c>
      <c r="F181">
        <v>8572</v>
      </c>
      <c r="G181" t="s">
        <v>1961</v>
      </c>
      <c r="H181" t="s">
        <v>106</v>
      </c>
      <c r="I181">
        <v>39938</v>
      </c>
    </row>
    <row r="182" spans="1:9" x14ac:dyDescent="0.25">
      <c r="A182" t="s">
        <v>1967</v>
      </c>
      <c r="B182" t="s">
        <v>1968</v>
      </c>
      <c r="C182" t="s">
        <v>1971</v>
      </c>
      <c r="D182" t="s">
        <v>1971</v>
      </c>
      <c r="E182">
        <v>4141462913</v>
      </c>
      <c r="F182">
        <v>8526</v>
      </c>
      <c r="G182" t="s">
        <v>1969</v>
      </c>
      <c r="H182" t="s">
        <v>106</v>
      </c>
      <c r="I182">
        <v>23371</v>
      </c>
    </row>
    <row r="183" spans="1:9" x14ac:dyDescent="0.25">
      <c r="A183" t="s">
        <v>1974</v>
      </c>
      <c r="B183" t="s">
        <v>1975</v>
      </c>
      <c r="C183" t="s">
        <v>1977</v>
      </c>
      <c r="E183" t="s">
        <v>1976</v>
      </c>
      <c r="F183">
        <v>6201</v>
      </c>
      <c r="G183" t="s">
        <v>38</v>
      </c>
      <c r="H183" t="s">
        <v>15220</v>
      </c>
      <c r="I183">
        <v>39679</v>
      </c>
    </row>
    <row r="184" spans="1:9" x14ac:dyDescent="0.25">
      <c r="A184" t="s">
        <v>1980</v>
      </c>
      <c r="B184" t="s">
        <v>1981</v>
      </c>
      <c r="C184" t="s">
        <v>1983</v>
      </c>
      <c r="D184" t="s">
        <v>1983</v>
      </c>
      <c r="E184" t="s">
        <v>1982</v>
      </c>
      <c r="F184">
        <v>8559</v>
      </c>
      <c r="G184" t="s">
        <v>265</v>
      </c>
      <c r="H184" t="s">
        <v>106</v>
      </c>
      <c r="I184">
        <v>44249</v>
      </c>
    </row>
    <row r="185" spans="1:9" x14ac:dyDescent="0.25">
      <c r="A185" t="s">
        <v>1986</v>
      </c>
      <c r="B185" t="s">
        <v>1987</v>
      </c>
      <c r="C185" t="s">
        <v>1990</v>
      </c>
      <c r="D185" t="s">
        <v>1990</v>
      </c>
      <c r="E185" t="s">
        <v>1989</v>
      </c>
      <c r="F185">
        <v>8547</v>
      </c>
      <c r="G185" t="s">
        <v>1988</v>
      </c>
      <c r="H185" t="s">
        <v>15231</v>
      </c>
      <c r="I185">
        <v>10522</v>
      </c>
    </row>
    <row r="186" spans="1:9" x14ac:dyDescent="0.25">
      <c r="A186" t="s">
        <v>2000</v>
      </c>
      <c r="B186" t="s">
        <v>2001</v>
      </c>
      <c r="C186" t="s">
        <v>15284</v>
      </c>
      <c r="D186" t="s">
        <v>15285</v>
      </c>
      <c r="F186">
        <v>8527</v>
      </c>
      <c r="G186" t="s">
        <v>2002</v>
      </c>
      <c r="H186" t="s">
        <v>106</v>
      </c>
      <c r="I186">
        <v>3823</v>
      </c>
    </row>
    <row r="187" spans="1:9" x14ac:dyDescent="0.25">
      <c r="A187" t="s">
        <v>2006</v>
      </c>
      <c r="B187" t="s">
        <v>2007</v>
      </c>
      <c r="C187" t="s">
        <v>2009</v>
      </c>
      <c r="E187" t="s">
        <v>2008</v>
      </c>
      <c r="F187">
        <v>8540</v>
      </c>
      <c r="G187" t="s">
        <v>1062</v>
      </c>
      <c r="H187" t="s">
        <v>72</v>
      </c>
      <c r="I187">
        <v>36144</v>
      </c>
    </row>
    <row r="188" spans="1:9" x14ac:dyDescent="0.25">
      <c r="A188" t="s">
        <v>2016</v>
      </c>
      <c r="B188" t="s">
        <v>2017</v>
      </c>
      <c r="C188" t="s">
        <v>2019</v>
      </c>
      <c r="D188" t="s">
        <v>2019</v>
      </c>
      <c r="E188" t="s">
        <v>2018</v>
      </c>
      <c r="F188">
        <v>8540</v>
      </c>
      <c r="G188" t="s">
        <v>1062</v>
      </c>
      <c r="H188" t="s">
        <v>72</v>
      </c>
    </row>
    <row r="189" spans="1:9" x14ac:dyDescent="0.25">
      <c r="A189" t="s">
        <v>2022</v>
      </c>
      <c r="B189" t="s">
        <v>2023</v>
      </c>
      <c r="C189" t="s">
        <v>2025</v>
      </c>
      <c r="D189" t="s">
        <v>15286</v>
      </c>
      <c r="E189" t="s">
        <v>2024</v>
      </c>
      <c r="F189">
        <v>8534</v>
      </c>
      <c r="G189" t="s">
        <v>443</v>
      </c>
      <c r="H189" t="s">
        <v>72</v>
      </c>
      <c r="I189">
        <v>21624</v>
      </c>
    </row>
    <row r="190" spans="1:9" x14ac:dyDescent="0.25">
      <c r="A190" t="s">
        <v>2028</v>
      </c>
      <c r="B190" t="s">
        <v>2029</v>
      </c>
      <c r="C190" t="s">
        <v>2031</v>
      </c>
      <c r="D190" t="s">
        <v>2031</v>
      </c>
      <c r="E190" t="s">
        <v>2030</v>
      </c>
      <c r="F190">
        <v>8550</v>
      </c>
      <c r="G190" t="s">
        <v>312</v>
      </c>
      <c r="H190" t="s">
        <v>15220</v>
      </c>
    </row>
    <row r="191" spans="1:9" x14ac:dyDescent="0.25">
      <c r="A191" t="s">
        <v>2041</v>
      </c>
      <c r="B191" t="s">
        <v>2042</v>
      </c>
      <c r="C191" t="s">
        <v>2044</v>
      </c>
      <c r="D191" t="s">
        <v>2044</v>
      </c>
      <c r="E191" t="s">
        <v>2043</v>
      </c>
      <c r="F191">
        <v>8520</v>
      </c>
      <c r="G191" t="s">
        <v>584</v>
      </c>
      <c r="H191" t="s">
        <v>15226</v>
      </c>
      <c r="I191">
        <v>50940</v>
      </c>
    </row>
    <row r="192" spans="1:9" x14ac:dyDescent="0.25">
      <c r="A192" t="s">
        <v>2051</v>
      </c>
      <c r="B192" t="s">
        <v>2052</v>
      </c>
      <c r="C192" t="s">
        <v>2054</v>
      </c>
      <c r="D192" t="s">
        <v>2054</v>
      </c>
      <c r="F192">
        <v>8518</v>
      </c>
      <c r="G192" t="s">
        <v>2053</v>
      </c>
      <c r="H192" t="s">
        <v>15226</v>
      </c>
    </row>
    <row r="193" spans="1:9" x14ac:dyDescent="0.25">
      <c r="A193" t="s">
        <v>2056</v>
      </c>
      <c r="B193" t="s">
        <v>2057</v>
      </c>
      <c r="C193" t="s">
        <v>2059</v>
      </c>
      <c r="E193" t="s">
        <v>2058</v>
      </c>
      <c r="F193">
        <v>6201</v>
      </c>
      <c r="G193" t="s">
        <v>41</v>
      </c>
      <c r="H193" t="s">
        <v>15220</v>
      </c>
      <c r="I193">
        <v>16635</v>
      </c>
    </row>
    <row r="194" spans="1:9" x14ac:dyDescent="0.25">
      <c r="A194" t="s">
        <v>2062</v>
      </c>
      <c r="B194" t="s">
        <v>2063</v>
      </c>
      <c r="C194" t="s">
        <v>2065</v>
      </c>
      <c r="D194" t="s">
        <v>2065</v>
      </c>
      <c r="E194" t="s">
        <v>2064</v>
      </c>
      <c r="F194">
        <v>8518</v>
      </c>
      <c r="G194" t="s">
        <v>881</v>
      </c>
      <c r="H194" t="s">
        <v>15226</v>
      </c>
    </row>
    <row r="195" spans="1:9" x14ac:dyDescent="0.25">
      <c r="A195" t="s">
        <v>2080</v>
      </c>
      <c r="B195" t="s">
        <v>2081</v>
      </c>
      <c r="C195" t="s">
        <v>2083</v>
      </c>
      <c r="D195" t="s">
        <v>2083</v>
      </c>
      <c r="E195" t="s">
        <v>2082</v>
      </c>
      <c r="F195">
        <v>6201</v>
      </c>
      <c r="G195" t="s">
        <v>41</v>
      </c>
      <c r="H195" t="s">
        <v>15220</v>
      </c>
      <c r="I195">
        <v>22609</v>
      </c>
    </row>
    <row r="196" spans="1:9" x14ac:dyDescent="0.25">
      <c r="A196" t="s">
        <v>2085</v>
      </c>
      <c r="B196" t="s">
        <v>2086</v>
      </c>
      <c r="C196" t="s">
        <v>2088</v>
      </c>
      <c r="D196" t="s">
        <v>2088</v>
      </c>
      <c r="E196" t="s">
        <v>2087</v>
      </c>
      <c r="F196">
        <v>8583</v>
      </c>
      <c r="G196" t="s">
        <v>277</v>
      </c>
      <c r="H196" t="s">
        <v>279</v>
      </c>
      <c r="I196">
        <v>37184</v>
      </c>
    </row>
    <row r="197" spans="1:9" x14ac:dyDescent="0.25">
      <c r="A197" t="s">
        <v>2096</v>
      </c>
      <c r="B197" t="s">
        <v>2097</v>
      </c>
      <c r="C197" t="s">
        <v>2099</v>
      </c>
      <c r="D197" t="s">
        <v>2099</v>
      </c>
      <c r="E197" t="s">
        <v>2098</v>
      </c>
      <c r="F197">
        <v>6201</v>
      </c>
      <c r="G197" t="s">
        <v>245</v>
      </c>
      <c r="H197" t="s">
        <v>15220</v>
      </c>
      <c r="I197">
        <v>16330</v>
      </c>
    </row>
    <row r="198" spans="1:9" x14ac:dyDescent="0.25">
      <c r="A198" t="s">
        <v>2117</v>
      </c>
      <c r="B198" t="s">
        <v>2119</v>
      </c>
      <c r="C198" t="s">
        <v>2122</v>
      </c>
      <c r="D198" t="s">
        <v>2122</v>
      </c>
      <c r="E198" t="s">
        <v>2121</v>
      </c>
      <c r="F198">
        <v>8544</v>
      </c>
      <c r="G198" t="s">
        <v>119</v>
      </c>
      <c r="H198" t="s">
        <v>15231</v>
      </c>
    </row>
    <row r="199" spans="1:9" x14ac:dyDescent="0.25">
      <c r="A199" t="s">
        <v>2124</v>
      </c>
      <c r="B199" t="s">
        <v>2125</v>
      </c>
      <c r="C199" t="s">
        <v>2128</v>
      </c>
      <c r="D199" t="s">
        <v>2128</v>
      </c>
      <c r="E199" t="s">
        <v>2127</v>
      </c>
      <c r="F199">
        <v>8516</v>
      </c>
      <c r="G199" t="s">
        <v>157</v>
      </c>
      <c r="H199" t="s">
        <v>15226</v>
      </c>
      <c r="I199">
        <v>1862</v>
      </c>
    </row>
    <row r="200" spans="1:9" x14ac:dyDescent="0.25">
      <c r="A200" t="s">
        <v>2131</v>
      </c>
      <c r="B200" t="s">
        <v>2132</v>
      </c>
      <c r="C200" t="s">
        <v>2135</v>
      </c>
      <c r="D200" t="s">
        <v>2135</v>
      </c>
      <c r="E200" t="s">
        <v>2134</v>
      </c>
      <c r="F200">
        <v>8547</v>
      </c>
      <c r="G200" t="s">
        <v>2133</v>
      </c>
      <c r="H200" t="s">
        <v>15231</v>
      </c>
      <c r="I200">
        <v>47198</v>
      </c>
    </row>
    <row r="201" spans="1:9" x14ac:dyDescent="0.25">
      <c r="A201" t="s">
        <v>2138</v>
      </c>
      <c r="B201" t="s">
        <v>2140</v>
      </c>
      <c r="C201" t="s">
        <v>2142</v>
      </c>
      <c r="E201" t="s">
        <v>2141</v>
      </c>
      <c r="F201">
        <v>8533</v>
      </c>
      <c r="G201" t="s">
        <v>300</v>
      </c>
      <c r="H201" t="s">
        <v>72</v>
      </c>
      <c r="I201">
        <v>36973</v>
      </c>
    </row>
    <row r="202" spans="1:9" x14ac:dyDescent="0.25">
      <c r="A202" t="s">
        <v>2146</v>
      </c>
      <c r="B202" t="s">
        <v>2147</v>
      </c>
      <c r="C202" t="s">
        <v>2149</v>
      </c>
      <c r="D202" t="s">
        <v>2149</v>
      </c>
      <c r="E202" t="s">
        <v>2148</v>
      </c>
      <c r="F202">
        <v>8551</v>
      </c>
      <c r="G202" t="s">
        <v>349</v>
      </c>
      <c r="H202" t="s">
        <v>15233</v>
      </c>
      <c r="I202">
        <v>18362</v>
      </c>
    </row>
    <row r="203" spans="1:9" x14ac:dyDescent="0.25">
      <c r="A203" t="s">
        <v>2152</v>
      </c>
      <c r="B203" t="s">
        <v>2153</v>
      </c>
      <c r="C203" t="s">
        <v>2155</v>
      </c>
      <c r="E203" t="s">
        <v>2154</v>
      </c>
      <c r="F203">
        <v>6201</v>
      </c>
      <c r="G203" t="s">
        <v>41</v>
      </c>
      <c r="H203" t="s">
        <v>15220</v>
      </c>
    </row>
    <row r="204" spans="1:9" x14ac:dyDescent="0.25">
      <c r="A204" t="s">
        <v>2163</v>
      </c>
      <c r="B204" t="s">
        <v>2164</v>
      </c>
      <c r="C204" t="s">
        <v>2166</v>
      </c>
      <c r="D204" t="s">
        <v>2166</v>
      </c>
      <c r="E204" t="s">
        <v>2165</v>
      </c>
      <c r="F204">
        <v>8539</v>
      </c>
      <c r="G204" t="s">
        <v>1036</v>
      </c>
      <c r="H204" t="s">
        <v>72</v>
      </c>
    </row>
    <row r="205" spans="1:9" x14ac:dyDescent="0.25">
      <c r="A205" t="s">
        <v>2168</v>
      </c>
      <c r="B205" t="s">
        <v>2169</v>
      </c>
      <c r="C205" t="s">
        <v>2171</v>
      </c>
      <c r="D205" t="s">
        <v>2171</v>
      </c>
      <c r="E205" t="s">
        <v>2170</v>
      </c>
      <c r="F205">
        <v>6201</v>
      </c>
      <c r="G205" t="s">
        <v>41</v>
      </c>
      <c r="H205" t="s">
        <v>15220</v>
      </c>
      <c r="I205">
        <v>37233</v>
      </c>
    </row>
    <row r="206" spans="1:9" x14ac:dyDescent="0.25">
      <c r="A206" t="s">
        <v>2174</v>
      </c>
      <c r="B206" t="s">
        <v>1159</v>
      </c>
      <c r="C206" t="s">
        <v>2176</v>
      </c>
      <c r="D206" t="s">
        <v>2176</v>
      </c>
      <c r="E206" t="s">
        <v>2175</v>
      </c>
      <c r="F206">
        <v>8521</v>
      </c>
      <c r="G206" t="s">
        <v>170</v>
      </c>
      <c r="H206" t="s">
        <v>15226</v>
      </c>
      <c r="I206">
        <v>1975</v>
      </c>
    </row>
    <row r="207" spans="1:9" x14ac:dyDescent="0.25">
      <c r="A207" t="s">
        <v>2179</v>
      </c>
      <c r="B207" t="s">
        <v>2180</v>
      </c>
      <c r="C207" t="s">
        <v>2182</v>
      </c>
      <c r="D207" t="s">
        <v>2182</v>
      </c>
      <c r="E207" t="s">
        <v>2181</v>
      </c>
      <c r="F207">
        <v>8518</v>
      </c>
      <c r="G207" t="s">
        <v>881</v>
      </c>
      <c r="H207" t="s">
        <v>15226</v>
      </c>
    </row>
    <row r="208" spans="1:9" x14ac:dyDescent="0.25">
      <c r="A208" t="s">
        <v>2184</v>
      </c>
      <c r="B208" t="s">
        <v>2185</v>
      </c>
      <c r="C208" t="s">
        <v>2187</v>
      </c>
      <c r="D208" t="s">
        <v>2187</v>
      </c>
      <c r="E208" t="s">
        <v>2186</v>
      </c>
      <c r="F208">
        <v>8553</v>
      </c>
      <c r="G208" t="s">
        <v>1557</v>
      </c>
      <c r="H208" t="s">
        <v>15220</v>
      </c>
      <c r="I208">
        <v>3775</v>
      </c>
    </row>
    <row r="209" spans="1:9" x14ac:dyDescent="0.25">
      <c r="A209" t="s">
        <v>2189</v>
      </c>
      <c r="B209" t="s">
        <v>2190</v>
      </c>
      <c r="C209" t="s">
        <v>2192</v>
      </c>
      <c r="D209" t="s">
        <v>2192</v>
      </c>
      <c r="E209" t="s">
        <v>2191</v>
      </c>
      <c r="F209">
        <v>8518</v>
      </c>
      <c r="G209" t="s">
        <v>881</v>
      </c>
      <c r="H209" t="s">
        <v>15226</v>
      </c>
    </row>
    <row r="210" spans="1:9" x14ac:dyDescent="0.25">
      <c r="A210" t="s">
        <v>2196</v>
      </c>
      <c r="B210" t="s">
        <v>2197</v>
      </c>
      <c r="C210" t="s">
        <v>2199</v>
      </c>
      <c r="D210" t="s">
        <v>2199</v>
      </c>
      <c r="E210" t="s">
        <v>2198</v>
      </c>
      <c r="F210">
        <v>8531</v>
      </c>
      <c r="G210" t="s">
        <v>87</v>
      </c>
      <c r="H210" t="s">
        <v>15222</v>
      </c>
      <c r="I210">
        <v>45059</v>
      </c>
    </row>
    <row r="211" spans="1:9" x14ac:dyDescent="0.25">
      <c r="A211" t="s">
        <v>2202</v>
      </c>
      <c r="B211" t="s">
        <v>2203</v>
      </c>
      <c r="C211" t="s">
        <v>2205</v>
      </c>
      <c r="E211" t="s">
        <v>2204</v>
      </c>
      <c r="F211">
        <v>6201</v>
      </c>
      <c r="G211" t="s">
        <v>38</v>
      </c>
      <c r="H211" t="s">
        <v>15220</v>
      </c>
    </row>
    <row r="212" spans="1:9" x14ac:dyDescent="0.25">
      <c r="A212" t="s">
        <v>2207</v>
      </c>
      <c r="B212" t="s">
        <v>2208</v>
      </c>
      <c r="C212" t="s">
        <v>2210</v>
      </c>
      <c r="E212" t="s">
        <v>2209</v>
      </c>
      <c r="F212">
        <v>8518</v>
      </c>
      <c r="G212" t="s">
        <v>1312</v>
      </c>
      <c r="H212" t="s">
        <v>15226</v>
      </c>
    </row>
    <row r="213" spans="1:9" x14ac:dyDescent="0.25">
      <c r="A213" t="s">
        <v>2224</v>
      </c>
      <c r="B213" t="s">
        <v>2225</v>
      </c>
      <c r="C213" t="s">
        <v>2227</v>
      </c>
      <c r="D213" t="s">
        <v>2227</v>
      </c>
      <c r="E213" t="s">
        <v>2226</v>
      </c>
      <c r="F213">
        <v>8526</v>
      </c>
      <c r="G213" t="s">
        <v>15287</v>
      </c>
      <c r="H213" t="s">
        <v>106</v>
      </c>
      <c r="I213">
        <v>2010</v>
      </c>
    </row>
    <row r="214" spans="1:9" x14ac:dyDescent="0.25">
      <c r="A214" t="s">
        <v>2230</v>
      </c>
      <c r="B214" t="s">
        <v>2231</v>
      </c>
      <c r="C214" t="s">
        <v>2232</v>
      </c>
      <c r="D214" t="s">
        <v>15288</v>
      </c>
      <c r="F214">
        <v>8527</v>
      </c>
      <c r="G214" t="s">
        <v>102</v>
      </c>
      <c r="H214" t="s">
        <v>106</v>
      </c>
      <c r="I214">
        <v>3830</v>
      </c>
    </row>
    <row r="215" spans="1:9" x14ac:dyDescent="0.25">
      <c r="A215" t="s">
        <v>2238</v>
      </c>
      <c r="B215" t="s">
        <v>2239</v>
      </c>
      <c r="C215" t="s">
        <v>2241</v>
      </c>
      <c r="D215" t="s">
        <v>2241</v>
      </c>
      <c r="E215" t="s">
        <v>2240</v>
      </c>
      <c r="F215">
        <v>8517</v>
      </c>
      <c r="G215" t="s">
        <v>181</v>
      </c>
      <c r="H215" t="s">
        <v>15226</v>
      </c>
      <c r="I215">
        <v>40867</v>
      </c>
    </row>
    <row r="216" spans="1:9" x14ac:dyDescent="0.25">
      <c r="A216" t="s">
        <v>2243</v>
      </c>
      <c r="B216" t="s">
        <v>2244</v>
      </c>
      <c r="C216" t="s">
        <v>2246</v>
      </c>
      <c r="D216" t="s">
        <v>15289</v>
      </c>
      <c r="E216" t="s">
        <v>2245</v>
      </c>
      <c r="F216">
        <v>8520</v>
      </c>
      <c r="G216" t="s">
        <v>1531</v>
      </c>
      <c r="H216" t="s">
        <v>15226</v>
      </c>
      <c r="I216">
        <v>23567</v>
      </c>
    </row>
    <row r="217" spans="1:9" x14ac:dyDescent="0.25">
      <c r="A217" t="s">
        <v>2260</v>
      </c>
      <c r="B217" t="s">
        <v>2261</v>
      </c>
      <c r="C217" t="s">
        <v>2263</v>
      </c>
      <c r="D217" t="s">
        <v>15290</v>
      </c>
      <c r="E217" t="s">
        <v>2262</v>
      </c>
      <c r="F217">
        <v>6201</v>
      </c>
      <c r="G217" t="s">
        <v>38</v>
      </c>
      <c r="H217" t="s">
        <v>15220</v>
      </c>
      <c r="I217">
        <v>8936</v>
      </c>
    </row>
    <row r="218" spans="1:9" x14ac:dyDescent="0.25">
      <c r="A218" t="s">
        <v>2285</v>
      </c>
      <c r="B218" t="s">
        <v>2287</v>
      </c>
      <c r="C218" t="s">
        <v>2290</v>
      </c>
      <c r="D218" t="s">
        <v>2290</v>
      </c>
      <c r="E218" t="s">
        <v>2289</v>
      </c>
      <c r="F218">
        <v>8531</v>
      </c>
      <c r="G218" t="s">
        <v>87</v>
      </c>
      <c r="H218" t="s">
        <v>15222</v>
      </c>
      <c r="I218">
        <v>5352</v>
      </c>
    </row>
    <row r="219" spans="1:9" x14ac:dyDescent="0.25">
      <c r="A219" t="s">
        <v>2299</v>
      </c>
      <c r="B219" t="s">
        <v>2300</v>
      </c>
      <c r="C219" t="s">
        <v>2302</v>
      </c>
      <c r="D219" t="s">
        <v>2302</v>
      </c>
      <c r="E219" t="s">
        <v>2301</v>
      </c>
      <c r="F219">
        <v>8609</v>
      </c>
      <c r="G219" t="s">
        <v>521</v>
      </c>
      <c r="H219" t="s">
        <v>15222</v>
      </c>
      <c r="I219">
        <v>35794</v>
      </c>
    </row>
    <row r="220" spans="1:9" x14ac:dyDescent="0.25">
      <c r="A220" t="s">
        <v>2305</v>
      </c>
      <c r="B220" t="s">
        <v>2306</v>
      </c>
      <c r="C220" t="s">
        <v>2308</v>
      </c>
      <c r="D220" t="s">
        <v>15291</v>
      </c>
      <c r="E220" t="s">
        <v>2307</v>
      </c>
      <c r="F220">
        <v>8531</v>
      </c>
      <c r="G220" t="s">
        <v>87</v>
      </c>
      <c r="H220" t="s">
        <v>15222</v>
      </c>
      <c r="I220">
        <v>1864</v>
      </c>
    </row>
    <row r="221" spans="1:9" x14ac:dyDescent="0.25">
      <c r="A221" t="s">
        <v>2310</v>
      </c>
      <c r="B221" t="s">
        <v>2311</v>
      </c>
      <c r="C221" t="s">
        <v>2313</v>
      </c>
      <c r="D221" t="s">
        <v>2313</v>
      </c>
      <c r="E221" t="s">
        <v>2312</v>
      </c>
      <c r="F221">
        <v>8518</v>
      </c>
      <c r="G221" t="s">
        <v>1312</v>
      </c>
      <c r="H221" t="s">
        <v>15226</v>
      </c>
      <c r="I221">
        <v>34778</v>
      </c>
    </row>
    <row r="222" spans="1:9" x14ac:dyDescent="0.25">
      <c r="A222" t="s">
        <v>2316</v>
      </c>
      <c r="B222" t="s">
        <v>2317</v>
      </c>
      <c r="C222" t="s">
        <v>15292</v>
      </c>
      <c r="D222" t="s">
        <v>15292</v>
      </c>
      <c r="E222" t="s">
        <v>2319</v>
      </c>
      <c r="F222">
        <v>8577</v>
      </c>
      <c r="G222" t="s">
        <v>2318</v>
      </c>
      <c r="H222" t="s">
        <v>15293</v>
      </c>
      <c r="I222">
        <v>22870</v>
      </c>
    </row>
    <row r="223" spans="1:9" x14ac:dyDescent="0.25">
      <c r="A223" t="s">
        <v>2338</v>
      </c>
      <c r="B223" t="s">
        <v>2340</v>
      </c>
      <c r="C223" t="s">
        <v>2342</v>
      </c>
      <c r="D223" t="s">
        <v>2342</v>
      </c>
      <c r="E223" t="s">
        <v>15294</v>
      </c>
      <c r="F223">
        <v>8531</v>
      </c>
      <c r="G223" t="s">
        <v>87</v>
      </c>
      <c r="H223" t="s">
        <v>15222</v>
      </c>
      <c r="I223">
        <v>34732</v>
      </c>
    </row>
    <row r="224" spans="1:9" x14ac:dyDescent="0.25">
      <c r="A224" t="s">
        <v>2351</v>
      </c>
      <c r="B224" t="s">
        <v>2352</v>
      </c>
      <c r="C224" t="s">
        <v>2353</v>
      </c>
      <c r="D224" t="s">
        <v>15295</v>
      </c>
      <c r="F224">
        <v>8527</v>
      </c>
      <c r="G224" t="s">
        <v>102</v>
      </c>
      <c r="H224" t="s">
        <v>106</v>
      </c>
      <c r="I224">
        <v>47918</v>
      </c>
    </row>
    <row r="225" spans="1:9" x14ac:dyDescent="0.25">
      <c r="A225" t="s">
        <v>2356</v>
      </c>
      <c r="B225" t="s">
        <v>2357</v>
      </c>
      <c r="C225" t="s">
        <v>2359</v>
      </c>
      <c r="D225" t="s">
        <v>2359</v>
      </c>
      <c r="E225">
        <f>57-3113311016</f>
        <v>-3113310959</v>
      </c>
      <c r="F225">
        <v>8518</v>
      </c>
      <c r="G225" t="s">
        <v>1312</v>
      </c>
      <c r="H225" t="s">
        <v>15226</v>
      </c>
    </row>
    <row r="226" spans="1:9" x14ac:dyDescent="0.25">
      <c r="A226" t="s">
        <v>2362</v>
      </c>
      <c r="B226" t="s">
        <v>2363</v>
      </c>
      <c r="C226" t="s">
        <v>2365</v>
      </c>
      <c r="E226" t="s">
        <v>2364</v>
      </c>
      <c r="F226">
        <v>8533</v>
      </c>
      <c r="G226" t="s">
        <v>300</v>
      </c>
      <c r="H226" t="s">
        <v>72</v>
      </c>
      <c r="I226">
        <v>37963</v>
      </c>
    </row>
    <row r="227" spans="1:9" x14ac:dyDescent="0.25">
      <c r="A227" t="s">
        <v>2368</v>
      </c>
      <c r="B227" t="s">
        <v>2369</v>
      </c>
      <c r="C227" t="s">
        <v>2371</v>
      </c>
      <c r="D227" t="s">
        <v>2371</v>
      </c>
      <c r="E227" t="s">
        <v>2370</v>
      </c>
      <c r="F227">
        <v>8583</v>
      </c>
      <c r="G227" t="s">
        <v>15232</v>
      </c>
      <c r="H227" t="s">
        <v>279</v>
      </c>
      <c r="I227">
        <v>34326</v>
      </c>
    </row>
    <row r="228" spans="1:9" x14ac:dyDescent="0.25">
      <c r="A228" t="s">
        <v>2374</v>
      </c>
      <c r="B228" t="s">
        <v>2375</v>
      </c>
      <c r="C228" t="s">
        <v>2377</v>
      </c>
      <c r="D228" t="s">
        <v>15296</v>
      </c>
      <c r="E228" t="s">
        <v>2376</v>
      </c>
      <c r="F228">
        <v>8575</v>
      </c>
      <c r="G228" t="s">
        <v>1547</v>
      </c>
      <c r="H228" t="s">
        <v>279</v>
      </c>
    </row>
    <row r="229" spans="1:9" x14ac:dyDescent="0.25">
      <c r="A229" t="s">
        <v>2380</v>
      </c>
      <c r="B229" t="s">
        <v>2381</v>
      </c>
      <c r="C229" t="s">
        <v>2386</v>
      </c>
      <c r="E229" t="s">
        <v>2383</v>
      </c>
      <c r="F229">
        <v>8585</v>
      </c>
      <c r="G229" t="s">
        <v>15297</v>
      </c>
      <c r="H229" t="s">
        <v>106</v>
      </c>
      <c r="I229">
        <v>2659</v>
      </c>
    </row>
    <row r="230" spans="1:9" x14ac:dyDescent="0.25">
      <c r="A230" t="s">
        <v>2388</v>
      </c>
      <c r="B230" t="s">
        <v>2390</v>
      </c>
      <c r="C230" t="s">
        <v>2395</v>
      </c>
      <c r="D230" t="s">
        <v>2395</v>
      </c>
      <c r="E230" t="s">
        <v>2392</v>
      </c>
      <c r="F230">
        <v>8586</v>
      </c>
      <c r="G230" t="s">
        <v>2391</v>
      </c>
      <c r="H230" t="s">
        <v>15220</v>
      </c>
    </row>
    <row r="231" spans="1:9" x14ac:dyDescent="0.25">
      <c r="A231" t="s">
        <v>2402</v>
      </c>
      <c r="B231" t="s">
        <v>2403</v>
      </c>
      <c r="C231" t="s">
        <v>2405</v>
      </c>
      <c r="D231" t="s">
        <v>15298</v>
      </c>
      <c r="E231" t="s">
        <v>2404</v>
      </c>
      <c r="F231">
        <v>8585</v>
      </c>
      <c r="G231" t="s">
        <v>15297</v>
      </c>
      <c r="H231" t="s">
        <v>106</v>
      </c>
      <c r="I231">
        <v>10466</v>
      </c>
    </row>
    <row r="232" spans="1:9" x14ac:dyDescent="0.25">
      <c r="A232" t="s">
        <v>2410</v>
      </c>
      <c r="B232" t="s">
        <v>2411</v>
      </c>
      <c r="C232" t="s">
        <v>2413</v>
      </c>
      <c r="D232" t="s">
        <v>2413</v>
      </c>
      <c r="E232" t="s">
        <v>2412</v>
      </c>
      <c r="F232">
        <v>8525</v>
      </c>
      <c r="G232" t="s">
        <v>1581</v>
      </c>
      <c r="H232" t="s">
        <v>15226</v>
      </c>
    </row>
    <row r="233" spans="1:9" x14ac:dyDescent="0.25">
      <c r="A233" t="s">
        <v>2416</v>
      </c>
      <c r="B233" t="s">
        <v>2417</v>
      </c>
      <c r="C233" t="s">
        <v>2419</v>
      </c>
      <c r="D233" t="s">
        <v>2419</v>
      </c>
      <c r="E233" t="s">
        <v>2418</v>
      </c>
      <c r="F233">
        <v>8524</v>
      </c>
      <c r="G233" t="s">
        <v>402</v>
      </c>
      <c r="H233" t="s">
        <v>15226</v>
      </c>
      <c r="I233">
        <v>12383</v>
      </c>
    </row>
    <row r="234" spans="1:9" x14ac:dyDescent="0.25">
      <c r="A234" t="s">
        <v>2422</v>
      </c>
      <c r="B234" t="s">
        <v>2423</v>
      </c>
      <c r="C234" t="s">
        <v>2428</v>
      </c>
      <c r="D234" t="s">
        <v>15299</v>
      </c>
      <c r="E234" t="s">
        <v>2425</v>
      </c>
      <c r="F234">
        <v>8514</v>
      </c>
      <c r="G234" t="s">
        <v>2424</v>
      </c>
      <c r="H234" t="s">
        <v>279</v>
      </c>
      <c r="I234">
        <v>22862</v>
      </c>
    </row>
    <row r="235" spans="1:9" x14ac:dyDescent="0.25">
      <c r="A235" t="s">
        <v>2438</v>
      </c>
      <c r="B235" t="s">
        <v>2439</v>
      </c>
      <c r="C235" t="s">
        <v>2441</v>
      </c>
      <c r="E235" t="s">
        <v>2440</v>
      </c>
      <c r="F235">
        <v>8568</v>
      </c>
      <c r="G235" t="s">
        <v>358</v>
      </c>
      <c r="H235" t="s">
        <v>15220</v>
      </c>
      <c r="I235">
        <v>7562</v>
      </c>
    </row>
    <row r="236" spans="1:9" x14ac:dyDescent="0.25">
      <c r="A236" t="s">
        <v>2451</v>
      </c>
      <c r="B236" t="s">
        <v>2452</v>
      </c>
      <c r="C236" t="s">
        <v>2453</v>
      </c>
      <c r="D236" t="s">
        <v>2453</v>
      </c>
      <c r="F236">
        <v>8583</v>
      </c>
      <c r="G236" t="s">
        <v>277</v>
      </c>
      <c r="H236" t="s">
        <v>279</v>
      </c>
      <c r="I236">
        <v>10834</v>
      </c>
    </row>
    <row r="237" spans="1:9" x14ac:dyDescent="0.25">
      <c r="A237" t="s">
        <v>2456</v>
      </c>
      <c r="B237" t="s">
        <v>2457</v>
      </c>
      <c r="C237" t="s">
        <v>2458</v>
      </c>
      <c r="D237" t="s">
        <v>15300</v>
      </c>
      <c r="F237">
        <v>8583</v>
      </c>
      <c r="G237" t="s">
        <v>277</v>
      </c>
      <c r="H237" t="s">
        <v>279</v>
      </c>
      <c r="I237">
        <v>970</v>
      </c>
    </row>
    <row r="238" spans="1:9" x14ac:dyDescent="0.25">
      <c r="A238" t="s">
        <v>2468</v>
      </c>
      <c r="B238" t="s">
        <v>2469</v>
      </c>
      <c r="C238" t="s">
        <v>2474</v>
      </c>
      <c r="E238" t="s">
        <v>15301</v>
      </c>
      <c r="F238">
        <v>8659</v>
      </c>
      <c r="G238" t="s">
        <v>2470</v>
      </c>
      <c r="H238" t="s">
        <v>137</v>
      </c>
      <c r="I238">
        <v>32960</v>
      </c>
    </row>
    <row r="239" spans="1:9" x14ac:dyDescent="0.25">
      <c r="A239" t="s">
        <v>2478</v>
      </c>
      <c r="B239" t="s">
        <v>2479</v>
      </c>
      <c r="C239" t="s">
        <v>2481</v>
      </c>
      <c r="E239" t="s">
        <v>2480</v>
      </c>
      <c r="F239">
        <v>8520</v>
      </c>
      <c r="G239" t="s">
        <v>1531</v>
      </c>
      <c r="H239" t="s">
        <v>15226</v>
      </c>
    </row>
    <row r="240" spans="1:9" x14ac:dyDescent="0.25">
      <c r="A240" t="s">
        <v>2483</v>
      </c>
      <c r="B240" t="s">
        <v>2267</v>
      </c>
      <c r="C240" t="s">
        <v>2487</v>
      </c>
      <c r="D240" t="s">
        <v>15302</v>
      </c>
      <c r="E240" t="s">
        <v>2486</v>
      </c>
      <c r="F240">
        <v>8523</v>
      </c>
      <c r="G240" t="s">
        <v>1607</v>
      </c>
      <c r="H240" t="s">
        <v>15226</v>
      </c>
      <c r="I240">
        <v>37682</v>
      </c>
    </row>
    <row r="241" spans="1:9" x14ac:dyDescent="0.25">
      <c r="A241" t="s">
        <v>2495</v>
      </c>
      <c r="B241" t="s">
        <v>2496</v>
      </c>
      <c r="C241" t="s">
        <v>2497</v>
      </c>
      <c r="D241" t="s">
        <v>15303</v>
      </c>
      <c r="F241">
        <v>8583</v>
      </c>
      <c r="G241" t="s">
        <v>277</v>
      </c>
      <c r="H241" t="s">
        <v>279</v>
      </c>
      <c r="I241">
        <v>49085</v>
      </c>
    </row>
    <row r="242" spans="1:9" x14ac:dyDescent="0.25">
      <c r="A242" t="s">
        <v>2500</v>
      </c>
      <c r="B242" t="s">
        <v>2501</v>
      </c>
      <c r="C242" t="s">
        <v>2503</v>
      </c>
      <c r="D242" t="s">
        <v>2503</v>
      </c>
      <c r="E242" t="s">
        <v>2502</v>
      </c>
      <c r="F242">
        <v>6201</v>
      </c>
      <c r="G242" t="s">
        <v>38</v>
      </c>
      <c r="H242" t="s">
        <v>15220</v>
      </c>
      <c r="I242">
        <v>41824</v>
      </c>
    </row>
    <row r="243" spans="1:9" x14ac:dyDescent="0.25">
      <c r="A243" t="s">
        <v>2512</v>
      </c>
      <c r="B243" t="s">
        <v>2513</v>
      </c>
      <c r="C243" t="s">
        <v>2515</v>
      </c>
      <c r="D243" t="s">
        <v>2515</v>
      </c>
      <c r="E243" t="s">
        <v>2514</v>
      </c>
      <c r="F243">
        <v>8525</v>
      </c>
      <c r="G243" t="s">
        <v>1581</v>
      </c>
      <c r="H243" t="s">
        <v>15226</v>
      </c>
      <c r="I243">
        <v>43903</v>
      </c>
    </row>
    <row r="244" spans="1:9" x14ac:dyDescent="0.25">
      <c r="A244" t="s">
        <v>2523</v>
      </c>
      <c r="B244" t="s">
        <v>2525</v>
      </c>
      <c r="C244" t="s">
        <v>2527</v>
      </c>
      <c r="D244" t="s">
        <v>15304</v>
      </c>
      <c r="E244" t="s">
        <v>2526</v>
      </c>
      <c r="F244">
        <v>8513</v>
      </c>
      <c r="G244" t="s">
        <v>65</v>
      </c>
      <c r="H244" t="s">
        <v>72</v>
      </c>
      <c r="I244">
        <v>45526</v>
      </c>
    </row>
    <row r="245" spans="1:9" x14ac:dyDescent="0.25">
      <c r="A245" t="s">
        <v>2536</v>
      </c>
      <c r="B245" t="s">
        <v>2538</v>
      </c>
      <c r="C245" t="s">
        <v>2543</v>
      </c>
      <c r="D245" t="s">
        <v>15305</v>
      </c>
      <c r="E245" t="s">
        <v>2540</v>
      </c>
      <c r="F245">
        <v>8593</v>
      </c>
      <c r="G245" t="s">
        <v>2539</v>
      </c>
      <c r="H245" t="s">
        <v>15231</v>
      </c>
      <c r="I245">
        <v>40599</v>
      </c>
    </row>
    <row r="246" spans="1:9" x14ac:dyDescent="0.25">
      <c r="A246" t="s">
        <v>2545</v>
      </c>
      <c r="B246" t="s">
        <v>2546</v>
      </c>
      <c r="C246" t="s">
        <v>2548</v>
      </c>
      <c r="D246" t="s">
        <v>15306</v>
      </c>
      <c r="E246" t="s">
        <v>15307</v>
      </c>
      <c r="F246">
        <v>8654</v>
      </c>
      <c r="G246" t="s">
        <v>1029</v>
      </c>
      <c r="H246" t="s">
        <v>106</v>
      </c>
      <c r="I246">
        <v>48241</v>
      </c>
    </row>
    <row r="247" spans="1:9" x14ac:dyDescent="0.25">
      <c r="A247" t="s">
        <v>2556</v>
      </c>
      <c r="B247" t="s">
        <v>2557</v>
      </c>
      <c r="C247" t="s">
        <v>2559</v>
      </c>
      <c r="D247" t="s">
        <v>2559</v>
      </c>
      <c r="E247" t="s">
        <v>2558</v>
      </c>
      <c r="F247">
        <v>8553</v>
      </c>
      <c r="G247" t="s">
        <v>1554</v>
      </c>
      <c r="H247" t="s">
        <v>15220</v>
      </c>
      <c r="I247">
        <v>6772</v>
      </c>
    </row>
    <row r="248" spans="1:9" x14ac:dyDescent="0.25">
      <c r="A248" t="s">
        <v>2574</v>
      </c>
      <c r="B248" t="s">
        <v>2575</v>
      </c>
      <c r="C248" t="s">
        <v>2577</v>
      </c>
      <c r="D248" t="s">
        <v>2577</v>
      </c>
      <c r="E248" t="s">
        <v>2576</v>
      </c>
      <c r="F248">
        <v>8517</v>
      </c>
      <c r="G248" t="s">
        <v>181</v>
      </c>
      <c r="H248" t="s">
        <v>15226</v>
      </c>
      <c r="I248">
        <v>365</v>
      </c>
    </row>
    <row r="249" spans="1:9" x14ac:dyDescent="0.25">
      <c r="A249" t="s">
        <v>2579</v>
      </c>
      <c r="B249" t="s">
        <v>2580</v>
      </c>
      <c r="C249" t="s">
        <v>2582</v>
      </c>
      <c r="E249" t="s">
        <v>2581</v>
      </c>
      <c r="F249">
        <v>8574</v>
      </c>
      <c r="G249" t="s">
        <v>911</v>
      </c>
      <c r="H249" t="s">
        <v>106</v>
      </c>
      <c r="I249">
        <v>7005</v>
      </c>
    </row>
    <row r="250" spans="1:9" x14ac:dyDescent="0.25">
      <c r="A250" t="s">
        <v>2598</v>
      </c>
      <c r="B250" t="s">
        <v>1580</v>
      </c>
      <c r="C250" t="s">
        <v>2600</v>
      </c>
      <c r="E250" t="s">
        <v>2599</v>
      </c>
      <c r="F250">
        <v>8523</v>
      </c>
      <c r="G250" t="s">
        <v>1607</v>
      </c>
      <c r="H250" t="s">
        <v>15226</v>
      </c>
      <c r="I250">
        <v>39200</v>
      </c>
    </row>
    <row r="251" spans="1:9" x14ac:dyDescent="0.25">
      <c r="A251" t="s">
        <v>2603</v>
      </c>
      <c r="B251" t="s">
        <v>2604</v>
      </c>
      <c r="C251" t="s">
        <v>2606</v>
      </c>
      <c r="E251" t="s">
        <v>2605</v>
      </c>
      <c r="F251">
        <v>8523</v>
      </c>
      <c r="G251" t="s">
        <v>1607</v>
      </c>
      <c r="H251" t="s">
        <v>15226</v>
      </c>
    </row>
    <row r="252" spans="1:9" x14ac:dyDescent="0.25">
      <c r="A252" t="s">
        <v>2609</v>
      </c>
      <c r="B252" t="s">
        <v>2610</v>
      </c>
      <c r="C252" t="s">
        <v>2612</v>
      </c>
      <c r="E252" t="s">
        <v>2611</v>
      </c>
      <c r="F252">
        <v>8524</v>
      </c>
      <c r="G252" t="s">
        <v>402</v>
      </c>
      <c r="H252" t="s">
        <v>15226</v>
      </c>
      <c r="I252">
        <v>38238</v>
      </c>
    </row>
    <row r="253" spans="1:9" x14ac:dyDescent="0.25">
      <c r="A253" t="s">
        <v>2615</v>
      </c>
      <c r="B253" t="s">
        <v>2616</v>
      </c>
      <c r="C253" t="s">
        <v>2621</v>
      </c>
      <c r="E253" t="s">
        <v>2618</v>
      </c>
      <c r="F253">
        <v>8594</v>
      </c>
      <c r="G253" t="s">
        <v>2617</v>
      </c>
      <c r="H253" t="s">
        <v>106</v>
      </c>
    </row>
    <row r="254" spans="1:9" x14ac:dyDescent="0.25">
      <c r="A254" t="s">
        <v>2624</v>
      </c>
      <c r="B254" t="s">
        <v>2625</v>
      </c>
      <c r="C254" t="s">
        <v>2627</v>
      </c>
      <c r="E254" t="s">
        <v>2626</v>
      </c>
      <c r="F254">
        <v>8533</v>
      </c>
      <c r="G254" t="s">
        <v>300</v>
      </c>
      <c r="H254" t="s">
        <v>72</v>
      </c>
      <c r="I254">
        <v>37118</v>
      </c>
    </row>
    <row r="255" spans="1:9" x14ac:dyDescent="0.25">
      <c r="A255" t="s">
        <v>2642</v>
      </c>
      <c r="B255" t="s">
        <v>2643</v>
      </c>
      <c r="E255" t="s">
        <v>2644</v>
      </c>
      <c r="F255">
        <v>6201</v>
      </c>
      <c r="G255" t="s">
        <v>38</v>
      </c>
      <c r="H255" t="s">
        <v>15220</v>
      </c>
    </row>
    <row r="256" spans="1:9" x14ac:dyDescent="0.25">
      <c r="A256" t="s">
        <v>2654</v>
      </c>
      <c r="B256" t="s">
        <v>2656</v>
      </c>
      <c r="C256" t="s">
        <v>2658</v>
      </c>
      <c r="D256" t="s">
        <v>2658</v>
      </c>
      <c r="E256" t="s">
        <v>2657</v>
      </c>
      <c r="F256">
        <v>8544</v>
      </c>
      <c r="G256" t="s">
        <v>116</v>
      </c>
      <c r="H256" t="s">
        <v>15231</v>
      </c>
      <c r="I256">
        <v>45804</v>
      </c>
    </row>
    <row r="257" spans="1:9" x14ac:dyDescent="0.25">
      <c r="A257" t="s">
        <v>2660</v>
      </c>
      <c r="B257" t="s">
        <v>2662</v>
      </c>
      <c r="C257" t="s">
        <v>2664</v>
      </c>
      <c r="E257" t="s">
        <v>2663</v>
      </c>
      <c r="F257">
        <v>8525</v>
      </c>
      <c r="G257" t="s">
        <v>1581</v>
      </c>
      <c r="H257" t="s">
        <v>15226</v>
      </c>
      <c r="I257">
        <v>28078</v>
      </c>
    </row>
    <row r="258" spans="1:9" x14ac:dyDescent="0.25">
      <c r="A258" t="s">
        <v>2666</v>
      </c>
      <c r="B258" t="s">
        <v>2667</v>
      </c>
      <c r="C258" t="s">
        <v>2669</v>
      </c>
      <c r="E258" t="s">
        <v>2668</v>
      </c>
      <c r="F258">
        <v>8518</v>
      </c>
      <c r="G258" t="s">
        <v>881</v>
      </c>
      <c r="H258" t="s">
        <v>15226</v>
      </c>
      <c r="I258">
        <v>54378</v>
      </c>
    </row>
    <row r="259" spans="1:9" x14ac:dyDescent="0.25">
      <c r="A259" t="s">
        <v>2672</v>
      </c>
      <c r="B259" t="s">
        <v>2673</v>
      </c>
      <c r="C259" t="s">
        <v>2675</v>
      </c>
      <c r="E259" t="s">
        <v>2674</v>
      </c>
      <c r="F259">
        <v>6201</v>
      </c>
      <c r="G259" t="s">
        <v>38</v>
      </c>
      <c r="H259" t="s">
        <v>15220</v>
      </c>
      <c r="I259">
        <v>38526</v>
      </c>
    </row>
    <row r="260" spans="1:9" x14ac:dyDescent="0.25">
      <c r="A260" t="s">
        <v>2678</v>
      </c>
      <c r="B260" t="s">
        <v>2679</v>
      </c>
      <c r="C260" t="s">
        <v>2681</v>
      </c>
      <c r="D260" t="s">
        <v>2681</v>
      </c>
      <c r="E260" t="s">
        <v>15308</v>
      </c>
      <c r="F260">
        <v>8559</v>
      </c>
      <c r="G260" t="s">
        <v>265</v>
      </c>
      <c r="H260" t="s">
        <v>106</v>
      </c>
      <c r="I260">
        <v>3954</v>
      </c>
    </row>
    <row r="261" spans="1:9" x14ac:dyDescent="0.25">
      <c r="A261" t="s">
        <v>2686</v>
      </c>
      <c r="B261" t="s">
        <v>2688</v>
      </c>
      <c r="C261" t="s">
        <v>2690</v>
      </c>
      <c r="E261">
        <v>4141745552</v>
      </c>
      <c r="F261">
        <v>8521</v>
      </c>
      <c r="G261" t="s">
        <v>170</v>
      </c>
      <c r="H261" t="s">
        <v>15226</v>
      </c>
    </row>
    <row r="262" spans="1:9" x14ac:dyDescent="0.25">
      <c r="A262" t="s">
        <v>2694</v>
      </c>
      <c r="B262" t="s">
        <v>2695</v>
      </c>
      <c r="C262" t="s">
        <v>2698</v>
      </c>
      <c r="E262" t="s">
        <v>2697</v>
      </c>
      <c r="F262">
        <v>8561</v>
      </c>
      <c r="G262" t="s">
        <v>2696</v>
      </c>
      <c r="H262" t="s">
        <v>15231</v>
      </c>
      <c r="I262">
        <v>40985</v>
      </c>
    </row>
    <row r="263" spans="1:9" x14ac:dyDescent="0.25">
      <c r="A263" t="s">
        <v>2701</v>
      </c>
      <c r="B263" t="s">
        <v>2703</v>
      </c>
      <c r="C263" t="s">
        <v>2705</v>
      </c>
      <c r="D263" t="s">
        <v>2705</v>
      </c>
      <c r="E263" t="s">
        <v>2704</v>
      </c>
      <c r="F263">
        <v>8524</v>
      </c>
      <c r="G263" t="s">
        <v>402</v>
      </c>
      <c r="H263" t="s">
        <v>15226</v>
      </c>
      <c r="I263">
        <v>45650</v>
      </c>
    </row>
    <row r="264" spans="1:9" x14ac:dyDescent="0.25">
      <c r="A264" t="s">
        <v>2710</v>
      </c>
      <c r="B264" t="s">
        <v>2711</v>
      </c>
      <c r="C264" t="s">
        <v>2713</v>
      </c>
      <c r="E264" t="s">
        <v>2712</v>
      </c>
      <c r="F264">
        <v>8575</v>
      </c>
      <c r="G264" t="s">
        <v>2105</v>
      </c>
      <c r="H264" t="s">
        <v>279</v>
      </c>
      <c r="I264">
        <v>7112</v>
      </c>
    </row>
    <row r="265" spans="1:9" x14ac:dyDescent="0.25">
      <c r="A265" t="s">
        <v>2717</v>
      </c>
      <c r="B265" t="s">
        <v>2718</v>
      </c>
      <c r="C265" t="s">
        <v>2720</v>
      </c>
      <c r="E265" t="s">
        <v>2719</v>
      </c>
      <c r="F265">
        <v>8526</v>
      </c>
      <c r="G265" t="s">
        <v>15287</v>
      </c>
      <c r="H265" t="s">
        <v>106</v>
      </c>
      <c r="I265">
        <v>12862</v>
      </c>
    </row>
    <row r="266" spans="1:9" x14ac:dyDescent="0.25">
      <c r="A266" t="s">
        <v>2725</v>
      </c>
      <c r="B266" t="s">
        <v>2727</v>
      </c>
      <c r="C266" t="s">
        <v>2729</v>
      </c>
      <c r="D266" t="s">
        <v>2729</v>
      </c>
      <c r="E266" t="s">
        <v>2728</v>
      </c>
      <c r="F266">
        <v>8523</v>
      </c>
      <c r="G266" t="s">
        <v>1607</v>
      </c>
      <c r="H266" t="s">
        <v>15226</v>
      </c>
      <c r="I266">
        <v>42357</v>
      </c>
    </row>
    <row r="267" spans="1:9" x14ac:dyDescent="0.25">
      <c r="A267" t="s">
        <v>2732</v>
      </c>
      <c r="B267" t="s">
        <v>2733</v>
      </c>
      <c r="C267" t="s">
        <v>2735</v>
      </c>
      <c r="D267" t="s">
        <v>2735</v>
      </c>
      <c r="E267" t="s">
        <v>2734</v>
      </c>
      <c r="F267">
        <v>8534</v>
      </c>
      <c r="G267" t="s">
        <v>443</v>
      </c>
      <c r="H267" t="s">
        <v>72</v>
      </c>
      <c r="I267">
        <v>4608</v>
      </c>
    </row>
    <row r="268" spans="1:9" x14ac:dyDescent="0.25">
      <c r="A268" t="s">
        <v>2742</v>
      </c>
      <c r="B268" t="s">
        <v>2744</v>
      </c>
      <c r="C268" t="s">
        <v>2746</v>
      </c>
      <c r="D268" t="s">
        <v>2746</v>
      </c>
      <c r="E268" t="s">
        <v>2745</v>
      </c>
      <c r="F268">
        <v>8559</v>
      </c>
      <c r="G268" t="s">
        <v>265</v>
      </c>
      <c r="H268" t="s">
        <v>106</v>
      </c>
      <c r="I268">
        <v>33264</v>
      </c>
    </row>
    <row r="269" spans="1:9" x14ac:dyDescent="0.25">
      <c r="A269" t="s">
        <v>2751</v>
      </c>
      <c r="B269" t="s">
        <v>2753</v>
      </c>
      <c r="C269" t="s">
        <v>2756</v>
      </c>
      <c r="D269" t="s">
        <v>2756</v>
      </c>
      <c r="E269" t="s">
        <v>2755</v>
      </c>
      <c r="F269">
        <v>8513</v>
      </c>
      <c r="G269" t="s">
        <v>65</v>
      </c>
      <c r="H269" t="s">
        <v>72</v>
      </c>
      <c r="I269">
        <v>45394</v>
      </c>
    </row>
    <row r="270" spans="1:9" x14ac:dyDescent="0.25">
      <c r="A270" t="s">
        <v>2758</v>
      </c>
      <c r="B270" t="s">
        <v>2759</v>
      </c>
      <c r="C270" t="s">
        <v>2761</v>
      </c>
      <c r="D270" t="s">
        <v>2761</v>
      </c>
      <c r="E270" t="s">
        <v>2760</v>
      </c>
      <c r="F270">
        <v>8596</v>
      </c>
      <c r="G270" t="s">
        <v>1425</v>
      </c>
      <c r="H270" t="s">
        <v>85</v>
      </c>
      <c r="I270">
        <v>22446</v>
      </c>
    </row>
    <row r="271" spans="1:9" x14ac:dyDescent="0.25">
      <c r="A271" t="s">
        <v>2773</v>
      </c>
      <c r="B271" t="s">
        <v>2774</v>
      </c>
      <c r="C271" t="s">
        <v>2776</v>
      </c>
      <c r="E271" t="s">
        <v>2775</v>
      </c>
      <c r="F271">
        <v>8526</v>
      </c>
      <c r="G271" t="s">
        <v>15287</v>
      </c>
      <c r="H271" t="s">
        <v>106</v>
      </c>
      <c r="I271">
        <v>33792</v>
      </c>
    </row>
    <row r="272" spans="1:9" x14ac:dyDescent="0.25">
      <c r="A272" t="s">
        <v>2788</v>
      </c>
      <c r="B272" t="s">
        <v>2789</v>
      </c>
      <c r="C272" t="s">
        <v>2791</v>
      </c>
      <c r="D272" t="s">
        <v>15309</v>
      </c>
      <c r="E272" t="s">
        <v>2790</v>
      </c>
      <c r="F272">
        <v>8534</v>
      </c>
      <c r="G272" t="s">
        <v>443</v>
      </c>
      <c r="H272" t="s">
        <v>72</v>
      </c>
      <c r="I272">
        <v>18870</v>
      </c>
    </row>
    <row r="273" spans="1:9" x14ac:dyDescent="0.25">
      <c r="A273" t="s">
        <v>2797</v>
      </c>
      <c r="B273" t="s">
        <v>2798</v>
      </c>
      <c r="C273" t="s">
        <v>2800</v>
      </c>
      <c r="E273" t="s">
        <v>2799</v>
      </c>
      <c r="F273">
        <v>8533</v>
      </c>
      <c r="G273" t="s">
        <v>300</v>
      </c>
      <c r="H273" t="s">
        <v>72</v>
      </c>
      <c r="I273">
        <v>42464</v>
      </c>
    </row>
    <row r="274" spans="1:9" x14ac:dyDescent="0.25">
      <c r="A274" t="s">
        <v>2803</v>
      </c>
      <c r="B274" t="s">
        <v>2804</v>
      </c>
      <c r="C274" t="s">
        <v>2807</v>
      </c>
      <c r="D274" t="s">
        <v>15310</v>
      </c>
      <c r="F274">
        <v>8614</v>
      </c>
      <c r="G274" t="s">
        <v>2805</v>
      </c>
      <c r="H274" t="s">
        <v>15220</v>
      </c>
      <c r="I274">
        <v>7252</v>
      </c>
    </row>
    <row r="275" spans="1:9" x14ac:dyDescent="0.25">
      <c r="A275" t="s">
        <v>2810</v>
      </c>
      <c r="B275" t="s">
        <v>2811</v>
      </c>
      <c r="C275" t="s">
        <v>2813</v>
      </c>
      <c r="D275" t="s">
        <v>15311</v>
      </c>
      <c r="E275" t="s">
        <v>15312</v>
      </c>
      <c r="F275">
        <v>6201</v>
      </c>
      <c r="G275" t="s">
        <v>41</v>
      </c>
      <c r="H275" t="s">
        <v>15220</v>
      </c>
      <c r="I275">
        <v>36253</v>
      </c>
    </row>
    <row r="276" spans="1:9" x14ac:dyDescent="0.25">
      <c r="A276" t="s">
        <v>2823</v>
      </c>
      <c r="B276" t="s">
        <v>2824</v>
      </c>
      <c r="C276" t="s">
        <v>2826</v>
      </c>
      <c r="E276" t="s">
        <v>2825</v>
      </c>
      <c r="F276">
        <v>8561</v>
      </c>
      <c r="G276" t="s">
        <v>2696</v>
      </c>
      <c r="H276" t="s">
        <v>15231</v>
      </c>
      <c r="I276">
        <v>20353</v>
      </c>
    </row>
    <row r="277" spans="1:9" x14ac:dyDescent="0.25">
      <c r="A277" t="s">
        <v>2835</v>
      </c>
      <c r="B277" t="s">
        <v>2836</v>
      </c>
      <c r="C277" t="s">
        <v>2839</v>
      </c>
      <c r="E277" t="s">
        <v>2838</v>
      </c>
      <c r="F277">
        <v>8538</v>
      </c>
      <c r="G277" t="s">
        <v>2837</v>
      </c>
      <c r="H277" t="s">
        <v>72</v>
      </c>
      <c r="I277">
        <v>33401</v>
      </c>
    </row>
    <row r="278" spans="1:9" x14ac:dyDescent="0.25">
      <c r="A278" t="s">
        <v>2842</v>
      </c>
      <c r="B278" t="s">
        <v>2843</v>
      </c>
      <c r="C278" t="s">
        <v>2847</v>
      </c>
      <c r="D278" t="s">
        <v>15313</v>
      </c>
      <c r="E278" t="s">
        <v>2845</v>
      </c>
      <c r="F278">
        <v>8603</v>
      </c>
      <c r="G278" t="s">
        <v>2844</v>
      </c>
      <c r="H278" t="s">
        <v>137</v>
      </c>
      <c r="I278">
        <v>2127</v>
      </c>
    </row>
    <row r="279" spans="1:9" x14ac:dyDescent="0.25">
      <c r="A279" t="s">
        <v>2854</v>
      </c>
      <c r="B279" t="s">
        <v>2267</v>
      </c>
      <c r="C279" t="s">
        <v>2856</v>
      </c>
      <c r="D279" t="s">
        <v>15314</v>
      </c>
      <c r="E279" t="s">
        <v>2855</v>
      </c>
      <c r="F279">
        <v>8523</v>
      </c>
      <c r="G279" t="s">
        <v>1607</v>
      </c>
      <c r="H279" t="s">
        <v>15226</v>
      </c>
      <c r="I279">
        <v>37887</v>
      </c>
    </row>
    <row r="280" spans="1:9" x14ac:dyDescent="0.25">
      <c r="A280" t="s">
        <v>2869</v>
      </c>
      <c r="B280" t="s">
        <v>2871</v>
      </c>
      <c r="C280" t="s">
        <v>2873</v>
      </c>
      <c r="D280" t="s">
        <v>2873</v>
      </c>
      <c r="E280" t="s">
        <v>2872</v>
      </c>
      <c r="F280">
        <v>8524</v>
      </c>
      <c r="G280" t="s">
        <v>402</v>
      </c>
      <c r="H280" t="s">
        <v>15226</v>
      </c>
      <c r="I280">
        <v>45364</v>
      </c>
    </row>
    <row r="281" spans="1:9" x14ac:dyDescent="0.25">
      <c r="A281" t="s">
        <v>2895</v>
      </c>
      <c r="B281" t="s">
        <v>2897</v>
      </c>
      <c r="E281" t="s">
        <v>2898</v>
      </c>
      <c r="F281">
        <v>8518</v>
      </c>
      <c r="G281" t="s">
        <v>1312</v>
      </c>
      <c r="H281" t="s">
        <v>15226</v>
      </c>
    </row>
    <row r="282" spans="1:9" x14ac:dyDescent="0.25">
      <c r="A282" t="s">
        <v>2906</v>
      </c>
      <c r="B282" t="s">
        <v>1684</v>
      </c>
      <c r="C282" t="s">
        <v>2908</v>
      </c>
      <c r="E282" t="s">
        <v>2907</v>
      </c>
      <c r="F282">
        <v>8585</v>
      </c>
      <c r="G282" t="s">
        <v>15297</v>
      </c>
      <c r="H282" t="s">
        <v>106</v>
      </c>
    </row>
    <row r="283" spans="1:9" x14ac:dyDescent="0.25">
      <c r="A283" t="s">
        <v>2913</v>
      </c>
      <c r="B283" t="s">
        <v>2914</v>
      </c>
      <c r="C283" t="s">
        <v>2916</v>
      </c>
      <c r="E283" t="s">
        <v>2915</v>
      </c>
      <c r="F283">
        <v>8523</v>
      </c>
      <c r="G283" t="s">
        <v>1607</v>
      </c>
      <c r="H283" t="s">
        <v>15226</v>
      </c>
      <c r="I283">
        <v>46207</v>
      </c>
    </row>
    <row r="284" spans="1:9" x14ac:dyDescent="0.25">
      <c r="A284" t="s">
        <v>2930</v>
      </c>
      <c r="B284" t="s">
        <v>2862</v>
      </c>
      <c r="C284" t="s">
        <v>2932</v>
      </c>
      <c r="D284" t="s">
        <v>15315</v>
      </c>
      <c r="E284" t="s">
        <v>2931</v>
      </c>
      <c r="F284">
        <v>6201</v>
      </c>
      <c r="G284" t="s">
        <v>38</v>
      </c>
      <c r="H284" t="s">
        <v>15220</v>
      </c>
      <c r="I284">
        <v>41027</v>
      </c>
    </row>
    <row r="285" spans="1:9" x14ac:dyDescent="0.25">
      <c r="A285" t="s">
        <v>2935</v>
      </c>
      <c r="B285" t="s">
        <v>2936</v>
      </c>
      <c r="C285" t="s">
        <v>2938</v>
      </c>
      <c r="E285" t="s">
        <v>2937</v>
      </c>
      <c r="F285">
        <v>8558</v>
      </c>
      <c r="G285" t="s">
        <v>2647</v>
      </c>
      <c r="H285" t="s">
        <v>1215</v>
      </c>
      <c r="I285">
        <v>11477</v>
      </c>
    </row>
    <row r="286" spans="1:9" x14ac:dyDescent="0.25">
      <c r="A286" t="s">
        <v>2943</v>
      </c>
      <c r="B286" t="s">
        <v>2944</v>
      </c>
      <c r="C286" t="s">
        <v>2946</v>
      </c>
      <c r="E286" t="s">
        <v>15316</v>
      </c>
      <c r="F286">
        <v>8558</v>
      </c>
      <c r="G286" t="s">
        <v>2647</v>
      </c>
      <c r="H286" t="s">
        <v>1215</v>
      </c>
      <c r="I286">
        <v>40526</v>
      </c>
    </row>
    <row r="287" spans="1:9" x14ac:dyDescent="0.25">
      <c r="A287" t="s">
        <v>2949</v>
      </c>
      <c r="B287" t="s">
        <v>2950</v>
      </c>
      <c r="C287" t="s">
        <v>2953</v>
      </c>
      <c r="E287" t="s">
        <v>2952</v>
      </c>
      <c r="F287">
        <v>8557</v>
      </c>
      <c r="G287" t="s">
        <v>2951</v>
      </c>
      <c r="H287" t="s">
        <v>15231</v>
      </c>
      <c r="I287">
        <v>1405</v>
      </c>
    </row>
    <row r="288" spans="1:9" x14ac:dyDescent="0.25">
      <c r="A288" t="s">
        <v>2961</v>
      </c>
      <c r="B288" t="s">
        <v>2962</v>
      </c>
      <c r="C288" t="s">
        <v>2964</v>
      </c>
      <c r="E288" t="s">
        <v>15317</v>
      </c>
      <c r="F288">
        <v>8558</v>
      </c>
      <c r="G288" t="s">
        <v>2647</v>
      </c>
      <c r="H288" t="s">
        <v>1215</v>
      </c>
      <c r="I288">
        <v>34848</v>
      </c>
    </row>
    <row r="289" spans="1:9" x14ac:dyDescent="0.25">
      <c r="A289" t="s">
        <v>2967</v>
      </c>
      <c r="B289" t="s">
        <v>2968</v>
      </c>
      <c r="C289" t="s">
        <v>2971</v>
      </c>
      <c r="E289" t="s">
        <v>2970</v>
      </c>
      <c r="F289">
        <v>8603</v>
      </c>
      <c r="G289" t="s">
        <v>2969</v>
      </c>
      <c r="H289" t="s">
        <v>137</v>
      </c>
      <c r="I289">
        <v>39297</v>
      </c>
    </row>
    <row r="290" spans="1:9" x14ac:dyDescent="0.25">
      <c r="A290" t="s">
        <v>2974</v>
      </c>
      <c r="B290" t="s">
        <v>2975</v>
      </c>
      <c r="E290" t="s">
        <v>2976</v>
      </c>
      <c r="F290">
        <v>8518</v>
      </c>
      <c r="G290" t="s">
        <v>1312</v>
      </c>
      <c r="H290" t="s">
        <v>15226</v>
      </c>
    </row>
    <row r="291" spans="1:9" x14ac:dyDescent="0.25">
      <c r="A291" t="s">
        <v>2986</v>
      </c>
      <c r="B291" t="s">
        <v>2987</v>
      </c>
      <c r="C291" t="s">
        <v>2988</v>
      </c>
      <c r="F291">
        <v>8518</v>
      </c>
      <c r="G291" t="s">
        <v>1312</v>
      </c>
      <c r="H291" t="s">
        <v>15226</v>
      </c>
    </row>
    <row r="292" spans="1:9" x14ac:dyDescent="0.25">
      <c r="A292" t="s">
        <v>2991</v>
      </c>
      <c r="B292" t="s">
        <v>2992</v>
      </c>
      <c r="C292" t="s">
        <v>2994</v>
      </c>
      <c r="D292" t="s">
        <v>15318</v>
      </c>
      <c r="E292" t="s">
        <v>2993</v>
      </c>
      <c r="F292">
        <v>8534</v>
      </c>
      <c r="G292" t="s">
        <v>443</v>
      </c>
      <c r="H292" t="s">
        <v>72</v>
      </c>
      <c r="I292">
        <v>25117</v>
      </c>
    </row>
    <row r="293" spans="1:9" x14ac:dyDescent="0.25">
      <c r="A293" t="s">
        <v>2997</v>
      </c>
      <c r="B293" t="s">
        <v>2998</v>
      </c>
      <c r="C293" t="s">
        <v>3000</v>
      </c>
      <c r="E293" t="s">
        <v>2999</v>
      </c>
      <c r="F293">
        <v>8533</v>
      </c>
      <c r="G293" t="s">
        <v>300</v>
      </c>
      <c r="H293" t="s">
        <v>72</v>
      </c>
      <c r="I293">
        <v>45939</v>
      </c>
    </row>
    <row r="294" spans="1:9" x14ac:dyDescent="0.25">
      <c r="A294" t="s">
        <v>3006</v>
      </c>
      <c r="B294" t="s">
        <v>3007</v>
      </c>
      <c r="C294" t="s">
        <v>3009</v>
      </c>
      <c r="E294" t="s">
        <v>3008</v>
      </c>
      <c r="F294">
        <v>8551</v>
      </c>
      <c r="G294" t="s">
        <v>366</v>
      </c>
      <c r="H294" t="s">
        <v>15233</v>
      </c>
      <c r="I294">
        <v>44328</v>
      </c>
    </row>
    <row r="295" spans="1:9" x14ac:dyDescent="0.25">
      <c r="A295" t="s">
        <v>3017</v>
      </c>
      <c r="B295" t="s">
        <v>3018</v>
      </c>
      <c r="C295" t="s">
        <v>3020</v>
      </c>
      <c r="E295" t="s">
        <v>3019</v>
      </c>
      <c r="F295">
        <v>8515</v>
      </c>
      <c r="G295" t="s">
        <v>252</v>
      </c>
      <c r="H295" t="s">
        <v>15249</v>
      </c>
      <c r="I295">
        <v>31685</v>
      </c>
    </row>
    <row r="296" spans="1:9" x14ac:dyDescent="0.25">
      <c r="A296" t="s">
        <v>3034</v>
      </c>
      <c r="B296" t="s">
        <v>3035</v>
      </c>
      <c r="C296" t="s">
        <v>3037</v>
      </c>
      <c r="E296" t="s">
        <v>3036</v>
      </c>
      <c r="F296">
        <v>8533</v>
      </c>
      <c r="G296" t="s">
        <v>300</v>
      </c>
      <c r="H296" t="s">
        <v>72</v>
      </c>
      <c r="I296">
        <v>37138</v>
      </c>
    </row>
    <row r="297" spans="1:9" x14ac:dyDescent="0.25">
      <c r="A297" t="s">
        <v>3042</v>
      </c>
      <c r="B297" t="s">
        <v>3044</v>
      </c>
      <c r="C297" t="s">
        <v>3046</v>
      </c>
      <c r="D297" t="s">
        <v>3046</v>
      </c>
      <c r="E297" t="s">
        <v>3045</v>
      </c>
      <c r="F297">
        <v>8545</v>
      </c>
      <c r="G297" t="s">
        <v>324</v>
      </c>
      <c r="H297" t="s">
        <v>15231</v>
      </c>
      <c r="I297">
        <v>45819</v>
      </c>
    </row>
    <row r="298" spans="1:9" x14ac:dyDescent="0.25">
      <c r="A298" t="s">
        <v>3049</v>
      </c>
      <c r="B298" t="s">
        <v>3050</v>
      </c>
      <c r="C298" t="s">
        <v>3052</v>
      </c>
      <c r="E298" t="s">
        <v>3051</v>
      </c>
      <c r="F298">
        <v>8518</v>
      </c>
      <c r="G298" t="s">
        <v>1312</v>
      </c>
      <c r="H298" t="s">
        <v>15226</v>
      </c>
    </row>
    <row r="299" spans="1:9" x14ac:dyDescent="0.25">
      <c r="A299" t="s">
        <v>3055</v>
      </c>
      <c r="B299" t="s">
        <v>3056</v>
      </c>
      <c r="C299" t="s">
        <v>3058</v>
      </c>
      <c r="E299" t="s">
        <v>3057</v>
      </c>
      <c r="F299">
        <v>8539</v>
      </c>
      <c r="G299" t="s">
        <v>1095</v>
      </c>
      <c r="H299" t="s">
        <v>72</v>
      </c>
      <c r="I299">
        <v>48306</v>
      </c>
    </row>
    <row r="300" spans="1:9" x14ac:dyDescent="0.25">
      <c r="A300" t="s">
        <v>3062</v>
      </c>
      <c r="B300" t="s">
        <v>3063</v>
      </c>
      <c r="C300" t="s">
        <v>3065</v>
      </c>
      <c r="D300" t="s">
        <v>3065</v>
      </c>
      <c r="E300" t="s">
        <v>3064</v>
      </c>
      <c r="F300">
        <v>8575</v>
      </c>
      <c r="G300" t="s">
        <v>2105</v>
      </c>
      <c r="H300" t="s">
        <v>279</v>
      </c>
      <c r="I300">
        <v>16741</v>
      </c>
    </row>
    <row r="301" spans="1:9" x14ac:dyDescent="0.25">
      <c r="A301" t="s">
        <v>3068</v>
      </c>
      <c r="B301" t="s">
        <v>3070</v>
      </c>
      <c r="C301" t="s">
        <v>3075</v>
      </c>
      <c r="D301" t="s">
        <v>3075</v>
      </c>
      <c r="E301" t="s">
        <v>3072</v>
      </c>
      <c r="F301">
        <v>8511</v>
      </c>
      <c r="G301" t="s">
        <v>3071</v>
      </c>
      <c r="H301" t="s">
        <v>106</v>
      </c>
      <c r="I301">
        <v>1950</v>
      </c>
    </row>
    <row r="302" spans="1:9" x14ac:dyDescent="0.25">
      <c r="A302" t="s">
        <v>3078</v>
      </c>
      <c r="B302" t="s">
        <v>3079</v>
      </c>
      <c r="C302" t="s">
        <v>3081</v>
      </c>
      <c r="D302" t="s">
        <v>15319</v>
      </c>
      <c r="E302" t="s">
        <v>3080</v>
      </c>
      <c r="F302">
        <v>8534</v>
      </c>
      <c r="G302" t="s">
        <v>446</v>
      </c>
      <c r="H302" t="s">
        <v>72</v>
      </c>
      <c r="I302">
        <v>6900</v>
      </c>
    </row>
    <row r="303" spans="1:9" x14ac:dyDescent="0.25">
      <c r="A303" t="s">
        <v>3083</v>
      </c>
      <c r="B303" t="s">
        <v>3084</v>
      </c>
      <c r="C303" t="s">
        <v>3085</v>
      </c>
      <c r="D303" t="s">
        <v>15320</v>
      </c>
      <c r="E303" t="s">
        <v>2734</v>
      </c>
      <c r="F303">
        <v>8535</v>
      </c>
      <c r="G303" t="s">
        <v>650</v>
      </c>
      <c r="H303" t="s">
        <v>72</v>
      </c>
      <c r="I303">
        <v>41008</v>
      </c>
    </row>
    <row r="304" spans="1:9" x14ac:dyDescent="0.25">
      <c r="A304" t="s">
        <v>3088</v>
      </c>
      <c r="B304" t="s">
        <v>3089</v>
      </c>
      <c r="C304" t="s">
        <v>3091</v>
      </c>
      <c r="E304" t="s">
        <v>3090</v>
      </c>
      <c r="F304">
        <v>6201</v>
      </c>
      <c r="G304" t="s">
        <v>41</v>
      </c>
      <c r="H304" t="s">
        <v>15220</v>
      </c>
      <c r="I304">
        <v>49976</v>
      </c>
    </row>
    <row r="305" spans="1:9" x14ac:dyDescent="0.25">
      <c r="A305" t="s">
        <v>3096</v>
      </c>
      <c r="B305" t="s">
        <v>3097</v>
      </c>
      <c r="C305" t="s">
        <v>3099</v>
      </c>
      <c r="D305" t="s">
        <v>15321</v>
      </c>
      <c r="E305" t="s">
        <v>3098</v>
      </c>
      <c r="F305">
        <v>8534</v>
      </c>
      <c r="G305" t="s">
        <v>443</v>
      </c>
      <c r="H305" t="s">
        <v>72</v>
      </c>
      <c r="I305">
        <v>27015</v>
      </c>
    </row>
    <row r="306" spans="1:9" x14ac:dyDescent="0.25">
      <c r="A306" t="s">
        <v>3111</v>
      </c>
      <c r="B306" t="s">
        <v>3112</v>
      </c>
      <c r="C306" t="s">
        <v>3114</v>
      </c>
      <c r="E306">
        <f>57-3212217378</f>
        <v>-3212217321</v>
      </c>
      <c r="F306">
        <v>8518</v>
      </c>
      <c r="G306" t="s">
        <v>1312</v>
      </c>
      <c r="H306" t="s">
        <v>15226</v>
      </c>
    </row>
    <row r="307" spans="1:9" x14ac:dyDescent="0.25">
      <c r="A307" t="s">
        <v>3117</v>
      </c>
      <c r="B307" t="s">
        <v>3118</v>
      </c>
      <c r="C307" t="s">
        <v>3123</v>
      </c>
      <c r="E307" t="s">
        <v>15322</v>
      </c>
      <c r="F307">
        <v>8604</v>
      </c>
      <c r="G307" t="s">
        <v>3119</v>
      </c>
      <c r="H307" t="s">
        <v>1215</v>
      </c>
      <c r="I307">
        <v>42052</v>
      </c>
    </row>
    <row r="308" spans="1:9" x14ac:dyDescent="0.25">
      <c r="A308" t="s">
        <v>3132</v>
      </c>
      <c r="B308" t="s">
        <v>3133</v>
      </c>
      <c r="C308" t="s">
        <v>3135</v>
      </c>
      <c r="E308">
        <f>57-321-6715084</f>
        <v>-6715348</v>
      </c>
      <c r="F308">
        <v>8518</v>
      </c>
      <c r="G308" t="s">
        <v>1312</v>
      </c>
      <c r="H308" t="s">
        <v>15226</v>
      </c>
    </row>
    <row r="309" spans="1:9" x14ac:dyDescent="0.25">
      <c r="A309" t="s">
        <v>3140</v>
      </c>
      <c r="B309" t="s">
        <v>3141</v>
      </c>
      <c r="C309" t="s">
        <v>3143</v>
      </c>
      <c r="E309">
        <v>4162645709</v>
      </c>
      <c r="F309">
        <v>8518</v>
      </c>
      <c r="G309" t="s">
        <v>1312</v>
      </c>
      <c r="H309" t="s">
        <v>15226</v>
      </c>
    </row>
    <row r="310" spans="1:9" x14ac:dyDescent="0.25">
      <c r="A310" t="s">
        <v>3146</v>
      </c>
      <c r="B310" t="s">
        <v>2267</v>
      </c>
      <c r="C310" t="s">
        <v>3148</v>
      </c>
      <c r="D310" t="s">
        <v>15323</v>
      </c>
      <c r="E310" t="s">
        <v>3147</v>
      </c>
      <c r="F310">
        <v>8523</v>
      </c>
      <c r="G310" t="s">
        <v>1607</v>
      </c>
      <c r="H310" t="s">
        <v>15226</v>
      </c>
      <c r="I310">
        <v>39149</v>
      </c>
    </row>
    <row r="311" spans="1:9" x14ac:dyDescent="0.25">
      <c r="A311" t="s">
        <v>3151</v>
      </c>
      <c r="B311" t="s">
        <v>3152</v>
      </c>
      <c r="C311" t="s">
        <v>3153</v>
      </c>
      <c r="F311">
        <v>8517</v>
      </c>
      <c r="G311" t="s">
        <v>181</v>
      </c>
      <c r="H311" t="s">
        <v>15226</v>
      </c>
      <c r="I311">
        <v>45845</v>
      </c>
    </row>
    <row r="312" spans="1:9" x14ac:dyDescent="0.25">
      <c r="A312" t="s">
        <v>3156</v>
      </c>
      <c r="B312" t="s">
        <v>658</v>
      </c>
      <c r="C312" t="s">
        <v>3158</v>
      </c>
      <c r="E312" t="s">
        <v>3157</v>
      </c>
      <c r="F312">
        <v>8533</v>
      </c>
      <c r="G312" t="s">
        <v>300</v>
      </c>
      <c r="H312" t="s">
        <v>72</v>
      </c>
      <c r="I312">
        <v>44308</v>
      </c>
    </row>
    <row r="313" spans="1:9" x14ac:dyDescent="0.25">
      <c r="A313" t="s">
        <v>3163</v>
      </c>
      <c r="B313" t="s">
        <v>3164</v>
      </c>
      <c r="C313" t="s">
        <v>3166</v>
      </c>
      <c r="E313" t="s">
        <v>3165</v>
      </c>
      <c r="F313">
        <v>8537</v>
      </c>
      <c r="G313" t="s">
        <v>902</v>
      </c>
      <c r="H313" t="s">
        <v>72</v>
      </c>
      <c r="I313">
        <v>23692</v>
      </c>
    </row>
    <row r="314" spans="1:9" x14ac:dyDescent="0.25">
      <c r="A314" t="s">
        <v>3169</v>
      </c>
      <c r="B314" t="s">
        <v>3170</v>
      </c>
      <c r="C314" t="s">
        <v>3172</v>
      </c>
      <c r="E314" t="s">
        <v>3171</v>
      </c>
      <c r="F314">
        <v>8544</v>
      </c>
      <c r="G314" t="s">
        <v>116</v>
      </c>
      <c r="H314" t="s">
        <v>15231</v>
      </c>
      <c r="I314">
        <v>45803</v>
      </c>
    </row>
    <row r="315" spans="1:9" x14ac:dyDescent="0.25">
      <c r="A315" t="s">
        <v>3185</v>
      </c>
      <c r="B315" t="s">
        <v>3186</v>
      </c>
      <c r="C315" t="s">
        <v>3188</v>
      </c>
      <c r="D315" t="s">
        <v>15324</v>
      </c>
      <c r="E315" t="s">
        <v>3187</v>
      </c>
      <c r="F315">
        <v>8543</v>
      </c>
      <c r="G315" t="s">
        <v>2508</v>
      </c>
      <c r="H315" t="s">
        <v>72</v>
      </c>
      <c r="I315">
        <v>43207</v>
      </c>
    </row>
    <row r="316" spans="1:9" x14ac:dyDescent="0.25">
      <c r="A316" t="s">
        <v>3191</v>
      </c>
      <c r="B316" t="s">
        <v>3193</v>
      </c>
      <c r="C316" t="s">
        <v>3196</v>
      </c>
      <c r="E316" t="s">
        <v>3195</v>
      </c>
      <c r="F316">
        <v>8566</v>
      </c>
      <c r="G316" t="s">
        <v>2831</v>
      </c>
      <c r="H316" t="s">
        <v>85</v>
      </c>
      <c r="I316">
        <v>37037</v>
      </c>
    </row>
    <row r="317" spans="1:9" x14ac:dyDescent="0.25">
      <c r="A317" t="s">
        <v>3204</v>
      </c>
      <c r="B317" t="s">
        <v>1244</v>
      </c>
      <c r="C317" t="s">
        <v>15325</v>
      </c>
      <c r="D317" t="s">
        <v>15326</v>
      </c>
      <c r="F317">
        <v>8540</v>
      </c>
      <c r="G317" t="s">
        <v>15268</v>
      </c>
      <c r="H317" t="s">
        <v>72</v>
      </c>
      <c r="I317">
        <v>46556</v>
      </c>
    </row>
    <row r="318" spans="1:9" x14ac:dyDescent="0.25">
      <c r="A318" t="s">
        <v>3209</v>
      </c>
      <c r="B318" t="s">
        <v>3210</v>
      </c>
      <c r="C318" t="s">
        <v>3212</v>
      </c>
      <c r="E318" t="s">
        <v>3211</v>
      </c>
      <c r="F318">
        <v>8524</v>
      </c>
      <c r="G318" t="s">
        <v>402</v>
      </c>
      <c r="H318" t="s">
        <v>15226</v>
      </c>
      <c r="I318">
        <v>40321</v>
      </c>
    </row>
    <row r="319" spans="1:9" x14ac:dyDescent="0.25">
      <c r="A319" t="s">
        <v>3214</v>
      </c>
      <c r="B319" t="s">
        <v>3215</v>
      </c>
      <c r="C319" t="s">
        <v>3216</v>
      </c>
      <c r="F319">
        <v>8517</v>
      </c>
      <c r="G319" t="s">
        <v>184</v>
      </c>
      <c r="H319" t="s">
        <v>15226</v>
      </c>
      <c r="I319">
        <v>52612</v>
      </c>
    </row>
    <row r="320" spans="1:9" x14ac:dyDescent="0.25">
      <c r="A320" t="s">
        <v>3219</v>
      </c>
      <c r="B320" t="s">
        <v>3220</v>
      </c>
      <c r="C320" t="s">
        <v>3223</v>
      </c>
      <c r="E320" t="s">
        <v>3222</v>
      </c>
      <c r="F320">
        <v>8566</v>
      </c>
      <c r="G320" t="s">
        <v>2831</v>
      </c>
      <c r="H320" t="s">
        <v>85</v>
      </c>
      <c r="I320">
        <v>1586</v>
      </c>
    </row>
    <row r="321" spans="1:9" x14ac:dyDescent="0.25">
      <c r="A321" t="s">
        <v>3227</v>
      </c>
      <c r="B321" t="s">
        <v>3229</v>
      </c>
      <c r="C321" t="s">
        <v>3234</v>
      </c>
      <c r="D321" t="s">
        <v>3234</v>
      </c>
      <c r="E321" t="s">
        <v>3231</v>
      </c>
      <c r="F321">
        <v>8605</v>
      </c>
      <c r="G321" t="s">
        <v>3230</v>
      </c>
      <c r="H321" t="s">
        <v>1215</v>
      </c>
      <c r="I321">
        <v>33081</v>
      </c>
    </row>
    <row r="322" spans="1:9" x14ac:dyDescent="0.25">
      <c r="A322" t="s">
        <v>3237</v>
      </c>
      <c r="B322" t="s">
        <v>3238</v>
      </c>
      <c r="C322" t="s">
        <v>3240</v>
      </c>
      <c r="D322" t="s">
        <v>15327</v>
      </c>
      <c r="E322" t="s">
        <v>3239</v>
      </c>
      <c r="F322">
        <v>8513</v>
      </c>
      <c r="G322" t="s">
        <v>65</v>
      </c>
      <c r="H322" t="s">
        <v>72</v>
      </c>
      <c r="I322">
        <v>33691</v>
      </c>
    </row>
    <row r="323" spans="1:9" x14ac:dyDescent="0.25">
      <c r="A323" t="s">
        <v>3243</v>
      </c>
      <c r="B323" t="s">
        <v>3244</v>
      </c>
      <c r="C323" t="s">
        <v>3246</v>
      </c>
      <c r="E323" t="s">
        <v>3245</v>
      </c>
      <c r="F323">
        <v>8585</v>
      </c>
      <c r="G323" t="s">
        <v>2385</v>
      </c>
      <c r="H323" t="s">
        <v>106</v>
      </c>
      <c r="I323">
        <v>2941</v>
      </c>
    </row>
    <row r="324" spans="1:9" x14ac:dyDescent="0.25">
      <c r="A324" t="s">
        <v>3248</v>
      </c>
      <c r="B324" t="s">
        <v>3250</v>
      </c>
      <c r="C324" t="s">
        <v>3252</v>
      </c>
      <c r="D324" t="s">
        <v>3252</v>
      </c>
      <c r="E324" t="s">
        <v>3251</v>
      </c>
      <c r="F324">
        <v>8566</v>
      </c>
      <c r="G324" t="s">
        <v>2831</v>
      </c>
      <c r="H324" t="s">
        <v>85</v>
      </c>
      <c r="I324">
        <v>1599</v>
      </c>
    </row>
    <row r="325" spans="1:9" x14ac:dyDescent="0.25">
      <c r="A325" t="s">
        <v>3260</v>
      </c>
      <c r="B325" t="s">
        <v>3261</v>
      </c>
      <c r="C325" t="s">
        <v>3262</v>
      </c>
      <c r="E325" t="s">
        <v>1018</v>
      </c>
      <c r="F325">
        <v>8524</v>
      </c>
      <c r="G325" t="s">
        <v>402</v>
      </c>
      <c r="H325" t="s">
        <v>15226</v>
      </c>
      <c r="I325">
        <v>45688</v>
      </c>
    </row>
    <row r="326" spans="1:9" x14ac:dyDescent="0.25">
      <c r="A326" t="s">
        <v>3265</v>
      </c>
      <c r="B326" t="s">
        <v>3266</v>
      </c>
      <c r="C326" t="s">
        <v>3268</v>
      </c>
      <c r="E326" t="s">
        <v>3267</v>
      </c>
      <c r="F326">
        <v>8521</v>
      </c>
      <c r="G326" t="s">
        <v>170</v>
      </c>
      <c r="H326" t="s">
        <v>15226</v>
      </c>
    </row>
    <row r="327" spans="1:9" x14ac:dyDescent="0.25">
      <c r="A327" t="s">
        <v>3276</v>
      </c>
      <c r="B327" t="s">
        <v>3277</v>
      </c>
      <c r="C327" t="s">
        <v>3279</v>
      </c>
      <c r="E327" t="s">
        <v>3278</v>
      </c>
      <c r="F327">
        <v>8524</v>
      </c>
      <c r="G327" t="s">
        <v>402</v>
      </c>
      <c r="H327" t="s">
        <v>15226</v>
      </c>
      <c r="I327">
        <v>45338</v>
      </c>
    </row>
    <row r="328" spans="1:9" x14ac:dyDescent="0.25">
      <c r="A328" t="s">
        <v>3288</v>
      </c>
      <c r="B328" t="s">
        <v>3290</v>
      </c>
      <c r="C328" t="s">
        <v>3292</v>
      </c>
      <c r="D328" t="s">
        <v>3292</v>
      </c>
      <c r="E328" t="s">
        <v>3291</v>
      </c>
      <c r="F328">
        <v>8561</v>
      </c>
      <c r="G328" t="s">
        <v>2696</v>
      </c>
      <c r="H328" t="s">
        <v>15231</v>
      </c>
      <c r="I328">
        <v>4883</v>
      </c>
    </row>
    <row r="329" spans="1:9" x14ac:dyDescent="0.25">
      <c r="A329" t="s">
        <v>3298</v>
      </c>
      <c r="B329" t="s">
        <v>2727</v>
      </c>
      <c r="C329" t="s">
        <v>3303</v>
      </c>
      <c r="D329" t="s">
        <v>3303</v>
      </c>
      <c r="E329" t="s">
        <v>3300</v>
      </c>
      <c r="F329">
        <v>8595</v>
      </c>
      <c r="G329" t="s">
        <v>3299</v>
      </c>
      <c r="H329" t="s">
        <v>72</v>
      </c>
      <c r="I329">
        <v>45329</v>
      </c>
    </row>
    <row r="330" spans="1:9" x14ac:dyDescent="0.25">
      <c r="A330" t="s">
        <v>3308</v>
      </c>
      <c r="B330" t="s">
        <v>3309</v>
      </c>
      <c r="C330" t="s">
        <v>3311</v>
      </c>
      <c r="D330" t="s">
        <v>15328</v>
      </c>
      <c r="E330" t="s">
        <v>3310</v>
      </c>
      <c r="F330">
        <v>8513</v>
      </c>
      <c r="G330" t="s">
        <v>65</v>
      </c>
      <c r="H330" t="s">
        <v>72</v>
      </c>
      <c r="I330">
        <v>4943</v>
      </c>
    </row>
    <row r="331" spans="1:9" x14ac:dyDescent="0.25">
      <c r="A331" t="s">
        <v>3314</v>
      </c>
      <c r="B331" t="s">
        <v>3315</v>
      </c>
      <c r="C331" t="s">
        <v>3316</v>
      </c>
      <c r="D331" t="s">
        <v>15329</v>
      </c>
      <c r="E331" t="s">
        <v>1584</v>
      </c>
      <c r="F331">
        <v>8520</v>
      </c>
      <c r="G331" t="s">
        <v>1531</v>
      </c>
      <c r="H331" t="s">
        <v>15226</v>
      </c>
      <c r="I331">
        <v>46637</v>
      </c>
    </row>
    <row r="332" spans="1:9" x14ac:dyDescent="0.25">
      <c r="A332" t="s">
        <v>3320</v>
      </c>
      <c r="B332" t="s">
        <v>3322</v>
      </c>
      <c r="C332" t="s">
        <v>3324</v>
      </c>
      <c r="D332" t="s">
        <v>3324</v>
      </c>
      <c r="E332" t="s">
        <v>3323</v>
      </c>
      <c r="F332">
        <v>8524</v>
      </c>
      <c r="G332" t="s">
        <v>402</v>
      </c>
      <c r="H332" t="s">
        <v>15226</v>
      </c>
      <c r="I332">
        <v>36504</v>
      </c>
    </row>
    <row r="333" spans="1:9" x14ac:dyDescent="0.25">
      <c r="A333" t="s">
        <v>3329</v>
      </c>
      <c r="B333" t="s">
        <v>3330</v>
      </c>
      <c r="C333" t="s">
        <v>3331</v>
      </c>
      <c r="E333" t="s">
        <v>1782</v>
      </c>
      <c r="F333">
        <v>8533</v>
      </c>
      <c r="G333" t="s">
        <v>303</v>
      </c>
      <c r="H333" t="s">
        <v>72</v>
      </c>
      <c r="I333">
        <v>47634</v>
      </c>
    </row>
    <row r="334" spans="1:9" x14ac:dyDescent="0.25">
      <c r="A334" t="s">
        <v>3334</v>
      </c>
      <c r="B334" t="s">
        <v>3335</v>
      </c>
      <c r="C334" t="s">
        <v>3337</v>
      </c>
      <c r="E334" t="s">
        <v>3336</v>
      </c>
      <c r="F334">
        <v>8521</v>
      </c>
      <c r="G334" t="s">
        <v>170</v>
      </c>
      <c r="H334" t="s">
        <v>15226</v>
      </c>
      <c r="I334">
        <v>35571</v>
      </c>
    </row>
    <row r="335" spans="1:9" x14ac:dyDescent="0.25">
      <c r="A335" t="s">
        <v>3340</v>
      </c>
      <c r="B335" t="s">
        <v>3341</v>
      </c>
      <c r="C335" t="s">
        <v>3343</v>
      </c>
      <c r="E335" t="s">
        <v>3342</v>
      </c>
      <c r="F335">
        <v>8519</v>
      </c>
      <c r="G335" t="s">
        <v>1901</v>
      </c>
      <c r="H335" t="s">
        <v>15226</v>
      </c>
      <c r="I335">
        <v>40041</v>
      </c>
    </row>
    <row r="336" spans="1:9" x14ac:dyDescent="0.25">
      <c r="A336" t="s">
        <v>3346</v>
      </c>
      <c r="B336" t="s">
        <v>3347</v>
      </c>
      <c r="C336" t="s">
        <v>3349</v>
      </c>
      <c r="E336" t="s">
        <v>3348</v>
      </c>
      <c r="F336">
        <v>8540</v>
      </c>
      <c r="G336" t="s">
        <v>15268</v>
      </c>
      <c r="H336" t="s">
        <v>72</v>
      </c>
      <c r="I336">
        <v>966</v>
      </c>
    </row>
    <row r="337" spans="1:9" x14ac:dyDescent="0.25">
      <c r="A337" t="s">
        <v>3351</v>
      </c>
      <c r="B337" t="s">
        <v>3353</v>
      </c>
      <c r="C337" t="s">
        <v>3355</v>
      </c>
      <c r="D337" t="s">
        <v>15330</v>
      </c>
      <c r="E337" t="s">
        <v>3354</v>
      </c>
      <c r="F337">
        <v>6201</v>
      </c>
      <c r="G337" t="s">
        <v>38</v>
      </c>
      <c r="H337" t="s">
        <v>15220</v>
      </c>
      <c r="I337">
        <v>6762</v>
      </c>
    </row>
    <row r="338" spans="1:9" x14ac:dyDescent="0.25">
      <c r="A338" t="s">
        <v>3359</v>
      </c>
      <c r="B338" t="s">
        <v>3360</v>
      </c>
      <c r="C338" t="s">
        <v>3362</v>
      </c>
      <c r="E338" t="s">
        <v>3361</v>
      </c>
      <c r="F338">
        <v>6201</v>
      </c>
      <c r="G338" t="s">
        <v>38</v>
      </c>
      <c r="H338" t="s">
        <v>15220</v>
      </c>
      <c r="I338">
        <v>18295</v>
      </c>
    </row>
    <row r="339" spans="1:9" x14ac:dyDescent="0.25">
      <c r="A339" t="s">
        <v>3365</v>
      </c>
      <c r="B339" t="s">
        <v>3366</v>
      </c>
      <c r="C339" t="s">
        <v>3368</v>
      </c>
      <c r="E339" t="s">
        <v>3367</v>
      </c>
      <c r="F339">
        <v>8518</v>
      </c>
      <c r="G339" t="s">
        <v>1312</v>
      </c>
      <c r="H339" t="s">
        <v>15226</v>
      </c>
    </row>
    <row r="340" spans="1:9" x14ac:dyDescent="0.25">
      <c r="A340" t="s">
        <v>3372</v>
      </c>
      <c r="B340" t="s">
        <v>3373</v>
      </c>
      <c r="C340" t="s">
        <v>3375</v>
      </c>
      <c r="E340" t="s">
        <v>3374</v>
      </c>
      <c r="F340">
        <v>8533</v>
      </c>
      <c r="G340" t="s">
        <v>300</v>
      </c>
      <c r="H340" t="s">
        <v>72</v>
      </c>
      <c r="I340">
        <v>46525</v>
      </c>
    </row>
    <row r="341" spans="1:9" x14ac:dyDescent="0.25">
      <c r="A341" t="s">
        <v>3378</v>
      </c>
      <c r="B341" t="s">
        <v>3379</v>
      </c>
      <c r="C341" t="s">
        <v>3381</v>
      </c>
      <c r="D341" t="s">
        <v>3381</v>
      </c>
      <c r="E341" t="s">
        <v>3380</v>
      </c>
      <c r="F341">
        <v>8566</v>
      </c>
      <c r="G341" t="s">
        <v>81</v>
      </c>
      <c r="H341" t="s">
        <v>85</v>
      </c>
      <c r="I341">
        <v>2046</v>
      </c>
    </row>
    <row r="342" spans="1:9" x14ac:dyDescent="0.25">
      <c r="A342" t="s">
        <v>3384</v>
      </c>
      <c r="B342" t="s">
        <v>3385</v>
      </c>
      <c r="C342" t="s">
        <v>3387</v>
      </c>
      <c r="E342" t="s">
        <v>3386</v>
      </c>
      <c r="F342">
        <v>8520</v>
      </c>
      <c r="G342" t="s">
        <v>1531</v>
      </c>
      <c r="H342" t="s">
        <v>15226</v>
      </c>
      <c r="I342">
        <v>4618</v>
      </c>
    </row>
    <row r="343" spans="1:9" x14ac:dyDescent="0.25">
      <c r="A343" t="s">
        <v>491</v>
      </c>
      <c r="B343" t="s">
        <v>401</v>
      </c>
      <c r="C343" t="s">
        <v>3404</v>
      </c>
      <c r="E343" t="s">
        <v>15331</v>
      </c>
      <c r="F343">
        <v>8524</v>
      </c>
      <c r="G343" t="s">
        <v>402</v>
      </c>
      <c r="H343" t="s">
        <v>15226</v>
      </c>
      <c r="I343">
        <v>43708</v>
      </c>
    </row>
    <row r="344" spans="1:9" x14ac:dyDescent="0.25">
      <c r="A344" t="s">
        <v>3406</v>
      </c>
      <c r="B344" t="s">
        <v>3407</v>
      </c>
      <c r="C344" t="s">
        <v>3409</v>
      </c>
      <c r="E344" t="s">
        <v>3408</v>
      </c>
      <c r="F344">
        <v>8540</v>
      </c>
      <c r="G344" t="s">
        <v>15268</v>
      </c>
      <c r="H344" t="s">
        <v>72</v>
      </c>
      <c r="I344">
        <v>37129</v>
      </c>
    </row>
    <row r="345" spans="1:9" x14ac:dyDescent="0.25">
      <c r="A345" t="s">
        <v>3412</v>
      </c>
      <c r="B345" t="s">
        <v>3413</v>
      </c>
      <c r="C345" t="s">
        <v>3414</v>
      </c>
      <c r="F345">
        <v>8544</v>
      </c>
      <c r="G345" t="s">
        <v>119</v>
      </c>
      <c r="H345" t="s">
        <v>15231</v>
      </c>
      <c r="I345">
        <v>23125</v>
      </c>
    </row>
    <row r="346" spans="1:9" x14ac:dyDescent="0.25">
      <c r="A346" t="s">
        <v>3417</v>
      </c>
      <c r="B346" t="s">
        <v>3418</v>
      </c>
      <c r="C346" t="s">
        <v>3420</v>
      </c>
      <c r="E346" t="s">
        <v>3419</v>
      </c>
      <c r="F346">
        <v>8533</v>
      </c>
      <c r="G346" t="s">
        <v>300</v>
      </c>
      <c r="H346" t="s">
        <v>72</v>
      </c>
      <c r="I346">
        <v>36930</v>
      </c>
    </row>
    <row r="347" spans="1:9" x14ac:dyDescent="0.25">
      <c r="A347" t="s">
        <v>3425</v>
      </c>
      <c r="B347" t="s">
        <v>3426</v>
      </c>
      <c r="C347" t="s">
        <v>3427</v>
      </c>
      <c r="E347" t="s">
        <v>1532</v>
      </c>
      <c r="F347">
        <v>8517</v>
      </c>
      <c r="G347" t="s">
        <v>181</v>
      </c>
      <c r="H347" t="s">
        <v>15226</v>
      </c>
    </row>
    <row r="348" spans="1:9" x14ac:dyDescent="0.25">
      <c r="A348" t="s">
        <v>3431</v>
      </c>
      <c r="B348" t="s">
        <v>3432</v>
      </c>
      <c r="C348" t="s">
        <v>3434</v>
      </c>
      <c r="E348" t="s">
        <v>3433</v>
      </c>
      <c r="F348">
        <v>8540</v>
      </c>
      <c r="G348" t="s">
        <v>15268</v>
      </c>
      <c r="H348" t="s">
        <v>72</v>
      </c>
      <c r="I348">
        <v>37788</v>
      </c>
    </row>
    <row r="349" spans="1:9" x14ac:dyDescent="0.25">
      <c r="A349" t="s">
        <v>3444</v>
      </c>
      <c r="B349" t="s">
        <v>3445</v>
      </c>
      <c r="C349" t="s">
        <v>3447</v>
      </c>
      <c r="E349" t="s">
        <v>3446</v>
      </c>
      <c r="F349">
        <v>8539</v>
      </c>
      <c r="G349" t="s">
        <v>1095</v>
      </c>
      <c r="H349" t="s">
        <v>72</v>
      </c>
      <c r="I349">
        <v>33781</v>
      </c>
    </row>
    <row r="350" spans="1:9" x14ac:dyDescent="0.25">
      <c r="A350" t="s">
        <v>3451</v>
      </c>
      <c r="B350" t="s">
        <v>3452</v>
      </c>
      <c r="C350" t="s">
        <v>3454</v>
      </c>
      <c r="E350" t="s">
        <v>3453</v>
      </c>
      <c r="F350">
        <v>8545</v>
      </c>
      <c r="G350" t="s">
        <v>324</v>
      </c>
      <c r="H350" t="s">
        <v>15231</v>
      </c>
      <c r="I350">
        <v>46921</v>
      </c>
    </row>
    <row r="351" spans="1:9" x14ac:dyDescent="0.25">
      <c r="A351" t="s">
        <v>3457</v>
      </c>
      <c r="B351" t="s">
        <v>3458</v>
      </c>
      <c r="C351" t="s">
        <v>3460</v>
      </c>
      <c r="E351" t="s">
        <v>3459</v>
      </c>
      <c r="F351">
        <v>8533</v>
      </c>
      <c r="G351" t="s">
        <v>300</v>
      </c>
      <c r="H351" t="s">
        <v>72</v>
      </c>
      <c r="I351">
        <v>3688</v>
      </c>
    </row>
    <row r="352" spans="1:9" x14ac:dyDescent="0.25">
      <c r="A352" t="s">
        <v>3463</v>
      </c>
      <c r="B352" t="s">
        <v>3465</v>
      </c>
      <c r="C352" t="s">
        <v>3467</v>
      </c>
      <c r="D352" t="s">
        <v>15332</v>
      </c>
      <c r="E352">
        <v>4265867772</v>
      </c>
      <c r="F352">
        <v>8533</v>
      </c>
      <c r="G352" t="s">
        <v>300</v>
      </c>
      <c r="H352" t="s">
        <v>72</v>
      </c>
      <c r="I352">
        <v>42645</v>
      </c>
    </row>
    <row r="353" spans="1:9" x14ac:dyDescent="0.25">
      <c r="A353" t="s">
        <v>3470</v>
      </c>
      <c r="B353" t="s">
        <v>3471</v>
      </c>
      <c r="C353" t="s">
        <v>3474</v>
      </c>
      <c r="D353" t="s">
        <v>9119</v>
      </c>
      <c r="E353" t="s">
        <v>3473</v>
      </c>
      <c r="F353">
        <v>8533</v>
      </c>
      <c r="G353" t="s">
        <v>300</v>
      </c>
      <c r="H353" t="s">
        <v>72</v>
      </c>
      <c r="I353">
        <v>45333</v>
      </c>
    </row>
    <row r="354" spans="1:9" x14ac:dyDescent="0.25">
      <c r="A354" t="s">
        <v>3479</v>
      </c>
      <c r="B354" t="s">
        <v>3480</v>
      </c>
      <c r="C354" t="s">
        <v>3482</v>
      </c>
      <c r="E354" t="s">
        <v>3481</v>
      </c>
      <c r="F354">
        <v>8533</v>
      </c>
      <c r="G354" t="s">
        <v>300</v>
      </c>
      <c r="H354" t="s">
        <v>72</v>
      </c>
      <c r="I354">
        <v>34350</v>
      </c>
    </row>
    <row r="355" spans="1:9" x14ac:dyDescent="0.25">
      <c r="A355" t="s">
        <v>3495</v>
      </c>
      <c r="B355" t="s">
        <v>3496</v>
      </c>
      <c r="C355" t="s">
        <v>3498</v>
      </c>
      <c r="E355" t="s">
        <v>3497</v>
      </c>
      <c r="F355">
        <v>8524</v>
      </c>
      <c r="G355" t="s">
        <v>402</v>
      </c>
      <c r="H355" t="s">
        <v>15226</v>
      </c>
      <c r="I355">
        <v>4227</v>
      </c>
    </row>
    <row r="356" spans="1:9" x14ac:dyDescent="0.25">
      <c r="A356" t="s">
        <v>3501</v>
      </c>
      <c r="B356" t="s">
        <v>3502</v>
      </c>
      <c r="C356" t="s">
        <v>3507</v>
      </c>
      <c r="E356" t="s">
        <v>3504</v>
      </c>
      <c r="F356">
        <v>8775</v>
      </c>
      <c r="G356" t="s">
        <v>3503</v>
      </c>
      <c r="H356" t="s">
        <v>72</v>
      </c>
      <c r="I356">
        <v>27698</v>
      </c>
    </row>
    <row r="357" spans="1:9" x14ac:dyDescent="0.25">
      <c r="A357" t="s">
        <v>3521</v>
      </c>
      <c r="B357" t="s">
        <v>2267</v>
      </c>
      <c r="C357" t="s">
        <v>3523</v>
      </c>
      <c r="D357" t="s">
        <v>3523</v>
      </c>
      <c r="F357">
        <v>8523</v>
      </c>
      <c r="G357" t="s">
        <v>1607</v>
      </c>
      <c r="H357" t="s">
        <v>15226</v>
      </c>
      <c r="I357">
        <v>37686</v>
      </c>
    </row>
    <row r="358" spans="1:9" x14ac:dyDescent="0.25">
      <c r="A358" t="s">
        <v>3526</v>
      </c>
      <c r="B358" t="s">
        <v>2871</v>
      </c>
      <c r="C358" t="s">
        <v>3528</v>
      </c>
      <c r="D358" t="s">
        <v>3528</v>
      </c>
      <c r="E358" t="s">
        <v>3527</v>
      </c>
      <c r="F358">
        <v>8523</v>
      </c>
      <c r="G358" t="s">
        <v>1607</v>
      </c>
      <c r="H358" t="s">
        <v>15226</v>
      </c>
      <c r="I358">
        <v>45302</v>
      </c>
    </row>
    <row r="359" spans="1:9" x14ac:dyDescent="0.25">
      <c r="A359" t="s">
        <v>3531</v>
      </c>
      <c r="B359" t="s">
        <v>3532</v>
      </c>
      <c r="C359" t="s">
        <v>3536</v>
      </c>
      <c r="D359" t="s">
        <v>3536</v>
      </c>
      <c r="E359">
        <v>4266852195</v>
      </c>
      <c r="F359">
        <v>8540</v>
      </c>
      <c r="G359" t="s">
        <v>15268</v>
      </c>
      <c r="H359" t="s">
        <v>72</v>
      </c>
      <c r="I359">
        <v>46126</v>
      </c>
    </row>
    <row r="360" spans="1:9" x14ac:dyDescent="0.25">
      <c r="A360" t="s">
        <v>3547</v>
      </c>
      <c r="B360" t="s">
        <v>2998</v>
      </c>
      <c r="C360" t="s">
        <v>15333</v>
      </c>
      <c r="D360" t="s">
        <v>15334</v>
      </c>
      <c r="E360" t="s">
        <v>3548</v>
      </c>
      <c r="F360">
        <v>8540</v>
      </c>
      <c r="G360" t="s">
        <v>15268</v>
      </c>
      <c r="H360" t="s">
        <v>72</v>
      </c>
      <c r="I360">
        <v>47037</v>
      </c>
    </row>
    <row r="361" spans="1:9" x14ac:dyDescent="0.25">
      <c r="A361" t="s">
        <v>3552</v>
      </c>
      <c r="B361" t="s">
        <v>3553</v>
      </c>
      <c r="C361" t="s">
        <v>3555</v>
      </c>
      <c r="E361" t="s">
        <v>3554</v>
      </c>
      <c r="F361">
        <v>8533</v>
      </c>
      <c r="G361" t="s">
        <v>300</v>
      </c>
      <c r="H361" t="s">
        <v>72</v>
      </c>
      <c r="I361">
        <v>40035</v>
      </c>
    </row>
    <row r="362" spans="1:9" x14ac:dyDescent="0.25">
      <c r="A362" t="s">
        <v>3561</v>
      </c>
      <c r="B362" t="s">
        <v>3563</v>
      </c>
      <c r="C362" t="s">
        <v>3565</v>
      </c>
      <c r="D362" t="s">
        <v>3565</v>
      </c>
      <c r="E362" t="s">
        <v>3564</v>
      </c>
      <c r="F362">
        <v>8533</v>
      </c>
      <c r="G362" t="s">
        <v>300</v>
      </c>
      <c r="H362" t="s">
        <v>72</v>
      </c>
      <c r="I362">
        <v>38283</v>
      </c>
    </row>
    <row r="363" spans="1:9" x14ac:dyDescent="0.25">
      <c r="A363" t="s">
        <v>3569</v>
      </c>
      <c r="B363" t="s">
        <v>3570</v>
      </c>
      <c r="C363" t="s">
        <v>3573</v>
      </c>
      <c r="E363" t="s">
        <v>3572</v>
      </c>
      <c r="F363">
        <v>8576</v>
      </c>
      <c r="G363" t="s">
        <v>3571</v>
      </c>
      <c r="H363" t="s">
        <v>106</v>
      </c>
      <c r="I363">
        <v>28149</v>
      </c>
    </row>
    <row r="364" spans="1:9" x14ac:dyDescent="0.25">
      <c r="A364" t="s">
        <v>3577</v>
      </c>
      <c r="B364" t="s">
        <v>3578</v>
      </c>
      <c r="C364" t="s">
        <v>3580</v>
      </c>
      <c r="D364" t="s">
        <v>3580</v>
      </c>
      <c r="E364" t="s">
        <v>3579</v>
      </c>
      <c r="F364">
        <v>8537</v>
      </c>
      <c r="G364" t="s">
        <v>902</v>
      </c>
      <c r="H364" t="s">
        <v>72</v>
      </c>
      <c r="I364">
        <v>37122</v>
      </c>
    </row>
    <row r="365" spans="1:9" x14ac:dyDescent="0.25">
      <c r="A365" t="s">
        <v>3583</v>
      </c>
      <c r="B365" t="s">
        <v>3584</v>
      </c>
      <c r="C365" t="s">
        <v>3586</v>
      </c>
      <c r="E365" t="s">
        <v>3585</v>
      </c>
      <c r="F365">
        <v>8524</v>
      </c>
      <c r="G365" t="s">
        <v>402</v>
      </c>
      <c r="H365" t="s">
        <v>15226</v>
      </c>
      <c r="I365">
        <v>15626</v>
      </c>
    </row>
    <row r="366" spans="1:9" x14ac:dyDescent="0.25">
      <c r="A366" t="s">
        <v>3589</v>
      </c>
      <c r="B366" t="s">
        <v>3590</v>
      </c>
      <c r="C366" t="s">
        <v>3592</v>
      </c>
      <c r="E366" t="s">
        <v>3591</v>
      </c>
      <c r="F366">
        <v>8533</v>
      </c>
      <c r="G366" t="s">
        <v>300</v>
      </c>
      <c r="H366" t="s">
        <v>72</v>
      </c>
      <c r="I366">
        <v>40400</v>
      </c>
    </row>
    <row r="367" spans="1:9" x14ac:dyDescent="0.25">
      <c r="A367" t="s">
        <v>3597</v>
      </c>
      <c r="B367" t="s">
        <v>3598</v>
      </c>
      <c r="C367" t="s">
        <v>3600</v>
      </c>
      <c r="E367" t="s">
        <v>3599</v>
      </c>
      <c r="F367">
        <v>8540</v>
      </c>
      <c r="G367" t="s">
        <v>15268</v>
      </c>
      <c r="H367" t="s">
        <v>72</v>
      </c>
      <c r="I367">
        <v>35792</v>
      </c>
    </row>
    <row r="368" spans="1:9" x14ac:dyDescent="0.25">
      <c r="A368" t="s">
        <v>3605</v>
      </c>
      <c r="B368" t="s">
        <v>3606</v>
      </c>
      <c r="C368" t="s">
        <v>3608</v>
      </c>
      <c r="E368" t="s">
        <v>3607</v>
      </c>
      <c r="F368">
        <v>8540</v>
      </c>
      <c r="G368" t="s">
        <v>15268</v>
      </c>
      <c r="H368" t="s">
        <v>72</v>
      </c>
      <c r="I368">
        <v>40201</v>
      </c>
    </row>
    <row r="369" spans="1:9" x14ac:dyDescent="0.25">
      <c r="A369" t="s">
        <v>3613</v>
      </c>
      <c r="B369" t="s">
        <v>3614</v>
      </c>
      <c r="C369" t="s">
        <v>3616</v>
      </c>
      <c r="E369" t="s">
        <v>15335</v>
      </c>
      <c r="F369">
        <v>8533</v>
      </c>
      <c r="G369" t="s">
        <v>300</v>
      </c>
      <c r="H369" t="s">
        <v>72</v>
      </c>
      <c r="I369">
        <v>18374</v>
      </c>
    </row>
    <row r="370" spans="1:9" x14ac:dyDescent="0.25">
      <c r="A370" t="s">
        <v>3618</v>
      </c>
      <c r="B370" t="s">
        <v>3619</v>
      </c>
      <c r="C370" t="s">
        <v>3621</v>
      </c>
      <c r="D370" t="s">
        <v>15336</v>
      </c>
      <c r="E370" t="s">
        <v>3620</v>
      </c>
      <c r="F370">
        <v>8513</v>
      </c>
      <c r="G370" t="s">
        <v>65</v>
      </c>
      <c r="H370" t="s">
        <v>72</v>
      </c>
      <c r="I370">
        <v>46400</v>
      </c>
    </row>
    <row r="371" spans="1:9" x14ac:dyDescent="0.25">
      <c r="A371" t="s">
        <v>3625</v>
      </c>
      <c r="B371" t="s">
        <v>3626</v>
      </c>
      <c r="C371" t="s">
        <v>3628</v>
      </c>
      <c r="E371">
        <v>4147693415</v>
      </c>
      <c r="F371">
        <v>6201</v>
      </c>
      <c r="G371" t="s">
        <v>38</v>
      </c>
      <c r="H371" t="s">
        <v>15220</v>
      </c>
      <c r="I371">
        <v>5122</v>
      </c>
    </row>
    <row r="372" spans="1:9" x14ac:dyDescent="0.25">
      <c r="A372" t="s">
        <v>3631</v>
      </c>
      <c r="B372" t="s">
        <v>3632</v>
      </c>
      <c r="C372" t="s">
        <v>15337</v>
      </c>
      <c r="E372" t="s">
        <v>3633</v>
      </c>
      <c r="F372">
        <v>8523</v>
      </c>
      <c r="G372" t="s">
        <v>1607</v>
      </c>
      <c r="H372" t="s">
        <v>15226</v>
      </c>
      <c r="I372">
        <v>41339</v>
      </c>
    </row>
    <row r="373" spans="1:9" x14ac:dyDescent="0.25">
      <c r="A373" t="s">
        <v>3636</v>
      </c>
      <c r="B373" t="s">
        <v>3637</v>
      </c>
      <c r="C373" t="s">
        <v>3639</v>
      </c>
      <c r="E373" t="s">
        <v>3638</v>
      </c>
      <c r="F373">
        <v>6201</v>
      </c>
      <c r="G373" t="s">
        <v>38</v>
      </c>
      <c r="H373" t="s">
        <v>15220</v>
      </c>
      <c r="I373">
        <v>27270</v>
      </c>
    </row>
    <row r="374" spans="1:9" x14ac:dyDescent="0.25">
      <c r="A374" t="s">
        <v>3653</v>
      </c>
      <c r="B374" t="s">
        <v>3654</v>
      </c>
      <c r="C374" t="s">
        <v>3656</v>
      </c>
      <c r="E374" t="s">
        <v>3655</v>
      </c>
      <c r="F374">
        <v>8568</v>
      </c>
      <c r="G374" t="s">
        <v>358</v>
      </c>
      <c r="H374" t="s">
        <v>15220</v>
      </c>
      <c r="I374">
        <v>47825</v>
      </c>
    </row>
    <row r="375" spans="1:9" x14ac:dyDescent="0.25">
      <c r="A375" t="s">
        <v>3664</v>
      </c>
      <c r="B375" t="s">
        <v>3665</v>
      </c>
      <c r="C375" t="s">
        <v>3667</v>
      </c>
      <c r="E375" t="s">
        <v>3666</v>
      </c>
      <c r="F375">
        <v>8595</v>
      </c>
      <c r="G375" t="s">
        <v>3302</v>
      </c>
      <c r="H375" t="s">
        <v>15226</v>
      </c>
      <c r="I375">
        <v>47090</v>
      </c>
    </row>
    <row r="376" spans="1:9" x14ac:dyDescent="0.25">
      <c r="A376" t="s">
        <v>3671</v>
      </c>
      <c r="B376" t="s">
        <v>2871</v>
      </c>
      <c r="C376" t="s">
        <v>15338</v>
      </c>
      <c r="D376" t="s">
        <v>15338</v>
      </c>
      <c r="E376" t="s">
        <v>3672</v>
      </c>
      <c r="F376">
        <v>8525</v>
      </c>
      <c r="G376" t="s">
        <v>1581</v>
      </c>
      <c r="H376" t="s">
        <v>15226</v>
      </c>
      <c r="I376">
        <v>47517</v>
      </c>
    </row>
    <row r="377" spans="1:9" x14ac:dyDescent="0.25">
      <c r="A377" t="s">
        <v>3676</v>
      </c>
      <c r="B377" t="s">
        <v>3677</v>
      </c>
      <c r="C377" t="s">
        <v>3679</v>
      </c>
      <c r="E377" t="s">
        <v>3678</v>
      </c>
      <c r="F377">
        <v>8545</v>
      </c>
      <c r="G377" t="s">
        <v>324</v>
      </c>
      <c r="H377" t="s">
        <v>15231</v>
      </c>
    </row>
    <row r="378" spans="1:9" x14ac:dyDescent="0.25">
      <c r="A378" t="s">
        <v>3682</v>
      </c>
      <c r="B378" t="s">
        <v>3683</v>
      </c>
      <c r="C378" t="s">
        <v>3685</v>
      </c>
      <c r="E378" t="s">
        <v>15339</v>
      </c>
      <c r="F378">
        <v>8524</v>
      </c>
      <c r="G378" t="s">
        <v>402</v>
      </c>
      <c r="H378" t="s">
        <v>15226</v>
      </c>
      <c r="I378">
        <v>4724</v>
      </c>
    </row>
    <row r="379" spans="1:9" x14ac:dyDescent="0.25">
      <c r="A379" t="s">
        <v>3697</v>
      </c>
      <c r="B379" t="s">
        <v>2727</v>
      </c>
      <c r="C379" t="s">
        <v>3699</v>
      </c>
      <c r="D379" t="s">
        <v>3699</v>
      </c>
      <c r="E379" t="s">
        <v>3698</v>
      </c>
      <c r="F379">
        <v>8523</v>
      </c>
      <c r="G379" t="s">
        <v>1607</v>
      </c>
      <c r="H379" t="s">
        <v>15226</v>
      </c>
      <c r="I379">
        <v>44176</v>
      </c>
    </row>
    <row r="380" spans="1:9" x14ac:dyDescent="0.25">
      <c r="A380" t="s">
        <v>3702</v>
      </c>
      <c r="B380" t="s">
        <v>2267</v>
      </c>
      <c r="C380" t="s">
        <v>3703</v>
      </c>
      <c r="D380" t="s">
        <v>3703</v>
      </c>
      <c r="F380">
        <v>8523</v>
      </c>
      <c r="G380" t="s">
        <v>1222</v>
      </c>
      <c r="H380" t="s">
        <v>15226</v>
      </c>
      <c r="I380">
        <v>32706</v>
      </c>
    </row>
    <row r="381" spans="1:9" x14ac:dyDescent="0.25">
      <c r="A381" t="s">
        <v>3706</v>
      </c>
      <c r="B381" t="s">
        <v>3707</v>
      </c>
      <c r="C381" t="s">
        <v>3709</v>
      </c>
      <c r="D381" t="s">
        <v>15340</v>
      </c>
      <c r="E381" t="s">
        <v>3708</v>
      </c>
      <c r="F381">
        <v>8542</v>
      </c>
      <c r="G381" t="s">
        <v>1330</v>
      </c>
      <c r="H381" t="s">
        <v>137</v>
      </c>
    </row>
    <row r="382" spans="1:9" x14ac:dyDescent="0.25">
      <c r="A382" t="s">
        <v>3713</v>
      </c>
      <c r="B382" t="s">
        <v>3714</v>
      </c>
      <c r="C382" t="s">
        <v>3716</v>
      </c>
      <c r="E382" t="s">
        <v>3715</v>
      </c>
      <c r="F382">
        <v>8585</v>
      </c>
      <c r="G382" t="s">
        <v>15297</v>
      </c>
      <c r="H382" t="s">
        <v>106</v>
      </c>
      <c r="I382">
        <v>47117</v>
      </c>
    </row>
    <row r="383" spans="1:9" x14ac:dyDescent="0.25">
      <c r="A383" t="s">
        <v>3721</v>
      </c>
      <c r="B383" t="s">
        <v>3722</v>
      </c>
      <c r="C383" t="s">
        <v>3724</v>
      </c>
      <c r="E383" t="s">
        <v>3723</v>
      </c>
      <c r="F383">
        <v>8539</v>
      </c>
      <c r="G383" t="s">
        <v>1039</v>
      </c>
      <c r="H383" t="s">
        <v>72</v>
      </c>
    </row>
    <row r="384" spans="1:9" x14ac:dyDescent="0.25">
      <c r="A384" t="s">
        <v>3727</v>
      </c>
      <c r="B384" t="s">
        <v>3728</v>
      </c>
      <c r="C384" t="s">
        <v>3730</v>
      </c>
      <c r="D384" t="s">
        <v>15341</v>
      </c>
      <c r="E384" t="s">
        <v>1570</v>
      </c>
      <c r="F384">
        <v>8542</v>
      </c>
      <c r="G384" t="s">
        <v>15342</v>
      </c>
      <c r="H384" t="s">
        <v>72</v>
      </c>
    </row>
    <row r="385" spans="1:9" x14ac:dyDescent="0.25">
      <c r="A385" t="s">
        <v>3740</v>
      </c>
      <c r="B385" t="s">
        <v>3741</v>
      </c>
      <c r="C385" t="s">
        <v>3743</v>
      </c>
      <c r="E385" t="s">
        <v>3742</v>
      </c>
      <c r="F385">
        <v>6201</v>
      </c>
      <c r="G385" t="s">
        <v>38</v>
      </c>
      <c r="H385" t="s">
        <v>15220</v>
      </c>
      <c r="I385">
        <v>19644</v>
      </c>
    </row>
    <row r="386" spans="1:9" x14ac:dyDescent="0.25">
      <c r="A386" t="s">
        <v>3748</v>
      </c>
      <c r="B386" t="s">
        <v>3749</v>
      </c>
      <c r="C386" t="s">
        <v>3754</v>
      </c>
      <c r="E386" t="s">
        <v>3751</v>
      </c>
      <c r="F386">
        <v>8606</v>
      </c>
      <c r="G386" t="s">
        <v>3750</v>
      </c>
      <c r="H386" t="s">
        <v>15226</v>
      </c>
    </row>
    <row r="387" spans="1:9" x14ac:dyDescent="0.25">
      <c r="A387" t="s">
        <v>3759</v>
      </c>
      <c r="B387" t="s">
        <v>3760</v>
      </c>
      <c r="C387" t="s">
        <v>3762</v>
      </c>
      <c r="E387" t="s">
        <v>3761</v>
      </c>
      <c r="F387">
        <v>8524</v>
      </c>
      <c r="G387" t="s">
        <v>402</v>
      </c>
      <c r="H387" t="s">
        <v>15226</v>
      </c>
      <c r="I387">
        <v>37546</v>
      </c>
    </row>
    <row r="388" spans="1:9" x14ac:dyDescent="0.25">
      <c r="A388" t="s">
        <v>3767</v>
      </c>
      <c r="B388" t="s">
        <v>3768</v>
      </c>
      <c r="C388" t="s">
        <v>3770</v>
      </c>
      <c r="E388" t="s">
        <v>15343</v>
      </c>
      <c r="F388">
        <v>8525</v>
      </c>
      <c r="G388" t="s">
        <v>1581</v>
      </c>
      <c r="H388" t="s">
        <v>15226</v>
      </c>
      <c r="I388">
        <v>1176</v>
      </c>
    </row>
    <row r="389" spans="1:9" x14ac:dyDescent="0.25">
      <c r="A389" t="s">
        <v>3774</v>
      </c>
      <c r="B389" t="s">
        <v>3775</v>
      </c>
      <c r="C389" t="s">
        <v>3777</v>
      </c>
      <c r="D389" t="s">
        <v>3777</v>
      </c>
      <c r="E389" t="s">
        <v>15344</v>
      </c>
      <c r="F389">
        <v>8572</v>
      </c>
      <c r="G389" t="s">
        <v>1961</v>
      </c>
      <c r="H389" t="s">
        <v>279</v>
      </c>
      <c r="I389">
        <v>45165</v>
      </c>
    </row>
    <row r="390" spans="1:9" x14ac:dyDescent="0.25">
      <c r="A390" t="s">
        <v>3780</v>
      </c>
      <c r="B390" t="s">
        <v>3781</v>
      </c>
      <c r="C390" t="s">
        <v>3783</v>
      </c>
      <c r="D390" t="s">
        <v>3783</v>
      </c>
      <c r="E390" t="s">
        <v>3782</v>
      </c>
      <c r="F390">
        <v>8606</v>
      </c>
      <c r="G390" t="s">
        <v>3750</v>
      </c>
      <c r="H390" t="s">
        <v>15226</v>
      </c>
    </row>
    <row r="391" spans="1:9" x14ac:dyDescent="0.25">
      <c r="A391" t="s">
        <v>3792</v>
      </c>
      <c r="B391" t="s">
        <v>3793</v>
      </c>
      <c r="E391" t="s">
        <v>3794</v>
      </c>
      <c r="F391">
        <v>8518</v>
      </c>
      <c r="G391" t="s">
        <v>1312</v>
      </c>
      <c r="H391" t="s">
        <v>15226</v>
      </c>
    </row>
    <row r="392" spans="1:9" x14ac:dyDescent="0.25">
      <c r="A392" t="s">
        <v>3797</v>
      </c>
      <c r="B392" t="s">
        <v>3798</v>
      </c>
      <c r="C392" t="s">
        <v>3800</v>
      </c>
      <c r="D392" t="s">
        <v>3800</v>
      </c>
      <c r="E392" t="s">
        <v>3799</v>
      </c>
      <c r="F392">
        <v>8605</v>
      </c>
      <c r="G392" t="s">
        <v>3233</v>
      </c>
      <c r="H392" t="s">
        <v>1215</v>
      </c>
      <c r="I392">
        <v>5774</v>
      </c>
    </row>
    <row r="393" spans="1:9" x14ac:dyDescent="0.25">
      <c r="A393" t="s">
        <v>3808</v>
      </c>
      <c r="B393" t="s">
        <v>3809</v>
      </c>
      <c r="C393" t="s">
        <v>3811</v>
      </c>
      <c r="E393" t="s">
        <v>3810</v>
      </c>
      <c r="F393">
        <v>8576</v>
      </c>
      <c r="G393" t="s">
        <v>3571</v>
      </c>
      <c r="H393" t="s">
        <v>106</v>
      </c>
      <c r="I393">
        <v>30858</v>
      </c>
    </row>
    <row r="394" spans="1:9" x14ac:dyDescent="0.25">
      <c r="A394" t="s">
        <v>3819</v>
      </c>
      <c r="B394" t="s">
        <v>3820</v>
      </c>
      <c r="C394" t="s">
        <v>3822</v>
      </c>
      <c r="E394" t="s">
        <v>3821</v>
      </c>
      <c r="F394">
        <v>8527</v>
      </c>
      <c r="G394" t="s">
        <v>99</v>
      </c>
      <c r="H394" t="s">
        <v>106</v>
      </c>
    </row>
    <row r="395" spans="1:9" x14ac:dyDescent="0.25">
      <c r="A395" t="s">
        <v>3829</v>
      </c>
      <c r="B395" t="s">
        <v>3827</v>
      </c>
      <c r="C395" t="s">
        <v>3832</v>
      </c>
      <c r="D395" t="s">
        <v>15345</v>
      </c>
      <c r="E395" t="s">
        <v>3831</v>
      </c>
      <c r="F395">
        <v>8540</v>
      </c>
      <c r="G395" t="s">
        <v>15268</v>
      </c>
      <c r="H395" t="s">
        <v>72</v>
      </c>
      <c r="I395">
        <v>46385</v>
      </c>
    </row>
    <row r="396" spans="1:9" x14ac:dyDescent="0.25">
      <c r="A396" t="s">
        <v>3835</v>
      </c>
      <c r="B396" t="s">
        <v>3827</v>
      </c>
      <c r="C396" t="s">
        <v>3832</v>
      </c>
      <c r="D396" t="s">
        <v>15346</v>
      </c>
      <c r="E396" t="s">
        <v>15347</v>
      </c>
      <c r="F396">
        <v>8533</v>
      </c>
      <c r="G396" t="s">
        <v>300</v>
      </c>
      <c r="H396" t="s">
        <v>72</v>
      </c>
      <c r="I396">
        <v>46094</v>
      </c>
    </row>
    <row r="397" spans="1:9" x14ac:dyDescent="0.25">
      <c r="A397" t="s">
        <v>3838</v>
      </c>
      <c r="B397" t="s">
        <v>3840</v>
      </c>
      <c r="C397" t="s">
        <v>3842</v>
      </c>
      <c r="D397" t="s">
        <v>3842</v>
      </c>
      <c r="E397" t="s">
        <v>15348</v>
      </c>
      <c r="F397">
        <v>8568</v>
      </c>
      <c r="G397" t="s">
        <v>358</v>
      </c>
      <c r="H397" t="s">
        <v>15220</v>
      </c>
      <c r="I397">
        <v>4717</v>
      </c>
    </row>
    <row r="398" spans="1:9" x14ac:dyDescent="0.25">
      <c r="A398" t="s">
        <v>3847</v>
      </c>
      <c r="B398" t="s">
        <v>3848</v>
      </c>
      <c r="C398" t="s">
        <v>3849</v>
      </c>
      <c r="D398" t="s">
        <v>3849</v>
      </c>
      <c r="F398">
        <v>8535</v>
      </c>
      <c r="G398" t="s">
        <v>653</v>
      </c>
      <c r="H398" t="s">
        <v>72</v>
      </c>
      <c r="I398">
        <v>50673</v>
      </c>
    </row>
    <row r="399" spans="1:9" x14ac:dyDescent="0.25">
      <c r="A399" t="s">
        <v>3854</v>
      </c>
      <c r="B399" t="s">
        <v>3856</v>
      </c>
      <c r="C399" t="s">
        <v>3859</v>
      </c>
      <c r="E399" t="s">
        <v>3858</v>
      </c>
      <c r="F399">
        <v>6201</v>
      </c>
      <c r="G399" t="s">
        <v>38</v>
      </c>
      <c r="H399" t="s">
        <v>15220</v>
      </c>
    </row>
    <row r="400" spans="1:9" x14ac:dyDescent="0.25">
      <c r="A400" t="s">
        <v>3865</v>
      </c>
      <c r="B400" t="s">
        <v>3866</v>
      </c>
      <c r="C400" t="s">
        <v>3427</v>
      </c>
      <c r="E400" t="s">
        <v>3867</v>
      </c>
      <c r="F400">
        <v>8518</v>
      </c>
      <c r="G400" t="s">
        <v>1312</v>
      </c>
      <c r="H400" t="s">
        <v>15226</v>
      </c>
    </row>
    <row r="401" spans="1:9" x14ac:dyDescent="0.25">
      <c r="A401" t="s">
        <v>3870</v>
      </c>
      <c r="B401" t="s">
        <v>3872</v>
      </c>
      <c r="C401" t="s">
        <v>3874</v>
      </c>
      <c r="D401" t="s">
        <v>15349</v>
      </c>
      <c r="E401" t="s">
        <v>3873</v>
      </c>
      <c r="F401">
        <v>8536</v>
      </c>
      <c r="G401" t="s">
        <v>939</v>
      </c>
      <c r="H401" t="s">
        <v>72</v>
      </c>
      <c r="I401">
        <v>2861</v>
      </c>
    </row>
    <row r="402" spans="1:9" x14ac:dyDescent="0.25">
      <c r="A402" t="s">
        <v>3877</v>
      </c>
      <c r="B402" t="s">
        <v>3878</v>
      </c>
      <c r="C402" t="s">
        <v>3880</v>
      </c>
      <c r="E402" t="s">
        <v>15350</v>
      </c>
      <c r="F402">
        <v>8523</v>
      </c>
      <c r="G402" t="s">
        <v>1607</v>
      </c>
      <c r="H402" t="s">
        <v>15226</v>
      </c>
      <c r="I402">
        <v>34025</v>
      </c>
    </row>
    <row r="403" spans="1:9" x14ac:dyDescent="0.25">
      <c r="A403" t="s">
        <v>3896</v>
      </c>
      <c r="B403" t="s">
        <v>3898</v>
      </c>
      <c r="C403" t="s">
        <v>3900</v>
      </c>
      <c r="D403" t="s">
        <v>3900</v>
      </c>
      <c r="E403" t="s">
        <v>3899</v>
      </c>
      <c r="F403">
        <v>8532</v>
      </c>
      <c r="G403" t="s">
        <v>15242</v>
      </c>
      <c r="H403" t="s">
        <v>15222</v>
      </c>
      <c r="I403">
        <v>27755</v>
      </c>
    </row>
    <row r="404" spans="1:9" x14ac:dyDescent="0.25">
      <c r="A404" t="s">
        <v>3902</v>
      </c>
      <c r="B404" t="s">
        <v>3903</v>
      </c>
      <c r="C404" t="s">
        <v>3906</v>
      </c>
      <c r="D404" t="s">
        <v>3906</v>
      </c>
      <c r="E404" t="s">
        <v>3905</v>
      </c>
      <c r="F404">
        <v>8584</v>
      </c>
      <c r="G404" t="s">
        <v>3904</v>
      </c>
      <c r="H404" t="s">
        <v>15220</v>
      </c>
      <c r="I404">
        <v>47951</v>
      </c>
    </row>
    <row r="405" spans="1:9" x14ac:dyDescent="0.25">
      <c r="A405" t="s">
        <v>3910</v>
      </c>
      <c r="B405" t="s">
        <v>1159</v>
      </c>
      <c r="C405" t="s">
        <v>3913</v>
      </c>
      <c r="D405" t="s">
        <v>15351</v>
      </c>
      <c r="E405" t="s">
        <v>3912</v>
      </c>
      <c r="F405">
        <v>8520</v>
      </c>
      <c r="G405" t="s">
        <v>3911</v>
      </c>
      <c r="H405" t="s">
        <v>15226</v>
      </c>
      <c r="I405">
        <v>2086</v>
      </c>
    </row>
    <row r="406" spans="1:9" x14ac:dyDescent="0.25">
      <c r="A406" t="s">
        <v>3921</v>
      </c>
      <c r="B406" t="s">
        <v>3922</v>
      </c>
      <c r="C406" t="s">
        <v>3924</v>
      </c>
      <c r="E406" t="s">
        <v>3923</v>
      </c>
      <c r="F406">
        <v>6201</v>
      </c>
      <c r="G406" t="s">
        <v>38</v>
      </c>
      <c r="H406" t="s">
        <v>15220</v>
      </c>
    </row>
    <row r="407" spans="1:9" x14ac:dyDescent="0.25">
      <c r="A407" t="s">
        <v>3927</v>
      </c>
      <c r="B407" t="s">
        <v>3928</v>
      </c>
      <c r="E407" t="s">
        <v>3929</v>
      </c>
      <c r="F407">
        <v>8606</v>
      </c>
      <c r="G407" t="s">
        <v>3750</v>
      </c>
      <c r="H407" t="s">
        <v>15226</v>
      </c>
    </row>
    <row r="408" spans="1:9" x14ac:dyDescent="0.25">
      <c r="A408" t="s">
        <v>3932</v>
      </c>
      <c r="B408" t="s">
        <v>3933</v>
      </c>
      <c r="C408" t="s">
        <v>3935</v>
      </c>
      <c r="D408" t="s">
        <v>15352</v>
      </c>
      <c r="E408" t="s">
        <v>3934</v>
      </c>
      <c r="F408">
        <v>8535</v>
      </c>
      <c r="G408" t="s">
        <v>650</v>
      </c>
      <c r="H408" t="s">
        <v>72</v>
      </c>
      <c r="I408">
        <v>15773</v>
      </c>
    </row>
    <row r="409" spans="1:9" x14ac:dyDescent="0.25">
      <c r="A409" t="s">
        <v>3938</v>
      </c>
      <c r="B409" t="s">
        <v>3939</v>
      </c>
      <c r="C409" t="s">
        <v>3941</v>
      </c>
      <c r="E409" t="s">
        <v>3940</v>
      </c>
      <c r="F409">
        <v>8531</v>
      </c>
      <c r="G409" t="s">
        <v>87</v>
      </c>
      <c r="H409" t="s">
        <v>15222</v>
      </c>
      <c r="I409">
        <v>33210</v>
      </c>
    </row>
    <row r="410" spans="1:9" x14ac:dyDescent="0.25">
      <c r="A410" t="s">
        <v>3946</v>
      </c>
      <c r="B410" t="s">
        <v>3948</v>
      </c>
      <c r="C410" t="s">
        <v>3950</v>
      </c>
      <c r="D410" t="s">
        <v>3950</v>
      </c>
      <c r="E410" t="s">
        <v>3949</v>
      </c>
      <c r="F410">
        <v>8607</v>
      </c>
      <c r="G410" t="s">
        <v>248</v>
      </c>
      <c r="H410" t="s">
        <v>15222</v>
      </c>
      <c r="I410">
        <v>16828</v>
      </c>
    </row>
    <row r="411" spans="1:9" x14ac:dyDescent="0.25">
      <c r="A411" t="s">
        <v>3953</v>
      </c>
      <c r="B411" t="s">
        <v>3954</v>
      </c>
      <c r="C411" t="s">
        <v>3955</v>
      </c>
      <c r="E411" t="s">
        <v>3036</v>
      </c>
      <c r="F411">
        <v>8533</v>
      </c>
      <c r="G411" t="s">
        <v>300</v>
      </c>
      <c r="H411" t="s">
        <v>72</v>
      </c>
      <c r="I411">
        <v>47891</v>
      </c>
    </row>
    <row r="412" spans="1:9" x14ac:dyDescent="0.25">
      <c r="A412" t="s">
        <v>3959</v>
      </c>
      <c r="B412" t="s">
        <v>3960</v>
      </c>
      <c r="F412">
        <v>6201</v>
      </c>
      <c r="G412" t="s">
        <v>38</v>
      </c>
      <c r="H412" t="s">
        <v>15220</v>
      </c>
    </row>
    <row r="413" spans="1:9" x14ac:dyDescent="0.25">
      <c r="A413" t="s">
        <v>3966</v>
      </c>
      <c r="B413" t="s">
        <v>3967</v>
      </c>
      <c r="C413" t="s">
        <v>3970</v>
      </c>
      <c r="E413" t="s">
        <v>3969</v>
      </c>
      <c r="F413">
        <v>8606</v>
      </c>
      <c r="G413" t="s">
        <v>3968</v>
      </c>
      <c r="H413" t="s">
        <v>15226</v>
      </c>
      <c r="I413">
        <v>33397</v>
      </c>
    </row>
    <row r="414" spans="1:9" x14ac:dyDescent="0.25">
      <c r="A414" t="s">
        <v>3973</v>
      </c>
      <c r="B414" t="s">
        <v>3974</v>
      </c>
      <c r="C414" t="s">
        <v>3976</v>
      </c>
      <c r="E414" t="s">
        <v>3975</v>
      </c>
      <c r="F414">
        <v>8517</v>
      </c>
      <c r="G414" t="s">
        <v>181</v>
      </c>
      <c r="H414" t="s">
        <v>15226</v>
      </c>
      <c r="I414">
        <v>4756</v>
      </c>
    </row>
    <row r="415" spans="1:9" x14ac:dyDescent="0.25">
      <c r="A415" t="s">
        <v>3983</v>
      </c>
      <c r="B415" t="s">
        <v>3984</v>
      </c>
      <c r="C415" t="s">
        <v>3986</v>
      </c>
      <c r="E415" t="s">
        <v>3985</v>
      </c>
      <c r="F415">
        <v>8555</v>
      </c>
      <c r="G415" t="s">
        <v>922</v>
      </c>
      <c r="H415" t="s">
        <v>15222</v>
      </c>
      <c r="I415">
        <v>6169</v>
      </c>
    </row>
    <row r="416" spans="1:9" x14ac:dyDescent="0.25">
      <c r="A416" t="s">
        <v>3988</v>
      </c>
      <c r="B416" t="s">
        <v>3989</v>
      </c>
      <c r="C416" t="s">
        <v>3991</v>
      </c>
      <c r="E416" t="s">
        <v>3990</v>
      </c>
      <c r="F416">
        <v>8517</v>
      </c>
      <c r="G416" t="s">
        <v>181</v>
      </c>
      <c r="H416" t="s">
        <v>15226</v>
      </c>
      <c r="I416">
        <v>48131</v>
      </c>
    </row>
    <row r="417" spans="1:9" x14ac:dyDescent="0.25">
      <c r="A417" t="s">
        <v>3994</v>
      </c>
      <c r="B417" t="s">
        <v>2998</v>
      </c>
      <c r="C417" t="s">
        <v>15333</v>
      </c>
      <c r="D417" t="s">
        <v>15353</v>
      </c>
      <c r="E417" t="s">
        <v>3995</v>
      </c>
      <c r="F417">
        <v>8533</v>
      </c>
      <c r="G417" t="s">
        <v>300</v>
      </c>
      <c r="H417" t="s">
        <v>72</v>
      </c>
      <c r="I417">
        <v>47980</v>
      </c>
    </row>
    <row r="418" spans="1:9" x14ac:dyDescent="0.25">
      <c r="A418" t="s">
        <v>4003</v>
      </c>
      <c r="B418" t="s">
        <v>4004</v>
      </c>
      <c r="C418" t="s">
        <v>4006</v>
      </c>
      <c r="E418" t="s">
        <v>4005</v>
      </c>
      <c r="F418">
        <v>8608</v>
      </c>
      <c r="G418" t="s">
        <v>638</v>
      </c>
      <c r="H418" t="s">
        <v>15222</v>
      </c>
      <c r="I418">
        <v>40239</v>
      </c>
    </row>
    <row r="419" spans="1:9" x14ac:dyDescent="0.25">
      <c r="A419" t="s">
        <v>4016</v>
      </c>
      <c r="B419" t="s">
        <v>4017</v>
      </c>
      <c r="C419" t="s">
        <v>4018</v>
      </c>
      <c r="F419">
        <v>6201</v>
      </c>
      <c r="G419" t="s">
        <v>38</v>
      </c>
      <c r="H419" t="s">
        <v>15220</v>
      </c>
    </row>
    <row r="420" spans="1:9" x14ac:dyDescent="0.25">
      <c r="A420" t="s">
        <v>4021</v>
      </c>
      <c r="B420" t="s">
        <v>4022</v>
      </c>
      <c r="C420" t="s">
        <v>4023</v>
      </c>
      <c r="D420" t="s">
        <v>4023</v>
      </c>
      <c r="E420" t="s">
        <v>1018</v>
      </c>
      <c r="F420">
        <v>8524</v>
      </c>
      <c r="G420" t="s">
        <v>402</v>
      </c>
      <c r="H420" t="s">
        <v>15226</v>
      </c>
      <c r="I420">
        <v>48033</v>
      </c>
    </row>
    <row r="421" spans="1:9" x14ac:dyDescent="0.25">
      <c r="A421" t="s">
        <v>4026</v>
      </c>
      <c r="B421" t="s">
        <v>4027</v>
      </c>
      <c r="C421" t="s">
        <v>4029</v>
      </c>
      <c r="E421" t="s">
        <v>4028</v>
      </c>
      <c r="F421">
        <v>8531</v>
      </c>
      <c r="G421" t="s">
        <v>87</v>
      </c>
      <c r="H421" t="s">
        <v>15222</v>
      </c>
      <c r="I421">
        <v>46222</v>
      </c>
    </row>
    <row r="422" spans="1:9" x14ac:dyDescent="0.25">
      <c r="A422" t="s">
        <v>4034</v>
      </c>
      <c r="B422" t="s">
        <v>4035</v>
      </c>
      <c r="E422" t="s">
        <v>4036</v>
      </c>
      <c r="F422">
        <v>8518</v>
      </c>
      <c r="G422" t="s">
        <v>1312</v>
      </c>
      <c r="H422" t="s">
        <v>15226</v>
      </c>
    </row>
    <row r="423" spans="1:9" x14ac:dyDescent="0.25">
      <c r="A423" t="s">
        <v>4039</v>
      </c>
      <c r="B423" t="s">
        <v>4040</v>
      </c>
      <c r="C423" t="s">
        <v>4042</v>
      </c>
      <c r="D423" t="s">
        <v>15354</v>
      </c>
      <c r="E423" t="s">
        <v>4041</v>
      </c>
      <c r="F423">
        <v>8534</v>
      </c>
      <c r="G423" t="s">
        <v>443</v>
      </c>
      <c r="H423" t="s">
        <v>72</v>
      </c>
      <c r="I423">
        <v>17419</v>
      </c>
    </row>
    <row r="424" spans="1:9" x14ac:dyDescent="0.25">
      <c r="A424" t="s">
        <v>4045</v>
      </c>
      <c r="B424" t="s">
        <v>4047</v>
      </c>
      <c r="C424" t="s">
        <v>4049</v>
      </c>
      <c r="D424" t="s">
        <v>15355</v>
      </c>
      <c r="E424" t="s">
        <v>4048</v>
      </c>
      <c r="F424">
        <v>8534</v>
      </c>
      <c r="G424" t="s">
        <v>443</v>
      </c>
      <c r="H424" t="s">
        <v>72</v>
      </c>
      <c r="I424">
        <v>27934</v>
      </c>
    </row>
    <row r="425" spans="1:9" x14ac:dyDescent="0.25">
      <c r="A425" t="s">
        <v>15140</v>
      </c>
      <c r="B425" t="s">
        <v>4070</v>
      </c>
      <c r="C425" t="s">
        <v>4072</v>
      </c>
      <c r="E425" t="s">
        <v>4071</v>
      </c>
      <c r="F425">
        <v>8526</v>
      </c>
      <c r="G425" t="s">
        <v>662</v>
      </c>
      <c r="H425" t="s">
        <v>106</v>
      </c>
      <c r="I425">
        <v>47104</v>
      </c>
    </row>
    <row r="426" spans="1:9" x14ac:dyDescent="0.25">
      <c r="A426" t="s">
        <v>4074</v>
      </c>
      <c r="B426" t="s">
        <v>4075</v>
      </c>
      <c r="C426" t="s">
        <v>4077</v>
      </c>
      <c r="E426" t="s">
        <v>4076</v>
      </c>
      <c r="F426">
        <v>8516</v>
      </c>
      <c r="G426" t="s">
        <v>154</v>
      </c>
      <c r="H426" t="s">
        <v>15226</v>
      </c>
      <c r="I426">
        <v>43511</v>
      </c>
    </row>
    <row r="427" spans="1:9" x14ac:dyDescent="0.25">
      <c r="A427" t="s">
        <v>4079</v>
      </c>
      <c r="B427" t="s">
        <v>4080</v>
      </c>
      <c r="C427" t="s">
        <v>4085</v>
      </c>
      <c r="E427" t="s">
        <v>4082</v>
      </c>
      <c r="F427">
        <v>8613</v>
      </c>
      <c r="G427" t="s">
        <v>4081</v>
      </c>
      <c r="H427" t="s">
        <v>106</v>
      </c>
      <c r="I427">
        <v>22209</v>
      </c>
    </row>
    <row r="428" spans="1:9" x14ac:dyDescent="0.25">
      <c r="A428" t="s">
        <v>4096</v>
      </c>
      <c r="B428" t="s">
        <v>4097</v>
      </c>
      <c r="C428" t="s">
        <v>4099</v>
      </c>
      <c r="E428" t="s">
        <v>4098</v>
      </c>
      <c r="F428">
        <v>8531</v>
      </c>
      <c r="G428" t="s">
        <v>90</v>
      </c>
      <c r="H428" t="s">
        <v>15222</v>
      </c>
      <c r="I428">
        <v>35932</v>
      </c>
    </row>
    <row r="429" spans="1:9" x14ac:dyDescent="0.25">
      <c r="A429" t="s">
        <v>4108</v>
      </c>
      <c r="B429" t="s">
        <v>4109</v>
      </c>
      <c r="C429" t="s">
        <v>4111</v>
      </c>
      <c r="D429" t="s">
        <v>4111</v>
      </c>
      <c r="E429" t="s">
        <v>4110</v>
      </c>
      <c r="F429">
        <v>8531</v>
      </c>
      <c r="G429" t="s">
        <v>87</v>
      </c>
      <c r="H429" t="s">
        <v>15222</v>
      </c>
      <c r="I429">
        <v>27889</v>
      </c>
    </row>
    <row r="430" spans="1:9" x14ac:dyDescent="0.25">
      <c r="A430" t="s">
        <v>4123</v>
      </c>
      <c r="B430" t="s">
        <v>4124</v>
      </c>
      <c r="F430">
        <v>6201</v>
      </c>
      <c r="H430" t="s">
        <v>15220</v>
      </c>
    </row>
    <row r="431" spans="1:9" x14ac:dyDescent="0.25">
      <c r="A431" t="s">
        <v>4126</v>
      </c>
      <c r="B431" t="s">
        <v>4127</v>
      </c>
      <c r="C431" t="s">
        <v>4129</v>
      </c>
      <c r="E431" t="s">
        <v>4128</v>
      </c>
      <c r="F431">
        <v>6201</v>
      </c>
      <c r="G431" t="s">
        <v>38</v>
      </c>
      <c r="H431" t="s">
        <v>15220</v>
      </c>
    </row>
    <row r="432" spans="1:9" x14ac:dyDescent="0.25">
      <c r="A432" t="s">
        <v>4133</v>
      </c>
      <c r="B432" t="s">
        <v>4134</v>
      </c>
      <c r="C432" t="s">
        <v>4137</v>
      </c>
      <c r="E432" t="s">
        <v>4136</v>
      </c>
      <c r="F432">
        <v>6301</v>
      </c>
      <c r="G432" t="s">
        <v>15356</v>
      </c>
      <c r="H432" t="s">
        <v>15222</v>
      </c>
      <c r="I432">
        <v>6233</v>
      </c>
    </row>
    <row r="433" spans="1:9" x14ac:dyDescent="0.25">
      <c r="A433" t="s">
        <v>4145</v>
      </c>
      <c r="B433" t="s">
        <v>4146</v>
      </c>
      <c r="C433" t="s">
        <v>4148</v>
      </c>
      <c r="E433" t="s">
        <v>4147</v>
      </c>
      <c r="F433">
        <v>8555</v>
      </c>
      <c r="G433" t="s">
        <v>922</v>
      </c>
      <c r="H433" t="s">
        <v>15222</v>
      </c>
      <c r="I433">
        <v>35573</v>
      </c>
    </row>
    <row r="434" spans="1:9" x14ac:dyDescent="0.25">
      <c r="A434" t="s">
        <v>4153</v>
      </c>
      <c r="B434" t="s">
        <v>1722</v>
      </c>
      <c r="C434" t="s">
        <v>1726</v>
      </c>
      <c r="D434" t="s">
        <v>15357</v>
      </c>
      <c r="F434">
        <v>8544</v>
      </c>
      <c r="G434" t="s">
        <v>116</v>
      </c>
      <c r="H434" t="s">
        <v>15231</v>
      </c>
    </row>
    <row r="435" spans="1:9" x14ac:dyDescent="0.25">
      <c r="A435" t="s">
        <v>4160</v>
      </c>
      <c r="B435" t="s">
        <v>4161</v>
      </c>
      <c r="C435" t="s">
        <v>4163</v>
      </c>
      <c r="E435" t="s">
        <v>4162</v>
      </c>
      <c r="F435">
        <v>8524</v>
      </c>
      <c r="G435" t="s">
        <v>402</v>
      </c>
      <c r="H435" t="s">
        <v>15226</v>
      </c>
      <c r="I435">
        <v>42274</v>
      </c>
    </row>
    <row r="436" spans="1:9" x14ac:dyDescent="0.25">
      <c r="A436" t="s">
        <v>4165</v>
      </c>
      <c r="B436" t="s">
        <v>4166</v>
      </c>
      <c r="C436" t="s">
        <v>4168</v>
      </c>
      <c r="D436" t="s">
        <v>15358</v>
      </c>
      <c r="E436" t="s">
        <v>4167</v>
      </c>
      <c r="F436">
        <v>8534</v>
      </c>
      <c r="G436" t="s">
        <v>443</v>
      </c>
      <c r="H436" t="s">
        <v>72</v>
      </c>
      <c r="I436">
        <v>4602</v>
      </c>
    </row>
    <row r="437" spans="1:9" x14ac:dyDescent="0.25">
      <c r="A437" t="s">
        <v>4171</v>
      </c>
      <c r="B437" t="s">
        <v>4172</v>
      </c>
      <c r="C437" t="s">
        <v>4174</v>
      </c>
      <c r="E437" t="s">
        <v>4173</v>
      </c>
      <c r="F437">
        <v>8551</v>
      </c>
      <c r="G437" t="s">
        <v>366</v>
      </c>
      <c r="H437" t="s">
        <v>15233</v>
      </c>
      <c r="I437">
        <v>48251</v>
      </c>
    </row>
    <row r="438" spans="1:9" x14ac:dyDescent="0.25">
      <c r="A438" t="s">
        <v>4177</v>
      </c>
      <c r="B438" t="s">
        <v>4179</v>
      </c>
      <c r="C438" t="s">
        <v>4182</v>
      </c>
      <c r="D438" t="s">
        <v>4182</v>
      </c>
      <c r="E438" t="s">
        <v>4181</v>
      </c>
      <c r="F438">
        <v>8548</v>
      </c>
      <c r="G438" t="s">
        <v>4180</v>
      </c>
      <c r="H438" t="s">
        <v>15231</v>
      </c>
      <c r="I438">
        <v>5003</v>
      </c>
    </row>
    <row r="439" spans="1:9" x14ac:dyDescent="0.25">
      <c r="A439" t="s">
        <v>4184</v>
      </c>
      <c r="B439" t="s">
        <v>4186</v>
      </c>
      <c r="C439" t="s">
        <v>4187</v>
      </c>
      <c r="D439" t="s">
        <v>4187</v>
      </c>
      <c r="E439" t="s">
        <v>4181</v>
      </c>
      <c r="F439">
        <v>8545</v>
      </c>
      <c r="G439" t="s">
        <v>324</v>
      </c>
      <c r="H439" t="s">
        <v>15231</v>
      </c>
      <c r="I439">
        <v>48922</v>
      </c>
    </row>
    <row r="440" spans="1:9" x14ac:dyDescent="0.25">
      <c r="A440" t="s">
        <v>4189</v>
      </c>
      <c r="B440" t="s">
        <v>4190</v>
      </c>
      <c r="C440" t="s">
        <v>4191</v>
      </c>
      <c r="F440">
        <v>6201</v>
      </c>
      <c r="G440" t="s">
        <v>38</v>
      </c>
      <c r="H440" t="s">
        <v>15220</v>
      </c>
      <c r="I440">
        <v>5432</v>
      </c>
    </row>
    <row r="441" spans="1:9" x14ac:dyDescent="0.25">
      <c r="A441" t="s">
        <v>4194</v>
      </c>
      <c r="B441" t="s">
        <v>4195</v>
      </c>
      <c r="C441" t="s">
        <v>15359</v>
      </c>
      <c r="F441">
        <v>6201</v>
      </c>
      <c r="G441" t="s">
        <v>41</v>
      </c>
      <c r="H441" t="s">
        <v>15220</v>
      </c>
    </row>
    <row r="442" spans="1:9" x14ac:dyDescent="0.25">
      <c r="A442" t="s">
        <v>4204</v>
      </c>
      <c r="B442" t="s">
        <v>4205</v>
      </c>
      <c r="C442" t="s">
        <v>4207</v>
      </c>
      <c r="E442" t="s">
        <v>4206</v>
      </c>
      <c r="F442">
        <v>8531</v>
      </c>
      <c r="G442" t="s">
        <v>87</v>
      </c>
      <c r="H442" t="s">
        <v>15222</v>
      </c>
      <c r="I442">
        <v>35130</v>
      </c>
    </row>
    <row r="443" spans="1:9" x14ac:dyDescent="0.25">
      <c r="A443" t="s">
        <v>4212</v>
      </c>
      <c r="B443" t="s">
        <v>4213</v>
      </c>
      <c r="C443" t="s">
        <v>4215</v>
      </c>
      <c r="D443" t="s">
        <v>4215</v>
      </c>
      <c r="E443" t="s">
        <v>4214</v>
      </c>
      <c r="F443">
        <v>8544</v>
      </c>
      <c r="G443" t="s">
        <v>238</v>
      </c>
      <c r="H443" t="s">
        <v>15231</v>
      </c>
      <c r="I443">
        <v>4834</v>
      </c>
    </row>
    <row r="444" spans="1:9" x14ac:dyDescent="0.25">
      <c r="A444" t="s">
        <v>4220</v>
      </c>
      <c r="B444" t="s">
        <v>4222</v>
      </c>
      <c r="C444" t="s">
        <v>4227</v>
      </c>
      <c r="D444" t="s">
        <v>4227</v>
      </c>
      <c r="E444" t="s">
        <v>4224</v>
      </c>
      <c r="F444">
        <v>8685</v>
      </c>
      <c r="G444" t="s">
        <v>4223</v>
      </c>
      <c r="H444" t="s">
        <v>85</v>
      </c>
      <c r="I444">
        <v>48219</v>
      </c>
    </row>
    <row r="445" spans="1:9" x14ac:dyDescent="0.25">
      <c r="A445" t="s">
        <v>4231</v>
      </c>
      <c r="B445" t="s">
        <v>4232</v>
      </c>
      <c r="C445" t="s">
        <v>4234</v>
      </c>
      <c r="E445" t="s">
        <v>4233</v>
      </c>
      <c r="F445">
        <v>8533</v>
      </c>
      <c r="G445" t="s">
        <v>300</v>
      </c>
      <c r="H445" t="s">
        <v>72</v>
      </c>
      <c r="I445">
        <v>47952</v>
      </c>
    </row>
    <row r="446" spans="1:9" x14ac:dyDescent="0.25">
      <c r="A446" t="s">
        <v>4247</v>
      </c>
      <c r="B446" t="s">
        <v>4245</v>
      </c>
      <c r="C446" t="s">
        <v>4250</v>
      </c>
      <c r="D446" t="s">
        <v>15360</v>
      </c>
      <c r="E446">
        <v>4147734789</v>
      </c>
      <c r="F446">
        <v>8544</v>
      </c>
      <c r="G446" t="s">
        <v>116</v>
      </c>
      <c r="H446" t="s">
        <v>15231</v>
      </c>
      <c r="I446">
        <v>38044</v>
      </c>
    </row>
    <row r="447" spans="1:9" x14ac:dyDescent="0.25">
      <c r="A447" t="s">
        <v>4255</v>
      </c>
      <c r="B447" t="s">
        <v>4256</v>
      </c>
      <c r="C447" t="s">
        <v>4258</v>
      </c>
      <c r="D447" t="s">
        <v>15361</v>
      </c>
      <c r="E447" t="s">
        <v>4257</v>
      </c>
      <c r="F447">
        <v>8534</v>
      </c>
      <c r="G447" t="s">
        <v>443</v>
      </c>
      <c r="H447" t="s">
        <v>72</v>
      </c>
      <c r="I447">
        <v>47247</v>
      </c>
    </row>
    <row r="448" spans="1:9" x14ac:dyDescent="0.25">
      <c r="A448" t="s">
        <v>4262</v>
      </c>
      <c r="B448" t="s">
        <v>4263</v>
      </c>
      <c r="C448" t="s">
        <v>4265</v>
      </c>
      <c r="E448" t="s">
        <v>4264</v>
      </c>
      <c r="F448">
        <v>8595</v>
      </c>
      <c r="G448" t="s">
        <v>3299</v>
      </c>
      <c r="H448" t="s">
        <v>15226</v>
      </c>
      <c r="I448">
        <v>30735</v>
      </c>
    </row>
    <row r="449" spans="1:9" x14ac:dyDescent="0.25">
      <c r="A449" t="s">
        <v>4268</v>
      </c>
      <c r="B449" t="s">
        <v>4269</v>
      </c>
      <c r="C449" t="s">
        <v>4271</v>
      </c>
      <c r="E449" t="s">
        <v>4270</v>
      </c>
      <c r="F449">
        <v>8540</v>
      </c>
      <c r="G449" t="s">
        <v>15268</v>
      </c>
      <c r="H449" t="s">
        <v>72</v>
      </c>
      <c r="I449">
        <v>42523</v>
      </c>
    </row>
    <row r="450" spans="1:9" x14ac:dyDescent="0.25">
      <c r="A450" t="s">
        <v>4274</v>
      </c>
      <c r="B450" t="s">
        <v>4276</v>
      </c>
      <c r="C450" t="s">
        <v>4278</v>
      </c>
      <c r="D450" t="s">
        <v>4278</v>
      </c>
      <c r="E450" t="s">
        <v>4277</v>
      </c>
      <c r="F450">
        <v>8519</v>
      </c>
      <c r="G450" t="s">
        <v>1898</v>
      </c>
      <c r="H450" t="s">
        <v>15226</v>
      </c>
      <c r="I450">
        <v>38000</v>
      </c>
    </row>
    <row r="451" spans="1:9" x14ac:dyDescent="0.25">
      <c r="A451" t="s">
        <v>4281</v>
      </c>
      <c r="B451" t="s">
        <v>4282</v>
      </c>
      <c r="C451" t="s">
        <v>4284</v>
      </c>
      <c r="E451" t="s">
        <v>4283</v>
      </c>
      <c r="F451">
        <v>8519</v>
      </c>
      <c r="G451" t="s">
        <v>1898</v>
      </c>
      <c r="H451" t="s">
        <v>15226</v>
      </c>
      <c r="I451">
        <v>4749</v>
      </c>
    </row>
    <row r="452" spans="1:9" x14ac:dyDescent="0.25">
      <c r="A452" t="s">
        <v>4287</v>
      </c>
      <c r="B452" t="s">
        <v>4288</v>
      </c>
      <c r="C452" t="s">
        <v>4290</v>
      </c>
      <c r="D452" t="s">
        <v>4290</v>
      </c>
      <c r="E452" t="s">
        <v>4289</v>
      </c>
      <c r="F452">
        <v>8535</v>
      </c>
      <c r="G452" t="s">
        <v>653</v>
      </c>
      <c r="H452" t="s">
        <v>72</v>
      </c>
      <c r="I452">
        <v>4474</v>
      </c>
    </row>
    <row r="453" spans="1:9" x14ac:dyDescent="0.25">
      <c r="A453" t="s">
        <v>4292</v>
      </c>
      <c r="B453" t="s">
        <v>4293</v>
      </c>
      <c r="C453" t="s">
        <v>4295</v>
      </c>
      <c r="E453" t="s">
        <v>4294</v>
      </c>
      <c r="F453">
        <v>8533</v>
      </c>
      <c r="G453" t="s">
        <v>300</v>
      </c>
      <c r="H453" t="s">
        <v>72</v>
      </c>
      <c r="I453">
        <v>37693</v>
      </c>
    </row>
    <row r="454" spans="1:9" x14ac:dyDescent="0.25">
      <c r="A454" t="s">
        <v>4297</v>
      </c>
      <c r="B454" t="s">
        <v>4299</v>
      </c>
      <c r="C454" t="s">
        <v>4303</v>
      </c>
      <c r="D454" t="s">
        <v>4303</v>
      </c>
      <c r="F454">
        <v>8616</v>
      </c>
      <c r="G454" t="s">
        <v>4300</v>
      </c>
      <c r="H454" t="s">
        <v>15226</v>
      </c>
      <c r="I454">
        <v>39256</v>
      </c>
    </row>
    <row r="455" spans="1:9" x14ac:dyDescent="0.25">
      <c r="A455" t="s">
        <v>4311</v>
      </c>
      <c r="B455" t="s">
        <v>4312</v>
      </c>
      <c r="C455" t="s">
        <v>4317</v>
      </c>
      <c r="E455" t="s">
        <v>4314</v>
      </c>
      <c r="F455">
        <v>8615</v>
      </c>
      <c r="G455" t="s">
        <v>15362</v>
      </c>
      <c r="H455" t="s">
        <v>15222</v>
      </c>
      <c r="I455">
        <v>1407</v>
      </c>
    </row>
    <row r="456" spans="1:9" x14ac:dyDescent="0.25">
      <c r="A456" t="s">
        <v>4319</v>
      </c>
      <c r="B456" t="s">
        <v>4320</v>
      </c>
      <c r="C456" t="s">
        <v>4322</v>
      </c>
      <c r="E456" t="s">
        <v>4321</v>
      </c>
      <c r="F456">
        <v>6201</v>
      </c>
      <c r="G456" t="s">
        <v>38</v>
      </c>
      <c r="H456" t="s">
        <v>15220</v>
      </c>
    </row>
    <row r="457" spans="1:9" x14ac:dyDescent="0.25">
      <c r="A457" t="s">
        <v>4325</v>
      </c>
      <c r="B457" t="s">
        <v>4326</v>
      </c>
      <c r="C457" t="s">
        <v>4328</v>
      </c>
      <c r="E457" t="s">
        <v>4327</v>
      </c>
      <c r="F457">
        <v>8540</v>
      </c>
      <c r="G457" t="s">
        <v>1062</v>
      </c>
      <c r="H457" t="s">
        <v>72</v>
      </c>
      <c r="I457">
        <v>35071</v>
      </c>
    </row>
    <row r="458" spans="1:9" x14ac:dyDescent="0.25">
      <c r="A458" t="s">
        <v>4331</v>
      </c>
      <c r="B458" t="s">
        <v>4332</v>
      </c>
      <c r="C458" t="s">
        <v>4334</v>
      </c>
      <c r="E458" t="s">
        <v>4333</v>
      </c>
      <c r="F458">
        <v>8525</v>
      </c>
      <c r="G458" t="s">
        <v>1581</v>
      </c>
      <c r="H458" t="s">
        <v>15226</v>
      </c>
      <c r="I458">
        <v>6698</v>
      </c>
    </row>
    <row r="459" spans="1:9" x14ac:dyDescent="0.25">
      <c r="A459" t="s">
        <v>4342</v>
      </c>
      <c r="B459" t="s">
        <v>4343</v>
      </c>
      <c r="C459" t="s">
        <v>4345</v>
      </c>
      <c r="E459" t="s">
        <v>4344</v>
      </c>
      <c r="F459">
        <v>8519</v>
      </c>
      <c r="G459" t="s">
        <v>1898</v>
      </c>
      <c r="H459" t="s">
        <v>15226</v>
      </c>
      <c r="I459">
        <v>38544</v>
      </c>
    </row>
    <row r="460" spans="1:9" x14ac:dyDescent="0.25">
      <c r="A460" t="s">
        <v>4348</v>
      </c>
      <c r="B460" t="s">
        <v>4349</v>
      </c>
      <c r="C460" t="s">
        <v>4351</v>
      </c>
      <c r="D460" t="s">
        <v>15363</v>
      </c>
      <c r="E460" t="s">
        <v>4350</v>
      </c>
      <c r="F460">
        <v>8534</v>
      </c>
      <c r="G460" t="s">
        <v>443</v>
      </c>
      <c r="H460" t="s">
        <v>72</v>
      </c>
      <c r="I460">
        <v>33370</v>
      </c>
    </row>
    <row r="461" spans="1:9" x14ac:dyDescent="0.25">
      <c r="A461" t="s">
        <v>4353</v>
      </c>
      <c r="B461" t="s">
        <v>4354</v>
      </c>
      <c r="C461" t="s">
        <v>4356</v>
      </c>
      <c r="E461" t="s">
        <v>4355</v>
      </c>
      <c r="F461">
        <v>8544</v>
      </c>
      <c r="G461" t="s">
        <v>116</v>
      </c>
      <c r="H461" t="s">
        <v>15231</v>
      </c>
      <c r="I461">
        <v>6045</v>
      </c>
    </row>
    <row r="462" spans="1:9" x14ac:dyDescent="0.25">
      <c r="A462" t="s">
        <v>4363</v>
      </c>
      <c r="B462" t="s">
        <v>4364</v>
      </c>
      <c r="C462" t="s">
        <v>4366</v>
      </c>
      <c r="E462" t="s">
        <v>4365</v>
      </c>
      <c r="F462">
        <v>8524</v>
      </c>
      <c r="G462" t="s">
        <v>402</v>
      </c>
      <c r="H462" t="s">
        <v>15226</v>
      </c>
      <c r="I462">
        <v>7021</v>
      </c>
    </row>
    <row r="463" spans="1:9" x14ac:dyDescent="0.25">
      <c r="A463" t="s">
        <v>4378</v>
      </c>
      <c r="B463" t="s">
        <v>4379</v>
      </c>
      <c r="C463" t="s">
        <v>4381</v>
      </c>
      <c r="E463" t="s">
        <v>4380</v>
      </c>
      <c r="F463">
        <v>8612</v>
      </c>
      <c r="G463" t="s">
        <v>4054</v>
      </c>
      <c r="H463" t="s">
        <v>15226</v>
      </c>
      <c r="I463">
        <v>47875</v>
      </c>
    </row>
    <row r="464" spans="1:9" x14ac:dyDescent="0.25">
      <c r="A464" t="s">
        <v>4389</v>
      </c>
      <c r="B464" t="s">
        <v>505</v>
      </c>
      <c r="C464" t="s">
        <v>4393</v>
      </c>
      <c r="D464" t="s">
        <v>4393</v>
      </c>
      <c r="E464" t="s">
        <v>4392</v>
      </c>
      <c r="F464">
        <v>8531</v>
      </c>
      <c r="G464" t="s">
        <v>87</v>
      </c>
      <c r="H464" t="s">
        <v>15222</v>
      </c>
      <c r="I464">
        <v>39338</v>
      </c>
    </row>
    <row r="465" spans="1:9" x14ac:dyDescent="0.25">
      <c r="A465" t="s">
        <v>4396</v>
      </c>
      <c r="B465" t="s">
        <v>4397</v>
      </c>
      <c r="C465" t="s">
        <v>4398</v>
      </c>
      <c r="F465">
        <v>8568</v>
      </c>
      <c r="G465" t="s">
        <v>358</v>
      </c>
      <c r="H465" t="s">
        <v>15220</v>
      </c>
      <c r="I465">
        <v>42457</v>
      </c>
    </row>
    <row r="466" spans="1:9" x14ac:dyDescent="0.25">
      <c r="A466" t="s">
        <v>4401</v>
      </c>
      <c r="B466" t="s">
        <v>4403</v>
      </c>
      <c r="C466" t="s">
        <v>4404</v>
      </c>
      <c r="F466">
        <v>8515</v>
      </c>
      <c r="G466" t="s">
        <v>255</v>
      </c>
      <c r="H466" t="s">
        <v>15249</v>
      </c>
      <c r="I466">
        <v>43342</v>
      </c>
    </row>
    <row r="467" spans="1:9" x14ac:dyDescent="0.25">
      <c r="A467" t="s">
        <v>4409</v>
      </c>
      <c r="B467" t="s">
        <v>4410</v>
      </c>
      <c r="C467" t="s">
        <v>4414</v>
      </c>
      <c r="F467">
        <v>8619</v>
      </c>
      <c r="G467" t="s">
        <v>4411</v>
      </c>
      <c r="H467" t="s">
        <v>15222</v>
      </c>
      <c r="I467">
        <v>48964</v>
      </c>
    </row>
    <row r="468" spans="1:9" x14ac:dyDescent="0.25">
      <c r="A468" t="s">
        <v>4419</v>
      </c>
      <c r="B468" t="s">
        <v>4420</v>
      </c>
      <c r="C468" t="s">
        <v>4425</v>
      </c>
      <c r="E468">
        <v>4147909480</v>
      </c>
      <c r="F468">
        <v>8620</v>
      </c>
      <c r="G468" t="s">
        <v>4421</v>
      </c>
      <c r="H468" t="s">
        <v>15231</v>
      </c>
      <c r="I468">
        <v>28172</v>
      </c>
    </row>
    <row r="469" spans="1:9" x14ac:dyDescent="0.25">
      <c r="A469" t="s">
        <v>4428</v>
      </c>
      <c r="B469" t="s">
        <v>4429</v>
      </c>
      <c r="C469" t="s">
        <v>4431</v>
      </c>
      <c r="E469" t="s">
        <v>4430</v>
      </c>
      <c r="F469">
        <v>8545</v>
      </c>
      <c r="G469" t="s">
        <v>324</v>
      </c>
      <c r="H469" t="s">
        <v>15231</v>
      </c>
      <c r="I469">
        <v>37934</v>
      </c>
    </row>
    <row r="470" spans="1:9" x14ac:dyDescent="0.25">
      <c r="A470" t="s">
        <v>4436</v>
      </c>
      <c r="B470" t="s">
        <v>4438</v>
      </c>
      <c r="C470" t="s">
        <v>4440</v>
      </c>
      <c r="D470" t="s">
        <v>4440</v>
      </c>
      <c r="E470" t="s">
        <v>4439</v>
      </c>
      <c r="F470">
        <v>8620</v>
      </c>
      <c r="G470" t="s">
        <v>4421</v>
      </c>
      <c r="H470" t="s">
        <v>15231</v>
      </c>
      <c r="I470">
        <v>7267</v>
      </c>
    </row>
    <row r="471" spans="1:9" x14ac:dyDescent="0.25">
      <c r="A471" t="s">
        <v>4443</v>
      </c>
      <c r="B471" t="s">
        <v>4444</v>
      </c>
      <c r="C471" t="s">
        <v>4446</v>
      </c>
      <c r="E471" t="s">
        <v>4445</v>
      </c>
      <c r="F471">
        <v>8545</v>
      </c>
      <c r="G471" t="s">
        <v>324</v>
      </c>
      <c r="H471" t="s">
        <v>15231</v>
      </c>
      <c r="I471">
        <v>46762</v>
      </c>
    </row>
    <row r="472" spans="1:9" x14ac:dyDescent="0.25">
      <c r="A472" t="s">
        <v>4453</v>
      </c>
      <c r="B472" t="s">
        <v>4454</v>
      </c>
      <c r="C472" t="s">
        <v>4456</v>
      </c>
      <c r="E472" t="s">
        <v>4455</v>
      </c>
      <c r="F472">
        <v>8523</v>
      </c>
      <c r="G472" t="s">
        <v>1607</v>
      </c>
      <c r="H472" t="s">
        <v>15226</v>
      </c>
      <c r="I472">
        <v>37328</v>
      </c>
    </row>
    <row r="473" spans="1:9" x14ac:dyDescent="0.25">
      <c r="A473" t="s">
        <v>4462</v>
      </c>
      <c r="B473" t="s">
        <v>4463</v>
      </c>
      <c r="C473" t="s">
        <v>4465</v>
      </c>
      <c r="E473" t="s">
        <v>4464</v>
      </c>
      <c r="F473">
        <v>6201</v>
      </c>
      <c r="G473" t="s">
        <v>41</v>
      </c>
      <c r="H473" t="s">
        <v>15220</v>
      </c>
      <c r="I473">
        <v>6484</v>
      </c>
    </row>
    <row r="474" spans="1:9" x14ac:dyDescent="0.25">
      <c r="A474" t="s">
        <v>4468</v>
      </c>
      <c r="B474" t="s">
        <v>4469</v>
      </c>
      <c r="C474" t="s">
        <v>4471</v>
      </c>
      <c r="D474" t="s">
        <v>4471</v>
      </c>
      <c r="E474" t="s">
        <v>4470</v>
      </c>
      <c r="F474">
        <v>8558</v>
      </c>
      <c r="G474" t="s">
        <v>2647</v>
      </c>
      <c r="H474" t="s">
        <v>1215</v>
      </c>
      <c r="I474">
        <v>41907</v>
      </c>
    </row>
    <row r="475" spans="1:9" x14ac:dyDescent="0.25">
      <c r="A475" t="s">
        <v>4474</v>
      </c>
      <c r="B475" t="s">
        <v>4475</v>
      </c>
      <c r="C475" t="s">
        <v>4476</v>
      </c>
      <c r="F475">
        <v>8566</v>
      </c>
      <c r="G475" t="s">
        <v>2831</v>
      </c>
      <c r="H475" t="s">
        <v>85</v>
      </c>
      <c r="I475">
        <v>33803</v>
      </c>
    </row>
    <row r="476" spans="1:9" x14ac:dyDescent="0.25">
      <c r="A476" t="s">
        <v>4478</v>
      </c>
      <c r="B476" t="s">
        <v>4479</v>
      </c>
      <c r="C476" t="s">
        <v>4480</v>
      </c>
      <c r="D476" t="s">
        <v>15364</v>
      </c>
      <c r="F476">
        <v>8523</v>
      </c>
      <c r="G476" t="s">
        <v>1607</v>
      </c>
      <c r="H476" t="s">
        <v>15226</v>
      </c>
      <c r="I476">
        <v>5159</v>
      </c>
    </row>
    <row r="477" spans="1:9" x14ac:dyDescent="0.25">
      <c r="A477" t="s">
        <v>4485</v>
      </c>
      <c r="B477" t="s">
        <v>4486</v>
      </c>
      <c r="C477" t="s">
        <v>4489</v>
      </c>
      <c r="F477">
        <v>8640</v>
      </c>
      <c r="G477" t="s">
        <v>4487</v>
      </c>
      <c r="H477" t="s">
        <v>106</v>
      </c>
      <c r="I477">
        <v>1320</v>
      </c>
    </row>
    <row r="478" spans="1:9" x14ac:dyDescent="0.25">
      <c r="A478" t="s">
        <v>4492</v>
      </c>
      <c r="B478" t="s">
        <v>4493</v>
      </c>
      <c r="C478" t="s">
        <v>4497</v>
      </c>
      <c r="D478" t="s">
        <v>4497</v>
      </c>
      <c r="E478" t="s">
        <v>4496</v>
      </c>
      <c r="F478">
        <v>8515</v>
      </c>
      <c r="G478" t="s">
        <v>4495</v>
      </c>
      <c r="H478" t="s">
        <v>15249</v>
      </c>
      <c r="I478">
        <v>41327</v>
      </c>
    </row>
    <row r="479" spans="1:9" x14ac:dyDescent="0.25">
      <c r="A479" t="s">
        <v>4500</v>
      </c>
      <c r="B479" t="s">
        <v>4501</v>
      </c>
      <c r="C479" t="s">
        <v>4506</v>
      </c>
      <c r="E479" t="s">
        <v>4503</v>
      </c>
      <c r="F479">
        <v>8621</v>
      </c>
      <c r="G479" t="s">
        <v>15365</v>
      </c>
      <c r="H479" t="s">
        <v>15222</v>
      </c>
      <c r="I479">
        <v>833</v>
      </c>
    </row>
    <row r="480" spans="1:9" x14ac:dyDescent="0.25">
      <c r="A480" t="s">
        <v>4511</v>
      </c>
      <c r="B480" t="s">
        <v>4512</v>
      </c>
      <c r="C480" t="s">
        <v>4514</v>
      </c>
      <c r="E480" t="s">
        <v>4513</v>
      </c>
      <c r="F480">
        <v>8540</v>
      </c>
      <c r="G480" t="s">
        <v>1062</v>
      </c>
      <c r="H480" t="s">
        <v>72</v>
      </c>
      <c r="I480">
        <v>49744</v>
      </c>
    </row>
    <row r="481" spans="1:9" x14ac:dyDescent="0.25">
      <c r="A481" t="s">
        <v>4517</v>
      </c>
      <c r="B481" t="s">
        <v>4518</v>
      </c>
      <c r="C481" t="s">
        <v>4520</v>
      </c>
      <c r="E481" t="s">
        <v>4519</v>
      </c>
      <c r="F481">
        <v>8533</v>
      </c>
      <c r="G481" t="s">
        <v>300</v>
      </c>
      <c r="H481" t="s">
        <v>72</v>
      </c>
      <c r="I481">
        <v>47999</v>
      </c>
    </row>
    <row r="482" spans="1:9" x14ac:dyDescent="0.25">
      <c r="A482" t="s">
        <v>4526</v>
      </c>
      <c r="B482" t="s">
        <v>4527</v>
      </c>
      <c r="C482" t="s">
        <v>4529</v>
      </c>
      <c r="E482">
        <v>4165852756</v>
      </c>
      <c r="F482">
        <v>7101</v>
      </c>
      <c r="G482" t="s">
        <v>721</v>
      </c>
      <c r="H482" t="s">
        <v>15226</v>
      </c>
      <c r="I482">
        <v>46667</v>
      </c>
    </row>
    <row r="483" spans="1:9" x14ac:dyDescent="0.25">
      <c r="A483" t="s">
        <v>4532</v>
      </c>
      <c r="B483" t="s">
        <v>4533</v>
      </c>
      <c r="C483" t="s">
        <v>38</v>
      </c>
      <c r="E483" t="s">
        <v>4534</v>
      </c>
      <c r="F483">
        <v>6201</v>
      </c>
      <c r="G483" t="s">
        <v>38</v>
      </c>
      <c r="H483" t="s">
        <v>15220</v>
      </c>
    </row>
    <row r="484" spans="1:9" x14ac:dyDescent="0.25">
      <c r="A484" t="s">
        <v>4537</v>
      </c>
      <c r="B484" t="s">
        <v>4539</v>
      </c>
      <c r="C484" t="s">
        <v>4541</v>
      </c>
      <c r="D484" t="s">
        <v>15366</v>
      </c>
      <c r="E484" t="s">
        <v>4540</v>
      </c>
      <c r="F484">
        <v>6201</v>
      </c>
      <c r="G484" t="s">
        <v>38</v>
      </c>
      <c r="H484" t="s">
        <v>15220</v>
      </c>
      <c r="I484">
        <v>53191</v>
      </c>
    </row>
    <row r="485" spans="1:9" x14ac:dyDescent="0.25">
      <c r="A485" t="s">
        <v>4544</v>
      </c>
      <c r="B485" t="s">
        <v>4539</v>
      </c>
      <c r="C485" t="s">
        <v>4541</v>
      </c>
      <c r="D485" t="s">
        <v>15367</v>
      </c>
      <c r="E485" t="s">
        <v>4545</v>
      </c>
      <c r="F485">
        <v>6201</v>
      </c>
      <c r="G485" t="s">
        <v>38</v>
      </c>
      <c r="H485" t="s">
        <v>15220</v>
      </c>
      <c r="I485">
        <v>53191</v>
      </c>
    </row>
    <row r="486" spans="1:9" x14ac:dyDescent="0.25">
      <c r="A486" t="s">
        <v>4548</v>
      </c>
      <c r="B486" t="s">
        <v>4549</v>
      </c>
      <c r="C486" t="s">
        <v>4551</v>
      </c>
      <c r="E486">
        <v>4121903210</v>
      </c>
      <c r="F486">
        <v>8523</v>
      </c>
      <c r="G486" t="s">
        <v>1607</v>
      </c>
      <c r="H486" t="s">
        <v>15226</v>
      </c>
      <c r="I486">
        <v>46711</v>
      </c>
    </row>
    <row r="487" spans="1:9" x14ac:dyDescent="0.25">
      <c r="A487" t="s">
        <v>4554</v>
      </c>
      <c r="B487" t="s">
        <v>4555</v>
      </c>
      <c r="C487" t="s">
        <v>38</v>
      </c>
      <c r="E487" t="s">
        <v>4556</v>
      </c>
      <c r="F487">
        <v>6201</v>
      </c>
      <c r="G487" t="s">
        <v>41</v>
      </c>
      <c r="H487" t="s">
        <v>15220</v>
      </c>
    </row>
    <row r="488" spans="1:9" x14ac:dyDescent="0.25">
      <c r="A488" t="s">
        <v>4558</v>
      </c>
      <c r="B488" t="s">
        <v>4559</v>
      </c>
      <c r="C488" t="s">
        <v>38</v>
      </c>
      <c r="F488">
        <v>6201</v>
      </c>
      <c r="G488" t="s">
        <v>38</v>
      </c>
      <c r="H488" t="s">
        <v>15220</v>
      </c>
    </row>
    <row r="489" spans="1:9" x14ac:dyDescent="0.25">
      <c r="A489" t="s">
        <v>4561</v>
      </c>
      <c r="B489" t="s">
        <v>4562</v>
      </c>
      <c r="C489" t="s">
        <v>4567</v>
      </c>
      <c r="E489" t="s">
        <v>4564</v>
      </c>
      <c r="F489">
        <v>8622</v>
      </c>
      <c r="G489" t="s">
        <v>4563</v>
      </c>
      <c r="H489" t="s">
        <v>279</v>
      </c>
      <c r="I489">
        <v>49509</v>
      </c>
    </row>
    <row r="490" spans="1:9" x14ac:dyDescent="0.25">
      <c r="A490" t="s">
        <v>4569</v>
      </c>
      <c r="B490" t="s">
        <v>4570</v>
      </c>
      <c r="C490" t="s">
        <v>4571</v>
      </c>
      <c r="F490">
        <v>8529</v>
      </c>
      <c r="G490" t="s">
        <v>418</v>
      </c>
      <c r="H490" t="s">
        <v>15220</v>
      </c>
      <c r="I490">
        <v>6989</v>
      </c>
    </row>
    <row r="491" spans="1:9" x14ac:dyDescent="0.25">
      <c r="A491" t="s">
        <v>4574</v>
      </c>
      <c r="B491" t="s">
        <v>4575</v>
      </c>
      <c r="C491" t="s">
        <v>4576</v>
      </c>
      <c r="E491" t="s">
        <v>2008</v>
      </c>
      <c r="F491">
        <v>8540</v>
      </c>
      <c r="G491" t="s">
        <v>15268</v>
      </c>
      <c r="H491" t="s">
        <v>72</v>
      </c>
      <c r="I491">
        <v>49607</v>
      </c>
    </row>
    <row r="492" spans="1:9" x14ac:dyDescent="0.25">
      <c r="A492" t="s">
        <v>4579</v>
      </c>
      <c r="B492" t="s">
        <v>4580</v>
      </c>
      <c r="C492" t="s">
        <v>4582</v>
      </c>
      <c r="E492">
        <v>573145823574</v>
      </c>
      <c r="F492">
        <v>8518</v>
      </c>
      <c r="G492" t="s">
        <v>1312</v>
      </c>
      <c r="H492" t="s">
        <v>15226</v>
      </c>
    </row>
    <row r="493" spans="1:9" x14ac:dyDescent="0.25">
      <c r="A493" t="s">
        <v>4589</v>
      </c>
      <c r="B493" t="s">
        <v>2267</v>
      </c>
      <c r="C493" t="s">
        <v>15368</v>
      </c>
      <c r="D493" t="s">
        <v>15368</v>
      </c>
      <c r="E493" t="s">
        <v>4590</v>
      </c>
      <c r="F493">
        <v>8523</v>
      </c>
      <c r="G493" t="s">
        <v>1607</v>
      </c>
      <c r="H493" t="s">
        <v>15226</v>
      </c>
      <c r="I493">
        <v>37684</v>
      </c>
    </row>
    <row r="494" spans="1:9" x14ac:dyDescent="0.25">
      <c r="A494" t="s">
        <v>15141</v>
      </c>
      <c r="B494" t="s">
        <v>4595</v>
      </c>
      <c r="C494" t="s">
        <v>4597</v>
      </c>
      <c r="E494" t="s">
        <v>4596</v>
      </c>
      <c r="F494">
        <v>8524</v>
      </c>
      <c r="G494" t="s">
        <v>402</v>
      </c>
      <c r="H494" t="s">
        <v>15226</v>
      </c>
    </row>
    <row r="495" spans="1:9" x14ac:dyDescent="0.25">
      <c r="A495" t="s">
        <v>4606</v>
      </c>
      <c r="B495" t="s">
        <v>4607</v>
      </c>
      <c r="C495" t="s">
        <v>4609</v>
      </c>
      <c r="E495" t="s">
        <v>4608</v>
      </c>
      <c r="F495">
        <v>6201</v>
      </c>
      <c r="G495" t="s">
        <v>41</v>
      </c>
      <c r="H495" t="s">
        <v>15220</v>
      </c>
      <c r="I495">
        <v>5189</v>
      </c>
    </row>
    <row r="496" spans="1:9" x14ac:dyDescent="0.25">
      <c r="A496" t="s">
        <v>4612</v>
      </c>
      <c r="B496" t="s">
        <v>4613</v>
      </c>
      <c r="C496" t="s">
        <v>4615</v>
      </c>
      <c r="E496" t="s">
        <v>4614</v>
      </c>
      <c r="F496">
        <v>8520</v>
      </c>
      <c r="G496" t="s">
        <v>1531</v>
      </c>
      <c r="H496" t="s">
        <v>15226</v>
      </c>
      <c r="I496">
        <v>48958</v>
      </c>
    </row>
    <row r="497" spans="1:9" x14ac:dyDescent="0.25">
      <c r="A497" t="s">
        <v>4618</v>
      </c>
      <c r="B497" t="s">
        <v>4619</v>
      </c>
      <c r="C497" t="s">
        <v>4623</v>
      </c>
      <c r="D497" t="s">
        <v>15369</v>
      </c>
      <c r="F497">
        <v>8623</v>
      </c>
      <c r="G497" t="s">
        <v>15370</v>
      </c>
      <c r="H497" t="s">
        <v>72</v>
      </c>
      <c r="I497">
        <v>5144</v>
      </c>
    </row>
    <row r="498" spans="1:9" x14ac:dyDescent="0.25">
      <c r="A498" t="s">
        <v>4626</v>
      </c>
      <c r="B498" t="s">
        <v>4627</v>
      </c>
      <c r="C498" t="s">
        <v>4629</v>
      </c>
      <c r="E498" t="s">
        <v>4628</v>
      </c>
      <c r="F498">
        <v>8560</v>
      </c>
      <c r="G498" t="s">
        <v>751</v>
      </c>
      <c r="H498" t="s">
        <v>15220</v>
      </c>
      <c r="I498">
        <v>46707</v>
      </c>
    </row>
    <row r="499" spans="1:9" x14ac:dyDescent="0.25">
      <c r="A499" t="s">
        <v>4634</v>
      </c>
      <c r="B499" t="s">
        <v>4636</v>
      </c>
      <c r="C499" t="s">
        <v>4638</v>
      </c>
      <c r="D499" t="s">
        <v>15371</v>
      </c>
      <c r="E499" t="s">
        <v>4637</v>
      </c>
      <c r="F499">
        <v>8566</v>
      </c>
      <c r="G499" t="s">
        <v>2831</v>
      </c>
      <c r="H499" t="s">
        <v>85</v>
      </c>
      <c r="I499">
        <v>41418</v>
      </c>
    </row>
    <row r="500" spans="1:9" x14ac:dyDescent="0.25">
      <c r="A500" t="s">
        <v>15142</v>
      </c>
      <c r="B500" t="s">
        <v>4641</v>
      </c>
      <c r="C500" t="s">
        <v>4643</v>
      </c>
      <c r="E500" t="s">
        <v>4642</v>
      </c>
      <c r="F500">
        <v>8653</v>
      </c>
      <c r="G500" t="s">
        <v>932</v>
      </c>
      <c r="H500" t="s">
        <v>279</v>
      </c>
      <c r="I500">
        <v>6119</v>
      </c>
    </row>
    <row r="501" spans="1:9" x14ac:dyDescent="0.25">
      <c r="A501" t="s">
        <v>4646</v>
      </c>
      <c r="B501" t="s">
        <v>4648</v>
      </c>
      <c r="C501" t="s">
        <v>4650</v>
      </c>
      <c r="E501" t="s">
        <v>4649</v>
      </c>
      <c r="F501">
        <v>6201</v>
      </c>
      <c r="G501" t="s">
        <v>41</v>
      </c>
      <c r="H501" t="s">
        <v>15220</v>
      </c>
      <c r="I501">
        <v>37027</v>
      </c>
    </row>
    <row r="502" spans="1:9" x14ac:dyDescent="0.25">
      <c r="A502" t="s">
        <v>4652</v>
      </c>
      <c r="B502" t="s">
        <v>4653</v>
      </c>
      <c r="C502" t="s">
        <v>4655</v>
      </c>
      <c r="E502" t="s">
        <v>4654</v>
      </c>
      <c r="F502">
        <v>8568</v>
      </c>
      <c r="G502" t="s">
        <v>361</v>
      </c>
      <c r="H502" t="s">
        <v>15220</v>
      </c>
      <c r="I502">
        <v>31737</v>
      </c>
    </row>
    <row r="503" spans="1:9" x14ac:dyDescent="0.25">
      <c r="A503" t="s">
        <v>4657</v>
      </c>
      <c r="B503" t="s">
        <v>338</v>
      </c>
      <c r="C503" t="s">
        <v>4660</v>
      </c>
      <c r="D503" t="s">
        <v>4660</v>
      </c>
      <c r="E503" t="s">
        <v>4659</v>
      </c>
      <c r="F503">
        <v>8569</v>
      </c>
      <c r="G503" t="s">
        <v>2012</v>
      </c>
      <c r="H503" t="s">
        <v>15220</v>
      </c>
    </row>
    <row r="504" spans="1:9" x14ac:dyDescent="0.25">
      <c r="A504" t="s">
        <v>4663</v>
      </c>
      <c r="B504" t="s">
        <v>4665</v>
      </c>
      <c r="C504" t="s">
        <v>15372</v>
      </c>
      <c r="D504" t="s">
        <v>15372</v>
      </c>
      <c r="E504" t="s">
        <v>4060</v>
      </c>
      <c r="F504">
        <v>8534</v>
      </c>
      <c r="G504" t="s">
        <v>443</v>
      </c>
      <c r="H504" t="s">
        <v>72</v>
      </c>
      <c r="I504">
        <v>49620</v>
      </c>
    </row>
    <row r="505" spans="1:9" x14ac:dyDescent="0.25">
      <c r="A505" t="s">
        <v>4669</v>
      </c>
      <c r="B505" t="s">
        <v>4670</v>
      </c>
      <c r="C505" t="s">
        <v>4672</v>
      </c>
      <c r="E505" t="s">
        <v>4671</v>
      </c>
      <c r="F505">
        <v>8523</v>
      </c>
      <c r="G505" t="s">
        <v>1222</v>
      </c>
      <c r="H505" t="s">
        <v>15226</v>
      </c>
      <c r="I505">
        <v>19359</v>
      </c>
    </row>
    <row r="506" spans="1:9" x14ac:dyDescent="0.25">
      <c r="A506" t="s">
        <v>4674</v>
      </c>
      <c r="B506" t="s">
        <v>4675</v>
      </c>
      <c r="C506" t="s">
        <v>4677</v>
      </c>
      <c r="D506" t="s">
        <v>4677</v>
      </c>
      <c r="E506" t="s">
        <v>4676</v>
      </c>
      <c r="F506">
        <v>8519</v>
      </c>
      <c r="G506" t="s">
        <v>1901</v>
      </c>
      <c r="H506" t="s">
        <v>15226</v>
      </c>
      <c r="I506">
        <v>41688</v>
      </c>
    </row>
    <row r="507" spans="1:9" x14ac:dyDescent="0.25">
      <c r="A507" t="s">
        <v>4680</v>
      </c>
      <c r="B507" t="s">
        <v>4681</v>
      </c>
      <c r="C507" t="s">
        <v>4683</v>
      </c>
      <c r="E507" t="s">
        <v>4682</v>
      </c>
      <c r="F507">
        <v>8524</v>
      </c>
      <c r="G507" t="s">
        <v>404</v>
      </c>
      <c r="H507" t="s">
        <v>15226</v>
      </c>
      <c r="I507">
        <v>41184</v>
      </c>
    </row>
    <row r="508" spans="1:9" x14ac:dyDescent="0.25">
      <c r="A508" t="s">
        <v>4689</v>
      </c>
      <c r="B508" t="s">
        <v>4690</v>
      </c>
      <c r="C508" t="s">
        <v>4692</v>
      </c>
      <c r="E508" t="s">
        <v>4691</v>
      </c>
      <c r="F508">
        <v>8599</v>
      </c>
      <c r="G508" t="s">
        <v>2920</v>
      </c>
      <c r="H508" t="s">
        <v>72</v>
      </c>
      <c r="I508">
        <v>50057</v>
      </c>
    </row>
    <row r="509" spans="1:9" x14ac:dyDescent="0.25">
      <c r="A509" t="s">
        <v>4695</v>
      </c>
      <c r="B509" t="s">
        <v>4539</v>
      </c>
      <c r="C509" t="s">
        <v>15373</v>
      </c>
      <c r="D509" t="s">
        <v>15374</v>
      </c>
      <c r="E509">
        <v>4249314445</v>
      </c>
      <c r="F509">
        <v>6201</v>
      </c>
      <c r="G509" t="s">
        <v>38</v>
      </c>
      <c r="H509" t="s">
        <v>15220</v>
      </c>
      <c r="I509">
        <v>37710</v>
      </c>
    </row>
    <row r="510" spans="1:9" x14ac:dyDescent="0.25">
      <c r="A510" t="s">
        <v>4700</v>
      </c>
      <c r="B510" t="s">
        <v>4702</v>
      </c>
      <c r="C510" t="s">
        <v>4703</v>
      </c>
      <c r="D510" t="s">
        <v>4703</v>
      </c>
      <c r="F510">
        <v>8524</v>
      </c>
      <c r="G510" t="s">
        <v>404</v>
      </c>
      <c r="H510" t="s">
        <v>15226</v>
      </c>
      <c r="I510">
        <v>50001</v>
      </c>
    </row>
    <row r="511" spans="1:9" x14ac:dyDescent="0.25">
      <c r="A511" t="s">
        <v>4722</v>
      </c>
      <c r="B511" t="s">
        <v>4724</v>
      </c>
      <c r="C511" t="s">
        <v>4725</v>
      </c>
      <c r="D511" t="s">
        <v>4725</v>
      </c>
      <c r="E511" t="s">
        <v>4719</v>
      </c>
      <c r="F511">
        <v>8532</v>
      </c>
      <c r="G511" t="s">
        <v>614</v>
      </c>
      <c r="H511" t="s">
        <v>15222</v>
      </c>
      <c r="I511">
        <v>43712</v>
      </c>
    </row>
    <row r="512" spans="1:9" x14ac:dyDescent="0.25">
      <c r="A512" t="s">
        <v>4729</v>
      </c>
      <c r="B512" t="s">
        <v>4730</v>
      </c>
      <c r="C512" t="s">
        <v>4732</v>
      </c>
      <c r="E512">
        <v>4147625219</v>
      </c>
      <c r="F512">
        <v>8630</v>
      </c>
      <c r="G512" t="s">
        <v>1123</v>
      </c>
      <c r="H512" t="s">
        <v>15226</v>
      </c>
      <c r="I512">
        <v>41039</v>
      </c>
    </row>
    <row r="513" spans="1:9" x14ac:dyDescent="0.25">
      <c r="A513" t="s">
        <v>4745</v>
      </c>
      <c r="B513" t="s">
        <v>4746</v>
      </c>
      <c r="C513" t="s">
        <v>4748</v>
      </c>
      <c r="E513">
        <v>4265825841</v>
      </c>
      <c r="F513">
        <v>8548</v>
      </c>
      <c r="G513" t="s">
        <v>1396</v>
      </c>
      <c r="H513" t="s">
        <v>15231</v>
      </c>
      <c r="I513">
        <v>31447</v>
      </c>
    </row>
    <row r="514" spans="1:9" x14ac:dyDescent="0.25">
      <c r="A514" t="s">
        <v>4750</v>
      </c>
      <c r="B514" t="s">
        <v>4751</v>
      </c>
      <c r="C514" t="s">
        <v>4753</v>
      </c>
      <c r="E514" t="s">
        <v>4752</v>
      </c>
      <c r="F514">
        <v>8555</v>
      </c>
      <c r="G514" t="s">
        <v>820</v>
      </c>
      <c r="H514" t="s">
        <v>15222</v>
      </c>
      <c r="I514">
        <v>34570</v>
      </c>
    </row>
    <row r="515" spans="1:9" x14ac:dyDescent="0.25">
      <c r="A515" t="s">
        <v>4771</v>
      </c>
      <c r="B515" t="s">
        <v>4772</v>
      </c>
      <c r="C515" t="s">
        <v>4776</v>
      </c>
      <c r="E515" t="s">
        <v>4774</v>
      </c>
      <c r="F515">
        <v>8627</v>
      </c>
      <c r="G515" t="s">
        <v>4773</v>
      </c>
      <c r="H515" t="s">
        <v>137</v>
      </c>
      <c r="I515">
        <v>42268</v>
      </c>
    </row>
    <row r="516" spans="1:9" x14ac:dyDescent="0.25">
      <c r="A516" t="s">
        <v>4778</v>
      </c>
      <c r="B516" t="s">
        <v>4779</v>
      </c>
      <c r="C516" t="s">
        <v>4781</v>
      </c>
      <c r="D516" t="s">
        <v>4781</v>
      </c>
      <c r="E516">
        <v>4149835824</v>
      </c>
      <c r="F516">
        <v>8535</v>
      </c>
      <c r="G516" t="s">
        <v>653</v>
      </c>
      <c r="H516" t="s">
        <v>72</v>
      </c>
      <c r="I516">
        <v>42299</v>
      </c>
    </row>
    <row r="517" spans="1:9" x14ac:dyDescent="0.25">
      <c r="A517" t="s">
        <v>4784</v>
      </c>
      <c r="B517" t="s">
        <v>4785</v>
      </c>
      <c r="C517" t="s">
        <v>4787</v>
      </c>
      <c r="E517" t="s">
        <v>4786</v>
      </c>
      <c r="F517">
        <v>8618</v>
      </c>
      <c r="G517" t="s">
        <v>4386</v>
      </c>
      <c r="H517" t="s">
        <v>72</v>
      </c>
      <c r="I517">
        <v>42579</v>
      </c>
    </row>
    <row r="518" spans="1:9" x14ac:dyDescent="0.25">
      <c r="A518" t="s">
        <v>4790</v>
      </c>
      <c r="B518" t="s">
        <v>4791</v>
      </c>
      <c r="C518" t="s">
        <v>4793</v>
      </c>
      <c r="E518" t="s">
        <v>4792</v>
      </c>
      <c r="F518">
        <v>8531</v>
      </c>
      <c r="G518" t="s">
        <v>90</v>
      </c>
      <c r="H518" t="s">
        <v>15222</v>
      </c>
      <c r="I518">
        <v>1077</v>
      </c>
    </row>
    <row r="519" spans="1:9" x14ac:dyDescent="0.25">
      <c r="A519" t="s">
        <v>4810</v>
      </c>
      <c r="B519" t="s">
        <v>4811</v>
      </c>
      <c r="C519" t="s">
        <v>4813</v>
      </c>
      <c r="E519" t="s">
        <v>4812</v>
      </c>
      <c r="F519">
        <v>8558</v>
      </c>
      <c r="G519" t="s">
        <v>1360</v>
      </c>
      <c r="H519" t="s">
        <v>1215</v>
      </c>
      <c r="I519">
        <v>23344</v>
      </c>
    </row>
    <row r="520" spans="1:9" x14ac:dyDescent="0.25">
      <c r="A520" t="s">
        <v>4818</v>
      </c>
      <c r="B520" t="s">
        <v>4819</v>
      </c>
      <c r="C520" t="s">
        <v>4820</v>
      </c>
      <c r="F520">
        <v>8630</v>
      </c>
      <c r="G520" t="s">
        <v>1123</v>
      </c>
      <c r="H520" t="s">
        <v>15226</v>
      </c>
    </row>
    <row r="521" spans="1:9" x14ac:dyDescent="0.25">
      <c r="A521" t="s">
        <v>4822</v>
      </c>
      <c r="B521" t="s">
        <v>4823</v>
      </c>
      <c r="C521" t="s">
        <v>4828</v>
      </c>
      <c r="E521" t="s">
        <v>4825</v>
      </c>
      <c r="F521">
        <v>8631</v>
      </c>
      <c r="G521" t="s">
        <v>4824</v>
      </c>
      <c r="H521" t="s">
        <v>137</v>
      </c>
      <c r="I521">
        <v>8234</v>
      </c>
    </row>
    <row r="522" spans="1:9" x14ac:dyDescent="0.25">
      <c r="A522" t="s">
        <v>4834</v>
      </c>
      <c r="B522" t="s">
        <v>4835</v>
      </c>
      <c r="C522" t="s">
        <v>4837</v>
      </c>
      <c r="E522" t="s">
        <v>4836</v>
      </c>
      <c r="F522">
        <v>8545</v>
      </c>
      <c r="G522" t="s">
        <v>324</v>
      </c>
      <c r="H522" t="s">
        <v>15231</v>
      </c>
      <c r="I522">
        <v>48126</v>
      </c>
    </row>
    <row r="523" spans="1:9" x14ac:dyDescent="0.25">
      <c r="A523" t="s">
        <v>15143</v>
      </c>
      <c r="B523" t="s">
        <v>4199</v>
      </c>
      <c r="C523" t="s">
        <v>4846</v>
      </c>
      <c r="D523" t="s">
        <v>15375</v>
      </c>
      <c r="E523" t="s">
        <v>4845</v>
      </c>
      <c r="F523">
        <v>8533</v>
      </c>
      <c r="G523" t="s">
        <v>303</v>
      </c>
      <c r="H523" t="s">
        <v>72</v>
      </c>
      <c r="I523">
        <v>34957</v>
      </c>
    </row>
    <row r="524" spans="1:9" x14ac:dyDescent="0.25">
      <c r="A524" t="s">
        <v>4849</v>
      </c>
      <c r="B524" t="s">
        <v>4850</v>
      </c>
      <c r="C524" t="s">
        <v>4855</v>
      </c>
      <c r="F524">
        <v>8633</v>
      </c>
      <c r="G524" t="s">
        <v>4851</v>
      </c>
      <c r="H524" t="s">
        <v>4854</v>
      </c>
      <c r="I524">
        <v>39472</v>
      </c>
    </row>
    <row r="525" spans="1:9" x14ac:dyDescent="0.25">
      <c r="A525" t="s">
        <v>4858</v>
      </c>
      <c r="B525" t="s">
        <v>4859</v>
      </c>
      <c r="C525" t="s">
        <v>4861</v>
      </c>
      <c r="E525" t="s">
        <v>4860</v>
      </c>
      <c r="F525">
        <v>8558</v>
      </c>
      <c r="G525" t="s">
        <v>1360</v>
      </c>
      <c r="H525" t="s">
        <v>1215</v>
      </c>
      <c r="I525">
        <v>38784</v>
      </c>
    </row>
    <row r="526" spans="1:9" x14ac:dyDescent="0.25">
      <c r="A526" t="s">
        <v>15144</v>
      </c>
      <c r="B526" t="s">
        <v>4815</v>
      </c>
      <c r="C526" t="s">
        <v>4869</v>
      </c>
      <c r="D526" t="s">
        <v>4869</v>
      </c>
      <c r="F526">
        <v>8525</v>
      </c>
      <c r="G526" t="s">
        <v>1581</v>
      </c>
      <c r="H526" t="s">
        <v>15226</v>
      </c>
    </row>
    <row r="527" spans="1:9" x14ac:dyDescent="0.25">
      <c r="A527" t="s">
        <v>4872</v>
      </c>
      <c r="B527" t="s">
        <v>4873</v>
      </c>
      <c r="C527" t="s">
        <v>4875</v>
      </c>
      <c r="E527" t="s">
        <v>4786</v>
      </c>
      <c r="F527">
        <v>8618</v>
      </c>
      <c r="G527" t="s">
        <v>4874</v>
      </c>
      <c r="H527" t="s">
        <v>72</v>
      </c>
      <c r="I527">
        <v>5136</v>
      </c>
    </row>
    <row r="528" spans="1:9" x14ac:dyDescent="0.25">
      <c r="A528" t="s">
        <v>15145</v>
      </c>
      <c r="B528" t="s">
        <v>4879</v>
      </c>
      <c r="C528" t="s">
        <v>4883</v>
      </c>
      <c r="D528" t="s">
        <v>4883</v>
      </c>
      <c r="F528">
        <v>8634</v>
      </c>
      <c r="G528" t="s">
        <v>4880</v>
      </c>
      <c r="H528" t="s">
        <v>4854</v>
      </c>
      <c r="I528">
        <v>32254</v>
      </c>
    </row>
    <row r="529" spans="1:9" x14ac:dyDescent="0.25">
      <c r="A529" t="s">
        <v>4886</v>
      </c>
      <c r="B529" t="s">
        <v>4887</v>
      </c>
      <c r="C529" t="s">
        <v>4322</v>
      </c>
      <c r="E529">
        <v>4120840322</v>
      </c>
      <c r="F529">
        <v>6201</v>
      </c>
      <c r="G529" t="s">
        <v>41</v>
      </c>
      <c r="H529" t="s">
        <v>15220</v>
      </c>
    </row>
    <row r="530" spans="1:9" x14ac:dyDescent="0.25">
      <c r="A530" t="s">
        <v>4890</v>
      </c>
      <c r="B530" t="s">
        <v>4892</v>
      </c>
      <c r="C530" t="s">
        <v>4894</v>
      </c>
      <c r="D530" t="s">
        <v>4894</v>
      </c>
      <c r="E530">
        <v>4128857393</v>
      </c>
      <c r="F530">
        <v>8625</v>
      </c>
      <c r="G530" t="s">
        <v>4761</v>
      </c>
      <c r="H530" t="s">
        <v>1215</v>
      </c>
      <c r="I530">
        <v>44078</v>
      </c>
    </row>
    <row r="531" spans="1:9" x14ac:dyDescent="0.25">
      <c r="A531" t="s">
        <v>4900</v>
      </c>
      <c r="B531" t="s">
        <v>4901</v>
      </c>
      <c r="C531" t="s">
        <v>4905</v>
      </c>
      <c r="F531">
        <v>8635</v>
      </c>
      <c r="G531" t="s">
        <v>4902</v>
      </c>
      <c r="H531" t="s">
        <v>137</v>
      </c>
      <c r="I531">
        <v>42359</v>
      </c>
    </row>
    <row r="532" spans="1:9" x14ac:dyDescent="0.25">
      <c r="A532" t="s">
        <v>4911</v>
      </c>
      <c r="B532" t="s">
        <v>4912</v>
      </c>
      <c r="C532" t="s">
        <v>4914</v>
      </c>
      <c r="D532" t="s">
        <v>15376</v>
      </c>
      <c r="E532" t="s">
        <v>4913</v>
      </c>
      <c r="F532">
        <v>8556</v>
      </c>
      <c r="G532" t="s">
        <v>1728</v>
      </c>
      <c r="H532" t="s">
        <v>15231</v>
      </c>
      <c r="I532">
        <v>5015</v>
      </c>
    </row>
    <row r="533" spans="1:9" x14ac:dyDescent="0.25">
      <c r="A533" t="s">
        <v>4918</v>
      </c>
      <c r="B533" t="s">
        <v>4919</v>
      </c>
      <c r="C533" t="s">
        <v>4921</v>
      </c>
      <c r="D533" t="s">
        <v>15377</v>
      </c>
      <c r="E533" t="s">
        <v>4920</v>
      </c>
      <c r="F533">
        <v>8515</v>
      </c>
      <c r="G533" t="s">
        <v>255</v>
      </c>
      <c r="H533" t="s">
        <v>15249</v>
      </c>
      <c r="I533">
        <v>5128</v>
      </c>
    </row>
    <row r="534" spans="1:9" x14ac:dyDescent="0.25">
      <c r="A534" t="s">
        <v>4924</v>
      </c>
      <c r="B534" t="s">
        <v>4925</v>
      </c>
      <c r="C534" t="s">
        <v>4927</v>
      </c>
      <c r="D534" t="s">
        <v>15378</v>
      </c>
      <c r="E534" t="s">
        <v>4926</v>
      </c>
      <c r="F534">
        <v>8515</v>
      </c>
      <c r="G534" t="s">
        <v>255</v>
      </c>
      <c r="H534" t="s">
        <v>15249</v>
      </c>
      <c r="I534">
        <v>5264</v>
      </c>
    </row>
    <row r="535" spans="1:9" x14ac:dyDescent="0.25">
      <c r="A535" t="s">
        <v>15146</v>
      </c>
      <c r="B535" t="s">
        <v>4931</v>
      </c>
      <c r="C535" t="s">
        <v>4935</v>
      </c>
      <c r="D535" t="s">
        <v>15379</v>
      </c>
      <c r="E535" t="s">
        <v>4934</v>
      </c>
      <c r="F535">
        <v>8604</v>
      </c>
      <c r="G535" t="s">
        <v>3122</v>
      </c>
      <c r="H535" t="s">
        <v>1215</v>
      </c>
      <c r="I535">
        <v>17176</v>
      </c>
    </row>
    <row r="536" spans="1:9" x14ac:dyDescent="0.25">
      <c r="A536" t="s">
        <v>15147</v>
      </c>
      <c r="B536" t="s">
        <v>4931</v>
      </c>
      <c r="C536" t="s">
        <v>4935</v>
      </c>
      <c r="D536" t="s">
        <v>15380</v>
      </c>
      <c r="E536" t="s">
        <v>4939</v>
      </c>
      <c r="F536">
        <v>8558</v>
      </c>
      <c r="G536" t="s">
        <v>1360</v>
      </c>
      <c r="H536" t="s">
        <v>1215</v>
      </c>
      <c r="I536">
        <v>30627</v>
      </c>
    </row>
    <row r="537" spans="1:9" x14ac:dyDescent="0.25">
      <c r="A537" t="s">
        <v>15148</v>
      </c>
      <c r="B537" t="s">
        <v>4931</v>
      </c>
      <c r="C537" t="s">
        <v>4935</v>
      </c>
      <c r="D537" t="s">
        <v>15381</v>
      </c>
      <c r="E537" t="s">
        <v>4939</v>
      </c>
      <c r="F537">
        <v>8604</v>
      </c>
      <c r="G537" t="s">
        <v>4943</v>
      </c>
      <c r="H537" t="s">
        <v>1215</v>
      </c>
      <c r="I537">
        <v>40206</v>
      </c>
    </row>
    <row r="538" spans="1:9" x14ac:dyDescent="0.25">
      <c r="A538" t="s">
        <v>4948</v>
      </c>
      <c r="B538" t="s">
        <v>4949</v>
      </c>
      <c r="C538" t="s">
        <v>4951</v>
      </c>
      <c r="E538" t="s">
        <v>4950</v>
      </c>
      <c r="F538">
        <v>8630</v>
      </c>
      <c r="G538" t="s">
        <v>1123</v>
      </c>
      <c r="H538" t="s">
        <v>15226</v>
      </c>
    </row>
    <row r="539" spans="1:9" x14ac:dyDescent="0.25">
      <c r="A539" t="s">
        <v>4958</v>
      </c>
      <c r="B539" t="s">
        <v>4959</v>
      </c>
      <c r="C539" t="s">
        <v>4961</v>
      </c>
      <c r="E539" t="s">
        <v>4960</v>
      </c>
      <c r="F539">
        <v>8630</v>
      </c>
      <c r="G539" t="s">
        <v>1123</v>
      </c>
      <c r="H539" t="s">
        <v>15226</v>
      </c>
      <c r="I539">
        <v>50635</v>
      </c>
    </row>
    <row r="540" spans="1:9" x14ac:dyDescent="0.25">
      <c r="A540" t="s">
        <v>4964</v>
      </c>
      <c r="B540" t="s">
        <v>4965</v>
      </c>
      <c r="C540" t="s">
        <v>4967</v>
      </c>
      <c r="D540" t="s">
        <v>15382</v>
      </c>
      <c r="E540" t="s">
        <v>4966</v>
      </c>
      <c r="F540">
        <v>8558</v>
      </c>
      <c r="G540" t="s">
        <v>1360</v>
      </c>
      <c r="H540" t="s">
        <v>1215</v>
      </c>
      <c r="I540">
        <v>4771</v>
      </c>
    </row>
    <row r="541" spans="1:9" x14ac:dyDescent="0.25">
      <c r="A541" t="s">
        <v>4970</v>
      </c>
      <c r="B541" t="s">
        <v>4971</v>
      </c>
      <c r="C541" t="s">
        <v>4973</v>
      </c>
      <c r="D541" t="s">
        <v>15383</v>
      </c>
      <c r="E541" t="s">
        <v>4972</v>
      </c>
      <c r="F541">
        <v>8630</v>
      </c>
      <c r="G541" t="s">
        <v>1123</v>
      </c>
      <c r="H541" t="s">
        <v>15226</v>
      </c>
      <c r="I541">
        <v>45105</v>
      </c>
    </row>
    <row r="542" spans="1:9" x14ac:dyDescent="0.25">
      <c r="A542" t="s">
        <v>15149</v>
      </c>
      <c r="B542" t="s">
        <v>4977</v>
      </c>
      <c r="C542" t="s">
        <v>4982</v>
      </c>
      <c r="D542" t="s">
        <v>15384</v>
      </c>
      <c r="E542" t="s">
        <v>4979</v>
      </c>
      <c r="F542">
        <v>8636</v>
      </c>
      <c r="G542" t="s">
        <v>4978</v>
      </c>
      <c r="H542" t="s">
        <v>72</v>
      </c>
      <c r="I542">
        <v>48019</v>
      </c>
    </row>
    <row r="543" spans="1:9" x14ac:dyDescent="0.25">
      <c r="A543" t="s">
        <v>15150</v>
      </c>
      <c r="B543" t="s">
        <v>4986</v>
      </c>
      <c r="C543" t="s">
        <v>4989</v>
      </c>
      <c r="D543" t="s">
        <v>15385</v>
      </c>
      <c r="E543" t="s">
        <v>4988</v>
      </c>
      <c r="F543">
        <v>8630</v>
      </c>
      <c r="G543" t="s">
        <v>4987</v>
      </c>
      <c r="H543" t="s">
        <v>15226</v>
      </c>
      <c r="I543">
        <v>5514</v>
      </c>
    </row>
    <row r="544" spans="1:9" x14ac:dyDescent="0.25">
      <c r="A544" t="s">
        <v>4992</v>
      </c>
      <c r="B544" t="s">
        <v>4993</v>
      </c>
      <c r="C544" t="s">
        <v>4998</v>
      </c>
      <c r="D544" t="s">
        <v>15386</v>
      </c>
      <c r="E544" t="s">
        <v>4995</v>
      </c>
      <c r="F544">
        <v>8637</v>
      </c>
      <c r="G544" t="s">
        <v>4994</v>
      </c>
      <c r="H544" t="s">
        <v>1215</v>
      </c>
      <c r="I544">
        <v>50261</v>
      </c>
    </row>
    <row r="545" spans="1:9" x14ac:dyDescent="0.25">
      <c r="A545" t="s">
        <v>15151</v>
      </c>
      <c r="B545" t="s">
        <v>5002</v>
      </c>
      <c r="C545" t="s">
        <v>5007</v>
      </c>
      <c r="D545" t="s">
        <v>15387</v>
      </c>
      <c r="E545" t="s">
        <v>5004</v>
      </c>
      <c r="F545">
        <v>8638</v>
      </c>
      <c r="G545" t="s">
        <v>15388</v>
      </c>
      <c r="H545" t="s">
        <v>137</v>
      </c>
      <c r="I545">
        <v>2564</v>
      </c>
    </row>
    <row r="546" spans="1:9" x14ac:dyDescent="0.25">
      <c r="A546" t="s">
        <v>15152</v>
      </c>
      <c r="B546" t="s">
        <v>5014</v>
      </c>
      <c r="C546" t="s">
        <v>5017</v>
      </c>
      <c r="D546" t="s">
        <v>15389</v>
      </c>
      <c r="E546">
        <v>4142787708</v>
      </c>
      <c r="F546">
        <v>8631</v>
      </c>
      <c r="G546" t="s">
        <v>5015</v>
      </c>
      <c r="H546" t="s">
        <v>137</v>
      </c>
      <c r="I546">
        <v>40384</v>
      </c>
    </row>
    <row r="547" spans="1:9" x14ac:dyDescent="0.25">
      <c r="A547" t="s">
        <v>5020</v>
      </c>
      <c r="B547" t="s">
        <v>5021</v>
      </c>
      <c r="C547" t="s">
        <v>5023</v>
      </c>
      <c r="E547" t="s">
        <v>5022</v>
      </c>
      <c r="F547">
        <v>8630</v>
      </c>
      <c r="G547" t="s">
        <v>1123</v>
      </c>
      <c r="H547" t="s">
        <v>15226</v>
      </c>
      <c r="I547">
        <v>52755</v>
      </c>
    </row>
    <row r="548" spans="1:9" x14ac:dyDescent="0.25">
      <c r="A548" t="s">
        <v>15153</v>
      </c>
      <c r="B548" t="s">
        <v>5027</v>
      </c>
      <c r="C548" t="s">
        <v>5029</v>
      </c>
      <c r="D548" t="s">
        <v>15390</v>
      </c>
      <c r="E548" t="s">
        <v>5028</v>
      </c>
      <c r="F548">
        <v>8640</v>
      </c>
      <c r="G548" t="s">
        <v>4487</v>
      </c>
      <c r="H548" t="s">
        <v>106</v>
      </c>
      <c r="I548">
        <v>931</v>
      </c>
    </row>
    <row r="549" spans="1:9" x14ac:dyDescent="0.25">
      <c r="A549" t="s">
        <v>5032</v>
      </c>
      <c r="B549" t="s">
        <v>5033</v>
      </c>
      <c r="C549" t="s">
        <v>5034</v>
      </c>
      <c r="D549" t="s">
        <v>15391</v>
      </c>
      <c r="E549" t="s">
        <v>5028</v>
      </c>
      <c r="F549">
        <v>8640</v>
      </c>
      <c r="G549" t="s">
        <v>4487</v>
      </c>
      <c r="H549" t="s">
        <v>106</v>
      </c>
      <c r="I549">
        <v>20944</v>
      </c>
    </row>
    <row r="550" spans="1:9" x14ac:dyDescent="0.25">
      <c r="A550" t="s">
        <v>5037</v>
      </c>
      <c r="B550" t="s">
        <v>5038</v>
      </c>
      <c r="C550" t="s">
        <v>5040</v>
      </c>
      <c r="E550" t="s">
        <v>5039</v>
      </c>
      <c r="F550">
        <v>8636</v>
      </c>
      <c r="G550" t="s">
        <v>4978</v>
      </c>
      <c r="H550" t="s">
        <v>72</v>
      </c>
    </row>
    <row r="551" spans="1:9" x14ac:dyDescent="0.25">
      <c r="A551" t="s">
        <v>15154</v>
      </c>
      <c r="B551" t="s">
        <v>4815</v>
      </c>
      <c r="C551" t="s">
        <v>5044</v>
      </c>
      <c r="D551" t="s">
        <v>5044</v>
      </c>
      <c r="F551">
        <v>8524</v>
      </c>
      <c r="G551" t="s">
        <v>402</v>
      </c>
      <c r="H551" t="s">
        <v>15226</v>
      </c>
    </row>
    <row r="552" spans="1:9" x14ac:dyDescent="0.25">
      <c r="A552" t="s">
        <v>15155</v>
      </c>
      <c r="B552" t="s">
        <v>1409</v>
      </c>
      <c r="C552" t="s">
        <v>5048</v>
      </c>
      <c r="D552" t="s">
        <v>15392</v>
      </c>
      <c r="F552">
        <v>8523</v>
      </c>
      <c r="G552" t="s">
        <v>1607</v>
      </c>
      <c r="H552" t="s">
        <v>15226</v>
      </c>
    </row>
    <row r="553" spans="1:9" x14ac:dyDescent="0.25">
      <c r="A553" t="s">
        <v>5053</v>
      </c>
      <c r="B553" t="s">
        <v>5054</v>
      </c>
      <c r="F553">
        <v>8518</v>
      </c>
      <c r="G553" t="s">
        <v>881</v>
      </c>
      <c r="H553" t="s">
        <v>15226</v>
      </c>
    </row>
    <row r="554" spans="1:9" x14ac:dyDescent="0.25">
      <c r="A554" t="s">
        <v>5057</v>
      </c>
      <c r="B554" t="s">
        <v>2862</v>
      </c>
      <c r="C554" t="s">
        <v>2932</v>
      </c>
      <c r="D554" t="s">
        <v>15393</v>
      </c>
      <c r="F554">
        <v>6201</v>
      </c>
      <c r="G554" t="s">
        <v>38</v>
      </c>
      <c r="H554" t="s">
        <v>15220</v>
      </c>
      <c r="I554">
        <v>40348</v>
      </c>
    </row>
    <row r="555" spans="1:9" x14ac:dyDescent="0.25">
      <c r="A555" t="s">
        <v>5060</v>
      </c>
      <c r="B555" t="s">
        <v>5061</v>
      </c>
      <c r="C555" t="s">
        <v>5062</v>
      </c>
      <c r="D555" t="s">
        <v>5062</v>
      </c>
      <c r="E555" t="s">
        <v>1018</v>
      </c>
      <c r="F555">
        <v>8524</v>
      </c>
      <c r="G555" t="s">
        <v>404</v>
      </c>
      <c r="H555" t="s">
        <v>15226</v>
      </c>
      <c r="I555">
        <v>50296</v>
      </c>
    </row>
    <row r="556" spans="1:9" x14ac:dyDescent="0.25">
      <c r="A556" t="s">
        <v>5065</v>
      </c>
      <c r="B556" t="s">
        <v>5066</v>
      </c>
      <c r="C556" t="s">
        <v>15394</v>
      </c>
      <c r="D556" t="s">
        <v>15395</v>
      </c>
      <c r="F556">
        <v>8515</v>
      </c>
      <c r="G556" t="s">
        <v>255</v>
      </c>
      <c r="H556" t="s">
        <v>15249</v>
      </c>
      <c r="I556">
        <v>45568</v>
      </c>
    </row>
    <row r="557" spans="1:9" x14ac:dyDescent="0.25">
      <c r="A557" t="s">
        <v>5070</v>
      </c>
      <c r="B557" t="s">
        <v>5071</v>
      </c>
      <c r="C557" t="s">
        <v>5072</v>
      </c>
      <c r="D557" t="s">
        <v>15396</v>
      </c>
      <c r="F557">
        <v>8523</v>
      </c>
      <c r="G557" t="s">
        <v>1222</v>
      </c>
      <c r="H557" t="s">
        <v>15226</v>
      </c>
      <c r="I557">
        <v>50230</v>
      </c>
    </row>
    <row r="558" spans="1:9" x14ac:dyDescent="0.25">
      <c r="A558" t="s">
        <v>5077</v>
      </c>
      <c r="B558" t="s">
        <v>5078</v>
      </c>
      <c r="C558" t="s">
        <v>5079</v>
      </c>
      <c r="D558" t="s">
        <v>15397</v>
      </c>
      <c r="E558" t="s">
        <v>5074</v>
      </c>
      <c r="F558">
        <v>8515</v>
      </c>
      <c r="G558" t="s">
        <v>255</v>
      </c>
      <c r="H558" t="s">
        <v>15249</v>
      </c>
      <c r="I558">
        <v>1738</v>
      </c>
    </row>
    <row r="559" spans="1:9" x14ac:dyDescent="0.25">
      <c r="A559" t="s">
        <v>5082</v>
      </c>
      <c r="B559" t="s">
        <v>5083</v>
      </c>
      <c r="C559" t="s">
        <v>5084</v>
      </c>
      <c r="D559" t="s">
        <v>15398</v>
      </c>
      <c r="E559" t="s">
        <v>5074</v>
      </c>
      <c r="F559">
        <v>8558</v>
      </c>
      <c r="G559" t="s">
        <v>1360</v>
      </c>
      <c r="H559" t="s">
        <v>1215</v>
      </c>
      <c r="I559">
        <v>1933</v>
      </c>
    </row>
    <row r="560" spans="1:9" x14ac:dyDescent="0.25">
      <c r="A560" t="s">
        <v>15156</v>
      </c>
      <c r="B560" t="s">
        <v>1580</v>
      </c>
      <c r="C560" t="s">
        <v>5088</v>
      </c>
      <c r="D560" t="s">
        <v>15399</v>
      </c>
      <c r="F560">
        <v>8523</v>
      </c>
      <c r="G560" t="s">
        <v>1607</v>
      </c>
      <c r="H560" t="s">
        <v>15226</v>
      </c>
      <c r="I560">
        <v>52504</v>
      </c>
    </row>
    <row r="561" spans="1:9" x14ac:dyDescent="0.25">
      <c r="A561" t="s">
        <v>5092</v>
      </c>
      <c r="B561" t="s">
        <v>5093</v>
      </c>
      <c r="C561" t="s">
        <v>5094</v>
      </c>
      <c r="D561" t="s">
        <v>15400</v>
      </c>
      <c r="E561" t="s">
        <v>5074</v>
      </c>
      <c r="F561">
        <v>8515</v>
      </c>
      <c r="G561" t="s">
        <v>255</v>
      </c>
      <c r="H561" t="s">
        <v>15249</v>
      </c>
      <c r="I561">
        <v>1932</v>
      </c>
    </row>
    <row r="562" spans="1:9" x14ac:dyDescent="0.25">
      <c r="A562" t="s">
        <v>5103</v>
      </c>
      <c r="B562" t="s">
        <v>5104</v>
      </c>
      <c r="C562" t="s">
        <v>5105</v>
      </c>
      <c r="D562" t="s">
        <v>15401</v>
      </c>
      <c r="E562" t="s">
        <v>5097</v>
      </c>
      <c r="F562">
        <v>8596</v>
      </c>
      <c r="G562" t="s">
        <v>1430</v>
      </c>
      <c r="H562" t="s">
        <v>85</v>
      </c>
      <c r="I562">
        <v>37227</v>
      </c>
    </row>
    <row r="563" spans="1:9" x14ac:dyDescent="0.25">
      <c r="A563" t="s">
        <v>5108</v>
      </c>
      <c r="B563" t="s">
        <v>5109</v>
      </c>
      <c r="C563" t="s">
        <v>5113</v>
      </c>
      <c r="D563" t="s">
        <v>15402</v>
      </c>
      <c r="E563" t="s">
        <v>5111</v>
      </c>
      <c r="F563">
        <v>8642</v>
      </c>
      <c r="G563" t="s">
        <v>5110</v>
      </c>
      <c r="H563" t="s">
        <v>137</v>
      </c>
      <c r="I563">
        <v>19253</v>
      </c>
    </row>
    <row r="564" spans="1:9" x14ac:dyDescent="0.25">
      <c r="A564" t="s">
        <v>5116</v>
      </c>
      <c r="B564" t="s">
        <v>5117</v>
      </c>
      <c r="C564" t="s">
        <v>5120</v>
      </c>
      <c r="D564" t="s">
        <v>15403</v>
      </c>
      <c r="E564" t="s">
        <v>5118</v>
      </c>
      <c r="F564">
        <v>8643</v>
      </c>
      <c r="H564" t="s">
        <v>1215</v>
      </c>
      <c r="I564">
        <v>19830</v>
      </c>
    </row>
    <row r="565" spans="1:9" x14ac:dyDescent="0.25">
      <c r="A565" t="s">
        <v>5125</v>
      </c>
      <c r="B565" t="s">
        <v>5126</v>
      </c>
      <c r="C565" t="s">
        <v>5128</v>
      </c>
      <c r="D565" t="s">
        <v>15404</v>
      </c>
      <c r="E565">
        <v>4122360318</v>
      </c>
      <c r="F565">
        <v>8599</v>
      </c>
      <c r="G565" t="s">
        <v>2920</v>
      </c>
      <c r="H565" t="s">
        <v>72</v>
      </c>
      <c r="I565">
        <v>50463</v>
      </c>
    </row>
    <row r="566" spans="1:9" x14ac:dyDescent="0.25">
      <c r="A566" t="s">
        <v>5131</v>
      </c>
      <c r="B566" t="s">
        <v>5132</v>
      </c>
      <c r="C566" t="s">
        <v>5134</v>
      </c>
      <c r="D566" t="s">
        <v>15405</v>
      </c>
      <c r="E566" t="s">
        <v>5133</v>
      </c>
      <c r="F566">
        <v>8628</v>
      </c>
      <c r="G566" t="s">
        <v>4798</v>
      </c>
      <c r="H566" t="s">
        <v>1215</v>
      </c>
      <c r="I566">
        <v>40253</v>
      </c>
    </row>
    <row r="567" spans="1:9" x14ac:dyDescent="0.25">
      <c r="A567" t="s">
        <v>5137</v>
      </c>
      <c r="B567" t="s">
        <v>5138</v>
      </c>
      <c r="C567" t="s">
        <v>5140</v>
      </c>
      <c r="D567" t="s">
        <v>15406</v>
      </c>
      <c r="E567" t="s">
        <v>5139</v>
      </c>
      <c r="F567">
        <v>8630</v>
      </c>
      <c r="G567" t="s">
        <v>1123</v>
      </c>
      <c r="H567" t="s">
        <v>15226</v>
      </c>
      <c r="I567">
        <v>42123</v>
      </c>
    </row>
    <row r="568" spans="1:9" x14ac:dyDescent="0.25">
      <c r="A568" t="s">
        <v>5147</v>
      </c>
      <c r="B568" t="s">
        <v>5148</v>
      </c>
      <c r="C568" t="s">
        <v>5153</v>
      </c>
      <c r="D568" t="s">
        <v>15407</v>
      </c>
      <c r="E568" t="s">
        <v>5150</v>
      </c>
      <c r="F568">
        <v>8644</v>
      </c>
      <c r="G568" t="s">
        <v>5149</v>
      </c>
      <c r="H568" t="s">
        <v>137</v>
      </c>
      <c r="I568">
        <v>17720</v>
      </c>
    </row>
    <row r="569" spans="1:9" x14ac:dyDescent="0.25">
      <c r="A569" t="s">
        <v>5156</v>
      </c>
      <c r="B569" t="s">
        <v>5157</v>
      </c>
      <c r="C569" t="s">
        <v>5159</v>
      </c>
      <c r="D569" t="s">
        <v>15408</v>
      </c>
      <c r="E569">
        <v>4148502170</v>
      </c>
      <c r="F569">
        <v>8523</v>
      </c>
      <c r="G569" t="s">
        <v>1222</v>
      </c>
      <c r="H569" t="s">
        <v>15226</v>
      </c>
      <c r="I569">
        <v>40345</v>
      </c>
    </row>
    <row r="570" spans="1:9" x14ac:dyDescent="0.25">
      <c r="A570" t="s">
        <v>5165</v>
      </c>
      <c r="B570" t="s">
        <v>5166</v>
      </c>
      <c r="C570" t="s">
        <v>5167</v>
      </c>
      <c r="D570" t="s">
        <v>15409</v>
      </c>
      <c r="F570">
        <v>8581</v>
      </c>
      <c r="G570" t="s">
        <v>60</v>
      </c>
      <c r="H570" t="s">
        <v>15220</v>
      </c>
      <c r="I570">
        <v>49596</v>
      </c>
    </row>
    <row r="571" spans="1:9" x14ac:dyDescent="0.25">
      <c r="A571" t="s">
        <v>5171</v>
      </c>
      <c r="B571" t="s">
        <v>5172</v>
      </c>
      <c r="C571" t="s">
        <v>5174</v>
      </c>
      <c r="E571" t="s">
        <v>5173</v>
      </c>
      <c r="F571">
        <v>8630</v>
      </c>
      <c r="G571" t="s">
        <v>1123</v>
      </c>
      <c r="H571" t="s">
        <v>15226</v>
      </c>
    </row>
    <row r="572" spans="1:9" x14ac:dyDescent="0.25">
      <c r="A572" t="s">
        <v>5177</v>
      </c>
      <c r="B572" t="s">
        <v>5178</v>
      </c>
      <c r="C572" t="s">
        <v>5180</v>
      </c>
      <c r="D572" t="s">
        <v>15410</v>
      </c>
      <c r="E572" t="s">
        <v>5179</v>
      </c>
      <c r="F572">
        <v>8583</v>
      </c>
      <c r="G572" t="s">
        <v>277</v>
      </c>
      <c r="H572" t="s">
        <v>279</v>
      </c>
      <c r="I572">
        <v>46754</v>
      </c>
    </row>
    <row r="573" spans="1:9" x14ac:dyDescent="0.25">
      <c r="A573" t="s">
        <v>5183</v>
      </c>
      <c r="B573" t="s">
        <v>5184</v>
      </c>
      <c r="C573" t="s">
        <v>5185</v>
      </c>
      <c r="D573" t="s">
        <v>15411</v>
      </c>
      <c r="E573" t="s">
        <v>5179</v>
      </c>
      <c r="F573">
        <v>8583</v>
      </c>
      <c r="G573" t="s">
        <v>277</v>
      </c>
      <c r="H573" t="s">
        <v>279</v>
      </c>
      <c r="I573">
        <v>975</v>
      </c>
    </row>
    <row r="574" spans="1:9" x14ac:dyDescent="0.25">
      <c r="A574" t="s">
        <v>5197</v>
      </c>
      <c r="B574" t="s">
        <v>5198</v>
      </c>
      <c r="C574" t="s">
        <v>5203</v>
      </c>
      <c r="D574" t="s">
        <v>15412</v>
      </c>
      <c r="E574" t="s">
        <v>5200</v>
      </c>
      <c r="F574">
        <v>8648</v>
      </c>
      <c r="G574" t="s">
        <v>5199</v>
      </c>
      <c r="H574" t="s">
        <v>4854</v>
      </c>
      <c r="I574">
        <v>8026</v>
      </c>
    </row>
    <row r="575" spans="1:9" x14ac:dyDescent="0.25">
      <c r="A575" t="s">
        <v>15157</v>
      </c>
      <c r="B575" t="s">
        <v>5207</v>
      </c>
      <c r="C575" t="s">
        <v>5209</v>
      </c>
      <c r="D575" t="s">
        <v>15413</v>
      </c>
      <c r="E575" t="s">
        <v>15414</v>
      </c>
      <c r="F575">
        <v>8649</v>
      </c>
      <c r="G575" t="s">
        <v>1208</v>
      </c>
      <c r="H575" t="s">
        <v>1215</v>
      </c>
      <c r="I575">
        <v>6041</v>
      </c>
    </row>
    <row r="576" spans="1:9" x14ac:dyDescent="0.25">
      <c r="A576" t="s">
        <v>5212</v>
      </c>
      <c r="B576" t="s">
        <v>5214</v>
      </c>
      <c r="C576" t="s">
        <v>5216</v>
      </c>
      <c r="D576" t="s">
        <v>15415</v>
      </c>
      <c r="E576" t="s">
        <v>5215</v>
      </c>
      <c r="F576">
        <v>8644</v>
      </c>
      <c r="G576" t="s">
        <v>5149</v>
      </c>
      <c r="H576" t="s">
        <v>137</v>
      </c>
      <c r="I576">
        <v>20699</v>
      </c>
    </row>
    <row r="577" spans="1:9" x14ac:dyDescent="0.25">
      <c r="A577" t="s">
        <v>5219</v>
      </c>
      <c r="B577" t="s">
        <v>2862</v>
      </c>
      <c r="C577" t="s">
        <v>15416</v>
      </c>
      <c r="D577" t="s">
        <v>15416</v>
      </c>
      <c r="E577" t="s">
        <v>5221</v>
      </c>
      <c r="F577">
        <v>6201</v>
      </c>
      <c r="G577" t="s">
        <v>38</v>
      </c>
      <c r="H577" t="s">
        <v>15220</v>
      </c>
      <c r="I577">
        <v>40348</v>
      </c>
    </row>
    <row r="578" spans="1:9" x14ac:dyDescent="0.25">
      <c r="A578" t="s">
        <v>5225</v>
      </c>
      <c r="B578" t="s">
        <v>5226</v>
      </c>
      <c r="C578" t="s">
        <v>5228</v>
      </c>
      <c r="E578" t="s">
        <v>5227</v>
      </c>
      <c r="F578">
        <v>8630</v>
      </c>
      <c r="G578" t="s">
        <v>1123</v>
      </c>
      <c r="H578" t="s">
        <v>15226</v>
      </c>
      <c r="I578">
        <v>22468</v>
      </c>
    </row>
    <row r="579" spans="1:9" x14ac:dyDescent="0.25">
      <c r="A579" t="s">
        <v>5231</v>
      </c>
      <c r="B579" t="s">
        <v>5232</v>
      </c>
      <c r="C579" t="s">
        <v>5234</v>
      </c>
      <c r="E579" t="s">
        <v>5233</v>
      </c>
      <c r="F579">
        <v>8630</v>
      </c>
      <c r="G579" t="s">
        <v>1123</v>
      </c>
      <c r="H579" t="s">
        <v>15226</v>
      </c>
    </row>
    <row r="580" spans="1:9" x14ac:dyDescent="0.25">
      <c r="A580" t="s">
        <v>5239</v>
      </c>
      <c r="B580" t="s">
        <v>5240</v>
      </c>
      <c r="C580" t="s">
        <v>5242</v>
      </c>
      <c r="D580" t="s">
        <v>15417</v>
      </c>
      <c r="E580" t="s">
        <v>5241</v>
      </c>
      <c r="F580">
        <v>8533</v>
      </c>
      <c r="G580" t="s">
        <v>303</v>
      </c>
      <c r="H580" t="s">
        <v>72</v>
      </c>
      <c r="I580">
        <v>49793</v>
      </c>
    </row>
    <row r="581" spans="1:9" x14ac:dyDescent="0.25">
      <c r="A581" t="s">
        <v>5245</v>
      </c>
      <c r="B581" t="s">
        <v>5246</v>
      </c>
      <c r="C581" t="s">
        <v>5248</v>
      </c>
      <c r="D581" t="s">
        <v>15418</v>
      </c>
      <c r="E581" t="s">
        <v>5247</v>
      </c>
      <c r="F581">
        <v>8647</v>
      </c>
      <c r="G581" t="s">
        <v>714</v>
      </c>
      <c r="H581" t="s">
        <v>137</v>
      </c>
      <c r="I581">
        <v>43932</v>
      </c>
    </row>
    <row r="582" spans="1:9" x14ac:dyDescent="0.25">
      <c r="A582" t="s">
        <v>15158</v>
      </c>
      <c r="B582" t="s">
        <v>5252</v>
      </c>
      <c r="C582" t="s">
        <v>5256</v>
      </c>
      <c r="D582" t="s">
        <v>15419</v>
      </c>
      <c r="E582" t="s">
        <v>5254</v>
      </c>
      <c r="F582">
        <v>8651</v>
      </c>
      <c r="G582" t="s">
        <v>5253</v>
      </c>
      <c r="H582" t="s">
        <v>15226</v>
      </c>
      <c r="I582">
        <v>2077</v>
      </c>
    </row>
    <row r="583" spans="1:9" x14ac:dyDescent="0.25">
      <c r="A583" t="s">
        <v>5259</v>
      </c>
      <c r="B583" t="s">
        <v>5260</v>
      </c>
      <c r="C583" t="s">
        <v>15420</v>
      </c>
      <c r="D583" t="s">
        <v>15420</v>
      </c>
      <c r="E583" t="s">
        <v>5262</v>
      </c>
      <c r="F583">
        <v>8650</v>
      </c>
      <c r="G583" t="s">
        <v>5261</v>
      </c>
      <c r="H583" t="s">
        <v>139</v>
      </c>
      <c r="I583">
        <v>42445</v>
      </c>
    </row>
    <row r="584" spans="1:9" x14ac:dyDescent="0.25">
      <c r="A584" t="s">
        <v>5268</v>
      </c>
      <c r="B584" t="s">
        <v>5269</v>
      </c>
      <c r="C584" t="s">
        <v>5271</v>
      </c>
      <c r="D584" t="s">
        <v>15421</v>
      </c>
      <c r="E584" t="s">
        <v>5270</v>
      </c>
      <c r="F584">
        <v>8534</v>
      </c>
      <c r="G584" t="s">
        <v>446</v>
      </c>
      <c r="H584" t="s">
        <v>72</v>
      </c>
      <c r="I584">
        <v>40749</v>
      </c>
    </row>
    <row r="585" spans="1:9" x14ac:dyDescent="0.25">
      <c r="A585" t="s">
        <v>5274</v>
      </c>
      <c r="B585" t="s">
        <v>5275</v>
      </c>
      <c r="C585" t="s">
        <v>5278</v>
      </c>
      <c r="D585" t="s">
        <v>15422</v>
      </c>
      <c r="E585" t="s">
        <v>5277</v>
      </c>
      <c r="F585">
        <v>8524</v>
      </c>
      <c r="G585" t="s">
        <v>5276</v>
      </c>
      <c r="H585" t="s">
        <v>15226</v>
      </c>
      <c r="I585">
        <v>7624</v>
      </c>
    </row>
    <row r="586" spans="1:9" x14ac:dyDescent="0.25">
      <c r="A586" t="s">
        <v>5281</v>
      </c>
      <c r="B586" t="s">
        <v>5282</v>
      </c>
      <c r="C586" t="s">
        <v>15423</v>
      </c>
      <c r="D586" t="s">
        <v>15423</v>
      </c>
      <c r="E586">
        <v>4145326202</v>
      </c>
      <c r="F586">
        <v>8650</v>
      </c>
      <c r="G586" t="s">
        <v>5261</v>
      </c>
      <c r="H586" t="s">
        <v>139</v>
      </c>
      <c r="I586">
        <v>32506</v>
      </c>
    </row>
    <row r="587" spans="1:9" x14ac:dyDescent="0.25">
      <c r="A587" t="s">
        <v>5287</v>
      </c>
      <c r="B587" t="s">
        <v>5288</v>
      </c>
      <c r="C587" t="s">
        <v>5290</v>
      </c>
      <c r="D587" t="s">
        <v>15424</v>
      </c>
      <c r="E587">
        <f>58412-750076</f>
        <v>-691664</v>
      </c>
      <c r="F587">
        <v>8531</v>
      </c>
      <c r="G587" t="s">
        <v>90</v>
      </c>
      <c r="H587" t="s">
        <v>15222</v>
      </c>
      <c r="I587">
        <v>7465</v>
      </c>
    </row>
    <row r="588" spans="1:9" x14ac:dyDescent="0.25">
      <c r="A588" t="s">
        <v>5295</v>
      </c>
      <c r="B588" t="s">
        <v>5296</v>
      </c>
      <c r="C588" t="s">
        <v>5298</v>
      </c>
      <c r="D588" t="s">
        <v>15425</v>
      </c>
      <c r="E588" t="s">
        <v>5297</v>
      </c>
      <c r="F588">
        <v>8536</v>
      </c>
      <c r="G588" t="s">
        <v>877</v>
      </c>
      <c r="H588" t="s">
        <v>72</v>
      </c>
      <c r="I588">
        <v>1947</v>
      </c>
    </row>
    <row r="589" spans="1:9" x14ac:dyDescent="0.25">
      <c r="A589" t="s">
        <v>5301</v>
      </c>
      <c r="B589" t="s">
        <v>5302</v>
      </c>
      <c r="C589" t="s">
        <v>5304</v>
      </c>
      <c r="D589" t="s">
        <v>15426</v>
      </c>
      <c r="E589" t="s">
        <v>5303</v>
      </c>
      <c r="F589">
        <v>8647</v>
      </c>
      <c r="G589" t="s">
        <v>714</v>
      </c>
      <c r="H589" t="s">
        <v>137</v>
      </c>
      <c r="I589">
        <v>39919</v>
      </c>
    </row>
    <row r="590" spans="1:9" x14ac:dyDescent="0.25">
      <c r="A590" t="s">
        <v>5307</v>
      </c>
      <c r="B590" t="s">
        <v>5308</v>
      </c>
      <c r="C590" t="s">
        <v>5310</v>
      </c>
      <c r="D590" t="s">
        <v>15427</v>
      </c>
      <c r="E590" t="s">
        <v>5309</v>
      </c>
      <c r="F590">
        <v>8515</v>
      </c>
      <c r="G590" t="s">
        <v>255</v>
      </c>
      <c r="H590" t="s">
        <v>15249</v>
      </c>
      <c r="I590">
        <v>7296</v>
      </c>
    </row>
    <row r="591" spans="1:9" x14ac:dyDescent="0.25">
      <c r="A591" t="s">
        <v>5313</v>
      </c>
      <c r="B591" t="s">
        <v>5314</v>
      </c>
      <c r="C591" t="s">
        <v>5315</v>
      </c>
      <c r="D591" t="s">
        <v>15428</v>
      </c>
      <c r="F591">
        <v>8526</v>
      </c>
      <c r="G591" t="s">
        <v>665</v>
      </c>
      <c r="H591" t="s">
        <v>106</v>
      </c>
      <c r="I591">
        <v>2001</v>
      </c>
    </row>
    <row r="592" spans="1:9" x14ac:dyDescent="0.25">
      <c r="A592" t="s">
        <v>5318</v>
      </c>
      <c r="B592" t="s">
        <v>5319</v>
      </c>
      <c r="C592" t="s">
        <v>5321</v>
      </c>
      <c r="D592" t="s">
        <v>15429</v>
      </c>
      <c r="E592" t="s">
        <v>5320</v>
      </c>
      <c r="F592">
        <v>8515</v>
      </c>
      <c r="G592" t="s">
        <v>255</v>
      </c>
      <c r="H592" t="s">
        <v>15249</v>
      </c>
      <c r="I592">
        <v>23111</v>
      </c>
    </row>
    <row r="593" spans="1:9" x14ac:dyDescent="0.25">
      <c r="A593" t="s">
        <v>15159</v>
      </c>
      <c r="B593" t="s">
        <v>4954</v>
      </c>
      <c r="C593" t="s">
        <v>4956</v>
      </c>
      <c r="E593" t="s">
        <v>5327</v>
      </c>
      <c r="F593">
        <v>8630</v>
      </c>
      <c r="G593" t="s">
        <v>1123</v>
      </c>
      <c r="H593" t="s">
        <v>15226</v>
      </c>
    </row>
    <row r="594" spans="1:9" x14ac:dyDescent="0.25">
      <c r="A594" t="s">
        <v>5330</v>
      </c>
      <c r="B594" t="s">
        <v>5331</v>
      </c>
      <c r="C594" t="s">
        <v>5333</v>
      </c>
      <c r="E594" t="s">
        <v>5332</v>
      </c>
      <c r="F594">
        <v>8616</v>
      </c>
      <c r="G594" t="s">
        <v>4302</v>
      </c>
      <c r="H594" t="s">
        <v>15226</v>
      </c>
    </row>
    <row r="595" spans="1:9" x14ac:dyDescent="0.25">
      <c r="A595" t="s">
        <v>5340</v>
      </c>
      <c r="B595" t="s">
        <v>5341</v>
      </c>
      <c r="C595" t="s">
        <v>5343</v>
      </c>
      <c r="E595" t="s">
        <v>5342</v>
      </c>
      <c r="F595">
        <v>8518</v>
      </c>
      <c r="G595" t="s">
        <v>881</v>
      </c>
      <c r="H595" t="s">
        <v>15226</v>
      </c>
    </row>
    <row r="596" spans="1:9" x14ac:dyDescent="0.25">
      <c r="A596" t="s">
        <v>5346</v>
      </c>
      <c r="B596" t="s">
        <v>5347</v>
      </c>
      <c r="C596" t="s">
        <v>5348</v>
      </c>
      <c r="D596" t="s">
        <v>15430</v>
      </c>
      <c r="F596">
        <v>8520</v>
      </c>
      <c r="G596" t="s">
        <v>584</v>
      </c>
      <c r="H596" t="s">
        <v>15226</v>
      </c>
      <c r="I596">
        <v>39130</v>
      </c>
    </row>
    <row r="597" spans="1:9" x14ac:dyDescent="0.25">
      <c r="A597" t="s">
        <v>5351</v>
      </c>
      <c r="B597" t="s">
        <v>5352</v>
      </c>
      <c r="C597" t="s">
        <v>5354</v>
      </c>
      <c r="D597" t="s">
        <v>15431</v>
      </c>
      <c r="E597" t="s">
        <v>5353</v>
      </c>
      <c r="F597">
        <v>8531</v>
      </c>
      <c r="G597" t="s">
        <v>90</v>
      </c>
      <c r="H597" t="s">
        <v>15222</v>
      </c>
      <c r="I597">
        <v>32646</v>
      </c>
    </row>
    <row r="598" spans="1:9" x14ac:dyDescent="0.25">
      <c r="A598" t="s">
        <v>5360</v>
      </c>
      <c r="B598" t="s">
        <v>5361</v>
      </c>
      <c r="C598" t="s">
        <v>5363</v>
      </c>
      <c r="D598" t="s">
        <v>15432</v>
      </c>
      <c r="E598" t="s">
        <v>5362</v>
      </c>
      <c r="F598">
        <v>6301</v>
      </c>
      <c r="G598" t="s">
        <v>597</v>
      </c>
      <c r="H598" t="s">
        <v>15222</v>
      </c>
      <c r="I598">
        <v>50601</v>
      </c>
    </row>
    <row r="599" spans="1:9" x14ac:dyDescent="0.25">
      <c r="A599" t="e" cm="1">
        <f t="array" ref="A599">+ AHORRO C.A</f>
        <v>#NAME?</v>
      </c>
      <c r="B599" t="s">
        <v>5367</v>
      </c>
      <c r="C599" t="s">
        <v>5369</v>
      </c>
      <c r="D599" t="s">
        <v>15433</v>
      </c>
      <c r="E599" t="s">
        <v>5368</v>
      </c>
      <c r="F599">
        <v>8583</v>
      </c>
      <c r="G599" t="s">
        <v>277</v>
      </c>
      <c r="H599" t="s">
        <v>279</v>
      </c>
      <c r="I599">
        <v>44082</v>
      </c>
    </row>
    <row r="600" spans="1:9" x14ac:dyDescent="0.25">
      <c r="A600" t="s">
        <v>5372</v>
      </c>
      <c r="B600" t="s">
        <v>5373</v>
      </c>
      <c r="C600" t="s">
        <v>5374</v>
      </c>
      <c r="D600" t="s">
        <v>15434</v>
      </c>
      <c r="F600">
        <v>8555</v>
      </c>
      <c r="G600" t="s">
        <v>820</v>
      </c>
      <c r="H600" t="s">
        <v>15222</v>
      </c>
      <c r="I600">
        <v>42173</v>
      </c>
    </row>
    <row r="601" spans="1:9" x14ac:dyDescent="0.25">
      <c r="A601" t="s">
        <v>5377</v>
      </c>
      <c r="B601" t="s">
        <v>2862</v>
      </c>
      <c r="C601" t="s">
        <v>5378</v>
      </c>
      <c r="D601" t="s">
        <v>15435</v>
      </c>
      <c r="E601" t="s">
        <v>5221</v>
      </c>
      <c r="F601">
        <v>6201</v>
      </c>
      <c r="G601" t="s">
        <v>38</v>
      </c>
      <c r="H601" t="s">
        <v>15220</v>
      </c>
      <c r="I601">
        <v>40348</v>
      </c>
    </row>
    <row r="602" spans="1:9" x14ac:dyDescent="0.25">
      <c r="A602" t="s">
        <v>5384</v>
      </c>
      <c r="B602" t="s">
        <v>5385</v>
      </c>
      <c r="C602" t="s">
        <v>5387</v>
      </c>
      <c r="D602" t="s">
        <v>5387</v>
      </c>
      <c r="E602" t="s">
        <v>5386</v>
      </c>
      <c r="F602">
        <v>8545</v>
      </c>
      <c r="G602" t="s">
        <v>327</v>
      </c>
      <c r="H602" t="s">
        <v>15231</v>
      </c>
      <c r="I602">
        <v>6663</v>
      </c>
    </row>
    <row r="603" spans="1:9" x14ac:dyDescent="0.25">
      <c r="A603" t="s">
        <v>5392</v>
      </c>
      <c r="B603" t="s">
        <v>5393</v>
      </c>
      <c r="C603" t="s">
        <v>15436</v>
      </c>
      <c r="D603" t="s">
        <v>15437</v>
      </c>
      <c r="E603" t="s">
        <v>5394</v>
      </c>
      <c r="F603">
        <v>8515</v>
      </c>
      <c r="G603" t="s">
        <v>255</v>
      </c>
      <c r="H603" t="s">
        <v>15249</v>
      </c>
      <c r="I603">
        <v>39455</v>
      </c>
    </row>
    <row r="604" spans="1:9" x14ac:dyDescent="0.25">
      <c r="A604" t="s">
        <v>15160</v>
      </c>
      <c r="B604" t="s">
        <v>5401</v>
      </c>
      <c r="C604" t="s">
        <v>5402</v>
      </c>
      <c r="D604" t="s">
        <v>15438</v>
      </c>
      <c r="F604">
        <v>8653</v>
      </c>
      <c r="G604" t="s">
        <v>932</v>
      </c>
      <c r="H604" t="s">
        <v>279</v>
      </c>
      <c r="I604">
        <v>7819</v>
      </c>
    </row>
    <row r="605" spans="1:9" x14ac:dyDescent="0.25">
      <c r="A605" t="s">
        <v>5405</v>
      </c>
      <c r="B605" t="s">
        <v>5406</v>
      </c>
      <c r="C605" t="s">
        <v>5408</v>
      </c>
      <c r="D605" t="s">
        <v>15439</v>
      </c>
      <c r="E605">
        <v>4148930393</v>
      </c>
      <c r="F605">
        <v>8523</v>
      </c>
      <c r="G605" t="s">
        <v>1222</v>
      </c>
      <c r="H605" t="s">
        <v>15226</v>
      </c>
      <c r="I605">
        <v>6701</v>
      </c>
    </row>
    <row r="606" spans="1:9" x14ac:dyDescent="0.25">
      <c r="A606" t="s">
        <v>5411</v>
      </c>
      <c r="B606" t="s">
        <v>5412</v>
      </c>
      <c r="C606" t="s">
        <v>5413</v>
      </c>
      <c r="D606" t="s">
        <v>15440</v>
      </c>
      <c r="F606">
        <v>8531</v>
      </c>
      <c r="G606" t="s">
        <v>90</v>
      </c>
      <c r="H606" t="s">
        <v>15222</v>
      </c>
      <c r="I606">
        <v>34843</v>
      </c>
    </row>
    <row r="607" spans="1:9" x14ac:dyDescent="0.25">
      <c r="A607" t="s">
        <v>5416</v>
      </c>
      <c r="B607" t="s">
        <v>5417</v>
      </c>
      <c r="C607" t="s">
        <v>5418</v>
      </c>
      <c r="D607" t="s">
        <v>15441</v>
      </c>
      <c r="F607">
        <v>8653</v>
      </c>
      <c r="G607" t="s">
        <v>932</v>
      </c>
      <c r="H607" t="s">
        <v>279</v>
      </c>
      <c r="I607">
        <v>27293</v>
      </c>
    </row>
    <row r="608" spans="1:9" x14ac:dyDescent="0.25">
      <c r="A608" t="s">
        <v>5421</v>
      </c>
      <c r="B608" t="s">
        <v>5422</v>
      </c>
      <c r="C608" t="s">
        <v>5424</v>
      </c>
      <c r="E608" t="s">
        <v>5423</v>
      </c>
      <c r="F608">
        <v>8630</v>
      </c>
      <c r="G608" t="s">
        <v>1123</v>
      </c>
      <c r="H608" t="s">
        <v>15226</v>
      </c>
    </row>
    <row r="609" spans="1:9" x14ac:dyDescent="0.25">
      <c r="A609" t="s">
        <v>5427</v>
      </c>
      <c r="B609" t="s">
        <v>5428</v>
      </c>
      <c r="C609" t="s">
        <v>5430</v>
      </c>
      <c r="D609" t="s">
        <v>15442</v>
      </c>
      <c r="E609" t="s">
        <v>5429</v>
      </c>
      <c r="F609">
        <v>6201</v>
      </c>
      <c r="G609" t="s">
        <v>41</v>
      </c>
      <c r="H609" t="s">
        <v>15220</v>
      </c>
      <c r="I609">
        <v>36849</v>
      </c>
    </row>
    <row r="610" spans="1:9" x14ac:dyDescent="0.25">
      <c r="A610" t="s">
        <v>5432</v>
      </c>
      <c r="B610" t="s">
        <v>5433</v>
      </c>
      <c r="C610" t="s">
        <v>5434</v>
      </c>
      <c r="E610" t="s">
        <v>2486</v>
      </c>
      <c r="F610">
        <v>8523</v>
      </c>
      <c r="G610" t="s">
        <v>1222</v>
      </c>
      <c r="H610" t="s">
        <v>15226</v>
      </c>
      <c r="I610">
        <v>50896</v>
      </c>
    </row>
    <row r="611" spans="1:9" x14ac:dyDescent="0.25">
      <c r="A611" t="s">
        <v>5441</v>
      </c>
      <c r="B611" t="s">
        <v>5442</v>
      </c>
      <c r="C611" t="s">
        <v>5444</v>
      </c>
      <c r="D611" t="s">
        <v>5444</v>
      </c>
      <c r="E611" t="s">
        <v>5443</v>
      </c>
      <c r="F611">
        <v>8615</v>
      </c>
      <c r="G611" t="s">
        <v>622</v>
      </c>
      <c r="H611" t="s">
        <v>15222</v>
      </c>
      <c r="I611">
        <v>28320</v>
      </c>
    </row>
    <row r="612" spans="1:9" x14ac:dyDescent="0.25">
      <c r="A612" t="s">
        <v>5448</v>
      </c>
      <c r="B612" t="s">
        <v>5449</v>
      </c>
      <c r="C612" t="s">
        <v>5451</v>
      </c>
      <c r="D612" t="s">
        <v>5451</v>
      </c>
      <c r="E612" t="s">
        <v>5450</v>
      </c>
      <c r="F612">
        <v>8534</v>
      </c>
      <c r="G612" t="s">
        <v>446</v>
      </c>
      <c r="H612" t="s">
        <v>72</v>
      </c>
      <c r="I612">
        <v>38127</v>
      </c>
    </row>
    <row r="613" spans="1:9" x14ac:dyDescent="0.25">
      <c r="A613" t="s">
        <v>5459</v>
      </c>
      <c r="B613" t="s">
        <v>5460</v>
      </c>
      <c r="C613" t="s">
        <v>5462</v>
      </c>
      <c r="E613" t="s">
        <v>5461</v>
      </c>
      <c r="F613">
        <v>8653</v>
      </c>
      <c r="G613" t="s">
        <v>932</v>
      </c>
      <c r="H613" t="s">
        <v>279</v>
      </c>
      <c r="I613">
        <v>46030</v>
      </c>
    </row>
    <row r="614" spans="1:9" x14ac:dyDescent="0.25">
      <c r="A614" t="s">
        <v>5465</v>
      </c>
      <c r="B614" t="s">
        <v>5466</v>
      </c>
      <c r="C614" t="s">
        <v>5470</v>
      </c>
      <c r="E614" t="s">
        <v>5468</v>
      </c>
      <c r="F614">
        <v>8660</v>
      </c>
      <c r="G614" t="s">
        <v>5467</v>
      </c>
      <c r="H614" t="s">
        <v>137</v>
      </c>
      <c r="I614">
        <v>2794</v>
      </c>
    </row>
    <row r="615" spans="1:9" x14ac:dyDescent="0.25">
      <c r="A615" t="s">
        <v>5472</v>
      </c>
      <c r="B615" t="s">
        <v>5473</v>
      </c>
      <c r="C615" t="s">
        <v>5475</v>
      </c>
      <c r="D615" t="s">
        <v>5475</v>
      </c>
      <c r="E615" t="s">
        <v>5474</v>
      </c>
      <c r="F615">
        <v>8515</v>
      </c>
      <c r="G615" t="s">
        <v>255</v>
      </c>
      <c r="H615" t="s">
        <v>15249</v>
      </c>
      <c r="I615">
        <v>2976</v>
      </c>
    </row>
    <row r="616" spans="1:9" x14ac:dyDescent="0.25">
      <c r="A616" t="s">
        <v>5478</v>
      </c>
      <c r="B616" t="s">
        <v>5479</v>
      </c>
      <c r="C616" t="s">
        <v>5481</v>
      </c>
      <c r="D616" t="s">
        <v>5481</v>
      </c>
      <c r="E616" t="s">
        <v>5480</v>
      </c>
      <c r="F616">
        <v>8515</v>
      </c>
      <c r="G616" t="s">
        <v>255</v>
      </c>
      <c r="H616" t="s">
        <v>15249</v>
      </c>
      <c r="I616">
        <v>44051</v>
      </c>
    </row>
    <row r="617" spans="1:9" x14ac:dyDescent="0.25">
      <c r="A617" t="s">
        <v>5483</v>
      </c>
      <c r="B617" t="s">
        <v>5484</v>
      </c>
      <c r="C617" t="s">
        <v>5486</v>
      </c>
      <c r="D617" t="s">
        <v>5486</v>
      </c>
      <c r="E617" t="s">
        <v>5485</v>
      </c>
      <c r="F617">
        <v>8558</v>
      </c>
      <c r="G617" t="s">
        <v>1360</v>
      </c>
      <c r="H617" t="s">
        <v>1215</v>
      </c>
      <c r="I617">
        <v>43338</v>
      </c>
    </row>
    <row r="618" spans="1:9" x14ac:dyDescent="0.25">
      <c r="A618" t="s">
        <v>5489</v>
      </c>
      <c r="B618" t="s">
        <v>5490</v>
      </c>
      <c r="C618" t="s">
        <v>5492</v>
      </c>
      <c r="D618" t="s">
        <v>5492</v>
      </c>
      <c r="E618" t="s">
        <v>5491</v>
      </c>
      <c r="F618">
        <v>8515</v>
      </c>
      <c r="G618" t="s">
        <v>255</v>
      </c>
      <c r="H618" t="s">
        <v>15249</v>
      </c>
      <c r="I618">
        <v>16789</v>
      </c>
    </row>
    <row r="619" spans="1:9" x14ac:dyDescent="0.25">
      <c r="A619" t="s">
        <v>15161</v>
      </c>
      <c r="B619" t="s">
        <v>4931</v>
      </c>
      <c r="C619" t="s">
        <v>4935</v>
      </c>
      <c r="D619" t="s">
        <v>15443</v>
      </c>
      <c r="E619" t="s">
        <v>15444</v>
      </c>
      <c r="F619">
        <v>8558</v>
      </c>
      <c r="G619" t="s">
        <v>2647</v>
      </c>
      <c r="H619" t="s">
        <v>1215</v>
      </c>
      <c r="I619">
        <v>50791</v>
      </c>
    </row>
    <row r="620" spans="1:9" x14ac:dyDescent="0.25">
      <c r="A620" t="s">
        <v>5499</v>
      </c>
      <c r="B620" t="s">
        <v>5500</v>
      </c>
      <c r="C620" t="s">
        <v>5502</v>
      </c>
      <c r="D620" t="s">
        <v>5502</v>
      </c>
      <c r="E620" t="s">
        <v>5501</v>
      </c>
      <c r="F620">
        <v>8557</v>
      </c>
      <c r="G620" t="s">
        <v>1723</v>
      </c>
      <c r="H620" t="s">
        <v>15231</v>
      </c>
      <c r="I620">
        <v>30608</v>
      </c>
    </row>
    <row r="621" spans="1:9" x14ac:dyDescent="0.25">
      <c r="A621" t="s">
        <v>5511</v>
      </c>
      <c r="B621" t="s">
        <v>3089</v>
      </c>
      <c r="C621" t="s">
        <v>3091</v>
      </c>
      <c r="D621" t="s">
        <v>15445</v>
      </c>
      <c r="F621">
        <v>8568</v>
      </c>
      <c r="G621" t="s">
        <v>361</v>
      </c>
      <c r="H621" t="s">
        <v>15220</v>
      </c>
      <c r="I621">
        <v>49976</v>
      </c>
    </row>
    <row r="622" spans="1:9" x14ac:dyDescent="0.25">
      <c r="A622" t="s">
        <v>5515</v>
      </c>
      <c r="B622" t="s">
        <v>5516</v>
      </c>
      <c r="F622">
        <v>6201</v>
      </c>
      <c r="G622" t="s">
        <v>41</v>
      </c>
      <c r="H622" t="s">
        <v>15220</v>
      </c>
    </row>
    <row r="623" spans="1:9" x14ac:dyDescent="0.25">
      <c r="A623" t="s">
        <v>5521</v>
      </c>
      <c r="B623" t="s">
        <v>5522</v>
      </c>
      <c r="C623" t="s">
        <v>5524</v>
      </c>
      <c r="D623" t="s">
        <v>5524</v>
      </c>
      <c r="E623" t="s">
        <v>5523</v>
      </c>
      <c r="F623">
        <v>6201</v>
      </c>
      <c r="G623" t="s">
        <v>41</v>
      </c>
      <c r="H623" t="s">
        <v>15220</v>
      </c>
      <c r="I623">
        <v>47390</v>
      </c>
    </row>
    <row r="624" spans="1:9" x14ac:dyDescent="0.25">
      <c r="A624" t="s">
        <v>5527</v>
      </c>
      <c r="B624" t="s">
        <v>5528</v>
      </c>
      <c r="C624" t="s">
        <v>5530</v>
      </c>
      <c r="D624" t="s">
        <v>5530</v>
      </c>
      <c r="E624">
        <v>4147849370</v>
      </c>
      <c r="F624">
        <v>8534</v>
      </c>
      <c r="G624" t="s">
        <v>446</v>
      </c>
      <c r="H624" t="s">
        <v>72</v>
      </c>
      <c r="I624">
        <v>46895</v>
      </c>
    </row>
    <row r="625" spans="1:9" x14ac:dyDescent="0.25">
      <c r="A625" t="s">
        <v>5539</v>
      </c>
      <c r="B625" t="s">
        <v>5540</v>
      </c>
      <c r="C625" t="s">
        <v>5542</v>
      </c>
      <c r="E625" t="s">
        <v>5541</v>
      </c>
      <c r="F625">
        <v>8533</v>
      </c>
      <c r="G625" t="s">
        <v>303</v>
      </c>
      <c r="H625" t="s">
        <v>72</v>
      </c>
      <c r="I625">
        <v>51487</v>
      </c>
    </row>
    <row r="626" spans="1:9" x14ac:dyDescent="0.25">
      <c r="A626" t="s">
        <v>5549</v>
      </c>
      <c r="B626" t="s">
        <v>4730</v>
      </c>
      <c r="C626" t="s">
        <v>4732</v>
      </c>
      <c r="D626" t="s">
        <v>4732</v>
      </c>
      <c r="E626" t="s">
        <v>5551</v>
      </c>
      <c r="F626">
        <v>8630</v>
      </c>
      <c r="G626" t="s">
        <v>1123</v>
      </c>
      <c r="H626" t="s">
        <v>15226</v>
      </c>
      <c r="I626">
        <v>41039</v>
      </c>
    </row>
    <row r="627" spans="1:9" x14ac:dyDescent="0.25">
      <c r="A627" t="s">
        <v>5554</v>
      </c>
      <c r="B627" t="s">
        <v>4730</v>
      </c>
      <c r="C627" t="s">
        <v>4732</v>
      </c>
      <c r="D627" t="s">
        <v>15446</v>
      </c>
      <c r="E627" t="s">
        <v>5555</v>
      </c>
      <c r="F627">
        <v>8630</v>
      </c>
      <c r="G627" t="s">
        <v>1123</v>
      </c>
      <c r="H627" t="s">
        <v>15226</v>
      </c>
      <c r="I627">
        <v>41039</v>
      </c>
    </row>
    <row r="628" spans="1:9" x14ac:dyDescent="0.25">
      <c r="A628" t="s">
        <v>5559</v>
      </c>
      <c r="B628" t="s">
        <v>5561</v>
      </c>
      <c r="C628" t="s">
        <v>5563</v>
      </c>
      <c r="D628" t="s">
        <v>5563</v>
      </c>
      <c r="E628">
        <v>4243375192</v>
      </c>
      <c r="F628">
        <v>8585</v>
      </c>
      <c r="G628" t="s">
        <v>2385</v>
      </c>
      <c r="H628" t="s">
        <v>106</v>
      </c>
      <c r="I628">
        <v>42557</v>
      </c>
    </row>
    <row r="629" spans="1:9" x14ac:dyDescent="0.25">
      <c r="A629" t="s">
        <v>5566</v>
      </c>
      <c r="B629" t="s">
        <v>5567</v>
      </c>
      <c r="C629" t="s">
        <v>5569</v>
      </c>
      <c r="D629" t="s">
        <v>5569</v>
      </c>
      <c r="E629" t="s">
        <v>5568</v>
      </c>
      <c r="F629">
        <v>8517</v>
      </c>
      <c r="G629" t="s">
        <v>184</v>
      </c>
      <c r="H629" t="s">
        <v>15226</v>
      </c>
      <c r="I629">
        <v>31812</v>
      </c>
    </row>
    <row r="630" spans="1:9" x14ac:dyDescent="0.25">
      <c r="A630" t="s">
        <v>5573</v>
      </c>
      <c r="B630" t="s">
        <v>5574</v>
      </c>
      <c r="C630" t="s">
        <v>5576</v>
      </c>
      <c r="D630" t="s">
        <v>5576</v>
      </c>
      <c r="E630" t="s">
        <v>5575</v>
      </c>
      <c r="F630">
        <v>8520</v>
      </c>
      <c r="G630" t="s">
        <v>584</v>
      </c>
      <c r="H630" t="s">
        <v>15226</v>
      </c>
    </row>
    <row r="631" spans="1:9" x14ac:dyDescent="0.25">
      <c r="A631" t="s">
        <v>5584</v>
      </c>
      <c r="B631" t="s">
        <v>5585</v>
      </c>
      <c r="C631" t="s">
        <v>15447</v>
      </c>
      <c r="E631" t="s">
        <v>15448</v>
      </c>
      <c r="F631">
        <v>8515</v>
      </c>
      <c r="G631" t="s">
        <v>255</v>
      </c>
      <c r="H631" t="s">
        <v>137</v>
      </c>
      <c r="I631">
        <v>33098</v>
      </c>
    </row>
    <row r="632" spans="1:9" x14ac:dyDescent="0.25">
      <c r="A632" t="s">
        <v>5590</v>
      </c>
      <c r="B632" t="s">
        <v>5591</v>
      </c>
      <c r="C632" t="s">
        <v>5592</v>
      </c>
      <c r="D632" t="s">
        <v>5592</v>
      </c>
      <c r="F632">
        <v>8566</v>
      </c>
      <c r="G632" t="s">
        <v>81</v>
      </c>
      <c r="H632" t="s">
        <v>85</v>
      </c>
      <c r="I632">
        <v>2792</v>
      </c>
    </row>
    <row r="633" spans="1:9" x14ac:dyDescent="0.25">
      <c r="A633" t="s">
        <v>5595</v>
      </c>
      <c r="B633" t="s">
        <v>5596</v>
      </c>
      <c r="C633" t="s">
        <v>5599</v>
      </c>
      <c r="D633" t="s">
        <v>15449</v>
      </c>
      <c r="E633" t="s">
        <v>5598</v>
      </c>
      <c r="F633">
        <v>8543</v>
      </c>
      <c r="G633" t="s">
        <v>699</v>
      </c>
      <c r="H633" t="s">
        <v>15220</v>
      </c>
      <c r="I633">
        <v>50834</v>
      </c>
    </row>
    <row r="634" spans="1:9" x14ac:dyDescent="0.25">
      <c r="A634" t="s">
        <v>5604</v>
      </c>
      <c r="B634" t="s">
        <v>5605</v>
      </c>
      <c r="C634" t="s">
        <v>5607</v>
      </c>
      <c r="E634" t="s">
        <v>5606</v>
      </c>
      <c r="F634">
        <v>6201</v>
      </c>
      <c r="G634" t="s">
        <v>41</v>
      </c>
      <c r="H634" t="s">
        <v>15220</v>
      </c>
    </row>
    <row r="635" spans="1:9" x14ac:dyDescent="0.25">
      <c r="A635" t="s">
        <v>5610</v>
      </c>
      <c r="B635" t="s">
        <v>5611</v>
      </c>
      <c r="C635" t="s">
        <v>5612</v>
      </c>
      <c r="E635" t="s">
        <v>2446</v>
      </c>
      <c r="F635">
        <v>8586</v>
      </c>
      <c r="G635" t="s">
        <v>2394</v>
      </c>
      <c r="H635" t="s">
        <v>15220</v>
      </c>
      <c r="I635">
        <v>51646</v>
      </c>
    </row>
    <row r="636" spans="1:9" x14ac:dyDescent="0.25">
      <c r="A636" t="s">
        <v>5615</v>
      </c>
      <c r="B636" t="s">
        <v>5616</v>
      </c>
      <c r="C636" t="s">
        <v>5618</v>
      </c>
      <c r="E636" t="s">
        <v>5617</v>
      </c>
      <c r="F636">
        <v>8523</v>
      </c>
      <c r="G636" t="s">
        <v>1222</v>
      </c>
      <c r="H636" t="s">
        <v>15226</v>
      </c>
      <c r="I636">
        <v>23462</v>
      </c>
    </row>
    <row r="637" spans="1:9" x14ac:dyDescent="0.25">
      <c r="A637" t="s">
        <v>5621</v>
      </c>
      <c r="B637" t="s">
        <v>5622</v>
      </c>
      <c r="F637">
        <v>6201</v>
      </c>
      <c r="G637" t="s">
        <v>41</v>
      </c>
      <c r="H637" t="s">
        <v>15220</v>
      </c>
    </row>
    <row r="638" spans="1:9" x14ac:dyDescent="0.25">
      <c r="A638" t="s">
        <v>5629</v>
      </c>
      <c r="B638" t="s">
        <v>5630</v>
      </c>
      <c r="C638" t="s">
        <v>5631</v>
      </c>
      <c r="F638">
        <v>8514</v>
      </c>
      <c r="G638" t="s">
        <v>2427</v>
      </c>
      <c r="H638" t="s">
        <v>279</v>
      </c>
      <c r="I638">
        <v>10377</v>
      </c>
    </row>
    <row r="639" spans="1:9" x14ac:dyDescent="0.25">
      <c r="A639" t="s">
        <v>5634</v>
      </c>
      <c r="B639" t="s">
        <v>5635</v>
      </c>
      <c r="F639">
        <v>6201</v>
      </c>
      <c r="G639" t="s">
        <v>41</v>
      </c>
      <c r="H639" t="s">
        <v>15220</v>
      </c>
    </row>
    <row r="640" spans="1:9" x14ac:dyDescent="0.25">
      <c r="A640" t="s">
        <v>5638</v>
      </c>
      <c r="B640" t="s">
        <v>4539</v>
      </c>
      <c r="C640" t="s">
        <v>4541</v>
      </c>
      <c r="D640" t="s">
        <v>15450</v>
      </c>
      <c r="E640" t="s">
        <v>15451</v>
      </c>
      <c r="F640">
        <v>6201</v>
      </c>
      <c r="G640" t="s">
        <v>38</v>
      </c>
      <c r="H640" t="s">
        <v>15220</v>
      </c>
      <c r="I640">
        <v>38658</v>
      </c>
    </row>
    <row r="641" spans="1:9" x14ac:dyDescent="0.25">
      <c r="A641" t="s">
        <v>5644</v>
      </c>
      <c r="B641" t="s">
        <v>5645</v>
      </c>
      <c r="C641" t="s">
        <v>5647</v>
      </c>
      <c r="E641" t="s">
        <v>5646</v>
      </c>
      <c r="F641">
        <v>8585</v>
      </c>
      <c r="G641" t="s">
        <v>2385</v>
      </c>
      <c r="H641" t="s">
        <v>106</v>
      </c>
      <c r="I641">
        <v>49982</v>
      </c>
    </row>
    <row r="642" spans="1:9" x14ac:dyDescent="0.25">
      <c r="A642" t="s">
        <v>5649</v>
      </c>
      <c r="B642" t="s">
        <v>5650</v>
      </c>
      <c r="C642" t="s">
        <v>5653</v>
      </c>
      <c r="E642" t="s">
        <v>5652</v>
      </c>
      <c r="F642">
        <v>8515</v>
      </c>
      <c r="G642" t="s">
        <v>5651</v>
      </c>
      <c r="H642" t="s">
        <v>15261</v>
      </c>
      <c r="I642">
        <v>39533</v>
      </c>
    </row>
    <row r="643" spans="1:9" x14ac:dyDescent="0.25">
      <c r="A643" t="s">
        <v>5655</v>
      </c>
      <c r="B643" t="s">
        <v>5657</v>
      </c>
      <c r="C643" t="s">
        <v>5659</v>
      </c>
      <c r="D643" t="s">
        <v>5659</v>
      </c>
      <c r="E643" t="s">
        <v>5658</v>
      </c>
      <c r="F643">
        <v>8646</v>
      </c>
      <c r="G643" t="s">
        <v>5188</v>
      </c>
      <c r="H643" t="s">
        <v>137</v>
      </c>
      <c r="I643">
        <v>34978</v>
      </c>
    </row>
    <row r="644" spans="1:9" x14ac:dyDescent="0.25">
      <c r="A644" t="s">
        <v>5662</v>
      </c>
      <c r="B644" t="s">
        <v>5663</v>
      </c>
      <c r="C644" t="s">
        <v>5666</v>
      </c>
      <c r="E644" t="s">
        <v>5658</v>
      </c>
      <c r="F644">
        <v>8663</v>
      </c>
      <c r="G644" t="s">
        <v>5664</v>
      </c>
      <c r="H644" t="s">
        <v>137</v>
      </c>
      <c r="I644">
        <v>39968</v>
      </c>
    </row>
    <row r="645" spans="1:9" x14ac:dyDescent="0.25">
      <c r="A645" t="s">
        <v>5672</v>
      </c>
      <c r="B645" t="s">
        <v>5673</v>
      </c>
      <c r="C645" t="s">
        <v>5675</v>
      </c>
      <c r="E645" t="s">
        <v>5674</v>
      </c>
      <c r="F645">
        <v>8548</v>
      </c>
      <c r="G645" t="s">
        <v>1396</v>
      </c>
      <c r="H645" t="s">
        <v>15231</v>
      </c>
      <c r="I645">
        <v>50836</v>
      </c>
    </row>
    <row r="646" spans="1:9" x14ac:dyDescent="0.25">
      <c r="A646" t="s">
        <v>5678</v>
      </c>
      <c r="B646" t="s">
        <v>5680</v>
      </c>
      <c r="C646" t="s">
        <v>5681</v>
      </c>
      <c r="D646" t="s">
        <v>5681</v>
      </c>
      <c r="F646">
        <v>8608</v>
      </c>
      <c r="G646" t="s">
        <v>641</v>
      </c>
      <c r="H646" t="s">
        <v>15222</v>
      </c>
      <c r="I646">
        <v>49785</v>
      </c>
    </row>
    <row r="647" spans="1:9" x14ac:dyDescent="0.25">
      <c r="A647" t="s">
        <v>5684</v>
      </c>
      <c r="B647" t="s">
        <v>5685</v>
      </c>
      <c r="C647" t="s">
        <v>5687</v>
      </c>
      <c r="D647" t="s">
        <v>5687</v>
      </c>
      <c r="E647" t="s">
        <v>5686</v>
      </c>
      <c r="F647">
        <v>8558</v>
      </c>
      <c r="G647" t="s">
        <v>1360</v>
      </c>
      <c r="H647" t="s">
        <v>1215</v>
      </c>
      <c r="I647">
        <v>47264</v>
      </c>
    </row>
    <row r="648" spans="1:9" x14ac:dyDescent="0.25">
      <c r="A648" t="s">
        <v>5690</v>
      </c>
      <c r="B648" t="s">
        <v>5691</v>
      </c>
      <c r="F648">
        <v>6201</v>
      </c>
      <c r="G648" t="s">
        <v>41</v>
      </c>
      <c r="H648" t="s">
        <v>15220</v>
      </c>
    </row>
    <row r="649" spans="1:9" x14ac:dyDescent="0.25">
      <c r="A649" t="s">
        <v>5694</v>
      </c>
      <c r="B649" t="s">
        <v>5695</v>
      </c>
      <c r="C649" t="s">
        <v>5696</v>
      </c>
      <c r="D649" t="s">
        <v>5696</v>
      </c>
      <c r="F649">
        <v>8533</v>
      </c>
      <c r="G649" t="s">
        <v>303</v>
      </c>
      <c r="H649" t="s">
        <v>72</v>
      </c>
      <c r="I649">
        <v>50306</v>
      </c>
    </row>
    <row r="650" spans="1:9" x14ac:dyDescent="0.25">
      <c r="A650" t="s">
        <v>5699</v>
      </c>
      <c r="B650" t="s">
        <v>2871</v>
      </c>
      <c r="C650" t="s">
        <v>5701</v>
      </c>
      <c r="D650" t="s">
        <v>5701</v>
      </c>
      <c r="E650" t="s">
        <v>3527</v>
      </c>
      <c r="F650">
        <v>8523</v>
      </c>
      <c r="G650" t="s">
        <v>1607</v>
      </c>
      <c r="H650" t="s">
        <v>15226</v>
      </c>
    </row>
    <row r="651" spans="1:9" x14ac:dyDescent="0.25">
      <c r="A651" t="s">
        <v>5704</v>
      </c>
      <c r="B651" t="s">
        <v>5705</v>
      </c>
      <c r="C651" t="s">
        <v>5708</v>
      </c>
      <c r="F651">
        <v>8664</v>
      </c>
      <c r="G651" t="s">
        <v>5706</v>
      </c>
      <c r="H651" t="s">
        <v>15231</v>
      </c>
    </row>
    <row r="652" spans="1:9" x14ac:dyDescent="0.25">
      <c r="A652" t="s">
        <v>5711</v>
      </c>
      <c r="B652" t="s">
        <v>5712</v>
      </c>
      <c r="C652" t="s">
        <v>5713</v>
      </c>
      <c r="F652">
        <v>8524</v>
      </c>
      <c r="G652" t="s">
        <v>404</v>
      </c>
      <c r="H652" t="s">
        <v>15226</v>
      </c>
      <c r="I652">
        <v>47922</v>
      </c>
    </row>
    <row r="653" spans="1:9" x14ac:dyDescent="0.25">
      <c r="A653" t="s">
        <v>5715</v>
      </c>
      <c r="B653" t="s">
        <v>5716</v>
      </c>
      <c r="C653" t="s">
        <v>5717</v>
      </c>
      <c r="F653">
        <v>8515</v>
      </c>
      <c r="G653" t="s">
        <v>255</v>
      </c>
      <c r="H653" t="s">
        <v>15249</v>
      </c>
      <c r="I653">
        <v>3197</v>
      </c>
    </row>
    <row r="654" spans="1:9" x14ac:dyDescent="0.25">
      <c r="A654" t="s">
        <v>5720</v>
      </c>
      <c r="B654" t="s">
        <v>5721</v>
      </c>
      <c r="C654" t="s">
        <v>5723</v>
      </c>
      <c r="E654" t="s">
        <v>5722</v>
      </c>
      <c r="F654">
        <v>8643</v>
      </c>
      <c r="H654" t="s">
        <v>1215</v>
      </c>
      <c r="I654">
        <v>5869</v>
      </c>
    </row>
    <row r="655" spans="1:9" x14ac:dyDescent="0.25">
      <c r="A655" t="s">
        <v>5726</v>
      </c>
      <c r="B655" t="s">
        <v>5727</v>
      </c>
      <c r="C655" t="s">
        <v>5731</v>
      </c>
      <c r="E655">
        <v>4125937301</v>
      </c>
      <c r="F655">
        <v>8666</v>
      </c>
      <c r="G655" t="s">
        <v>5728</v>
      </c>
      <c r="H655" t="s">
        <v>15231</v>
      </c>
      <c r="I655">
        <v>47419</v>
      </c>
    </row>
    <row r="656" spans="1:9" x14ac:dyDescent="0.25">
      <c r="A656" t="s">
        <v>5734</v>
      </c>
      <c r="B656" t="s">
        <v>5735</v>
      </c>
      <c r="E656" t="s">
        <v>5736</v>
      </c>
      <c r="F656">
        <v>6201</v>
      </c>
      <c r="G656" t="s">
        <v>41</v>
      </c>
      <c r="H656" t="s">
        <v>15220</v>
      </c>
    </row>
    <row r="657" spans="1:9" x14ac:dyDescent="0.25">
      <c r="A657" t="s">
        <v>5746</v>
      </c>
      <c r="B657" t="s">
        <v>5747</v>
      </c>
      <c r="C657" t="s">
        <v>5748</v>
      </c>
      <c r="F657">
        <v>8640</v>
      </c>
      <c r="G657" t="s">
        <v>4487</v>
      </c>
      <c r="H657" t="s">
        <v>106</v>
      </c>
      <c r="I657">
        <v>1640</v>
      </c>
    </row>
    <row r="658" spans="1:9" x14ac:dyDescent="0.25">
      <c r="A658" t="s">
        <v>5751</v>
      </c>
      <c r="B658" t="s">
        <v>5752</v>
      </c>
      <c r="C658" t="s">
        <v>5753</v>
      </c>
      <c r="F658">
        <v>8558</v>
      </c>
      <c r="G658" t="s">
        <v>1360</v>
      </c>
      <c r="H658" t="s">
        <v>1215</v>
      </c>
      <c r="I658">
        <v>1141</v>
      </c>
    </row>
    <row r="659" spans="1:9" x14ac:dyDescent="0.25">
      <c r="A659" t="s">
        <v>5760</v>
      </c>
      <c r="B659" t="s">
        <v>5761</v>
      </c>
      <c r="C659" t="s">
        <v>5763</v>
      </c>
      <c r="E659" t="s">
        <v>5762</v>
      </c>
      <c r="F659">
        <v>8540</v>
      </c>
      <c r="G659" t="s">
        <v>1062</v>
      </c>
      <c r="H659" t="s">
        <v>72</v>
      </c>
      <c r="I659">
        <v>51360</v>
      </c>
    </row>
    <row r="660" spans="1:9" x14ac:dyDescent="0.25">
      <c r="A660" t="s">
        <v>5766</v>
      </c>
      <c r="B660" t="s">
        <v>5767</v>
      </c>
      <c r="C660" t="s">
        <v>5769</v>
      </c>
      <c r="E660" t="s">
        <v>5768</v>
      </c>
      <c r="F660">
        <v>8534</v>
      </c>
      <c r="G660" t="s">
        <v>446</v>
      </c>
      <c r="H660" t="s">
        <v>72</v>
      </c>
      <c r="I660">
        <v>9575</v>
      </c>
    </row>
    <row r="661" spans="1:9" x14ac:dyDescent="0.25">
      <c r="A661" t="s">
        <v>5775</v>
      </c>
      <c r="B661" t="s">
        <v>5776</v>
      </c>
      <c r="E661" t="s">
        <v>5777</v>
      </c>
      <c r="F661">
        <v>6201</v>
      </c>
      <c r="G661" t="s">
        <v>41</v>
      </c>
      <c r="H661" t="s">
        <v>15220</v>
      </c>
    </row>
    <row r="662" spans="1:9" x14ac:dyDescent="0.25">
      <c r="A662" t="s">
        <v>5779</v>
      </c>
      <c r="B662" t="s">
        <v>5780</v>
      </c>
      <c r="E662" t="s">
        <v>5781</v>
      </c>
      <c r="F662">
        <v>6201</v>
      </c>
      <c r="G662" t="s">
        <v>41</v>
      </c>
      <c r="H662" t="s">
        <v>15220</v>
      </c>
    </row>
    <row r="663" spans="1:9" x14ac:dyDescent="0.25">
      <c r="A663" t="s">
        <v>5794</v>
      </c>
      <c r="B663" t="s">
        <v>5796</v>
      </c>
      <c r="C663" t="s">
        <v>5797</v>
      </c>
      <c r="F663">
        <v>8515</v>
      </c>
      <c r="G663" t="s">
        <v>255</v>
      </c>
      <c r="H663" t="s">
        <v>15249</v>
      </c>
      <c r="I663">
        <v>32121</v>
      </c>
    </row>
    <row r="664" spans="1:9" x14ac:dyDescent="0.25">
      <c r="A664" t="s">
        <v>5799</v>
      </c>
      <c r="B664" t="s">
        <v>5800</v>
      </c>
      <c r="C664" t="s">
        <v>5802</v>
      </c>
      <c r="E664" t="s">
        <v>5801</v>
      </c>
      <c r="F664">
        <v>8515</v>
      </c>
      <c r="G664" t="s">
        <v>255</v>
      </c>
      <c r="H664" t="s">
        <v>15249</v>
      </c>
      <c r="I664">
        <v>33251</v>
      </c>
    </row>
    <row r="665" spans="1:9" x14ac:dyDescent="0.25">
      <c r="A665" t="s">
        <v>5805</v>
      </c>
      <c r="B665" t="s">
        <v>5806</v>
      </c>
      <c r="C665" t="s">
        <v>5807</v>
      </c>
      <c r="F665">
        <v>8531</v>
      </c>
      <c r="G665" t="s">
        <v>90</v>
      </c>
      <c r="H665" t="s">
        <v>15222</v>
      </c>
      <c r="I665">
        <v>37369</v>
      </c>
    </row>
    <row r="666" spans="1:9" x14ac:dyDescent="0.25">
      <c r="A666" t="s">
        <v>5810</v>
      </c>
      <c r="B666" t="s">
        <v>5811</v>
      </c>
      <c r="C666" t="s">
        <v>5812</v>
      </c>
      <c r="F666">
        <v>8531</v>
      </c>
      <c r="G666" t="s">
        <v>90</v>
      </c>
      <c r="H666" t="s">
        <v>15222</v>
      </c>
      <c r="I666">
        <v>43844</v>
      </c>
    </row>
    <row r="667" spans="1:9" x14ac:dyDescent="0.25">
      <c r="A667" t="s">
        <v>5815</v>
      </c>
      <c r="B667" t="s">
        <v>539</v>
      </c>
      <c r="C667" t="s">
        <v>5816</v>
      </c>
      <c r="F667">
        <v>8531</v>
      </c>
      <c r="G667" t="s">
        <v>90</v>
      </c>
      <c r="H667" t="s">
        <v>15222</v>
      </c>
      <c r="I667">
        <v>32062</v>
      </c>
    </row>
    <row r="668" spans="1:9" x14ac:dyDescent="0.25">
      <c r="A668" t="s">
        <v>5819</v>
      </c>
      <c r="B668" t="s">
        <v>5820</v>
      </c>
      <c r="C668" t="s">
        <v>5822</v>
      </c>
      <c r="D668" t="s">
        <v>5822</v>
      </c>
      <c r="E668" t="s">
        <v>5821</v>
      </c>
      <c r="F668">
        <v>8597</v>
      </c>
      <c r="G668" t="s">
        <v>2768</v>
      </c>
      <c r="H668" t="s">
        <v>72</v>
      </c>
      <c r="I668">
        <v>39191</v>
      </c>
    </row>
    <row r="669" spans="1:9" x14ac:dyDescent="0.25">
      <c r="A669" t="s">
        <v>5825</v>
      </c>
      <c r="B669" t="s">
        <v>5826</v>
      </c>
      <c r="C669" t="s">
        <v>5828</v>
      </c>
      <c r="E669" t="s">
        <v>5827</v>
      </c>
      <c r="F669">
        <v>8533</v>
      </c>
      <c r="G669" t="s">
        <v>303</v>
      </c>
      <c r="H669" t="s">
        <v>72</v>
      </c>
      <c r="I669">
        <v>39202</v>
      </c>
    </row>
    <row r="670" spans="1:9" x14ac:dyDescent="0.25">
      <c r="A670" t="s">
        <v>5835</v>
      </c>
      <c r="B670" t="s">
        <v>5836</v>
      </c>
      <c r="C670" t="s">
        <v>5838</v>
      </c>
      <c r="E670" t="s">
        <v>5837</v>
      </c>
      <c r="F670">
        <v>6201</v>
      </c>
      <c r="G670" t="s">
        <v>41</v>
      </c>
      <c r="H670" t="s">
        <v>15220</v>
      </c>
    </row>
    <row r="671" spans="1:9" x14ac:dyDescent="0.25">
      <c r="A671" t="s">
        <v>5849</v>
      </c>
      <c r="B671" t="s">
        <v>5850</v>
      </c>
      <c r="C671" t="s">
        <v>5851</v>
      </c>
      <c r="D671" t="s">
        <v>15452</v>
      </c>
      <c r="F671">
        <v>8523</v>
      </c>
      <c r="G671" t="s">
        <v>1222</v>
      </c>
      <c r="H671" t="s">
        <v>15226</v>
      </c>
      <c r="I671">
        <v>52380</v>
      </c>
    </row>
    <row r="672" spans="1:9" x14ac:dyDescent="0.25">
      <c r="A672" t="s">
        <v>5876</v>
      </c>
      <c r="B672" t="s">
        <v>5877</v>
      </c>
      <c r="C672" t="s">
        <v>5878</v>
      </c>
      <c r="F672">
        <v>8566</v>
      </c>
      <c r="G672" t="s">
        <v>81</v>
      </c>
      <c r="H672" t="s">
        <v>85</v>
      </c>
      <c r="I672">
        <v>36426</v>
      </c>
    </row>
    <row r="673" spans="1:9" x14ac:dyDescent="0.25">
      <c r="A673" t="s">
        <v>5881</v>
      </c>
      <c r="B673" t="s">
        <v>5882</v>
      </c>
      <c r="C673" t="s">
        <v>5884</v>
      </c>
      <c r="E673" t="s">
        <v>5883</v>
      </c>
      <c r="F673">
        <v>8566</v>
      </c>
      <c r="G673" t="s">
        <v>2831</v>
      </c>
      <c r="H673" t="s">
        <v>85</v>
      </c>
      <c r="I673">
        <v>49589</v>
      </c>
    </row>
    <row r="674" spans="1:9" x14ac:dyDescent="0.25">
      <c r="A674" t="s">
        <v>5890</v>
      </c>
      <c r="B674" t="s">
        <v>5891</v>
      </c>
      <c r="C674" t="s">
        <v>5894</v>
      </c>
      <c r="E674" t="s">
        <v>5893</v>
      </c>
      <c r="F674">
        <v>7101</v>
      </c>
      <c r="G674" t="s">
        <v>5892</v>
      </c>
      <c r="H674" t="s">
        <v>15226</v>
      </c>
      <c r="I674">
        <v>42114</v>
      </c>
    </row>
    <row r="675" spans="1:9" x14ac:dyDescent="0.25">
      <c r="A675" t="s">
        <v>5896</v>
      </c>
      <c r="B675" t="s">
        <v>5897</v>
      </c>
      <c r="C675" t="s">
        <v>5898</v>
      </c>
      <c r="F675">
        <v>7101</v>
      </c>
      <c r="G675" t="s">
        <v>5892</v>
      </c>
      <c r="H675" t="s">
        <v>15226</v>
      </c>
      <c r="I675">
        <v>37831</v>
      </c>
    </row>
    <row r="676" spans="1:9" x14ac:dyDescent="0.25">
      <c r="A676" t="s">
        <v>5900</v>
      </c>
      <c r="B676" t="s">
        <v>5902</v>
      </c>
      <c r="C676" t="s">
        <v>5904</v>
      </c>
      <c r="D676" t="s">
        <v>5904</v>
      </c>
      <c r="E676" t="s">
        <v>5903</v>
      </c>
      <c r="F676">
        <v>8516</v>
      </c>
      <c r="G676" t="s">
        <v>157</v>
      </c>
      <c r="H676" t="s">
        <v>15226</v>
      </c>
      <c r="I676">
        <v>27162</v>
      </c>
    </row>
    <row r="677" spans="1:9" x14ac:dyDescent="0.25">
      <c r="A677" t="s">
        <v>5908</v>
      </c>
      <c r="B677" t="s">
        <v>5909</v>
      </c>
      <c r="C677" t="s">
        <v>5911</v>
      </c>
      <c r="E677" t="s">
        <v>5910</v>
      </c>
      <c r="F677">
        <v>8520</v>
      </c>
      <c r="G677" t="s">
        <v>584</v>
      </c>
      <c r="H677" t="s">
        <v>15226</v>
      </c>
      <c r="I677">
        <v>52316</v>
      </c>
    </row>
    <row r="678" spans="1:9" x14ac:dyDescent="0.25">
      <c r="A678" t="s">
        <v>5914</v>
      </c>
      <c r="B678" t="s">
        <v>5915</v>
      </c>
      <c r="C678" t="s">
        <v>5917</v>
      </c>
      <c r="E678" t="s">
        <v>5916</v>
      </c>
      <c r="F678">
        <v>8518</v>
      </c>
      <c r="G678" t="s">
        <v>881</v>
      </c>
      <c r="H678" t="s">
        <v>15226</v>
      </c>
    </row>
    <row r="679" spans="1:9" x14ac:dyDescent="0.25">
      <c r="A679" t="s">
        <v>5920</v>
      </c>
      <c r="B679" t="s">
        <v>5921</v>
      </c>
      <c r="C679" t="s">
        <v>5923</v>
      </c>
      <c r="E679" t="s">
        <v>5922</v>
      </c>
      <c r="F679">
        <v>8566</v>
      </c>
      <c r="G679" t="s">
        <v>81</v>
      </c>
      <c r="H679" t="s">
        <v>85</v>
      </c>
      <c r="I679">
        <v>2099</v>
      </c>
    </row>
    <row r="680" spans="1:9" x14ac:dyDescent="0.25">
      <c r="A680" t="s">
        <v>5925</v>
      </c>
      <c r="B680" t="s">
        <v>5926</v>
      </c>
      <c r="C680" t="s">
        <v>5931</v>
      </c>
      <c r="E680" t="s">
        <v>5928</v>
      </c>
      <c r="F680">
        <v>8670</v>
      </c>
      <c r="G680" t="s">
        <v>5927</v>
      </c>
      <c r="H680" t="s">
        <v>85</v>
      </c>
      <c r="I680">
        <v>2847</v>
      </c>
    </row>
    <row r="681" spans="1:9" x14ac:dyDescent="0.25">
      <c r="A681" t="s">
        <v>5934</v>
      </c>
      <c r="B681" t="s">
        <v>5935</v>
      </c>
      <c r="C681" t="s">
        <v>5940</v>
      </c>
      <c r="D681" t="s">
        <v>5940</v>
      </c>
      <c r="E681" t="s">
        <v>5937</v>
      </c>
      <c r="F681">
        <v>8671</v>
      </c>
      <c r="G681" t="s">
        <v>5936</v>
      </c>
      <c r="H681" t="s">
        <v>85</v>
      </c>
      <c r="I681">
        <v>43203</v>
      </c>
    </row>
    <row r="682" spans="1:9" x14ac:dyDescent="0.25">
      <c r="A682" t="s">
        <v>5943</v>
      </c>
      <c r="B682" t="s">
        <v>1220</v>
      </c>
      <c r="C682" t="s">
        <v>5946</v>
      </c>
      <c r="D682" t="s">
        <v>5946</v>
      </c>
      <c r="E682" t="s">
        <v>5945</v>
      </c>
      <c r="F682">
        <v>8523</v>
      </c>
      <c r="G682" t="s">
        <v>1222</v>
      </c>
      <c r="H682" t="s">
        <v>15226</v>
      </c>
      <c r="I682">
        <v>4212</v>
      </c>
    </row>
    <row r="683" spans="1:9" x14ac:dyDescent="0.25">
      <c r="A683" t="s">
        <v>5949</v>
      </c>
      <c r="B683" t="s">
        <v>5950</v>
      </c>
      <c r="C683" t="s">
        <v>5954</v>
      </c>
      <c r="E683" t="s">
        <v>5951</v>
      </c>
      <c r="F683">
        <v>8577</v>
      </c>
      <c r="G683" t="s">
        <v>2318</v>
      </c>
      <c r="H683" t="s">
        <v>15293</v>
      </c>
      <c r="I683">
        <v>3275</v>
      </c>
    </row>
    <row r="684" spans="1:9" x14ac:dyDescent="0.25">
      <c r="A684" t="s">
        <v>5969</v>
      </c>
      <c r="B684" t="s">
        <v>5970</v>
      </c>
      <c r="C684" t="s">
        <v>5972</v>
      </c>
      <c r="E684" t="s">
        <v>5971</v>
      </c>
      <c r="F684">
        <v>8626</v>
      </c>
      <c r="G684" t="s">
        <v>5739</v>
      </c>
      <c r="H684" t="s">
        <v>15453</v>
      </c>
      <c r="I684">
        <v>41383</v>
      </c>
    </row>
    <row r="685" spans="1:9" x14ac:dyDescent="0.25">
      <c r="A685" t="s">
        <v>5986</v>
      </c>
      <c r="B685" t="s">
        <v>4245</v>
      </c>
      <c r="C685" t="s">
        <v>4250</v>
      </c>
      <c r="D685" t="s">
        <v>15454</v>
      </c>
      <c r="F685">
        <v>8544</v>
      </c>
      <c r="G685" t="s">
        <v>119</v>
      </c>
      <c r="H685" t="s">
        <v>15231</v>
      </c>
      <c r="I685">
        <v>5709</v>
      </c>
    </row>
    <row r="686" spans="1:9" x14ac:dyDescent="0.25">
      <c r="A686" t="s">
        <v>5991</v>
      </c>
      <c r="B686" t="s">
        <v>1220</v>
      </c>
      <c r="C686" t="s">
        <v>5946</v>
      </c>
      <c r="D686" t="s">
        <v>15455</v>
      </c>
      <c r="F686">
        <v>8523</v>
      </c>
      <c r="G686" t="s">
        <v>1607</v>
      </c>
      <c r="H686" t="s">
        <v>15226</v>
      </c>
      <c r="I686">
        <v>4212</v>
      </c>
    </row>
    <row r="687" spans="1:9" x14ac:dyDescent="0.25">
      <c r="A687" t="s">
        <v>5999</v>
      </c>
      <c r="B687" t="s">
        <v>5997</v>
      </c>
      <c r="C687" t="s">
        <v>6001</v>
      </c>
      <c r="D687" t="s">
        <v>6001</v>
      </c>
      <c r="E687" t="s">
        <v>6000</v>
      </c>
      <c r="F687">
        <v>8670</v>
      </c>
      <c r="G687" t="s">
        <v>5927</v>
      </c>
      <c r="H687" t="s">
        <v>85</v>
      </c>
      <c r="I687">
        <v>17901</v>
      </c>
    </row>
    <row r="688" spans="1:9" x14ac:dyDescent="0.25">
      <c r="A688" t="s">
        <v>6003</v>
      </c>
      <c r="B688" t="s">
        <v>5997</v>
      </c>
      <c r="C688" t="s">
        <v>6001</v>
      </c>
      <c r="D688" t="s">
        <v>15456</v>
      </c>
      <c r="E688" t="s">
        <v>6004</v>
      </c>
      <c r="F688">
        <v>8670</v>
      </c>
      <c r="G688" t="s">
        <v>5927</v>
      </c>
      <c r="H688" t="s">
        <v>85</v>
      </c>
      <c r="I688">
        <v>51407</v>
      </c>
    </row>
    <row r="689" spans="1:9" x14ac:dyDescent="0.25">
      <c r="A689" t="s">
        <v>15162</v>
      </c>
      <c r="B689" t="s">
        <v>6014</v>
      </c>
      <c r="C689" t="s">
        <v>6016</v>
      </c>
      <c r="E689" t="s">
        <v>6015</v>
      </c>
      <c r="F689">
        <v>8523</v>
      </c>
      <c r="G689" t="s">
        <v>1222</v>
      </c>
      <c r="H689" t="s">
        <v>15226</v>
      </c>
      <c r="I689">
        <v>5931</v>
      </c>
    </row>
    <row r="690" spans="1:9" x14ac:dyDescent="0.25">
      <c r="A690" t="s">
        <v>6019</v>
      </c>
      <c r="B690" t="s">
        <v>6020</v>
      </c>
      <c r="C690" t="s">
        <v>6022</v>
      </c>
      <c r="D690" t="s">
        <v>6022</v>
      </c>
      <c r="E690" t="s">
        <v>6021</v>
      </c>
      <c r="F690">
        <v>8596</v>
      </c>
      <c r="G690" t="s">
        <v>1430</v>
      </c>
      <c r="H690" t="s">
        <v>85</v>
      </c>
      <c r="I690">
        <v>42012</v>
      </c>
    </row>
    <row r="691" spans="1:9" x14ac:dyDescent="0.25">
      <c r="A691" t="s">
        <v>6025</v>
      </c>
      <c r="B691" t="s">
        <v>6026</v>
      </c>
      <c r="C691" t="s">
        <v>6031</v>
      </c>
      <c r="D691" t="s">
        <v>6031</v>
      </c>
      <c r="E691" t="s">
        <v>6028</v>
      </c>
      <c r="F691">
        <v>8673</v>
      </c>
      <c r="G691" t="s">
        <v>6027</v>
      </c>
      <c r="H691" t="s">
        <v>85</v>
      </c>
      <c r="I691">
        <v>49611</v>
      </c>
    </row>
    <row r="692" spans="1:9" x14ac:dyDescent="0.25">
      <c r="A692" t="s">
        <v>6034</v>
      </c>
      <c r="B692" t="s">
        <v>6035</v>
      </c>
      <c r="C692" t="s">
        <v>6037</v>
      </c>
      <c r="E692" t="s">
        <v>6036</v>
      </c>
      <c r="F692">
        <v>8583</v>
      </c>
      <c r="G692" t="s">
        <v>277</v>
      </c>
      <c r="H692" t="s">
        <v>279</v>
      </c>
      <c r="I692">
        <v>23929</v>
      </c>
    </row>
    <row r="693" spans="1:9" x14ac:dyDescent="0.25">
      <c r="A693" t="s">
        <v>6040</v>
      </c>
      <c r="B693" t="s">
        <v>6041</v>
      </c>
      <c r="C693" t="s">
        <v>6044</v>
      </c>
      <c r="F693">
        <v>8746</v>
      </c>
      <c r="G693" t="s">
        <v>5739</v>
      </c>
      <c r="H693" t="s">
        <v>15453</v>
      </c>
      <c r="I693">
        <v>50098</v>
      </c>
    </row>
    <row r="694" spans="1:9" x14ac:dyDescent="0.25">
      <c r="A694" t="s">
        <v>6048</v>
      </c>
      <c r="B694" t="s">
        <v>6049</v>
      </c>
      <c r="C694" t="s">
        <v>6051</v>
      </c>
      <c r="E694" t="s">
        <v>6050</v>
      </c>
      <c r="F694">
        <v>8532</v>
      </c>
      <c r="G694" t="s">
        <v>614</v>
      </c>
      <c r="H694" t="s">
        <v>15222</v>
      </c>
      <c r="I694">
        <v>46256</v>
      </c>
    </row>
    <row r="695" spans="1:9" x14ac:dyDescent="0.25">
      <c r="A695" t="s">
        <v>6061</v>
      </c>
      <c r="B695" t="s">
        <v>6062</v>
      </c>
      <c r="C695" t="s">
        <v>6064</v>
      </c>
      <c r="E695" t="s">
        <v>6063</v>
      </c>
      <c r="F695">
        <v>8555</v>
      </c>
      <c r="G695" t="s">
        <v>820</v>
      </c>
      <c r="H695" t="s">
        <v>15222</v>
      </c>
      <c r="I695">
        <v>35188</v>
      </c>
    </row>
    <row r="696" spans="1:9" x14ac:dyDescent="0.25">
      <c r="A696" t="s">
        <v>6068</v>
      </c>
      <c r="B696" t="s">
        <v>6069</v>
      </c>
      <c r="C696" t="s">
        <v>6074</v>
      </c>
      <c r="D696" t="s">
        <v>6074</v>
      </c>
      <c r="E696" t="s">
        <v>6071</v>
      </c>
      <c r="F696">
        <v>8675</v>
      </c>
      <c r="G696" t="s">
        <v>6070</v>
      </c>
      <c r="H696" t="s">
        <v>85</v>
      </c>
      <c r="I696">
        <v>3414</v>
      </c>
    </row>
    <row r="697" spans="1:9" x14ac:dyDescent="0.25">
      <c r="A697" t="s">
        <v>6077</v>
      </c>
      <c r="B697" t="s">
        <v>6078</v>
      </c>
      <c r="C697" t="s">
        <v>6083</v>
      </c>
      <c r="E697" t="s">
        <v>6080</v>
      </c>
      <c r="F697">
        <v>8676</v>
      </c>
      <c r="G697" t="s">
        <v>6079</v>
      </c>
      <c r="H697" t="s">
        <v>15453</v>
      </c>
      <c r="I697">
        <v>51568</v>
      </c>
    </row>
    <row r="698" spans="1:9" x14ac:dyDescent="0.25">
      <c r="A698" t="s">
        <v>6085</v>
      </c>
      <c r="B698" t="s">
        <v>6086</v>
      </c>
      <c r="C698" t="s">
        <v>6088</v>
      </c>
      <c r="E698" t="s">
        <v>6087</v>
      </c>
      <c r="F698">
        <v>6201</v>
      </c>
      <c r="G698" t="s">
        <v>41</v>
      </c>
      <c r="H698" t="s">
        <v>15220</v>
      </c>
      <c r="I698">
        <v>33055</v>
      </c>
    </row>
    <row r="699" spans="1:9" x14ac:dyDescent="0.25">
      <c r="A699" t="s">
        <v>6091</v>
      </c>
      <c r="B699" t="s">
        <v>6092</v>
      </c>
      <c r="C699" t="s">
        <v>6096</v>
      </c>
      <c r="F699">
        <v>8672</v>
      </c>
      <c r="G699" t="s">
        <v>6093</v>
      </c>
      <c r="H699" t="s">
        <v>15293</v>
      </c>
      <c r="I699">
        <v>38262</v>
      </c>
    </row>
    <row r="700" spans="1:9" x14ac:dyDescent="0.25">
      <c r="A700" t="s">
        <v>6102</v>
      </c>
      <c r="B700" t="s">
        <v>6103</v>
      </c>
      <c r="C700" t="s">
        <v>6108</v>
      </c>
      <c r="E700" t="s">
        <v>6105</v>
      </c>
      <c r="F700">
        <v>8678</v>
      </c>
      <c r="G700" t="s">
        <v>6104</v>
      </c>
      <c r="H700" t="s">
        <v>15293</v>
      </c>
      <c r="I700">
        <v>3913</v>
      </c>
    </row>
    <row r="701" spans="1:9" x14ac:dyDescent="0.25">
      <c r="A701" t="s">
        <v>6111</v>
      </c>
      <c r="B701" t="s">
        <v>6112</v>
      </c>
      <c r="C701" t="s">
        <v>6115</v>
      </c>
      <c r="D701" t="s">
        <v>15457</v>
      </c>
      <c r="E701" t="s">
        <v>6114</v>
      </c>
      <c r="F701">
        <v>8626</v>
      </c>
      <c r="G701" t="s">
        <v>6113</v>
      </c>
      <c r="H701" t="s">
        <v>15453</v>
      </c>
      <c r="I701">
        <v>47953</v>
      </c>
    </row>
    <row r="702" spans="1:9" x14ac:dyDescent="0.25">
      <c r="A702" t="s">
        <v>6117</v>
      </c>
      <c r="B702" t="s">
        <v>6119</v>
      </c>
      <c r="C702" t="s">
        <v>6121</v>
      </c>
      <c r="D702" t="s">
        <v>6121</v>
      </c>
      <c r="E702" t="s">
        <v>6120</v>
      </c>
      <c r="F702">
        <v>8533</v>
      </c>
      <c r="G702" t="s">
        <v>303</v>
      </c>
      <c r="H702" t="s">
        <v>72</v>
      </c>
      <c r="I702">
        <v>4651</v>
      </c>
    </row>
    <row r="703" spans="1:9" x14ac:dyDescent="0.25">
      <c r="A703" t="s">
        <v>6126</v>
      </c>
      <c r="B703" t="s">
        <v>6127</v>
      </c>
      <c r="C703" t="s">
        <v>6129</v>
      </c>
      <c r="D703" t="s">
        <v>6129</v>
      </c>
      <c r="E703" t="s">
        <v>6128</v>
      </c>
      <c r="F703">
        <v>8671</v>
      </c>
      <c r="G703" t="s">
        <v>5936</v>
      </c>
      <c r="H703" t="s">
        <v>85</v>
      </c>
      <c r="I703">
        <v>47191</v>
      </c>
    </row>
    <row r="704" spans="1:9" x14ac:dyDescent="0.25">
      <c r="A704" t="s">
        <v>6132</v>
      </c>
      <c r="B704" t="s">
        <v>6133</v>
      </c>
      <c r="C704" t="s">
        <v>6137</v>
      </c>
      <c r="F704">
        <v>8679</v>
      </c>
      <c r="G704" t="s">
        <v>6134</v>
      </c>
      <c r="H704" t="s">
        <v>15293</v>
      </c>
      <c r="I704">
        <v>34195</v>
      </c>
    </row>
    <row r="705" spans="1:9" x14ac:dyDescent="0.25">
      <c r="A705" t="s">
        <v>6140</v>
      </c>
      <c r="B705" t="s">
        <v>6141</v>
      </c>
      <c r="C705" t="s">
        <v>6145</v>
      </c>
      <c r="D705" t="s">
        <v>6145</v>
      </c>
      <c r="E705" t="s">
        <v>6142</v>
      </c>
      <c r="F705">
        <v>8626</v>
      </c>
      <c r="G705" t="s">
        <v>6113</v>
      </c>
      <c r="H705" t="s">
        <v>15453</v>
      </c>
      <c r="I705">
        <v>39060</v>
      </c>
    </row>
    <row r="706" spans="1:9" x14ac:dyDescent="0.25">
      <c r="A706" t="s">
        <v>15163</v>
      </c>
      <c r="B706" t="s">
        <v>6149</v>
      </c>
      <c r="C706" t="s">
        <v>6152</v>
      </c>
      <c r="E706" t="s">
        <v>6151</v>
      </c>
      <c r="F706">
        <v>8626</v>
      </c>
      <c r="G706" t="s">
        <v>6150</v>
      </c>
      <c r="H706" t="s">
        <v>15453</v>
      </c>
      <c r="I706">
        <v>7904</v>
      </c>
    </row>
    <row r="707" spans="1:9" x14ac:dyDescent="0.25">
      <c r="A707" t="s">
        <v>6156</v>
      </c>
      <c r="B707" t="s">
        <v>648</v>
      </c>
      <c r="C707" t="s">
        <v>654</v>
      </c>
      <c r="D707" t="s">
        <v>15458</v>
      </c>
      <c r="E707" t="s">
        <v>6158</v>
      </c>
      <c r="F707">
        <v>8534</v>
      </c>
      <c r="G707" t="s">
        <v>446</v>
      </c>
      <c r="H707" t="s">
        <v>72</v>
      </c>
      <c r="I707">
        <v>4478</v>
      </c>
    </row>
    <row r="708" spans="1:9" x14ac:dyDescent="0.25">
      <c r="A708" t="s">
        <v>15164</v>
      </c>
      <c r="B708" t="s">
        <v>3056</v>
      </c>
      <c r="C708" t="s">
        <v>15459</v>
      </c>
      <c r="D708" t="s">
        <v>15460</v>
      </c>
      <c r="F708">
        <v>8533</v>
      </c>
      <c r="G708" t="s">
        <v>300</v>
      </c>
      <c r="H708" t="s">
        <v>72</v>
      </c>
      <c r="I708">
        <v>48306</v>
      </c>
    </row>
    <row r="709" spans="1:9" x14ac:dyDescent="0.25">
      <c r="A709" t="s">
        <v>6170</v>
      </c>
      <c r="B709" t="s">
        <v>6171</v>
      </c>
      <c r="C709" t="s">
        <v>6173</v>
      </c>
      <c r="E709">
        <v>4266342336</v>
      </c>
      <c r="F709">
        <v>8675</v>
      </c>
      <c r="G709" t="s">
        <v>6070</v>
      </c>
      <c r="H709" t="s">
        <v>85</v>
      </c>
      <c r="I709">
        <v>40013</v>
      </c>
    </row>
    <row r="710" spans="1:9" x14ac:dyDescent="0.25">
      <c r="A710" t="s">
        <v>6183</v>
      </c>
      <c r="B710" t="s">
        <v>6184</v>
      </c>
      <c r="C710" t="s">
        <v>6186</v>
      </c>
      <c r="D710" t="s">
        <v>6186</v>
      </c>
      <c r="E710" t="s">
        <v>6185</v>
      </c>
      <c r="F710">
        <v>8603</v>
      </c>
      <c r="G710" t="s">
        <v>2844</v>
      </c>
      <c r="H710" t="s">
        <v>137</v>
      </c>
      <c r="I710">
        <v>40244</v>
      </c>
    </row>
    <row r="711" spans="1:9" x14ac:dyDescent="0.25">
      <c r="A711" t="s">
        <v>6189</v>
      </c>
      <c r="B711" t="s">
        <v>6190</v>
      </c>
      <c r="C711" t="s">
        <v>6192</v>
      </c>
      <c r="D711" t="s">
        <v>6192</v>
      </c>
      <c r="E711" t="s">
        <v>6191</v>
      </c>
      <c r="F711">
        <v>8545</v>
      </c>
      <c r="G711" t="s">
        <v>327</v>
      </c>
      <c r="H711" t="s">
        <v>15231</v>
      </c>
      <c r="I711">
        <v>6297</v>
      </c>
    </row>
    <row r="712" spans="1:9" x14ac:dyDescent="0.25">
      <c r="A712" t="s">
        <v>6195</v>
      </c>
      <c r="B712" t="s">
        <v>6197</v>
      </c>
      <c r="C712" t="s">
        <v>6199</v>
      </c>
      <c r="D712" t="s">
        <v>6199</v>
      </c>
      <c r="E712">
        <v>4126375913</v>
      </c>
      <c r="F712">
        <v>8678</v>
      </c>
      <c r="G712" t="s">
        <v>6104</v>
      </c>
      <c r="H712" t="s">
        <v>15293</v>
      </c>
      <c r="I712">
        <v>35852</v>
      </c>
    </row>
    <row r="713" spans="1:9" x14ac:dyDescent="0.25">
      <c r="A713" t="s">
        <v>6205</v>
      </c>
      <c r="B713" t="s">
        <v>6206</v>
      </c>
      <c r="C713" t="s">
        <v>6208</v>
      </c>
      <c r="D713" t="s">
        <v>6208</v>
      </c>
      <c r="E713" t="s">
        <v>6207</v>
      </c>
      <c r="F713">
        <v>8566</v>
      </c>
      <c r="G713" t="s">
        <v>2831</v>
      </c>
      <c r="H713" t="s">
        <v>85</v>
      </c>
      <c r="I713">
        <v>51732</v>
      </c>
    </row>
    <row r="714" spans="1:9" x14ac:dyDescent="0.25">
      <c r="A714" t="s">
        <v>6211</v>
      </c>
      <c r="B714" t="s">
        <v>6212</v>
      </c>
      <c r="C714" t="s">
        <v>6214</v>
      </c>
      <c r="D714" t="s">
        <v>6214</v>
      </c>
      <c r="E714" t="s">
        <v>6213</v>
      </c>
      <c r="F714">
        <v>8673</v>
      </c>
      <c r="G714" t="s">
        <v>6027</v>
      </c>
      <c r="H714" t="s">
        <v>85</v>
      </c>
      <c r="I714">
        <v>23503</v>
      </c>
    </row>
    <row r="715" spans="1:9" x14ac:dyDescent="0.25">
      <c r="A715" t="s">
        <v>6217</v>
      </c>
      <c r="B715" t="s">
        <v>6218</v>
      </c>
      <c r="C715" t="s">
        <v>6220</v>
      </c>
      <c r="D715" t="s">
        <v>6220</v>
      </c>
      <c r="E715" t="s">
        <v>6219</v>
      </c>
      <c r="F715">
        <v>8533</v>
      </c>
      <c r="G715" t="s">
        <v>303</v>
      </c>
      <c r="H715" t="s">
        <v>72</v>
      </c>
      <c r="I715">
        <v>37121</v>
      </c>
    </row>
    <row r="716" spans="1:9" x14ac:dyDescent="0.25">
      <c r="A716" t="s">
        <v>6225</v>
      </c>
      <c r="B716" t="s">
        <v>6226</v>
      </c>
      <c r="C716" t="s">
        <v>6228</v>
      </c>
      <c r="D716" t="s">
        <v>6228</v>
      </c>
      <c r="E716" t="s">
        <v>6227</v>
      </c>
      <c r="F716">
        <v>8533</v>
      </c>
      <c r="G716" t="s">
        <v>303</v>
      </c>
      <c r="H716" t="s">
        <v>72</v>
      </c>
      <c r="I716">
        <v>5945</v>
      </c>
    </row>
    <row r="717" spans="1:9" x14ac:dyDescent="0.25">
      <c r="A717" t="s">
        <v>6230</v>
      </c>
      <c r="B717" t="s">
        <v>6231</v>
      </c>
      <c r="C717" t="s">
        <v>6232</v>
      </c>
      <c r="F717">
        <v>8515</v>
      </c>
      <c r="H717" t="s">
        <v>137</v>
      </c>
      <c r="I717">
        <v>2740</v>
      </c>
    </row>
    <row r="718" spans="1:9" x14ac:dyDescent="0.25">
      <c r="A718" t="s">
        <v>6235</v>
      </c>
      <c r="B718" t="s">
        <v>6236</v>
      </c>
      <c r="C718" t="s">
        <v>6241</v>
      </c>
      <c r="D718" t="s">
        <v>6241</v>
      </c>
      <c r="E718" t="s">
        <v>6238</v>
      </c>
      <c r="F718">
        <v>8680</v>
      </c>
      <c r="G718" t="s">
        <v>6237</v>
      </c>
      <c r="H718" t="s">
        <v>85</v>
      </c>
      <c r="I718">
        <v>32258</v>
      </c>
    </row>
    <row r="719" spans="1:9" x14ac:dyDescent="0.25">
      <c r="A719" t="s">
        <v>6244</v>
      </c>
      <c r="B719" t="s">
        <v>6245</v>
      </c>
      <c r="C719" t="s">
        <v>6250</v>
      </c>
      <c r="D719" t="s">
        <v>6250</v>
      </c>
      <c r="E719" t="s">
        <v>6247</v>
      </c>
      <c r="F719">
        <v>8681</v>
      </c>
      <c r="G719" t="s">
        <v>15461</v>
      </c>
      <c r="H719" t="s">
        <v>85</v>
      </c>
      <c r="I719">
        <v>49091</v>
      </c>
    </row>
    <row r="720" spans="1:9" x14ac:dyDescent="0.25">
      <c r="A720" t="s">
        <v>6253</v>
      </c>
      <c r="B720" t="s">
        <v>6254</v>
      </c>
      <c r="C720" t="s">
        <v>6259</v>
      </c>
      <c r="D720" t="s">
        <v>6259</v>
      </c>
      <c r="E720" t="s">
        <v>6256</v>
      </c>
      <c r="F720">
        <v>8682</v>
      </c>
      <c r="G720" t="s">
        <v>6255</v>
      </c>
      <c r="H720" t="s">
        <v>15231</v>
      </c>
      <c r="I720">
        <v>52176</v>
      </c>
    </row>
    <row r="721" spans="1:9" x14ac:dyDescent="0.25">
      <c r="A721" t="s">
        <v>6264</v>
      </c>
      <c r="B721" t="s">
        <v>4370</v>
      </c>
      <c r="C721" t="s">
        <v>6268</v>
      </c>
      <c r="D721" t="s">
        <v>6268</v>
      </c>
      <c r="F721">
        <v>8683</v>
      </c>
      <c r="G721" t="s">
        <v>6265</v>
      </c>
      <c r="H721" t="s">
        <v>137</v>
      </c>
      <c r="I721">
        <v>53418</v>
      </c>
    </row>
    <row r="722" spans="1:9" x14ac:dyDescent="0.25">
      <c r="A722" t="s">
        <v>6270</v>
      </c>
      <c r="B722" t="s">
        <v>6271</v>
      </c>
      <c r="C722" t="s">
        <v>6272</v>
      </c>
      <c r="D722" t="s">
        <v>6272</v>
      </c>
      <c r="E722" t="s">
        <v>1018</v>
      </c>
      <c r="F722">
        <v>8525</v>
      </c>
      <c r="G722" t="s">
        <v>1581</v>
      </c>
      <c r="H722" t="s">
        <v>15226</v>
      </c>
      <c r="I722">
        <v>52128</v>
      </c>
    </row>
    <row r="723" spans="1:9" x14ac:dyDescent="0.25">
      <c r="A723" t="s">
        <v>6275</v>
      </c>
      <c r="B723" t="s">
        <v>6276</v>
      </c>
      <c r="C723" t="s">
        <v>6278</v>
      </c>
      <c r="D723" t="s">
        <v>6278</v>
      </c>
      <c r="E723" t="s">
        <v>6277</v>
      </c>
      <c r="F723">
        <v>8577</v>
      </c>
      <c r="G723" t="s">
        <v>2318</v>
      </c>
      <c r="H723" t="s">
        <v>15293</v>
      </c>
      <c r="I723">
        <v>40750</v>
      </c>
    </row>
    <row r="724" spans="1:9" x14ac:dyDescent="0.25">
      <c r="A724" t="s">
        <v>6281</v>
      </c>
      <c r="B724" t="s">
        <v>6282</v>
      </c>
      <c r="C724" t="s">
        <v>6284</v>
      </c>
      <c r="D724" t="s">
        <v>6284</v>
      </c>
      <c r="E724" t="s">
        <v>6283</v>
      </c>
      <c r="F724">
        <v>8577</v>
      </c>
      <c r="G724" t="s">
        <v>2318</v>
      </c>
      <c r="H724" t="s">
        <v>15293</v>
      </c>
      <c r="I724">
        <v>33388</v>
      </c>
    </row>
    <row r="725" spans="1:9" x14ac:dyDescent="0.25">
      <c r="A725" t="s">
        <v>6294</v>
      </c>
      <c r="B725" t="s">
        <v>6295</v>
      </c>
      <c r="C725" t="s">
        <v>6297</v>
      </c>
      <c r="D725" t="s">
        <v>6297</v>
      </c>
      <c r="E725" t="s">
        <v>6296</v>
      </c>
      <c r="F725">
        <v>8671</v>
      </c>
      <c r="G725" t="s">
        <v>5936</v>
      </c>
      <c r="H725" t="s">
        <v>85</v>
      </c>
      <c r="I725">
        <v>50897</v>
      </c>
    </row>
    <row r="726" spans="1:9" x14ac:dyDescent="0.25">
      <c r="A726" t="s">
        <v>6300</v>
      </c>
      <c r="B726" t="s">
        <v>6301</v>
      </c>
      <c r="C726" t="s">
        <v>6303</v>
      </c>
      <c r="D726" t="s">
        <v>6303</v>
      </c>
      <c r="E726" t="s">
        <v>6302</v>
      </c>
      <c r="F726">
        <v>8515</v>
      </c>
      <c r="G726" t="s">
        <v>255</v>
      </c>
      <c r="H726" t="s">
        <v>15249</v>
      </c>
      <c r="I726">
        <v>51173</v>
      </c>
    </row>
    <row r="727" spans="1:9" x14ac:dyDescent="0.25">
      <c r="A727" t="s">
        <v>6306</v>
      </c>
      <c r="B727" t="s">
        <v>6307</v>
      </c>
      <c r="C727" t="s">
        <v>6309</v>
      </c>
      <c r="D727" t="s">
        <v>6309</v>
      </c>
      <c r="E727">
        <v>4248808332</v>
      </c>
      <c r="F727">
        <v>8544</v>
      </c>
      <c r="G727" t="s">
        <v>116</v>
      </c>
      <c r="H727" t="s">
        <v>15231</v>
      </c>
      <c r="I727">
        <v>41168</v>
      </c>
    </row>
    <row r="728" spans="1:9" x14ac:dyDescent="0.25">
      <c r="A728" t="s">
        <v>6311</v>
      </c>
      <c r="B728" t="s">
        <v>6312</v>
      </c>
      <c r="C728" t="s">
        <v>6314</v>
      </c>
      <c r="D728" t="s">
        <v>6314</v>
      </c>
      <c r="E728" t="s">
        <v>6313</v>
      </c>
      <c r="F728">
        <v>8675</v>
      </c>
      <c r="G728" t="s">
        <v>6070</v>
      </c>
      <c r="H728" t="s">
        <v>85</v>
      </c>
      <c r="I728">
        <v>50685</v>
      </c>
    </row>
    <row r="729" spans="1:9" x14ac:dyDescent="0.25">
      <c r="A729" t="s">
        <v>6317</v>
      </c>
      <c r="B729" t="s">
        <v>6318</v>
      </c>
      <c r="C729" t="s">
        <v>6320</v>
      </c>
      <c r="D729" t="s">
        <v>6320</v>
      </c>
      <c r="E729" t="s">
        <v>6319</v>
      </c>
      <c r="F729">
        <v>8566</v>
      </c>
      <c r="G729" t="s">
        <v>2831</v>
      </c>
      <c r="H729" t="s">
        <v>85</v>
      </c>
      <c r="I729">
        <v>3254</v>
      </c>
    </row>
    <row r="730" spans="1:9" x14ac:dyDescent="0.25">
      <c r="A730" t="s">
        <v>6323</v>
      </c>
      <c r="B730" t="s">
        <v>6324</v>
      </c>
      <c r="C730" t="s">
        <v>6326</v>
      </c>
      <c r="D730" t="s">
        <v>6326</v>
      </c>
      <c r="E730" t="s">
        <v>6325</v>
      </c>
      <c r="F730">
        <v>8596</v>
      </c>
      <c r="G730" t="s">
        <v>1425</v>
      </c>
      <c r="H730" t="s">
        <v>85</v>
      </c>
      <c r="I730">
        <v>6734</v>
      </c>
    </row>
    <row r="731" spans="1:9" x14ac:dyDescent="0.25">
      <c r="A731" t="s">
        <v>6329</v>
      </c>
      <c r="B731" t="s">
        <v>3999</v>
      </c>
      <c r="C731" t="s">
        <v>6332</v>
      </c>
      <c r="D731" t="s">
        <v>15462</v>
      </c>
      <c r="E731" t="s">
        <v>6325</v>
      </c>
      <c r="F731">
        <v>8681</v>
      </c>
      <c r="G731" t="s">
        <v>15463</v>
      </c>
      <c r="H731" t="s">
        <v>85</v>
      </c>
      <c r="I731">
        <v>2823</v>
      </c>
    </row>
    <row r="732" spans="1:9" x14ac:dyDescent="0.25">
      <c r="A732" t="s">
        <v>6335</v>
      </c>
      <c r="B732" t="s">
        <v>3999</v>
      </c>
      <c r="C732" t="s">
        <v>6332</v>
      </c>
      <c r="D732" t="s">
        <v>15464</v>
      </c>
      <c r="E732" t="s">
        <v>6325</v>
      </c>
      <c r="F732">
        <v>8673</v>
      </c>
      <c r="G732" t="s">
        <v>6027</v>
      </c>
      <c r="H732" t="s">
        <v>85</v>
      </c>
      <c r="I732">
        <v>37601</v>
      </c>
    </row>
    <row r="733" spans="1:9" x14ac:dyDescent="0.25">
      <c r="A733" t="s">
        <v>6338</v>
      </c>
      <c r="B733" t="s">
        <v>3999</v>
      </c>
      <c r="C733" t="s">
        <v>6332</v>
      </c>
      <c r="D733" t="s">
        <v>15465</v>
      </c>
      <c r="E733" t="s">
        <v>6325</v>
      </c>
      <c r="F733">
        <v>8596</v>
      </c>
      <c r="G733" t="s">
        <v>1425</v>
      </c>
      <c r="H733" t="s">
        <v>85</v>
      </c>
      <c r="I733">
        <v>33885</v>
      </c>
    </row>
    <row r="734" spans="1:9" x14ac:dyDescent="0.25">
      <c r="A734" t="s">
        <v>6345</v>
      </c>
      <c r="B734" t="s">
        <v>6346</v>
      </c>
      <c r="C734" t="s">
        <v>6347</v>
      </c>
      <c r="D734" t="s">
        <v>6347</v>
      </c>
      <c r="E734" t="s">
        <v>4955</v>
      </c>
      <c r="F734">
        <v>8630</v>
      </c>
      <c r="G734" t="s">
        <v>1123</v>
      </c>
      <c r="H734" t="s">
        <v>15226</v>
      </c>
    </row>
    <row r="735" spans="1:9" x14ac:dyDescent="0.25">
      <c r="A735" t="s">
        <v>6352</v>
      </c>
      <c r="B735" t="s">
        <v>6353</v>
      </c>
      <c r="C735" t="s">
        <v>6355</v>
      </c>
      <c r="D735" t="s">
        <v>6355</v>
      </c>
      <c r="E735" t="s">
        <v>6354</v>
      </c>
      <c r="F735">
        <v>8596</v>
      </c>
      <c r="G735" t="s">
        <v>1425</v>
      </c>
      <c r="H735" t="s">
        <v>85</v>
      </c>
      <c r="I735">
        <v>41746</v>
      </c>
    </row>
    <row r="736" spans="1:9" x14ac:dyDescent="0.25">
      <c r="A736" t="s">
        <v>6357</v>
      </c>
      <c r="B736" t="s">
        <v>6358</v>
      </c>
      <c r="C736" t="s">
        <v>6360</v>
      </c>
      <c r="D736" t="s">
        <v>6360</v>
      </c>
      <c r="E736" t="s">
        <v>6359</v>
      </c>
      <c r="F736">
        <v>8535</v>
      </c>
      <c r="G736" t="s">
        <v>653</v>
      </c>
      <c r="H736" t="s">
        <v>72</v>
      </c>
      <c r="I736">
        <v>14547</v>
      </c>
    </row>
    <row r="737" spans="1:9" x14ac:dyDescent="0.25">
      <c r="A737" t="s">
        <v>6363</v>
      </c>
      <c r="B737" t="s">
        <v>6364</v>
      </c>
      <c r="C737" t="s">
        <v>6368</v>
      </c>
      <c r="D737" t="s">
        <v>6368</v>
      </c>
      <c r="F737">
        <v>8665</v>
      </c>
      <c r="G737" t="s">
        <v>6365</v>
      </c>
      <c r="H737" t="s">
        <v>85</v>
      </c>
      <c r="I737">
        <v>38733</v>
      </c>
    </row>
    <row r="738" spans="1:9" x14ac:dyDescent="0.25">
      <c r="A738" t="s">
        <v>6373</v>
      </c>
      <c r="B738" t="s">
        <v>6374</v>
      </c>
      <c r="C738" t="s">
        <v>6376</v>
      </c>
      <c r="D738" t="s">
        <v>6376</v>
      </c>
      <c r="E738">
        <v>4148869152</v>
      </c>
      <c r="F738">
        <v>8524</v>
      </c>
      <c r="G738" t="s">
        <v>404</v>
      </c>
      <c r="H738" t="s">
        <v>15226</v>
      </c>
      <c r="I738">
        <v>47785</v>
      </c>
    </row>
    <row r="739" spans="1:9" x14ac:dyDescent="0.25">
      <c r="A739" t="s">
        <v>6378</v>
      </c>
      <c r="B739" t="s">
        <v>6380</v>
      </c>
      <c r="C739" t="s">
        <v>6382</v>
      </c>
      <c r="D739" t="s">
        <v>6382</v>
      </c>
      <c r="E739" t="s">
        <v>6381</v>
      </c>
      <c r="F739">
        <v>8559</v>
      </c>
      <c r="G739" t="s">
        <v>265</v>
      </c>
      <c r="H739" t="s">
        <v>106</v>
      </c>
      <c r="I739">
        <v>39987</v>
      </c>
    </row>
    <row r="740" spans="1:9" x14ac:dyDescent="0.25">
      <c r="A740" t="s">
        <v>6390</v>
      </c>
      <c r="B740" t="s">
        <v>6391</v>
      </c>
      <c r="C740" t="s">
        <v>6393</v>
      </c>
      <c r="D740" t="s">
        <v>6393</v>
      </c>
      <c r="E740" t="s">
        <v>6392</v>
      </c>
      <c r="F740">
        <v>8566</v>
      </c>
      <c r="G740" t="s">
        <v>81</v>
      </c>
      <c r="H740" t="s">
        <v>85</v>
      </c>
      <c r="I740">
        <v>51353</v>
      </c>
    </row>
    <row r="741" spans="1:9" x14ac:dyDescent="0.25">
      <c r="A741" t="s">
        <v>6395</v>
      </c>
      <c r="B741" t="s">
        <v>6396</v>
      </c>
      <c r="C741" t="s">
        <v>6398</v>
      </c>
      <c r="D741" t="s">
        <v>6398</v>
      </c>
      <c r="E741" t="s">
        <v>6397</v>
      </c>
      <c r="F741">
        <v>8534</v>
      </c>
      <c r="G741" t="s">
        <v>446</v>
      </c>
      <c r="H741" t="s">
        <v>72</v>
      </c>
      <c r="I741">
        <v>24891</v>
      </c>
    </row>
    <row r="742" spans="1:9" x14ac:dyDescent="0.25">
      <c r="A742" t="s">
        <v>6400</v>
      </c>
      <c r="B742" t="s">
        <v>6401</v>
      </c>
      <c r="C742" t="s">
        <v>6402</v>
      </c>
      <c r="D742" t="s">
        <v>6402</v>
      </c>
      <c r="E742" t="s">
        <v>946</v>
      </c>
      <c r="F742">
        <v>8513</v>
      </c>
      <c r="G742" t="s">
        <v>65</v>
      </c>
      <c r="H742" t="s">
        <v>72</v>
      </c>
      <c r="I742">
        <v>46894</v>
      </c>
    </row>
    <row r="743" spans="1:9" x14ac:dyDescent="0.25">
      <c r="A743" t="s">
        <v>6405</v>
      </c>
      <c r="B743" t="s">
        <v>6406</v>
      </c>
      <c r="C743" t="s">
        <v>6408</v>
      </c>
      <c r="D743" t="s">
        <v>6408</v>
      </c>
      <c r="E743" t="s">
        <v>6407</v>
      </c>
      <c r="F743">
        <v>8566</v>
      </c>
      <c r="G743" t="s">
        <v>2831</v>
      </c>
      <c r="H743" t="s">
        <v>85</v>
      </c>
      <c r="I743">
        <v>41805</v>
      </c>
    </row>
    <row r="744" spans="1:9" x14ac:dyDescent="0.25">
      <c r="A744" t="s">
        <v>6411</v>
      </c>
      <c r="B744" t="s">
        <v>6412</v>
      </c>
      <c r="C744" t="s">
        <v>6414</v>
      </c>
      <c r="D744" t="s">
        <v>6414</v>
      </c>
      <c r="E744" t="s">
        <v>6413</v>
      </c>
      <c r="F744">
        <v>8680</v>
      </c>
      <c r="G744" t="s">
        <v>6237</v>
      </c>
      <c r="H744" t="s">
        <v>85</v>
      </c>
      <c r="I744">
        <v>34111</v>
      </c>
    </row>
    <row r="745" spans="1:9" x14ac:dyDescent="0.25">
      <c r="A745" t="s">
        <v>6417</v>
      </c>
      <c r="B745" t="s">
        <v>6418</v>
      </c>
      <c r="C745" t="s">
        <v>15466</v>
      </c>
      <c r="D745" t="s">
        <v>15466</v>
      </c>
      <c r="E745" t="s">
        <v>6420</v>
      </c>
      <c r="F745">
        <v>8673</v>
      </c>
      <c r="G745" t="s">
        <v>6419</v>
      </c>
      <c r="H745" t="s">
        <v>85</v>
      </c>
      <c r="I745">
        <v>37985</v>
      </c>
    </row>
    <row r="746" spans="1:9" x14ac:dyDescent="0.25">
      <c r="A746" t="s">
        <v>6423</v>
      </c>
      <c r="B746" t="s">
        <v>6424</v>
      </c>
      <c r="C746" t="s">
        <v>6425</v>
      </c>
      <c r="D746" t="s">
        <v>6425</v>
      </c>
      <c r="F746">
        <v>8515</v>
      </c>
      <c r="G746" t="s">
        <v>255</v>
      </c>
      <c r="H746" t="s">
        <v>137</v>
      </c>
      <c r="I746">
        <v>34194</v>
      </c>
    </row>
    <row r="747" spans="1:9" x14ac:dyDescent="0.25">
      <c r="A747" t="s">
        <v>6428</v>
      </c>
      <c r="B747" t="s">
        <v>6429</v>
      </c>
      <c r="F747">
        <v>6201</v>
      </c>
      <c r="G747" t="s">
        <v>41</v>
      </c>
      <c r="H747" t="s">
        <v>15220</v>
      </c>
    </row>
    <row r="748" spans="1:9" x14ac:dyDescent="0.25">
      <c r="A748" t="s">
        <v>6437</v>
      </c>
      <c r="B748" t="s">
        <v>6438</v>
      </c>
      <c r="C748" t="s">
        <v>6440</v>
      </c>
      <c r="D748" t="s">
        <v>6440</v>
      </c>
      <c r="E748" t="s">
        <v>6439</v>
      </c>
      <c r="F748">
        <v>2001</v>
      </c>
      <c r="G748" t="s">
        <v>1417</v>
      </c>
      <c r="H748" t="s">
        <v>1215</v>
      </c>
      <c r="I748">
        <v>50010</v>
      </c>
    </row>
    <row r="749" spans="1:9" x14ac:dyDescent="0.25">
      <c r="A749" t="s">
        <v>6443</v>
      </c>
      <c r="B749" t="s">
        <v>6444</v>
      </c>
      <c r="C749" t="s">
        <v>6446</v>
      </c>
      <c r="D749" t="s">
        <v>6446</v>
      </c>
      <c r="E749" t="s">
        <v>6445</v>
      </c>
      <c r="F749">
        <v>8685</v>
      </c>
      <c r="G749" t="s">
        <v>4223</v>
      </c>
      <c r="H749" t="s">
        <v>85</v>
      </c>
      <c r="I749">
        <v>41034</v>
      </c>
    </row>
    <row r="750" spans="1:9" x14ac:dyDescent="0.25">
      <c r="A750" t="s">
        <v>6448</v>
      </c>
      <c r="B750" t="s">
        <v>6449</v>
      </c>
      <c r="C750" t="s">
        <v>6451</v>
      </c>
      <c r="D750" t="s">
        <v>6451</v>
      </c>
      <c r="E750" t="s">
        <v>6450</v>
      </c>
      <c r="F750">
        <v>8523</v>
      </c>
      <c r="G750" t="s">
        <v>1222</v>
      </c>
      <c r="H750" t="s">
        <v>15226</v>
      </c>
      <c r="I750">
        <v>31683</v>
      </c>
    </row>
    <row r="751" spans="1:9" x14ac:dyDescent="0.25">
      <c r="A751" t="s">
        <v>6454</v>
      </c>
      <c r="B751" t="s">
        <v>6455</v>
      </c>
      <c r="C751" t="s">
        <v>6460</v>
      </c>
      <c r="D751" t="s">
        <v>6460</v>
      </c>
      <c r="E751" t="s">
        <v>6457</v>
      </c>
      <c r="F751">
        <v>8686</v>
      </c>
      <c r="G751" t="s">
        <v>6456</v>
      </c>
      <c r="H751" t="s">
        <v>85</v>
      </c>
      <c r="I751">
        <v>46423</v>
      </c>
    </row>
    <row r="752" spans="1:9" x14ac:dyDescent="0.25">
      <c r="A752" t="s">
        <v>15165</v>
      </c>
      <c r="B752" t="s">
        <v>6464</v>
      </c>
      <c r="C752" t="s">
        <v>6466</v>
      </c>
      <c r="D752" t="s">
        <v>6466</v>
      </c>
      <c r="E752" t="s">
        <v>6465</v>
      </c>
      <c r="F752">
        <v>8526</v>
      </c>
      <c r="G752" t="s">
        <v>665</v>
      </c>
      <c r="H752" t="s">
        <v>106</v>
      </c>
      <c r="I752">
        <v>5329</v>
      </c>
    </row>
    <row r="753" spans="1:9" x14ac:dyDescent="0.25">
      <c r="A753" t="s">
        <v>6469</v>
      </c>
      <c r="B753" t="s">
        <v>6470</v>
      </c>
      <c r="C753" t="s">
        <v>6472</v>
      </c>
      <c r="D753" t="s">
        <v>6472</v>
      </c>
      <c r="E753" t="s">
        <v>6471</v>
      </c>
      <c r="F753">
        <v>8680</v>
      </c>
      <c r="G753" t="s">
        <v>6237</v>
      </c>
      <c r="H753" t="s">
        <v>85</v>
      </c>
      <c r="I753">
        <v>49001</v>
      </c>
    </row>
    <row r="754" spans="1:9" x14ac:dyDescent="0.25">
      <c r="A754" t="s">
        <v>6475</v>
      </c>
      <c r="B754" t="s">
        <v>6476</v>
      </c>
      <c r="C754" t="s">
        <v>6478</v>
      </c>
      <c r="D754" t="s">
        <v>6478</v>
      </c>
      <c r="E754" t="s">
        <v>6477</v>
      </c>
      <c r="F754">
        <v>8576</v>
      </c>
      <c r="G754" t="s">
        <v>3571</v>
      </c>
      <c r="H754" t="s">
        <v>106</v>
      </c>
      <c r="I754">
        <v>1659</v>
      </c>
    </row>
    <row r="755" spans="1:9" x14ac:dyDescent="0.25">
      <c r="A755" t="s">
        <v>6480</v>
      </c>
      <c r="B755" t="s">
        <v>6481</v>
      </c>
      <c r="C755" t="s">
        <v>6483</v>
      </c>
      <c r="D755" t="s">
        <v>6483</v>
      </c>
      <c r="E755" t="s">
        <v>6482</v>
      </c>
      <c r="F755">
        <v>8605</v>
      </c>
      <c r="G755" t="s">
        <v>3230</v>
      </c>
      <c r="H755" t="s">
        <v>1215</v>
      </c>
      <c r="I755">
        <v>1498</v>
      </c>
    </row>
    <row r="756" spans="1:9" x14ac:dyDescent="0.25">
      <c r="A756" t="s">
        <v>6489</v>
      </c>
      <c r="B756" t="s">
        <v>6491</v>
      </c>
      <c r="C756" t="s">
        <v>6493</v>
      </c>
      <c r="D756" t="s">
        <v>6493</v>
      </c>
      <c r="E756" t="s">
        <v>6492</v>
      </c>
      <c r="F756">
        <v>8566</v>
      </c>
      <c r="G756" t="s">
        <v>2831</v>
      </c>
      <c r="H756" t="s">
        <v>85</v>
      </c>
      <c r="I756">
        <v>362</v>
      </c>
    </row>
    <row r="757" spans="1:9" x14ac:dyDescent="0.25">
      <c r="A757" t="s">
        <v>6496</v>
      </c>
      <c r="B757" t="s">
        <v>6497</v>
      </c>
      <c r="C757" t="s">
        <v>6499</v>
      </c>
      <c r="D757" t="s">
        <v>6499</v>
      </c>
      <c r="E757" t="s">
        <v>6498</v>
      </c>
      <c r="F757">
        <v>8566</v>
      </c>
      <c r="G757" t="s">
        <v>2831</v>
      </c>
      <c r="H757" t="s">
        <v>85</v>
      </c>
      <c r="I757">
        <v>36442</v>
      </c>
    </row>
    <row r="758" spans="1:9" x14ac:dyDescent="0.25">
      <c r="A758" t="s">
        <v>6507</v>
      </c>
      <c r="B758" t="s">
        <v>6508</v>
      </c>
      <c r="C758" t="s">
        <v>6510</v>
      </c>
      <c r="D758" t="s">
        <v>15467</v>
      </c>
      <c r="E758" t="s">
        <v>6509</v>
      </c>
      <c r="F758">
        <v>8524</v>
      </c>
      <c r="G758" t="s">
        <v>404</v>
      </c>
      <c r="H758" t="s">
        <v>15226</v>
      </c>
      <c r="I758">
        <v>50287</v>
      </c>
    </row>
    <row r="759" spans="1:9" x14ac:dyDescent="0.25">
      <c r="A759" t="s">
        <v>6513</v>
      </c>
      <c r="B759" t="s">
        <v>6514</v>
      </c>
      <c r="C759" t="s">
        <v>6515</v>
      </c>
      <c r="D759" t="s">
        <v>6515</v>
      </c>
      <c r="F759">
        <v>8538</v>
      </c>
      <c r="G759" t="s">
        <v>964</v>
      </c>
      <c r="H759" t="s">
        <v>72</v>
      </c>
      <c r="I759">
        <v>27910</v>
      </c>
    </row>
    <row r="760" spans="1:9" x14ac:dyDescent="0.25">
      <c r="A760" t="s">
        <v>6517</v>
      </c>
      <c r="B760" t="s">
        <v>6518</v>
      </c>
      <c r="C760" t="s">
        <v>6521</v>
      </c>
      <c r="D760" t="s">
        <v>6521</v>
      </c>
      <c r="E760" t="s">
        <v>6520</v>
      </c>
      <c r="F760">
        <v>8648</v>
      </c>
      <c r="G760" t="s">
        <v>6519</v>
      </c>
      <c r="H760" t="s">
        <v>4854</v>
      </c>
      <c r="I760">
        <v>51817</v>
      </c>
    </row>
    <row r="761" spans="1:9" x14ac:dyDescent="0.25">
      <c r="A761" t="s">
        <v>6524</v>
      </c>
      <c r="B761" t="s">
        <v>6525</v>
      </c>
      <c r="C761" t="s">
        <v>6528</v>
      </c>
      <c r="D761" t="s">
        <v>6528</v>
      </c>
      <c r="E761" t="s">
        <v>6527</v>
      </c>
      <c r="F761">
        <v>8566</v>
      </c>
      <c r="G761" t="s">
        <v>81</v>
      </c>
      <c r="H761" t="s">
        <v>85</v>
      </c>
      <c r="I761">
        <v>42599</v>
      </c>
    </row>
    <row r="762" spans="1:9" x14ac:dyDescent="0.25">
      <c r="A762" t="s">
        <v>6537</v>
      </c>
      <c r="B762" t="s">
        <v>6538</v>
      </c>
      <c r="C762" t="s">
        <v>6540</v>
      </c>
      <c r="D762" t="s">
        <v>15468</v>
      </c>
      <c r="E762">
        <v>4241407100</v>
      </c>
      <c r="F762">
        <v>8685</v>
      </c>
      <c r="G762" t="s">
        <v>4223</v>
      </c>
      <c r="H762" t="s">
        <v>85</v>
      </c>
      <c r="I762">
        <v>52000</v>
      </c>
    </row>
    <row r="763" spans="1:9" x14ac:dyDescent="0.25">
      <c r="A763" t="s">
        <v>6545</v>
      </c>
      <c r="B763" t="s">
        <v>6546</v>
      </c>
      <c r="C763" t="s">
        <v>6548</v>
      </c>
      <c r="D763" t="s">
        <v>6548</v>
      </c>
      <c r="F763">
        <v>8570</v>
      </c>
      <c r="G763" t="s">
        <v>6547</v>
      </c>
      <c r="H763" t="s">
        <v>15220</v>
      </c>
      <c r="I763">
        <v>50778</v>
      </c>
    </row>
    <row r="764" spans="1:9" x14ac:dyDescent="0.25">
      <c r="A764" t="s">
        <v>6557</v>
      </c>
      <c r="B764" t="s">
        <v>6558</v>
      </c>
      <c r="C764" t="s">
        <v>6559</v>
      </c>
      <c r="D764" t="s">
        <v>6559</v>
      </c>
      <c r="F764">
        <v>8523</v>
      </c>
      <c r="G764" t="s">
        <v>1222</v>
      </c>
      <c r="H764" t="s">
        <v>15226</v>
      </c>
    </row>
    <row r="765" spans="1:9" x14ac:dyDescent="0.25">
      <c r="A765" t="s">
        <v>6569</v>
      </c>
      <c r="B765" t="s">
        <v>6571</v>
      </c>
      <c r="C765" t="s">
        <v>6573</v>
      </c>
      <c r="D765" t="s">
        <v>6573</v>
      </c>
      <c r="E765" t="s">
        <v>6572</v>
      </c>
      <c r="F765">
        <v>8674</v>
      </c>
      <c r="G765" t="s">
        <v>6055</v>
      </c>
      <c r="H765" t="s">
        <v>15453</v>
      </c>
      <c r="I765">
        <v>5200</v>
      </c>
    </row>
    <row r="766" spans="1:9" x14ac:dyDescent="0.25">
      <c r="A766" t="s">
        <v>6575</v>
      </c>
      <c r="B766" t="s">
        <v>6576</v>
      </c>
      <c r="C766" t="s">
        <v>6578</v>
      </c>
      <c r="D766" t="s">
        <v>6578</v>
      </c>
      <c r="E766" t="s">
        <v>6577</v>
      </c>
      <c r="F766">
        <v>8540</v>
      </c>
      <c r="G766" t="s">
        <v>1062</v>
      </c>
      <c r="H766" t="s">
        <v>72</v>
      </c>
      <c r="I766">
        <v>52391</v>
      </c>
    </row>
    <row r="767" spans="1:9" x14ac:dyDescent="0.25">
      <c r="A767" t="s">
        <v>6588</v>
      </c>
      <c r="B767" t="s">
        <v>6589</v>
      </c>
      <c r="C767" t="s">
        <v>6590</v>
      </c>
      <c r="D767" t="s">
        <v>6590</v>
      </c>
      <c r="E767" t="s">
        <v>2383</v>
      </c>
      <c r="F767">
        <v>8585</v>
      </c>
      <c r="G767" t="s">
        <v>2385</v>
      </c>
      <c r="H767" t="s">
        <v>106</v>
      </c>
      <c r="I767">
        <v>51954</v>
      </c>
    </row>
    <row r="768" spans="1:9" x14ac:dyDescent="0.25">
      <c r="A768" t="s">
        <v>6592</v>
      </c>
      <c r="B768" t="s">
        <v>6593</v>
      </c>
      <c r="C768" t="s">
        <v>6595</v>
      </c>
      <c r="D768" t="s">
        <v>6595</v>
      </c>
      <c r="F768">
        <v>8515</v>
      </c>
      <c r="G768" t="s">
        <v>6594</v>
      </c>
      <c r="H768" t="s">
        <v>15261</v>
      </c>
      <c r="I768">
        <v>46350</v>
      </c>
    </row>
    <row r="769" spans="1:9" x14ac:dyDescent="0.25">
      <c r="A769" t="s">
        <v>6600</v>
      </c>
      <c r="B769" t="s">
        <v>4931</v>
      </c>
      <c r="C769" t="s">
        <v>4935</v>
      </c>
      <c r="D769" t="s">
        <v>15469</v>
      </c>
      <c r="E769" t="s">
        <v>4939</v>
      </c>
      <c r="F769">
        <v>8558</v>
      </c>
      <c r="G769" t="s">
        <v>1360</v>
      </c>
      <c r="H769" t="s">
        <v>1215</v>
      </c>
    </row>
    <row r="770" spans="1:9" x14ac:dyDescent="0.25">
      <c r="A770" t="s">
        <v>6604</v>
      </c>
      <c r="B770" t="s">
        <v>6605</v>
      </c>
      <c r="C770" t="s">
        <v>6607</v>
      </c>
      <c r="D770" t="s">
        <v>6607</v>
      </c>
      <c r="E770" t="s">
        <v>6606</v>
      </c>
      <c r="F770">
        <v>8521</v>
      </c>
      <c r="G770" t="s">
        <v>173</v>
      </c>
      <c r="H770" t="s">
        <v>15226</v>
      </c>
    </row>
    <row r="771" spans="1:9" x14ac:dyDescent="0.25">
      <c r="A771" t="s">
        <v>6612</v>
      </c>
      <c r="B771" t="s">
        <v>6613</v>
      </c>
      <c r="C771" t="s">
        <v>6615</v>
      </c>
      <c r="D771" t="s">
        <v>6615</v>
      </c>
      <c r="E771" t="s">
        <v>6614</v>
      </c>
      <c r="F771">
        <v>6201</v>
      </c>
      <c r="G771" t="s">
        <v>41</v>
      </c>
      <c r="H771" t="s">
        <v>15220</v>
      </c>
      <c r="I771">
        <v>5598</v>
      </c>
    </row>
    <row r="772" spans="1:9" x14ac:dyDescent="0.25">
      <c r="A772" t="s">
        <v>6620</v>
      </c>
      <c r="B772" t="s">
        <v>6621</v>
      </c>
      <c r="C772" t="s">
        <v>6622</v>
      </c>
      <c r="D772" t="s">
        <v>6622</v>
      </c>
      <c r="F772">
        <v>8524</v>
      </c>
      <c r="G772" t="s">
        <v>404</v>
      </c>
      <c r="H772" t="s">
        <v>15226</v>
      </c>
      <c r="I772">
        <v>52469</v>
      </c>
    </row>
    <row r="773" spans="1:9" x14ac:dyDescent="0.25">
      <c r="A773" t="s">
        <v>6625</v>
      </c>
      <c r="B773" t="s">
        <v>6626</v>
      </c>
      <c r="C773" t="s">
        <v>6631</v>
      </c>
      <c r="D773" t="s">
        <v>15470</v>
      </c>
      <c r="E773" t="s">
        <v>6628</v>
      </c>
      <c r="F773">
        <v>8688</v>
      </c>
      <c r="G773" t="s">
        <v>6627</v>
      </c>
      <c r="H773" t="s">
        <v>79</v>
      </c>
      <c r="I773">
        <v>38294</v>
      </c>
    </row>
    <row r="774" spans="1:9" x14ac:dyDescent="0.25">
      <c r="A774" t="s">
        <v>6634</v>
      </c>
      <c r="B774" t="s">
        <v>6635</v>
      </c>
      <c r="C774" t="s">
        <v>6637</v>
      </c>
      <c r="D774" t="s">
        <v>6637</v>
      </c>
      <c r="E774" t="s">
        <v>6636</v>
      </c>
      <c r="F774">
        <v>8688</v>
      </c>
      <c r="G774" t="s">
        <v>6627</v>
      </c>
      <c r="H774" t="s">
        <v>79</v>
      </c>
      <c r="I774">
        <v>42273</v>
      </c>
    </row>
    <row r="775" spans="1:9" x14ac:dyDescent="0.25">
      <c r="A775" t="s">
        <v>6640</v>
      </c>
      <c r="B775" t="s">
        <v>6641</v>
      </c>
      <c r="C775" t="s">
        <v>6642</v>
      </c>
      <c r="D775" t="s">
        <v>6642</v>
      </c>
      <c r="F775">
        <v>8670</v>
      </c>
      <c r="G775" t="s">
        <v>5927</v>
      </c>
      <c r="H775" t="s">
        <v>85</v>
      </c>
      <c r="I775">
        <v>8653</v>
      </c>
    </row>
    <row r="776" spans="1:9" x14ac:dyDescent="0.25">
      <c r="A776" t="s">
        <v>6645</v>
      </c>
      <c r="B776" t="s">
        <v>6646</v>
      </c>
      <c r="C776" t="s">
        <v>6648</v>
      </c>
      <c r="D776" t="s">
        <v>6648</v>
      </c>
      <c r="E776" t="s">
        <v>6647</v>
      </c>
      <c r="F776">
        <v>8673</v>
      </c>
      <c r="G776" t="s">
        <v>6027</v>
      </c>
      <c r="H776" t="s">
        <v>85</v>
      </c>
      <c r="I776">
        <v>45599</v>
      </c>
    </row>
    <row r="777" spans="1:9" x14ac:dyDescent="0.25">
      <c r="A777" t="s">
        <v>6651</v>
      </c>
      <c r="B777" t="s">
        <v>6652</v>
      </c>
      <c r="C777" t="s">
        <v>6654</v>
      </c>
      <c r="D777" t="s">
        <v>6654</v>
      </c>
      <c r="E777" t="s">
        <v>6653</v>
      </c>
      <c r="F777">
        <v>8688</v>
      </c>
      <c r="G777" t="s">
        <v>6627</v>
      </c>
      <c r="H777" t="s">
        <v>79</v>
      </c>
      <c r="I777">
        <v>48332</v>
      </c>
    </row>
    <row r="778" spans="1:9" x14ac:dyDescent="0.25">
      <c r="A778" t="s">
        <v>6657</v>
      </c>
      <c r="B778" t="s">
        <v>6658</v>
      </c>
      <c r="C778" t="s">
        <v>6660</v>
      </c>
      <c r="D778" t="s">
        <v>6660</v>
      </c>
      <c r="E778" t="s">
        <v>6659</v>
      </c>
      <c r="F778">
        <v>8523</v>
      </c>
      <c r="G778" t="s">
        <v>1222</v>
      </c>
      <c r="H778" t="s">
        <v>15226</v>
      </c>
      <c r="I778">
        <v>52696</v>
      </c>
    </row>
    <row r="779" spans="1:9" x14ac:dyDescent="0.25">
      <c r="A779" t="s">
        <v>6662</v>
      </c>
      <c r="B779" t="s">
        <v>6663</v>
      </c>
      <c r="C779" t="s">
        <v>6665</v>
      </c>
      <c r="D779" t="s">
        <v>6665</v>
      </c>
      <c r="E779" t="s">
        <v>6664</v>
      </c>
      <c r="F779">
        <v>8544</v>
      </c>
      <c r="G779" t="s">
        <v>119</v>
      </c>
      <c r="H779" t="s">
        <v>15231</v>
      </c>
      <c r="I779">
        <v>38656</v>
      </c>
    </row>
    <row r="780" spans="1:9" x14ac:dyDescent="0.25">
      <c r="A780" t="s">
        <v>6668</v>
      </c>
      <c r="B780" t="s">
        <v>6669</v>
      </c>
      <c r="C780" t="s">
        <v>6672</v>
      </c>
      <c r="D780" t="s">
        <v>6672</v>
      </c>
      <c r="E780" t="s">
        <v>6671</v>
      </c>
      <c r="F780">
        <v>8642</v>
      </c>
      <c r="G780" t="s">
        <v>15471</v>
      </c>
      <c r="H780" t="s">
        <v>137</v>
      </c>
      <c r="I780">
        <v>3693</v>
      </c>
    </row>
    <row r="781" spans="1:9" x14ac:dyDescent="0.25">
      <c r="A781" t="s">
        <v>6675</v>
      </c>
      <c r="B781" t="s">
        <v>6676</v>
      </c>
      <c r="C781" t="s">
        <v>6678</v>
      </c>
      <c r="D781" t="s">
        <v>6678</v>
      </c>
      <c r="E781" t="s">
        <v>6677</v>
      </c>
      <c r="F781">
        <v>8524</v>
      </c>
      <c r="G781" t="s">
        <v>404</v>
      </c>
      <c r="H781" t="s">
        <v>15226</v>
      </c>
      <c r="I781">
        <v>50942</v>
      </c>
    </row>
    <row r="782" spans="1:9" x14ac:dyDescent="0.25">
      <c r="A782" t="s">
        <v>6680</v>
      </c>
      <c r="B782" t="s">
        <v>6681</v>
      </c>
      <c r="C782" t="s">
        <v>6683</v>
      </c>
      <c r="D782" t="s">
        <v>6683</v>
      </c>
      <c r="E782" t="s">
        <v>6682</v>
      </c>
      <c r="F782">
        <v>8557</v>
      </c>
      <c r="G782" t="s">
        <v>2951</v>
      </c>
      <c r="H782" t="s">
        <v>15231</v>
      </c>
      <c r="I782">
        <v>28079</v>
      </c>
    </row>
    <row r="783" spans="1:9" x14ac:dyDescent="0.25">
      <c r="A783" t="s">
        <v>6689</v>
      </c>
      <c r="B783" t="s">
        <v>6690</v>
      </c>
      <c r="C783" t="s">
        <v>6692</v>
      </c>
      <c r="D783" t="s">
        <v>6692</v>
      </c>
      <c r="E783" t="s">
        <v>6691</v>
      </c>
      <c r="F783">
        <v>8672</v>
      </c>
      <c r="G783" t="s">
        <v>6093</v>
      </c>
      <c r="H783" t="s">
        <v>15293</v>
      </c>
      <c r="I783">
        <v>51601</v>
      </c>
    </row>
    <row r="784" spans="1:9" x14ac:dyDescent="0.25">
      <c r="A784" t="s">
        <v>6694</v>
      </c>
      <c r="B784" t="s">
        <v>6695</v>
      </c>
      <c r="C784" t="s">
        <v>6697</v>
      </c>
      <c r="D784" t="s">
        <v>6697</v>
      </c>
      <c r="E784" t="s">
        <v>6696</v>
      </c>
      <c r="F784">
        <v>5201</v>
      </c>
      <c r="G784" t="s">
        <v>79</v>
      </c>
      <c r="H784" t="s">
        <v>79</v>
      </c>
      <c r="I784">
        <v>26360</v>
      </c>
    </row>
    <row r="785" spans="1:9" x14ac:dyDescent="0.25">
      <c r="A785" t="s">
        <v>6700</v>
      </c>
      <c r="B785" t="s">
        <v>6701</v>
      </c>
      <c r="C785" t="s">
        <v>6704</v>
      </c>
      <c r="D785" t="s">
        <v>6704</v>
      </c>
      <c r="E785" t="s">
        <v>6703</v>
      </c>
      <c r="F785">
        <v>8614</v>
      </c>
      <c r="G785" t="s">
        <v>6702</v>
      </c>
      <c r="H785" t="s">
        <v>15220</v>
      </c>
      <c r="I785">
        <v>50267</v>
      </c>
    </row>
    <row r="786" spans="1:9" x14ac:dyDescent="0.25">
      <c r="A786" t="s">
        <v>6707</v>
      </c>
      <c r="B786" t="s">
        <v>6709</v>
      </c>
      <c r="C786" t="s">
        <v>6711</v>
      </c>
      <c r="D786" t="s">
        <v>6711</v>
      </c>
      <c r="E786" t="s">
        <v>6710</v>
      </c>
      <c r="F786">
        <v>8555</v>
      </c>
      <c r="G786" t="s">
        <v>820</v>
      </c>
      <c r="H786" t="s">
        <v>15222</v>
      </c>
      <c r="I786">
        <v>40273</v>
      </c>
    </row>
    <row r="787" spans="1:9" x14ac:dyDescent="0.25">
      <c r="A787" t="s">
        <v>6720</v>
      </c>
      <c r="B787" t="s">
        <v>6722</v>
      </c>
      <c r="C787" t="s">
        <v>6724</v>
      </c>
      <c r="D787" t="s">
        <v>6724</v>
      </c>
      <c r="E787" t="s">
        <v>6723</v>
      </c>
      <c r="F787">
        <v>8532</v>
      </c>
      <c r="G787" t="s">
        <v>614</v>
      </c>
      <c r="H787" t="s">
        <v>15222</v>
      </c>
      <c r="I787">
        <v>1334</v>
      </c>
    </row>
    <row r="788" spans="1:9" x14ac:dyDescent="0.25">
      <c r="A788" t="s">
        <v>15166</v>
      </c>
      <c r="B788" t="s">
        <v>6727</v>
      </c>
      <c r="C788" t="s">
        <v>6731</v>
      </c>
      <c r="D788" t="s">
        <v>6731</v>
      </c>
      <c r="E788" t="s">
        <v>6729</v>
      </c>
      <c r="F788">
        <v>8641</v>
      </c>
      <c r="G788" t="s">
        <v>6728</v>
      </c>
      <c r="H788" t="s">
        <v>85</v>
      </c>
      <c r="I788">
        <v>2721</v>
      </c>
    </row>
    <row r="789" spans="1:9" x14ac:dyDescent="0.25">
      <c r="A789" t="s">
        <v>6738</v>
      </c>
      <c r="B789" t="s">
        <v>6740</v>
      </c>
      <c r="C789" t="s">
        <v>6742</v>
      </c>
      <c r="D789" t="s">
        <v>6742</v>
      </c>
      <c r="E789" t="s">
        <v>6741</v>
      </c>
      <c r="F789">
        <v>5201</v>
      </c>
      <c r="G789" t="s">
        <v>79</v>
      </c>
      <c r="H789" t="s">
        <v>79</v>
      </c>
      <c r="I789">
        <v>41532</v>
      </c>
    </row>
    <row r="790" spans="1:9" x14ac:dyDescent="0.25">
      <c r="A790" t="s">
        <v>6745</v>
      </c>
      <c r="B790" t="s">
        <v>6746</v>
      </c>
      <c r="C790" t="s">
        <v>6747</v>
      </c>
      <c r="D790" t="s">
        <v>6747</v>
      </c>
      <c r="F790">
        <v>8520</v>
      </c>
      <c r="G790" t="s">
        <v>584</v>
      </c>
      <c r="H790" t="s">
        <v>15226</v>
      </c>
    </row>
    <row r="791" spans="1:9" x14ac:dyDescent="0.25">
      <c r="A791" t="s">
        <v>6750</v>
      </c>
      <c r="B791" t="s">
        <v>6751</v>
      </c>
      <c r="C791" t="s">
        <v>6753</v>
      </c>
      <c r="D791" t="s">
        <v>6753</v>
      </c>
      <c r="E791" t="s">
        <v>6752</v>
      </c>
      <c r="F791">
        <v>8642</v>
      </c>
      <c r="G791" t="s">
        <v>5110</v>
      </c>
      <c r="H791" t="s">
        <v>137</v>
      </c>
      <c r="I791">
        <v>460</v>
      </c>
    </row>
    <row r="792" spans="1:9" x14ac:dyDescent="0.25">
      <c r="A792" t="s">
        <v>6761</v>
      </c>
      <c r="B792" t="s">
        <v>5417</v>
      </c>
      <c r="C792" t="s">
        <v>5418</v>
      </c>
      <c r="D792" t="s">
        <v>15472</v>
      </c>
      <c r="F792">
        <v>8575</v>
      </c>
      <c r="G792" t="s">
        <v>2105</v>
      </c>
      <c r="H792" t="s">
        <v>279</v>
      </c>
      <c r="I792">
        <v>52429</v>
      </c>
    </row>
    <row r="793" spans="1:9" x14ac:dyDescent="0.25">
      <c r="A793" t="s">
        <v>6766</v>
      </c>
      <c r="B793" t="s">
        <v>5850</v>
      </c>
      <c r="C793" t="s">
        <v>6768</v>
      </c>
      <c r="D793" t="s">
        <v>6768</v>
      </c>
      <c r="F793">
        <v>8523</v>
      </c>
      <c r="G793" t="s">
        <v>1607</v>
      </c>
      <c r="H793" t="s">
        <v>15226</v>
      </c>
    </row>
    <row r="794" spans="1:9" x14ac:dyDescent="0.25">
      <c r="A794" t="s">
        <v>6771</v>
      </c>
      <c r="B794" t="s">
        <v>6772</v>
      </c>
      <c r="C794" t="s">
        <v>6774</v>
      </c>
      <c r="D794" t="s">
        <v>6774</v>
      </c>
      <c r="E794" t="s">
        <v>6773</v>
      </c>
      <c r="F794">
        <v>5201</v>
      </c>
      <c r="G794" t="s">
        <v>79</v>
      </c>
      <c r="H794" t="s">
        <v>79</v>
      </c>
      <c r="I794">
        <v>34754</v>
      </c>
    </row>
    <row r="795" spans="1:9" x14ac:dyDescent="0.25">
      <c r="A795" t="s">
        <v>6777</v>
      </c>
      <c r="B795" t="s">
        <v>6778</v>
      </c>
      <c r="C795" t="s">
        <v>6780</v>
      </c>
      <c r="D795" t="s">
        <v>6780</v>
      </c>
      <c r="F795">
        <v>8652</v>
      </c>
      <c r="G795" t="s">
        <v>15473</v>
      </c>
      <c r="H795" t="s">
        <v>15222</v>
      </c>
      <c r="I795">
        <v>36647</v>
      </c>
    </row>
    <row r="796" spans="1:9" x14ac:dyDescent="0.25">
      <c r="A796" t="s">
        <v>6783</v>
      </c>
      <c r="B796" t="s">
        <v>6785</v>
      </c>
      <c r="C796" t="s">
        <v>6787</v>
      </c>
      <c r="D796" t="s">
        <v>6787</v>
      </c>
      <c r="E796" t="s">
        <v>6786</v>
      </c>
      <c r="F796">
        <v>8688</v>
      </c>
      <c r="G796" t="s">
        <v>6627</v>
      </c>
      <c r="H796" t="s">
        <v>79</v>
      </c>
      <c r="I796">
        <v>6752</v>
      </c>
    </row>
    <row r="797" spans="1:9" x14ac:dyDescent="0.25">
      <c r="A797" t="s">
        <v>6794</v>
      </c>
      <c r="B797" t="s">
        <v>1975</v>
      </c>
      <c r="C797" t="s">
        <v>6795</v>
      </c>
      <c r="D797" t="s">
        <v>15474</v>
      </c>
      <c r="F797">
        <v>6201</v>
      </c>
      <c r="G797" t="s">
        <v>38</v>
      </c>
      <c r="H797" t="s">
        <v>15220</v>
      </c>
      <c r="I797">
        <v>39679</v>
      </c>
    </row>
    <row r="798" spans="1:9" x14ac:dyDescent="0.25">
      <c r="A798" t="s">
        <v>6798</v>
      </c>
      <c r="B798" t="s">
        <v>6799</v>
      </c>
      <c r="C798" t="s">
        <v>6801</v>
      </c>
      <c r="D798" t="s">
        <v>6801</v>
      </c>
      <c r="E798" t="s">
        <v>6800</v>
      </c>
      <c r="F798">
        <v>8545</v>
      </c>
      <c r="G798" t="s">
        <v>327</v>
      </c>
      <c r="H798" t="s">
        <v>15231</v>
      </c>
      <c r="I798">
        <v>52437</v>
      </c>
    </row>
    <row r="799" spans="1:9" x14ac:dyDescent="0.25">
      <c r="A799" t="s">
        <v>6804</v>
      </c>
      <c r="B799" t="s">
        <v>6805</v>
      </c>
      <c r="C799" t="s">
        <v>6810</v>
      </c>
      <c r="D799" t="s">
        <v>15475</v>
      </c>
      <c r="E799" t="s">
        <v>6807</v>
      </c>
      <c r="F799">
        <v>8690</v>
      </c>
      <c r="G799" t="s">
        <v>6806</v>
      </c>
      <c r="H799" t="s">
        <v>15293</v>
      </c>
      <c r="I799">
        <v>36742</v>
      </c>
    </row>
    <row r="800" spans="1:9" x14ac:dyDescent="0.25">
      <c r="A800" t="s">
        <v>6813</v>
      </c>
      <c r="B800" t="s">
        <v>6814</v>
      </c>
      <c r="C800" t="s">
        <v>6816</v>
      </c>
      <c r="D800" t="s">
        <v>6816</v>
      </c>
      <c r="E800" t="s">
        <v>6815</v>
      </c>
      <c r="F800">
        <v>8544</v>
      </c>
      <c r="G800" t="s">
        <v>119</v>
      </c>
      <c r="H800" t="s">
        <v>15231</v>
      </c>
      <c r="I800">
        <v>52779</v>
      </c>
    </row>
    <row r="801" spans="1:9" x14ac:dyDescent="0.25">
      <c r="A801" t="s">
        <v>6819</v>
      </c>
      <c r="B801" t="s">
        <v>6820</v>
      </c>
      <c r="C801" t="s">
        <v>6821</v>
      </c>
      <c r="D801" t="s">
        <v>6821</v>
      </c>
      <c r="F801">
        <v>8626</v>
      </c>
      <c r="G801" t="s">
        <v>5739</v>
      </c>
      <c r="H801" t="s">
        <v>15453</v>
      </c>
      <c r="I801">
        <v>50681</v>
      </c>
    </row>
    <row r="802" spans="1:9" x14ac:dyDescent="0.25">
      <c r="A802" t="s">
        <v>6824</v>
      </c>
      <c r="B802" t="s">
        <v>6825</v>
      </c>
      <c r="C802" t="s">
        <v>6827</v>
      </c>
      <c r="D802" t="s">
        <v>6827</v>
      </c>
      <c r="E802" t="s">
        <v>6826</v>
      </c>
      <c r="F802">
        <v>8688</v>
      </c>
      <c r="G802" t="s">
        <v>6627</v>
      </c>
      <c r="H802" t="s">
        <v>79</v>
      </c>
      <c r="I802">
        <v>46415</v>
      </c>
    </row>
    <row r="803" spans="1:9" x14ac:dyDescent="0.25">
      <c r="A803" t="s">
        <v>6830</v>
      </c>
      <c r="B803" t="s">
        <v>6831</v>
      </c>
      <c r="C803" t="s">
        <v>6833</v>
      </c>
      <c r="D803" t="s">
        <v>6833</v>
      </c>
      <c r="E803" t="s">
        <v>6832</v>
      </c>
      <c r="F803">
        <v>5201</v>
      </c>
      <c r="G803" t="s">
        <v>79</v>
      </c>
      <c r="H803" t="s">
        <v>79</v>
      </c>
      <c r="I803">
        <v>3523</v>
      </c>
    </row>
    <row r="804" spans="1:9" x14ac:dyDescent="0.25">
      <c r="A804" t="s">
        <v>6835</v>
      </c>
      <c r="B804" t="s">
        <v>6836</v>
      </c>
      <c r="C804" t="s">
        <v>6837</v>
      </c>
      <c r="D804" t="s">
        <v>6837</v>
      </c>
      <c r="F804">
        <v>8570</v>
      </c>
      <c r="G804" t="s">
        <v>213</v>
      </c>
      <c r="H804" t="s">
        <v>15220</v>
      </c>
      <c r="I804">
        <v>27893</v>
      </c>
    </row>
    <row r="805" spans="1:9" x14ac:dyDescent="0.25">
      <c r="A805" t="s">
        <v>6840</v>
      </c>
      <c r="B805" t="s">
        <v>6841</v>
      </c>
      <c r="C805" t="s">
        <v>6843</v>
      </c>
      <c r="D805" t="s">
        <v>6843</v>
      </c>
      <c r="E805" t="s">
        <v>6842</v>
      </c>
      <c r="F805">
        <v>5201</v>
      </c>
      <c r="G805" t="s">
        <v>79</v>
      </c>
      <c r="H805" t="s">
        <v>79</v>
      </c>
      <c r="I805">
        <v>40416</v>
      </c>
    </row>
    <row r="806" spans="1:9" x14ac:dyDescent="0.25">
      <c r="A806" t="s">
        <v>6848</v>
      </c>
      <c r="B806" t="s">
        <v>6849</v>
      </c>
      <c r="C806" t="s">
        <v>6850</v>
      </c>
      <c r="D806" t="s">
        <v>6850</v>
      </c>
      <c r="F806">
        <v>8583</v>
      </c>
      <c r="G806" t="s">
        <v>277</v>
      </c>
      <c r="H806" t="s">
        <v>279</v>
      </c>
      <c r="I806">
        <v>52699</v>
      </c>
    </row>
    <row r="807" spans="1:9" x14ac:dyDescent="0.25">
      <c r="A807" t="s">
        <v>6853</v>
      </c>
      <c r="B807" t="s">
        <v>6854</v>
      </c>
      <c r="C807" t="s">
        <v>6856</v>
      </c>
      <c r="D807" t="s">
        <v>6856</v>
      </c>
      <c r="E807" t="s">
        <v>6855</v>
      </c>
      <c r="F807">
        <v>8585</v>
      </c>
      <c r="G807" t="s">
        <v>2385</v>
      </c>
      <c r="H807" t="s">
        <v>106</v>
      </c>
      <c r="I807">
        <v>5925</v>
      </c>
    </row>
    <row r="808" spans="1:9" x14ac:dyDescent="0.25">
      <c r="A808" t="s">
        <v>6858</v>
      </c>
      <c r="B808" t="s">
        <v>6859</v>
      </c>
      <c r="C808" t="s">
        <v>6861</v>
      </c>
      <c r="D808" t="s">
        <v>6861</v>
      </c>
      <c r="E808" t="s">
        <v>6860</v>
      </c>
      <c r="F808">
        <v>8515</v>
      </c>
      <c r="G808" t="s">
        <v>255</v>
      </c>
      <c r="H808" t="s">
        <v>15249</v>
      </c>
      <c r="I808">
        <v>5362</v>
      </c>
    </row>
    <row r="809" spans="1:9" x14ac:dyDescent="0.25">
      <c r="A809" t="s">
        <v>6864</v>
      </c>
      <c r="B809" t="s">
        <v>6865</v>
      </c>
      <c r="C809" t="s">
        <v>6867</v>
      </c>
      <c r="D809" t="s">
        <v>6867</v>
      </c>
      <c r="E809" t="s">
        <v>6866</v>
      </c>
      <c r="F809">
        <v>8524</v>
      </c>
      <c r="G809" t="s">
        <v>404</v>
      </c>
      <c r="H809" t="s">
        <v>15226</v>
      </c>
      <c r="I809">
        <v>4657</v>
      </c>
    </row>
    <row r="810" spans="1:9" x14ac:dyDescent="0.25">
      <c r="A810" t="s">
        <v>6869</v>
      </c>
      <c r="B810" t="s">
        <v>6870</v>
      </c>
      <c r="C810" t="s">
        <v>6872</v>
      </c>
      <c r="D810" t="s">
        <v>6872</v>
      </c>
      <c r="E810" t="s">
        <v>6871</v>
      </c>
      <c r="F810">
        <v>8566</v>
      </c>
      <c r="G810" t="s">
        <v>81</v>
      </c>
      <c r="H810" t="s">
        <v>85</v>
      </c>
      <c r="I810">
        <v>52691</v>
      </c>
    </row>
    <row r="811" spans="1:9" x14ac:dyDescent="0.25">
      <c r="A811" t="s">
        <v>15167</v>
      </c>
      <c r="B811" t="s">
        <v>6876</v>
      </c>
      <c r="C811" t="s">
        <v>6878</v>
      </c>
      <c r="D811" t="s">
        <v>6878</v>
      </c>
      <c r="E811" t="s">
        <v>6877</v>
      </c>
      <c r="F811">
        <v>8523</v>
      </c>
      <c r="G811" t="s">
        <v>1222</v>
      </c>
      <c r="H811" t="s">
        <v>15226</v>
      </c>
    </row>
    <row r="812" spans="1:9" x14ac:dyDescent="0.25">
      <c r="A812" t="s">
        <v>6880</v>
      </c>
      <c r="B812" t="s">
        <v>6881</v>
      </c>
      <c r="C812" t="s">
        <v>6882</v>
      </c>
      <c r="D812" t="s">
        <v>6882</v>
      </c>
      <c r="E812" t="s">
        <v>1822</v>
      </c>
      <c r="F812">
        <v>8515</v>
      </c>
      <c r="G812" t="s">
        <v>255</v>
      </c>
      <c r="H812" t="s">
        <v>15249</v>
      </c>
      <c r="I812">
        <v>52675</v>
      </c>
    </row>
    <row r="813" spans="1:9" x14ac:dyDescent="0.25">
      <c r="A813" t="s">
        <v>6889</v>
      </c>
      <c r="B813" t="s">
        <v>6890</v>
      </c>
      <c r="F813">
        <v>6201</v>
      </c>
      <c r="G813" t="s">
        <v>38</v>
      </c>
      <c r="H813" t="s">
        <v>15220</v>
      </c>
    </row>
    <row r="814" spans="1:9" x14ac:dyDescent="0.25">
      <c r="A814" t="s">
        <v>6895</v>
      </c>
      <c r="B814" t="s">
        <v>6896</v>
      </c>
      <c r="C814" t="s">
        <v>6897</v>
      </c>
      <c r="D814" t="s">
        <v>6897</v>
      </c>
      <c r="F814">
        <v>8524</v>
      </c>
      <c r="G814" t="s">
        <v>404</v>
      </c>
      <c r="H814" t="s">
        <v>15226</v>
      </c>
      <c r="I814">
        <v>52767</v>
      </c>
    </row>
    <row r="815" spans="1:9" x14ac:dyDescent="0.25">
      <c r="A815" t="s">
        <v>6900</v>
      </c>
      <c r="B815" t="s">
        <v>6901</v>
      </c>
      <c r="C815" t="s">
        <v>6903</v>
      </c>
      <c r="D815" t="s">
        <v>6903</v>
      </c>
      <c r="E815" t="s">
        <v>6902</v>
      </c>
      <c r="F815">
        <v>5201</v>
      </c>
      <c r="G815" t="s">
        <v>79</v>
      </c>
      <c r="H815" t="s">
        <v>79</v>
      </c>
      <c r="I815">
        <v>52561</v>
      </c>
    </row>
    <row r="816" spans="1:9" x14ac:dyDescent="0.25">
      <c r="A816" t="s">
        <v>6906</v>
      </c>
      <c r="B816" t="s">
        <v>6907</v>
      </c>
      <c r="C816" t="s">
        <v>6909</v>
      </c>
      <c r="D816" t="s">
        <v>6909</v>
      </c>
      <c r="E816" t="s">
        <v>6908</v>
      </c>
      <c r="F816">
        <v>8688</v>
      </c>
      <c r="G816" t="s">
        <v>6627</v>
      </c>
      <c r="H816" t="s">
        <v>79</v>
      </c>
      <c r="I816">
        <v>16803</v>
      </c>
    </row>
    <row r="817" spans="1:9" x14ac:dyDescent="0.25">
      <c r="A817" t="s">
        <v>6911</v>
      </c>
      <c r="B817" t="s">
        <v>2871</v>
      </c>
      <c r="C817" t="s">
        <v>6912</v>
      </c>
      <c r="D817" t="s">
        <v>15476</v>
      </c>
      <c r="F817">
        <v>8525</v>
      </c>
      <c r="G817" t="s">
        <v>204</v>
      </c>
      <c r="H817" t="s">
        <v>15226</v>
      </c>
      <c r="I817">
        <v>52788</v>
      </c>
    </row>
    <row r="818" spans="1:9" x14ac:dyDescent="0.25">
      <c r="A818" t="s">
        <v>6915</v>
      </c>
      <c r="B818" t="s">
        <v>6917</v>
      </c>
      <c r="C818" t="s">
        <v>6918</v>
      </c>
      <c r="D818" t="s">
        <v>6918</v>
      </c>
      <c r="F818">
        <v>8566</v>
      </c>
      <c r="G818" t="s">
        <v>81</v>
      </c>
      <c r="H818" t="s">
        <v>85</v>
      </c>
      <c r="I818">
        <v>1265</v>
      </c>
    </row>
    <row r="819" spans="1:9" x14ac:dyDescent="0.25">
      <c r="A819" t="s">
        <v>6920</v>
      </c>
      <c r="B819" t="s">
        <v>6921</v>
      </c>
      <c r="C819" t="s">
        <v>6923</v>
      </c>
      <c r="D819" t="s">
        <v>15477</v>
      </c>
      <c r="E819" t="s">
        <v>6922</v>
      </c>
      <c r="F819">
        <v>8523</v>
      </c>
      <c r="G819" t="s">
        <v>1222</v>
      </c>
      <c r="H819" t="s">
        <v>15226</v>
      </c>
      <c r="I819">
        <v>7176</v>
      </c>
    </row>
    <row r="820" spans="1:9" x14ac:dyDescent="0.25">
      <c r="A820" t="s">
        <v>6926</v>
      </c>
      <c r="B820" t="s">
        <v>6887</v>
      </c>
      <c r="C820" t="s">
        <v>6929</v>
      </c>
      <c r="D820" t="s">
        <v>6929</v>
      </c>
      <c r="E820" t="s">
        <v>6928</v>
      </c>
      <c r="F820">
        <v>5201</v>
      </c>
      <c r="G820" t="s">
        <v>79</v>
      </c>
      <c r="H820" t="s">
        <v>79</v>
      </c>
      <c r="I820">
        <v>37360</v>
      </c>
    </row>
    <row r="821" spans="1:9" x14ac:dyDescent="0.25">
      <c r="A821" t="s">
        <v>6932</v>
      </c>
      <c r="B821" t="s">
        <v>6887</v>
      </c>
      <c r="C821" t="s">
        <v>6934</v>
      </c>
      <c r="D821" t="s">
        <v>6934</v>
      </c>
      <c r="E821" t="s">
        <v>6933</v>
      </c>
      <c r="F821">
        <v>5201</v>
      </c>
      <c r="G821" t="s">
        <v>79</v>
      </c>
      <c r="H821" t="s">
        <v>79</v>
      </c>
      <c r="I821">
        <v>50495</v>
      </c>
    </row>
    <row r="822" spans="1:9" x14ac:dyDescent="0.25">
      <c r="A822" t="s">
        <v>6937</v>
      </c>
      <c r="B822" t="s">
        <v>6938</v>
      </c>
      <c r="C822" t="s">
        <v>6941</v>
      </c>
      <c r="D822" t="s">
        <v>6941</v>
      </c>
      <c r="F822">
        <v>8691</v>
      </c>
      <c r="G822" t="s">
        <v>6939</v>
      </c>
      <c r="H822" t="s">
        <v>79</v>
      </c>
      <c r="I822">
        <v>11130</v>
      </c>
    </row>
    <row r="823" spans="1:9" x14ac:dyDescent="0.25">
      <c r="A823" t="s">
        <v>6944</v>
      </c>
      <c r="B823" t="s">
        <v>6945</v>
      </c>
      <c r="C823" t="s">
        <v>6946</v>
      </c>
      <c r="D823" t="s">
        <v>6946</v>
      </c>
      <c r="F823">
        <v>8636</v>
      </c>
      <c r="G823" t="s">
        <v>4978</v>
      </c>
      <c r="H823" t="s">
        <v>106</v>
      </c>
    </row>
    <row r="824" spans="1:9" x14ac:dyDescent="0.25">
      <c r="A824" t="s">
        <v>6951</v>
      </c>
      <c r="B824" t="s">
        <v>6952</v>
      </c>
      <c r="C824" t="s">
        <v>6954</v>
      </c>
      <c r="D824" t="s">
        <v>6954</v>
      </c>
      <c r="E824" t="s">
        <v>6953</v>
      </c>
      <c r="F824">
        <v>8555</v>
      </c>
      <c r="G824" t="s">
        <v>820</v>
      </c>
      <c r="H824" t="s">
        <v>15222</v>
      </c>
      <c r="I824">
        <v>1012</v>
      </c>
    </row>
    <row r="825" spans="1:9" x14ac:dyDescent="0.25">
      <c r="A825" t="s">
        <v>6960</v>
      </c>
      <c r="B825" t="s">
        <v>6961</v>
      </c>
      <c r="C825" t="s">
        <v>6962</v>
      </c>
      <c r="D825" t="s">
        <v>6962</v>
      </c>
      <c r="F825">
        <v>8665</v>
      </c>
      <c r="G825" t="s">
        <v>6365</v>
      </c>
      <c r="H825" t="s">
        <v>85</v>
      </c>
      <c r="I825">
        <v>52732</v>
      </c>
    </row>
    <row r="826" spans="1:9" x14ac:dyDescent="0.25">
      <c r="A826" t="s">
        <v>6965</v>
      </c>
      <c r="B826" t="s">
        <v>6966</v>
      </c>
      <c r="C826" t="s">
        <v>6967</v>
      </c>
      <c r="D826" t="s">
        <v>6967</v>
      </c>
      <c r="E826" t="s">
        <v>6296</v>
      </c>
      <c r="F826">
        <v>8673</v>
      </c>
      <c r="G826" t="s">
        <v>6027</v>
      </c>
      <c r="H826" t="s">
        <v>85</v>
      </c>
      <c r="I826">
        <v>52555</v>
      </c>
    </row>
    <row r="827" spans="1:9" x14ac:dyDescent="0.25">
      <c r="A827" t="s">
        <v>6970</v>
      </c>
      <c r="B827" t="s">
        <v>6971</v>
      </c>
      <c r="C827" t="s">
        <v>6973</v>
      </c>
      <c r="D827" t="s">
        <v>6973</v>
      </c>
      <c r="E827" t="s">
        <v>6972</v>
      </c>
      <c r="F827">
        <v>8626</v>
      </c>
      <c r="G827" t="s">
        <v>5739</v>
      </c>
      <c r="H827" t="s">
        <v>15453</v>
      </c>
      <c r="I827">
        <v>32707</v>
      </c>
    </row>
    <row r="828" spans="1:9" x14ac:dyDescent="0.25">
      <c r="A828" t="s">
        <v>6976</v>
      </c>
      <c r="B828" t="s">
        <v>6977</v>
      </c>
      <c r="C828" t="s">
        <v>6978</v>
      </c>
      <c r="D828" t="s">
        <v>6978</v>
      </c>
      <c r="F828">
        <v>8525</v>
      </c>
      <c r="G828" t="s">
        <v>201</v>
      </c>
      <c r="H828" t="s">
        <v>15226</v>
      </c>
      <c r="I828">
        <v>48170</v>
      </c>
    </row>
    <row r="829" spans="1:9" x14ac:dyDescent="0.25">
      <c r="A829" t="s">
        <v>6982</v>
      </c>
      <c r="B829" t="s">
        <v>6983</v>
      </c>
      <c r="C829" t="s">
        <v>6989</v>
      </c>
      <c r="D829" t="s">
        <v>6989</v>
      </c>
      <c r="E829" t="s">
        <v>6984</v>
      </c>
      <c r="F829">
        <v>8587</v>
      </c>
      <c r="G829" t="s">
        <v>2396</v>
      </c>
      <c r="H829" t="s">
        <v>2399</v>
      </c>
      <c r="I829">
        <v>41587</v>
      </c>
    </row>
    <row r="830" spans="1:9" x14ac:dyDescent="0.25">
      <c r="A830" t="s">
        <v>6992</v>
      </c>
      <c r="B830" t="s">
        <v>6993</v>
      </c>
      <c r="C830" t="s">
        <v>6997</v>
      </c>
      <c r="D830" t="s">
        <v>6997</v>
      </c>
      <c r="F830">
        <v>8692</v>
      </c>
      <c r="G830" t="s">
        <v>6994</v>
      </c>
      <c r="H830" t="s">
        <v>2399</v>
      </c>
      <c r="I830">
        <v>40812</v>
      </c>
    </row>
    <row r="831" spans="1:9" x14ac:dyDescent="0.25">
      <c r="A831" t="s">
        <v>7000</v>
      </c>
      <c r="B831" t="s">
        <v>4539</v>
      </c>
      <c r="C831" t="s">
        <v>4541</v>
      </c>
      <c r="D831" t="s">
        <v>15478</v>
      </c>
      <c r="F831">
        <v>6201</v>
      </c>
      <c r="G831" t="s">
        <v>41</v>
      </c>
      <c r="H831" t="s">
        <v>15220</v>
      </c>
      <c r="I831">
        <v>51403</v>
      </c>
    </row>
    <row r="832" spans="1:9" x14ac:dyDescent="0.25">
      <c r="A832" t="s">
        <v>7004</v>
      </c>
      <c r="B832" t="s">
        <v>7005</v>
      </c>
      <c r="C832" t="s">
        <v>15479</v>
      </c>
      <c r="D832" t="s">
        <v>15479</v>
      </c>
      <c r="E832" t="s">
        <v>7007</v>
      </c>
      <c r="F832">
        <v>8694</v>
      </c>
      <c r="G832" t="s">
        <v>7006</v>
      </c>
      <c r="H832" t="s">
        <v>279</v>
      </c>
      <c r="I832">
        <v>52415</v>
      </c>
    </row>
    <row r="833" spans="1:9" x14ac:dyDescent="0.25">
      <c r="A833" t="s">
        <v>7013</v>
      </c>
      <c r="B833" t="s">
        <v>7014</v>
      </c>
      <c r="C833" t="s">
        <v>7015</v>
      </c>
      <c r="D833" t="s">
        <v>7015</v>
      </c>
      <c r="E833" t="s">
        <v>3940</v>
      </c>
      <c r="F833">
        <v>8515</v>
      </c>
      <c r="G833" t="s">
        <v>255</v>
      </c>
      <c r="H833" t="s">
        <v>15249</v>
      </c>
      <c r="I833">
        <v>52947</v>
      </c>
    </row>
    <row r="834" spans="1:9" x14ac:dyDescent="0.25">
      <c r="A834" t="s">
        <v>7018</v>
      </c>
      <c r="B834" t="s">
        <v>6887</v>
      </c>
      <c r="C834" t="s">
        <v>6934</v>
      </c>
      <c r="D834" t="s">
        <v>15480</v>
      </c>
      <c r="E834" t="s">
        <v>7019</v>
      </c>
      <c r="F834">
        <v>5201</v>
      </c>
      <c r="G834" t="s">
        <v>79</v>
      </c>
      <c r="H834" t="s">
        <v>79</v>
      </c>
      <c r="I834">
        <v>50495</v>
      </c>
    </row>
    <row r="835" spans="1:9" x14ac:dyDescent="0.25">
      <c r="A835" t="s">
        <v>7022</v>
      </c>
      <c r="B835" t="s">
        <v>7023</v>
      </c>
      <c r="C835" t="s">
        <v>7024</v>
      </c>
      <c r="D835" t="s">
        <v>7024</v>
      </c>
      <c r="F835">
        <v>8587</v>
      </c>
      <c r="G835" t="s">
        <v>2396</v>
      </c>
      <c r="H835" t="s">
        <v>2399</v>
      </c>
      <c r="I835">
        <v>44483</v>
      </c>
    </row>
    <row r="836" spans="1:9" x14ac:dyDescent="0.25">
      <c r="A836" t="s">
        <v>7027</v>
      </c>
      <c r="B836" t="s">
        <v>7028</v>
      </c>
      <c r="C836" t="s">
        <v>7030</v>
      </c>
      <c r="D836" t="s">
        <v>7030</v>
      </c>
      <c r="E836" t="s">
        <v>7029</v>
      </c>
      <c r="F836">
        <v>8533</v>
      </c>
      <c r="G836" t="s">
        <v>303</v>
      </c>
      <c r="H836" t="s">
        <v>72</v>
      </c>
      <c r="I836">
        <v>43386</v>
      </c>
    </row>
    <row r="837" spans="1:9" x14ac:dyDescent="0.25">
      <c r="A837" t="s">
        <v>7033</v>
      </c>
      <c r="B837" t="s">
        <v>7034</v>
      </c>
      <c r="C837" t="s">
        <v>7035</v>
      </c>
      <c r="D837" t="s">
        <v>7035</v>
      </c>
      <c r="F837">
        <v>8558</v>
      </c>
      <c r="G837" t="s">
        <v>1360</v>
      </c>
      <c r="H837" t="s">
        <v>1215</v>
      </c>
      <c r="I837">
        <v>7722</v>
      </c>
    </row>
    <row r="838" spans="1:9" x14ac:dyDescent="0.25">
      <c r="A838" t="s">
        <v>7037</v>
      </c>
      <c r="B838" t="s">
        <v>7038</v>
      </c>
      <c r="C838" t="s">
        <v>7040</v>
      </c>
      <c r="D838" t="s">
        <v>7040</v>
      </c>
      <c r="E838">
        <v>4144591967</v>
      </c>
      <c r="F838">
        <v>8680</v>
      </c>
      <c r="G838" t="s">
        <v>6237</v>
      </c>
      <c r="H838" t="s">
        <v>85</v>
      </c>
      <c r="I838">
        <v>12863</v>
      </c>
    </row>
    <row r="839" spans="1:9" x14ac:dyDescent="0.25">
      <c r="A839" t="s">
        <v>7045</v>
      </c>
      <c r="B839" t="s">
        <v>4539</v>
      </c>
      <c r="C839" t="s">
        <v>4541</v>
      </c>
      <c r="D839" t="s">
        <v>15481</v>
      </c>
      <c r="F839">
        <v>6201</v>
      </c>
      <c r="G839" t="s">
        <v>41</v>
      </c>
      <c r="H839" t="s">
        <v>15220</v>
      </c>
      <c r="I839">
        <v>41854</v>
      </c>
    </row>
    <row r="840" spans="1:9" x14ac:dyDescent="0.25">
      <c r="A840" t="s">
        <v>7048</v>
      </c>
      <c r="B840" t="s">
        <v>4539</v>
      </c>
      <c r="C840" t="s">
        <v>7049</v>
      </c>
      <c r="D840" t="s">
        <v>15482</v>
      </c>
      <c r="F840">
        <v>6201</v>
      </c>
      <c r="G840" t="s">
        <v>38</v>
      </c>
      <c r="H840" t="s">
        <v>15220</v>
      </c>
    </row>
    <row r="841" spans="1:9" x14ac:dyDescent="0.25">
      <c r="A841" t="s">
        <v>7052</v>
      </c>
      <c r="B841" t="s">
        <v>7053</v>
      </c>
      <c r="F841">
        <v>6201</v>
      </c>
      <c r="H841" t="s">
        <v>15220</v>
      </c>
    </row>
    <row r="842" spans="1:9" x14ac:dyDescent="0.25">
      <c r="A842" t="s">
        <v>7056</v>
      </c>
      <c r="B842" t="s">
        <v>7057</v>
      </c>
      <c r="F842">
        <v>6201</v>
      </c>
      <c r="G842" t="s">
        <v>38</v>
      </c>
      <c r="H842" t="s">
        <v>15220</v>
      </c>
    </row>
    <row r="843" spans="1:9" x14ac:dyDescent="0.25">
      <c r="A843" t="s">
        <v>7059</v>
      </c>
      <c r="B843" t="s">
        <v>7060</v>
      </c>
      <c r="C843" t="s">
        <v>7062</v>
      </c>
      <c r="D843" t="s">
        <v>7062</v>
      </c>
      <c r="E843" t="s">
        <v>7061</v>
      </c>
      <c r="F843">
        <v>8525</v>
      </c>
      <c r="G843" t="s">
        <v>204</v>
      </c>
      <c r="H843" t="s">
        <v>15226</v>
      </c>
      <c r="I843">
        <v>37966</v>
      </c>
    </row>
    <row r="844" spans="1:9" x14ac:dyDescent="0.25">
      <c r="A844" t="s">
        <v>7065</v>
      </c>
      <c r="B844" t="s">
        <v>7066</v>
      </c>
      <c r="C844" t="s">
        <v>7068</v>
      </c>
      <c r="D844" t="s">
        <v>7068</v>
      </c>
      <c r="E844" t="s">
        <v>7067</v>
      </c>
      <c r="F844">
        <v>8524</v>
      </c>
      <c r="G844" t="s">
        <v>404</v>
      </c>
      <c r="H844" t="s">
        <v>15226</v>
      </c>
      <c r="I844">
        <v>47852</v>
      </c>
    </row>
    <row r="845" spans="1:9" x14ac:dyDescent="0.25">
      <c r="A845" t="s">
        <v>7071</v>
      </c>
      <c r="B845" t="s">
        <v>7072</v>
      </c>
      <c r="C845" t="s">
        <v>7073</v>
      </c>
      <c r="D845" t="s">
        <v>7073</v>
      </c>
      <c r="F845">
        <v>8525</v>
      </c>
      <c r="G845" t="s">
        <v>204</v>
      </c>
      <c r="H845" t="s">
        <v>15226</v>
      </c>
      <c r="I845">
        <v>16753</v>
      </c>
    </row>
    <row r="846" spans="1:9" x14ac:dyDescent="0.25">
      <c r="A846" t="s">
        <v>7076</v>
      </c>
      <c r="B846" t="s">
        <v>7077</v>
      </c>
      <c r="C846" t="s">
        <v>7079</v>
      </c>
      <c r="D846" t="s">
        <v>7079</v>
      </c>
      <c r="E846" t="s">
        <v>7078</v>
      </c>
      <c r="F846">
        <v>8525</v>
      </c>
      <c r="G846" t="s">
        <v>1581</v>
      </c>
      <c r="H846" t="s">
        <v>15226</v>
      </c>
      <c r="I846">
        <v>52156</v>
      </c>
    </row>
    <row r="847" spans="1:9" x14ac:dyDescent="0.25">
      <c r="A847" t="s">
        <v>4538</v>
      </c>
      <c r="B847" t="s">
        <v>4539</v>
      </c>
      <c r="C847" t="s">
        <v>4541</v>
      </c>
      <c r="D847" t="s">
        <v>4541</v>
      </c>
      <c r="F847">
        <v>6201</v>
      </c>
      <c r="G847" t="s">
        <v>41</v>
      </c>
      <c r="H847" t="s">
        <v>15220</v>
      </c>
      <c r="I847">
        <v>53191</v>
      </c>
    </row>
    <row r="848" spans="1:9" x14ac:dyDescent="0.25">
      <c r="A848" t="s">
        <v>7086</v>
      </c>
      <c r="B848" t="s">
        <v>7087</v>
      </c>
      <c r="C848" t="s">
        <v>7091</v>
      </c>
      <c r="D848" t="s">
        <v>7091</v>
      </c>
      <c r="F848">
        <v>8693</v>
      </c>
      <c r="G848" t="s">
        <v>7088</v>
      </c>
      <c r="H848" t="s">
        <v>85</v>
      </c>
      <c r="I848">
        <v>52366</v>
      </c>
    </row>
    <row r="849" spans="1:9" x14ac:dyDescent="0.25">
      <c r="A849" t="s">
        <v>7103</v>
      </c>
      <c r="B849" t="s">
        <v>7104</v>
      </c>
      <c r="C849" t="s">
        <v>7106</v>
      </c>
      <c r="D849" t="s">
        <v>7106</v>
      </c>
      <c r="E849" t="s">
        <v>7105</v>
      </c>
      <c r="F849">
        <v>8626</v>
      </c>
      <c r="G849" t="s">
        <v>5739</v>
      </c>
      <c r="H849" t="s">
        <v>15453</v>
      </c>
      <c r="I849">
        <v>52205</v>
      </c>
    </row>
    <row r="850" spans="1:9" x14ac:dyDescent="0.25">
      <c r="A850" t="s">
        <v>7110</v>
      </c>
      <c r="B850" t="s">
        <v>7111</v>
      </c>
      <c r="C850" t="s">
        <v>7113</v>
      </c>
      <c r="D850" t="s">
        <v>7113</v>
      </c>
      <c r="E850" t="s">
        <v>7112</v>
      </c>
      <c r="F850">
        <v>8673</v>
      </c>
      <c r="G850" t="s">
        <v>6030</v>
      </c>
      <c r="H850" t="s">
        <v>85</v>
      </c>
      <c r="I850">
        <v>51968</v>
      </c>
    </row>
    <row r="851" spans="1:9" x14ac:dyDescent="0.25">
      <c r="A851" t="s">
        <v>7117</v>
      </c>
      <c r="B851" t="s">
        <v>3089</v>
      </c>
      <c r="C851" t="s">
        <v>3091</v>
      </c>
      <c r="D851" t="s">
        <v>15483</v>
      </c>
      <c r="E851" t="s">
        <v>7118</v>
      </c>
      <c r="F851">
        <v>8551</v>
      </c>
      <c r="G851" t="s">
        <v>349</v>
      </c>
      <c r="H851" t="s">
        <v>15233</v>
      </c>
      <c r="I851">
        <v>52421</v>
      </c>
    </row>
    <row r="852" spans="1:9" x14ac:dyDescent="0.25">
      <c r="A852" t="s">
        <v>7121</v>
      </c>
      <c r="B852" t="s">
        <v>7122</v>
      </c>
      <c r="C852" t="s">
        <v>7123</v>
      </c>
      <c r="D852" t="s">
        <v>7123</v>
      </c>
      <c r="F852">
        <v>8520</v>
      </c>
      <c r="G852" t="s">
        <v>584</v>
      </c>
      <c r="H852" t="s">
        <v>15226</v>
      </c>
      <c r="I852">
        <v>52465</v>
      </c>
    </row>
    <row r="853" spans="1:9" x14ac:dyDescent="0.25">
      <c r="A853" t="s">
        <v>7126</v>
      </c>
      <c r="B853" t="s">
        <v>7127</v>
      </c>
      <c r="C853" t="s">
        <v>7128</v>
      </c>
      <c r="D853" t="s">
        <v>7128</v>
      </c>
      <c r="F853">
        <v>8559</v>
      </c>
      <c r="G853" t="s">
        <v>268</v>
      </c>
      <c r="H853" t="s">
        <v>106</v>
      </c>
      <c r="I853">
        <v>52722</v>
      </c>
    </row>
    <row r="854" spans="1:9" x14ac:dyDescent="0.25">
      <c r="A854" t="s">
        <v>7133</v>
      </c>
      <c r="B854" t="s">
        <v>7134</v>
      </c>
      <c r="C854" t="s">
        <v>7137</v>
      </c>
      <c r="D854" t="s">
        <v>7137</v>
      </c>
      <c r="E854" t="s">
        <v>7136</v>
      </c>
      <c r="F854">
        <v>8618</v>
      </c>
      <c r="G854" t="s">
        <v>7135</v>
      </c>
      <c r="H854" t="s">
        <v>72</v>
      </c>
      <c r="I854">
        <v>52828</v>
      </c>
    </row>
    <row r="855" spans="1:9" x14ac:dyDescent="0.25">
      <c r="A855" t="s">
        <v>7139</v>
      </c>
      <c r="B855" t="s">
        <v>7140</v>
      </c>
      <c r="C855" t="s">
        <v>7142</v>
      </c>
      <c r="D855" t="s">
        <v>7142</v>
      </c>
      <c r="E855" t="s">
        <v>7141</v>
      </c>
      <c r="F855">
        <v>5201</v>
      </c>
      <c r="G855" t="s">
        <v>79</v>
      </c>
      <c r="H855" t="s">
        <v>79</v>
      </c>
      <c r="I855">
        <v>47107</v>
      </c>
    </row>
    <row r="856" spans="1:9" x14ac:dyDescent="0.25">
      <c r="A856" t="s">
        <v>7145</v>
      </c>
      <c r="B856" t="s">
        <v>7146</v>
      </c>
      <c r="C856" t="s">
        <v>7149</v>
      </c>
      <c r="D856" t="s">
        <v>7149</v>
      </c>
      <c r="E856">
        <v>4245185804</v>
      </c>
      <c r="F856">
        <v>8691</v>
      </c>
      <c r="G856" t="s">
        <v>7147</v>
      </c>
      <c r="H856" t="s">
        <v>79</v>
      </c>
      <c r="I856">
        <v>37657</v>
      </c>
    </row>
    <row r="857" spans="1:9" x14ac:dyDescent="0.25">
      <c r="A857" t="s">
        <v>7155</v>
      </c>
      <c r="B857" t="s">
        <v>7156</v>
      </c>
      <c r="C857" t="s">
        <v>7157</v>
      </c>
      <c r="D857" t="s">
        <v>7157</v>
      </c>
      <c r="F857">
        <v>8518</v>
      </c>
      <c r="G857" t="s">
        <v>881</v>
      </c>
      <c r="H857" t="s">
        <v>15226</v>
      </c>
    </row>
    <row r="858" spans="1:9" x14ac:dyDescent="0.25">
      <c r="A858" t="s">
        <v>7160</v>
      </c>
      <c r="B858" t="s">
        <v>7161</v>
      </c>
      <c r="C858" t="s">
        <v>7163</v>
      </c>
      <c r="D858" t="s">
        <v>7163</v>
      </c>
      <c r="E858" t="s">
        <v>7162</v>
      </c>
      <c r="F858">
        <v>8576</v>
      </c>
      <c r="G858" t="s">
        <v>2114</v>
      </c>
      <c r="H858" t="s">
        <v>106</v>
      </c>
      <c r="I858">
        <v>6671</v>
      </c>
    </row>
    <row r="859" spans="1:9" x14ac:dyDescent="0.25">
      <c r="A859" t="s">
        <v>7165</v>
      </c>
      <c r="B859" t="s">
        <v>7167</v>
      </c>
      <c r="C859" t="s">
        <v>7168</v>
      </c>
      <c r="D859" t="s">
        <v>7168</v>
      </c>
      <c r="F859">
        <v>8518</v>
      </c>
      <c r="G859" t="s">
        <v>881</v>
      </c>
      <c r="H859" t="s">
        <v>15226</v>
      </c>
    </row>
    <row r="860" spans="1:9" x14ac:dyDescent="0.25">
      <c r="A860" t="s">
        <v>7171</v>
      </c>
      <c r="B860" t="s">
        <v>7172</v>
      </c>
      <c r="C860" t="s">
        <v>7173</v>
      </c>
      <c r="D860" t="s">
        <v>7173</v>
      </c>
      <c r="E860" t="s">
        <v>4283</v>
      </c>
      <c r="F860">
        <v>8520</v>
      </c>
      <c r="G860" t="s">
        <v>1531</v>
      </c>
      <c r="H860" t="s">
        <v>15226</v>
      </c>
      <c r="I860">
        <v>52996</v>
      </c>
    </row>
    <row r="861" spans="1:9" x14ac:dyDescent="0.25">
      <c r="A861" t="s">
        <v>7178</v>
      </c>
      <c r="B861" t="s">
        <v>7179</v>
      </c>
      <c r="C861" t="s">
        <v>7180</v>
      </c>
      <c r="D861" t="s">
        <v>7180</v>
      </c>
      <c r="F861">
        <v>8558</v>
      </c>
      <c r="G861" t="s">
        <v>1360</v>
      </c>
      <c r="H861" t="s">
        <v>1215</v>
      </c>
      <c r="I861">
        <v>10238</v>
      </c>
    </row>
    <row r="862" spans="1:9" x14ac:dyDescent="0.25">
      <c r="A862" t="s">
        <v>7183</v>
      </c>
      <c r="B862" t="s">
        <v>7184</v>
      </c>
      <c r="C862" t="s">
        <v>7186</v>
      </c>
      <c r="D862" t="s">
        <v>7186</v>
      </c>
      <c r="E862" t="s">
        <v>7185</v>
      </c>
      <c r="F862">
        <v>5201</v>
      </c>
      <c r="G862" t="s">
        <v>79</v>
      </c>
      <c r="H862" t="s">
        <v>79</v>
      </c>
      <c r="I862">
        <v>37437</v>
      </c>
    </row>
    <row r="863" spans="1:9" x14ac:dyDescent="0.25">
      <c r="A863" t="s">
        <v>7189</v>
      </c>
      <c r="B863" t="s">
        <v>7190</v>
      </c>
      <c r="C863" t="s">
        <v>7192</v>
      </c>
      <c r="D863" t="s">
        <v>7192</v>
      </c>
      <c r="E863" t="s">
        <v>7191</v>
      </c>
      <c r="F863">
        <v>8520</v>
      </c>
      <c r="G863" t="s">
        <v>584</v>
      </c>
      <c r="H863" t="s">
        <v>15226</v>
      </c>
      <c r="I863">
        <v>31505</v>
      </c>
    </row>
    <row r="864" spans="1:9" x14ac:dyDescent="0.25">
      <c r="A864" t="s">
        <v>7199</v>
      </c>
      <c r="B864" t="s">
        <v>7200</v>
      </c>
      <c r="C864" t="s">
        <v>7205</v>
      </c>
      <c r="D864" t="s">
        <v>7205</v>
      </c>
      <c r="E864" t="s">
        <v>7202</v>
      </c>
      <c r="F864">
        <v>6101</v>
      </c>
      <c r="G864" t="s">
        <v>7201</v>
      </c>
      <c r="H864" t="s">
        <v>15231</v>
      </c>
      <c r="I864">
        <v>45999</v>
      </c>
    </row>
    <row r="865" spans="1:9" x14ac:dyDescent="0.25">
      <c r="A865" t="s">
        <v>7208</v>
      </c>
      <c r="B865" t="s">
        <v>7209</v>
      </c>
      <c r="C865" t="s">
        <v>7211</v>
      </c>
      <c r="D865" t="s">
        <v>7211</v>
      </c>
      <c r="F865">
        <v>8637</v>
      </c>
      <c r="G865" t="s">
        <v>7210</v>
      </c>
      <c r="H865" t="s">
        <v>1215</v>
      </c>
      <c r="I865">
        <v>1984</v>
      </c>
    </row>
    <row r="866" spans="1:9" x14ac:dyDescent="0.25">
      <c r="A866" t="s">
        <v>7214</v>
      </c>
      <c r="B866" t="s">
        <v>7215</v>
      </c>
      <c r="C866" t="s">
        <v>7217</v>
      </c>
      <c r="D866" t="s">
        <v>7217</v>
      </c>
      <c r="E866" t="s">
        <v>7216</v>
      </c>
      <c r="F866">
        <v>8566</v>
      </c>
      <c r="G866" t="s">
        <v>81</v>
      </c>
      <c r="H866" t="s">
        <v>85</v>
      </c>
      <c r="I866">
        <v>52591</v>
      </c>
    </row>
    <row r="867" spans="1:9" x14ac:dyDescent="0.25">
      <c r="A867" t="s">
        <v>7220</v>
      </c>
      <c r="B867" t="s">
        <v>7221</v>
      </c>
      <c r="C867" t="s">
        <v>7223</v>
      </c>
      <c r="D867" t="s">
        <v>7223</v>
      </c>
      <c r="F867">
        <v>8587</v>
      </c>
      <c r="G867" t="s">
        <v>15484</v>
      </c>
      <c r="H867" t="s">
        <v>2399</v>
      </c>
      <c r="I867">
        <v>51860</v>
      </c>
    </row>
    <row r="868" spans="1:9" x14ac:dyDescent="0.25">
      <c r="A868" t="s">
        <v>7225</v>
      </c>
      <c r="B868" t="s">
        <v>7226</v>
      </c>
      <c r="C868" t="s">
        <v>7228</v>
      </c>
      <c r="D868" t="s">
        <v>7228</v>
      </c>
      <c r="E868" t="s">
        <v>7227</v>
      </c>
      <c r="F868">
        <v>8668</v>
      </c>
      <c r="G868" t="s">
        <v>15241</v>
      </c>
      <c r="H868" t="s">
        <v>15222</v>
      </c>
      <c r="I868">
        <v>40188</v>
      </c>
    </row>
    <row r="869" spans="1:9" x14ac:dyDescent="0.25">
      <c r="A869" t="s">
        <v>7241</v>
      </c>
      <c r="B869" t="s">
        <v>7239</v>
      </c>
      <c r="C869" t="s">
        <v>7243</v>
      </c>
      <c r="D869" t="s">
        <v>7243</v>
      </c>
      <c r="E869" t="s">
        <v>7242</v>
      </c>
      <c r="F869">
        <v>8513</v>
      </c>
      <c r="G869" t="s">
        <v>68</v>
      </c>
      <c r="H869" t="s">
        <v>72</v>
      </c>
      <c r="I869">
        <v>50814</v>
      </c>
    </row>
    <row r="870" spans="1:9" x14ac:dyDescent="0.25">
      <c r="A870" t="s">
        <v>7249</v>
      </c>
      <c r="B870" t="s">
        <v>7250</v>
      </c>
      <c r="C870" t="s">
        <v>7252</v>
      </c>
      <c r="D870" t="s">
        <v>7252</v>
      </c>
      <c r="E870" t="s">
        <v>7251</v>
      </c>
      <c r="F870">
        <v>8513</v>
      </c>
      <c r="G870" t="s">
        <v>68</v>
      </c>
      <c r="H870" t="s">
        <v>72</v>
      </c>
      <c r="I870">
        <v>11575</v>
      </c>
    </row>
    <row r="871" spans="1:9" x14ac:dyDescent="0.25">
      <c r="A871" t="s">
        <v>7255</v>
      </c>
      <c r="B871" t="s">
        <v>7256</v>
      </c>
      <c r="C871" t="s">
        <v>7258</v>
      </c>
      <c r="D871" t="s">
        <v>7258</v>
      </c>
      <c r="E871" t="s">
        <v>7257</v>
      </c>
      <c r="F871">
        <v>8648</v>
      </c>
      <c r="G871" t="s">
        <v>6519</v>
      </c>
      <c r="H871" t="s">
        <v>4854</v>
      </c>
      <c r="I871">
        <v>4640</v>
      </c>
    </row>
    <row r="872" spans="1:9" x14ac:dyDescent="0.25">
      <c r="A872" t="s">
        <v>7261</v>
      </c>
      <c r="B872" t="s">
        <v>7262</v>
      </c>
      <c r="C872" t="s">
        <v>7265</v>
      </c>
      <c r="D872" t="s">
        <v>7265</v>
      </c>
      <c r="E872" t="s">
        <v>7264</v>
      </c>
      <c r="F872">
        <v>8695</v>
      </c>
      <c r="G872" t="s">
        <v>7263</v>
      </c>
      <c r="H872" t="s">
        <v>2399</v>
      </c>
      <c r="I872">
        <v>4526</v>
      </c>
    </row>
    <row r="873" spans="1:9" x14ac:dyDescent="0.25">
      <c r="A873" t="s">
        <v>7273</v>
      </c>
      <c r="B873" t="s">
        <v>7274</v>
      </c>
      <c r="C873" t="s">
        <v>7278</v>
      </c>
      <c r="D873" t="s">
        <v>7278</v>
      </c>
      <c r="E873" t="s">
        <v>7275</v>
      </c>
      <c r="F873">
        <v>8735</v>
      </c>
      <c r="G873" t="s">
        <v>79</v>
      </c>
      <c r="H873" t="s">
        <v>79</v>
      </c>
      <c r="I873">
        <v>37303</v>
      </c>
    </row>
    <row r="874" spans="1:9" x14ac:dyDescent="0.25">
      <c r="A874" t="s">
        <v>7281</v>
      </c>
      <c r="B874" t="s">
        <v>7282</v>
      </c>
      <c r="F874">
        <v>6201</v>
      </c>
      <c r="G874" t="s">
        <v>41</v>
      </c>
      <c r="H874" t="s">
        <v>15220</v>
      </c>
    </row>
    <row r="875" spans="1:9" x14ac:dyDescent="0.25">
      <c r="A875" t="s">
        <v>7285</v>
      </c>
      <c r="B875" t="s">
        <v>7286</v>
      </c>
      <c r="C875" t="s">
        <v>7288</v>
      </c>
      <c r="D875" t="s">
        <v>7288</v>
      </c>
      <c r="E875" t="s">
        <v>7287</v>
      </c>
      <c r="F875">
        <v>8622</v>
      </c>
      <c r="G875" t="s">
        <v>4566</v>
      </c>
      <c r="H875" t="s">
        <v>279</v>
      </c>
      <c r="I875">
        <v>3522</v>
      </c>
    </row>
    <row r="876" spans="1:9" x14ac:dyDescent="0.25">
      <c r="A876" t="s">
        <v>7291</v>
      </c>
      <c r="B876" t="s">
        <v>7292</v>
      </c>
      <c r="C876" t="s">
        <v>7293</v>
      </c>
      <c r="D876" t="s">
        <v>7293</v>
      </c>
      <c r="F876">
        <v>8540</v>
      </c>
      <c r="G876" t="s">
        <v>1062</v>
      </c>
      <c r="H876" t="s">
        <v>72</v>
      </c>
      <c r="I876">
        <v>3948</v>
      </c>
    </row>
    <row r="877" spans="1:9" x14ac:dyDescent="0.25">
      <c r="A877" t="s">
        <v>7296</v>
      </c>
      <c r="B877" t="s">
        <v>7297</v>
      </c>
      <c r="C877" t="s">
        <v>7302</v>
      </c>
      <c r="D877" t="s">
        <v>7302</v>
      </c>
      <c r="E877" t="s">
        <v>7299</v>
      </c>
      <c r="F877">
        <v>8696</v>
      </c>
      <c r="G877" t="s">
        <v>7298</v>
      </c>
      <c r="H877" t="s">
        <v>15453</v>
      </c>
      <c r="I877">
        <v>41416</v>
      </c>
    </row>
    <row r="878" spans="1:9" x14ac:dyDescent="0.25">
      <c r="A878" t="s">
        <v>7305</v>
      </c>
      <c r="B878" t="s">
        <v>7306</v>
      </c>
      <c r="C878" t="s">
        <v>7307</v>
      </c>
      <c r="D878" t="s">
        <v>7307</v>
      </c>
      <c r="F878">
        <v>8630</v>
      </c>
      <c r="G878" t="s">
        <v>1123</v>
      </c>
      <c r="H878" t="s">
        <v>15226</v>
      </c>
    </row>
    <row r="879" spans="1:9" x14ac:dyDescent="0.25">
      <c r="A879" t="s">
        <v>7310</v>
      </c>
      <c r="B879" t="s">
        <v>7311</v>
      </c>
      <c r="C879" t="s">
        <v>7312</v>
      </c>
      <c r="D879" t="s">
        <v>7312</v>
      </c>
      <c r="E879" t="s">
        <v>4988</v>
      </c>
      <c r="F879">
        <v>8630</v>
      </c>
      <c r="G879" t="s">
        <v>1123</v>
      </c>
      <c r="H879" t="s">
        <v>15226</v>
      </c>
    </row>
    <row r="880" spans="1:9" x14ac:dyDescent="0.25">
      <c r="A880" t="s">
        <v>15168</v>
      </c>
      <c r="B880" t="s">
        <v>7316</v>
      </c>
      <c r="C880" t="s">
        <v>7317</v>
      </c>
      <c r="D880" t="s">
        <v>7317</v>
      </c>
      <c r="F880">
        <v>8532</v>
      </c>
      <c r="G880" t="s">
        <v>614</v>
      </c>
      <c r="H880" t="s">
        <v>15222</v>
      </c>
      <c r="I880">
        <v>943</v>
      </c>
    </row>
    <row r="881" spans="1:9" x14ac:dyDescent="0.25">
      <c r="A881" t="s">
        <v>7322</v>
      </c>
      <c r="B881" t="s">
        <v>7023</v>
      </c>
      <c r="C881" t="s">
        <v>7024</v>
      </c>
      <c r="D881" t="s">
        <v>15485</v>
      </c>
      <c r="F881">
        <v>8587</v>
      </c>
      <c r="G881" t="s">
        <v>2396</v>
      </c>
      <c r="H881" t="s">
        <v>2399</v>
      </c>
      <c r="I881">
        <v>52662</v>
      </c>
    </row>
    <row r="882" spans="1:9" x14ac:dyDescent="0.25">
      <c r="A882" t="s">
        <v>7325</v>
      </c>
      <c r="B882" t="s">
        <v>7326</v>
      </c>
      <c r="C882" t="s">
        <v>7328</v>
      </c>
      <c r="D882" t="s">
        <v>7328</v>
      </c>
      <c r="E882">
        <v>4148947851</v>
      </c>
      <c r="F882">
        <v>8606</v>
      </c>
      <c r="G882" t="s">
        <v>3750</v>
      </c>
      <c r="H882" t="s">
        <v>15226</v>
      </c>
    </row>
    <row r="883" spans="1:9" x14ac:dyDescent="0.25">
      <c r="A883" t="s">
        <v>7338</v>
      </c>
      <c r="B883" t="s">
        <v>7339</v>
      </c>
      <c r="C883" t="s">
        <v>7343</v>
      </c>
      <c r="D883" t="s">
        <v>7343</v>
      </c>
      <c r="F883">
        <v>3357</v>
      </c>
      <c r="G883" t="s">
        <v>7340</v>
      </c>
      <c r="H883" t="s">
        <v>2399</v>
      </c>
      <c r="I883">
        <v>34097</v>
      </c>
    </row>
    <row r="884" spans="1:9" x14ac:dyDescent="0.25">
      <c r="A884" t="s">
        <v>7346</v>
      </c>
      <c r="B884" t="s">
        <v>7347</v>
      </c>
      <c r="C884" t="s">
        <v>7352</v>
      </c>
      <c r="D884" t="s">
        <v>7352</v>
      </c>
      <c r="E884">
        <v>4162961533</v>
      </c>
      <c r="F884">
        <v>8530</v>
      </c>
      <c r="G884" t="s">
        <v>7348</v>
      </c>
      <c r="H884" t="s">
        <v>15222</v>
      </c>
      <c r="I884">
        <v>4327</v>
      </c>
    </row>
    <row r="885" spans="1:9" x14ac:dyDescent="0.25">
      <c r="A885" t="s">
        <v>7355</v>
      </c>
      <c r="B885" t="s">
        <v>7356</v>
      </c>
      <c r="C885" t="s">
        <v>7358</v>
      </c>
      <c r="D885" t="s">
        <v>7358</v>
      </c>
      <c r="E885">
        <v>4121204551</v>
      </c>
      <c r="F885">
        <v>3050</v>
      </c>
      <c r="G885" t="s">
        <v>7333</v>
      </c>
      <c r="H885" t="s">
        <v>15453</v>
      </c>
      <c r="I885">
        <v>4157</v>
      </c>
    </row>
    <row r="886" spans="1:9" x14ac:dyDescent="0.25">
      <c r="A886" t="s">
        <v>7361</v>
      </c>
      <c r="B886" t="s">
        <v>7362</v>
      </c>
      <c r="C886" t="s">
        <v>7363</v>
      </c>
      <c r="D886" t="s">
        <v>7363</v>
      </c>
      <c r="E886">
        <v>4121204551</v>
      </c>
      <c r="F886">
        <v>3050</v>
      </c>
      <c r="G886" t="s">
        <v>7333</v>
      </c>
      <c r="H886" t="s">
        <v>15453</v>
      </c>
      <c r="I886">
        <v>40037</v>
      </c>
    </row>
    <row r="887" spans="1:9" x14ac:dyDescent="0.25">
      <c r="A887" t="s">
        <v>7366</v>
      </c>
      <c r="B887" t="s">
        <v>7367</v>
      </c>
      <c r="C887" t="s">
        <v>7369</v>
      </c>
      <c r="D887" t="s">
        <v>7369</v>
      </c>
      <c r="E887" t="s">
        <v>7368</v>
      </c>
      <c r="F887">
        <v>3050</v>
      </c>
      <c r="G887" t="s">
        <v>7333</v>
      </c>
      <c r="H887" t="s">
        <v>15453</v>
      </c>
      <c r="I887">
        <v>34103</v>
      </c>
    </row>
    <row r="888" spans="1:9" x14ac:dyDescent="0.25">
      <c r="A888" t="s">
        <v>7372</v>
      </c>
      <c r="B888" t="s">
        <v>7373</v>
      </c>
      <c r="C888" t="s">
        <v>7377</v>
      </c>
      <c r="D888" t="s">
        <v>7377</v>
      </c>
      <c r="E888">
        <v>4121204551</v>
      </c>
      <c r="F888">
        <v>3018</v>
      </c>
      <c r="G888" t="s">
        <v>7374</v>
      </c>
      <c r="H888" t="s">
        <v>15453</v>
      </c>
      <c r="I888">
        <v>45572</v>
      </c>
    </row>
    <row r="889" spans="1:9" x14ac:dyDescent="0.25">
      <c r="A889" t="s">
        <v>7383</v>
      </c>
      <c r="B889" t="s">
        <v>7381</v>
      </c>
      <c r="C889" t="s">
        <v>7386</v>
      </c>
      <c r="D889" t="s">
        <v>7386</v>
      </c>
      <c r="E889">
        <v>4245152748</v>
      </c>
      <c r="F889">
        <v>8626</v>
      </c>
      <c r="G889" t="s">
        <v>5739</v>
      </c>
      <c r="H889" t="s">
        <v>15453</v>
      </c>
      <c r="I889">
        <v>3801</v>
      </c>
    </row>
    <row r="890" spans="1:9" x14ac:dyDescent="0.25">
      <c r="A890" t="s">
        <v>15169</v>
      </c>
      <c r="B890" t="s">
        <v>7381</v>
      </c>
      <c r="C890" t="s">
        <v>7386</v>
      </c>
      <c r="D890" t="s">
        <v>15486</v>
      </c>
      <c r="E890">
        <v>4245152748</v>
      </c>
      <c r="F890">
        <v>8674</v>
      </c>
      <c r="G890" t="s">
        <v>6055</v>
      </c>
      <c r="H890" t="s">
        <v>15453</v>
      </c>
      <c r="I890">
        <v>33645</v>
      </c>
    </row>
    <row r="891" spans="1:9" x14ac:dyDescent="0.25">
      <c r="A891" t="s">
        <v>7392</v>
      </c>
      <c r="B891" t="s">
        <v>7393</v>
      </c>
      <c r="C891" t="s">
        <v>7394</v>
      </c>
      <c r="D891" t="s">
        <v>7394</v>
      </c>
      <c r="E891">
        <v>4245152748</v>
      </c>
      <c r="F891">
        <v>8626</v>
      </c>
      <c r="G891" t="s">
        <v>6113</v>
      </c>
      <c r="H891" t="s">
        <v>15453</v>
      </c>
      <c r="I891">
        <v>45782</v>
      </c>
    </row>
    <row r="892" spans="1:9" x14ac:dyDescent="0.25">
      <c r="A892" t="s">
        <v>7397</v>
      </c>
      <c r="B892" t="s">
        <v>7398</v>
      </c>
      <c r="C892" t="s">
        <v>7399</v>
      </c>
      <c r="D892" t="s">
        <v>7399</v>
      </c>
      <c r="E892">
        <v>4245152748</v>
      </c>
      <c r="F892">
        <v>8626</v>
      </c>
      <c r="G892" t="s">
        <v>6113</v>
      </c>
      <c r="H892" t="s">
        <v>15453</v>
      </c>
      <c r="I892">
        <v>31271</v>
      </c>
    </row>
    <row r="893" spans="1:9" x14ac:dyDescent="0.25">
      <c r="A893" t="s">
        <v>7402</v>
      </c>
      <c r="B893" t="s">
        <v>7403</v>
      </c>
      <c r="C893" t="s">
        <v>7404</v>
      </c>
      <c r="D893" t="s">
        <v>7404</v>
      </c>
      <c r="E893">
        <v>4245152748</v>
      </c>
      <c r="F893">
        <v>8626</v>
      </c>
      <c r="G893" t="s">
        <v>6113</v>
      </c>
      <c r="H893" t="s">
        <v>15453</v>
      </c>
      <c r="I893">
        <v>40202</v>
      </c>
    </row>
    <row r="894" spans="1:9" x14ac:dyDescent="0.25">
      <c r="A894" t="s">
        <v>7407</v>
      </c>
      <c r="B894" t="s">
        <v>7408</v>
      </c>
      <c r="C894" t="s">
        <v>7410</v>
      </c>
      <c r="D894" t="s">
        <v>7410</v>
      </c>
      <c r="E894" t="s">
        <v>7409</v>
      </c>
      <c r="F894">
        <v>8558</v>
      </c>
      <c r="G894" t="s">
        <v>1360</v>
      </c>
      <c r="H894" t="s">
        <v>1215</v>
      </c>
      <c r="I894">
        <v>50632</v>
      </c>
    </row>
    <row r="895" spans="1:9" x14ac:dyDescent="0.25">
      <c r="A895" t="s">
        <v>7413</v>
      </c>
      <c r="B895" t="s">
        <v>7414</v>
      </c>
      <c r="C895" t="s">
        <v>7416</v>
      </c>
      <c r="D895" t="s">
        <v>7416</v>
      </c>
      <c r="E895" t="s">
        <v>7415</v>
      </c>
      <c r="F895">
        <v>8691</v>
      </c>
      <c r="G895" t="s">
        <v>7147</v>
      </c>
      <c r="H895" t="s">
        <v>79</v>
      </c>
      <c r="I895">
        <v>51729</v>
      </c>
    </row>
    <row r="896" spans="1:9" x14ac:dyDescent="0.25">
      <c r="A896" t="s">
        <v>7418</v>
      </c>
      <c r="B896" t="s">
        <v>7419</v>
      </c>
      <c r="C896" t="s">
        <v>7421</v>
      </c>
      <c r="D896" t="s">
        <v>7421</v>
      </c>
      <c r="E896" t="s">
        <v>7420</v>
      </c>
      <c r="F896">
        <v>5201</v>
      </c>
      <c r="G896" t="s">
        <v>79</v>
      </c>
      <c r="H896" t="s">
        <v>79</v>
      </c>
      <c r="I896">
        <v>47456</v>
      </c>
    </row>
    <row r="897" spans="1:9" x14ac:dyDescent="0.25">
      <c r="A897" t="s">
        <v>7427</v>
      </c>
      <c r="B897" t="s">
        <v>7428</v>
      </c>
      <c r="C897" t="s">
        <v>7429</v>
      </c>
      <c r="D897" t="s">
        <v>7429</v>
      </c>
      <c r="F897">
        <v>3357</v>
      </c>
      <c r="G897" t="s">
        <v>7340</v>
      </c>
      <c r="H897" t="s">
        <v>2399</v>
      </c>
      <c r="I897">
        <v>45564</v>
      </c>
    </row>
    <row r="898" spans="1:9" x14ac:dyDescent="0.25">
      <c r="A898" t="s">
        <v>7431</v>
      </c>
      <c r="B898" t="s">
        <v>7432</v>
      </c>
      <c r="C898" t="s">
        <v>7433</v>
      </c>
      <c r="D898" t="s">
        <v>7433</v>
      </c>
      <c r="E898">
        <v>4245152748</v>
      </c>
      <c r="F898">
        <v>8558</v>
      </c>
      <c r="G898" t="s">
        <v>1360</v>
      </c>
      <c r="H898" t="s">
        <v>1215</v>
      </c>
      <c r="I898">
        <v>42331</v>
      </c>
    </row>
    <row r="899" spans="1:9" x14ac:dyDescent="0.25">
      <c r="A899" t="s">
        <v>7439</v>
      </c>
      <c r="B899" t="s">
        <v>7437</v>
      </c>
      <c r="C899" t="s">
        <v>6929</v>
      </c>
      <c r="D899" t="s">
        <v>6929</v>
      </c>
      <c r="E899" t="s">
        <v>7440</v>
      </c>
      <c r="F899">
        <v>5201</v>
      </c>
      <c r="G899" t="s">
        <v>79</v>
      </c>
      <c r="H899" t="s">
        <v>79</v>
      </c>
      <c r="I899">
        <v>37360</v>
      </c>
    </row>
    <row r="900" spans="1:9" x14ac:dyDescent="0.25">
      <c r="A900" t="s">
        <v>7443</v>
      </c>
      <c r="B900" t="s">
        <v>7444</v>
      </c>
      <c r="C900" t="s">
        <v>7446</v>
      </c>
      <c r="D900" t="s">
        <v>7446</v>
      </c>
      <c r="E900">
        <v>4261713913</v>
      </c>
      <c r="F900">
        <v>8688</v>
      </c>
      <c r="G900" t="s">
        <v>6627</v>
      </c>
      <c r="H900" t="s">
        <v>79</v>
      </c>
      <c r="I900">
        <v>53695</v>
      </c>
    </row>
    <row r="901" spans="1:9" x14ac:dyDescent="0.25">
      <c r="A901" t="s">
        <v>7449</v>
      </c>
      <c r="B901" t="s">
        <v>7450</v>
      </c>
      <c r="C901" t="s">
        <v>7452</v>
      </c>
      <c r="D901" t="s">
        <v>7452</v>
      </c>
      <c r="E901" t="s">
        <v>7451</v>
      </c>
      <c r="F901">
        <v>5201</v>
      </c>
      <c r="G901" t="s">
        <v>79</v>
      </c>
      <c r="H901" t="s">
        <v>79</v>
      </c>
      <c r="I901">
        <v>46060</v>
      </c>
    </row>
    <row r="902" spans="1:9" x14ac:dyDescent="0.25">
      <c r="A902" t="s">
        <v>7454</v>
      </c>
      <c r="B902" t="s">
        <v>7455</v>
      </c>
      <c r="C902" t="s">
        <v>7457</v>
      </c>
      <c r="D902" t="s">
        <v>7457</v>
      </c>
      <c r="E902" t="s">
        <v>7456</v>
      </c>
      <c r="F902">
        <v>8577</v>
      </c>
      <c r="G902" t="s">
        <v>2318</v>
      </c>
      <c r="H902" t="s">
        <v>15293</v>
      </c>
      <c r="I902">
        <v>50782</v>
      </c>
    </row>
    <row r="903" spans="1:9" x14ac:dyDescent="0.25">
      <c r="A903" t="s">
        <v>7460</v>
      </c>
      <c r="B903" t="s">
        <v>7461</v>
      </c>
      <c r="C903" t="s">
        <v>7462</v>
      </c>
      <c r="D903" t="s">
        <v>7462</v>
      </c>
      <c r="F903">
        <v>6201</v>
      </c>
      <c r="G903" t="s">
        <v>41</v>
      </c>
      <c r="H903" t="s">
        <v>15220</v>
      </c>
      <c r="I903">
        <v>4981</v>
      </c>
    </row>
    <row r="904" spans="1:9" x14ac:dyDescent="0.25">
      <c r="A904" t="s">
        <v>7468</v>
      </c>
      <c r="B904" t="s">
        <v>7469</v>
      </c>
      <c r="C904" t="s">
        <v>7471</v>
      </c>
      <c r="D904" t="s">
        <v>7471</v>
      </c>
      <c r="E904" t="s">
        <v>7470</v>
      </c>
      <c r="F904">
        <v>8587</v>
      </c>
      <c r="G904" t="s">
        <v>6986</v>
      </c>
      <c r="H904" t="s">
        <v>2399</v>
      </c>
      <c r="I904">
        <v>7331</v>
      </c>
    </row>
    <row r="905" spans="1:9" x14ac:dyDescent="0.25">
      <c r="A905" t="s">
        <v>7473</v>
      </c>
      <c r="B905" t="s">
        <v>7474</v>
      </c>
      <c r="C905" t="s">
        <v>7476</v>
      </c>
      <c r="D905" t="s">
        <v>7476</v>
      </c>
      <c r="E905" t="s">
        <v>7475</v>
      </c>
      <c r="F905">
        <v>8566</v>
      </c>
      <c r="G905" t="s">
        <v>81</v>
      </c>
      <c r="H905" t="s">
        <v>85</v>
      </c>
      <c r="I905">
        <v>47988</v>
      </c>
    </row>
    <row r="906" spans="1:9" x14ac:dyDescent="0.25">
      <c r="A906" t="s">
        <v>7481</v>
      </c>
      <c r="B906" t="s">
        <v>7482</v>
      </c>
      <c r="C906" t="s">
        <v>7484</v>
      </c>
      <c r="D906" t="s">
        <v>7484</v>
      </c>
      <c r="E906" t="s">
        <v>7483</v>
      </c>
      <c r="F906">
        <v>8626</v>
      </c>
      <c r="G906" t="s">
        <v>5739</v>
      </c>
      <c r="H906" t="s">
        <v>15453</v>
      </c>
      <c r="I906">
        <v>52556</v>
      </c>
    </row>
    <row r="907" spans="1:9" x14ac:dyDescent="0.25">
      <c r="A907" t="s">
        <v>7496</v>
      </c>
      <c r="B907" t="s">
        <v>7497</v>
      </c>
      <c r="C907" t="s">
        <v>7499</v>
      </c>
      <c r="D907" t="s">
        <v>7499</v>
      </c>
      <c r="E907" t="s">
        <v>7498</v>
      </c>
      <c r="F907">
        <v>8628</v>
      </c>
      <c r="G907" t="s">
        <v>4795</v>
      </c>
      <c r="H907" t="s">
        <v>1215</v>
      </c>
      <c r="I907">
        <v>44221</v>
      </c>
    </row>
    <row r="908" spans="1:9" x14ac:dyDescent="0.25">
      <c r="A908" t="s">
        <v>7501</v>
      </c>
      <c r="B908" t="s">
        <v>7502</v>
      </c>
      <c r="C908" t="s">
        <v>7504</v>
      </c>
      <c r="D908" t="s">
        <v>7504</v>
      </c>
      <c r="E908" t="s">
        <v>7503</v>
      </c>
      <c r="F908">
        <v>3050</v>
      </c>
      <c r="G908" t="s">
        <v>7333</v>
      </c>
      <c r="H908" t="s">
        <v>15453</v>
      </c>
      <c r="I908">
        <v>42217</v>
      </c>
    </row>
    <row r="909" spans="1:9" x14ac:dyDescent="0.25">
      <c r="A909" t="s">
        <v>7507</v>
      </c>
      <c r="B909" t="s">
        <v>7508</v>
      </c>
      <c r="C909" t="s">
        <v>7510</v>
      </c>
      <c r="D909" t="s">
        <v>7510</v>
      </c>
      <c r="E909" t="s">
        <v>7509</v>
      </c>
      <c r="F909">
        <v>8558</v>
      </c>
      <c r="G909" t="s">
        <v>1360</v>
      </c>
      <c r="H909" t="s">
        <v>1215</v>
      </c>
      <c r="I909">
        <v>39781</v>
      </c>
    </row>
    <row r="910" spans="1:9" x14ac:dyDescent="0.25">
      <c r="A910" t="s">
        <v>7513</v>
      </c>
      <c r="B910" t="s">
        <v>7514</v>
      </c>
      <c r="C910" t="s">
        <v>7519</v>
      </c>
      <c r="D910" t="s">
        <v>7519</v>
      </c>
      <c r="E910" t="s">
        <v>7516</v>
      </c>
      <c r="F910">
        <v>2050</v>
      </c>
      <c r="G910" t="s">
        <v>7515</v>
      </c>
      <c r="H910" t="s">
        <v>1215</v>
      </c>
      <c r="I910">
        <v>47363</v>
      </c>
    </row>
    <row r="911" spans="1:9" x14ac:dyDescent="0.25">
      <c r="A911" t="s">
        <v>7523</v>
      </c>
      <c r="B911" t="s">
        <v>7524</v>
      </c>
      <c r="C911" t="s">
        <v>7525</v>
      </c>
      <c r="D911" t="s">
        <v>7525</v>
      </c>
      <c r="E911" t="s">
        <v>7498</v>
      </c>
      <c r="F911">
        <v>8628</v>
      </c>
      <c r="G911" t="s">
        <v>4795</v>
      </c>
      <c r="H911" t="s">
        <v>1215</v>
      </c>
      <c r="I911">
        <v>51258</v>
      </c>
    </row>
    <row r="912" spans="1:9" x14ac:dyDescent="0.25">
      <c r="A912" t="s">
        <v>15170</v>
      </c>
      <c r="B912" t="s">
        <v>7531</v>
      </c>
      <c r="C912" t="s">
        <v>7536</v>
      </c>
      <c r="D912" t="s">
        <v>7536</v>
      </c>
      <c r="E912" t="s">
        <v>15487</v>
      </c>
      <c r="F912">
        <v>3303</v>
      </c>
      <c r="G912" t="s">
        <v>15488</v>
      </c>
      <c r="H912" t="s">
        <v>2399</v>
      </c>
      <c r="I912">
        <v>39616</v>
      </c>
    </row>
    <row r="913" spans="1:9" x14ac:dyDescent="0.25">
      <c r="A913" t="s">
        <v>7547</v>
      </c>
      <c r="B913" t="s">
        <v>7548</v>
      </c>
      <c r="C913" t="s">
        <v>7553</v>
      </c>
      <c r="D913" t="s">
        <v>7553</v>
      </c>
      <c r="E913" t="s">
        <v>7550</v>
      </c>
      <c r="F913">
        <v>6164</v>
      </c>
      <c r="G913" t="s">
        <v>7549</v>
      </c>
      <c r="H913" t="s">
        <v>15231</v>
      </c>
      <c r="I913">
        <v>51638</v>
      </c>
    </row>
    <row r="914" spans="1:9" x14ac:dyDescent="0.25">
      <c r="A914" t="s">
        <v>7555</v>
      </c>
      <c r="B914" t="s">
        <v>7556</v>
      </c>
      <c r="C914" t="s">
        <v>7561</v>
      </c>
      <c r="D914" t="s">
        <v>7561</v>
      </c>
      <c r="E914" t="s">
        <v>7558</v>
      </c>
      <c r="F914">
        <v>6005</v>
      </c>
      <c r="G914" t="s">
        <v>15489</v>
      </c>
      <c r="H914" t="s">
        <v>72</v>
      </c>
      <c r="I914">
        <v>22704</v>
      </c>
    </row>
    <row r="915" spans="1:9" x14ac:dyDescent="0.25">
      <c r="A915" t="s">
        <v>7564</v>
      </c>
      <c r="B915" t="s">
        <v>7565</v>
      </c>
      <c r="C915" t="s">
        <v>7570</v>
      </c>
      <c r="D915" t="s">
        <v>7570</v>
      </c>
      <c r="E915" t="s">
        <v>7567</v>
      </c>
      <c r="F915">
        <v>1201</v>
      </c>
      <c r="G915" t="s">
        <v>7566</v>
      </c>
      <c r="H915" t="s">
        <v>137</v>
      </c>
      <c r="I915">
        <v>1436</v>
      </c>
    </row>
    <row r="916" spans="1:9" x14ac:dyDescent="0.25">
      <c r="A916" t="s">
        <v>7574</v>
      </c>
      <c r="B916" t="s">
        <v>7575</v>
      </c>
      <c r="C916" t="s">
        <v>7577</v>
      </c>
      <c r="D916" t="s">
        <v>7577</v>
      </c>
      <c r="E916">
        <v>4124203806</v>
      </c>
      <c r="F916">
        <v>8558</v>
      </c>
      <c r="G916" t="s">
        <v>1360</v>
      </c>
      <c r="H916" t="s">
        <v>1215</v>
      </c>
      <c r="I916">
        <v>39064</v>
      </c>
    </row>
    <row r="917" spans="1:9" x14ac:dyDescent="0.25">
      <c r="A917" t="s">
        <v>7580</v>
      </c>
      <c r="B917" t="s">
        <v>7581</v>
      </c>
      <c r="C917" t="s">
        <v>7583</v>
      </c>
      <c r="D917" t="s">
        <v>7583</v>
      </c>
      <c r="E917" t="s">
        <v>7582</v>
      </c>
      <c r="F917">
        <v>8626</v>
      </c>
      <c r="G917" t="s">
        <v>5739</v>
      </c>
      <c r="H917" t="s">
        <v>15453</v>
      </c>
      <c r="I917">
        <v>40805</v>
      </c>
    </row>
    <row r="918" spans="1:9" x14ac:dyDescent="0.25">
      <c r="A918" t="s">
        <v>7590</v>
      </c>
      <c r="B918" t="s">
        <v>7591</v>
      </c>
      <c r="C918" t="s">
        <v>7592</v>
      </c>
      <c r="D918" t="s">
        <v>7592</v>
      </c>
      <c r="F918">
        <v>8533</v>
      </c>
      <c r="G918" t="s">
        <v>303</v>
      </c>
      <c r="H918" t="s">
        <v>72</v>
      </c>
      <c r="I918">
        <v>38704</v>
      </c>
    </row>
    <row r="919" spans="1:9" x14ac:dyDescent="0.25">
      <c r="A919" t="s">
        <v>7603</v>
      </c>
      <c r="B919" t="s">
        <v>7604</v>
      </c>
      <c r="C919" t="s">
        <v>7606</v>
      </c>
      <c r="D919" t="s">
        <v>7606</v>
      </c>
      <c r="E919" t="s">
        <v>7605</v>
      </c>
      <c r="F919">
        <v>5201</v>
      </c>
      <c r="G919" t="s">
        <v>79</v>
      </c>
      <c r="H919" t="s">
        <v>79</v>
      </c>
    </row>
    <row r="920" spans="1:9" x14ac:dyDescent="0.25">
      <c r="A920" t="s">
        <v>7609</v>
      </c>
      <c r="B920" t="s">
        <v>7610</v>
      </c>
      <c r="C920" t="s">
        <v>7612</v>
      </c>
      <c r="D920" t="s">
        <v>7612</v>
      </c>
      <c r="E920">
        <v>4244919509</v>
      </c>
      <c r="F920">
        <v>8558</v>
      </c>
      <c r="G920" t="s">
        <v>1360</v>
      </c>
      <c r="H920" t="s">
        <v>1215</v>
      </c>
      <c r="I920">
        <v>36264</v>
      </c>
    </row>
    <row r="921" spans="1:9" x14ac:dyDescent="0.25">
      <c r="A921" t="s">
        <v>7617</v>
      </c>
      <c r="B921" t="s">
        <v>7618</v>
      </c>
      <c r="C921" t="s">
        <v>7620</v>
      </c>
      <c r="D921" t="s">
        <v>7620</v>
      </c>
      <c r="E921" t="s">
        <v>7619</v>
      </c>
      <c r="F921">
        <v>8674</v>
      </c>
      <c r="G921" t="s">
        <v>6055</v>
      </c>
      <c r="H921" t="s">
        <v>15453</v>
      </c>
      <c r="I921">
        <v>45996</v>
      </c>
    </row>
    <row r="922" spans="1:9" x14ac:dyDescent="0.25">
      <c r="A922" t="s">
        <v>7629</v>
      </c>
      <c r="B922" t="s">
        <v>866</v>
      </c>
      <c r="C922" t="s">
        <v>7631</v>
      </c>
      <c r="D922" t="s">
        <v>15490</v>
      </c>
      <c r="E922" t="s">
        <v>7630</v>
      </c>
      <c r="F922">
        <v>5201</v>
      </c>
      <c r="G922" t="s">
        <v>79</v>
      </c>
      <c r="H922" t="s">
        <v>79</v>
      </c>
      <c r="I922">
        <v>36317</v>
      </c>
    </row>
    <row r="923" spans="1:9" x14ac:dyDescent="0.25">
      <c r="A923" t="s">
        <v>7634</v>
      </c>
      <c r="B923" t="s">
        <v>7635</v>
      </c>
      <c r="C923" t="s">
        <v>7637</v>
      </c>
      <c r="D923" t="s">
        <v>7637</v>
      </c>
      <c r="E923">
        <v>4245760785</v>
      </c>
      <c r="F923">
        <v>8626</v>
      </c>
      <c r="G923" t="s">
        <v>5739</v>
      </c>
      <c r="H923" t="s">
        <v>15453</v>
      </c>
      <c r="I923">
        <v>36037</v>
      </c>
    </row>
    <row r="924" spans="1:9" x14ac:dyDescent="0.25">
      <c r="A924" t="s">
        <v>7640</v>
      </c>
      <c r="B924" t="s">
        <v>866</v>
      </c>
      <c r="C924" t="s">
        <v>7631</v>
      </c>
      <c r="D924" t="s">
        <v>15491</v>
      </c>
      <c r="E924" t="s">
        <v>7630</v>
      </c>
      <c r="F924">
        <v>5201</v>
      </c>
      <c r="G924" t="s">
        <v>79</v>
      </c>
      <c r="H924" t="s">
        <v>79</v>
      </c>
      <c r="I924">
        <v>40435</v>
      </c>
    </row>
    <row r="925" spans="1:9" x14ac:dyDescent="0.25">
      <c r="A925" t="s">
        <v>7643</v>
      </c>
      <c r="B925" t="s">
        <v>7644</v>
      </c>
      <c r="C925" t="s">
        <v>7646</v>
      </c>
      <c r="D925" t="s">
        <v>7646</v>
      </c>
      <c r="E925" s="20">
        <v>4147327349</v>
      </c>
      <c r="F925">
        <v>8558</v>
      </c>
      <c r="G925" t="s">
        <v>1360</v>
      </c>
      <c r="H925" t="s">
        <v>1215</v>
      </c>
      <c r="I925">
        <v>41986</v>
      </c>
    </row>
    <row r="926" spans="1:9" x14ac:dyDescent="0.25">
      <c r="A926" t="s">
        <v>7648</v>
      </c>
      <c r="B926" t="s">
        <v>7649</v>
      </c>
      <c r="C926" t="s">
        <v>7650</v>
      </c>
      <c r="D926" t="s">
        <v>7650</v>
      </c>
      <c r="E926" t="s">
        <v>1298</v>
      </c>
      <c r="F926">
        <v>8524</v>
      </c>
      <c r="G926" t="s">
        <v>404</v>
      </c>
      <c r="H926" t="s">
        <v>15226</v>
      </c>
      <c r="I926">
        <v>53135</v>
      </c>
    </row>
    <row r="927" spans="1:9" x14ac:dyDescent="0.25">
      <c r="A927" t="s">
        <v>7653</v>
      </c>
      <c r="B927" t="s">
        <v>7654</v>
      </c>
      <c r="C927" t="s">
        <v>7656</v>
      </c>
      <c r="D927" t="s">
        <v>7656</v>
      </c>
      <c r="E927" t="s">
        <v>7655</v>
      </c>
      <c r="F927">
        <v>8558</v>
      </c>
      <c r="G927" t="s">
        <v>1360</v>
      </c>
      <c r="H927" t="s">
        <v>1215</v>
      </c>
      <c r="I927">
        <v>28028</v>
      </c>
    </row>
    <row r="928" spans="1:9" x14ac:dyDescent="0.25">
      <c r="A928" t="s">
        <v>7659</v>
      </c>
      <c r="B928" t="s">
        <v>7660</v>
      </c>
      <c r="C928" t="s">
        <v>7662</v>
      </c>
      <c r="D928" t="s">
        <v>7662</v>
      </c>
      <c r="E928" t="s">
        <v>7661</v>
      </c>
      <c r="F928">
        <v>8513</v>
      </c>
      <c r="G928" t="s">
        <v>65</v>
      </c>
      <c r="H928" t="s">
        <v>72</v>
      </c>
      <c r="I928">
        <v>51470</v>
      </c>
    </row>
    <row r="929" spans="1:9" x14ac:dyDescent="0.25">
      <c r="A929" t="s">
        <v>7665</v>
      </c>
      <c r="B929" t="s">
        <v>7667</v>
      </c>
      <c r="C929" t="s">
        <v>7671</v>
      </c>
      <c r="D929" t="s">
        <v>7671</v>
      </c>
      <c r="F929">
        <v>3061</v>
      </c>
      <c r="G929" t="s">
        <v>7668</v>
      </c>
      <c r="H929" t="s">
        <v>15453</v>
      </c>
      <c r="I929">
        <v>39417</v>
      </c>
    </row>
    <row r="930" spans="1:9" x14ac:dyDescent="0.25">
      <c r="A930" t="s">
        <v>7673</v>
      </c>
      <c r="B930" t="s">
        <v>7674</v>
      </c>
      <c r="C930" t="s">
        <v>7676</v>
      </c>
      <c r="D930" t="s">
        <v>7676</v>
      </c>
      <c r="E930">
        <v>4241324083</v>
      </c>
      <c r="F930">
        <v>8515</v>
      </c>
      <c r="G930" t="s">
        <v>255</v>
      </c>
      <c r="H930" t="s">
        <v>15249</v>
      </c>
      <c r="I930">
        <v>2734</v>
      </c>
    </row>
    <row r="931" spans="1:9" x14ac:dyDescent="0.25">
      <c r="A931" t="s">
        <v>7679</v>
      </c>
      <c r="B931" t="s">
        <v>7680</v>
      </c>
      <c r="C931" t="s">
        <v>7681</v>
      </c>
      <c r="D931" t="s">
        <v>7681</v>
      </c>
      <c r="F931">
        <v>8583</v>
      </c>
      <c r="G931" t="s">
        <v>277</v>
      </c>
      <c r="H931" t="s">
        <v>279</v>
      </c>
      <c r="I931">
        <v>31466</v>
      </c>
    </row>
    <row r="932" spans="1:9" x14ac:dyDescent="0.25">
      <c r="A932" t="s">
        <v>7684</v>
      </c>
      <c r="B932" t="s">
        <v>7685</v>
      </c>
      <c r="C932" t="s">
        <v>7686</v>
      </c>
      <c r="D932" t="s">
        <v>15492</v>
      </c>
      <c r="F932">
        <v>8695</v>
      </c>
      <c r="G932" t="s">
        <v>7263</v>
      </c>
      <c r="H932" t="s">
        <v>2399</v>
      </c>
      <c r="I932">
        <v>48941</v>
      </c>
    </row>
    <row r="933" spans="1:9" x14ac:dyDescent="0.25">
      <c r="A933" t="s">
        <v>7725</v>
      </c>
      <c r="B933" t="s">
        <v>7726</v>
      </c>
      <c r="C933" t="s">
        <v>7727</v>
      </c>
      <c r="D933" t="s">
        <v>7727</v>
      </c>
      <c r="F933">
        <v>8566</v>
      </c>
      <c r="G933" t="s">
        <v>81</v>
      </c>
      <c r="H933" t="s">
        <v>85</v>
      </c>
      <c r="I933">
        <v>53138</v>
      </c>
    </row>
    <row r="934" spans="1:9" x14ac:dyDescent="0.25">
      <c r="A934" t="s">
        <v>7734</v>
      </c>
      <c r="B934" t="s">
        <v>7735</v>
      </c>
      <c r="C934" t="s">
        <v>7737</v>
      </c>
      <c r="D934" t="s">
        <v>7737</v>
      </c>
      <c r="E934" t="s">
        <v>7736</v>
      </c>
      <c r="F934">
        <v>5201</v>
      </c>
      <c r="G934" t="s">
        <v>79</v>
      </c>
      <c r="H934" t="s">
        <v>79</v>
      </c>
      <c r="I934">
        <v>41645</v>
      </c>
    </row>
    <row r="935" spans="1:9" x14ac:dyDescent="0.25">
      <c r="A935" t="s">
        <v>7758</v>
      </c>
      <c r="B935" t="s">
        <v>7759</v>
      </c>
      <c r="C935" t="s">
        <v>7761</v>
      </c>
      <c r="D935" t="s">
        <v>7761</v>
      </c>
      <c r="E935" t="s">
        <v>15493</v>
      </c>
      <c r="F935">
        <v>8587</v>
      </c>
      <c r="G935" t="s">
        <v>2396</v>
      </c>
      <c r="H935" t="s">
        <v>2399</v>
      </c>
      <c r="I935">
        <v>52832</v>
      </c>
    </row>
    <row r="936" spans="1:9" x14ac:dyDescent="0.25">
      <c r="A936" t="s">
        <v>7775</v>
      </c>
      <c r="B936" t="s">
        <v>7776</v>
      </c>
      <c r="C936" t="s">
        <v>7778</v>
      </c>
      <c r="D936" t="s">
        <v>7778</v>
      </c>
      <c r="E936" t="s">
        <v>7777</v>
      </c>
      <c r="F936">
        <v>6201</v>
      </c>
      <c r="G936" t="s">
        <v>41</v>
      </c>
      <c r="H936" t="s">
        <v>15220</v>
      </c>
      <c r="I936">
        <v>9896</v>
      </c>
    </row>
    <row r="937" spans="1:9" x14ac:dyDescent="0.25">
      <c r="A937" t="s">
        <v>7780</v>
      </c>
      <c r="B937" t="s">
        <v>7781</v>
      </c>
      <c r="C937" t="s">
        <v>7783</v>
      </c>
      <c r="D937" t="s">
        <v>7783</v>
      </c>
      <c r="E937" t="s">
        <v>15494</v>
      </c>
      <c r="F937">
        <v>8604</v>
      </c>
      <c r="G937" t="s">
        <v>3122</v>
      </c>
      <c r="H937" t="s">
        <v>1215</v>
      </c>
      <c r="I937">
        <v>40396</v>
      </c>
    </row>
    <row r="938" spans="1:9" x14ac:dyDescent="0.25">
      <c r="A938" t="s">
        <v>7785</v>
      </c>
      <c r="B938" t="s">
        <v>7786</v>
      </c>
      <c r="C938" t="s">
        <v>7788</v>
      </c>
      <c r="D938" t="s">
        <v>7788</v>
      </c>
      <c r="E938" t="s">
        <v>7787</v>
      </c>
      <c r="F938">
        <v>8566</v>
      </c>
      <c r="G938" t="s">
        <v>81</v>
      </c>
      <c r="H938" t="s">
        <v>85</v>
      </c>
      <c r="I938">
        <v>40438</v>
      </c>
    </row>
    <row r="939" spans="1:9" x14ac:dyDescent="0.25">
      <c r="A939" t="s">
        <v>7793</v>
      </c>
      <c r="B939" t="s">
        <v>7794</v>
      </c>
      <c r="C939" t="s">
        <v>7796</v>
      </c>
      <c r="D939" t="s">
        <v>7796</v>
      </c>
      <c r="E939">
        <v>4128293596</v>
      </c>
      <c r="F939">
        <v>8587</v>
      </c>
      <c r="G939" t="s">
        <v>2396</v>
      </c>
      <c r="H939" t="s">
        <v>2399</v>
      </c>
      <c r="I939">
        <v>39796</v>
      </c>
    </row>
    <row r="940" spans="1:9" x14ac:dyDescent="0.25">
      <c r="A940" t="s">
        <v>7802</v>
      </c>
      <c r="B940" t="s">
        <v>7803</v>
      </c>
      <c r="C940" t="s">
        <v>7805</v>
      </c>
      <c r="D940" t="s">
        <v>7805</v>
      </c>
      <c r="E940" t="s">
        <v>7804</v>
      </c>
      <c r="F940">
        <v>8540</v>
      </c>
      <c r="G940" t="s">
        <v>1062</v>
      </c>
      <c r="H940" t="s">
        <v>72</v>
      </c>
      <c r="I940">
        <v>43811</v>
      </c>
    </row>
    <row r="941" spans="1:9" x14ac:dyDescent="0.25">
      <c r="A941" t="s">
        <v>7807</v>
      </c>
      <c r="B941" t="s">
        <v>7808</v>
      </c>
      <c r="C941" t="s">
        <v>7811</v>
      </c>
      <c r="D941" t="s">
        <v>7811</v>
      </c>
      <c r="E941" t="s">
        <v>7810</v>
      </c>
      <c r="F941">
        <v>8637</v>
      </c>
      <c r="G941" t="s">
        <v>7809</v>
      </c>
      <c r="H941" t="s">
        <v>1215</v>
      </c>
      <c r="I941">
        <v>39269</v>
      </c>
    </row>
    <row r="942" spans="1:9" x14ac:dyDescent="0.25">
      <c r="A942" t="s">
        <v>7814</v>
      </c>
      <c r="B942" t="s">
        <v>7815</v>
      </c>
      <c r="C942" t="s">
        <v>7817</v>
      </c>
      <c r="D942" t="s">
        <v>7817</v>
      </c>
      <c r="E942" t="s">
        <v>7816</v>
      </c>
      <c r="F942">
        <v>8558</v>
      </c>
      <c r="G942" t="s">
        <v>1360</v>
      </c>
      <c r="H942" t="s">
        <v>1215</v>
      </c>
      <c r="I942">
        <v>38644</v>
      </c>
    </row>
    <row r="943" spans="1:9" x14ac:dyDescent="0.25">
      <c r="A943" t="s">
        <v>7826</v>
      </c>
      <c r="B943" t="s">
        <v>1684</v>
      </c>
      <c r="C943" t="s">
        <v>7830</v>
      </c>
      <c r="D943" t="s">
        <v>15495</v>
      </c>
      <c r="E943" t="s">
        <v>7829</v>
      </c>
      <c r="F943">
        <v>8526</v>
      </c>
      <c r="G943" t="s">
        <v>7828</v>
      </c>
      <c r="H943" t="s">
        <v>106</v>
      </c>
    </row>
    <row r="944" spans="1:9" x14ac:dyDescent="0.25">
      <c r="A944" t="s">
        <v>7833</v>
      </c>
      <c r="B944" t="s">
        <v>7834</v>
      </c>
      <c r="C944" t="s">
        <v>7839</v>
      </c>
      <c r="D944" t="s">
        <v>7839</v>
      </c>
      <c r="E944" t="s">
        <v>7836</v>
      </c>
      <c r="F944">
        <v>8703</v>
      </c>
      <c r="G944" t="s">
        <v>7835</v>
      </c>
      <c r="H944" t="s">
        <v>79</v>
      </c>
      <c r="I944">
        <v>38728</v>
      </c>
    </row>
    <row r="945" spans="1:9" x14ac:dyDescent="0.25">
      <c r="A945" t="s">
        <v>7842</v>
      </c>
      <c r="B945" t="s">
        <v>7843</v>
      </c>
      <c r="C945" t="s">
        <v>7844</v>
      </c>
      <c r="D945" t="s">
        <v>7844</v>
      </c>
      <c r="E945">
        <v>4245152748</v>
      </c>
      <c r="F945">
        <v>8626</v>
      </c>
      <c r="G945" t="s">
        <v>5739</v>
      </c>
      <c r="H945" t="s">
        <v>15453</v>
      </c>
      <c r="I945">
        <v>4410</v>
      </c>
    </row>
    <row r="946" spans="1:9" x14ac:dyDescent="0.25">
      <c r="A946" t="s">
        <v>7847</v>
      </c>
      <c r="B946" t="s">
        <v>7848</v>
      </c>
      <c r="C946" t="s">
        <v>7850</v>
      </c>
      <c r="D946" t="s">
        <v>7850</v>
      </c>
      <c r="E946" t="s">
        <v>7849</v>
      </c>
      <c r="F946">
        <v>5201</v>
      </c>
      <c r="G946" t="s">
        <v>79</v>
      </c>
      <c r="H946" t="s">
        <v>79</v>
      </c>
      <c r="I946">
        <v>31323</v>
      </c>
    </row>
    <row r="947" spans="1:9" x14ac:dyDescent="0.25">
      <c r="A947" t="s">
        <v>7853</v>
      </c>
      <c r="B947" t="s">
        <v>7854</v>
      </c>
      <c r="C947" t="s">
        <v>7855</v>
      </c>
      <c r="D947" t="s">
        <v>7855</v>
      </c>
      <c r="F947">
        <v>8626</v>
      </c>
      <c r="G947" t="s">
        <v>5739</v>
      </c>
      <c r="H947" t="s">
        <v>15453</v>
      </c>
      <c r="I947">
        <v>3791</v>
      </c>
    </row>
    <row r="948" spans="1:9" x14ac:dyDescent="0.25">
      <c r="A948" t="s">
        <v>7858</v>
      </c>
      <c r="B948" t="s">
        <v>7859</v>
      </c>
      <c r="C948" t="s">
        <v>7861</v>
      </c>
      <c r="D948" t="s">
        <v>15496</v>
      </c>
      <c r="F948">
        <v>8633</v>
      </c>
      <c r="G948" t="s">
        <v>7860</v>
      </c>
      <c r="H948" t="s">
        <v>4854</v>
      </c>
      <c r="I948">
        <v>52573</v>
      </c>
    </row>
    <row r="949" spans="1:9" x14ac:dyDescent="0.25">
      <c r="A949" t="s">
        <v>7864</v>
      </c>
      <c r="B949" t="s">
        <v>7865</v>
      </c>
      <c r="C949" t="s">
        <v>7866</v>
      </c>
      <c r="D949" t="s">
        <v>7866</v>
      </c>
      <c r="F949">
        <v>8626</v>
      </c>
      <c r="G949" t="s">
        <v>5739</v>
      </c>
      <c r="H949" t="s">
        <v>15453</v>
      </c>
      <c r="I949">
        <v>37597</v>
      </c>
    </row>
    <row r="950" spans="1:9" x14ac:dyDescent="0.25">
      <c r="A950" t="s">
        <v>7869</v>
      </c>
      <c r="B950" t="s">
        <v>7870</v>
      </c>
      <c r="C950" t="s">
        <v>7871</v>
      </c>
      <c r="D950" t="s">
        <v>7871</v>
      </c>
      <c r="F950">
        <v>8648</v>
      </c>
      <c r="G950" t="s">
        <v>6519</v>
      </c>
      <c r="H950" t="s">
        <v>4854</v>
      </c>
      <c r="I950">
        <v>50554</v>
      </c>
    </row>
    <row r="951" spans="1:9" x14ac:dyDescent="0.25">
      <c r="A951" t="s">
        <v>7874</v>
      </c>
      <c r="B951" t="s">
        <v>7875</v>
      </c>
      <c r="C951" t="s">
        <v>7877</v>
      </c>
      <c r="D951" t="s">
        <v>7877</v>
      </c>
      <c r="F951">
        <v>8633</v>
      </c>
      <c r="G951" t="s">
        <v>7876</v>
      </c>
      <c r="H951" t="s">
        <v>4854</v>
      </c>
      <c r="I951">
        <v>47837</v>
      </c>
    </row>
    <row r="952" spans="1:9" x14ac:dyDescent="0.25">
      <c r="A952" t="s">
        <v>7880</v>
      </c>
      <c r="B952" t="s">
        <v>7881</v>
      </c>
      <c r="C952" t="s">
        <v>7882</v>
      </c>
      <c r="D952" t="s">
        <v>7882</v>
      </c>
      <c r="F952">
        <v>8626</v>
      </c>
      <c r="G952" t="s">
        <v>5739</v>
      </c>
      <c r="H952" t="s">
        <v>15453</v>
      </c>
      <c r="I952">
        <v>38214</v>
      </c>
    </row>
    <row r="953" spans="1:9" x14ac:dyDescent="0.25">
      <c r="A953" t="s">
        <v>7885</v>
      </c>
      <c r="B953" t="s">
        <v>7886</v>
      </c>
      <c r="C953" t="s">
        <v>7887</v>
      </c>
      <c r="D953" t="s">
        <v>7887</v>
      </c>
      <c r="F953">
        <v>8626</v>
      </c>
      <c r="G953" t="s">
        <v>5739</v>
      </c>
      <c r="H953" t="s">
        <v>15453</v>
      </c>
      <c r="I953">
        <v>7567</v>
      </c>
    </row>
    <row r="954" spans="1:9" x14ac:dyDescent="0.25">
      <c r="A954" t="s">
        <v>7890</v>
      </c>
      <c r="B954" t="s">
        <v>7891</v>
      </c>
      <c r="C954" t="s">
        <v>7892</v>
      </c>
      <c r="D954" t="s">
        <v>7892</v>
      </c>
      <c r="F954">
        <v>8626</v>
      </c>
      <c r="G954" t="s">
        <v>5739</v>
      </c>
      <c r="H954" t="s">
        <v>15453</v>
      </c>
      <c r="I954">
        <v>41525</v>
      </c>
    </row>
    <row r="955" spans="1:9" x14ac:dyDescent="0.25">
      <c r="A955" t="s">
        <v>7895</v>
      </c>
      <c r="B955" t="s">
        <v>7896</v>
      </c>
      <c r="C955" t="s">
        <v>7899</v>
      </c>
      <c r="D955" t="s">
        <v>7899</v>
      </c>
      <c r="E955" t="s">
        <v>7898</v>
      </c>
      <c r="F955">
        <v>8652</v>
      </c>
      <c r="G955" t="s">
        <v>15497</v>
      </c>
      <c r="H955" t="s">
        <v>15222</v>
      </c>
      <c r="I955">
        <v>36881</v>
      </c>
    </row>
    <row r="956" spans="1:9" x14ac:dyDescent="0.25">
      <c r="A956" t="s">
        <v>7904</v>
      </c>
      <c r="B956" t="s">
        <v>7905</v>
      </c>
      <c r="F956">
        <v>6201</v>
      </c>
      <c r="G956" t="s">
        <v>41</v>
      </c>
      <c r="H956" t="s">
        <v>15220</v>
      </c>
    </row>
    <row r="957" spans="1:9" x14ac:dyDescent="0.25">
      <c r="A957" t="s">
        <v>7908</v>
      </c>
      <c r="B957" t="s">
        <v>7909</v>
      </c>
      <c r="C957" t="s">
        <v>7911</v>
      </c>
      <c r="D957" t="s">
        <v>7911</v>
      </c>
      <c r="E957" t="s">
        <v>7910</v>
      </c>
      <c r="F957">
        <v>8587</v>
      </c>
      <c r="G957" t="s">
        <v>2396</v>
      </c>
      <c r="H957" t="s">
        <v>2399</v>
      </c>
      <c r="I957">
        <v>3397</v>
      </c>
    </row>
    <row r="958" spans="1:9" x14ac:dyDescent="0.25">
      <c r="A958" t="s">
        <v>7914</v>
      </c>
      <c r="B958" t="s">
        <v>7915</v>
      </c>
      <c r="C958" t="s">
        <v>7917</v>
      </c>
      <c r="D958" t="s">
        <v>7917</v>
      </c>
      <c r="E958" t="s">
        <v>7916</v>
      </c>
      <c r="F958">
        <v>8691</v>
      </c>
      <c r="G958" t="s">
        <v>7147</v>
      </c>
      <c r="H958" t="s">
        <v>79</v>
      </c>
      <c r="I958">
        <v>33719</v>
      </c>
    </row>
    <row r="959" spans="1:9" x14ac:dyDescent="0.25">
      <c r="A959" t="s">
        <v>7920</v>
      </c>
      <c r="B959" t="s">
        <v>7921</v>
      </c>
      <c r="C959" t="s">
        <v>7925</v>
      </c>
      <c r="D959" t="s">
        <v>15498</v>
      </c>
      <c r="F959">
        <v>3350</v>
      </c>
      <c r="G959" t="s">
        <v>7922</v>
      </c>
      <c r="H959" t="s">
        <v>2399</v>
      </c>
      <c r="I959">
        <v>52373</v>
      </c>
    </row>
    <row r="960" spans="1:9" x14ac:dyDescent="0.25">
      <c r="A960" t="s">
        <v>7930</v>
      </c>
      <c r="B960" t="s">
        <v>7931</v>
      </c>
      <c r="C960" t="s">
        <v>7933</v>
      </c>
      <c r="D960" t="s">
        <v>7933</v>
      </c>
      <c r="E960" t="s">
        <v>7932</v>
      </c>
      <c r="F960">
        <v>8518</v>
      </c>
      <c r="G960" t="s">
        <v>881</v>
      </c>
      <c r="H960" t="s">
        <v>15226</v>
      </c>
    </row>
    <row r="961" spans="1:9" x14ac:dyDescent="0.25">
      <c r="A961" t="s">
        <v>15171</v>
      </c>
      <c r="B961" t="s">
        <v>7942</v>
      </c>
      <c r="C961" t="s">
        <v>7944</v>
      </c>
      <c r="D961" t="s">
        <v>7944</v>
      </c>
      <c r="E961" t="s">
        <v>7943</v>
      </c>
      <c r="F961">
        <v>8558</v>
      </c>
      <c r="G961" t="s">
        <v>2647</v>
      </c>
      <c r="H961" t="s">
        <v>1215</v>
      </c>
      <c r="I961">
        <v>7467</v>
      </c>
    </row>
    <row r="962" spans="1:9" x14ac:dyDescent="0.25">
      <c r="A962" t="s">
        <v>7947</v>
      </c>
      <c r="B962" t="s">
        <v>7948</v>
      </c>
      <c r="C962" t="s">
        <v>7952</v>
      </c>
      <c r="D962" t="s">
        <v>15499</v>
      </c>
      <c r="E962" t="s">
        <v>7950</v>
      </c>
      <c r="F962">
        <v>8702</v>
      </c>
      <c r="G962" t="s">
        <v>7949</v>
      </c>
      <c r="H962" t="s">
        <v>15249</v>
      </c>
      <c r="I962">
        <v>40563</v>
      </c>
    </row>
    <row r="963" spans="1:9" x14ac:dyDescent="0.25">
      <c r="A963" t="s">
        <v>7955</v>
      </c>
      <c r="B963" t="s">
        <v>7956</v>
      </c>
      <c r="C963" t="s">
        <v>7958</v>
      </c>
      <c r="D963" t="s">
        <v>7958</v>
      </c>
      <c r="E963" t="s">
        <v>7957</v>
      </c>
      <c r="F963">
        <v>8587</v>
      </c>
      <c r="G963" t="s">
        <v>6986</v>
      </c>
      <c r="H963" t="s">
        <v>2399</v>
      </c>
      <c r="I963">
        <v>50826</v>
      </c>
    </row>
    <row r="964" spans="1:9" x14ac:dyDescent="0.25">
      <c r="A964" t="s">
        <v>15172</v>
      </c>
      <c r="B964" t="s">
        <v>7962</v>
      </c>
      <c r="C964" t="s">
        <v>7964</v>
      </c>
      <c r="D964" t="s">
        <v>7964</v>
      </c>
      <c r="E964" t="s">
        <v>7963</v>
      </c>
      <c r="F964">
        <v>8633</v>
      </c>
      <c r="G964" t="s">
        <v>7860</v>
      </c>
      <c r="H964" t="s">
        <v>4854</v>
      </c>
      <c r="I964">
        <v>42881</v>
      </c>
    </row>
    <row r="965" spans="1:9" x14ac:dyDescent="0.25">
      <c r="A965" t="s">
        <v>7967</v>
      </c>
      <c r="B965" t="s">
        <v>7968</v>
      </c>
      <c r="C965" t="s">
        <v>7970</v>
      </c>
      <c r="D965" t="s">
        <v>7970</v>
      </c>
      <c r="E965" t="s">
        <v>7969</v>
      </c>
      <c r="F965">
        <v>8517</v>
      </c>
      <c r="G965" t="s">
        <v>184</v>
      </c>
      <c r="H965" t="s">
        <v>15226</v>
      </c>
    </row>
    <row r="966" spans="1:9" x14ac:dyDescent="0.25">
      <c r="A966" t="s">
        <v>7973</v>
      </c>
      <c r="B966" t="s">
        <v>7974</v>
      </c>
      <c r="C966" t="s">
        <v>7976</v>
      </c>
      <c r="D966" t="s">
        <v>7976</v>
      </c>
      <c r="E966" t="s">
        <v>7975</v>
      </c>
      <c r="F966">
        <v>8691</v>
      </c>
      <c r="G966" t="s">
        <v>6939</v>
      </c>
      <c r="H966" t="s">
        <v>79</v>
      </c>
      <c r="I966">
        <v>36965</v>
      </c>
    </row>
    <row r="967" spans="1:9" x14ac:dyDescent="0.25">
      <c r="A967" t="s">
        <v>7979</v>
      </c>
      <c r="B967" t="s">
        <v>7980</v>
      </c>
      <c r="C967" t="s">
        <v>7982</v>
      </c>
      <c r="D967" t="s">
        <v>7982</v>
      </c>
      <c r="E967" t="s">
        <v>7981</v>
      </c>
      <c r="F967">
        <v>8699</v>
      </c>
      <c r="G967" t="s">
        <v>7766</v>
      </c>
      <c r="H967" t="s">
        <v>2399</v>
      </c>
      <c r="I967">
        <v>48945</v>
      </c>
    </row>
    <row r="968" spans="1:9" x14ac:dyDescent="0.25">
      <c r="A968" t="s">
        <v>7985</v>
      </c>
      <c r="B968" t="s">
        <v>7986</v>
      </c>
      <c r="C968" t="s">
        <v>7988</v>
      </c>
      <c r="D968" t="s">
        <v>7988</v>
      </c>
      <c r="E968" t="s">
        <v>7987</v>
      </c>
      <c r="F968">
        <v>8587</v>
      </c>
      <c r="G968" t="s">
        <v>6986</v>
      </c>
      <c r="H968" t="s">
        <v>2399</v>
      </c>
      <c r="I968">
        <v>38681</v>
      </c>
    </row>
    <row r="969" spans="1:9" x14ac:dyDescent="0.25">
      <c r="A969" t="s">
        <v>7991</v>
      </c>
      <c r="B969" t="s">
        <v>7992</v>
      </c>
      <c r="C969" t="s">
        <v>7994</v>
      </c>
      <c r="D969" t="s">
        <v>7994</v>
      </c>
      <c r="E969" t="s">
        <v>7993</v>
      </c>
      <c r="F969">
        <v>8587</v>
      </c>
      <c r="G969" t="s">
        <v>2396</v>
      </c>
      <c r="H969" t="s">
        <v>2399</v>
      </c>
      <c r="I969">
        <v>38761</v>
      </c>
    </row>
    <row r="970" spans="1:9" x14ac:dyDescent="0.25">
      <c r="A970" t="s">
        <v>7997</v>
      </c>
      <c r="B970" t="s">
        <v>7998</v>
      </c>
      <c r="C970" t="s">
        <v>8000</v>
      </c>
      <c r="D970" t="s">
        <v>8000</v>
      </c>
      <c r="E970" t="s">
        <v>7999</v>
      </c>
      <c r="F970">
        <v>8587</v>
      </c>
      <c r="G970" t="s">
        <v>6986</v>
      </c>
      <c r="H970" t="s">
        <v>2399</v>
      </c>
      <c r="I970">
        <v>37879</v>
      </c>
    </row>
    <row r="971" spans="1:9" x14ac:dyDescent="0.25">
      <c r="A971" t="s">
        <v>8003</v>
      </c>
      <c r="B971" t="s">
        <v>8004</v>
      </c>
      <c r="C971" t="s">
        <v>8008</v>
      </c>
      <c r="D971" t="s">
        <v>8008</v>
      </c>
      <c r="E971" t="s">
        <v>8006</v>
      </c>
      <c r="F971">
        <v>8704</v>
      </c>
      <c r="G971" t="s">
        <v>8005</v>
      </c>
      <c r="H971" t="s">
        <v>2399</v>
      </c>
      <c r="I971">
        <v>36150</v>
      </c>
    </row>
    <row r="972" spans="1:9" x14ac:dyDescent="0.25">
      <c r="A972" t="s">
        <v>8011</v>
      </c>
      <c r="B972" t="s">
        <v>8012</v>
      </c>
      <c r="C972" t="s">
        <v>8014</v>
      </c>
      <c r="D972" t="s">
        <v>8014</v>
      </c>
      <c r="E972" t="s">
        <v>8013</v>
      </c>
      <c r="F972">
        <v>8587</v>
      </c>
      <c r="G972" t="s">
        <v>2396</v>
      </c>
      <c r="H972" t="s">
        <v>2399</v>
      </c>
      <c r="I972">
        <v>47982</v>
      </c>
    </row>
    <row r="973" spans="1:9" x14ac:dyDescent="0.25">
      <c r="A973" t="s">
        <v>8017</v>
      </c>
      <c r="B973" t="s">
        <v>8018</v>
      </c>
      <c r="C973" t="s">
        <v>8019</v>
      </c>
      <c r="D973" t="s">
        <v>8019</v>
      </c>
      <c r="F973">
        <v>8524</v>
      </c>
      <c r="G973" t="s">
        <v>404</v>
      </c>
      <c r="H973" t="s">
        <v>15226</v>
      </c>
      <c r="I973">
        <v>52927</v>
      </c>
    </row>
    <row r="974" spans="1:9" x14ac:dyDescent="0.25">
      <c r="A974" t="s">
        <v>8022</v>
      </c>
      <c r="B974" t="s">
        <v>8023</v>
      </c>
      <c r="C974" t="s">
        <v>8025</v>
      </c>
      <c r="D974" t="s">
        <v>8025</v>
      </c>
      <c r="E974" t="s">
        <v>8024</v>
      </c>
      <c r="F974">
        <v>5201</v>
      </c>
      <c r="G974" t="s">
        <v>79</v>
      </c>
      <c r="H974" t="s">
        <v>79</v>
      </c>
      <c r="I974">
        <v>31718</v>
      </c>
    </row>
    <row r="975" spans="1:9" x14ac:dyDescent="0.25">
      <c r="A975" t="s">
        <v>8033</v>
      </c>
      <c r="B975" t="s">
        <v>8034</v>
      </c>
      <c r="C975" t="s">
        <v>8036</v>
      </c>
      <c r="D975" t="s">
        <v>8036</v>
      </c>
      <c r="E975" t="s">
        <v>8035</v>
      </c>
      <c r="F975">
        <v>8526</v>
      </c>
      <c r="G975" t="s">
        <v>665</v>
      </c>
      <c r="H975" t="s">
        <v>106</v>
      </c>
      <c r="I975">
        <v>3255</v>
      </c>
    </row>
    <row r="976" spans="1:9" x14ac:dyDescent="0.25">
      <c r="A976" t="s">
        <v>8046</v>
      </c>
      <c r="B976" t="s">
        <v>8047</v>
      </c>
      <c r="C976" t="s">
        <v>8049</v>
      </c>
      <c r="D976" t="s">
        <v>8049</v>
      </c>
      <c r="E976" t="s">
        <v>8048</v>
      </c>
      <c r="F976">
        <v>8574</v>
      </c>
      <c r="G976" t="s">
        <v>911</v>
      </c>
      <c r="H976" t="s">
        <v>106</v>
      </c>
      <c r="I976">
        <v>5694</v>
      </c>
    </row>
    <row r="977" spans="1:9" x14ac:dyDescent="0.25">
      <c r="A977" t="s">
        <v>8051</v>
      </c>
      <c r="B977" t="s">
        <v>8052</v>
      </c>
      <c r="C977" t="s">
        <v>8053</v>
      </c>
      <c r="D977" t="s">
        <v>8053</v>
      </c>
      <c r="F977">
        <v>8515</v>
      </c>
      <c r="G977" t="s">
        <v>255</v>
      </c>
      <c r="H977" t="s">
        <v>15249</v>
      </c>
      <c r="I977">
        <v>49647</v>
      </c>
    </row>
    <row r="978" spans="1:9" x14ac:dyDescent="0.25">
      <c r="A978" t="s">
        <v>8056</v>
      </c>
      <c r="B978" t="s">
        <v>8057</v>
      </c>
      <c r="C978" t="s">
        <v>8059</v>
      </c>
      <c r="D978" t="s">
        <v>15500</v>
      </c>
      <c r="E978" t="s">
        <v>8058</v>
      </c>
      <c r="F978">
        <v>8515</v>
      </c>
      <c r="G978" t="s">
        <v>255</v>
      </c>
      <c r="H978" t="s">
        <v>15249</v>
      </c>
      <c r="I978">
        <v>51527</v>
      </c>
    </row>
    <row r="979" spans="1:9" x14ac:dyDescent="0.25">
      <c r="A979" t="s">
        <v>8064</v>
      </c>
      <c r="B979" t="s">
        <v>8057</v>
      </c>
      <c r="C979" t="s">
        <v>8059</v>
      </c>
      <c r="D979" t="s">
        <v>15501</v>
      </c>
      <c r="E979" t="s">
        <v>8058</v>
      </c>
      <c r="F979">
        <v>8642</v>
      </c>
      <c r="G979" t="s">
        <v>5110</v>
      </c>
      <c r="H979" t="s">
        <v>137</v>
      </c>
      <c r="I979">
        <v>51547</v>
      </c>
    </row>
    <row r="980" spans="1:9" x14ac:dyDescent="0.25">
      <c r="A980" t="s">
        <v>8067</v>
      </c>
      <c r="B980" t="s">
        <v>8068</v>
      </c>
      <c r="C980" t="s">
        <v>8070</v>
      </c>
      <c r="D980" t="s">
        <v>15502</v>
      </c>
      <c r="E980" t="s">
        <v>8069</v>
      </c>
      <c r="F980">
        <v>2050</v>
      </c>
      <c r="G980" t="s">
        <v>7518</v>
      </c>
      <c r="H980" t="s">
        <v>1215</v>
      </c>
      <c r="I980">
        <v>37289</v>
      </c>
    </row>
    <row r="981" spans="1:9" x14ac:dyDescent="0.25">
      <c r="A981" t="s">
        <v>8073</v>
      </c>
      <c r="B981" t="s">
        <v>8074</v>
      </c>
      <c r="C981" t="s">
        <v>8078</v>
      </c>
      <c r="D981" t="s">
        <v>8078</v>
      </c>
      <c r="E981" t="s">
        <v>8069</v>
      </c>
      <c r="F981">
        <v>8707</v>
      </c>
      <c r="G981" t="s">
        <v>15503</v>
      </c>
      <c r="H981" t="s">
        <v>1215</v>
      </c>
      <c r="I981">
        <v>41277</v>
      </c>
    </row>
    <row r="982" spans="1:9" x14ac:dyDescent="0.25">
      <c r="A982" t="s">
        <v>8082</v>
      </c>
      <c r="B982" t="s">
        <v>8083</v>
      </c>
      <c r="C982" t="s">
        <v>8084</v>
      </c>
      <c r="D982" t="s">
        <v>8084</v>
      </c>
      <c r="E982" t="s">
        <v>8069</v>
      </c>
      <c r="F982">
        <v>2050</v>
      </c>
      <c r="G982" t="s">
        <v>7518</v>
      </c>
      <c r="H982" t="s">
        <v>1215</v>
      </c>
      <c r="I982">
        <v>48032</v>
      </c>
    </row>
    <row r="983" spans="1:9" x14ac:dyDescent="0.25">
      <c r="A983" t="s">
        <v>8087</v>
      </c>
      <c r="B983" t="s">
        <v>8088</v>
      </c>
      <c r="C983" t="s">
        <v>8089</v>
      </c>
      <c r="D983" t="s">
        <v>8089</v>
      </c>
      <c r="E983" t="s">
        <v>8069</v>
      </c>
      <c r="F983">
        <v>2050</v>
      </c>
      <c r="G983" t="s">
        <v>7518</v>
      </c>
      <c r="H983" t="s">
        <v>1215</v>
      </c>
      <c r="I983">
        <v>38296</v>
      </c>
    </row>
    <row r="984" spans="1:9" x14ac:dyDescent="0.25">
      <c r="A984" t="s">
        <v>8092</v>
      </c>
      <c r="B984" t="s">
        <v>8093</v>
      </c>
      <c r="C984" t="s">
        <v>8094</v>
      </c>
      <c r="D984" t="s">
        <v>8094</v>
      </c>
      <c r="E984" t="s">
        <v>8069</v>
      </c>
      <c r="F984">
        <v>8628</v>
      </c>
      <c r="G984" t="s">
        <v>4795</v>
      </c>
      <c r="H984" t="s">
        <v>1215</v>
      </c>
      <c r="I984">
        <v>1464</v>
      </c>
    </row>
    <row r="985" spans="1:9" x14ac:dyDescent="0.25">
      <c r="A985" t="s">
        <v>8097</v>
      </c>
      <c r="B985" t="s">
        <v>8098</v>
      </c>
      <c r="C985" t="s">
        <v>8102</v>
      </c>
      <c r="D985" t="s">
        <v>15504</v>
      </c>
      <c r="F985">
        <v>8708</v>
      </c>
      <c r="G985" t="s">
        <v>8099</v>
      </c>
      <c r="H985" t="s">
        <v>4854</v>
      </c>
      <c r="I985">
        <v>40294</v>
      </c>
    </row>
    <row r="986" spans="1:9" x14ac:dyDescent="0.25">
      <c r="A986" t="s">
        <v>8104</v>
      </c>
      <c r="B986" t="s">
        <v>8105</v>
      </c>
      <c r="C986" t="s">
        <v>8106</v>
      </c>
      <c r="D986" t="s">
        <v>8106</v>
      </c>
      <c r="F986">
        <v>8526</v>
      </c>
      <c r="G986" t="s">
        <v>665</v>
      </c>
      <c r="H986" t="s">
        <v>106</v>
      </c>
      <c r="I986">
        <v>22442</v>
      </c>
    </row>
    <row r="987" spans="1:9" x14ac:dyDescent="0.25">
      <c r="A987" t="s">
        <v>8108</v>
      </c>
      <c r="B987" t="s">
        <v>8109</v>
      </c>
      <c r="C987" t="s">
        <v>8106</v>
      </c>
      <c r="D987" t="s">
        <v>8106</v>
      </c>
      <c r="F987">
        <v>8572</v>
      </c>
      <c r="G987" t="s">
        <v>280</v>
      </c>
      <c r="H987" t="s">
        <v>279</v>
      </c>
      <c r="I987">
        <v>36770</v>
      </c>
    </row>
    <row r="988" spans="1:9" x14ac:dyDescent="0.25">
      <c r="A988" t="s">
        <v>8112</v>
      </c>
      <c r="B988" t="s">
        <v>8113</v>
      </c>
      <c r="C988" t="s">
        <v>8115</v>
      </c>
      <c r="D988" t="s">
        <v>8115</v>
      </c>
      <c r="E988" t="s">
        <v>8114</v>
      </c>
      <c r="F988">
        <v>8574</v>
      </c>
      <c r="G988" t="s">
        <v>914</v>
      </c>
      <c r="H988" t="s">
        <v>106</v>
      </c>
      <c r="I988">
        <v>43579</v>
      </c>
    </row>
    <row r="989" spans="1:9" x14ac:dyDescent="0.25">
      <c r="A989" t="s">
        <v>8118</v>
      </c>
      <c r="B989" t="s">
        <v>8119</v>
      </c>
      <c r="C989" t="s">
        <v>8120</v>
      </c>
      <c r="D989" t="s">
        <v>8120</v>
      </c>
      <c r="F989">
        <v>8648</v>
      </c>
      <c r="G989" t="s">
        <v>6519</v>
      </c>
      <c r="H989" t="s">
        <v>4854</v>
      </c>
      <c r="I989">
        <v>44509</v>
      </c>
    </row>
    <row r="990" spans="1:9" x14ac:dyDescent="0.25">
      <c r="A990" t="s">
        <v>8127</v>
      </c>
      <c r="B990" t="s">
        <v>8128</v>
      </c>
      <c r="C990" t="s">
        <v>8129</v>
      </c>
      <c r="D990" t="s">
        <v>8129</v>
      </c>
      <c r="F990">
        <v>8558</v>
      </c>
      <c r="G990" t="s">
        <v>1360</v>
      </c>
      <c r="H990" t="s">
        <v>1215</v>
      </c>
      <c r="I990">
        <v>41075</v>
      </c>
    </row>
    <row r="991" spans="1:9" x14ac:dyDescent="0.25">
      <c r="A991" t="s">
        <v>15173</v>
      </c>
      <c r="B991" t="s">
        <v>8132</v>
      </c>
      <c r="C991" t="s">
        <v>8135</v>
      </c>
      <c r="D991" t="s">
        <v>8135</v>
      </c>
      <c r="E991" t="s">
        <v>8134</v>
      </c>
      <c r="F991">
        <v>8703</v>
      </c>
      <c r="G991" t="s">
        <v>15505</v>
      </c>
      <c r="H991" t="s">
        <v>79</v>
      </c>
      <c r="I991">
        <v>42477</v>
      </c>
    </row>
    <row r="992" spans="1:9" x14ac:dyDescent="0.25">
      <c r="A992" t="s">
        <v>8138</v>
      </c>
      <c r="B992" t="s">
        <v>8139</v>
      </c>
      <c r="C992" t="s">
        <v>8140</v>
      </c>
      <c r="D992" t="s">
        <v>8140</v>
      </c>
      <c r="F992">
        <v>8648</v>
      </c>
      <c r="G992" t="s">
        <v>6519</v>
      </c>
      <c r="H992" t="s">
        <v>4854</v>
      </c>
      <c r="I992">
        <v>6412</v>
      </c>
    </row>
    <row r="993" spans="1:9" x14ac:dyDescent="0.25">
      <c r="A993" t="s">
        <v>8143</v>
      </c>
      <c r="B993" t="s">
        <v>8144</v>
      </c>
      <c r="C993" t="s">
        <v>8146</v>
      </c>
      <c r="D993" t="s">
        <v>8146</v>
      </c>
      <c r="F993">
        <v>8560</v>
      </c>
      <c r="G993" t="s">
        <v>15506</v>
      </c>
      <c r="H993" t="s">
        <v>15220</v>
      </c>
    </row>
    <row r="994" spans="1:9" x14ac:dyDescent="0.25">
      <c r="A994" t="s">
        <v>8149</v>
      </c>
      <c r="B994" t="s">
        <v>8150</v>
      </c>
      <c r="C994" t="s">
        <v>8152</v>
      </c>
      <c r="D994" t="s">
        <v>8152</v>
      </c>
      <c r="E994" t="s">
        <v>15507</v>
      </c>
      <c r="F994">
        <v>8583</v>
      </c>
      <c r="G994" t="s">
        <v>277</v>
      </c>
      <c r="H994" t="s">
        <v>279</v>
      </c>
      <c r="I994">
        <v>2662</v>
      </c>
    </row>
    <row r="995" spans="1:9" x14ac:dyDescent="0.25">
      <c r="A995" t="s">
        <v>8155</v>
      </c>
      <c r="B995" t="s">
        <v>8156</v>
      </c>
      <c r="C995" t="s">
        <v>8158</v>
      </c>
      <c r="D995" t="s">
        <v>8158</v>
      </c>
      <c r="E995" t="s">
        <v>8157</v>
      </c>
      <c r="F995">
        <v>8573</v>
      </c>
      <c r="G995" t="s">
        <v>861</v>
      </c>
      <c r="H995" t="s">
        <v>106</v>
      </c>
      <c r="I995">
        <v>50978</v>
      </c>
    </row>
    <row r="996" spans="1:9" x14ac:dyDescent="0.25">
      <c r="A996" t="s">
        <v>8161</v>
      </c>
      <c r="B996" t="s">
        <v>8162</v>
      </c>
      <c r="C996" t="s">
        <v>8164</v>
      </c>
      <c r="D996" t="s">
        <v>8164</v>
      </c>
      <c r="E996" t="s">
        <v>15508</v>
      </c>
      <c r="F996">
        <v>8583</v>
      </c>
      <c r="G996" t="s">
        <v>277</v>
      </c>
      <c r="H996" t="s">
        <v>279</v>
      </c>
      <c r="I996">
        <v>46019</v>
      </c>
    </row>
    <row r="997" spans="1:9" x14ac:dyDescent="0.25">
      <c r="A997" t="s">
        <v>8167</v>
      </c>
      <c r="B997" t="s">
        <v>8168</v>
      </c>
      <c r="C997" t="s">
        <v>8169</v>
      </c>
      <c r="D997" t="s">
        <v>8169</v>
      </c>
      <c r="E997" t="s">
        <v>2370</v>
      </c>
      <c r="F997">
        <v>8572</v>
      </c>
      <c r="G997" t="s">
        <v>280</v>
      </c>
      <c r="H997" t="s">
        <v>279</v>
      </c>
      <c r="I997">
        <v>48218</v>
      </c>
    </row>
    <row r="998" spans="1:9" x14ac:dyDescent="0.25">
      <c r="A998" t="s">
        <v>8172</v>
      </c>
      <c r="B998" t="s">
        <v>8173</v>
      </c>
      <c r="C998" t="s">
        <v>8175</v>
      </c>
      <c r="D998" t="s">
        <v>8175</v>
      </c>
      <c r="E998" t="s">
        <v>15509</v>
      </c>
      <c r="F998">
        <v>8583</v>
      </c>
      <c r="G998" t="s">
        <v>277</v>
      </c>
      <c r="H998" t="s">
        <v>279</v>
      </c>
      <c r="I998">
        <v>49860</v>
      </c>
    </row>
    <row r="999" spans="1:9" x14ac:dyDescent="0.25">
      <c r="A999" t="s">
        <v>15174</v>
      </c>
      <c r="B999" t="s">
        <v>8179</v>
      </c>
      <c r="C999" t="s">
        <v>8180</v>
      </c>
      <c r="D999" t="s">
        <v>8180</v>
      </c>
      <c r="F999">
        <v>8703</v>
      </c>
      <c r="G999" t="s">
        <v>7835</v>
      </c>
      <c r="H999" t="s">
        <v>79</v>
      </c>
      <c r="I999">
        <v>44048</v>
      </c>
    </row>
    <row r="1000" spans="1:9" x14ac:dyDescent="0.25">
      <c r="A1000" t="s">
        <v>8183</v>
      </c>
      <c r="B1000" t="s">
        <v>8184</v>
      </c>
      <c r="C1000" t="s">
        <v>8185</v>
      </c>
      <c r="D1000" t="s">
        <v>8185</v>
      </c>
      <c r="E1000" t="s">
        <v>2370</v>
      </c>
      <c r="F1000">
        <v>8583</v>
      </c>
      <c r="G1000" t="s">
        <v>277</v>
      </c>
      <c r="H1000" t="s">
        <v>279</v>
      </c>
      <c r="I1000">
        <v>22443</v>
      </c>
    </row>
    <row r="1001" spans="1:9" x14ac:dyDescent="0.25">
      <c r="A1001" t="s">
        <v>8188</v>
      </c>
      <c r="B1001" t="s">
        <v>8189</v>
      </c>
      <c r="C1001" t="s">
        <v>8193</v>
      </c>
      <c r="D1001" t="s">
        <v>8193</v>
      </c>
      <c r="F1001">
        <v>8709</v>
      </c>
      <c r="G1001" t="s">
        <v>8190</v>
      </c>
      <c r="H1001" t="s">
        <v>2399</v>
      </c>
      <c r="I1001">
        <v>52995</v>
      </c>
    </row>
    <row r="1002" spans="1:9" x14ac:dyDescent="0.25">
      <c r="A1002" t="s">
        <v>8196</v>
      </c>
      <c r="B1002" t="s">
        <v>8197</v>
      </c>
      <c r="C1002" t="s">
        <v>8199</v>
      </c>
      <c r="D1002" t="s">
        <v>8199</v>
      </c>
      <c r="E1002" t="s">
        <v>8198</v>
      </c>
      <c r="F1002">
        <v>6005</v>
      </c>
      <c r="G1002" t="s">
        <v>15489</v>
      </c>
      <c r="H1002" t="s">
        <v>72</v>
      </c>
      <c r="I1002">
        <v>6680</v>
      </c>
    </row>
    <row r="1003" spans="1:9" x14ac:dyDescent="0.25">
      <c r="A1003" t="s">
        <v>8202</v>
      </c>
      <c r="B1003" t="s">
        <v>8203</v>
      </c>
      <c r="C1003" t="s">
        <v>8205</v>
      </c>
      <c r="D1003" t="s">
        <v>8205</v>
      </c>
      <c r="E1003" t="s">
        <v>8204</v>
      </c>
      <c r="F1003">
        <v>8617</v>
      </c>
      <c r="G1003" t="s">
        <v>4371</v>
      </c>
      <c r="H1003" t="s">
        <v>15249</v>
      </c>
      <c r="I1003">
        <v>42392</v>
      </c>
    </row>
    <row r="1004" spans="1:9" x14ac:dyDescent="0.25">
      <c r="A1004" t="s">
        <v>8212</v>
      </c>
      <c r="B1004" t="s">
        <v>8213</v>
      </c>
      <c r="C1004" t="s">
        <v>8214</v>
      </c>
      <c r="D1004" t="s">
        <v>8214</v>
      </c>
      <c r="F1004">
        <v>8587</v>
      </c>
      <c r="G1004" t="s">
        <v>6986</v>
      </c>
      <c r="H1004" t="s">
        <v>2399</v>
      </c>
      <c r="I1004">
        <v>28632</v>
      </c>
    </row>
    <row r="1005" spans="1:9" x14ac:dyDescent="0.25">
      <c r="A1005" t="s">
        <v>15175</v>
      </c>
      <c r="B1005" t="s">
        <v>8221</v>
      </c>
      <c r="C1005" t="s">
        <v>8223</v>
      </c>
      <c r="D1005" t="s">
        <v>8223</v>
      </c>
      <c r="E1005">
        <v>4125173554</v>
      </c>
      <c r="F1005">
        <v>8558</v>
      </c>
      <c r="G1005" t="s">
        <v>1360</v>
      </c>
      <c r="H1005" t="s">
        <v>1215</v>
      </c>
      <c r="I1005">
        <v>10295</v>
      </c>
    </row>
    <row r="1006" spans="1:9" x14ac:dyDescent="0.25">
      <c r="A1006" t="s">
        <v>8226</v>
      </c>
      <c r="B1006" t="s">
        <v>8227</v>
      </c>
      <c r="C1006" t="s">
        <v>8229</v>
      </c>
      <c r="D1006" t="s">
        <v>15510</v>
      </c>
      <c r="E1006" t="s">
        <v>8228</v>
      </c>
      <c r="F1006">
        <v>8704</v>
      </c>
      <c r="G1006" t="s">
        <v>8005</v>
      </c>
      <c r="H1006" t="s">
        <v>2399</v>
      </c>
      <c r="I1006">
        <v>899</v>
      </c>
    </row>
    <row r="1007" spans="1:9" x14ac:dyDescent="0.25">
      <c r="A1007" t="s">
        <v>8232</v>
      </c>
      <c r="B1007" t="s">
        <v>8233</v>
      </c>
      <c r="C1007" t="s">
        <v>8236</v>
      </c>
      <c r="D1007" t="s">
        <v>15511</v>
      </c>
      <c r="E1007" t="s">
        <v>8228</v>
      </c>
      <c r="F1007">
        <v>8713</v>
      </c>
      <c r="G1007" t="s">
        <v>8234</v>
      </c>
      <c r="H1007" t="s">
        <v>2399</v>
      </c>
      <c r="I1007">
        <v>51041</v>
      </c>
    </row>
    <row r="1008" spans="1:9" x14ac:dyDescent="0.25">
      <c r="A1008" t="s">
        <v>8239</v>
      </c>
      <c r="B1008" t="s">
        <v>8240</v>
      </c>
      <c r="C1008" t="s">
        <v>8241</v>
      </c>
      <c r="D1008" t="s">
        <v>8241</v>
      </c>
      <c r="F1008">
        <v>8596</v>
      </c>
      <c r="G1008" t="s">
        <v>1430</v>
      </c>
      <c r="H1008" t="s">
        <v>85</v>
      </c>
      <c r="I1008">
        <v>12543</v>
      </c>
    </row>
    <row r="1009" spans="1:9" x14ac:dyDescent="0.25">
      <c r="A1009" t="s">
        <v>8244</v>
      </c>
      <c r="B1009" t="s">
        <v>8245</v>
      </c>
      <c r="C1009" t="s">
        <v>8247</v>
      </c>
      <c r="D1009" t="s">
        <v>8247</v>
      </c>
      <c r="E1009" t="s">
        <v>8246</v>
      </c>
      <c r="F1009">
        <v>3357</v>
      </c>
      <c r="G1009" t="s">
        <v>7342</v>
      </c>
      <c r="H1009" t="s">
        <v>2399</v>
      </c>
      <c r="I1009">
        <v>44334</v>
      </c>
    </row>
    <row r="1010" spans="1:9" x14ac:dyDescent="0.25">
      <c r="A1010" t="s">
        <v>8255</v>
      </c>
      <c r="B1010" t="s">
        <v>8257</v>
      </c>
      <c r="C1010" t="s">
        <v>8259</v>
      </c>
      <c r="D1010" t="s">
        <v>8259</v>
      </c>
      <c r="E1010" t="s">
        <v>8258</v>
      </c>
      <c r="F1010">
        <v>8695</v>
      </c>
      <c r="G1010" t="s">
        <v>2572</v>
      </c>
      <c r="H1010" t="s">
        <v>2399</v>
      </c>
      <c r="I1010">
        <v>52040</v>
      </c>
    </row>
    <row r="1011" spans="1:9" x14ac:dyDescent="0.25">
      <c r="A1011" t="s">
        <v>8261</v>
      </c>
      <c r="B1011" t="s">
        <v>8262</v>
      </c>
      <c r="C1011" t="s">
        <v>8264</v>
      </c>
      <c r="D1011" t="s">
        <v>8264</v>
      </c>
      <c r="E1011">
        <v>4244267166</v>
      </c>
      <c r="F1011">
        <v>8558</v>
      </c>
      <c r="G1011" t="s">
        <v>1360</v>
      </c>
      <c r="H1011" t="s">
        <v>1215</v>
      </c>
      <c r="I1011">
        <v>41125</v>
      </c>
    </row>
    <row r="1012" spans="1:9" x14ac:dyDescent="0.25">
      <c r="A1012" t="s">
        <v>8267</v>
      </c>
      <c r="B1012" t="s">
        <v>8268</v>
      </c>
      <c r="C1012" t="s">
        <v>8270</v>
      </c>
      <c r="D1012" t="s">
        <v>8270</v>
      </c>
      <c r="E1012" t="s">
        <v>8269</v>
      </c>
      <c r="F1012">
        <v>8515</v>
      </c>
      <c r="G1012" t="s">
        <v>255</v>
      </c>
      <c r="H1012" t="s">
        <v>15249</v>
      </c>
      <c r="I1012">
        <v>39640</v>
      </c>
    </row>
    <row r="1013" spans="1:9" x14ac:dyDescent="0.25">
      <c r="A1013" t="s">
        <v>8272</v>
      </c>
      <c r="B1013" t="s">
        <v>8273</v>
      </c>
      <c r="C1013" t="s">
        <v>8275</v>
      </c>
      <c r="D1013" t="s">
        <v>8275</v>
      </c>
      <c r="E1013" t="s">
        <v>8274</v>
      </c>
      <c r="F1013">
        <v>8576</v>
      </c>
      <c r="G1013" t="s">
        <v>2114</v>
      </c>
      <c r="H1013" t="s">
        <v>106</v>
      </c>
      <c r="I1013">
        <v>3867</v>
      </c>
    </row>
    <row r="1014" spans="1:9" x14ac:dyDescent="0.25">
      <c r="A1014" t="s">
        <v>8277</v>
      </c>
      <c r="B1014" t="s">
        <v>8278</v>
      </c>
      <c r="C1014" t="s">
        <v>8280</v>
      </c>
      <c r="D1014" t="s">
        <v>8280</v>
      </c>
      <c r="E1014" t="s">
        <v>8279</v>
      </c>
      <c r="F1014">
        <v>8526</v>
      </c>
      <c r="G1014" t="s">
        <v>665</v>
      </c>
      <c r="H1014" t="s">
        <v>106</v>
      </c>
      <c r="I1014">
        <v>21194</v>
      </c>
    </row>
    <row r="1015" spans="1:9" x14ac:dyDescent="0.25">
      <c r="A1015" t="s">
        <v>8283</v>
      </c>
      <c r="B1015" t="s">
        <v>8284</v>
      </c>
      <c r="C1015" t="s">
        <v>8286</v>
      </c>
      <c r="D1015" t="s">
        <v>8286</v>
      </c>
      <c r="E1015" t="s">
        <v>8285</v>
      </c>
      <c r="F1015">
        <v>8526</v>
      </c>
      <c r="G1015" t="s">
        <v>665</v>
      </c>
      <c r="H1015" t="s">
        <v>106</v>
      </c>
      <c r="I1015">
        <v>45528</v>
      </c>
    </row>
    <row r="1016" spans="1:9" x14ac:dyDescent="0.25">
      <c r="A1016" t="s">
        <v>8288</v>
      </c>
      <c r="B1016" t="s">
        <v>8289</v>
      </c>
      <c r="C1016" t="s">
        <v>8291</v>
      </c>
      <c r="E1016" t="s">
        <v>8290</v>
      </c>
      <c r="F1016">
        <v>8709</v>
      </c>
      <c r="G1016" t="s">
        <v>8192</v>
      </c>
      <c r="H1016" t="s">
        <v>2399</v>
      </c>
      <c r="I1016">
        <v>2169</v>
      </c>
    </row>
    <row r="1017" spans="1:9" x14ac:dyDescent="0.25">
      <c r="A1017" t="s">
        <v>8294</v>
      </c>
      <c r="B1017" t="s">
        <v>8295</v>
      </c>
      <c r="C1017" t="s">
        <v>8297</v>
      </c>
      <c r="D1017" t="s">
        <v>8297</v>
      </c>
      <c r="E1017" t="s">
        <v>8296</v>
      </c>
      <c r="F1017">
        <v>8692</v>
      </c>
      <c r="G1017" t="s">
        <v>6996</v>
      </c>
      <c r="H1017" t="s">
        <v>2399</v>
      </c>
      <c r="I1017">
        <v>46893</v>
      </c>
    </row>
    <row r="1018" spans="1:9" x14ac:dyDescent="0.25">
      <c r="A1018" t="s">
        <v>15176</v>
      </c>
      <c r="B1018" t="s">
        <v>8301</v>
      </c>
      <c r="C1018" t="s">
        <v>8303</v>
      </c>
      <c r="D1018" t="s">
        <v>8303</v>
      </c>
      <c r="F1018">
        <v>8648</v>
      </c>
      <c r="G1018" t="s">
        <v>8302</v>
      </c>
      <c r="H1018" t="s">
        <v>4854</v>
      </c>
      <c r="I1018">
        <v>42797</v>
      </c>
    </row>
    <row r="1019" spans="1:9" x14ac:dyDescent="0.25">
      <c r="A1019" t="s">
        <v>8312</v>
      </c>
      <c r="B1019" t="s">
        <v>8313</v>
      </c>
      <c r="C1019" t="s">
        <v>8314</v>
      </c>
      <c r="D1019" t="s">
        <v>8314</v>
      </c>
      <c r="F1019">
        <v>8706</v>
      </c>
      <c r="G1019" t="s">
        <v>8042</v>
      </c>
      <c r="H1019" t="s">
        <v>15261</v>
      </c>
      <c r="I1019">
        <v>28099</v>
      </c>
    </row>
    <row r="1020" spans="1:9" x14ac:dyDescent="0.25">
      <c r="A1020" t="s">
        <v>8317</v>
      </c>
      <c r="B1020" t="s">
        <v>8318</v>
      </c>
      <c r="C1020" t="s">
        <v>8322</v>
      </c>
      <c r="D1020" t="s">
        <v>8322</v>
      </c>
      <c r="E1020" t="s">
        <v>8319</v>
      </c>
      <c r="F1020">
        <v>8740</v>
      </c>
      <c r="G1020" t="s">
        <v>2399</v>
      </c>
      <c r="H1020" t="s">
        <v>2399</v>
      </c>
      <c r="I1020">
        <v>30859</v>
      </c>
    </row>
    <row r="1021" spans="1:9" x14ac:dyDescent="0.25">
      <c r="A1021" t="s">
        <v>8324</v>
      </c>
      <c r="B1021" t="s">
        <v>8325</v>
      </c>
      <c r="C1021" t="s">
        <v>8328</v>
      </c>
      <c r="D1021" t="s">
        <v>8328</v>
      </c>
      <c r="F1021">
        <v>8710</v>
      </c>
      <c r="G1021" t="s">
        <v>8326</v>
      </c>
      <c r="H1021" t="s">
        <v>4854</v>
      </c>
      <c r="I1021">
        <v>53288</v>
      </c>
    </row>
    <row r="1022" spans="1:9" x14ac:dyDescent="0.25">
      <c r="A1022" t="s">
        <v>8331</v>
      </c>
      <c r="B1022" t="s">
        <v>8332</v>
      </c>
      <c r="C1022" t="s">
        <v>8334</v>
      </c>
      <c r="D1022" t="s">
        <v>8334</v>
      </c>
      <c r="E1022" t="s">
        <v>8333</v>
      </c>
      <c r="F1022">
        <v>8558</v>
      </c>
      <c r="G1022" t="s">
        <v>1360</v>
      </c>
      <c r="H1022" t="s">
        <v>1215</v>
      </c>
      <c r="I1022">
        <v>45161</v>
      </c>
    </row>
    <row r="1023" spans="1:9" x14ac:dyDescent="0.25">
      <c r="A1023" t="s">
        <v>8340</v>
      </c>
      <c r="B1023" t="s">
        <v>2546</v>
      </c>
      <c r="C1023" t="s">
        <v>2548</v>
      </c>
      <c r="D1023" t="s">
        <v>15512</v>
      </c>
      <c r="E1023" t="s">
        <v>15307</v>
      </c>
      <c r="F1023">
        <v>8711</v>
      </c>
      <c r="G1023" t="s">
        <v>8341</v>
      </c>
      <c r="H1023" t="s">
        <v>106</v>
      </c>
      <c r="I1023">
        <v>52965</v>
      </c>
    </row>
    <row r="1024" spans="1:9" x14ac:dyDescent="0.25">
      <c r="A1024" t="s">
        <v>8344</v>
      </c>
      <c r="B1024" t="s">
        <v>8345</v>
      </c>
      <c r="C1024" t="s">
        <v>8347</v>
      </c>
      <c r="D1024" t="s">
        <v>8347</v>
      </c>
      <c r="E1024" t="s">
        <v>8346</v>
      </c>
      <c r="F1024">
        <v>8704</v>
      </c>
      <c r="G1024" t="s">
        <v>8005</v>
      </c>
      <c r="H1024" t="s">
        <v>2399</v>
      </c>
      <c r="I1024">
        <v>7025</v>
      </c>
    </row>
    <row r="1025" spans="1:9" x14ac:dyDescent="0.25">
      <c r="A1025" t="s">
        <v>8350</v>
      </c>
      <c r="B1025" t="s">
        <v>8351</v>
      </c>
      <c r="C1025" t="s">
        <v>8355</v>
      </c>
      <c r="D1025" t="s">
        <v>8355</v>
      </c>
      <c r="E1025" t="s">
        <v>8353</v>
      </c>
      <c r="F1025">
        <v>8712</v>
      </c>
      <c r="G1025" t="s">
        <v>8352</v>
      </c>
      <c r="H1025" t="s">
        <v>2399</v>
      </c>
      <c r="I1025">
        <v>39749</v>
      </c>
    </row>
    <row r="1026" spans="1:9" x14ac:dyDescent="0.25">
      <c r="A1026" t="s">
        <v>8358</v>
      </c>
      <c r="B1026" t="s">
        <v>8359</v>
      </c>
      <c r="C1026" t="s">
        <v>8361</v>
      </c>
      <c r="D1026" t="s">
        <v>15513</v>
      </c>
      <c r="E1026" t="s">
        <v>8360</v>
      </c>
      <c r="F1026">
        <v>8673</v>
      </c>
      <c r="G1026" t="s">
        <v>6030</v>
      </c>
      <c r="H1026" t="s">
        <v>85</v>
      </c>
      <c r="I1026">
        <v>52921</v>
      </c>
    </row>
    <row r="1027" spans="1:9" x14ac:dyDescent="0.25">
      <c r="A1027" t="s">
        <v>8363</v>
      </c>
      <c r="B1027" t="s">
        <v>8364</v>
      </c>
      <c r="C1027" t="s">
        <v>8366</v>
      </c>
      <c r="D1027" t="s">
        <v>8366</v>
      </c>
      <c r="E1027" t="s">
        <v>15514</v>
      </c>
      <c r="F1027">
        <v>8527</v>
      </c>
      <c r="G1027" t="s">
        <v>102</v>
      </c>
      <c r="H1027" t="s">
        <v>106</v>
      </c>
      <c r="I1027">
        <v>43384</v>
      </c>
    </row>
    <row r="1028" spans="1:9" x14ac:dyDescent="0.25">
      <c r="A1028" t="s">
        <v>8369</v>
      </c>
      <c r="B1028" t="s">
        <v>8370</v>
      </c>
      <c r="C1028" t="s">
        <v>8372</v>
      </c>
      <c r="D1028" t="s">
        <v>8372</v>
      </c>
      <c r="E1028" t="s">
        <v>15515</v>
      </c>
      <c r="F1028">
        <v>8527</v>
      </c>
      <c r="G1028" t="s">
        <v>102</v>
      </c>
      <c r="H1028" t="s">
        <v>106</v>
      </c>
      <c r="I1028">
        <v>50423</v>
      </c>
    </row>
    <row r="1029" spans="1:9" x14ac:dyDescent="0.25">
      <c r="A1029" t="s">
        <v>8375</v>
      </c>
      <c r="B1029" t="s">
        <v>8376</v>
      </c>
      <c r="C1029" t="s">
        <v>8378</v>
      </c>
      <c r="D1029" t="s">
        <v>8378</v>
      </c>
      <c r="E1029" t="s">
        <v>8377</v>
      </c>
      <c r="F1029">
        <v>8626</v>
      </c>
      <c r="G1029" t="s">
        <v>5739</v>
      </c>
      <c r="H1029" t="s">
        <v>15453</v>
      </c>
      <c r="I1029">
        <v>51452</v>
      </c>
    </row>
    <row r="1030" spans="1:9" x14ac:dyDescent="0.25">
      <c r="A1030" t="s">
        <v>8381</v>
      </c>
      <c r="B1030" t="s">
        <v>8382</v>
      </c>
      <c r="C1030" t="s">
        <v>8383</v>
      </c>
      <c r="D1030" t="s">
        <v>8383</v>
      </c>
      <c r="E1030" t="s">
        <v>8377</v>
      </c>
      <c r="F1030">
        <v>8626</v>
      </c>
      <c r="G1030" t="s">
        <v>5739</v>
      </c>
      <c r="H1030" t="s">
        <v>15453</v>
      </c>
      <c r="I1030">
        <v>34471</v>
      </c>
    </row>
    <row r="1031" spans="1:9" x14ac:dyDescent="0.25">
      <c r="A1031" t="s">
        <v>8386</v>
      </c>
      <c r="B1031" t="s">
        <v>8387</v>
      </c>
      <c r="C1031" t="s">
        <v>8390</v>
      </c>
      <c r="D1031" t="s">
        <v>15516</v>
      </c>
      <c r="E1031" t="s">
        <v>8377</v>
      </c>
      <c r="F1031">
        <v>8714</v>
      </c>
      <c r="G1031" t="s">
        <v>8388</v>
      </c>
      <c r="H1031" t="s">
        <v>15453</v>
      </c>
      <c r="I1031">
        <v>45818</v>
      </c>
    </row>
    <row r="1032" spans="1:9" x14ac:dyDescent="0.25">
      <c r="A1032" t="s">
        <v>8393</v>
      </c>
      <c r="B1032" t="s">
        <v>8394</v>
      </c>
      <c r="C1032" t="s">
        <v>8396</v>
      </c>
      <c r="D1032" t="s">
        <v>8396</v>
      </c>
      <c r="E1032" t="s">
        <v>8395</v>
      </c>
      <c r="F1032">
        <v>8524</v>
      </c>
      <c r="G1032" t="s">
        <v>404</v>
      </c>
      <c r="H1032" t="s">
        <v>15226</v>
      </c>
      <c r="I1032">
        <v>37433</v>
      </c>
    </row>
    <row r="1033" spans="1:9" x14ac:dyDescent="0.25">
      <c r="A1033" t="s">
        <v>15177</v>
      </c>
      <c r="B1033" t="s">
        <v>8400</v>
      </c>
      <c r="C1033" t="s">
        <v>15517</v>
      </c>
      <c r="E1033">
        <v>4126700708</v>
      </c>
      <c r="F1033">
        <v>8715</v>
      </c>
      <c r="G1033" t="s">
        <v>8401</v>
      </c>
      <c r="H1033" t="s">
        <v>2399</v>
      </c>
      <c r="I1033">
        <v>7032</v>
      </c>
    </row>
    <row r="1034" spans="1:9" x14ac:dyDescent="0.25">
      <c r="A1034" t="s">
        <v>8409</v>
      </c>
      <c r="B1034" t="s">
        <v>8410</v>
      </c>
      <c r="C1034" t="s">
        <v>8412</v>
      </c>
      <c r="D1034" t="s">
        <v>8412</v>
      </c>
      <c r="E1034" t="s">
        <v>8411</v>
      </c>
      <c r="F1034">
        <v>5201</v>
      </c>
      <c r="G1034" t="s">
        <v>79</v>
      </c>
      <c r="H1034" t="s">
        <v>79</v>
      </c>
      <c r="I1034">
        <v>6320</v>
      </c>
    </row>
    <row r="1035" spans="1:9" x14ac:dyDescent="0.25">
      <c r="A1035" t="s">
        <v>8414</v>
      </c>
      <c r="B1035" t="s">
        <v>8415</v>
      </c>
      <c r="C1035" t="s">
        <v>8418</v>
      </c>
      <c r="D1035" t="s">
        <v>15518</v>
      </c>
      <c r="E1035" t="s">
        <v>8417</v>
      </c>
      <c r="F1035">
        <v>8703</v>
      </c>
      <c r="G1035" t="s">
        <v>15519</v>
      </c>
      <c r="H1035" t="s">
        <v>79</v>
      </c>
      <c r="I1035">
        <v>27818</v>
      </c>
    </row>
    <row r="1036" spans="1:9" x14ac:dyDescent="0.25">
      <c r="A1036" t="s">
        <v>8420</v>
      </c>
      <c r="B1036" t="s">
        <v>8421</v>
      </c>
      <c r="C1036" t="s">
        <v>8423</v>
      </c>
      <c r="D1036" t="s">
        <v>15520</v>
      </c>
      <c r="E1036" t="s">
        <v>8422</v>
      </c>
      <c r="F1036">
        <v>8534</v>
      </c>
      <c r="G1036" t="s">
        <v>446</v>
      </c>
      <c r="H1036" t="s">
        <v>72</v>
      </c>
      <c r="I1036">
        <v>41010</v>
      </c>
    </row>
    <row r="1037" spans="1:9" x14ac:dyDescent="0.25">
      <c r="A1037" t="s">
        <v>8427</v>
      </c>
      <c r="B1037" t="s">
        <v>8428</v>
      </c>
      <c r="C1037" t="s">
        <v>8430</v>
      </c>
      <c r="D1037" t="s">
        <v>8430</v>
      </c>
      <c r="E1037" t="s">
        <v>8429</v>
      </c>
      <c r="F1037">
        <v>8558</v>
      </c>
      <c r="G1037" t="s">
        <v>1360</v>
      </c>
      <c r="H1037" t="s">
        <v>1215</v>
      </c>
      <c r="I1037">
        <v>37473</v>
      </c>
    </row>
    <row r="1038" spans="1:9" x14ac:dyDescent="0.25">
      <c r="A1038" t="s">
        <v>8432</v>
      </c>
      <c r="B1038" t="s">
        <v>8433</v>
      </c>
      <c r="C1038" t="s">
        <v>8435</v>
      </c>
      <c r="D1038" t="s">
        <v>8435</v>
      </c>
      <c r="E1038" t="s">
        <v>15521</v>
      </c>
      <c r="F1038">
        <v>8626</v>
      </c>
      <c r="G1038" t="s">
        <v>6113</v>
      </c>
      <c r="H1038" t="s">
        <v>15453</v>
      </c>
      <c r="I1038">
        <v>3849</v>
      </c>
    </row>
    <row r="1039" spans="1:9" x14ac:dyDescent="0.25">
      <c r="A1039" t="s">
        <v>8440</v>
      </c>
      <c r="B1039" t="s">
        <v>8441</v>
      </c>
      <c r="C1039" t="s">
        <v>8443</v>
      </c>
      <c r="D1039" t="s">
        <v>8443</v>
      </c>
      <c r="E1039" t="s">
        <v>8442</v>
      </c>
      <c r="F1039">
        <v>8708</v>
      </c>
      <c r="G1039" t="s">
        <v>8101</v>
      </c>
      <c r="H1039" t="s">
        <v>4854</v>
      </c>
      <c r="I1039">
        <v>44148</v>
      </c>
    </row>
    <row r="1040" spans="1:9" x14ac:dyDescent="0.25">
      <c r="A1040" t="s">
        <v>8448</v>
      </c>
      <c r="B1040" t="s">
        <v>8449</v>
      </c>
      <c r="C1040" t="s">
        <v>8450</v>
      </c>
      <c r="D1040" t="s">
        <v>8450</v>
      </c>
      <c r="E1040" t="s">
        <v>8445</v>
      </c>
      <c r="F1040">
        <v>8695</v>
      </c>
      <c r="G1040" t="s">
        <v>2572</v>
      </c>
      <c r="H1040" t="s">
        <v>2399</v>
      </c>
      <c r="I1040">
        <v>47086</v>
      </c>
    </row>
    <row r="1041" spans="1:9" x14ac:dyDescent="0.25">
      <c r="A1041" t="s">
        <v>15178</v>
      </c>
      <c r="B1041" t="s">
        <v>8463</v>
      </c>
      <c r="C1041" t="s">
        <v>8465</v>
      </c>
      <c r="D1041" t="s">
        <v>15522</v>
      </c>
      <c r="E1041" t="s">
        <v>8464</v>
      </c>
      <c r="F1041">
        <v>8648</v>
      </c>
      <c r="G1041" t="s">
        <v>4854</v>
      </c>
      <c r="H1041" t="s">
        <v>4854</v>
      </c>
      <c r="I1041">
        <v>28200</v>
      </c>
    </row>
    <row r="1042" spans="1:9" x14ac:dyDescent="0.25">
      <c r="A1042" t="s">
        <v>8468</v>
      </c>
      <c r="B1042" t="s">
        <v>8469</v>
      </c>
      <c r="C1042" t="s">
        <v>8471</v>
      </c>
      <c r="D1042" t="s">
        <v>15523</v>
      </c>
      <c r="E1042" t="s">
        <v>8470</v>
      </c>
      <c r="F1042">
        <v>8648</v>
      </c>
      <c r="G1042" t="s">
        <v>8302</v>
      </c>
      <c r="H1042" t="s">
        <v>4854</v>
      </c>
      <c r="I1042">
        <v>32281</v>
      </c>
    </row>
    <row r="1043" spans="1:9" x14ac:dyDescent="0.25">
      <c r="A1043" t="s">
        <v>8483</v>
      </c>
      <c r="B1043" t="s">
        <v>8484</v>
      </c>
      <c r="F1043">
        <v>6201</v>
      </c>
      <c r="G1043" t="s">
        <v>41</v>
      </c>
      <c r="H1043" t="s">
        <v>15220</v>
      </c>
    </row>
    <row r="1044" spans="1:9" x14ac:dyDescent="0.25">
      <c r="A1044" t="s">
        <v>8486</v>
      </c>
      <c r="B1044" t="s">
        <v>8487</v>
      </c>
      <c r="C1044" t="s">
        <v>8489</v>
      </c>
      <c r="D1044" t="s">
        <v>8489</v>
      </c>
      <c r="E1044">
        <v>4245653243</v>
      </c>
      <c r="F1044">
        <v>8704</v>
      </c>
      <c r="G1044" t="s">
        <v>8005</v>
      </c>
      <c r="H1044" t="s">
        <v>2399</v>
      </c>
      <c r="I1044">
        <v>28764</v>
      </c>
    </row>
    <row r="1045" spans="1:9" x14ac:dyDescent="0.25">
      <c r="A1045" t="s">
        <v>8492</v>
      </c>
      <c r="B1045" t="s">
        <v>8493</v>
      </c>
      <c r="C1045" t="s">
        <v>8495</v>
      </c>
      <c r="E1045" t="s">
        <v>8494</v>
      </c>
      <c r="F1045">
        <v>8695</v>
      </c>
      <c r="G1045" t="s">
        <v>2572</v>
      </c>
      <c r="H1045" t="s">
        <v>2399</v>
      </c>
      <c r="I1045">
        <v>53236</v>
      </c>
    </row>
    <row r="1046" spans="1:9" x14ac:dyDescent="0.25">
      <c r="A1046" t="s">
        <v>8498</v>
      </c>
      <c r="B1046" t="s">
        <v>8499</v>
      </c>
      <c r="C1046" t="s">
        <v>8501</v>
      </c>
      <c r="D1046" t="s">
        <v>8501</v>
      </c>
      <c r="E1046" t="s">
        <v>8500</v>
      </c>
      <c r="F1046">
        <v>8704</v>
      </c>
      <c r="G1046" t="s">
        <v>8005</v>
      </c>
      <c r="H1046" t="s">
        <v>2399</v>
      </c>
      <c r="I1046">
        <v>462</v>
      </c>
    </row>
    <row r="1047" spans="1:9" x14ac:dyDescent="0.25">
      <c r="A1047" t="s">
        <v>8503</v>
      </c>
      <c r="B1047" t="s">
        <v>8505</v>
      </c>
      <c r="C1047" t="s">
        <v>8507</v>
      </c>
      <c r="D1047" t="s">
        <v>15524</v>
      </c>
      <c r="E1047" t="s">
        <v>8506</v>
      </c>
      <c r="F1047">
        <v>5201</v>
      </c>
      <c r="G1047" t="s">
        <v>79</v>
      </c>
      <c r="H1047" t="s">
        <v>79</v>
      </c>
      <c r="I1047">
        <v>41995</v>
      </c>
    </row>
    <row r="1048" spans="1:9" x14ac:dyDescent="0.25">
      <c r="A1048" t="s">
        <v>8510</v>
      </c>
      <c r="B1048" t="s">
        <v>8511</v>
      </c>
      <c r="C1048" t="s">
        <v>8512</v>
      </c>
      <c r="D1048" t="s">
        <v>8512</v>
      </c>
      <c r="F1048">
        <v>8516</v>
      </c>
      <c r="G1048" t="s">
        <v>157</v>
      </c>
      <c r="H1048" t="s">
        <v>15226</v>
      </c>
      <c r="I1048">
        <v>18678</v>
      </c>
    </row>
    <row r="1049" spans="1:9" x14ac:dyDescent="0.25">
      <c r="A1049" t="s">
        <v>8516</v>
      </c>
      <c r="B1049" t="s">
        <v>8517</v>
      </c>
      <c r="C1049" t="s">
        <v>8519</v>
      </c>
      <c r="D1049" t="s">
        <v>8519</v>
      </c>
      <c r="E1049">
        <v>4144116007</v>
      </c>
      <c r="F1049">
        <v>8558</v>
      </c>
      <c r="G1049" t="s">
        <v>1360</v>
      </c>
      <c r="H1049" t="s">
        <v>1215</v>
      </c>
      <c r="I1049">
        <v>53108</v>
      </c>
    </row>
    <row r="1050" spans="1:9" x14ac:dyDescent="0.25">
      <c r="A1050" t="s">
        <v>8522</v>
      </c>
      <c r="B1050" t="s">
        <v>8523</v>
      </c>
      <c r="C1050" t="s">
        <v>8526</v>
      </c>
      <c r="D1050" t="s">
        <v>8526</v>
      </c>
      <c r="E1050" t="s">
        <v>8525</v>
      </c>
      <c r="F1050">
        <v>8695</v>
      </c>
      <c r="G1050" t="s">
        <v>8524</v>
      </c>
      <c r="H1050" t="s">
        <v>2399</v>
      </c>
      <c r="I1050">
        <v>37340</v>
      </c>
    </row>
    <row r="1051" spans="1:9" x14ac:dyDescent="0.25">
      <c r="A1051" t="s">
        <v>8529</v>
      </c>
      <c r="B1051" t="s">
        <v>8530</v>
      </c>
      <c r="C1051" t="s">
        <v>8532</v>
      </c>
      <c r="D1051" t="s">
        <v>8532</v>
      </c>
      <c r="E1051" t="s">
        <v>8531</v>
      </c>
      <c r="F1051">
        <v>8633</v>
      </c>
      <c r="G1051" t="s">
        <v>7860</v>
      </c>
      <c r="H1051" t="s">
        <v>4854</v>
      </c>
      <c r="I1051">
        <v>45760</v>
      </c>
    </row>
    <row r="1052" spans="1:9" x14ac:dyDescent="0.25">
      <c r="A1052" t="s">
        <v>8535</v>
      </c>
      <c r="B1052" t="s">
        <v>8536</v>
      </c>
      <c r="C1052" t="s">
        <v>8538</v>
      </c>
      <c r="D1052" t="s">
        <v>8538</v>
      </c>
      <c r="E1052" t="s">
        <v>8537</v>
      </c>
      <c r="F1052">
        <v>8648</v>
      </c>
      <c r="G1052" t="s">
        <v>6519</v>
      </c>
      <c r="H1052" t="s">
        <v>4854</v>
      </c>
      <c r="I1052">
        <v>40036</v>
      </c>
    </row>
    <row r="1053" spans="1:9" x14ac:dyDescent="0.25">
      <c r="A1053" t="s">
        <v>8541</v>
      </c>
      <c r="B1053" t="s">
        <v>8542</v>
      </c>
      <c r="C1053" t="s">
        <v>8543</v>
      </c>
      <c r="D1053" t="s">
        <v>8543</v>
      </c>
      <c r="F1053">
        <v>8587</v>
      </c>
      <c r="G1053" t="s">
        <v>2396</v>
      </c>
      <c r="H1053" t="s">
        <v>2399</v>
      </c>
      <c r="I1053">
        <v>38657</v>
      </c>
    </row>
    <row r="1054" spans="1:9" x14ac:dyDescent="0.25">
      <c r="A1054" t="s">
        <v>8548</v>
      </c>
      <c r="B1054" t="s">
        <v>8549</v>
      </c>
      <c r="C1054" t="s">
        <v>8551</v>
      </c>
      <c r="D1054" t="s">
        <v>8551</v>
      </c>
      <c r="E1054" t="s">
        <v>15525</v>
      </c>
      <c r="F1054">
        <v>8514</v>
      </c>
      <c r="G1054" t="s">
        <v>2427</v>
      </c>
      <c r="H1054" t="s">
        <v>279</v>
      </c>
      <c r="I1054">
        <v>53373</v>
      </c>
    </row>
    <row r="1055" spans="1:9" x14ac:dyDescent="0.25">
      <c r="A1055" t="s">
        <v>15179</v>
      </c>
      <c r="B1055" t="s">
        <v>8555</v>
      </c>
      <c r="C1055" t="s">
        <v>8557</v>
      </c>
      <c r="D1055" t="s">
        <v>8557</v>
      </c>
      <c r="E1055" t="s">
        <v>8556</v>
      </c>
      <c r="F1055">
        <v>5201</v>
      </c>
      <c r="G1055" t="s">
        <v>79</v>
      </c>
      <c r="H1055" t="s">
        <v>79</v>
      </c>
      <c r="I1055">
        <v>32310</v>
      </c>
    </row>
    <row r="1056" spans="1:9" x14ac:dyDescent="0.25">
      <c r="A1056" t="s">
        <v>8559</v>
      </c>
      <c r="B1056" t="s">
        <v>8560</v>
      </c>
      <c r="C1056" t="s">
        <v>8562</v>
      </c>
      <c r="D1056" t="s">
        <v>8562</v>
      </c>
      <c r="E1056" t="s">
        <v>8561</v>
      </c>
      <c r="F1056">
        <v>8633</v>
      </c>
      <c r="G1056" t="s">
        <v>4851</v>
      </c>
      <c r="H1056" t="s">
        <v>4854</v>
      </c>
      <c r="I1056">
        <v>38317</v>
      </c>
    </row>
    <row r="1057" spans="1:9" x14ac:dyDescent="0.25">
      <c r="A1057" t="s">
        <v>8566</v>
      </c>
      <c r="B1057" t="s">
        <v>8567</v>
      </c>
      <c r="C1057" t="s">
        <v>8569</v>
      </c>
      <c r="D1057" t="s">
        <v>8569</v>
      </c>
      <c r="E1057" t="s">
        <v>8568</v>
      </c>
      <c r="F1057">
        <v>5201</v>
      </c>
      <c r="G1057" t="s">
        <v>79</v>
      </c>
      <c r="H1057" t="s">
        <v>79</v>
      </c>
      <c r="I1057">
        <v>1424</v>
      </c>
    </row>
    <row r="1058" spans="1:9" x14ac:dyDescent="0.25">
      <c r="A1058" t="s">
        <v>8584</v>
      </c>
      <c r="B1058" t="s">
        <v>8585</v>
      </c>
      <c r="C1058" t="s">
        <v>8587</v>
      </c>
      <c r="D1058" t="s">
        <v>8587</v>
      </c>
      <c r="E1058" t="s">
        <v>8586</v>
      </c>
      <c r="F1058">
        <v>5201</v>
      </c>
      <c r="G1058" t="s">
        <v>79</v>
      </c>
      <c r="H1058" t="s">
        <v>79</v>
      </c>
      <c r="I1058">
        <v>38395</v>
      </c>
    </row>
    <row r="1059" spans="1:9" x14ac:dyDescent="0.25">
      <c r="A1059" t="s">
        <v>8589</v>
      </c>
      <c r="B1059" t="s">
        <v>8590</v>
      </c>
      <c r="C1059" t="s">
        <v>8592</v>
      </c>
      <c r="D1059" t="s">
        <v>8592</v>
      </c>
      <c r="E1059">
        <v>4122033261</v>
      </c>
      <c r="F1059">
        <v>8568</v>
      </c>
      <c r="G1059" t="s">
        <v>361</v>
      </c>
      <c r="H1059" t="s">
        <v>15220</v>
      </c>
      <c r="I1059">
        <v>52566</v>
      </c>
    </row>
    <row r="1060" spans="1:9" x14ac:dyDescent="0.25">
      <c r="A1060" t="s">
        <v>8594</v>
      </c>
      <c r="B1060" t="s">
        <v>8595</v>
      </c>
      <c r="C1060" t="s">
        <v>8596</v>
      </c>
      <c r="D1060" t="s">
        <v>8596</v>
      </c>
      <c r="E1060" t="s">
        <v>1018</v>
      </c>
      <c r="F1060">
        <v>8513</v>
      </c>
      <c r="G1060" t="s">
        <v>68</v>
      </c>
      <c r="H1060" t="s">
        <v>72</v>
      </c>
      <c r="I1060">
        <v>53365</v>
      </c>
    </row>
    <row r="1061" spans="1:9" x14ac:dyDescent="0.25">
      <c r="A1061" t="s">
        <v>8599</v>
      </c>
      <c r="B1061" t="s">
        <v>8600</v>
      </c>
      <c r="C1061" t="s">
        <v>8602</v>
      </c>
      <c r="D1061" t="s">
        <v>8602</v>
      </c>
      <c r="E1061" t="s">
        <v>8601</v>
      </c>
      <c r="F1061">
        <v>8577</v>
      </c>
      <c r="G1061" t="s">
        <v>2160</v>
      </c>
      <c r="H1061" t="s">
        <v>15293</v>
      </c>
      <c r="I1061">
        <v>36115</v>
      </c>
    </row>
    <row r="1062" spans="1:9" x14ac:dyDescent="0.25">
      <c r="A1062" t="s">
        <v>15180</v>
      </c>
      <c r="B1062" t="s">
        <v>8606</v>
      </c>
      <c r="C1062" t="s">
        <v>8608</v>
      </c>
      <c r="D1062" t="s">
        <v>8608</v>
      </c>
      <c r="E1062" t="s">
        <v>8607</v>
      </c>
      <c r="F1062">
        <v>5201</v>
      </c>
      <c r="G1062" t="s">
        <v>79</v>
      </c>
      <c r="H1062" t="s">
        <v>79</v>
      </c>
      <c r="I1062">
        <v>9880</v>
      </c>
    </row>
    <row r="1063" spans="1:9" x14ac:dyDescent="0.25">
      <c r="A1063" t="s">
        <v>8615</v>
      </c>
      <c r="B1063" t="s">
        <v>8616</v>
      </c>
      <c r="C1063" t="s">
        <v>8618</v>
      </c>
      <c r="D1063" t="s">
        <v>8618</v>
      </c>
      <c r="E1063" t="s">
        <v>8617</v>
      </c>
      <c r="F1063">
        <v>8697</v>
      </c>
      <c r="G1063" t="s">
        <v>7706</v>
      </c>
      <c r="H1063" t="s">
        <v>137</v>
      </c>
      <c r="I1063">
        <v>6998</v>
      </c>
    </row>
    <row r="1064" spans="1:9" x14ac:dyDescent="0.25">
      <c r="A1064" t="s">
        <v>8623</v>
      </c>
      <c r="B1064" t="s">
        <v>8624</v>
      </c>
      <c r="C1064" t="s">
        <v>8626</v>
      </c>
      <c r="D1064" t="s">
        <v>8626</v>
      </c>
      <c r="E1064" t="s">
        <v>8625</v>
      </c>
      <c r="F1064">
        <v>8603</v>
      </c>
      <c r="G1064" t="s">
        <v>2844</v>
      </c>
      <c r="H1064" t="s">
        <v>137</v>
      </c>
      <c r="I1064">
        <v>40189</v>
      </c>
    </row>
    <row r="1065" spans="1:9" x14ac:dyDescent="0.25">
      <c r="A1065" t="s">
        <v>8629</v>
      </c>
      <c r="B1065" t="s">
        <v>8630</v>
      </c>
      <c r="C1065" t="s">
        <v>8632</v>
      </c>
      <c r="D1065" t="s">
        <v>8632</v>
      </c>
      <c r="E1065">
        <v>4245517658</v>
      </c>
      <c r="F1065">
        <v>8626</v>
      </c>
      <c r="G1065" t="s">
        <v>5739</v>
      </c>
      <c r="H1065" t="s">
        <v>15453</v>
      </c>
      <c r="I1065">
        <v>37078</v>
      </c>
    </row>
    <row r="1066" spans="1:9" x14ac:dyDescent="0.25">
      <c r="A1066" t="s">
        <v>8636</v>
      </c>
      <c r="B1066" t="s">
        <v>8637</v>
      </c>
      <c r="C1066" t="s">
        <v>8639</v>
      </c>
      <c r="D1066" t="s">
        <v>8639</v>
      </c>
      <c r="E1066" t="s">
        <v>8638</v>
      </c>
      <c r="F1066">
        <v>8566</v>
      </c>
      <c r="G1066" t="s">
        <v>81</v>
      </c>
      <c r="H1066" t="s">
        <v>85</v>
      </c>
    </row>
    <row r="1067" spans="1:9" x14ac:dyDescent="0.25">
      <c r="A1067" t="s">
        <v>8641</v>
      </c>
      <c r="B1067" t="s">
        <v>8642</v>
      </c>
      <c r="C1067" t="s">
        <v>8644</v>
      </c>
      <c r="D1067" t="s">
        <v>8644</v>
      </c>
      <c r="E1067" t="s">
        <v>8643</v>
      </c>
      <c r="F1067">
        <v>2050</v>
      </c>
      <c r="G1067" t="s">
        <v>7518</v>
      </c>
      <c r="H1067" t="s">
        <v>1215</v>
      </c>
      <c r="I1067">
        <v>1737</v>
      </c>
    </row>
    <row r="1068" spans="1:9" x14ac:dyDescent="0.25">
      <c r="A1068" t="s">
        <v>8649</v>
      </c>
      <c r="B1068" t="s">
        <v>8650</v>
      </c>
      <c r="C1068" t="s">
        <v>8652</v>
      </c>
      <c r="D1068" t="s">
        <v>8652</v>
      </c>
      <c r="E1068">
        <v>4244582644</v>
      </c>
      <c r="F1068">
        <v>8558</v>
      </c>
      <c r="G1068" t="s">
        <v>1360</v>
      </c>
      <c r="H1068" t="s">
        <v>1215</v>
      </c>
      <c r="I1068">
        <v>17637</v>
      </c>
    </row>
    <row r="1069" spans="1:9" x14ac:dyDescent="0.25">
      <c r="A1069" t="s">
        <v>8655</v>
      </c>
      <c r="B1069" t="s">
        <v>8656</v>
      </c>
      <c r="C1069" t="s">
        <v>8657</v>
      </c>
      <c r="D1069" t="s">
        <v>8657</v>
      </c>
      <c r="F1069">
        <v>8641</v>
      </c>
      <c r="G1069" t="s">
        <v>6728</v>
      </c>
      <c r="H1069" t="s">
        <v>85</v>
      </c>
      <c r="I1069">
        <v>52951</v>
      </c>
    </row>
    <row r="1070" spans="1:9" x14ac:dyDescent="0.25">
      <c r="A1070" t="s">
        <v>8660</v>
      </c>
      <c r="B1070" t="s">
        <v>8661</v>
      </c>
      <c r="C1070" t="s">
        <v>8663</v>
      </c>
      <c r="D1070" t="s">
        <v>8663</v>
      </c>
      <c r="E1070" t="s">
        <v>8662</v>
      </c>
      <c r="F1070">
        <v>5219</v>
      </c>
      <c r="G1070" t="s">
        <v>7424</v>
      </c>
      <c r="H1070" t="s">
        <v>79</v>
      </c>
      <c r="I1070">
        <v>47487</v>
      </c>
    </row>
    <row r="1071" spans="1:9" x14ac:dyDescent="0.25">
      <c r="A1071" t="s">
        <v>8666</v>
      </c>
      <c r="B1071" t="s">
        <v>8667</v>
      </c>
      <c r="C1071" t="s">
        <v>8669</v>
      </c>
      <c r="D1071" t="s">
        <v>8669</v>
      </c>
      <c r="E1071" t="s">
        <v>8668</v>
      </c>
      <c r="F1071">
        <v>8740</v>
      </c>
      <c r="G1071" t="s">
        <v>2399</v>
      </c>
      <c r="H1071" t="s">
        <v>2399</v>
      </c>
      <c r="I1071">
        <v>41308</v>
      </c>
    </row>
    <row r="1072" spans="1:9" x14ac:dyDescent="0.25">
      <c r="A1072" t="s">
        <v>8671</v>
      </c>
      <c r="B1072" t="s">
        <v>8672</v>
      </c>
      <c r="C1072" t="s">
        <v>8676</v>
      </c>
      <c r="D1072" t="s">
        <v>8676</v>
      </c>
      <c r="E1072" t="s">
        <v>8674</v>
      </c>
      <c r="F1072">
        <v>8719</v>
      </c>
      <c r="G1072" t="s">
        <v>8673</v>
      </c>
      <c r="H1072" t="s">
        <v>79</v>
      </c>
      <c r="I1072">
        <v>36980</v>
      </c>
    </row>
    <row r="1073" spans="1:9" x14ac:dyDescent="0.25">
      <c r="A1073" t="s">
        <v>8685</v>
      </c>
      <c r="B1073" t="s">
        <v>8686</v>
      </c>
      <c r="C1073" t="s">
        <v>8690</v>
      </c>
      <c r="D1073" t="s">
        <v>8690</v>
      </c>
      <c r="E1073" t="s">
        <v>8688</v>
      </c>
      <c r="F1073">
        <v>8720</v>
      </c>
      <c r="G1073" t="s">
        <v>8687</v>
      </c>
      <c r="H1073" t="s">
        <v>4854</v>
      </c>
      <c r="I1073">
        <v>46512</v>
      </c>
    </row>
    <row r="1074" spans="1:9" x14ac:dyDescent="0.25">
      <c r="A1074" t="s">
        <v>8693</v>
      </c>
      <c r="B1074" t="s">
        <v>8694</v>
      </c>
      <c r="C1074" t="s">
        <v>8696</v>
      </c>
      <c r="D1074" t="s">
        <v>8696</v>
      </c>
      <c r="E1074" t="s">
        <v>8695</v>
      </c>
      <c r="F1074">
        <v>8648</v>
      </c>
      <c r="G1074" t="s">
        <v>8302</v>
      </c>
      <c r="H1074" t="s">
        <v>4854</v>
      </c>
      <c r="I1074">
        <v>37088</v>
      </c>
    </row>
    <row r="1075" spans="1:9" x14ac:dyDescent="0.25">
      <c r="A1075" t="s">
        <v>8700</v>
      </c>
      <c r="B1075" t="s">
        <v>8701</v>
      </c>
      <c r="C1075" t="s">
        <v>8703</v>
      </c>
      <c r="D1075" t="s">
        <v>8703</v>
      </c>
      <c r="E1075" t="s">
        <v>8702</v>
      </c>
      <c r="F1075">
        <v>8526</v>
      </c>
      <c r="G1075" t="s">
        <v>665</v>
      </c>
      <c r="H1075" t="s">
        <v>106</v>
      </c>
      <c r="I1075">
        <v>35793</v>
      </c>
    </row>
    <row r="1076" spans="1:9" x14ac:dyDescent="0.25">
      <c r="A1076" t="s">
        <v>8706</v>
      </c>
      <c r="B1076" t="s">
        <v>8707</v>
      </c>
      <c r="C1076" t="s">
        <v>8708</v>
      </c>
      <c r="D1076" t="s">
        <v>15526</v>
      </c>
      <c r="F1076">
        <v>8661</v>
      </c>
      <c r="G1076" t="s">
        <v>7722</v>
      </c>
      <c r="H1076" t="s">
        <v>15249</v>
      </c>
      <c r="I1076">
        <v>46772</v>
      </c>
    </row>
    <row r="1077" spans="1:9" x14ac:dyDescent="0.25">
      <c r="A1077" t="s">
        <v>8711</v>
      </c>
      <c r="B1077" t="s">
        <v>8712</v>
      </c>
      <c r="C1077" t="s">
        <v>8713</v>
      </c>
      <c r="D1077" t="s">
        <v>8713</v>
      </c>
      <c r="F1077">
        <v>8582</v>
      </c>
      <c r="G1077" t="s">
        <v>2278</v>
      </c>
      <c r="H1077" t="s">
        <v>137</v>
      </c>
      <c r="I1077">
        <v>52682</v>
      </c>
    </row>
    <row r="1078" spans="1:9" x14ac:dyDescent="0.25">
      <c r="A1078" t="s">
        <v>8716</v>
      </c>
      <c r="B1078" t="s">
        <v>8717</v>
      </c>
      <c r="C1078" t="s">
        <v>8719</v>
      </c>
      <c r="D1078" t="s">
        <v>15527</v>
      </c>
      <c r="E1078" t="s">
        <v>8718</v>
      </c>
      <c r="F1078">
        <v>8702</v>
      </c>
      <c r="G1078" t="s">
        <v>7949</v>
      </c>
      <c r="H1078" t="s">
        <v>15249</v>
      </c>
      <c r="I1078">
        <v>52406</v>
      </c>
    </row>
    <row r="1079" spans="1:9" x14ac:dyDescent="0.25">
      <c r="A1079" t="s">
        <v>8722</v>
      </c>
      <c r="B1079" t="s">
        <v>8723</v>
      </c>
      <c r="C1079" t="s">
        <v>8725</v>
      </c>
      <c r="D1079" t="s">
        <v>15528</v>
      </c>
      <c r="E1079" t="s">
        <v>8724</v>
      </c>
      <c r="F1079">
        <v>8702</v>
      </c>
      <c r="G1079" t="s">
        <v>7949</v>
      </c>
      <c r="H1079" t="s">
        <v>15249</v>
      </c>
      <c r="I1079">
        <v>52407</v>
      </c>
    </row>
    <row r="1080" spans="1:9" x14ac:dyDescent="0.25">
      <c r="A1080" t="s">
        <v>8728</v>
      </c>
      <c r="B1080" t="s">
        <v>8729</v>
      </c>
      <c r="C1080" t="s">
        <v>8731</v>
      </c>
      <c r="D1080" t="s">
        <v>8731</v>
      </c>
      <c r="E1080" t="s">
        <v>8730</v>
      </c>
      <c r="F1080">
        <v>8587</v>
      </c>
      <c r="G1080" t="s">
        <v>6986</v>
      </c>
      <c r="H1080" t="s">
        <v>2399</v>
      </c>
      <c r="I1080">
        <v>3661</v>
      </c>
    </row>
    <row r="1081" spans="1:9" x14ac:dyDescent="0.25">
      <c r="A1081" t="s">
        <v>8734</v>
      </c>
      <c r="B1081" t="s">
        <v>8735</v>
      </c>
      <c r="C1081" t="s">
        <v>8736</v>
      </c>
      <c r="F1081">
        <v>6201</v>
      </c>
      <c r="G1081" t="s">
        <v>41</v>
      </c>
      <c r="H1081" t="s">
        <v>15220</v>
      </c>
    </row>
    <row r="1082" spans="1:9" x14ac:dyDescent="0.25">
      <c r="A1082" t="s">
        <v>8738</v>
      </c>
      <c r="B1082" t="s">
        <v>8739</v>
      </c>
      <c r="C1082" t="s">
        <v>8740</v>
      </c>
      <c r="D1082" t="s">
        <v>8740</v>
      </c>
      <c r="E1082" t="s">
        <v>6647</v>
      </c>
      <c r="F1082">
        <v>8673</v>
      </c>
      <c r="G1082" t="s">
        <v>6030</v>
      </c>
      <c r="H1082" t="s">
        <v>85</v>
      </c>
      <c r="I1082">
        <v>40322</v>
      </c>
    </row>
    <row r="1083" spans="1:9" x14ac:dyDescent="0.25">
      <c r="A1083" t="s">
        <v>8747</v>
      </c>
      <c r="B1083" t="s">
        <v>4539</v>
      </c>
      <c r="C1083" t="s">
        <v>4541</v>
      </c>
      <c r="D1083" t="s">
        <v>15529</v>
      </c>
      <c r="F1083">
        <v>6201</v>
      </c>
      <c r="G1083" t="s">
        <v>41</v>
      </c>
      <c r="H1083" t="s">
        <v>15220</v>
      </c>
    </row>
    <row r="1084" spans="1:9" x14ac:dyDescent="0.25">
      <c r="A1084" t="s">
        <v>8750</v>
      </c>
      <c r="B1084" t="s">
        <v>4539</v>
      </c>
      <c r="C1084" t="s">
        <v>4541</v>
      </c>
      <c r="D1084" t="s">
        <v>15530</v>
      </c>
      <c r="F1084">
        <v>6201</v>
      </c>
      <c r="G1084" t="s">
        <v>41</v>
      </c>
      <c r="H1084" t="s">
        <v>15220</v>
      </c>
    </row>
    <row r="1085" spans="1:9" x14ac:dyDescent="0.25">
      <c r="A1085" t="s">
        <v>8753</v>
      </c>
      <c r="B1085" t="s">
        <v>4539</v>
      </c>
      <c r="C1085" t="s">
        <v>4541</v>
      </c>
      <c r="D1085" t="s">
        <v>15531</v>
      </c>
      <c r="F1085">
        <v>6201</v>
      </c>
      <c r="G1085" t="s">
        <v>41</v>
      </c>
      <c r="H1085" t="s">
        <v>15220</v>
      </c>
    </row>
    <row r="1086" spans="1:9" x14ac:dyDescent="0.25">
      <c r="A1086" t="s">
        <v>8756</v>
      </c>
      <c r="B1086" t="s">
        <v>8757</v>
      </c>
      <c r="C1086" t="s">
        <v>8758</v>
      </c>
      <c r="D1086" t="s">
        <v>8758</v>
      </c>
      <c r="E1086" t="s">
        <v>6647</v>
      </c>
      <c r="F1086">
        <v>8673</v>
      </c>
      <c r="G1086" t="s">
        <v>6030</v>
      </c>
      <c r="H1086" t="s">
        <v>85</v>
      </c>
      <c r="I1086">
        <v>53270</v>
      </c>
    </row>
    <row r="1087" spans="1:9" x14ac:dyDescent="0.25">
      <c r="A1087" t="s">
        <v>8761</v>
      </c>
      <c r="B1087" t="s">
        <v>8762</v>
      </c>
      <c r="C1087" t="s">
        <v>8764</v>
      </c>
      <c r="D1087" t="s">
        <v>8764</v>
      </c>
      <c r="E1087" t="s">
        <v>8763</v>
      </c>
      <c r="F1087">
        <v>5201</v>
      </c>
      <c r="G1087" t="s">
        <v>79</v>
      </c>
      <c r="H1087" t="s">
        <v>79</v>
      </c>
      <c r="I1087">
        <v>46764</v>
      </c>
    </row>
    <row r="1088" spans="1:9" x14ac:dyDescent="0.25">
      <c r="A1088" t="s">
        <v>8767</v>
      </c>
      <c r="B1088" t="s">
        <v>8768</v>
      </c>
      <c r="C1088" t="s">
        <v>8770</v>
      </c>
      <c r="D1088" t="s">
        <v>8770</v>
      </c>
      <c r="E1088" t="s">
        <v>8769</v>
      </c>
      <c r="F1088">
        <v>3061</v>
      </c>
      <c r="G1088" t="s">
        <v>7670</v>
      </c>
      <c r="H1088" t="s">
        <v>15453</v>
      </c>
      <c r="I1088">
        <v>47561</v>
      </c>
    </row>
    <row r="1089" spans="1:9" x14ac:dyDescent="0.25">
      <c r="A1089" t="s">
        <v>8773</v>
      </c>
      <c r="B1089" t="s">
        <v>8774</v>
      </c>
      <c r="C1089" t="s">
        <v>8779</v>
      </c>
      <c r="D1089" t="s">
        <v>8779</v>
      </c>
      <c r="E1089">
        <v>4142833816</v>
      </c>
      <c r="F1089">
        <v>8639</v>
      </c>
      <c r="G1089" t="s">
        <v>15532</v>
      </c>
      <c r="H1089" t="s">
        <v>1215</v>
      </c>
      <c r="I1089">
        <v>2974</v>
      </c>
    </row>
    <row r="1090" spans="1:9" x14ac:dyDescent="0.25">
      <c r="A1090" t="s">
        <v>8782</v>
      </c>
      <c r="B1090" t="s">
        <v>8783</v>
      </c>
      <c r="C1090" t="s">
        <v>8785</v>
      </c>
      <c r="D1090" t="s">
        <v>8785</v>
      </c>
      <c r="E1090" t="s">
        <v>8784</v>
      </c>
      <c r="F1090">
        <v>8558</v>
      </c>
      <c r="G1090" t="s">
        <v>1360</v>
      </c>
      <c r="H1090" t="s">
        <v>1215</v>
      </c>
      <c r="I1090">
        <v>23872</v>
      </c>
    </row>
    <row r="1091" spans="1:9" x14ac:dyDescent="0.25">
      <c r="A1091" t="s">
        <v>8788</v>
      </c>
      <c r="B1091" t="s">
        <v>8789</v>
      </c>
      <c r="C1091" t="s">
        <v>8793</v>
      </c>
      <c r="D1091" t="s">
        <v>15533</v>
      </c>
      <c r="E1091" t="s">
        <v>8791</v>
      </c>
      <c r="F1091">
        <v>8721</v>
      </c>
      <c r="G1091" t="s">
        <v>8790</v>
      </c>
      <c r="H1091" t="s">
        <v>15534</v>
      </c>
      <c r="I1091">
        <v>50631</v>
      </c>
    </row>
    <row r="1092" spans="1:9" x14ac:dyDescent="0.25">
      <c r="A1092" t="s">
        <v>8796</v>
      </c>
      <c r="B1092" t="s">
        <v>8797</v>
      </c>
      <c r="C1092" t="s">
        <v>8799</v>
      </c>
      <c r="D1092" t="s">
        <v>8799</v>
      </c>
      <c r="E1092" t="s">
        <v>8798</v>
      </c>
      <c r="F1092">
        <v>8577</v>
      </c>
      <c r="G1092" t="s">
        <v>2160</v>
      </c>
      <c r="H1092" t="s">
        <v>15293</v>
      </c>
      <c r="I1092">
        <v>35650</v>
      </c>
    </row>
    <row r="1093" spans="1:9" x14ac:dyDescent="0.25">
      <c r="A1093" t="s">
        <v>8802</v>
      </c>
      <c r="B1093" t="s">
        <v>8803</v>
      </c>
      <c r="C1093" t="s">
        <v>8804</v>
      </c>
      <c r="D1093" t="s">
        <v>8804</v>
      </c>
      <c r="F1093">
        <v>8628</v>
      </c>
      <c r="G1093" t="s">
        <v>4798</v>
      </c>
      <c r="H1093" t="s">
        <v>1215</v>
      </c>
      <c r="I1093">
        <v>52307</v>
      </c>
    </row>
    <row r="1094" spans="1:9" x14ac:dyDescent="0.25">
      <c r="A1094" t="s">
        <v>8807</v>
      </c>
      <c r="B1094" t="s">
        <v>8808</v>
      </c>
      <c r="C1094" t="s">
        <v>8810</v>
      </c>
      <c r="D1094" t="s">
        <v>8810</v>
      </c>
      <c r="E1094" t="s">
        <v>8809</v>
      </c>
      <c r="F1094">
        <v>8626</v>
      </c>
      <c r="G1094" t="s">
        <v>5739</v>
      </c>
      <c r="H1094" t="s">
        <v>15453</v>
      </c>
      <c r="I1094">
        <v>35684</v>
      </c>
    </row>
    <row r="1095" spans="1:9" x14ac:dyDescent="0.25">
      <c r="A1095" t="s">
        <v>8812</v>
      </c>
      <c r="B1095" t="s">
        <v>8813</v>
      </c>
      <c r="C1095" t="s">
        <v>8815</v>
      </c>
      <c r="D1095" t="s">
        <v>8815</v>
      </c>
      <c r="E1095" t="s">
        <v>8814</v>
      </c>
      <c r="F1095">
        <v>8532</v>
      </c>
      <c r="G1095" t="s">
        <v>614</v>
      </c>
      <c r="H1095" t="s">
        <v>15222</v>
      </c>
      <c r="I1095">
        <v>42019</v>
      </c>
    </row>
    <row r="1096" spans="1:9" x14ac:dyDescent="0.25">
      <c r="A1096" t="s">
        <v>15181</v>
      </c>
      <c r="B1096" t="s">
        <v>8820</v>
      </c>
      <c r="C1096" t="s">
        <v>8822</v>
      </c>
      <c r="D1096" t="s">
        <v>15535</v>
      </c>
      <c r="E1096" t="s">
        <v>8821</v>
      </c>
      <c r="F1096">
        <v>8577</v>
      </c>
      <c r="G1096" t="s">
        <v>2318</v>
      </c>
      <c r="H1096" t="s">
        <v>15293</v>
      </c>
      <c r="I1096">
        <v>51419</v>
      </c>
    </row>
    <row r="1097" spans="1:9" x14ac:dyDescent="0.25">
      <c r="A1097" t="s">
        <v>8825</v>
      </c>
      <c r="B1097" t="s">
        <v>8826</v>
      </c>
      <c r="C1097" t="s">
        <v>8828</v>
      </c>
      <c r="D1097" t="s">
        <v>8828</v>
      </c>
      <c r="E1097" t="s">
        <v>8827</v>
      </c>
      <c r="F1097">
        <v>8540</v>
      </c>
      <c r="G1097" t="s">
        <v>15268</v>
      </c>
      <c r="H1097" t="s">
        <v>72</v>
      </c>
      <c r="I1097">
        <v>3930</v>
      </c>
    </row>
    <row r="1098" spans="1:9" x14ac:dyDescent="0.25">
      <c r="A1098" t="s">
        <v>8831</v>
      </c>
      <c r="B1098" t="s">
        <v>8832</v>
      </c>
      <c r="C1098" t="s">
        <v>8834</v>
      </c>
      <c r="D1098" t="s">
        <v>8834</v>
      </c>
      <c r="E1098" t="s">
        <v>8833</v>
      </c>
      <c r="F1098">
        <v>8533</v>
      </c>
      <c r="G1098" t="s">
        <v>303</v>
      </c>
      <c r="H1098" t="s">
        <v>72</v>
      </c>
      <c r="I1098">
        <v>7735</v>
      </c>
    </row>
    <row r="1099" spans="1:9" x14ac:dyDescent="0.25">
      <c r="A1099" t="s">
        <v>8837</v>
      </c>
      <c r="B1099" t="s">
        <v>8838</v>
      </c>
      <c r="C1099" t="s">
        <v>8840</v>
      </c>
      <c r="D1099" t="s">
        <v>8840</v>
      </c>
      <c r="E1099" t="s">
        <v>8839</v>
      </c>
      <c r="F1099">
        <v>8692</v>
      </c>
      <c r="G1099" t="s">
        <v>6996</v>
      </c>
      <c r="H1099" t="s">
        <v>2399</v>
      </c>
      <c r="I1099">
        <v>37982</v>
      </c>
    </row>
    <row r="1100" spans="1:9" x14ac:dyDescent="0.25">
      <c r="A1100" t="s">
        <v>15182</v>
      </c>
      <c r="B1100" t="s">
        <v>8843</v>
      </c>
      <c r="C1100" t="s">
        <v>8847</v>
      </c>
      <c r="D1100" t="s">
        <v>15536</v>
      </c>
      <c r="E1100" t="s">
        <v>8845</v>
      </c>
      <c r="F1100">
        <v>8722</v>
      </c>
      <c r="G1100" t="s">
        <v>8844</v>
      </c>
      <c r="H1100" t="s">
        <v>4854</v>
      </c>
      <c r="I1100">
        <v>28217</v>
      </c>
    </row>
    <row r="1101" spans="1:9" x14ac:dyDescent="0.25">
      <c r="A1101" t="s">
        <v>8850</v>
      </c>
      <c r="B1101" t="s">
        <v>8851</v>
      </c>
      <c r="C1101" t="s">
        <v>8854</v>
      </c>
      <c r="D1101" t="s">
        <v>8854</v>
      </c>
      <c r="E1101" t="s">
        <v>8852</v>
      </c>
      <c r="F1101">
        <v>8592</v>
      </c>
      <c r="G1101" t="s">
        <v>139</v>
      </c>
      <c r="H1101" t="s">
        <v>139</v>
      </c>
      <c r="I1101">
        <v>38109</v>
      </c>
    </row>
    <row r="1102" spans="1:9" x14ac:dyDescent="0.25">
      <c r="A1102" t="s">
        <v>8861</v>
      </c>
      <c r="B1102" t="s">
        <v>8862</v>
      </c>
      <c r="C1102" t="s">
        <v>41</v>
      </c>
      <c r="F1102">
        <v>6201</v>
      </c>
      <c r="G1102" t="s">
        <v>41</v>
      </c>
      <c r="H1102" t="s">
        <v>15220</v>
      </c>
    </row>
    <row r="1103" spans="1:9" x14ac:dyDescent="0.25">
      <c r="A1103" t="s">
        <v>8865</v>
      </c>
      <c r="B1103" t="s">
        <v>8866</v>
      </c>
      <c r="C1103" t="s">
        <v>8867</v>
      </c>
      <c r="D1103" t="s">
        <v>15537</v>
      </c>
      <c r="E1103" t="s">
        <v>8472</v>
      </c>
      <c r="F1103">
        <v>8692</v>
      </c>
      <c r="G1103" t="s">
        <v>6996</v>
      </c>
      <c r="H1103" t="s">
        <v>2399</v>
      </c>
      <c r="I1103">
        <v>44168</v>
      </c>
    </row>
    <row r="1104" spans="1:9" x14ac:dyDescent="0.25">
      <c r="A1104" t="s">
        <v>8869</v>
      </c>
      <c r="B1104" t="s">
        <v>8870</v>
      </c>
      <c r="C1104" t="s">
        <v>8872</v>
      </c>
      <c r="D1104" t="s">
        <v>8872</v>
      </c>
      <c r="E1104" t="s">
        <v>8871</v>
      </c>
      <c r="F1104">
        <v>8558</v>
      </c>
      <c r="G1104" t="s">
        <v>1360</v>
      </c>
      <c r="H1104" t="s">
        <v>1215</v>
      </c>
      <c r="I1104">
        <v>1043</v>
      </c>
    </row>
    <row r="1105" spans="1:9" x14ac:dyDescent="0.25">
      <c r="A1105" t="s">
        <v>8875</v>
      </c>
      <c r="B1105" t="s">
        <v>8876</v>
      </c>
      <c r="C1105" t="s">
        <v>8878</v>
      </c>
      <c r="D1105" t="s">
        <v>8878</v>
      </c>
      <c r="E1105" t="s">
        <v>8877</v>
      </c>
      <c r="F1105">
        <v>8628</v>
      </c>
      <c r="G1105" t="s">
        <v>4798</v>
      </c>
      <c r="H1105" t="s">
        <v>1215</v>
      </c>
      <c r="I1105">
        <v>37373</v>
      </c>
    </row>
    <row r="1106" spans="1:9" x14ac:dyDescent="0.25">
      <c r="A1106" t="s">
        <v>8881</v>
      </c>
      <c r="B1106" t="s">
        <v>8882</v>
      </c>
      <c r="C1106" t="s">
        <v>8884</v>
      </c>
      <c r="D1106" t="s">
        <v>8884</v>
      </c>
      <c r="E1106" t="s">
        <v>8883</v>
      </c>
      <c r="F1106">
        <v>8558</v>
      </c>
      <c r="G1106" t="s">
        <v>1360</v>
      </c>
      <c r="H1106" t="s">
        <v>1215</v>
      </c>
      <c r="I1106">
        <v>35443</v>
      </c>
    </row>
    <row r="1107" spans="1:9" x14ac:dyDescent="0.25">
      <c r="A1107" t="s">
        <v>8887</v>
      </c>
      <c r="B1107" t="s">
        <v>8888</v>
      </c>
      <c r="C1107" t="s">
        <v>8890</v>
      </c>
      <c r="D1107" t="s">
        <v>8890</v>
      </c>
      <c r="E1107" t="s">
        <v>8889</v>
      </c>
      <c r="F1107">
        <v>5201</v>
      </c>
      <c r="G1107" t="s">
        <v>79</v>
      </c>
      <c r="H1107" t="s">
        <v>79</v>
      </c>
      <c r="I1107">
        <v>53428</v>
      </c>
    </row>
    <row r="1108" spans="1:9" x14ac:dyDescent="0.25">
      <c r="A1108" t="s">
        <v>8893</v>
      </c>
      <c r="B1108" t="s">
        <v>8894</v>
      </c>
      <c r="C1108" t="s">
        <v>8896</v>
      </c>
      <c r="D1108" t="s">
        <v>8896</v>
      </c>
      <c r="E1108" t="s">
        <v>8895</v>
      </c>
      <c r="F1108">
        <v>8737</v>
      </c>
      <c r="G1108" t="s">
        <v>79</v>
      </c>
      <c r="H1108" t="s">
        <v>79</v>
      </c>
      <c r="I1108">
        <v>44769</v>
      </c>
    </row>
    <row r="1109" spans="1:9" x14ac:dyDescent="0.25">
      <c r="A1109" t="s">
        <v>8898</v>
      </c>
      <c r="B1109" t="s">
        <v>8899</v>
      </c>
      <c r="C1109" t="s">
        <v>8900</v>
      </c>
      <c r="D1109" t="s">
        <v>8900</v>
      </c>
      <c r="E1109" t="s">
        <v>8877</v>
      </c>
      <c r="F1109">
        <v>8605</v>
      </c>
      <c r="G1109" t="s">
        <v>3233</v>
      </c>
      <c r="H1109" t="s">
        <v>1215</v>
      </c>
      <c r="I1109">
        <v>5998</v>
      </c>
    </row>
    <row r="1110" spans="1:9" x14ac:dyDescent="0.25">
      <c r="A1110" t="s">
        <v>8903</v>
      </c>
      <c r="B1110" t="s">
        <v>8904</v>
      </c>
      <c r="C1110" t="s">
        <v>8905</v>
      </c>
      <c r="D1110" t="s">
        <v>8905</v>
      </c>
      <c r="E1110">
        <v>4124203806</v>
      </c>
      <c r="F1110">
        <v>8558</v>
      </c>
      <c r="G1110" t="s">
        <v>1360</v>
      </c>
      <c r="H1110" t="s">
        <v>1215</v>
      </c>
      <c r="I1110">
        <v>52079</v>
      </c>
    </row>
    <row r="1111" spans="1:9" x14ac:dyDescent="0.25">
      <c r="A1111" t="s">
        <v>8909</v>
      </c>
      <c r="B1111" t="s">
        <v>8910</v>
      </c>
      <c r="C1111" t="s">
        <v>8911</v>
      </c>
      <c r="D1111" t="s">
        <v>8911</v>
      </c>
      <c r="E1111" t="s">
        <v>8877</v>
      </c>
      <c r="F1111">
        <v>8605</v>
      </c>
      <c r="G1111" t="s">
        <v>3233</v>
      </c>
      <c r="H1111" t="s">
        <v>1215</v>
      </c>
      <c r="I1111">
        <v>40292</v>
      </c>
    </row>
    <row r="1112" spans="1:9" x14ac:dyDescent="0.25">
      <c r="A1112" t="s">
        <v>8914</v>
      </c>
      <c r="B1112" t="s">
        <v>8915</v>
      </c>
      <c r="C1112" t="s">
        <v>8916</v>
      </c>
      <c r="D1112" t="s">
        <v>8916</v>
      </c>
      <c r="E1112" t="s">
        <v>8877</v>
      </c>
      <c r="F1112">
        <v>8558</v>
      </c>
      <c r="G1112" t="s">
        <v>1360</v>
      </c>
      <c r="H1112" t="s">
        <v>1215</v>
      </c>
      <c r="I1112">
        <v>46177</v>
      </c>
    </row>
    <row r="1113" spans="1:9" x14ac:dyDescent="0.25">
      <c r="A1113" t="s">
        <v>15183</v>
      </c>
      <c r="B1113" t="s">
        <v>8920</v>
      </c>
      <c r="C1113" t="s">
        <v>8922</v>
      </c>
      <c r="D1113" t="s">
        <v>8922</v>
      </c>
      <c r="E1113" t="s">
        <v>8921</v>
      </c>
      <c r="F1113">
        <v>8691</v>
      </c>
      <c r="G1113" t="s">
        <v>7147</v>
      </c>
      <c r="H1113" t="s">
        <v>79</v>
      </c>
      <c r="I1113">
        <v>18700</v>
      </c>
    </row>
    <row r="1114" spans="1:9" x14ac:dyDescent="0.25">
      <c r="A1114" t="s">
        <v>8925</v>
      </c>
      <c r="B1114" t="s">
        <v>8926</v>
      </c>
      <c r="C1114" t="s">
        <v>8927</v>
      </c>
      <c r="D1114" t="s">
        <v>8927</v>
      </c>
      <c r="E1114" t="s">
        <v>8877</v>
      </c>
      <c r="F1114">
        <v>8605</v>
      </c>
      <c r="G1114" t="s">
        <v>3233</v>
      </c>
      <c r="H1114" t="s">
        <v>1215</v>
      </c>
      <c r="I1114">
        <v>15169</v>
      </c>
    </row>
    <row r="1115" spans="1:9" x14ac:dyDescent="0.25">
      <c r="A1115" t="s">
        <v>8930</v>
      </c>
      <c r="B1115" t="s">
        <v>8931</v>
      </c>
      <c r="C1115" t="s">
        <v>8932</v>
      </c>
      <c r="D1115" t="s">
        <v>8932</v>
      </c>
      <c r="E1115" t="s">
        <v>7810</v>
      </c>
      <c r="F1115">
        <v>8558</v>
      </c>
      <c r="G1115" t="s">
        <v>1360</v>
      </c>
      <c r="H1115" t="s">
        <v>1215</v>
      </c>
      <c r="I1115">
        <v>42009</v>
      </c>
    </row>
    <row r="1116" spans="1:9" x14ac:dyDescent="0.25">
      <c r="A1116" t="s">
        <v>8935</v>
      </c>
      <c r="B1116" t="s">
        <v>8936</v>
      </c>
      <c r="C1116" t="s">
        <v>8940</v>
      </c>
      <c r="D1116" t="s">
        <v>8940</v>
      </c>
      <c r="E1116" t="s">
        <v>8937</v>
      </c>
      <c r="F1116">
        <v>8582</v>
      </c>
      <c r="G1116" t="s">
        <v>2275</v>
      </c>
      <c r="H1116" t="s">
        <v>137</v>
      </c>
      <c r="I1116">
        <v>34399</v>
      </c>
    </row>
    <row r="1117" spans="1:9" x14ac:dyDescent="0.25">
      <c r="A1117" t="s">
        <v>8943</v>
      </c>
      <c r="B1117" t="s">
        <v>8944</v>
      </c>
      <c r="C1117" t="s">
        <v>8946</v>
      </c>
      <c r="D1117" t="s">
        <v>8946</v>
      </c>
      <c r="E1117" t="s">
        <v>8945</v>
      </c>
      <c r="F1117">
        <v>8695</v>
      </c>
      <c r="G1117" t="s">
        <v>2572</v>
      </c>
      <c r="H1117" t="s">
        <v>2399</v>
      </c>
      <c r="I1117">
        <v>53446</v>
      </c>
    </row>
    <row r="1118" spans="1:9" x14ac:dyDescent="0.25">
      <c r="A1118" t="s">
        <v>8949</v>
      </c>
      <c r="B1118" t="s">
        <v>8950</v>
      </c>
      <c r="C1118" t="s">
        <v>8952</v>
      </c>
      <c r="D1118" t="s">
        <v>8952</v>
      </c>
      <c r="E1118" t="s">
        <v>8951</v>
      </c>
      <c r="F1118">
        <v>5201</v>
      </c>
      <c r="G1118" t="s">
        <v>79</v>
      </c>
      <c r="H1118" t="s">
        <v>79</v>
      </c>
      <c r="I1118">
        <v>12652</v>
      </c>
    </row>
    <row r="1119" spans="1:9" x14ac:dyDescent="0.25">
      <c r="A1119" t="s">
        <v>8955</v>
      </c>
      <c r="B1119" t="s">
        <v>8956</v>
      </c>
      <c r="C1119" t="s">
        <v>8958</v>
      </c>
      <c r="D1119" t="s">
        <v>15504</v>
      </c>
      <c r="E1119">
        <v>4244744792</v>
      </c>
      <c r="F1119">
        <v>8708</v>
      </c>
      <c r="G1119" t="s">
        <v>8101</v>
      </c>
      <c r="H1119" t="s">
        <v>4854</v>
      </c>
      <c r="I1119">
        <v>45585</v>
      </c>
    </row>
    <row r="1120" spans="1:9" x14ac:dyDescent="0.25">
      <c r="A1120" t="s">
        <v>8961</v>
      </c>
      <c r="B1120" t="s">
        <v>8962</v>
      </c>
      <c r="C1120" t="s">
        <v>8964</v>
      </c>
      <c r="D1120" t="s">
        <v>15538</v>
      </c>
      <c r="E1120" t="s">
        <v>8963</v>
      </c>
      <c r="F1120">
        <v>8587</v>
      </c>
      <c r="G1120" t="s">
        <v>2396</v>
      </c>
      <c r="H1120" t="s">
        <v>2399</v>
      </c>
      <c r="I1120">
        <v>6923</v>
      </c>
    </row>
    <row r="1121" spans="1:9" x14ac:dyDescent="0.25">
      <c r="A1121" t="s">
        <v>8967</v>
      </c>
      <c r="B1121" t="s">
        <v>8968</v>
      </c>
      <c r="C1121" t="s">
        <v>8969</v>
      </c>
      <c r="D1121" t="s">
        <v>8969</v>
      </c>
      <c r="F1121">
        <v>8587</v>
      </c>
      <c r="G1121" t="s">
        <v>6986</v>
      </c>
      <c r="H1121" t="s">
        <v>2399</v>
      </c>
      <c r="I1121">
        <v>41058</v>
      </c>
    </row>
    <row r="1122" spans="1:9" x14ac:dyDescent="0.25">
      <c r="A1122" t="s">
        <v>8979</v>
      </c>
      <c r="B1122" t="s">
        <v>8980</v>
      </c>
      <c r="C1122" t="s">
        <v>8982</v>
      </c>
      <c r="D1122" t="s">
        <v>8982</v>
      </c>
      <c r="E1122" t="s">
        <v>8981</v>
      </c>
      <c r="F1122">
        <v>8558</v>
      </c>
      <c r="G1122" t="s">
        <v>1360</v>
      </c>
      <c r="H1122" t="s">
        <v>1215</v>
      </c>
      <c r="I1122">
        <v>43809</v>
      </c>
    </row>
    <row r="1123" spans="1:9" x14ac:dyDescent="0.25">
      <c r="A1123" t="s">
        <v>8994</v>
      </c>
      <c r="B1123" t="s">
        <v>8996</v>
      </c>
      <c r="E1123" t="s">
        <v>8997</v>
      </c>
      <c r="F1123">
        <v>6201</v>
      </c>
      <c r="G1123" t="s">
        <v>41</v>
      </c>
      <c r="H1123" t="s">
        <v>15220</v>
      </c>
    </row>
    <row r="1124" spans="1:9" x14ac:dyDescent="0.25">
      <c r="A1124" t="s">
        <v>9001</v>
      </c>
      <c r="B1124" t="s">
        <v>9002</v>
      </c>
      <c r="C1124" t="s">
        <v>9004</v>
      </c>
      <c r="D1124" t="s">
        <v>15539</v>
      </c>
      <c r="E1124" t="s">
        <v>9003</v>
      </c>
      <c r="F1124">
        <v>8674</v>
      </c>
      <c r="G1124" t="s">
        <v>6058</v>
      </c>
      <c r="H1124" t="s">
        <v>15453</v>
      </c>
      <c r="I1124">
        <v>40380</v>
      </c>
    </row>
    <row r="1125" spans="1:9" x14ac:dyDescent="0.25">
      <c r="A1125" t="s">
        <v>9007</v>
      </c>
      <c r="B1125" t="s">
        <v>9008</v>
      </c>
      <c r="C1125" t="s">
        <v>9010</v>
      </c>
      <c r="D1125" t="s">
        <v>9010</v>
      </c>
      <c r="E1125">
        <v>573229046724</v>
      </c>
      <c r="F1125">
        <v>8518</v>
      </c>
      <c r="G1125" t="s">
        <v>881</v>
      </c>
      <c r="H1125" t="s">
        <v>15226</v>
      </c>
    </row>
    <row r="1126" spans="1:9" x14ac:dyDescent="0.25">
      <c r="A1126" t="s">
        <v>9013</v>
      </c>
      <c r="B1126" t="s">
        <v>9014</v>
      </c>
      <c r="C1126" t="s">
        <v>9015</v>
      </c>
      <c r="D1126" t="s">
        <v>9015</v>
      </c>
      <c r="F1126">
        <v>8533</v>
      </c>
      <c r="G1126" t="s">
        <v>303</v>
      </c>
      <c r="H1126" t="s">
        <v>72</v>
      </c>
      <c r="I1126">
        <v>46107</v>
      </c>
    </row>
    <row r="1127" spans="1:9" x14ac:dyDescent="0.25">
      <c r="A1127" t="s">
        <v>9018</v>
      </c>
      <c r="B1127" t="s">
        <v>9020</v>
      </c>
      <c r="C1127" t="s">
        <v>9022</v>
      </c>
      <c r="D1127" t="s">
        <v>9022</v>
      </c>
      <c r="E1127" t="s">
        <v>9021</v>
      </c>
      <c r="F1127">
        <v>8566</v>
      </c>
      <c r="G1127" t="s">
        <v>81</v>
      </c>
      <c r="H1127" t="s">
        <v>85</v>
      </c>
      <c r="I1127">
        <v>51807</v>
      </c>
    </row>
    <row r="1128" spans="1:9" x14ac:dyDescent="0.25">
      <c r="A1128" t="s">
        <v>9025</v>
      </c>
      <c r="B1128" t="s">
        <v>9026</v>
      </c>
      <c r="C1128" t="s">
        <v>9028</v>
      </c>
      <c r="D1128" t="s">
        <v>9028</v>
      </c>
      <c r="E1128" t="s">
        <v>9027</v>
      </c>
      <c r="F1128">
        <v>8539</v>
      </c>
      <c r="G1128" t="s">
        <v>1039</v>
      </c>
      <c r="H1128" t="s">
        <v>72</v>
      </c>
      <c r="I1128">
        <v>1201</v>
      </c>
    </row>
    <row r="1129" spans="1:9" x14ac:dyDescent="0.25">
      <c r="A1129" t="s">
        <v>9031</v>
      </c>
      <c r="B1129" t="s">
        <v>9032</v>
      </c>
      <c r="C1129" t="s">
        <v>9034</v>
      </c>
      <c r="D1129" t="s">
        <v>9034</v>
      </c>
      <c r="E1129" t="s">
        <v>9033</v>
      </c>
      <c r="F1129">
        <v>5201</v>
      </c>
      <c r="G1129" t="s">
        <v>79</v>
      </c>
      <c r="H1129" t="s">
        <v>79</v>
      </c>
      <c r="I1129">
        <v>51420</v>
      </c>
    </row>
    <row r="1130" spans="1:9" x14ac:dyDescent="0.25">
      <c r="A1130" t="s">
        <v>9037</v>
      </c>
      <c r="B1130" t="s">
        <v>9038</v>
      </c>
      <c r="C1130" t="s">
        <v>9040</v>
      </c>
      <c r="D1130" t="s">
        <v>9040</v>
      </c>
      <c r="E1130" t="s">
        <v>9039</v>
      </c>
      <c r="F1130">
        <v>8518</v>
      </c>
      <c r="G1130" t="s">
        <v>881</v>
      </c>
      <c r="H1130" t="s">
        <v>15226</v>
      </c>
    </row>
    <row r="1131" spans="1:9" x14ac:dyDescent="0.25">
      <c r="A1131" t="s">
        <v>9043</v>
      </c>
      <c r="B1131" t="s">
        <v>9044</v>
      </c>
      <c r="C1131" t="s">
        <v>9046</v>
      </c>
      <c r="D1131" t="s">
        <v>9046</v>
      </c>
      <c r="E1131" t="s">
        <v>9045</v>
      </c>
      <c r="F1131">
        <v>8590</v>
      </c>
      <c r="G1131" t="s">
        <v>2463</v>
      </c>
      <c r="H1131" t="s">
        <v>15293</v>
      </c>
      <c r="I1131">
        <v>45805</v>
      </c>
    </row>
    <row r="1132" spans="1:9" x14ac:dyDescent="0.25">
      <c r="A1132" t="s">
        <v>9049</v>
      </c>
      <c r="B1132" t="s">
        <v>9050</v>
      </c>
      <c r="C1132" t="s">
        <v>9052</v>
      </c>
      <c r="D1132" t="s">
        <v>9052</v>
      </c>
      <c r="E1132" t="s">
        <v>9051</v>
      </c>
      <c r="F1132">
        <v>8701</v>
      </c>
      <c r="G1132" t="s">
        <v>8209</v>
      </c>
      <c r="H1132" t="s">
        <v>79</v>
      </c>
      <c r="I1132">
        <v>33090</v>
      </c>
    </row>
    <row r="1133" spans="1:9" x14ac:dyDescent="0.25">
      <c r="A1133" t="s">
        <v>9054</v>
      </c>
      <c r="B1133" t="s">
        <v>9055</v>
      </c>
      <c r="C1133" t="s">
        <v>9057</v>
      </c>
      <c r="D1133" t="s">
        <v>9057</v>
      </c>
      <c r="E1133">
        <v>4129648564</v>
      </c>
      <c r="F1133">
        <v>8596</v>
      </c>
      <c r="G1133" t="s">
        <v>1430</v>
      </c>
      <c r="H1133" t="s">
        <v>85</v>
      </c>
      <c r="I1133">
        <v>50194</v>
      </c>
    </row>
    <row r="1134" spans="1:9" x14ac:dyDescent="0.25">
      <c r="A1134" t="s">
        <v>9060</v>
      </c>
      <c r="B1134" t="s">
        <v>9061</v>
      </c>
      <c r="C1134" t="s">
        <v>9063</v>
      </c>
      <c r="D1134" t="s">
        <v>9063</v>
      </c>
      <c r="E1134" t="s">
        <v>9062</v>
      </c>
      <c r="F1134">
        <v>5201</v>
      </c>
      <c r="G1134" t="s">
        <v>79</v>
      </c>
      <c r="H1134" t="s">
        <v>79</v>
      </c>
      <c r="I1134">
        <v>39251</v>
      </c>
    </row>
    <row r="1135" spans="1:9" x14ac:dyDescent="0.25">
      <c r="A1135" t="s">
        <v>9067</v>
      </c>
      <c r="B1135" t="s">
        <v>9068</v>
      </c>
      <c r="C1135" t="s">
        <v>9070</v>
      </c>
      <c r="D1135" t="s">
        <v>9070</v>
      </c>
      <c r="E1135" t="s">
        <v>9069</v>
      </c>
      <c r="F1135">
        <v>8558</v>
      </c>
      <c r="G1135" t="s">
        <v>1360</v>
      </c>
      <c r="H1135" t="s">
        <v>1215</v>
      </c>
      <c r="I1135">
        <v>53311</v>
      </c>
    </row>
    <row r="1136" spans="1:9" x14ac:dyDescent="0.25">
      <c r="A1136" t="s">
        <v>9073</v>
      </c>
      <c r="B1136" t="s">
        <v>9074</v>
      </c>
      <c r="C1136" t="s">
        <v>9076</v>
      </c>
      <c r="D1136" t="s">
        <v>9076</v>
      </c>
      <c r="E1136" t="s">
        <v>9075</v>
      </c>
      <c r="F1136">
        <v>8545</v>
      </c>
      <c r="G1136" t="s">
        <v>327</v>
      </c>
      <c r="H1136" t="s">
        <v>15231</v>
      </c>
      <c r="I1136">
        <v>6615</v>
      </c>
    </row>
    <row r="1137" spans="1:9" x14ac:dyDescent="0.25">
      <c r="A1137" t="s">
        <v>9079</v>
      </c>
      <c r="B1137" t="s">
        <v>9080</v>
      </c>
      <c r="C1137" t="s">
        <v>9082</v>
      </c>
      <c r="D1137" t="s">
        <v>9082</v>
      </c>
      <c r="E1137">
        <v>4147804777</v>
      </c>
      <c r="F1137">
        <v>8545</v>
      </c>
      <c r="G1137" t="s">
        <v>327</v>
      </c>
      <c r="H1137" t="s">
        <v>15231</v>
      </c>
      <c r="I1137">
        <v>4737</v>
      </c>
    </row>
    <row r="1138" spans="1:9" x14ac:dyDescent="0.25">
      <c r="A1138" t="s">
        <v>9085</v>
      </c>
      <c r="B1138" t="s">
        <v>9086</v>
      </c>
      <c r="C1138" t="s">
        <v>9088</v>
      </c>
      <c r="D1138" t="s">
        <v>9088</v>
      </c>
      <c r="E1138" t="s">
        <v>9087</v>
      </c>
      <c r="F1138">
        <v>8516</v>
      </c>
      <c r="G1138" t="s">
        <v>157</v>
      </c>
      <c r="H1138" t="s">
        <v>15226</v>
      </c>
      <c r="I1138">
        <v>41126</v>
      </c>
    </row>
    <row r="1139" spans="1:9" x14ac:dyDescent="0.25">
      <c r="A1139" t="s">
        <v>9098</v>
      </c>
      <c r="B1139" t="s">
        <v>9099</v>
      </c>
      <c r="C1139" t="s">
        <v>9101</v>
      </c>
      <c r="D1139" t="s">
        <v>9101</v>
      </c>
      <c r="E1139" t="s">
        <v>9100</v>
      </c>
      <c r="F1139">
        <v>8596</v>
      </c>
      <c r="G1139" t="s">
        <v>1430</v>
      </c>
      <c r="H1139" t="s">
        <v>85</v>
      </c>
      <c r="I1139">
        <v>42483</v>
      </c>
    </row>
    <row r="1140" spans="1:9" x14ac:dyDescent="0.25">
      <c r="A1140" t="s">
        <v>9104</v>
      </c>
      <c r="B1140" t="s">
        <v>9105</v>
      </c>
      <c r="C1140" t="s">
        <v>9108</v>
      </c>
      <c r="D1140" t="s">
        <v>9108</v>
      </c>
      <c r="E1140" t="s">
        <v>9107</v>
      </c>
      <c r="F1140">
        <v>8648</v>
      </c>
      <c r="G1140" t="s">
        <v>9106</v>
      </c>
      <c r="H1140" t="s">
        <v>4854</v>
      </c>
      <c r="I1140">
        <v>43486</v>
      </c>
    </row>
    <row r="1141" spans="1:9" x14ac:dyDescent="0.25">
      <c r="A1141" t="s">
        <v>9117</v>
      </c>
      <c r="B1141" t="s">
        <v>3471</v>
      </c>
      <c r="C1141" t="s">
        <v>9119</v>
      </c>
      <c r="D1141" t="s">
        <v>15540</v>
      </c>
      <c r="E1141">
        <v>4242354044</v>
      </c>
      <c r="F1141">
        <v>8617</v>
      </c>
      <c r="G1141" t="s">
        <v>4371</v>
      </c>
      <c r="H1141" t="s">
        <v>15249</v>
      </c>
      <c r="I1141">
        <v>51426</v>
      </c>
    </row>
    <row r="1142" spans="1:9" x14ac:dyDescent="0.25">
      <c r="A1142" t="s">
        <v>9122</v>
      </c>
      <c r="B1142" t="s">
        <v>9123</v>
      </c>
      <c r="C1142" t="s">
        <v>9125</v>
      </c>
      <c r="D1142" t="s">
        <v>9125</v>
      </c>
      <c r="E1142" t="s">
        <v>9124</v>
      </c>
      <c r="F1142">
        <v>8515</v>
      </c>
      <c r="G1142" t="s">
        <v>255</v>
      </c>
      <c r="H1142" t="s">
        <v>15249</v>
      </c>
      <c r="I1142">
        <v>51928</v>
      </c>
    </row>
    <row r="1143" spans="1:9" x14ac:dyDescent="0.25">
      <c r="A1143" t="s">
        <v>9133</v>
      </c>
      <c r="B1143" t="s">
        <v>9134</v>
      </c>
      <c r="C1143" t="s">
        <v>9138</v>
      </c>
      <c r="D1143" t="s">
        <v>9138</v>
      </c>
      <c r="E1143">
        <v>4125618838</v>
      </c>
      <c r="F1143">
        <v>8764</v>
      </c>
      <c r="G1143" t="s">
        <v>7493</v>
      </c>
      <c r="H1143" t="s">
        <v>15541</v>
      </c>
      <c r="I1143">
        <v>49078</v>
      </c>
    </row>
    <row r="1144" spans="1:9" x14ac:dyDescent="0.25">
      <c r="A1144" t="s">
        <v>9141</v>
      </c>
      <c r="B1144" t="s">
        <v>9142</v>
      </c>
      <c r="F1144">
        <v>6201</v>
      </c>
      <c r="G1144" t="s">
        <v>41</v>
      </c>
      <c r="H1144" t="s">
        <v>15220</v>
      </c>
    </row>
    <row r="1145" spans="1:9" x14ac:dyDescent="0.25">
      <c r="A1145" t="s">
        <v>9145</v>
      </c>
      <c r="B1145" t="s">
        <v>9146</v>
      </c>
      <c r="C1145" t="s">
        <v>9150</v>
      </c>
      <c r="D1145" t="s">
        <v>9150</v>
      </c>
      <c r="E1145" t="s">
        <v>9147</v>
      </c>
      <c r="F1145">
        <v>8748</v>
      </c>
      <c r="G1145" t="s">
        <v>7938</v>
      </c>
      <c r="H1145" t="s">
        <v>15534</v>
      </c>
      <c r="I1145">
        <v>39016</v>
      </c>
    </row>
    <row r="1146" spans="1:9" x14ac:dyDescent="0.25">
      <c r="A1146" t="s">
        <v>15184</v>
      </c>
      <c r="B1146" t="s">
        <v>9154</v>
      </c>
      <c r="C1146" t="s">
        <v>9156</v>
      </c>
      <c r="D1146" t="s">
        <v>9156</v>
      </c>
      <c r="E1146" t="s">
        <v>9155</v>
      </c>
      <c r="F1146">
        <v>8719</v>
      </c>
      <c r="G1146" t="s">
        <v>8673</v>
      </c>
      <c r="H1146" t="s">
        <v>79</v>
      </c>
      <c r="I1146">
        <v>41380</v>
      </c>
    </row>
    <row r="1147" spans="1:9" x14ac:dyDescent="0.25">
      <c r="A1147" t="s">
        <v>9158</v>
      </c>
      <c r="B1147" t="s">
        <v>9159</v>
      </c>
      <c r="C1147" t="s">
        <v>9161</v>
      </c>
      <c r="D1147" t="s">
        <v>9161</v>
      </c>
      <c r="E1147" t="s">
        <v>9160</v>
      </c>
      <c r="F1147">
        <v>8703</v>
      </c>
      <c r="G1147" t="s">
        <v>15519</v>
      </c>
      <c r="H1147" t="s">
        <v>79</v>
      </c>
      <c r="I1147">
        <v>4004</v>
      </c>
    </row>
    <row r="1148" spans="1:9" x14ac:dyDescent="0.25">
      <c r="A1148" t="s">
        <v>15185</v>
      </c>
      <c r="B1148" t="s">
        <v>9165</v>
      </c>
      <c r="C1148" t="s">
        <v>9167</v>
      </c>
      <c r="D1148" t="s">
        <v>15542</v>
      </c>
      <c r="E1148" t="s">
        <v>9166</v>
      </c>
      <c r="F1148">
        <v>8573</v>
      </c>
      <c r="G1148" t="s">
        <v>861</v>
      </c>
      <c r="H1148" t="s">
        <v>106</v>
      </c>
      <c r="I1148">
        <v>49846</v>
      </c>
    </row>
    <row r="1149" spans="1:9" x14ac:dyDescent="0.25">
      <c r="A1149" t="s">
        <v>9174</v>
      </c>
      <c r="B1149" t="s">
        <v>9175</v>
      </c>
      <c r="C1149" t="s">
        <v>9177</v>
      </c>
      <c r="D1149" t="s">
        <v>9177</v>
      </c>
      <c r="E1149" t="s">
        <v>9176</v>
      </c>
      <c r="F1149">
        <v>8545</v>
      </c>
      <c r="G1149" t="s">
        <v>327</v>
      </c>
      <c r="H1149" t="s">
        <v>15231</v>
      </c>
      <c r="I1149">
        <v>3925</v>
      </c>
    </row>
    <row r="1150" spans="1:9" x14ac:dyDescent="0.25">
      <c r="A1150" t="s">
        <v>9179</v>
      </c>
      <c r="B1150" t="s">
        <v>9180</v>
      </c>
      <c r="C1150" t="s">
        <v>9181</v>
      </c>
      <c r="D1150" t="s">
        <v>9181</v>
      </c>
      <c r="F1150">
        <v>8695</v>
      </c>
      <c r="G1150" t="s">
        <v>2572</v>
      </c>
      <c r="H1150" t="s">
        <v>2399</v>
      </c>
      <c r="I1150">
        <v>5813</v>
      </c>
    </row>
    <row r="1151" spans="1:9" x14ac:dyDescent="0.25">
      <c r="A1151" t="s">
        <v>9184</v>
      </c>
      <c r="B1151" t="s">
        <v>9185</v>
      </c>
      <c r="C1151" t="s">
        <v>9189</v>
      </c>
      <c r="D1151" t="s">
        <v>9189</v>
      </c>
      <c r="E1151" t="s">
        <v>7368</v>
      </c>
      <c r="F1151">
        <v>8727</v>
      </c>
      <c r="G1151" t="s">
        <v>9186</v>
      </c>
      <c r="H1151" t="s">
        <v>15453</v>
      </c>
      <c r="I1151">
        <v>39814</v>
      </c>
    </row>
    <row r="1152" spans="1:9" x14ac:dyDescent="0.25">
      <c r="A1152" t="s">
        <v>9192</v>
      </c>
      <c r="B1152" t="s">
        <v>9193</v>
      </c>
      <c r="C1152" t="s">
        <v>9194</v>
      </c>
      <c r="D1152" t="s">
        <v>9194</v>
      </c>
      <c r="F1152">
        <v>8626</v>
      </c>
      <c r="G1152" t="s">
        <v>5739</v>
      </c>
      <c r="H1152" t="s">
        <v>15453</v>
      </c>
      <c r="I1152">
        <v>47886</v>
      </c>
    </row>
    <row r="1153" spans="1:9" x14ac:dyDescent="0.25">
      <c r="A1153" t="s">
        <v>9197</v>
      </c>
      <c r="B1153" t="s">
        <v>9198</v>
      </c>
      <c r="C1153" t="s">
        <v>9200</v>
      </c>
      <c r="D1153" t="s">
        <v>9200</v>
      </c>
      <c r="E1153">
        <v>4125183434</v>
      </c>
      <c r="F1153">
        <v>5219</v>
      </c>
      <c r="G1153" t="s">
        <v>7424</v>
      </c>
      <c r="H1153" t="s">
        <v>79</v>
      </c>
      <c r="I1153">
        <v>48753</v>
      </c>
    </row>
    <row r="1154" spans="1:9" x14ac:dyDescent="0.25">
      <c r="A1154" t="s">
        <v>9203</v>
      </c>
      <c r="B1154" t="s">
        <v>9204</v>
      </c>
      <c r="C1154" t="s">
        <v>9205</v>
      </c>
      <c r="D1154" t="s">
        <v>9205</v>
      </c>
      <c r="F1154">
        <v>8550</v>
      </c>
      <c r="G1154" t="s">
        <v>315</v>
      </c>
      <c r="H1154" t="s">
        <v>15233</v>
      </c>
      <c r="I1154">
        <v>50867</v>
      </c>
    </row>
    <row r="1155" spans="1:9" x14ac:dyDescent="0.25">
      <c r="A1155" t="s">
        <v>9208</v>
      </c>
      <c r="B1155" t="s">
        <v>9209</v>
      </c>
      <c r="C1155" t="s">
        <v>9211</v>
      </c>
      <c r="D1155" t="s">
        <v>9211</v>
      </c>
      <c r="E1155" t="s">
        <v>8377</v>
      </c>
      <c r="F1155">
        <v>8626</v>
      </c>
      <c r="G1155" t="s">
        <v>9210</v>
      </c>
      <c r="H1155" t="s">
        <v>15453</v>
      </c>
      <c r="I1155">
        <v>41298</v>
      </c>
    </row>
    <row r="1156" spans="1:9" x14ac:dyDescent="0.25">
      <c r="A1156" t="s">
        <v>9214</v>
      </c>
      <c r="B1156" t="s">
        <v>9215</v>
      </c>
      <c r="C1156" t="s">
        <v>9217</v>
      </c>
      <c r="D1156" t="s">
        <v>9217</v>
      </c>
      <c r="E1156" t="s">
        <v>8377</v>
      </c>
      <c r="F1156">
        <v>8626</v>
      </c>
      <c r="G1156" t="s">
        <v>9216</v>
      </c>
      <c r="H1156" t="s">
        <v>15453</v>
      </c>
      <c r="I1156">
        <v>3842</v>
      </c>
    </row>
    <row r="1157" spans="1:9" x14ac:dyDescent="0.25">
      <c r="A1157" t="s">
        <v>9220</v>
      </c>
      <c r="B1157" t="s">
        <v>9221</v>
      </c>
      <c r="C1157" t="s">
        <v>9222</v>
      </c>
      <c r="D1157" t="s">
        <v>9222</v>
      </c>
      <c r="E1157" t="s">
        <v>2486</v>
      </c>
      <c r="F1157">
        <v>8523</v>
      </c>
      <c r="G1157" t="s">
        <v>1222</v>
      </c>
      <c r="H1157" t="s">
        <v>15226</v>
      </c>
      <c r="I1157">
        <v>46005</v>
      </c>
    </row>
    <row r="1158" spans="1:9" x14ac:dyDescent="0.25">
      <c r="A1158" t="s">
        <v>9225</v>
      </c>
      <c r="B1158" t="s">
        <v>9226</v>
      </c>
      <c r="C1158" t="s">
        <v>9228</v>
      </c>
      <c r="D1158" t="s">
        <v>9228</v>
      </c>
      <c r="E1158" t="s">
        <v>9227</v>
      </c>
      <c r="F1158">
        <v>8596</v>
      </c>
      <c r="G1158" t="s">
        <v>1430</v>
      </c>
      <c r="H1158" t="s">
        <v>85</v>
      </c>
      <c r="I1158">
        <v>2610</v>
      </c>
    </row>
    <row r="1159" spans="1:9" x14ac:dyDescent="0.25">
      <c r="A1159" t="s">
        <v>9230</v>
      </c>
      <c r="B1159" t="s">
        <v>9231</v>
      </c>
      <c r="C1159" t="s">
        <v>9233</v>
      </c>
      <c r="D1159" t="s">
        <v>9233</v>
      </c>
      <c r="E1159" t="s">
        <v>9232</v>
      </c>
      <c r="F1159">
        <v>8545</v>
      </c>
      <c r="G1159" t="s">
        <v>327</v>
      </c>
      <c r="H1159" t="s">
        <v>15231</v>
      </c>
      <c r="I1159">
        <v>26926</v>
      </c>
    </row>
    <row r="1160" spans="1:9" x14ac:dyDescent="0.25">
      <c r="A1160" t="s">
        <v>9236</v>
      </c>
      <c r="B1160" t="s">
        <v>9237</v>
      </c>
      <c r="C1160" t="s">
        <v>9239</v>
      </c>
      <c r="D1160" t="s">
        <v>9239</v>
      </c>
      <c r="E1160" t="s">
        <v>9238</v>
      </c>
      <c r="F1160">
        <v>8628</v>
      </c>
      <c r="G1160" t="s">
        <v>4798</v>
      </c>
      <c r="H1160" t="s">
        <v>1215</v>
      </c>
      <c r="I1160">
        <v>2785</v>
      </c>
    </row>
    <row r="1161" spans="1:9" x14ac:dyDescent="0.25">
      <c r="A1161" t="s">
        <v>9241</v>
      </c>
      <c r="B1161" t="s">
        <v>9243</v>
      </c>
      <c r="C1161" t="s">
        <v>15543</v>
      </c>
      <c r="D1161" t="s">
        <v>15543</v>
      </c>
      <c r="F1161">
        <v>8540</v>
      </c>
      <c r="G1161" t="s">
        <v>1062</v>
      </c>
      <c r="H1161" t="s">
        <v>72</v>
      </c>
      <c r="I1161">
        <v>2735</v>
      </c>
    </row>
    <row r="1162" spans="1:9" x14ac:dyDescent="0.25">
      <c r="A1162" t="s">
        <v>9246</v>
      </c>
      <c r="B1162" t="s">
        <v>9247</v>
      </c>
      <c r="C1162" t="s">
        <v>9249</v>
      </c>
      <c r="D1162" t="s">
        <v>9249</v>
      </c>
      <c r="E1162" t="s">
        <v>9248</v>
      </c>
      <c r="F1162">
        <v>8540</v>
      </c>
      <c r="G1162" t="s">
        <v>1062</v>
      </c>
      <c r="H1162" t="s">
        <v>72</v>
      </c>
      <c r="I1162">
        <v>39296</v>
      </c>
    </row>
    <row r="1163" spans="1:9" x14ac:dyDescent="0.25">
      <c r="A1163" t="s">
        <v>9252</v>
      </c>
      <c r="B1163" t="s">
        <v>9253</v>
      </c>
      <c r="C1163" t="s">
        <v>9254</v>
      </c>
      <c r="D1163" t="s">
        <v>9254</v>
      </c>
      <c r="F1163">
        <v>8532</v>
      </c>
      <c r="G1163" t="s">
        <v>614</v>
      </c>
      <c r="H1163" t="s">
        <v>15222</v>
      </c>
      <c r="I1163">
        <v>46654</v>
      </c>
    </row>
    <row r="1164" spans="1:9" x14ac:dyDescent="0.25">
      <c r="A1164" t="s">
        <v>9257</v>
      </c>
      <c r="B1164" t="s">
        <v>9258</v>
      </c>
      <c r="C1164" t="s">
        <v>9260</v>
      </c>
      <c r="D1164" t="s">
        <v>9260</v>
      </c>
      <c r="F1164">
        <v>8668</v>
      </c>
      <c r="G1164" t="s">
        <v>9259</v>
      </c>
      <c r="H1164" t="s">
        <v>15222</v>
      </c>
      <c r="I1164">
        <v>53209</v>
      </c>
    </row>
    <row r="1165" spans="1:9" x14ac:dyDescent="0.25">
      <c r="A1165" t="s">
        <v>15186</v>
      </c>
      <c r="B1165" t="s">
        <v>9263</v>
      </c>
      <c r="C1165" t="s">
        <v>9267</v>
      </c>
      <c r="D1165" t="s">
        <v>15544</v>
      </c>
      <c r="E1165" t="s">
        <v>9265</v>
      </c>
      <c r="F1165">
        <v>8729</v>
      </c>
      <c r="G1165" t="s">
        <v>9264</v>
      </c>
      <c r="H1165" t="s">
        <v>79</v>
      </c>
      <c r="I1165">
        <v>44471</v>
      </c>
    </row>
    <row r="1166" spans="1:9" x14ac:dyDescent="0.25">
      <c r="A1166" t="s">
        <v>9270</v>
      </c>
      <c r="B1166" t="s">
        <v>9271</v>
      </c>
      <c r="C1166" t="s">
        <v>9272</v>
      </c>
      <c r="D1166" t="s">
        <v>9272</v>
      </c>
      <c r="F1166">
        <v>8540</v>
      </c>
      <c r="G1166" t="s">
        <v>1062</v>
      </c>
      <c r="H1166" t="s">
        <v>72</v>
      </c>
      <c r="I1166">
        <v>52315</v>
      </c>
    </row>
    <row r="1167" spans="1:9" x14ac:dyDescent="0.25">
      <c r="A1167" t="s">
        <v>9275</v>
      </c>
      <c r="B1167" t="s">
        <v>9276</v>
      </c>
      <c r="C1167" t="s">
        <v>9280</v>
      </c>
      <c r="D1167" t="s">
        <v>9280</v>
      </c>
      <c r="E1167" t="s">
        <v>9278</v>
      </c>
      <c r="F1167">
        <v>8730</v>
      </c>
      <c r="G1167" t="s">
        <v>9277</v>
      </c>
      <c r="H1167" t="s">
        <v>15541</v>
      </c>
      <c r="I1167">
        <v>4063</v>
      </c>
    </row>
    <row r="1168" spans="1:9" x14ac:dyDescent="0.25">
      <c r="A1168" t="s">
        <v>9285</v>
      </c>
      <c r="B1168" t="s">
        <v>9286</v>
      </c>
      <c r="C1168" t="s">
        <v>9287</v>
      </c>
      <c r="D1168" t="s">
        <v>9287</v>
      </c>
      <c r="F1168">
        <v>8715</v>
      </c>
      <c r="G1168" t="s">
        <v>8401</v>
      </c>
      <c r="H1168" t="s">
        <v>2399</v>
      </c>
      <c r="I1168">
        <v>53285</v>
      </c>
    </row>
    <row r="1169" spans="1:9" x14ac:dyDescent="0.25">
      <c r="A1169" t="s">
        <v>9294</v>
      </c>
      <c r="B1169" t="s">
        <v>9295</v>
      </c>
      <c r="C1169" t="s">
        <v>9297</v>
      </c>
      <c r="D1169" t="s">
        <v>9297</v>
      </c>
      <c r="E1169" t="s">
        <v>9296</v>
      </c>
      <c r="F1169">
        <v>8558</v>
      </c>
      <c r="G1169" t="s">
        <v>1360</v>
      </c>
      <c r="H1169" t="s">
        <v>1215</v>
      </c>
      <c r="I1169">
        <v>47957</v>
      </c>
    </row>
    <row r="1170" spans="1:9" x14ac:dyDescent="0.25">
      <c r="A1170" t="s">
        <v>9300</v>
      </c>
      <c r="B1170" t="s">
        <v>9301</v>
      </c>
      <c r="C1170" t="s">
        <v>9303</v>
      </c>
      <c r="D1170" t="s">
        <v>9303</v>
      </c>
      <c r="E1170" t="s">
        <v>9302</v>
      </c>
      <c r="F1170">
        <v>8587</v>
      </c>
      <c r="G1170" t="s">
        <v>6986</v>
      </c>
      <c r="H1170" t="s">
        <v>2399</v>
      </c>
      <c r="I1170">
        <v>6395</v>
      </c>
    </row>
    <row r="1171" spans="1:9" x14ac:dyDescent="0.25">
      <c r="A1171" t="s">
        <v>9306</v>
      </c>
      <c r="B1171" t="s">
        <v>9307</v>
      </c>
      <c r="C1171" t="s">
        <v>9309</v>
      </c>
      <c r="D1171" t="s">
        <v>9309</v>
      </c>
      <c r="E1171">
        <v>4249543861</v>
      </c>
      <c r="F1171">
        <v>6201</v>
      </c>
      <c r="G1171" t="s">
        <v>41</v>
      </c>
      <c r="H1171" t="s">
        <v>15220</v>
      </c>
    </row>
    <row r="1172" spans="1:9" x14ac:dyDescent="0.25">
      <c r="A1172" t="s">
        <v>9312</v>
      </c>
      <c r="B1172" t="s">
        <v>9313</v>
      </c>
      <c r="C1172" t="s">
        <v>9315</v>
      </c>
      <c r="D1172" t="s">
        <v>9315</v>
      </c>
      <c r="E1172" t="s">
        <v>9314</v>
      </c>
      <c r="F1172">
        <v>8708</v>
      </c>
      <c r="G1172" t="s">
        <v>8101</v>
      </c>
      <c r="H1172" t="s">
        <v>4854</v>
      </c>
      <c r="I1172">
        <v>45421</v>
      </c>
    </row>
    <row r="1173" spans="1:9" x14ac:dyDescent="0.25">
      <c r="A1173" t="s">
        <v>9318</v>
      </c>
      <c r="B1173" t="s">
        <v>9319</v>
      </c>
      <c r="C1173" t="s">
        <v>9321</v>
      </c>
      <c r="D1173" t="s">
        <v>9321</v>
      </c>
      <c r="E1173" t="s">
        <v>9320</v>
      </c>
      <c r="F1173">
        <v>8604</v>
      </c>
      <c r="G1173" t="s">
        <v>3122</v>
      </c>
      <c r="H1173" t="s">
        <v>1215</v>
      </c>
      <c r="I1173">
        <v>41178</v>
      </c>
    </row>
    <row r="1174" spans="1:9" x14ac:dyDescent="0.25">
      <c r="A1174" t="s">
        <v>9324</v>
      </c>
      <c r="B1174" t="s">
        <v>9325</v>
      </c>
      <c r="C1174" t="s">
        <v>9327</v>
      </c>
      <c r="D1174" t="s">
        <v>9327</v>
      </c>
      <c r="E1174" t="s">
        <v>9326</v>
      </c>
      <c r="F1174">
        <v>8695</v>
      </c>
      <c r="G1174" t="s">
        <v>2572</v>
      </c>
      <c r="H1174" t="s">
        <v>2399</v>
      </c>
      <c r="I1174">
        <v>17608</v>
      </c>
    </row>
    <row r="1175" spans="1:9" x14ac:dyDescent="0.25">
      <c r="A1175" t="s">
        <v>9330</v>
      </c>
      <c r="B1175" t="s">
        <v>9331</v>
      </c>
      <c r="C1175" t="s">
        <v>9332</v>
      </c>
      <c r="D1175" t="s">
        <v>9332</v>
      </c>
      <c r="F1175">
        <v>8626</v>
      </c>
      <c r="G1175" t="s">
        <v>5739</v>
      </c>
      <c r="H1175" t="s">
        <v>15453</v>
      </c>
      <c r="I1175">
        <v>4082</v>
      </c>
    </row>
    <row r="1176" spans="1:9" x14ac:dyDescent="0.25">
      <c r="A1176" t="s">
        <v>9335</v>
      </c>
      <c r="B1176" t="s">
        <v>9336</v>
      </c>
      <c r="C1176" t="s">
        <v>9338</v>
      </c>
      <c r="D1176" t="s">
        <v>9338</v>
      </c>
      <c r="E1176" t="s">
        <v>9337</v>
      </c>
      <c r="F1176">
        <v>8596</v>
      </c>
      <c r="G1176" t="s">
        <v>1430</v>
      </c>
      <c r="H1176" t="s">
        <v>85</v>
      </c>
      <c r="I1176">
        <v>33919</v>
      </c>
    </row>
    <row r="1177" spans="1:9" x14ac:dyDescent="0.25">
      <c r="A1177" t="s">
        <v>9341</v>
      </c>
      <c r="B1177" t="s">
        <v>9342</v>
      </c>
      <c r="C1177" t="s">
        <v>9345</v>
      </c>
      <c r="D1177" t="s">
        <v>9345</v>
      </c>
      <c r="F1177">
        <v>8731</v>
      </c>
      <c r="G1177" t="s">
        <v>9343</v>
      </c>
      <c r="H1177" t="s">
        <v>15453</v>
      </c>
      <c r="I1177">
        <v>21925</v>
      </c>
    </row>
    <row r="1178" spans="1:9" x14ac:dyDescent="0.25">
      <c r="A1178" t="s">
        <v>9348</v>
      </c>
      <c r="B1178" t="s">
        <v>9349</v>
      </c>
      <c r="C1178" t="s">
        <v>9351</v>
      </c>
      <c r="D1178" t="s">
        <v>9351</v>
      </c>
      <c r="E1178" t="s">
        <v>9350</v>
      </c>
      <c r="F1178">
        <v>8699</v>
      </c>
      <c r="G1178" t="s">
        <v>2400</v>
      </c>
      <c r="H1178" t="s">
        <v>2399</v>
      </c>
      <c r="I1178">
        <v>37697</v>
      </c>
    </row>
    <row r="1179" spans="1:9" x14ac:dyDescent="0.25">
      <c r="A1179" t="s">
        <v>9354</v>
      </c>
      <c r="B1179" t="s">
        <v>9355</v>
      </c>
      <c r="C1179" t="s">
        <v>9356</v>
      </c>
      <c r="D1179" t="s">
        <v>9356</v>
      </c>
      <c r="F1179">
        <v>8626</v>
      </c>
      <c r="G1179" t="s">
        <v>5739</v>
      </c>
      <c r="H1179" t="s">
        <v>15453</v>
      </c>
      <c r="I1179">
        <v>40344</v>
      </c>
    </row>
    <row r="1180" spans="1:9" x14ac:dyDescent="0.25">
      <c r="A1180" t="s">
        <v>9359</v>
      </c>
      <c r="B1180" t="s">
        <v>9360</v>
      </c>
      <c r="C1180" t="s">
        <v>9362</v>
      </c>
      <c r="D1180" t="s">
        <v>9362</v>
      </c>
      <c r="E1180" t="s">
        <v>9361</v>
      </c>
      <c r="F1180">
        <v>8680</v>
      </c>
      <c r="G1180" t="s">
        <v>6240</v>
      </c>
      <c r="H1180" t="s">
        <v>85</v>
      </c>
      <c r="I1180">
        <v>39915</v>
      </c>
    </row>
    <row r="1181" spans="1:9" x14ac:dyDescent="0.25">
      <c r="A1181" t="s">
        <v>9365</v>
      </c>
      <c r="B1181" t="s">
        <v>9366</v>
      </c>
      <c r="C1181" t="s">
        <v>9367</v>
      </c>
      <c r="D1181" t="s">
        <v>9367</v>
      </c>
      <c r="E1181" t="s">
        <v>9361</v>
      </c>
      <c r="F1181">
        <v>8680</v>
      </c>
      <c r="G1181" t="s">
        <v>6240</v>
      </c>
      <c r="H1181" t="s">
        <v>85</v>
      </c>
      <c r="I1181">
        <v>30682</v>
      </c>
    </row>
    <row r="1182" spans="1:9" x14ac:dyDescent="0.25">
      <c r="A1182" t="s">
        <v>9370</v>
      </c>
      <c r="B1182" t="s">
        <v>9371</v>
      </c>
      <c r="C1182" t="s">
        <v>9373</v>
      </c>
      <c r="D1182" t="s">
        <v>9373</v>
      </c>
      <c r="E1182" t="s">
        <v>9372</v>
      </c>
      <c r="F1182">
        <v>8680</v>
      </c>
      <c r="G1182" t="s">
        <v>6240</v>
      </c>
      <c r="H1182" t="s">
        <v>85</v>
      </c>
      <c r="I1182">
        <v>39917</v>
      </c>
    </row>
    <row r="1183" spans="1:9" x14ac:dyDescent="0.25">
      <c r="A1183" t="s">
        <v>9376</v>
      </c>
      <c r="B1183" t="s">
        <v>9377</v>
      </c>
      <c r="C1183" t="s">
        <v>9379</v>
      </c>
      <c r="D1183" t="s">
        <v>9379</v>
      </c>
      <c r="E1183" t="s">
        <v>9378</v>
      </c>
      <c r="F1183">
        <v>8680</v>
      </c>
      <c r="G1183" t="s">
        <v>6240</v>
      </c>
      <c r="H1183" t="s">
        <v>85</v>
      </c>
      <c r="I1183">
        <v>39914</v>
      </c>
    </row>
    <row r="1184" spans="1:9" x14ac:dyDescent="0.25">
      <c r="A1184" t="s">
        <v>9382</v>
      </c>
      <c r="B1184" t="s">
        <v>9383</v>
      </c>
      <c r="C1184" t="s">
        <v>9386</v>
      </c>
      <c r="D1184" t="s">
        <v>9386</v>
      </c>
      <c r="E1184" t="s">
        <v>9372</v>
      </c>
      <c r="F1184">
        <v>8732</v>
      </c>
      <c r="G1184" t="s">
        <v>9384</v>
      </c>
      <c r="H1184" t="s">
        <v>15293</v>
      </c>
      <c r="I1184">
        <v>50066</v>
      </c>
    </row>
    <row r="1185" spans="1:9" x14ac:dyDescent="0.25">
      <c r="A1185" t="s">
        <v>9389</v>
      </c>
      <c r="B1185" t="s">
        <v>9390</v>
      </c>
      <c r="C1185" t="s">
        <v>9392</v>
      </c>
      <c r="D1185" t="s">
        <v>15545</v>
      </c>
      <c r="E1185" t="s">
        <v>9391</v>
      </c>
      <c r="F1185">
        <v>8587</v>
      </c>
      <c r="G1185" t="s">
        <v>6986</v>
      </c>
      <c r="H1185" t="s">
        <v>2399</v>
      </c>
      <c r="I1185">
        <v>41669</v>
      </c>
    </row>
    <row r="1186" spans="1:9" x14ac:dyDescent="0.25">
      <c r="A1186" t="s">
        <v>9395</v>
      </c>
      <c r="B1186" t="s">
        <v>9396</v>
      </c>
      <c r="C1186" t="s">
        <v>9397</v>
      </c>
      <c r="D1186" t="s">
        <v>9397</v>
      </c>
      <c r="F1186">
        <v>8587</v>
      </c>
      <c r="G1186" t="s">
        <v>6986</v>
      </c>
      <c r="H1186" t="s">
        <v>2399</v>
      </c>
      <c r="I1186">
        <v>46560</v>
      </c>
    </row>
    <row r="1187" spans="1:9" x14ac:dyDescent="0.25">
      <c r="A1187" t="s">
        <v>9403</v>
      </c>
      <c r="B1187" t="s">
        <v>9404</v>
      </c>
      <c r="C1187" t="s">
        <v>9406</v>
      </c>
      <c r="D1187" t="s">
        <v>9406</v>
      </c>
      <c r="E1187" t="s">
        <v>9405</v>
      </c>
      <c r="F1187">
        <v>8665</v>
      </c>
      <c r="G1187" t="s">
        <v>6367</v>
      </c>
      <c r="H1187" t="s">
        <v>85</v>
      </c>
      <c r="I1187">
        <v>40978</v>
      </c>
    </row>
    <row r="1188" spans="1:9" x14ac:dyDescent="0.25">
      <c r="A1188" t="s">
        <v>9409</v>
      </c>
      <c r="B1188" t="s">
        <v>9410</v>
      </c>
      <c r="C1188" t="s">
        <v>9411</v>
      </c>
      <c r="D1188" t="s">
        <v>9411</v>
      </c>
      <c r="E1188" t="s">
        <v>9405</v>
      </c>
      <c r="F1188">
        <v>8680</v>
      </c>
      <c r="G1188" t="s">
        <v>6240</v>
      </c>
      <c r="H1188" t="s">
        <v>85</v>
      </c>
      <c r="I1188">
        <v>39916</v>
      </c>
    </row>
    <row r="1189" spans="1:9" x14ac:dyDescent="0.25">
      <c r="A1189" t="s">
        <v>9414</v>
      </c>
      <c r="B1189" t="s">
        <v>9415</v>
      </c>
      <c r="C1189" t="s">
        <v>9419</v>
      </c>
      <c r="D1189" t="s">
        <v>9419</v>
      </c>
      <c r="E1189" t="s">
        <v>9417</v>
      </c>
      <c r="F1189">
        <v>8733</v>
      </c>
      <c r="G1189" t="s">
        <v>9416</v>
      </c>
      <c r="H1189" t="s">
        <v>79</v>
      </c>
      <c r="I1189">
        <v>36853</v>
      </c>
    </row>
    <row r="1190" spans="1:9" x14ac:dyDescent="0.25">
      <c r="A1190" t="s">
        <v>9424</v>
      </c>
      <c r="B1190" t="s">
        <v>9425</v>
      </c>
      <c r="C1190" t="s">
        <v>9427</v>
      </c>
      <c r="D1190" t="s">
        <v>9427</v>
      </c>
      <c r="E1190" t="s">
        <v>9426</v>
      </c>
      <c r="F1190">
        <v>5201</v>
      </c>
      <c r="G1190" t="s">
        <v>79</v>
      </c>
      <c r="H1190" t="s">
        <v>79</v>
      </c>
      <c r="I1190">
        <v>39806</v>
      </c>
    </row>
    <row r="1191" spans="1:9" x14ac:dyDescent="0.25">
      <c r="A1191" t="s">
        <v>9430</v>
      </c>
      <c r="B1191" t="s">
        <v>9431</v>
      </c>
      <c r="C1191" t="s">
        <v>9433</v>
      </c>
      <c r="D1191" t="s">
        <v>9433</v>
      </c>
      <c r="E1191" t="s">
        <v>9432</v>
      </c>
      <c r="F1191">
        <v>8540</v>
      </c>
      <c r="G1191" t="s">
        <v>1062</v>
      </c>
      <c r="H1191" t="s">
        <v>72</v>
      </c>
      <c r="I1191">
        <v>49613</v>
      </c>
    </row>
    <row r="1192" spans="1:9" x14ac:dyDescent="0.25">
      <c r="A1192" t="s">
        <v>9436</v>
      </c>
      <c r="B1192" t="s">
        <v>9437</v>
      </c>
      <c r="C1192" t="s">
        <v>9438</v>
      </c>
      <c r="D1192" t="s">
        <v>9438</v>
      </c>
      <c r="E1192" t="s">
        <v>9432</v>
      </c>
      <c r="F1192">
        <v>8534</v>
      </c>
      <c r="G1192" t="s">
        <v>446</v>
      </c>
      <c r="H1192" t="s">
        <v>72</v>
      </c>
    </row>
    <row r="1193" spans="1:9" x14ac:dyDescent="0.25">
      <c r="A1193" t="s">
        <v>9440</v>
      </c>
      <c r="B1193" t="s">
        <v>9441</v>
      </c>
      <c r="C1193" t="s">
        <v>9442</v>
      </c>
      <c r="D1193" t="s">
        <v>15546</v>
      </c>
      <c r="F1193">
        <v>8536</v>
      </c>
      <c r="G1193" t="s">
        <v>877</v>
      </c>
      <c r="H1193" t="s">
        <v>72</v>
      </c>
      <c r="I1193">
        <v>53432</v>
      </c>
    </row>
    <row r="1194" spans="1:9" x14ac:dyDescent="0.25">
      <c r="A1194" t="s">
        <v>9450</v>
      </c>
      <c r="B1194" t="s">
        <v>9451</v>
      </c>
      <c r="C1194" t="s">
        <v>9453</v>
      </c>
      <c r="D1194" t="s">
        <v>9453</v>
      </c>
      <c r="E1194" t="s">
        <v>9447</v>
      </c>
      <c r="F1194">
        <v>8712</v>
      </c>
      <c r="G1194" t="s">
        <v>9452</v>
      </c>
      <c r="H1194" t="s">
        <v>2399</v>
      </c>
      <c r="I1194">
        <v>41557</v>
      </c>
    </row>
    <row r="1195" spans="1:9" x14ac:dyDescent="0.25">
      <c r="A1195" t="s">
        <v>9456</v>
      </c>
      <c r="B1195" t="s">
        <v>9457</v>
      </c>
      <c r="C1195" t="s">
        <v>9458</v>
      </c>
      <c r="D1195" t="s">
        <v>9458</v>
      </c>
      <c r="F1195">
        <v>8540</v>
      </c>
      <c r="G1195" t="s">
        <v>1062</v>
      </c>
      <c r="H1195" t="s">
        <v>72</v>
      </c>
      <c r="I1195">
        <v>4820</v>
      </c>
    </row>
    <row r="1196" spans="1:9" x14ac:dyDescent="0.25">
      <c r="A1196" t="s">
        <v>9461</v>
      </c>
      <c r="B1196" t="s">
        <v>9462</v>
      </c>
      <c r="C1196" t="s">
        <v>9464</v>
      </c>
      <c r="D1196" t="s">
        <v>9464</v>
      </c>
      <c r="E1196" t="s">
        <v>9463</v>
      </c>
      <c r="F1196">
        <v>3357</v>
      </c>
      <c r="G1196" t="s">
        <v>7342</v>
      </c>
      <c r="H1196" t="s">
        <v>2399</v>
      </c>
      <c r="I1196">
        <v>5430</v>
      </c>
    </row>
    <row r="1197" spans="1:9" x14ac:dyDescent="0.25">
      <c r="A1197" t="s">
        <v>9467</v>
      </c>
      <c r="B1197" t="s">
        <v>9468</v>
      </c>
      <c r="C1197" t="s">
        <v>9470</v>
      </c>
      <c r="D1197" t="s">
        <v>9470</v>
      </c>
      <c r="E1197">
        <v>4127716230</v>
      </c>
      <c r="F1197">
        <v>5201</v>
      </c>
      <c r="G1197" t="s">
        <v>79</v>
      </c>
      <c r="H1197" t="s">
        <v>79</v>
      </c>
      <c r="I1197">
        <v>53565</v>
      </c>
    </row>
    <row r="1198" spans="1:9" x14ac:dyDescent="0.25">
      <c r="A1198" t="s">
        <v>9472</v>
      </c>
      <c r="B1198" t="s">
        <v>9473</v>
      </c>
      <c r="C1198" t="s">
        <v>9474</v>
      </c>
      <c r="D1198" t="s">
        <v>9474</v>
      </c>
      <c r="F1198">
        <v>8587</v>
      </c>
      <c r="G1198" t="s">
        <v>6986</v>
      </c>
      <c r="H1198" t="s">
        <v>2399</v>
      </c>
      <c r="I1198">
        <v>16755</v>
      </c>
    </row>
    <row r="1199" spans="1:9" x14ac:dyDescent="0.25">
      <c r="A1199" t="s">
        <v>9477</v>
      </c>
      <c r="B1199" t="s">
        <v>9478</v>
      </c>
      <c r="C1199" t="s">
        <v>9479</v>
      </c>
      <c r="F1199">
        <v>6201</v>
      </c>
      <c r="G1199" t="s">
        <v>41</v>
      </c>
      <c r="H1199" t="s">
        <v>15220</v>
      </c>
    </row>
    <row r="1200" spans="1:9" x14ac:dyDescent="0.25">
      <c r="A1200" t="s">
        <v>9481</v>
      </c>
      <c r="B1200" t="s">
        <v>9482</v>
      </c>
      <c r="C1200" t="s">
        <v>9484</v>
      </c>
      <c r="D1200" t="s">
        <v>9484</v>
      </c>
      <c r="E1200">
        <v>4245504777</v>
      </c>
      <c r="F1200">
        <v>8726</v>
      </c>
      <c r="G1200" t="s">
        <v>7584</v>
      </c>
      <c r="H1200" t="s">
        <v>15453</v>
      </c>
      <c r="I1200">
        <v>17109</v>
      </c>
    </row>
    <row r="1201" spans="1:9" x14ac:dyDescent="0.25">
      <c r="A1201" t="s">
        <v>15187</v>
      </c>
      <c r="B1201" t="s">
        <v>8820</v>
      </c>
      <c r="C1201" t="s">
        <v>8822</v>
      </c>
      <c r="D1201" t="s">
        <v>15547</v>
      </c>
      <c r="E1201" t="s">
        <v>9490</v>
      </c>
      <c r="F1201">
        <v>8577</v>
      </c>
      <c r="G1201" t="s">
        <v>2160</v>
      </c>
      <c r="H1201" t="s">
        <v>15293</v>
      </c>
      <c r="I1201">
        <v>43502</v>
      </c>
    </row>
    <row r="1202" spans="1:9" x14ac:dyDescent="0.25">
      <c r="A1202" t="s">
        <v>9495</v>
      </c>
      <c r="B1202" t="s">
        <v>9496</v>
      </c>
      <c r="C1202" t="s">
        <v>9498</v>
      </c>
      <c r="D1202" t="s">
        <v>9498</v>
      </c>
      <c r="E1202" t="s">
        <v>9497</v>
      </c>
      <c r="F1202">
        <v>8596</v>
      </c>
      <c r="G1202" t="s">
        <v>1430</v>
      </c>
      <c r="H1202" t="s">
        <v>85</v>
      </c>
      <c r="I1202">
        <v>36672</v>
      </c>
    </row>
    <row r="1203" spans="1:9" x14ac:dyDescent="0.25">
      <c r="A1203" t="s">
        <v>9503</v>
      </c>
      <c r="B1203" t="s">
        <v>9504</v>
      </c>
      <c r="C1203" t="s">
        <v>9506</v>
      </c>
      <c r="D1203" t="s">
        <v>9506</v>
      </c>
      <c r="E1203" t="s">
        <v>9505</v>
      </c>
      <c r="F1203">
        <v>8587</v>
      </c>
      <c r="G1203" t="s">
        <v>6986</v>
      </c>
      <c r="H1203" t="s">
        <v>2399</v>
      </c>
      <c r="I1203">
        <v>32399</v>
      </c>
    </row>
    <row r="1204" spans="1:9" x14ac:dyDescent="0.25">
      <c r="A1204" t="s">
        <v>9509</v>
      </c>
      <c r="B1204" t="s">
        <v>9510</v>
      </c>
      <c r="C1204" t="s">
        <v>9512</v>
      </c>
      <c r="D1204" t="s">
        <v>9512</v>
      </c>
      <c r="E1204" t="s">
        <v>9511</v>
      </c>
      <c r="F1204">
        <v>8524</v>
      </c>
      <c r="G1204" t="s">
        <v>404</v>
      </c>
      <c r="H1204" t="s">
        <v>15226</v>
      </c>
    </row>
    <row r="1205" spans="1:9" x14ac:dyDescent="0.25">
      <c r="A1205" t="s">
        <v>9515</v>
      </c>
      <c r="B1205" t="s">
        <v>9516</v>
      </c>
      <c r="C1205" t="s">
        <v>9520</v>
      </c>
      <c r="D1205" t="s">
        <v>9520</v>
      </c>
      <c r="E1205" t="s">
        <v>9518</v>
      </c>
      <c r="F1205">
        <v>8734</v>
      </c>
      <c r="G1205" t="s">
        <v>9517</v>
      </c>
      <c r="H1205" t="s">
        <v>15249</v>
      </c>
      <c r="I1205">
        <v>5927</v>
      </c>
    </row>
    <row r="1206" spans="1:9" x14ac:dyDescent="0.25">
      <c r="A1206" t="s">
        <v>9523</v>
      </c>
      <c r="B1206" t="s">
        <v>9524</v>
      </c>
      <c r="C1206" t="s">
        <v>9525</v>
      </c>
      <c r="D1206" t="s">
        <v>9525</v>
      </c>
      <c r="F1206">
        <v>6201</v>
      </c>
      <c r="G1206" t="s">
        <v>41</v>
      </c>
      <c r="H1206" t="s">
        <v>15220</v>
      </c>
      <c r="I1206">
        <v>39174</v>
      </c>
    </row>
    <row r="1207" spans="1:9" x14ac:dyDescent="0.25">
      <c r="A1207" t="s">
        <v>9534</v>
      </c>
      <c r="B1207" t="s">
        <v>9535</v>
      </c>
      <c r="C1207" t="s">
        <v>9537</v>
      </c>
      <c r="D1207" t="s">
        <v>9537</v>
      </c>
      <c r="E1207" t="s">
        <v>9536</v>
      </c>
      <c r="F1207">
        <v>8695</v>
      </c>
      <c r="G1207" t="s">
        <v>2572</v>
      </c>
      <c r="H1207" t="s">
        <v>2399</v>
      </c>
      <c r="I1207">
        <v>4441</v>
      </c>
    </row>
    <row r="1208" spans="1:9" x14ac:dyDescent="0.25">
      <c r="A1208" t="s">
        <v>9544</v>
      </c>
      <c r="B1208" t="s">
        <v>9545</v>
      </c>
      <c r="C1208" t="s">
        <v>9547</v>
      </c>
      <c r="D1208" t="s">
        <v>9547</v>
      </c>
      <c r="E1208" t="s">
        <v>9546</v>
      </c>
      <c r="F1208">
        <v>8540</v>
      </c>
      <c r="G1208" t="s">
        <v>1062</v>
      </c>
      <c r="H1208" t="s">
        <v>72</v>
      </c>
      <c r="I1208">
        <v>4838</v>
      </c>
    </row>
    <row r="1209" spans="1:9" x14ac:dyDescent="0.25">
      <c r="A1209" t="s">
        <v>9549</v>
      </c>
      <c r="B1209" t="s">
        <v>9550</v>
      </c>
      <c r="C1209" t="s">
        <v>9552</v>
      </c>
      <c r="D1209" t="s">
        <v>9552</v>
      </c>
      <c r="E1209" t="s">
        <v>15548</v>
      </c>
      <c r="F1209">
        <v>2050</v>
      </c>
      <c r="G1209" t="s">
        <v>7518</v>
      </c>
      <c r="H1209" t="s">
        <v>1215</v>
      </c>
      <c r="I1209">
        <v>4400</v>
      </c>
    </row>
    <row r="1210" spans="1:9" x14ac:dyDescent="0.25">
      <c r="A1210" t="s">
        <v>9555</v>
      </c>
      <c r="B1210" t="s">
        <v>9556</v>
      </c>
      <c r="C1210" t="s">
        <v>9559</v>
      </c>
      <c r="D1210" t="s">
        <v>9559</v>
      </c>
      <c r="E1210" t="s">
        <v>9558</v>
      </c>
      <c r="F1210">
        <v>8703</v>
      </c>
      <c r="G1210" t="s">
        <v>9557</v>
      </c>
      <c r="H1210" t="s">
        <v>79</v>
      </c>
      <c r="I1210">
        <v>37812</v>
      </c>
    </row>
    <row r="1211" spans="1:9" x14ac:dyDescent="0.25">
      <c r="A1211" t="s">
        <v>9562</v>
      </c>
      <c r="B1211" t="s">
        <v>9563</v>
      </c>
      <c r="C1211" t="s">
        <v>9566</v>
      </c>
      <c r="D1211" t="s">
        <v>9566</v>
      </c>
      <c r="E1211" t="s">
        <v>9565</v>
      </c>
      <c r="F1211">
        <v>1201</v>
      </c>
      <c r="G1211" t="s">
        <v>7569</v>
      </c>
      <c r="H1211" t="s">
        <v>137</v>
      </c>
      <c r="I1211">
        <v>40282</v>
      </c>
    </row>
    <row r="1212" spans="1:9" x14ac:dyDescent="0.25">
      <c r="A1212" t="s">
        <v>9569</v>
      </c>
      <c r="B1212" t="s">
        <v>9570</v>
      </c>
      <c r="C1212" t="s">
        <v>9574</v>
      </c>
      <c r="D1212" t="s">
        <v>9574</v>
      </c>
      <c r="E1212" t="s">
        <v>9572</v>
      </c>
      <c r="F1212">
        <v>8738</v>
      </c>
      <c r="G1212" t="s">
        <v>9571</v>
      </c>
      <c r="H1212" t="s">
        <v>79</v>
      </c>
      <c r="I1212">
        <v>53557</v>
      </c>
    </row>
    <row r="1213" spans="1:9" x14ac:dyDescent="0.25">
      <c r="A1213" t="s">
        <v>9580</v>
      </c>
      <c r="B1213" t="s">
        <v>9578</v>
      </c>
      <c r="C1213" t="s">
        <v>9583</v>
      </c>
      <c r="D1213" t="s">
        <v>9583</v>
      </c>
      <c r="E1213" t="s">
        <v>9582</v>
      </c>
      <c r="F1213">
        <v>8674</v>
      </c>
      <c r="G1213" t="s">
        <v>6058</v>
      </c>
      <c r="H1213" t="s">
        <v>15453</v>
      </c>
      <c r="I1213">
        <v>50219</v>
      </c>
    </row>
    <row r="1214" spans="1:9" x14ac:dyDescent="0.25">
      <c r="A1214" t="s">
        <v>9586</v>
      </c>
      <c r="B1214" t="s">
        <v>9578</v>
      </c>
      <c r="C1214" t="s">
        <v>9590</v>
      </c>
      <c r="D1214" t="s">
        <v>15549</v>
      </c>
      <c r="E1214" t="s">
        <v>9582</v>
      </c>
      <c r="F1214">
        <v>8717</v>
      </c>
      <c r="G1214" t="s">
        <v>9587</v>
      </c>
      <c r="H1214" t="s">
        <v>15453</v>
      </c>
      <c r="I1214">
        <v>51593</v>
      </c>
    </row>
    <row r="1215" spans="1:9" x14ac:dyDescent="0.25">
      <c r="A1215" t="s">
        <v>9592</v>
      </c>
      <c r="B1215" t="s">
        <v>9578</v>
      </c>
      <c r="C1215" t="s">
        <v>9583</v>
      </c>
      <c r="D1215" t="s">
        <v>15550</v>
      </c>
      <c r="E1215" t="s">
        <v>9582</v>
      </c>
      <c r="F1215">
        <v>8626</v>
      </c>
      <c r="G1215" t="s">
        <v>6113</v>
      </c>
      <c r="H1215" t="s">
        <v>15453</v>
      </c>
      <c r="I1215">
        <v>52145</v>
      </c>
    </row>
    <row r="1216" spans="1:9" x14ac:dyDescent="0.25">
      <c r="A1216" t="s">
        <v>9594</v>
      </c>
      <c r="B1216" t="s">
        <v>9578</v>
      </c>
      <c r="C1216" t="s">
        <v>9583</v>
      </c>
      <c r="D1216" t="s">
        <v>15551</v>
      </c>
      <c r="E1216" t="s">
        <v>9582</v>
      </c>
      <c r="F1216">
        <v>8674</v>
      </c>
      <c r="G1216" t="s">
        <v>6058</v>
      </c>
      <c r="H1216" t="s">
        <v>15453</v>
      </c>
      <c r="I1216">
        <v>52941</v>
      </c>
    </row>
    <row r="1217" spans="1:9" x14ac:dyDescent="0.25">
      <c r="A1217" t="s">
        <v>9597</v>
      </c>
      <c r="B1217" t="s">
        <v>9578</v>
      </c>
      <c r="C1217" t="s">
        <v>9590</v>
      </c>
      <c r="D1217" t="s">
        <v>15552</v>
      </c>
      <c r="E1217" t="s">
        <v>9582</v>
      </c>
      <c r="F1217">
        <v>8674</v>
      </c>
      <c r="G1217" t="s">
        <v>6055</v>
      </c>
      <c r="H1217" t="s">
        <v>15453</v>
      </c>
      <c r="I1217">
        <v>53112</v>
      </c>
    </row>
    <row r="1218" spans="1:9" x14ac:dyDescent="0.25">
      <c r="A1218" t="s">
        <v>9600</v>
      </c>
      <c r="B1218" t="s">
        <v>9578</v>
      </c>
      <c r="C1218" t="s">
        <v>9590</v>
      </c>
      <c r="D1218" t="s">
        <v>15553</v>
      </c>
      <c r="E1218" t="s">
        <v>9582</v>
      </c>
      <c r="F1218">
        <v>8739</v>
      </c>
      <c r="G1218" t="s">
        <v>5739</v>
      </c>
      <c r="H1218" t="s">
        <v>15453</v>
      </c>
      <c r="I1218">
        <v>53070</v>
      </c>
    </row>
    <row r="1219" spans="1:9" x14ac:dyDescent="0.25">
      <c r="A1219" t="s">
        <v>9605</v>
      </c>
      <c r="B1219" t="s">
        <v>9606</v>
      </c>
      <c r="C1219" t="s">
        <v>9607</v>
      </c>
      <c r="D1219" t="s">
        <v>15554</v>
      </c>
      <c r="E1219" t="s">
        <v>9582</v>
      </c>
      <c r="F1219">
        <v>8717</v>
      </c>
      <c r="G1219" t="s">
        <v>9587</v>
      </c>
      <c r="H1219" t="s">
        <v>15453</v>
      </c>
      <c r="I1219">
        <v>16106</v>
      </c>
    </row>
    <row r="1220" spans="1:9" x14ac:dyDescent="0.25">
      <c r="A1220" t="s">
        <v>9609</v>
      </c>
      <c r="B1220" t="s">
        <v>9610</v>
      </c>
      <c r="C1220" t="s">
        <v>9612</v>
      </c>
      <c r="D1220" t="s">
        <v>15555</v>
      </c>
      <c r="E1220" t="s">
        <v>9582</v>
      </c>
      <c r="F1220">
        <v>8725</v>
      </c>
      <c r="G1220" t="s">
        <v>7493</v>
      </c>
      <c r="H1220" t="s">
        <v>15541</v>
      </c>
      <c r="I1220">
        <v>52442</v>
      </c>
    </row>
    <row r="1221" spans="1:9" x14ac:dyDescent="0.25">
      <c r="A1221" t="s">
        <v>9615</v>
      </c>
      <c r="B1221" t="s">
        <v>9616</v>
      </c>
      <c r="C1221" t="s">
        <v>9618</v>
      </c>
      <c r="D1221" t="s">
        <v>9618</v>
      </c>
      <c r="E1221" t="s">
        <v>9617</v>
      </c>
      <c r="F1221">
        <v>8508</v>
      </c>
      <c r="G1221" t="s">
        <v>3399</v>
      </c>
      <c r="H1221" t="s">
        <v>72</v>
      </c>
      <c r="I1221">
        <v>50157</v>
      </c>
    </row>
    <row r="1222" spans="1:9" x14ac:dyDescent="0.25">
      <c r="A1222" t="s">
        <v>9621</v>
      </c>
      <c r="B1222" t="s">
        <v>9622</v>
      </c>
      <c r="F1222">
        <v>6201</v>
      </c>
      <c r="G1222" t="s">
        <v>41</v>
      </c>
      <c r="H1222" t="s">
        <v>15220</v>
      </c>
    </row>
    <row r="1223" spans="1:9" x14ac:dyDescent="0.25">
      <c r="A1223" t="s">
        <v>15188</v>
      </c>
      <c r="B1223" t="s">
        <v>1131</v>
      </c>
      <c r="C1223" t="s">
        <v>15556</v>
      </c>
      <c r="D1223" t="s">
        <v>15557</v>
      </c>
      <c r="F1223">
        <v>8533</v>
      </c>
      <c r="G1223" t="s">
        <v>300</v>
      </c>
      <c r="H1223" t="s">
        <v>72</v>
      </c>
      <c r="I1223">
        <v>49723</v>
      </c>
    </row>
    <row r="1224" spans="1:9" x14ac:dyDescent="0.25">
      <c r="A1224" t="s">
        <v>9641</v>
      </c>
      <c r="B1224" t="s">
        <v>9642</v>
      </c>
      <c r="C1224" t="s">
        <v>9644</v>
      </c>
      <c r="D1224" t="s">
        <v>9644</v>
      </c>
      <c r="E1224" t="s">
        <v>9643</v>
      </c>
      <c r="F1224">
        <v>8587</v>
      </c>
      <c r="G1224" t="s">
        <v>6996</v>
      </c>
      <c r="H1224" t="s">
        <v>2399</v>
      </c>
      <c r="I1224">
        <v>22863</v>
      </c>
    </row>
    <row r="1225" spans="1:9" x14ac:dyDescent="0.25">
      <c r="A1225" t="s">
        <v>9647</v>
      </c>
      <c r="B1225" t="s">
        <v>9648</v>
      </c>
      <c r="C1225" t="s">
        <v>9650</v>
      </c>
      <c r="D1225" t="s">
        <v>9650</v>
      </c>
      <c r="E1225" t="s">
        <v>9649</v>
      </c>
      <c r="F1225">
        <v>8740</v>
      </c>
      <c r="G1225" t="s">
        <v>8321</v>
      </c>
      <c r="H1225" t="s">
        <v>2399</v>
      </c>
      <c r="I1225">
        <v>39199</v>
      </c>
    </row>
    <row r="1226" spans="1:9" x14ac:dyDescent="0.25">
      <c r="A1226" t="s">
        <v>9652</v>
      </c>
      <c r="B1226" t="s">
        <v>9653</v>
      </c>
      <c r="C1226" t="s">
        <v>9656</v>
      </c>
      <c r="D1226" t="s">
        <v>9656</v>
      </c>
      <c r="F1226">
        <v>8624</v>
      </c>
      <c r="G1226" t="s">
        <v>9654</v>
      </c>
      <c r="H1226" t="s">
        <v>15558</v>
      </c>
      <c r="I1226">
        <v>51430</v>
      </c>
    </row>
    <row r="1227" spans="1:9" x14ac:dyDescent="0.25">
      <c r="A1227" t="s">
        <v>9661</v>
      </c>
      <c r="B1227" t="s">
        <v>9662</v>
      </c>
      <c r="C1227" t="s">
        <v>9664</v>
      </c>
      <c r="D1227" t="s">
        <v>9664</v>
      </c>
      <c r="E1227" t="s">
        <v>9663</v>
      </c>
      <c r="F1227">
        <v>8673</v>
      </c>
      <c r="G1227" t="s">
        <v>6030</v>
      </c>
      <c r="H1227" t="s">
        <v>85</v>
      </c>
      <c r="I1227">
        <v>49812</v>
      </c>
    </row>
    <row r="1228" spans="1:9" x14ac:dyDescent="0.25">
      <c r="A1228" t="s">
        <v>9667</v>
      </c>
      <c r="B1228" t="s">
        <v>9668</v>
      </c>
      <c r="C1228" t="s">
        <v>9670</v>
      </c>
      <c r="D1228" t="s">
        <v>15559</v>
      </c>
      <c r="E1228" t="s">
        <v>9669</v>
      </c>
      <c r="F1228">
        <v>8673</v>
      </c>
      <c r="G1228" t="s">
        <v>6030</v>
      </c>
      <c r="H1228" t="s">
        <v>85</v>
      </c>
      <c r="I1228">
        <v>45813</v>
      </c>
    </row>
    <row r="1229" spans="1:9" x14ac:dyDescent="0.25">
      <c r="A1229" t="s">
        <v>9673</v>
      </c>
      <c r="B1229" t="s">
        <v>9674</v>
      </c>
      <c r="C1229" t="s">
        <v>15560</v>
      </c>
      <c r="D1229" t="s">
        <v>15560</v>
      </c>
      <c r="E1229" t="s">
        <v>9663</v>
      </c>
      <c r="F1229">
        <v>8673</v>
      </c>
      <c r="G1229" t="s">
        <v>6030</v>
      </c>
      <c r="H1229" t="s">
        <v>85</v>
      </c>
      <c r="I1229">
        <v>7037</v>
      </c>
    </row>
    <row r="1230" spans="1:9" x14ac:dyDescent="0.25">
      <c r="A1230" t="s">
        <v>9678</v>
      </c>
      <c r="B1230" t="s">
        <v>9679</v>
      </c>
      <c r="C1230" t="s">
        <v>9680</v>
      </c>
      <c r="D1230" t="s">
        <v>9680</v>
      </c>
      <c r="E1230" t="s">
        <v>9663</v>
      </c>
      <c r="F1230">
        <v>8673</v>
      </c>
      <c r="G1230" t="s">
        <v>6030</v>
      </c>
      <c r="H1230" t="s">
        <v>85</v>
      </c>
      <c r="I1230">
        <v>351</v>
      </c>
    </row>
    <row r="1231" spans="1:9" x14ac:dyDescent="0.25">
      <c r="A1231" t="s">
        <v>9690</v>
      </c>
      <c r="B1231" t="s">
        <v>2753</v>
      </c>
      <c r="C1231" t="s">
        <v>2756</v>
      </c>
      <c r="D1231" t="s">
        <v>15561</v>
      </c>
      <c r="E1231" t="s">
        <v>9691</v>
      </c>
      <c r="F1231">
        <v>8536</v>
      </c>
      <c r="G1231" t="s">
        <v>939</v>
      </c>
      <c r="H1231" t="s">
        <v>72</v>
      </c>
      <c r="I1231">
        <v>52065</v>
      </c>
    </row>
    <row r="1232" spans="1:9" x14ac:dyDescent="0.25">
      <c r="A1232" t="s">
        <v>9694</v>
      </c>
      <c r="B1232" t="s">
        <v>9695</v>
      </c>
      <c r="C1232" t="s">
        <v>9697</v>
      </c>
      <c r="D1232" t="s">
        <v>9697</v>
      </c>
      <c r="F1232">
        <v>8610</v>
      </c>
      <c r="G1232" t="s">
        <v>9696</v>
      </c>
      <c r="H1232" t="s">
        <v>15222</v>
      </c>
      <c r="I1232">
        <v>53588</v>
      </c>
    </row>
    <row r="1233" spans="1:9" x14ac:dyDescent="0.25">
      <c r="A1233" t="s">
        <v>9700</v>
      </c>
      <c r="B1233" t="s">
        <v>9701</v>
      </c>
      <c r="C1233" t="s">
        <v>9703</v>
      </c>
      <c r="D1233" t="s">
        <v>9703</v>
      </c>
      <c r="E1233" t="s">
        <v>9702</v>
      </c>
      <c r="F1233">
        <v>8633</v>
      </c>
      <c r="G1233" t="s">
        <v>4851</v>
      </c>
      <c r="H1233" t="s">
        <v>4854</v>
      </c>
      <c r="I1233">
        <v>43213</v>
      </c>
    </row>
    <row r="1234" spans="1:9" x14ac:dyDescent="0.25">
      <c r="A1234" t="s">
        <v>9705</v>
      </c>
      <c r="B1234" t="s">
        <v>9706</v>
      </c>
      <c r="C1234" t="s">
        <v>9708</v>
      </c>
      <c r="D1234" t="s">
        <v>9708</v>
      </c>
      <c r="E1234" t="s">
        <v>9707</v>
      </c>
      <c r="F1234">
        <v>8548</v>
      </c>
      <c r="G1234" t="s">
        <v>1396</v>
      </c>
      <c r="H1234" t="s">
        <v>15231</v>
      </c>
      <c r="I1234">
        <v>43339</v>
      </c>
    </row>
    <row r="1235" spans="1:9" x14ac:dyDescent="0.25">
      <c r="A1235" t="s">
        <v>9713</v>
      </c>
      <c r="B1235" t="s">
        <v>9714</v>
      </c>
      <c r="C1235" t="s">
        <v>9716</v>
      </c>
      <c r="D1235" t="s">
        <v>9716</v>
      </c>
      <c r="E1235" t="s">
        <v>9715</v>
      </c>
      <c r="F1235">
        <v>8587</v>
      </c>
      <c r="G1235" t="s">
        <v>6986</v>
      </c>
      <c r="H1235" t="s">
        <v>2399</v>
      </c>
      <c r="I1235">
        <v>52756</v>
      </c>
    </row>
    <row r="1236" spans="1:9" x14ac:dyDescent="0.25">
      <c r="A1236" t="s">
        <v>9719</v>
      </c>
      <c r="B1236" t="s">
        <v>738</v>
      </c>
      <c r="C1236" t="s">
        <v>9720</v>
      </c>
      <c r="D1236" t="s">
        <v>15562</v>
      </c>
      <c r="E1236" t="s">
        <v>15245</v>
      </c>
      <c r="F1236">
        <v>8544</v>
      </c>
      <c r="G1236" t="s">
        <v>119</v>
      </c>
      <c r="H1236" t="s">
        <v>15231</v>
      </c>
    </row>
    <row r="1237" spans="1:9" x14ac:dyDescent="0.25">
      <c r="A1237" t="s">
        <v>9725</v>
      </c>
      <c r="B1237" t="s">
        <v>78</v>
      </c>
      <c r="C1237" t="s">
        <v>9727</v>
      </c>
      <c r="D1237" t="s">
        <v>9727</v>
      </c>
      <c r="E1237">
        <v>4245424695</v>
      </c>
      <c r="F1237">
        <v>5201</v>
      </c>
      <c r="G1237" t="s">
        <v>79</v>
      </c>
      <c r="H1237" t="s">
        <v>79</v>
      </c>
      <c r="I1237">
        <v>49612</v>
      </c>
    </row>
    <row r="1238" spans="1:9" x14ac:dyDescent="0.25">
      <c r="A1238" t="s">
        <v>9729</v>
      </c>
      <c r="B1238" t="s">
        <v>9730</v>
      </c>
      <c r="C1238" t="s">
        <v>9733</v>
      </c>
      <c r="D1238" t="s">
        <v>9733</v>
      </c>
      <c r="F1238">
        <v>8741</v>
      </c>
      <c r="G1238" t="s">
        <v>9731</v>
      </c>
      <c r="H1238" t="s">
        <v>15453</v>
      </c>
      <c r="I1238">
        <v>47795</v>
      </c>
    </row>
    <row r="1239" spans="1:9" x14ac:dyDescent="0.25">
      <c r="A1239" t="s">
        <v>9735</v>
      </c>
      <c r="B1239" t="s">
        <v>9736</v>
      </c>
      <c r="C1239" t="s">
        <v>9738</v>
      </c>
      <c r="D1239" t="s">
        <v>9738</v>
      </c>
      <c r="E1239" t="s">
        <v>9737</v>
      </c>
      <c r="F1239">
        <v>8641</v>
      </c>
      <c r="G1239" t="s">
        <v>6728</v>
      </c>
      <c r="H1239" t="s">
        <v>85</v>
      </c>
      <c r="I1239">
        <v>50996</v>
      </c>
    </row>
    <row r="1240" spans="1:9" x14ac:dyDescent="0.25">
      <c r="A1240" t="s">
        <v>9741</v>
      </c>
      <c r="B1240" t="s">
        <v>9742</v>
      </c>
      <c r="F1240">
        <v>6201</v>
      </c>
      <c r="H1240" t="s">
        <v>15220</v>
      </c>
    </row>
    <row r="1241" spans="1:9" x14ac:dyDescent="0.25">
      <c r="A1241" t="s">
        <v>9745</v>
      </c>
      <c r="B1241" t="s">
        <v>9746</v>
      </c>
      <c r="C1241" t="s">
        <v>9751</v>
      </c>
      <c r="D1241" t="s">
        <v>15563</v>
      </c>
      <c r="E1241" t="s">
        <v>9748</v>
      </c>
      <c r="F1241">
        <v>8743</v>
      </c>
      <c r="G1241" t="s">
        <v>9747</v>
      </c>
      <c r="H1241" t="s">
        <v>137</v>
      </c>
      <c r="I1241">
        <v>867</v>
      </c>
    </row>
    <row r="1242" spans="1:9" x14ac:dyDescent="0.25">
      <c r="A1242" t="s">
        <v>9759</v>
      </c>
      <c r="B1242" t="s">
        <v>9760</v>
      </c>
      <c r="C1242" t="s">
        <v>9762</v>
      </c>
      <c r="D1242" t="s">
        <v>9762</v>
      </c>
      <c r="E1242" t="s">
        <v>9761</v>
      </c>
      <c r="F1242">
        <v>5201</v>
      </c>
      <c r="G1242" t="s">
        <v>79</v>
      </c>
      <c r="H1242" t="s">
        <v>79</v>
      </c>
      <c r="I1242">
        <v>50513</v>
      </c>
    </row>
    <row r="1243" spans="1:9" x14ac:dyDescent="0.25">
      <c r="A1243" t="s">
        <v>9765</v>
      </c>
      <c r="B1243" t="s">
        <v>9766</v>
      </c>
      <c r="C1243" t="s">
        <v>9770</v>
      </c>
      <c r="D1243" t="s">
        <v>9770</v>
      </c>
      <c r="E1243">
        <v>4264503011</v>
      </c>
      <c r="F1243">
        <v>8744</v>
      </c>
      <c r="G1243" t="s">
        <v>9767</v>
      </c>
      <c r="H1243" t="s">
        <v>15453</v>
      </c>
      <c r="I1243">
        <v>41588</v>
      </c>
    </row>
    <row r="1244" spans="1:9" x14ac:dyDescent="0.25">
      <c r="A1244" t="s">
        <v>9773</v>
      </c>
      <c r="B1244" t="s">
        <v>9775</v>
      </c>
      <c r="C1244" t="s">
        <v>9777</v>
      </c>
      <c r="D1244" t="s">
        <v>9777</v>
      </c>
      <c r="E1244" t="s">
        <v>9776</v>
      </c>
      <c r="F1244">
        <v>8574</v>
      </c>
      <c r="G1244" t="s">
        <v>911</v>
      </c>
      <c r="H1244" t="s">
        <v>106</v>
      </c>
      <c r="I1244">
        <v>4665</v>
      </c>
    </row>
    <row r="1245" spans="1:9" x14ac:dyDescent="0.25">
      <c r="A1245" t="s">
        <v>9782</v>
      </c>
      <c r="B1245" t="s">
        <v>9780</v>
      </c>
      <c r="C1245" t="s">
        <v>9785</v>
      </c>
      <c r="D1245" t="s">
        <v>9785</v>
      </c>
      <c r="E1245" t="s">
        <v>9784</v>
      </c>
      <c r="F1245">
        <v>8596</v>
      </c>
      <c r="G1245" t="s">
        <v>9783</v>
      </c>
      <c r="H1245" t="s">
        <v>85</v>
      </c>
      <c r="I1245">
        <v>48329</v>
      </c>
    </row>
    <row r="1246" spans="1:9" x14ac:dyDescent="0.25">
      <c r="A1246" t="s">
        <v>9788</v>
      </c>
      <c r="B1246" t="s">
        <v>9780</v>
      </c>
      <c r="C1246" t="s">
        <v>9785</v>
      </c>
      <c r="D1246" t="s">
        <v>15564</v>
      </c>
      <c r="E1246" t="s">
        <v>9789</v>
      </c>
      <c r="F1246">
        <v>8596</v>
      </c>
      <c r="G1246" t="s">
        <v>1425</v>
      </c>
      <c r="H1246" t="s">
        <v>85</v>
      </c>
      <c r="I1246">
        <v>48329</v>
      </c>
    </row>
    <row r="1247" spans="1:9" x14ac:dyDescent="0.25">
      <c r="A1247" t="s">
        <v>9792</v>
      </c>
      <c r="B1247" t="s">
        <v>9793</v>
      </c>
      <c r="C1247" t="s">
        <v>9794</v>
      </c>
      <c r="D1247" t="s">
        <v>9794</v>
      </c>
      <c r="F1247">
        <v>8533</v>
      </c>
      <c r="G1247" t="s">
        <v>303</v>
      </c>
      <c r="H1247" t="s">
        <v>72</v>
      </c>
    </row>
    <row r="1248" spans="1:9" x14ac:dyDescent="0.25">
      <c r="A1248" t="s">
        <v>9796</v>
      </c>
      <c r="B1248" t="s">
        <v>9797</v>
      </c>
      <c r="C1248" t="s">
        <v>9798</v>
      </c>
      <c r="D1248" t="s">
        <v>9798</v>
      </c>
      <c r="F1248">
        <v>8533</v>
      </c>
      <c r="G1248" t="s">
        <v>303</v>
      </c>
      <c r="H1248" t="s">
        <v>72</v>
      </c>
    </row>
    <row r="1249" spans="1:9" x14ac:dyDescent="0.25">
      <c r="A1249" t="s">
        <v>9801</v>
      </c>
      <c r="B1249" t="s">
        <v>9802</v>
      </c>
      <c r="C1249" t="s">
        <v>9803</v>
      </c>
      <c r="D1249" t="s">
        <v>9803</v>
      </c>
      <c r="E1249">
        <v>4245152748</v>
      </c>
      <c r="F1249">
        <v>8626</v>
      </c>
      <c r="G1249" t="s">
        <v>5739</v>
      </c>
      <c r="H1249" t="s">
        <v>15453</v>
      </c>
      <c r="I1249">
        <v>3851</v>
      </c>
    </row>
    <row r="1250" spans="1:9" x14ac:dyDescent="0.25">
      <c r="A1250" t="s">
        <v>9806</v>
      </c>
      <c r="B1250" t="s">
        <v>9807</v>
      </c>
      <c r="C1250" t="s">
        <v>9808</v>
      </c>
      <c r="D1250" t="s">
        <v>9808</v>
      </c>
      <c r="E1250">
        <v>4245152748</v>
      </c>
      <c r="F1250">
        <v>8745</v>
      </c>
      <c r="G1250" t="s">
        <v>7491</v>
      </c>
      <c r="H1250" t="s">
        <v>15541</v>
      </c>
      <c r="I1250">
        <v>49134</v>
      </c>
    </row>
    <row r="1251" spans="1:9" x14ac:dyDescent="0.25">
      <c r="A1251" t="s">
        <v>9811</v>
      </c>
      <c r="B1251" t="s">
        <v>9812</v>
      </c>
      <c r="C1251" t="s">
        <v>9814</v>
      </c>
      <c r="D1251" t="s">
        <v>9814</v>
      </c>
      <c r="E1251">
        <v>4245152748</v>
      </c>
      <c r="F1251">
        <v>8674</v>
      </c>
      <c r="G1251" t="s">
        <v>9813</v>
      </c>
      <c r="H1251" t="s">
        <v>15453</v>
      </c>
      <c r="I1251">
        <v>10702</v>
      </c>
    </row>
    <row r="1252" spans="1:9" x14ac:dyDescent="0.25">
      <c r="A1252" t="s">
        <v>9817</v>
      </c>
      <c r="B1252" t="s">
        <v>9818</v>
      </c>
      <c r="C1252" t="s">
        <v>9819</v>
      </c>
      <c r="D1252" t="s">
        <v>15565</v>
      </c>
      <c r="E1252">
        <v>4245152748</v>
      </c>
      <c r="F1252">
        <v>8626</v>
      </c>
      <c r="G1252" t="s">
        <v>5739</v>
      </c>
      <c r="H1252" t="s">
        <v>15453</v>
      </c>
      <c r="I1252">
        <v>3729</v>
      </c>
    </row>
    <row r="1253" spans="1:9" x14ac:dyDescent="0.25">
      <c r="A1253" t="s">
        <v>9822</v>
      </c>
      <c r="B1253" t="s">
        <v>9823</v>
      </c>
      <c r="C1253" t="s">
        <v>9824</v>
      </c>
      <c r="D1253" t="s">
        <v>9824</v>
      </c>
      <c r="E1253">
        <v>4245152748</v>
      </c>
      <c r="F1253">
        <v>8626</v>
      </c>
      <c r="G1253" t="s">
        <v>5739</v>
      </c>
      <c r="H1253" t="s">
        <v>15453</v>
      </c>
      <c r="I1253">
        <v>16668</v>
      </c>
    </row>
    <row r="1254" spans="1:9" x14ac:dyDescent="0.25">
      <c r="A1254" t="s">
        <v>9827</v>
      </c>
      <c r="B1254" t="s">
        <v>9828</v>
      </c>
      <c r="C1254" t="s">
        <v>9829</v>
      </c>
      <c r="D1254" t="s">
        <v>15566</v>
      </c>
      <c r="E1254">
        <v>4245152748</v>
      </c>
      <c r="F1254">
        <v>8626</v>
      </c>
      <c r="G1254" t="s">
        <v>5739</v>
      </c>
      <c r="H1254" t="s">
        <v>15453</v>
      </c>
      <c r="I1254">
        <v>40124</v>
      </c>
    </row>
    <row r="1255" spans="1:9" x14ac:dyDescent="0.25">
      <c r="A1255" t="s">
        <v>9832</v>
      </c>
      <c r="B1255" t="s">
        <v>9833</v>
      </c>
      <c r="C1255" t="s">
        <v>9835</v>
      </c>
      <c r="D1255" t="s">
        <v>15567</v>
      </c>
      <c r="E1255">
        <v>4245152748</v>
      </c>
      <c r="F1255">
        <v>8717</v>
      </c>
      <c r="G1255" t="s">
        <v>9834</v>
      </c>
      <c r="H1255" t="s">
        <v>15453</v>
      </c>
      <c r="I1255">
        <v>5013</v>
      </c>
    </row>
    <row r="1256" spans="1:9" x14ac:dyDescent="0.25">
      <c r="A1256" t="s">
        <v>9838</v>
      </c>
      <c r="B1256" t="s">
        <v>9839</v>
      </c>
      <c r="C1256" t="s">
        <v>9840</v>
      </c>
      <c r="D1256" t="s">
        <v>9840</v>
      </c>
      <c r="E1256">
        <v>4245152748</v>
      </c>
      <c r="F1256">
        <v>8674</v>
      </c>
      <c r="G1256" t="s">
        <v>6055</v>
      </c>
      <c r="H1256" t="s">
        <v>15453</v>
      </c>
      <c r="I1256">
        <v>46183</v>
      </c>
    </row>
    <row r="1257" spans="1:9" x14ac:dyDescent="0.25">
      <c r="A1257" t="s">
        <v>9843</v>
      </c>
      <c r="B1257" t="s">
        <v>9844</v>
      </c>
      <c r="C1257" t="s">
        <v>9845</v>
      </c>
      <c r="D1257" t="s">
        <v>15568</v>
      </c>
      <c r="E1257">
        <v>4245152748</v>
      </c>
      <c r="F1257">
        <v>3061</v>
      </c>
      <c r="G1257" t="s">
        <v>7670</v>
      </c>
      <c r="H1257" t="s">
        <v>15453</v>
      </c>
      <c r="I1257">
        <v>47956</v>
      </c>
    </row>
    <row r="1258" spans="1:9" x14ac:dyDescent="0.25">
      <c r="A1258" t="s">
        <v>9848</v>
      </c>
      <c r="B1258" t="s">
        <v>9849</v>
      </c>
      <c r="C1258" t="s">
        <v>9850</v>
      </c>
      <c r="D1258" t="s">
        <v>15569</v>
      </c>
      <c r="E1258">
        <v>4245152748</v>
      </c>
      <c r="F1258">
        <v>8674</v>
      </c>
      <c r="G1258" t="s">
        <v>6055</v>
      </c>
      <c r="H1258" t="s">
        <v>15453</v>
      </c>
      <c r="I1258">
        <v>5851</v>
      </c>
    </row>
    <row r="1259" spans="1:9" x14ac:dyDescent="0.25">
      <c r="A1259" t="s">
        <v>9853</v>
      </c>
      <c r="B1259" t="s">
        <v>9854</v>
      </c>
      <c r="C1259" t="s">
        <v>9855</v>
      </c>
      <c r="D1259" t="s">
        <v>15570</v>
      </c>
      <c r="E1259">
        <v>4245152748</v>
      </c>
      <c r="F1259">
        <v>8626</v>
      </c>
      <c r="G1259" t="s">
        <v>5739</v>
      </c>
      <c r="H1259" t="s">
        <v>15453</v>
      </c>
      <c r="I1259">
        <v>35314</v>
      </c>
    </row>
    <row r="1260" spans="1:9" x14ac:dyDescent="0.25">
      <c r="A1260" t="s">
        <v>9858</v>
      </c>
      <c r="B1260" t="s">
        <v>9859</v>
      </c>
      <c r="C1260" t="s">
        <v>9860</v>
      </c>
      <c r="D1260" t="s">
        <v>15571</v>
      </c>
      <c r="E1260">
        <v>4245152748</v>
      </c>
      <c r="F1260">
        <v>8626</v>
      </c>
      <c r="G1260" t="s">
        <v>6113</v>
      </c>
      <c r="H1260" t="s">
        <v>15453</v>
      </c>
      <c r="I1260">
        <v>41463</v>
      </c>
    </row>
    <row r="1261" spans="1:9" x14ac:dyDescent="0.25">
      <c r="A1261" t="s">
        <v>9863</v>
      </c>
      <c r="B1261" t="s">
        <v>9864</v>
      </c>
      <c r="C1261" t="s">
        <v>9865</v>
      </c>
      <c r="D1261" t="s">
        <v>15572</v>
      </c>
      <c r="E1261">
        <v>4245152748</v>
      </c>
      <c r="F1261">
        <v>8695</v>
      </c>
      <c r="G1261" t="s">
        <v>7263</v>
      </c>
      <c r="H1261" t="s">
        <v>2399</v>
      </c>
      <c r="I1261">
        <v>5862</v>
      </c>
    </row>
    <row r="1262" spans="1:9" x14ac:dyDescent="0.25">
      <c r="A1262" t="s">
        <v>9868</v>
      </c>
      <c r="B1262" t="s">
        <v>9869</v>
      </c>
      <c r="C1262" t="s">
        <v>9871</v>
      </c>
      <c r="D1262" t="s">
        <v>15573</v>
      </c>
      <c r="E1262">
        <v>4245152748</v>
      </c>
      <c r="F1262">
        <v>8746</v>
      </c>
      <c r="G1262" t="s">
        <v>9870</v>
      </c>
      <c r="H1262" t="s">
        <v>15453</v>
      </c>
      <c r="I1262">
        <v>40687</v>
      </c>
    </row>
    <row r="1263" spans="1:9" x14ac:dyDescent="0.25">
      <c r="A1263" t="s">
        <v>9874</v>
      </c>
      <c r="B1263" t="s">
        <v>9875</v>
      </c>
      <c r="C1263" t="s">
        <v>9876</v>
      </c>
      <c r="D1263" t="s">
        <v>15574</v>
      </c>
      <c r="E1263">
        <v>4245152748</v>
      </c>
      <c r="F1263">
        <v>8709</v>
      </c>
      <c r="G1263" t="s">
        <v>8192</v>
      </c>
      <c r="H1263" t="s">
        <v>2399</v>
      </c>
      <c r="I1263">
        <v>40052</v>
      </c>
    </row>
    <row r="1264" spans="1:9" x14ac:dyDescent="0.25">
      <c r="A1264" t="s">
        <v>9879</v>
      </c>
      <c r="B1264" t="s">
        <v>9880</v>
      </c>
      <c r="C1264" t="s">
        <v>9881</v>
      </c>
      <c r="D1264" t="s">
        <v>15575</v>
      </c>
      <c r="E1264">
        <v>4245152748</v>
      </c>
      <c r="F1264">
        <v>8626</v>
      </c>
      <c r="G1264" t="s">
        <v>5739</v>
      </c>
      <c r="H1264" t="s">
        <v>15453</v>
      </c>
      <c r="I1264">
        <v>3714</v>
      </c>
    </row>
    <row r="1265" spans="1:9" x14ac:dyDescent="0.25">
      <c r="A1265" t="s">
        <v>9884</v>
      </c>
      <c r="B1265" t="s">
        <v>9885</v>
      </c>
      <c r="C1265" t="s">
        <v>9886</v>
      </c>
      <c r="D1265" t="s">
        <v>9886</v>
      </c>
      <c r="E1265">
        <v>4245152748</v>
      </c>
      <c r="F1265">
        <v>8674</v>
      </c>
      <c r="G1265" t="s">
        <v>6058</v>
      </c>
      <c r="H1265" t="s">
        <v>15453</v>
      </c>
      <c r="I1265">
        <v>43160</v>
      </c>
    </row>
    <row r="1266" spans="1:9" x14ac:dyDescent="0.25">
      <c r="A1266" t="s">
        <v>9889</v>
      </c>
      <c r="B1266" t="s">
        <v>9890</v>
      </c>
      <c r="C1266" t="s">
        <v>9891</v>
      </c>
      <c r="D1266" t="s">
        <v>15576</v>
      </c>
      <c r="E1266">
        <v>4245152748</v>
      </c>
      <c r="F1266">
        <v>8626</v>
      </c>
      <c r="G1266" t="s">
        <v>5739</v>
      </c>
      <c r="H1266" t="s">
        <v>15453</v>
      </c>
      <c r="I1266">
        <v>37235</v>
      </c>
    </row>
    <row r="1267" spans="1:9" x14ac:dyDescent="0.25">
      <c r="A1267" t="s">
        <v>9894</v>
      </c>
      <c r="B1267" t="s">
        <v>9895</v>
      </c>
      <c r="C1267" t="s">
        <v>9865</v>
      </c>
      <c r="D1267" t="s">
        <v>15577</v>
      </c>
      <c r="E1267">
        <v>4245152748</v>
      </c>
      <c r="F1267">
        <v>8747</v>
      </c>
      <c r="G1267" t="s">
        <v>9896</v>
      </c>
      <c r="H1267" t="s">
        <v>15453</v>
      </c>
      <c r="I1267">
        <v>44324</v>
      </c>
    </row>
    <row r="1268" spans="1:9" x14ac:dyDescent="0.25">
      <c r="A1268" t="s">
        <v>9901</v>
      </c>
      <c r="B1268" t="s">
        <v>9902</v>
      </c>
      <c r="C1268" t="s">
        <v>9903</v>
      </c>
      <c r="D1268" t="s">
        <v>9903</v>
      </c>
      <c r="E1268">
        <v>4245152748</v>
      </c>
      <c r="F1268">
        <v>8626</v>
      </c>
      <c r="G1268" t="s">
        <v>6113</v>
      </c>
      <c r="H1268" t="s">
        <v>15453</v>
      </c>
      <c r="I1268">
        <v>36038</v>
      </c>
    </row>
    <row r="1269" spans="1:9" x14ac:dyDescent="0.25">
      <c r="A1269" t="s">
        <v>9906</v>
      </c>
      <c r="B1269" t="s">
        <v>9907</v>
      </c>
      <c r="C1269" t="s">
        <v>9908</v>
      </c>
      <c r="D1269" t="s">
        <v>15578</v>
      </c>
      <c r="E1269">
        <v>4245152748</v>
      </c>
      <c r="F1269">
        <v>3061</v>
      </c>
      <c r="G1269" t="s">
        <v>7670</v>
      </c>
      <c r="H1269" t="s">
        <v>15453</v>
      </c>
      <c r="I1269">
        <v>17120</v>
      </c>
    </row>
    <row r="1270" spans="1:9" x14ac:dyDescent="0.25">
      <c r="A1270" t="s">
        <v>9918</v>
      </c>
      <c r="B1270" t="s">
        <v>9919</v>
      </c>
      <c r="C1270" t="s">
        <v>9921</v>
      </c>
      <c r="D1270" t="s">
        <v>9921</v>
      </c>
      <c r="E1270" t="s">
        <v>9920</v>
      </c>
      <c r="F1270">
        <v>8637</v>
      </c>
      <c r="G1270" t="s">
        <v>7210</v>
      </c>
      <c r="H1270" t="s">
        <v>1215</v>
      </c>
      <c r="I1270">
        <v>36441</v>
      </c>
    </row>
    <row r="1271" spans="1:9" x14ac:dyDescent="0.25">
      <c r="A1271" t="s">
        <v>9923</v>
      </c>
      <c r="B1271" t="s">
        <v>9924</v>
      </c>
      <c r="C1271" t="s">
        <v>9926</v>
      </c>
      <c r="D1271" t="s">
        <v>9926</v>
      </c>
      <c r="E1271">
        <v>4143587935</v>
      </c>
      <c r="F1271">
        <v>8605</v>
      </c>
      <c r="G1271" t="s">
        <v>3233</v>
      </c>
      <c r="H1271" t="s">
        <v>1215</v>
      </c>
      <c r="I1271">
        <v>43218</v>
      </c>
    </row>
    <row r="1272" spans="1:9" x14ac:dyDescent="0.25">
      <c r="A1272" t="s">
        <v>9929</v>
      </c>
      <c r="B1272" t="s">
        <v>9930</v>
      </c>
      <c r="C1272" t="s">
        <v>9932</v>
      </c>
      <c r="D1272" t="s">
        <v>9932</v>
      </c>
      <c r="E1272" t="s">
        <v>9931</v>
      </c>
      <c r="F1272">
        <v>8605</v>
      </c>
      <c r="G1272" t="s">
        <v>3233</v>
      </c>
      <c r="H1272" t="s">
        <v>1215</v>
      </c>
      <c r="I1272">
        <v>51341</v>
      </c>
    </row>
    <row r="1273" spans="1:9" x14ac:dyDescent="0.25">
      <c r="A1273" t="s">
        <v>9935</v>
      </c>
      <c r="B1273" t="s">
        <v>9936</v>
      </c>
      <c r="C1273" t="s">
        <v>9939</v>
      </c>
      <c r="D1273" t="s">
        <v>15579</v>
      </c>
      <c r="E1273" t="s">
        <v>9938</v>
      </c>
      <c r="F1273">
        <v>8558</v>
      </c>
      <c r="G1273" t="s">
        <v>9937</v>
      </c>
      <c r="H1273" t="s">
        <v>1215</v>
      </c>
      <c r="I1273">
        <v>35380</v>
      </c>
    </row>
    <row r="1274" spans="1:9" x14ac:dyDescent="0.25">
      <c r="A1274" t="s">
        <v>9942</v>
      </c>
      <c r="B1274" t="s">
        <v>9943</v>
      </c>
      <c r="C1274" t="s">
        <v>9945</v>
      </c>
      <c r="D1274" t="s">
        <v>9945</v>
      </c>
      <c r="E1274" t="s">
        <v>9944</v>
      </c>
      <c r="F1274">
        <v>8699</v>
      </c>
      <c r="G1274" t="s">
        <v>2400</v>
      </c>
      <c r="H1274" t="s">
        <v>2399</v>
      </c>
      <c r="I1274">
        <v>44314</v>
      </c>
    </row>
    <row r="1275" spans="1:9" x14ac:dyDescent="0.25">
      <c r="A1275" t="s">
        <v>9948</v>
      </c>
      <c r="B1275" t="s">
        <v>9949</v>
      </c>
      <c r="C1275" t="s">
        <v>9951</v>
      </c>
      <c r="D1275" t="s">
        <v>9951</v>
      </c>
      <c r="E1275" t="s">
        <v>9950</v>
      </c>
      <c r="F1275">
        <v>8674</v>
      </c>
      <c r="G1275" t="s">
        <v>6058</v>
      </c>
      <c r="H1275" t="s">
        <v>15453</v>
      </c>
      <c r="I1275">
        <v>52014</v>
      </c>
    </row>
    <row r="1276" spans="1:9" x14ac:dyDescent="0.25">
      <c r="A1276" t="s">
        <v>9955</v>
      </c>
      <c r="B1276" t="s">
        <v>9956</v>
      </c>
      <c r="C1276" t="s">
        <v>9957</v>
      </c>
      <c r="D1276" t="s">
        <v>9957</v>
      </c>
      <c r="F1276">
        <v>8558</v>
      </c>
      <c r="G1276" t="s">
        <v>1360</v>
      </c>
      <c r="H1276" t="s">
        <v>1215</v>
      </c>
      <c r="I1276">
        <v>52712</v>
      </c>
    </row>
    <row r="1277" spans="1:9" x14ac:dyDescent="0.25">
      <c r="A1277" t="s">
        <v>15189</v>
      </c>
      <c r="B1277" t="s">
        <v>9960</v>
      </c>
      <c r="C1277" t="s">
        <v>9961</v>
      </c>
      <c r="D1277" t="s">
        <v>9961</v>
      </c>
      <c r="F1277">
        <v>8691</v>
      </c>
      <c r="G1277" t="s">
        <v>7147</v>
      </c>
      <c r="H1277" t="s">
        <v>79</v>
      </c>
      <c r="I1277">
        <v>46898</v>
      </c>
    </row>
    <row r="1278" spans="1:9" x14ac:dyDescent="0.25">
      <c r="A1278" t="s">
        <v>15190</v>
      </c>
      <c r="B1278" t="s">
        <v>9965</v>
      </c>
      <c r="C1278" t="s">
        <v>9967</v>
      </c>
      <c r="D1278" t="s">
        <v>9967</v>
      </c>
      <c r="E1278" t="s">
        <v>9966</v>
      </c>
      <c r="F1278">
        <v>8523</v>
      </c>
      <c r="G1278" t="s">
        <v>1222</v>
      </c>
      <c r="H1278" t="s">
        <v>15226</v>
      </c>
      <c r="I1278">
        <v>323</v>
      </c>
    </row>
    <row r="1279" spans="1:9" x14ac:dyDescent="0.25">
      <c r="A1279" t="s">
        <v>9970</v>
      </c>
      <c r="B1279" t="s">
        <v>78</v>
      </c>
      <c r="C1279" t="s">
        <v>9973</v>
      </c>
      <c r="D1279" t="s">
        <v>15580</v>
      </c>
      <c r="E1279" t="s">
        <v>9972</v>
      </c>
      <c r="F1279">
        <v>8527</v>
      </c>
      <c r="G1279" t="s">
        <v>99</v>
      </c>
      <c r="H1279" t="s">
        <v>106</v>
      </c>
      <c r="I1279">
        <v>51111</v>
      </c>
    </row>
    <row r="1280" spans="1:9" x14ac:dyDescent="0.25">
      <c r="A1280" t="s">
        <v>9976</v>
      </c>
      <c r="B1280" t="s">
        <v>9977</v>
      </c>
      <c r="C1280" t="s">
        <v>9979</v>
      </c>
      <c r="D1280" t="s">
        <v>9979</v>
      </c>
      <c r="E1280" t="s">
        <v>9978</v>
      </c>
      <c r="F1280">
        <v>8526</v>
      </c>
      <c r="G1280" t="s">
        <v>665</v>
      </c>
      <c r="H1280" t="s">
        <v>106</v>
      </c>
      <c r="I1280">
        <v>3983</v>
      </c>
    </row>
    <row r="1281" spans="1:9" x14ac:dyDescent="0.25">
      <c r="A1281" t="s">
        <v>9981</v>
      </c>
      <c r="B1281" t="s">
        <v>9982</v>
      </c>
      <c r="C1281" t="s">
        <v>9984</v>
      </c>
      <c r="D1281" t="s">
        <v>9984</v>
      </c>
      <c r="E1281" t="s">
        <v>9983</v>
      </c>
      <c r="F1281">
        <v>8611</v>
      </c>
      <c r="G1281" t="s">
        <v>9129</v>
      </c>
      <c r="H1281" t="s">
        <v>15249</v>
      </c>
      <c r="I1281">
        <v>52793</v>
      </c>
    </row>
    <row r="1282" spans="1:9" x14ac:dyDescent="0.25">
      <c r="A1282" t="s">
        <v>9989</v>
      </c>
      <c r="B1282" t="s">
        <v>9990</v>
      </c>
      <c r="C1282" t="s">
        <v>9992</v>
      </c>
      <c r="D1282" t="s">
        <v>9992</v>
      </c>
      <c r="E1282">
        <v>414477164</v>
      </c>
      <c r="F1282">
        <v>8566</v>
      </c>
      <c r="G1282" t="s">
        <v>81</v>
      </c>
      <c r="H1282" t="s">
        <v>85</v>
      </c>
      <c r="I1282">
        <v>33282</v>
      </c>
    </row>
    <row r="1283" spans="1:9" x14ac:dyDescent="0.25">
      <c r="A1283" t="s">
        <v>15191</v>
      </c>
      <c r="B1283" t="s">
        <v>9995</v>
      </c>
      <c r="C1283" t="s">
        <v>9998</v>
      </c>
      <c r="D1283" t="s">
        <v>9998</v>
      </c>
      <c r="E1283" t="s">
        <v>7630</v>
      </c>
      <c r="F1283">
        <v>8785</v>
      </c>
      <c r="G1283" t="s">
        <v>79</v>
      </c>
      <c r="H1283" t="s">
        <v>79</v>
      </c>
      <c r="I1283">
        <v>53553</v>
      </c>
    </row>
    <row r="1284" spans="1:9" x14ac:dyDescent="0.25">
      <c r="A1284" t="s">
        <v>15192</v>
      </c>
      <c r="B1284" t="s">
        <v>10008</v>
      </c>
      <c r="C1284" t="s">
        <v>10010</v>
      </c>
      <c r="D1284" t="s">
        <v>10010</v>
      </c>
      <c r="E1284" t="s">
        <v>10009</v>
      </c>
      <c r="F1284">
        <v>5201</v>
      </c>
      <c r="G1284" t="s">
        <v>79</v>
      </c>
      <c r="H1284" t="s">
        <v>79</v>
      </c>
      <c r="I1284">
        <v>53645</v>
      </c>
    </row>
    <row r="1285" spans="1:9" x14ac:dyDescent="0.25">
      <c r="A1285" t="s">
        <v>10014</v>
      </c>
      <c r="B1285" t="s">
        <v>10015</v>
      </c>
      <c r="C1285" t="s">
        <v>10018</v>
      </c>
      <c r="D1285" t="s">
        <v>10018</v>
      </c>
      <c r="E1285" t="s">
        <v>15581</v>
      </c>
      <c r="F1285">
        <v>8626</v>
      </c>
      <c r="G1285" t="s">
        <v>10016</v>
      </c>
      <c r="H1285" t="s">
        <v>15453</v>
      </c>
      <c r="I1285">
        <v>44495</v>
      </c>
    </row>
    <row r="1286" spans="1:9" x14ac:dyDescent="0.25">
      <c r="A1286" t="s">
        <v>10022</v>
      </c>
      <c r="B1286" t="s">
        <v>10023</v>
      </c>
      <c r="C1286" t="s">
        <v>41</v>
      </c>
      <c r="F1286">
        <v>6201</v>
      </c>
      <c r="G1286" t="s">
        <v>41</v>
      </c>
      <c r="H1286" t="s">
        <v>15220</v>
      </c>
    </row>
    <row r="1287" spans="1:9" x14ac:dyDescent="0.25">
      <c r="A1287" t="s">
        <v>10026</v>
      </c>
      <c r="B1287" t="s">
        <v>10027</v>
      </c>
      <c r="C1287" t="s">
        <v>10029</v>
      </c>
      <c r="D1287" t="s">
        <v>10029</v>
      </c>
      <c r="E1287" t="s">
        <v>8269</v>
      </c>
      <c r="F1287">
        <v>8515</v>
      </c>
      <c r="G1287" t="s">
        <v>10028</v>
      </c>
      <c r="H1287" t="s">
        <v>15249</v>
      </c>
      <c r="I1287">
        <v>53002</v>
      </c>
    </row>
    <row r="1288" spans="1:9" x14ac:dyDescent="0.25">
      <c r="A1288" t="s">
        <v>10031</v>
      </c>
      <c r="B1288" t="s">
        <v>10032</v>
      </c>
      <c r="C1288" t="s">
        <v>10034</v>
      </c>
      <c r="D1288" t="s">
        <v>10034</v>
      </c>
      <c r="E1288" t="s">
        <v>15582</v>
      </c>
      <c r="F1288">
        <v>8533</v>
      </c>
      <c r="G1288" t="s">
        <v>303</v>
      </c>
      <c r="H1288" t="s">
        <v>72</v>
      </c>
      <c r="I1288">
        <v>53612</v>
      </c>
    </row>
    <row r="1289" spans="1:9" x14ac:dyDescent="0.25">
      <c r="A1289" t="s">
        <v>10037</v>
      </c>
      <c r="B1289" t="s">
        <v>10038</v>
      </c>
      <c r="C1289" t="s">
        <v>10040</v>
      </c>
      <c r="D1289" t="s">
        <v>10040</v>
      </c>
      <c r="F1289">
        <v>6201</v>
      </c>
      <c r="G1289" t="s">
        <v>41</v>
      </c>
      <c r="H1289" t="s">
        <v>15220</v>
      </c>
      <c r="I1289">
        <v>6222</v>
      </c>
    </row>
    <row r="1290" spans="1:9" x14ac:dyDescent="0.25">
      <c r="A1290" t="s">
        <v>10042</v>
      </c>
      <c r="B1290" t="s">
        <v>10043</v>
      </c>
      <c r="C1290" t="s">
        <v>10045</v>
      </c>
      <c r="D1290" t="s">
        <v>10045</v>
      </c>
      <c r="E1290" t="s">
        <v>10044</v>
      </c>
      <c r="F1290">
        <v>8695</v>
      </c>
      <c r="G1290" t="s">
        <v>2572</v>
      </c>
      <c r="H1290" t="s">
        <v>2399</v>
      </c>
      <c r="I1290">
        <v>4795</v>
      </c>
    </row>
    <row r="1291" spans="1:9" x14ac:dyDescent="0.25">
      <c r="A1291" t="s">
        <v>10047</v>
      </c>
      <c r="B1291" t="s">
        <v>10048</v>
      </c>
      <c r="C1291" t="s">
        <v>10049</v>
      </c>
      <c r="D1291" t="s">
        <v>10049</v>
      </c>
      <c r="F1291">
        <v>8641</v>
      </c>
      <c r="G1291" t="s">
        <v>6728</v>
      </c>
      <c r="H1291" t="s">
        <v>85</v>
      </c>
      <c r="I1291">
        <v>1211</v>
      </c>
    </row>
    <row r="1292" spans="1:9" x14ac:dyDescent="0.25">
      <c r="A1292" t="s">
        <v>10052</v>
      </c>
      <c r="B1292" t="s">
        <v>10053</v>
      </c>
      <c r="C1292" t="s">
        <v>10055</v>
      </c>
      <c r="D1292" t="s">
        <v>10055</v>
      </c>
      <c r="E1292">
        <v>4124666588</v>
      </c>
      <c r="F1292">
        <v>8596</v>
      </c>
      <c r="G1292" t="s">
        <v>1425</v>
      </c>
      <c r="H1292" t="s">
        <v>85</v>
      </c>
      <c r="I1292">
        <v>20196</v>
      </c>
    </row>
    <row r="1293" spans="1:9" x14ac:dyDescent="0.25">
      <c r="A1293" t="s">
        <v>10057</v>
      </c>
      <c r="B1293" t="s">
        <v>10058</v>
      </c>
      <c r="C1293" t="s">
        <v>10059</v>
      </c>
      <c r="D1293" t="s">
        <v>10059</v>
      </c>
      <c r="F1293">
        <v>8517</v>
      </c>
      <c r="G1293" t="s">
        <v>184</v>
      </c>
      <c r="H1293" t="s">
        <v>15226</v>
      </c>
    </row>
    <row r="1294" spans="1:9" x14ac:dyDescent="0.25">
      <c r="A1294" t="s">
        <v>10062</v>
      </c>
      <c r="B1294" t="s">
        <v>10063</v>
      </c>
      <c r="C1294" t="s">
        <v>10065</v>
      </c>
      <c r="D1294" t="s">
        <v>10065</v>
      </c>
      <c r="E1294" t="s">
        <v>10064</v>
      </c>
      <c r="F1294">
        <v>3303</v>
      </c>
      <c r="G1294" t="s">
        <v>7535</v>
      </c>
      <c r="H1294" t="s">
        <v>2399</v>
      </c>
      <c r="I1294">
        <v>6149</v>
      </c>
    </row>
    <row r="1295" spans="1:9" x14ac:dyDescent="0.25">
      <c r="A1295" t="s">
        <v>10071</v>
      </c>
      <c r="B1295" t="s">
        <v>10069</v>
      </c>
      <c r="C1295" t="s">
        <v>10073</v>
      </c>
      <c r="D1295" t="s">
        <v>10073</v>
      </c>
      <c r="E1295" t="s">
        <v>10072</v>
      </c>
      <c r="F1295">
        <v>8695</v>
      </c>
      <c r="G1295" t="s">
        <v>7263</v>
      </c>
      <c r="H1295" t="s">
        <v>2399</v>
      </c>
      <c r="I1295">
        <v>43493</v>
      </c>
    </row>
    <row r="1296" spans="1:9" x14ac:dyDescent="0.25">
      <c r="A1296" t="s">
        <v>10076</v>
      </c>
      <c r="B1296" t="s">
        <v>10069</v>
      </c>
      <c r="C1296" t="s">
        <v>10073</v>
      </c>
      <c r="D1296" t="s">
        <v>15583</v>
      </c>
      <c r="E1296" t="s">
        <v>10072</v>
      </c>
      <c r="F1296">
        <v>8742</v>
      </c>
      <c r="G1296" t="s">
        <v>10077</v>
      </c>
      <c r="H1296" t="s">
        <v>2399</v>
      </c>
    </row>
    <row r="1297" spans="1:9" x14ac:dyDescent="0.25">
      <c r="A1297" t="s">
        <v>10082</v>
      </c>
      <c r="B1297" t="s">
        <v>10083</v>
      </c>
      <c r="C1297" t="s">
        <v>10085</v>
      </c>
      <c r="D1297" t="s">
        <v>10085</v>
      </c>
      <c r="E1297" t="s">
        <v>10084</v>
      </c>
      <c r="F1297">
        <v>3303</v>
      </c>
      <c r="G1297" t="s">
        <v>15488</v>
      </c>
      <c r="H1297" t="s">
        <v>2399</v>
      </c>
      <c r="I1297">
        <v>52975</v>
      </c>
    </row>
    <row r="1298" spans="1:9" x14ac:dyDescent="0.25">
      <c r="A1298" t="s">
        <v>10087</v>
      </c>
      <c r="B1298" t="s">
        <v>10088</v>
      </c>
      <c r="C1298" t="s">
        <v>15584</v>
      </c>
      <c r="D1298" t="s">
        <v>15585</v>
      </c>
      <c r="E1298" t="s">
        <v>10090</v>
      </c>
      <c r="F1298">
        <v>8774</v>
      </c>
      <c r="G1298" t="s">
        <v>10089</v>
      </c>
      <c r="H1298" t="s">
        <v>15534</v>
      </c>
      <c r="I1298">
        <v>52376</v>
      </c>
    </row>
    <row r="1299" spans="1:9" x14ac:dyDescent="0.25">
      <c r="A1299" t="s">
        <v>1471</v>
      </c>
      <c r="B1299" t="s">
        <v>10098</v>
      </c>
      <c r="C1299" t="s">
        <v>10100</v>
      </c>
      <c r="D1299" t="s">
        <v>10100</v>
      </c>
      <c r="E1299">
        <v>4145008515</v>
      </c>
      <c r="F1299">
        <v>8747</v>
      </c>
      <c r="G1299" t="s">
        <v>9898</v>
      </c>
      <c r="H1299" t="s">
        <v>15453</v>
      </c>
      <c r="I1299">
        <v>6867</v>
      </c>
    </row>
    <row r="1300" spans="1:9" x14ac:dyDescent="0.25">
      <c r="A1300" t="s">
        <v>10103</v>
      </c>
      <c r="B1300" t="s">
        <v>10104</v>
      </c>
      <c r="C1300" t="s">
        <v>10107</v>
      </c>
      <c r="D1300" t="s">
        <v>10107</v>
      </c>
      <c r="F1300">
        <v>8750</v>
      </c>
      <c r="G1300" t="s">
        <v>10105</v>
      </c>
      <c r="H1300" t="s">
        <v>15534</v>
      </c>
      <c r="I1300">
        <v>39684</v>
      </c>
    </row>
    <row r="1301" spans="1:9" x14ac:dyDescent="0.25">
      <c r="A1301" t="s">
        <v>15193</v>
      </c>
      <c r="B1301" t="s">
        <v>10111</v>
      </c>
      <c r="C1301" t="s">
        <v>10114</v>
      </c>
      <c r="D1301" t="s">
        <v>10114</v>
      </c>
      <c r="E1301" t="s">
        <v>10113</v>
      </c>
      <c r="F1301">
        <v>8688</v>
      </c>
      <c r="G1301" t="s">
        <v>10112</v>
      </c>
      <c r="H1301" t="s">
        <v>79</v>
      </c>
      <c r="I1301">
        <v>37204</v>
      </c>
    </row>
    <row r="1302" spans="1:9" x14ac:dyDescent="0.25">
      <c r="A1302" t="s">
        <v>10116</v>
      </c>
      <c r="B1302" t="s">
        <v>10117</v>
      </c>
      <c r="C1302" t="s">
        <v>15586</v>
      </c>
      <c r="D1302" t="s">
        <v>15586</v>
      </c>
      <c r="F1302">
        <v>8748</v>
      </c>
      <c r="G1302" t="s">
        <v>10118</v>
      </c>
      <c r="H1302" t="s">
        <v>15534</v>
      </c>
      <c r="I1302">
        <v>47765</v>
      </c>
    </row>
    <row r="1303" spans="1:9" x14ac:dyDescent="0.25">
      <c r="A1303" t="s">
        <v>10123</v>
      </c>
      <c r="B1303" t="s">
        <v>10124</v>
      </c>
      <c r="C1303" t="s">
        <v>15587</v>
      </c>
      <c r="D1303" t="s">
        <v>15587</v>
      </c>
      <c r="E1303" t="s">
        <v>10126</v>
      </c>
      <c r="F1303">
        <v>8749</v>
      </c>
      <c r="G1303" t="s">
        <v>10125</v>
      </c>
      <c r="H1303" t="s">
        <v>15534</v>
      </c>
      <c r="I1303">
        <v>1902</v>
      </c>
    </row>
    <row r="1304" spans="1:9" x14ac:dyDescent="0.25">
      <c r="A1304" t="s">
        <v>15194</v>
      </c>
      <c r="B1304" t="s">
        <v>10133</v>
      </c>
      <c r="C1304" t="s">
        <v>10134</v>
      </c>
      <c r="D1304" t="s">
        <v>10134</v>
      </c>
      <c r="E1304" t="s">
        <v>10126</v>
      </c>
      <c r="F1304">
        <v>8749</v>
      </c>
      <c r="G1304" t="s">
        <v>10125</v>
      </c>
      <c r="H1304" t="s">
        <v>15534</v>
      </c>
    </row>
    <row r="1305" spans="1:9" x14ac:dyDescent="0.25">
      <c r="A1305" t="s">
        <v>10136</v>
      </c>
      <c r="B1305" t="s">
        <v>10137</v>
      </c>
      <c r="C1305" t="s">
        <v>15588</v>
      </c>
      <c r="D1305" t="s">
        <v>15588</v>
      </c>
      <c r="E1305" t="s">
        <v>10138</v>
      </c>
      <c r="F1305">
        <v>8750</v>
      </c>
      <c r="G1305" t="s">
        <v>10105</v>
      </c>
      <c r="H1305" t="s">
        <v>15534</v>
      </c>
      <c r="I1305">
        <v>43762</v>
      </c>
    </row>
    <row r="1306" spans="1:9" x14ac:dyDescent="0.25">
      <c r="A1306" t="s">
        <v>10153</v>
      </c>
      <c r="B1306" t="s">
        <v>10154</v>
      </c>
      <c r="C1306" t="s">
        <v>15589</v>
      </c>
      <c r="D1306" t="s">
        <v>15589</v>
      </c>
      <c r="E1306" t="s">
        <v>10156</v>
      </c>
      <c r="F1306">
        <v>8752</v>
      </c>
      <c r="G1306" t="s">
        <v>10155</v>
      </c>
      <c r="H1306" t="s">
        <v>15534</v>
      </c>
      <c r="I1306">
        <v>46530</v>
      </c>
    </row>
    <row r="1307" spans="1:9" x14ac:dyDescent="0.25">
      <c r="A1307" t="s">
        <v>10161</v>
      </c>
      <c r="B1307" t="s">
        <v>10162</v>
      </c>
      <c r="C1307" t="s">
        <v>15590</v>
      </c>
      <c r="D1307" t="s">
        <v>15590</v>
      </c>
      <c r="E1307" t="s">
        <v>10164</v>
      </c>
      <c r="F1307">
        <v>8753</v>
      </c>
      <c r="G1307" t="s">
        <v>10163</v>
      </c>
      <c r="H1307" t="s">
        <v>15591</v>
      </c>
      <c r="I1307">
        <v>52418</v>
      </c>
    </row>
    <row r="1308" spans="1:9" x14ac:dyDescent="0.25">
      <c r="A1308" t="s">
        <v>10171</v>
      </c>
      <c r="B1308" t="s">
        <v>10172</v>
      </c>
      <c r="C1308" t="s">
        <v>10174</v>
      </c>
      <c r="D1308" t="s">
        <v>15592</v>
      </c>
      <c r="E1308" t="s">
        <v>10173</v>
      </c>
      <c r="F1308">
        <v>8699</v>
      </c>
      <c r="G1308" t="s">
        <v>2400</v>
      </c>
      <c r="H1308" t="s">
        <v>2399</v>
      </c>
      <c r="I1308">
        <v>52212</v>
      </c>
    </row>
    <row r="1309" spans="1:9" x14ac:dyDescent="0.25">
      <c r="A1309" t="s">
        <v>10177</v>
      </c>
      <c r="B1309" t="s">
        <v>10178</v>
      </c>
      <c r="C1309" t="s">
        <v>10180</v>
      </c>
      <c r="D1309" t="s">
        <v>15593</v>
      </c>
      <c r="E1309" t="s">
        <v>10179</v>
      </c>
      <c r="F1309">
        <v>8724</v>
      </c>
      <c r="G1309" t="s">
        <v>9110</v>
      </c>
      <c r="H1309" t="s">
        <v>15293</v>
      </c>
      <c r="I1309">
        <v>50967</v>
      </c>
    </row>
    <row r="1310" spans="1:9" x14ac:dyDescent="0.25">
      <c r="A1310" t="s">
        <v>10183</v>
      </c>
      <c r="B1310" t="s">
        <v>10184</v>
      </c>
      <c r="C1310" t="s">
        <v>10188</v>
      </c>
      <c r="D1310" t="s">
        <v>10188</v>
      </c>
      <c r="E1310" t="s">
        <v>10186</v>
      </c>
      <c r="F1310">
        <v>8754</v>
      </c>
      <c r="G1310" t="s">
        <v>10185</v>
      </c>
      <c r="H1310" t="s">
        <v>2399</v>
      </c>
      <c r="I1310">
        <v>42118</v>
      </c>
    </row>
    <row r="1311" spans="1:9" x14ac:dyDescent="0.25">
      <c r="A1311" t="s">
        <v>10191</v>
      </c>
      <c r="B1311" t="s">
        <v>10192</v>
      </c>
      <c r="C1311" t="s">
        <v>15594</v>
      </c>
      <c r="D1311" t="s">
        <v>15594</v>
      </c>
      <c r="E1311" t="s">
        <v>10193</v>
      </c>
      <c r="F1311">
        <v>8753</v>
      </c>
      <c r="G1311" t="s">
        <v>10163</v>
      </c>
      <c r="H1311" t="s">
        <v>15591</v>
      </c>
      <c r="I1311">
        <v>30555</v>
      </c>
    </row>
    <row r="1312" spans="1:9" x14ac:dyDescent="0.25">
      <c r="A1312" t="s">
        <v>10197</v>
      </c>
      <c r="B1312" t="s">
        <v>10198</v>
      </c>
      <c r="C1312" t="s">
        <v>10200</v>
      </c>
      <c r="D1312" t="s">
        <v>15595</v>
      </c>
      <c r="E1312" t="s">
        <v>10199</v>
      </c>
      <c r="F1312">
        <v>8654</v>
      </c>
      <c r="G1312" t="s">
        <v>1029</v>
      </c>
      <c r="H1312" t="s">
        <v>106</v>
      </c>
    </row>
    <row r="1313" spans="1:9" x14ac:dyDescent="0.25">
      <c r="A1313" t="s">
        <v>10203</v>
      </c>
      <c r="B1313" t="s">
        <v>10204</v>
      </c>
      <c r="E1313">
        <v>4128788621</v>
      </c>
      <c r="F1313">
        <v>6201</v>
      </c>
      <c r="G1313" t="s">
        <v>41</v>
      </c>
      <c r="H1313" t="s">
        <v>15220</v>
      </c>
    </row>
    <row r="1314" spans="1:9" x14ac:dyDescent="0.25">
      <c r="A1314" t="s">
        <v>10207</v>
      </c>
      <c r="B1314" t="s">
        <v>10208</v>
      </c>
      <c r="C1314" t="s">
        <v>10210</v>
      </c>
      <c r="D1314" t="s">
        <v>15596</v>
      </c>
      <c r="E1314" t="s">
        <v>10209</v>
      </c>
      <c r="F1314">
        <v>8540</v>
      </c>
      <c r="G1314" t="s">
        <v>1062</v>
      </c>
      <c r="H1314" t="s">
        <v>72</v>
      </c>
      <c r="I1314">
        <v>34670</v>
      </c>
    </row>
    <row r="1315" spans="1:9" x14ac:dyDescent="0.25">
      <c r="A1315" t="s">
        <v>10212</v>
      </c>
      <c r="B1315" t="s">
        <v>10213</v>
      </c>
      <c r="C1315" t="s">
        <v>15597</v>
      </c>
      <c r="D1315" t="s">
        <v>15597</v>
      </c>
      <c r="E1315" t="s">
        <v>10215</v>
      </c>
      <c r="F1315">
        <v>8755</v>
      </c>
      <c r="G1315" t="s">
        <v>10214</v>
      </c>
      <c r="H1315" t="s">
        <v>15534</v>
      </c>
      <c r="I1315">
        <v>41073</v>
      </c>
    </row>
    <row r="1316" spans="1:9" x14ac:dyDescent="0.25">
      <c r="A1316" t="s">
        <v>10220</v>
      </c>
      <c r="B1316" t="s">
        <v>10221</v>
      </c>
      <c r="C1316" t="s">
        <v>10225</v>
      </c>
      <c r="D1316" t="s">
        <v>15598</v>
      </c>
      <c r="E1316" t="s">
        <v>10222</v>
      </c>
      <c r="F1316">
        <v>3305</v>
      </c>
      <c r="G1316" t="s">
        <v>2399</v>
      </c>
      <c r="H1316" t="s">
        <v>2399</v>
      </c>
      <c r="I1316">
        <v>37420</v>
      </c>
    </row>
    <row r="1317" spans="1:9" x14ac:dyDescent="0.25">
      <c r="A1317" t="s">
        <v>10230</v>
      </c>
      <c r="B1317" t="s">
        <v>10231</v>
      </c>
      <c r="C1317" t="s">
        <v>10233</v>
      </c>
      <c r="D1317" t="s">
        <v>10233</v>
      </c>
      <c r="E1317" t="s">
        <v>10232</v>
      </c>
      <c r="F1317">
        <v>8695</v>
      </c>
      <c r="G1317" t="s">
        <v>2572</v>
      </c>
      <c r="H1317" t="s">
        <v>2399</v>
      </c>
      <c r="I1317">
        <v>38337</v>
      </c>
    </row>
    <row r="1318" spans="1:9" x14ac:dyDescent="0.25">
      <c r="A1318" t="s">
        <v>10236</v>
      </c>
      <c r="B1318" t="s">
        <v>10237</v>
      </c>
      <c r="C1318" t="s">
        <v>15599</v>
      </c>
      <c r="D1318" t="s">
        <v>15599</v>
      </c>
      <c r="E1318" t="s">
        <v>10238</v>
      </c>
      <c r="F1318">
        <v>3370</v>
      </c>
      <c r="G1318" t="s">
        <v>10141</v>
      </c>
      <c r="H1318" t="s">
        <v>15534</v>
      </c>
      <c r="I1318">
        <v>52084</v>
      </c>
    </row>
    <row r="1319" spans="1:9" x14ac:dyDescent="0.25">
      <c r="A1319" t="s">
        <v>10246</v>
      </c>
      <c r="B1319" t="s">
        <v>10247</v>
      </c>
      <c r="C1319" t="s">
        <v>15600</v>
      </c>
      <c r="D1319" t="s">
        <v>15601</v>
      </c>
      <c r="E1319" t="s">
        <v>10248</v>
      </c>
      <c r="F1319">
        <v>8601</v>
      </c>
      <c r="G1319" t="s">
        <v>10141</v>
      </c>
      <c r="H1319" t="s">
        <v>15534</v>
      </c>
      <c r="I1319">
        <v>46719</v>
      </c>
    </row>
    <row r="1320" spans="1:9" x14ac:dyDescent="0.25">
      <c r="A1320" t="s">
        <v>10259</v>
      </c>
      <c r="B1320" t="s">
        <v>10260</v>
      </c>
      <c r="C1320" t="s">
        <v>10261</v>
      </c>
      <c r="D1320" t="s">
        <v>10261</v>
      </c>
      <c r="F1320">
        <v>8544</v>
      </c>
      <c r="G1320" t="s">
        <v>119</v>
      </c>
      <c r="H1320" t="s">
        <v>15231</v>
      </c>
      <c r="I1320">
        <v>46017</v>
      </c>
    </row>
    <row r="1321" spans="1:9" x14ac:dyDescent="0.25">
      <c r="A1321" t="s">
        <v>10264</v>
      </c>
      <c r="B1321" t="s">
        <v>10265</v>
      </c>
      <c r="C1321" t="s">
        <v>10267</v>
      </c>
      <c r="D1321" t="s">
        <v>10267</v>
      </c>
      <c r="E1321" t="s">
        <v>10266</v>
      </c>
      <c r="F1321">
        <v>8566</v>
      </c>
      <c r="G1321" t="s">
        <v>81</v>
      </c>
      <c r="H1321" t="s">
        <v>85</v>
      </c>
      <c r="I1321">
        <v>53635</v>
      </c>
    </row>
    <row r="1322" spans="1:9" x14ac:dyDescent="0.25">
      <c r="A1322" t="s">
        <v>10270</v>
      </c>
      <c r="B1322" t="s">
        <v>10271</v>
      </c>
      <c r="C1322" t="s">
        <v>15602</v>
      </c>
      <c r="D1322" t="s">
        <v>15602</v>
      </c>
      <c r="E1322" t="s">
        <v>10272</v>
      </c>
      <c r="F1322">
        <v>8601</v>
      </c>
      <c r="G1322" t="s">
        <v>10141</v>
      </c>
      <c r="H1322" t="s">
        <v>15534</v>
      </c>
      <c r="I1322">
        <v>11035</v>
      </c>
    </row>
    <row r="1323" spans="1:9" x14ac:dyDescent="0.25">
      <c r="A1323" t="s">
        <v>10293</v>
      </c>
      <c r="B1323" t="s">
        <v>10294</v>
      </c>
      <c r="C1323" t="s">
        <v>10296</v>
      </c>
      <c r="D1323" t="s">
        <v>10296</v>
      </c>
      <c r="E1323" t="s">
        <v>10295</v>
      </c>
      <c r="F1323">
        <v>8566</v>
      </c>
      <c r="G1323" t="s">
        <v>81</v>
      </c>
      <c r="H1323" t="s">
        <v>85</v>
      </c>
      <c r="I1323">
        <v>53631</v>
      </c>
    </row>
    <row r="1324" spans="1:9" x14ac:dyDescent="0.25">
      <c r="A1324" t="s">
        <v>10299</v>
      </c>
      <c r="B1324" t="s">
        <v>10300</v>
      </c>
      <c r="C1324" t="s">
        <v>10302</v>
      </c>
      <c r="D1324" t="s">
        <v>10302</v>
      </c>
      <c r="E1324" t="s">
        <v>10301</v>
      </c>
      <c r="F1324">
        <v>8596</v>
      </c>
      <c r="G1324" t="s">
        <v>9783</v>
      </c>
      <c r="H1324" t="s">
        <v>85</v>
      </c>
      <c r="I1324">
        <v>46119</v>
      </c>
    </row>
    <row r="1325" spans="1:9" x14ac:dyDescent="0.25">
      <c r="A1325" t="s">
        <v>10305</v>
      </c>
      <c r="B1325" t="s">
        <v>10306</v>
      </c>
      <c r="C1325" t="s">
        <v>10308</v>
      </c>
      <c r="D1325" t="s">
        <v>10308</v>
      </c>
      <c r="E1325">
        <v>4128804545</v>
      </c>
      <c r="F1325">
        <v>8596</v>
      </c>
      <c r="G1325" t="s">
        <v>9783</v>
      </c>
      <c r="H1325" t="s">
        <v>85</v>
      </c>
      <c r="I1325">
        <v>25044</v>
      </c>
    </row>
    <row r="1326" spans="1:9" x14ac:dyDescent="0.25">
      <c r="A1326" t="s">
        <v>10310</v>
      </c>
      <c r="B1326" t="s">
        <v>10311</v>
      </c>
      <c r="C1326" t="s">
        <v>10313</v>
      </c>
      <c r="D1326" t="s">
        <v>10313</v>
      </c>
      <c r="E1326" t="s">
        <v>10312</v>
      </c>
      <c r="F1326">
        <v>8693</v>
      </c>
      <c r="G1326" t="s">
        <v>7090</v>
      </c>
      <c r="H1326" t="s">
        <v>85</v>
      </c>
      <c r="I1326">
        <v>53095</v>
      </c>
    </row>
    <row r="1327" spans="1:9" x14ac:dyDescent="0.25">
      <c r="A1327" t="s">
        <v>10315</v>
      </c>
      <c r="B1327" t="s">
        <v>10316</v>
      </c>
      <c r="C1327" t="s">
        <v>10317</v>
      </c>
      <c r="D1327" t="s">
        <v>15603</v>
      </c>
      <c r="E1327" t="s">
        <v>10312</v>
      </c>
      <c r="F1327">
        <v>8566</v>
      </c>
      <c r="G1327" t="s">
        <v>81</v>
      </c>
      <c r="H1327" t="s">
        <v>85</v>
      </c>
      <c r="I1327">
        <v>33941</v>
      </c>
    </row>
    <row r="1328" spans="1:9" x14ac:dyDescent="0.25">
      <c r="A1328" t="s">
        <v>10319</v>
      </c>
      <c r="B1328" t="s">
        <v>10320</v>
      </c>
      <c r="C1328" t="s">
        <v>10321</v>
      </c>
      <c r="D1328" t="s">
        <v>10321</v>
      </c>
      <c r="F1328">
        <v>8720</v>
      </c>
      <c r="G1328" t="s">
        <v>8687</v>
      </c>
      <c r="H1328" t="s">
        <v>4854</v>
      </c>
      <c r="I1328">
        <v>40308</v>
      </c>
    </row>
    <row r="1329" spans="1:9" x14ac:dyDescent="0.25">
      <c r="A1329" t="s">
        <v>10323</v>
      </c>
      <c r="B1329" t="s">
        <v>10324</v>
      </c>
      <c r="C1329" t="s">
        <v>10326</v>
      </c>
      <c r="D1329" t="s">
        <v>15604</v>
      </c>
      <c r="E1329" t="s">
        <v>10325</v>
      </c>
      <c r="F1329">
        <v>8648</v>
      </c>
      <c r="G1329" t="s">
        <v>5202</v>
      </c>
      <c r="H1329" t="s">
        <v>4854</v>
      </c>
      <c r="I1329">
        <v>44599</v>
      </c>
    </row>
    <row r="1330" spans="1:9" x14ac:dyDescent="0.25">
      <c r="A1330" t="s">
        <v>10334</v>
      </c>
      <c r="B1330" t="s">
        <v>10335</v>
      </c>
      <c r="C1330" t="s">
        <v>10336</v>
      </c>
      <c r="D1330" t="s">
        <v>10336</v>
      </c>
      <c r="F1330">
        <v>3018</v>
      </c>
      <c r="G1330" t="s">
        <v>7376</v>
      </c>
      <c r="H1330" t="s">
        <v>15453</v>
      </c>
      <c r="I1330">
        <v>50429</v>
      </c>
    </row>
    <row r="1331" spans="1:9" x14ac:dyDescent="0.25">
      <c r="A1331" t="s">
        <v>10339</v>
      </c>
      <c r="B1331" t="s">
        <v>10340</v>
      </c>
      <c r="C1331" t="s">
        <v>15605</v>
      </c>
      <c r="D1331" t="s">
        <v>15605</v>
      </c>
      <c r="E1331">
        <v>4147997028</v>
      </c>
      <c r="F1331">
        <v>8763</v>
      </c>
      <c r="G1331" t="s">
        <v>15606</v>
      </c>
      <c r="H1331" t="s">
        <v>15534</v>
      </c>
      <c r="I1331">
        <v>53478</v>
      </c>
    </row>
    <row r="1332" spans="1:9" x14ac:dyDescent="0.25">
      <c r="A1332" t="s">
        <v>10348</v>
      </c>
      <c r="B1332" t="s">
        <v>10349</v>
      </c>
      <c r="C1332" t="s">
        <v>15607</v>
      </c>
      <c r="D1332" t="s">
        <v>15607</v>
      </c>
      <c r="E1332" t="s">
        <v>10351</v>
      </c>
      <c r="F1332">
        <v>8564</v>
      </c>
      <c r="G1332" t="s">
        <v>10350</v>
      </c>
      <c r="H1332" t="s">
        <v>15534</v>
      </c>
      <c r="I1332">
        <v>52966</v>
      </c>
    </row>
    <row r="1333" spans="1:9" x14ac:dyDescent="0.25">
      <c r="A1333" t="s">
        <v>10356</v>
      </c>
      <c r="B1333" t="s">
        <v>10357</v>
      </c>
      <c r="C1333" t="s">
        <v>15608</v>
      </c>
      <c r="D1333" t="s">
        <v>15608</v>
      </c>
      <c r="E1333" t="s">
        <v>10358</v>
      </c>
      <c r="F1333">
        <v>8774</v>
      </c>
      <c r="G1333" t="s">
        <v>10089</v>
      </c>
      <c r="H1333" t="s">
        <v>15534</v>
      </c>
      <c r="I1333">
        <v>40796</v>
      </c>
    </row>
    <row r="1334" spans="1:9" x14ac:dyDescent="0.25">
      <c r="A1334" t="s">
        <v>10365</v>
      </c>
      <c r="B1334" t="s">
        <v>10366</v>
      </c>
      <c r="C1334" t="s">
        <v>15609</v>
      </c>
      <c r="D1334" t="s">
        <v>15609</v>
      </c>
      <c r="E1334" t="s">
        <v>10367</v>
      </c>
      <c r="F1334">
        <v>8601</v>
      </c>
      <c r="G1334" t="s">
        <v>10141</v>
      </c>
      <c r="H1334" t="s">
        <v>15534</v>
      </c>
      <c r="I1334">
        <v>40656</v>
      </c>
    </row>
    <row r="1335" spans="1:9" x14ac:dyDescent="0.25">
      <c r="A1335" t="s">
        <v>10373</v>
      </c>
      <c r="B1335" t="s">
        <v>10366</v>
      </c>
      <c r="C1335" t="s">
        <v>15609</v>
      </c>
      <c r="D1335" t="s">
        <v>15610</v>
      </c>
      <c r="E1335" t="s">
        <v>10367</v>
      </c>
      <c r="F1335">
        <v>8779</v>
      </c>
      <c r="G1335" t="s">
        <v>10141</v>
      </c>
      <c r="H1335" t="s">
        <v>15534</v>
      </c>
      <c r="I1335">
        <v>25590</v>
      </c>
    </row>
    <row r="1336" spans="1:9" x14ac:dyDescent="0.25">
      <c r="A1336" t="s">
        <v>10378</v>
      </c>
      <c r="B1336" t="s">
        <v>10366</v>
      </c>
      <c r="C1336" t="s">
        <v>15609</v>
      </c>
      <c r="D1336" t="s">
        <v>15611</v>
      </c>
      <c r="E1336" t="s">
        <v>10367</v>
      </c>
      <c r="F1336">
        <v>8601</v>
      </c>
      <c r="G1336" t="s">
        <v>10141</v>
      </c>
      <c r="H1336" t="s">
        <v>15534</v>
      </c>
      <c r="I1336">
        <v>50257</v>
      </c>
    </row>
    <row r="1337" spans="1:9" x14ac:dyDescent="0.25">
      <c r="A1337" t="s">
        <v>10380</v>
      </c>
      <c r="B1337" t="s">
        <v>9578</v>
      </c>
      <c r="C1337" t="s">
        <v>9590</v>
      </c>
      <c r="D1337" t="s">
        <v>15612</v>
      </c>
      <c r="E1337">
        <v>4245924649</v>
      </c>
      <c r="F1337">
        <v>8626</v>
      </c>
      <c r="G1337" t="s">
        <v>6113</v>
      </c>
      <c r="H1337" t="s">
        <v>15453</v>
      </c>
      <c r="I1337">
        <v>53639</v>
      </c>
    </row>
    <row r="1338" spans="1:9" x14ac:dyDescent="0.25">
      <c r="A1338" t="s">
        <v>10384</v>
      </c>
      <c r="B1338" t="s">
        <v>10385</v>
      </c>
      <c r="C1338" t="s">
        <v>10387</v>
      </c>
      <c r="D1338" t="s">
        <v>10387</v>
      </c>
      <c r="E1338" t="s">
        <v>10386</v>
      </c>
      <c r="F1338">
        <v>8670</v>
      </c>
      <c r="G1338" t="s">
        <v>5930</v>
      </c>
      <c r="H1338" t="s">
        <v>85</v>
      </c>
      <c r="I1338">
        <v>10747</v>
      </c>
    </row>
    <row r="1339" spans="1:9" x14ac:dyDescent="0.25">
      <c r="A1339" t="s">
        <v>10390</v>
      </c>
      <c r="B1339" t="s">
        <v>10391</v>
      </c>
      <c r="C1339" t="s">
        <v>10393</v>
      </c>
      <c r="D1339" t="s">
        <v>10393</v>
      </c>
      <c r="E1339" t="s">
        <v>10392</v>
      </c>
      <c r="F1339">
        <v>8566</v>
      </c>
      <c r="G1339" t="s">
        <v>81</v>
      </c>
      <c r="H1339" t="s">
        <v>85</v>
      </c>
      <c r="I1339">
        <v>32438</v>
      </c>
    </row>
    <row r="1340" spans="1:9" x14ac:dyDescent="0.25">
      <c r="A1340" t="s">
        <v>10404</v>
      </c>
      <c r="B1340" t="s">
        <v>10405</v>
      </c>
      <c r="C1340" t="s">
        <v>15613</v>
      </c>
      <c r="D1340" t="s">
        <v>15613</v>
      </c>
      <c r="E1340" t="s">
        <v>10406</v>
      </c>
      <c r="F1340">
        <v>8601</v>
      </c>
      <c r="G1340" t="s">
        <v>10141</v>
      </c>
      <c r="H1340" t="s">
        <v>15534</v>
      </c>
      <c r="I1340">
        <v>51323</v>
      </c>
    </row>
    <row r="1341" spans="1:9" x14ac:dyDescent="0.25">
      <c r="A1341" t="s">
        <v>10412</v>
      </c>
      <c r="B1341" t="s">
        <v>10413</v>
      </c>
      <c r="C1341" t="s">
        <v>10415</v>
      </c>
      <c r="D1341" t="s">
        <v>15614</v>
      </c>
      <c r="E1341" t="s">
        <v>10414</v>
      </c>
      <c r="F1341">
        <v>8744</v>
      </c>
      <c r="G1341" t="s">
        <v>9767</v>
      </c>
      <c r="H1341" t="s">
        <v>15453</v>
      </c>
      <c r="I1341">
        <v>40758</v>
      </c>
    </row>
    <row r="1342" spans="1:9" x14ac:dyDescent="0.25">
      <c r="A1342" t="s">
        <v>10417</v>
      </c>
      <c r="B1342" t="s">
        <v>10418</v>
      </c>
      <c r="C1342" t="s">
        <v>15615</v>
      </c>
      <c r="D1342" t="s">
        <v>15615</v>
      </c>
      <c r="E1342" t="s">
        <v>10419</v>
      </c>
      <c r="F1342">
        <v>8752</v>
      </c>
      <c r="G1342" t="s">
        <v>10155</v>
      </c>
      <c r="H1342" t="s">
        <v>15534</v>
      </c>
      <c r="I1342">
        <v>41028</v>
      </c>
    </row>
    <row r="1343" spans="1:9" x14ac:dyDescent="0.25">
      <c r="A1343" t="s">
        <v>10423</v>
      </c>
      <c r="B1343" t="s">
        <v>10424</v>
      </c>
      <c r="C1343" t="s">
        <v>10425</v>
      </c>
      <c r="D1343" t="s">
        <v>10425</v>
      </c>
      <c r="E1343" t="s">
        <v>15245</v>
      </c>
      <c r="F1343">
        <v>8544</v>
      </c>
      <c r="G1343" t="s">
        <v>119</v>
      </c>
      <c r="H1343" t="s">
        <v>15231</v>
      </c>
      <c r="I1343">
        <v>53737</v>
      </c>
    </row>
    <row r="1344" spans="1:9" x14ac:dyDescent="0.25">
      <c r="A1344" t="s">
        <v>10428</v>
      </c>
      <c r="B1344" t="s">
        <v>10429</v>
      </c>
      <c r="C1344" t="s">
        <v>10431</v>
      </c>
      <c r="D1344" t="s">
        <v>10431</v>
      </c>
      <c r="E1344" t="s">
        <v>10430</v>
      </c>
      <c r="F1344">
        <v>6201</v>
      </c>
      <c r="G1344" t="s">
        <v>41</v>
      </c>
      <c r="H1344" t="s">
        <v>15220</v>
      </c>
    </row>
    <row r="1345" spans="1:9" x14ac:dyDescent="0.25">
      <c r="A1345" t="s">
        <v>10450</v>
      </c>
      <c r="B1345" t="s">
        <v>10451</v>
      </c>
      <c r="C1345" t="s">
        <v>10453</v>
      </c>
      <c r="D1345" t="s">
        <v>10453</v>
      </c>
      <c r="E1345" t="s">
        <v>10452</v>
      </c>
      <c r="F1345">
        <v>8558</v>
      </c>
      <c r="G1345" t="s">
        <v>1360</v>
      </c>
      <c r="H1345" t="s">
        <v>1215</v>
      </c>
      <c r="I1345">
        <v>53750</v>
      </c>
    </row>
    <row r="1346" spans="1:9" x14ac:dyDescent="0.25">
      <c r="A1346" t="s">
        <v>10456</v>
      </c>
      <c r="B1346" t="s">
        <v>10457</v>
      </c>
      <c r="C1346" t="s">
        <v>15616</v>
      </c>
      <c r="D1346" t="s">
        <v>15616</v>
      </c>
      <c r="E1346" t="s">
        <v>10459</v>
      </c>
      <c r="F1346">
        <v>8759</v>
      </c>
      <c r="G1346" t="s">
        <v>10458</v>
      </c>
      <c r="H1346" t="s">
        <v>15534</v>
      </c>
      <c r="I1346">
        <v>41074</v>
      </c>
    </row>
    <row r="1347" spans="1:9" x14ac:dyDescent="0.25">
      <c r="A1347" t="s">
        <v>10464</v>
      </c>
      <c r="B1347" t="s">
        <v>10465</v>
      </c>
      <c r="C1347" t="s">
        <v>10467</v>
      </c>
      <c r="D1347" t="s">
        <v>10467</v>
      </c>
      <c r="E1347" t="s">
        <v>10466</v>
      </c>
      <c r="F1347">
        <v>8601</v>
      </c>
      <c r="G1347" t="s">
        <v>10141</v>
      </c>
      <c r="H1347" t="s">
        <v>15534</v>
      </c>
      <c r="I1347">
        <v>17067</v>
      </c>
    </row>
    <row r="1348" spans="1:9" x14ac:dyDescent="0.25">
      <c r="A1348" t="s">
        <v>10469</v>
      </c>
      <c r="B1348" t="s">
        <v>10470</v>
      </c>
      <c r="C1348" t="s">
        <v>10471</v>
      </c>
      <c r="D1348" t="s">
        <v>10471</v>
      </c>
      <c r="F1348">
        <v>3061</v>
      </c>
      <c r="G1348" t="s">
        <v>7670</v>
      </c>
      <c r="H1348" t="s">
        <v>15453</v>
      </c>
      <c r="I1348">
        <v>15374</v>
      </c>
    </row>
    <row r="1349" spans="1:9" x14ac:dyDescent="0.25">
      <c r="A1349" t="s">
        <v>10474</v>
      </c>
      <c r="B1349" t="s">
        <v>10475</v>
      </c>
      <c r="C1349" t="s">
        <v>10477</v>
      </c>
      <c r="D1349" t="s">
        <v>10477</v>
      </c>
      <c r="E1349" t="s">
        <v>10476</v>
      </c>
      <c r="F1349">
        <v>8540</v>
      </c>
      <c r="G1349" t="s">
        <v>1062</v>
      </c>
      <c r="H1349" t="s">
        <v>72</v>
      </c>
      <c r="I1349">
        <v>53805</v>
      </c>
    </row>
    <row r="1350" spans="1:9" x14ac:dyDescent="0.25">
      <c r="A1350" t="s">
        <v>10480</v>
      </c>
      <c r="B1350" t="s">
        <v>10481</v>
      </c>
      <c r="C1350" t="s">
        <v>10483</v>
      </c>
      <c r="D1350" t="s">
        <v>10483</v>
      </c>
      <c r="E1350" t="s">
        <v>10482</v>
      </c>
      <c r="F1350">
        <v>8533</v>
      </c>
      <c r="G1350" t="s">
        <v>303</v>
      </c>
      <c r="H1350" t="s">
        <v>72</v>
      </c>
    </row>
    <row r="1351" spans="1:9" x14ac:dyDescent="0.25">
      <c r="A1351" t="s">
        <v>10486</v>
      </c>
      <c r="B1351" t="s">
        <v>10487</v>
      </c>
      <c r="C1351" t="s">
        <v>15617</v>
      </c>
      <c r="D1351" t="s">
        <v>15617</v>
      </c>
      <c r="E1351" t="s">
        <v>10488</v>
      </c>
      <c r="F1351">
        <v>8601</v>
      </c>
      <c r="G1351" t="s">
        <v>10141</v>
      </c>
      <c r="H1351" t="s">
        <v>15534</v>
      </c>
      <c r="I1351">
        <v>34707</v>
      </c>
    </row>
    <row r="1352" spans="1:9" x14ac:dyDescent="0.25">
      <c r="A1352" t="s">
        <v>10492</v>
      </c>
      <c r="B1352" t="s">
        <v>10493</v>
      </c>
      <c r="C1352" t="s">
        <v>10495</v>
      </c>
      <c r="D1352" t="s">
        <v>10495</v>
      </c>
      <c r="E1352" t="s">
        <v>10494</v>
      </c>
      <c r="F1352">
        <v>8752</v>
      </c>
      <c r="G1352" t="s">
        <v>10155</v>
      </c>
      <c r="H1352" t="s">
        <v>15534</v>
      </c>
      <c r="I1352">
        <v>47617</v>
      </c>
    </row>
    <row r="1353" spans="1:9" x14ac:dyDescent="0.25">
      <c r="A1353" t="s">
        <v>10498</v>
      </c>
      <c r="B1353" t="s">
        <v>10499</v>
      </c>
      <c r="C1353" t="s">
        <v>15618</v>
      </c>
      <c r="D1353" t="s">
        <v>15618</v>
      </c>
      <c r="E1353" t="s">
        <v>10500</v>
      </c>
      <c r="F1353">
        <v>8780</v>
      </c>
      <c r="G1353" t="s">
        <v>7938</v>
      </c>
      <c r="H1353" t="s">
        <v>15534</v>
      </c>
      <c r="I1353">
        <v>53770</v>
      </c>
    </row>
    <row r="1354" spans="1:9" x14ac:dyDescent="0.25">
      <c r="A1354" t="s">
        <v>10529</v>
      </c>
      <c r="B1354" t="s">
        <v>10530</v>
      </c>
      <c r="C1354" t="s">
        <v>10532</v>
      </c>
      <c r="D1354" t="s">
        <v>10532</v>
      </c>
      <c r="E1354" t="s">
        <v>15619</v>
      </c>
      <c r="F1354">
        <v>8566</v>
      </c>
      <c r="G1354" t="s">
        <v>81</v>
      </c>
      <c r="H1354" t="s">
        <v>85</v>
      </c>
      <c r="I1354">
        <v>52938</v>
      </c>
    </row>
    <row r="1355" spans="1:9" x14ac:dyDescent="0.25">
      <c r="A1355" t="s">
        <v>10535</v>
      </c>
      <c r="B1355" t="s">
        <v>10536</v>
      </c>
      <c r="C1355" t="s">
        <v>10538</v>
      </c>
      <c r="D1355" t="s">
        <v>10538</v>
      </c>
      <c r="E1355" t="s">
        <v>15620</v>
      </c>
      <c r="F1355">
        <v>8693</v>
      </c>
      <c r="G1355" t="s">
        <v>7088</v>
      </c>
      <c r="H1355" t="s">
        <v>85</v>
      </c>
      <c r="I1355">
        <v>37344</v>
      </c>
    </row>
    <row r="1356" spans="1:9" x14ac:dyDescent="0.25">
      <c r="A1356" t="s">
        <v>10541</v>
      </c>
      <c r="B1356" t="s">
        <v>10542</v>
      </c>
      <c r="C1356" t="s">
        <v>10545</v>
      </c>
      <c r="D1356" t="s">
        <v>10545</v>
      </c>
      <c r="E1356" t="s">
        <v>10544</v>
      </c>
      <c r="F1356">
        <v>8530</v>
      </c>
      <c r="G1356" t="s">
        <v>15621</v>
      </c>
      <c r="H1356" t="s">
        <v>15222</v>
      </c>
      <c r="I1356">
        <v>38242</v>
      </c>
    </row>
    <row r="1357" spans="1:9" x14ac:dyDescent="0.25">
      <c r="A1357" t="s">
        <v>10548</v>
      </c>
      <c r="B1357" t="s">
        <v>10549</v>
      </c>
      <c r="C1357" t="s">
        <v>10550</v>
      </c>
      <c r="D1357" t="s">
        <v>10550</v>
      </c>
      <c r="F1357">
        <v>8566</v>
      </c>
      <c r="G1357" t="s">
        <v>81</v>
      </c>
      <c r="H1357" t="s">
        <v>85</v>
      </c>
      <c r="I1357">
        <v>22512</v>
      </c>
    </row>
    <row r="1358" spans="1:9" x14ac:dyDescent="0.25">
      <c r="A1358" t="s">
        <v>10552</v>
      </c>
      <c r="B1358" t="s">
        <v>10553</v>
      </c>
      <c r="C1358" t="s">
        <v>10555</v>
      </c>
      <c r="D1358" t="s">
        <v>10555</v>
      </c>
      <c r="E1358" t="s">
        <v>10554</v>
      </c>
      <c r="F1358">
        <v>8648</v>
      </c>
      <c r="G1358" t="s">
        <v>6519</v>
      </c>
      <c r="H1358" t="s">
        <v>4854</v>
      </c>
      <c r="I1358">
        <v>5824</v>
      </c>
    </row>
    <row r="1359" spans="1:9" x14ac:dyDescent="0.25">
      <c r="A1359" t="s">
        <v>10558</v>
      </c>
      <c r="B1359" t="s">
        <v>10559</v>
      </c>
      <c r="C1359" t="s">
        <v>10560</v>
      </c>
      <c r="D1359" t="s">
        <v>10560</v>
      </c>
      <c r="E1359" t="s">
        <v>15622</v>
      </c>
      <c r="F1359">
        <v>8566</v>
      </c>
      <c r="G1359" t="s">
        <v>81</v>
      </c>
      <c r="H1359" t="s">
        <v>85</v>
      </c>
      <c r="I1359">
        <v>39699</v>
      </c>
    </row>
    <row r="1360" spans="1:9" x14ac:dyDescent="0.25">
      <c r="A1360" t="s">
        <v>10588</v>
      </c>
      <c r="B1360" t="s">
        <v>10589</v>
      </c>
      <c r="C1360" t="s">
        <v>10590</v>
      </c>
      <c r="D1360" t="s">
        <v>10590</v>
      </c>
      <c r="F1360">
        <v>3018</v>
      </c>
      <c r="G1360" t="s">
        <v>7376</v>
      </c>
      <c r="H1360" t="s">
        <v>15453</v>
      </c>
      <c r="I1360">
        <v>22445</v>
      </c>
    </row>
    <row r="1361" spans="1:9" x14ac:dyDescent="0.25">
      <c r="A1361" t="s">
        <v>10596</v>
      </c>
      <c r="B1361" t="s">
        <v>10597</v>
      </c>
      <c r="C1361" t="s">
        <v>10599</v>
      </c>
      <c r="D1361" t="s">
        <v>10599</v>
      </c>
      <c r="E1361" t="s">
        <v>10598</v>
      </c>
      <c r="F1361">
        <v>8641</v>
      </c>
      <c r="G1361" t="s">
        <v>6728</v>
      </c>
      <c r="H1361" t="s">
        <v>85</v>
      </c>
      <c r="I1361">
        <v>22375</v>
      </c>
    </row>
    <row r="1362" spans="1:9" x14ac:dyDescent="0.25">
      <c r="A1362" t="s">
        <v>10602</v>
      </c>
      <c r="B1362" t="s">
        <v>10603</v>
      </c>
      <c r="C1362" t="s">
        <v>10604</v>
      </c>
      <c r="D1362" t="s">
        <v>10604</v>
      </c>
      <c r="F1362">
        <v>8691</v>
      </c>
      <c r="G1362" t="s">
        <v>7147</v>
      </c>
      <c r="H1362" t="s">
        <v>79</v>
      </c>
      <c r="I1362">
        <v>40809</v>
      </c>
    </row>
    <row r="1363" spans="1:9" x14ac:dyDescent="0.25">
      <c r="A1363" t="s">
        <v>10615</v>
      </c>
      <c r="B1363" t="s">
        <v>10616</v>
      </c>
      <c r="C1363" t="s">
        <v>10617</v>
      </c>
      <c r="D1363" t="s">
        <v>10617</v>
      </c>
      <c r="F1363">
        <v>6201</v>
      </c>
      <c r="G1363" t="s">
        <v>41</v>
      </c>
      <c r="H1363" t="s">
        <v>15220</v>
      </c>
    </row>
    <row r="1364" spans="1:9" x14ac:dyDescent="0.25">
      <c r="A1364" t="s">
        <v>10629</v>
      </c>
      <c r="B1364" t="s">
        <v>10630</v>
      </c>
      <c r="C1364" t="s">
        <v>15623</v>
      </c>
      <c r="D1364" t="s">
        <v>15623</v>
      </c>
      <c r="E1364" t="s">
        <v>10632</v>
      </c>
      <c r="F1364">
        <v>8763</v>
      </c>
      <c r="G1364" t="s">
        <v>10344</v>
      </c>
      <c r="H1364" t="s">
        <v>15534</v>
      </c>
      <c r="I1364">
        <v>19164</v>
      </c>
    </row>
    <row r="1365" spans="1:9" x14ac:dyDescent="0.25">
      <c r="A1365" t="s">
        <v>10636</v>
      </c>
      <c r="B1365" t="s">
        <v>10637</v>
      </c>
      <c r="C1365" t="s">
        <v>10639</v>
      </c>
      <c r="D1365" t="s">
        <v>10639</v>
      </c>
      <c r="E1365" t="s">
        <v>10638</v>
      </c>
      <c r="F1365">
        <v>8633</v>
      </c>
      <c r="G1365" t="s">
        <v>4851</v>
      </c>
      <c r="H1365" t="s">
        <v>4854</v>
      </c>
      <c r="I1365">
        <v>44205</v>
      </c>
    </row>
    <row r="1366" spans="1:9" x14ac:dyDescent="0.25">
      <c r="A1366" t="s">
        <v>10642</v>
      </c>
      <c r="B1366" t="s">
        <v>10643</v>
      </c>
      <c r="C1366" t="s">
        <v>10645</v>
      </c>
      <c r="D1366" t="s">
        <v>10645</v>
      </c>
      <c r="E1366" t="s">
        <v>10644</v>
      </c>
      <c r="F1366">
        <v>8606</v>
      </c>
      <c r="G1366" t="s">
        <v>3750</v>
      </c>
      <c r="H1366" t="s">
        <v>15226</v>
      </c>
    </row>
    <row r="1367" spans="1:9" x14ac:dyDescent="0.25">
      <c r="A1367" t="s">
        <v>10652</v>
      </c>
      <c r="B1367" t="s">
        <v>10653</v>
      </c>
      <c r="C1367" t="s">
        <v>10655</v>
      </c>
      <c r="D1367" t="s">
        <v>10655</v>
      </c>
      <c r="E1367" t="s">
        <v>10654</v>
      </c>
      <c r="F1367">
        <v>8695</v>
      </c>
      <c r="G1367" t="s">
        <v>2572</v>
      </c>
      <c r="H1367" t="s">
        <v>2399</v>
      </c>
      <c r="I1367">
        <v>52798</v>
      </c>
    </row>
    <row r="1368" spans="1:9" x14ac:dyDescent="0.25">
      <c r="A1368" t="s">
        <v>10662</v>
      </c>
      <c r="B1368" t="s">
        <v>10663</v>
      </c>
      <c r="F1368">
        <v>6201</v>
      </c>
      <c r="G1368" t="s">
        <v>41</v>
      </c>
      <c r="H1368" t="s">
        <v>15220</v>
      </c>
    </row>
    <row r="1369" spans="1:9" x14ac:dyDescent="0.25">
      <c r="A1369" t="s">
        <v>10670</v>
      </c>
      <c r="B1369" t="s">
        <v>10671</v>
      </c>
      <c r="C1369" t="s">
        <v>10674</v>
      </c>
      <c r="D1369" t="s">
        <v>10674</v>
      </c>
      <c r="E1369" t="s">
        <v>10673</v>
      </c>
      <c r="F1369">
        <v>8701</v>
      </c>
      <c r="G1369" t="s">
        <v>10672</v>
      </c>
      <c r="H1369" t="s">
        <v>79</v>
      </c>
      <c r="I1369">
        <v>41568</v>
      </c>
    </row>
    <row r="1370" spans="1:9" x14ac:dyDescent="0.25">
      <c r="A1370" t="s">
        <v>10677</v>
      </c>
      <c r="B1370" t="s">
        <v>10678</v>
      </c>
      <c r="C1370" t="s">
        <v>10680</v>
      </c>
      <c r="D1370" t="s">
        <v>10680</v>
      </c>
      <c r="E1370">
        <v>4141587243</v>
      </c>
      <c r="F1370">
        <v>8715</v>
      </c>
      <c r="G1370" t="s">
        <v>8401</v>
      </c>
      <c r="H1370" t="s">
        <v>2399</v>
      </c>
      <c r="I1370">
        <v>42662</v>
      </c>
    </row>
    <row r="1371" spans="1:9" x14ac:dyDescent="0.25">
      <c r="A1371" t="s">
        <v>10693</v>
      </c>
      <c r="B1371" t="s">
        <v>10694</v>
      </c>
      <c r="C1371" t="s">
        <v>10697</v>
      </c>
      <c r="D1371" t="s">
        <v>10697</v>
      </c>
      <c r="E1371" t="s">
        <v>10696</v>
      </c>
      <c r="F1371">
        <v>8566</v>
      </c>
      <c r="G1371" t="s">
        <v>10695</v>
      </c>
      <c r="H1371" t="s">
        <v>85</v>
      </c>
      <c r="I1371">
        <v>1051</v>
      </c>
    </row>
    <row r="1372" spans="1:9" x14ac:dyDescent="0.25">
      <c r="A1372" t="s">
        <v>10699</v>
      </c>
      <c r="B1372" t="s">
        <v>10700</v>
      </c>
      <c r="C1372" t="s">
        <v>10702</v>
      </c>
      <c r="D1372" t="s">
        <v>10702</v>
      </c>
      <c r="E1372" t="s">
        <v>10701</v>
      </c>
      <c r="F1372">
        <v>8573</v>
      </c>
      <c r="G1372" t="s">
        <v>861</v>
      </c>
      <c r="H1372" t="s">
        <v>106</v>
      </c>
      <c r="I1372">
        <v>44774</v>
      </c>
    </row>
    <row r="1373" spans="1:9" x14ac:dyDescent="0.25">
      <c r="A1373" t="s">
        <v>10704</v>
      </c>
      <c r="B1373" t="s">
        <v>10705</v>
      </c>
      <c r="C1373" t="s">
        <v>10707</v>
      </c>
      <c r="D1373" t="s">
        <v>10707</v>
      </c>
      <c r="E1373" t="s">
        <v>10706</v>
      </c>
      <c r="F1373">
        <v>5201</v>
      </c>
      <c r="G1373" t="s">
        <v>79</v>
      </c>
      <c r="H1373" t="s">
        <v>79</v>
      </c>
    </row>
    <row r="1374" spans="1:9" x14ac:dyDescent="0.25">
      <c r="A1374" t="s">
        <v>10713</v>
      </c>
      <c r="B1374" t="s">
        <v>10714</v>
      </c>
      <c r="C1374" t="s">
        <v>15624</v>
      </c>
      <c r="D1374" t="s">
        <v>15625</v>
      </c>
      <c r="E1374" t="s">
        <v>10715</v>
      </c>
      <c r="F1374">
        <v>8526</v>
      </c>
      <c r="G1374" t="s">
        <v>665</v>
      </c>
      <c r="H1374" t="s">
        <v>106</v>
      </c>
      <c r="I1374">
        <v>21016</v>
      </c>
    </row>
    <row r="1375" spans="1:9" x14ac:dyDescent="0.25">
      <c r="A1375" t="s">
        <v>10719</v>
      </c>
      <c r="B1375" t="s">
        <v>10720</v>
      </c>
      <c r="C1375" t="s">
        <v>15626</v>
      </c>
      <c r="D1375" t="s">
        <v>15627</v>
      </c>
      <c r="E1375" t="s">
        <v>10721</v>
      </c>
      <c r="F1375">
        <v>8592</v>
      </c>
      <c r="G1375" t="s">
        <v>139</v>
      </c>
      <c r="H1375" t="s">
        <v>139</v>
      </c>
      <c r="I1375">
        <v>20325</v>
      </c>
    </row>
    <row r="1376" spans="1:9" x14ac:dyDescent="0.25">
      <c r="A1376" t="s">
        <v>10725</v>
      </c>
      <c r="B1376" t="s">
        <v>10726</v>
      </c>
      <c r="C1376" t="s">
        <v>10729</v>
      </c>
      <c r="D1376" t="s">
        <v>10729</v>
      </c>
      <c r="E1376" t="s">
        <v>10728</v>
      </c>
      <c r="F1376">
        <v>8649</v>
      </c>
      <c r="G1376" t="s">
        <v>10727</v>
      </c>
      <c r="H1376" t="s">
        <v>1215</v>
      </c>
      <c r="I1376">
        <v>46257</v>
      </c>
    </row>
    <row r="1377" spans="1:9" x14ac:dyDescent="0.25">
      <c r="A1377" t="s">
        <v>10732</v>
      </c>
      <c r="B1377" t="s">
        <v>10733</v>
      </c>
      <c r="C1377" t="s">
        <v>10735</v>
      </c>
      <c r="D1377" t="s">
        <v>15628</v>
      </c>
      <c r="E1377" t="s">
        <v>10734</v>
      </c>
      <c r="F1377">
        <v>8566</v>
      </c>
      <c r="G1377" t="s">
        <v>81</v>
      </c>
      <c r="H1377" t="s">
        <v>85</v>
      </c>
      <c r="I1377">
        <v>36417</v>
      </c>
    </row>
    <row r="1378" spans="1:9" x14ac:dyDescent="0.25">
      <c r="A1378" t="s">
        <v>10738</v>
      </c>
      <c r="B1378" t="s">
        <v>10739</v>
      </c>
      <c r="C1378" t="s">
        <v>10741</v>
      </c>
      <c r="D1378" t="s">
        <v>10741</v>
      </c>
      <c r="E1378" t="s">
        <v>10740</v>
      </c>
      <c r="F1378">
        <v>8601</v>
      </c>
      <c r="G1378" t="s">
        <v>10141</v>
      </c>
      <c r="H1378" t="s">
        <v>15534</v>
      </c>
      <c r="I1378">
        <v>49102</v>
      </c>
    </row>
    <row r="1379" spans="1:9" x14ac:dyDescent="0.25">
      <c r="A1379" t="s">
        <v>10744</v>
      </c>
      <c r="B1379" t="s">
        <v>10745</v>
      </c>
      <c r="C1379" t="s">
        <v>10749</v>
      </c>
      <c r="D1379" t="s">
        <v>10749</v>
      </c>
      <c r="F1379">
        <v>8766</v>
      </c>
      <c r="G1379" t="s">
        <v>10746</v>
      </c>
      <c r="H1379" t="s">
        <v>15222</v>
      </c>
      <c r="I1379">
        <v>4251</v>
      </c>
    </row>
    <row r="1380" spans="1:9" x14ac:dyDescent="0.25">
      <c r="A1380" t="s">
        <v>10759</v>
      </c>
      <c r="B1380" t="s">
        <v>10760</v>
      </c>
      <c r="C1380" t="s">
        <v>10765</v>
      </c>
      <c r="D1380" t="s">
        <v>15629</v>
      </c>
      <c r="E1380" t="s">
        <v>10762</v>
      </c>
      <c r="F1380">
        <v>8781</v>
      </c>
      <c r="G1380" t="s">
        <v>10761</v>
      </c>
      <c r="H1380" t="s">
        <v>15534</v>
      </c>
      <c r="I1380">
        <v>4306</v>
      </c>
    </row>
    <row r="1381" spans="1:9" x14ac:dyDescent="0.25">
      <c r="A1381" t="s">
        <v>10771</v>
      </c>
      <c r="B1381" t="s">
        <v>10769</v>
      </c>
      <c r="C1381" t="s">
        <v>10774</v>
      </c>
      <c r="D1381" t="s">
        <v>10774</v>
      </c>
      <c r="E1381">
        <v>4141450000</v>
      </c>
      <c r="F1381">
        <v>2001</v>
      </c>
      <c r="G1381" t="s">
        <v>10772</v>
      </c>
      <c r="H1381" t="s">
        <v>1215</v>
      </c>
      <c r="I1381">
        <v>7583</v>
      </c>
    </row>
    <row r="1382" spans="1:9" x14ac:dyDescent="0.25">
      <c r="A1382" t="s">
        <v>10777</v>
      </c>
      <c r="B1382" t="s">
        <v>10769</v>
      </c>
      <c r="C1382" t="s">
        <v>10774</v>
      </c>
      <c r="D1382" t="s">
        <v>15630</v>
      </c>
      <c r="E1382" t="s">
        <v>10778</v>
      </c>
      <c r="F1382">
        <v>2001</v>
      </c>
      <c r="G1382" t="s">
        <v>1417</v>
      </c>
      <c r="H1382" t="s">
        <v>1215</v>
      </c>
      <c r="I1382">
        <v>52257</v>
      </c>
    </row>
    <row r="1383" spans="1:9" x14ac:dyDescent="0.25">
      <c r="A1383" t="s">
        <v>10780</v>
      </c>
      <c r="B1383" t="s">
        <v>10781</v>
      </c>
      <c r="C1383" t="s">
        <v>10782</v>
      </c>
      <c r="D1383" t="s">
        <v>10782</v>
      </c>
      <c r="E1383" t="s">
        <v>7498</v>
      </c>
      <c r="F1383">
        <v>8558</v>
      </c>
      <c r="G1383" t="s">
        <v>1360</v>
      </c>
      <c r="H1383" t="s">
        <v>1215</v>
      </c>
      <c r="I1383">
        <v>53830</v>
      </c>
    </row>
    <row r="1384" spans="1:9" x14ac:dyDescent="0.25">
      <c r="A1384" t="s">
        <v>10784</v>
      </c>
      <c r="B1384" t="s">
        <v>10785</v>
      </c>
      <c r="C1384" t="s">
        <v>10786</v>
      </c>
      <c r="D1384" t="s">
        <v>10786</v>
      </c>
      <c r="F1384">
        <v>8558</v>
      </c>
      <c r="G1384" t="s">
        <v>1360</v>
      </c>
      <c r="H1384" t="s">
        <v>1215</v>
      </c>
      <c r="I1384">
        <v>39476</v>
      </c>
    </row>
    <row r="1385" spans="1:9" x14ac:dyDescent="0.25">
      <c r="A1385" t="s">
        <v>10789</v>
      </c>
      <c r="B1385" t="s">
        <v>10790</v>
      </c>
      <c r="C1385" t="s">
        <v>10791</v>
      </c>
      <c r="D1385" t="s">
        <v>10791</v>
      </c>
      <c r="F1385">
        <v>8558</v>
      </c>
      <c r="G1385" t="s">
        <v>1360</v>
      </c>
      <c r="H1385" t="s">
        <v>1215</v>
      </c>
      <c r="I1385">
        <v>33991</v>
      </c>
    </row>
    <row r="1386" spans="1:9" x14ac:dyDescent="0.25">
      <c r="A1386" t="s">
        <v>10794</v>
      </c>
      <c r="B1386" t="s">
        <v>10795</v>
      </c>
      <c r="C1386" t="s">
        <v>10796</v>
      </c>
      <c r="D1386" t="s">
        <v>10796</v>
      </c>
      <c r="F1386">
        <v>8604</v>
      </c>
      <c r="G1386" t="s">
        <v>3122</v>
      </c>
      <c r="H1386" t="s">
        <v>1215</v>
      </c>
      <c r="I1386">
        <v>42292</v>
      </c>
    </row>
    <row r="1387" spans="1:9" x14ac:dyDescent="0.25">
      <c r="A1387" t="s">
        <v>10799</v>
      </c>
      <c r="B1387" t="s">
        <v>10800</v>
      </c>
      <c r="C1387" t="s">
        <v>10802</v>
      </c>
      <c r="D1387" t="s">
        <v>10802</v>
      </c>
      <c r="E1387" t="s">
        <v>10801</v>
      </c>
      <c r="F1387">
        <v>8692</v>
      </c>
      <c r="G1387" t="s">
        <v>6996</v>
      </c>
      <c r="H1387" t="s">
        <v>2399</v>
      </c>
      <c r="I1387">
        <v>1391</v>
      </c>
    </row>
    <row r="1388" spans="1:9" x14ac:dyDescent="0.25">
      <c r="A1388" t="s">
        <v>10804</v>
      </c>
      <c r="B1388" t="s">
        <v>10805</v>
      </c>
      <c r="C1388" t="s">
        <v>10807</v>
      </c>
      <c r="D1388" t="s">
        <v>15631</v>
      </c>
      <c r="E1388" t="s">
        <v>15632</v>
      </c>
      <c r="F1388">
        <v>8566</v>
      </c>
      <c r="G1388" t="s">
        <v>81</v>
      </c>
      <c r="H1388" t="s">
        <v>85</v>
      </c>
      <c r="I1388">
        <v>2340</v>
      </c>
    </row>
    <row r="1389" spans="1:9" x14ac:dyDescent="0.25">
      <c r="A1389" t="s">
        <v>10810</v>
      </c>
      <c r="B1389" t="s">
        <v>10811</v>
      </c>
      <c r="C1389" t="s">
        <v>10815</v>
      </c>
      <c r="D1389" t="s">
        <v>10815</v>
      </c>
      <c r="E1389" t="s">
        <v>10813</v>
      </c>
      <c r="F1389">
        <v>8767</v>
      </c>
      <c r="G1389" t="s">
        <v>10812</v>
      </c>
      <c r="H1389" t="s">
        <v>85</v>
      </c>
      <c r="I1389">
        <v>2718</v>
      </c>
    </row>
    <row r="1390" spans="1:9" x14ac:dyDescent="0.25">
      <c r="A1390" t="s">
        <v>10818</v>
      </c>
      <c r="B1390" t="s">
        <v>10819</v>
      </c>
      <c r="C1390" t="s">
        <v>15633</v>
      </c>
      <c r="D1390" t="s">
        <v>15633</v>
      </c>
      <c r="E1390" t="s">
        <v>10820</v>
      </c>
      <c r="F1390">
        <v>8750</v>
      </c>
      <c r="G1390" t="s">
        <v>10105</v>
      </c>
      <c r="H1390" t="s">
        <v>15534</v>
      </c>
      <c r="I1390">
        <v>18786</v>
      </c>
    </row>
    <row r="1391" spans="1:9" x14ac:dyDescent="0.25">
      <c r="A1391" t="s">
        <v>10824</v>
      </c>
      <c r="B1391" t="s">
        <v>10825</v>
      </c>
      <c r="C1391" t="s">
        <v>10827</v>
      </c>
      <c r="D1391" t="s">
        <v>10827</v>
      </c>
      <c r="E1391" t="s">
        <v>10826</v>
      </c>
      <c r="F1391">
        <v>8649</v>
      </c>
      <c r="G1391" t="s">
        <v>1211</v>
      </c>
      <c r="H1391" t="s">
        <v>1215</v>
      </c>
      <c r="I1391">
        <v>40686</v>
      </c>
    </row>
    <row r="1392" spans="1:9" x14ac:dyDescent="0.25">
      <c r="A1392" t="s">
        <v>10834</v>
      </c>
      <c r="B1392" t="s">
        <v>10835</v>
      </c>
      <c r="C1392" t="s">
        <v>15634</v>
      </c>
      <c r="D1392" t="s">
        <v>15634</v>
      </c>
      <c r="E1392" t="s">
        <v>10836</v>
      </c>
      <c r="F1392">
        <v>8601</v>
      </c>
      <c r="G1392" t="s">
        <v>10141</v>
      </c>
      <c r="H1392" t="s">
        <v>15534</v>
      </c>
      <c r="I1392">
        <v>45160</v>
      </c>
    </row>
    <row r="1393" spans="1:9" x14ac:dyDescent="0.25">
      <c r="A1393" t="s">
        <v>10842</v>
      </c>
      <c r="B1393" t="s">
        <v>4636</v>
      </c>
      <c r="C1393" t="s">
        <v>10843</v>
      </c>
      <c r="D1393" t="s">
        <v>10843</v>
      </c>
      <c r="E1393">
        <v>4245424695</v>
      </c>
      <c r="F1393">
        <v>5201</v>
      </c>
      <c r="G1393" t="s">
        <v>79</v>
      </c>
      <c r="H1393" t="s">
        <v>79</v>
      </c>
      <c r="I1393">
        <v>3640</v>
      </c>
    </row>
    <row r="1394" spans="1:9" x14ac:dyDescent="0.25">
      <c r="A1394" t="s">
        <v>10846</v>
      </c>
      <c r="B1394" t="s">
        <v>10847</v>
      </c>
      <c r="C1394" t="s">
        <v>10849</v>
      </c>
      <c r="D1394" t="s">
        <v>10849</v>
      </c>
      <c r="E1394" t="s">
        <v>10848</v>
      </c>
      <c r="F1394">
        <v>8673</v>
      </c>
      <c r="G1394" t="s">
        <v>6030</v>
      </c>
      <c r="H1394" t="s">
        <v>85</v>
      </c>
      <c r="I1394">
        <v>38139</v>
      </c>
    </row>
    <row r="1395" spans="1:9" x14ac:dyDescent="0.25">
      <c r="A1395" t="s">
        <v>10852</v>
      </c>
      <c r="B1395" t="s">
        <v>10853</v>
      </c>
      <c r="C1395" t="s">
        <v>10855</v>
      </c>
      <c r="D1395" t="s">
        <v>10855</v>
      </c>
      <c r="E1395" t="s">
        <v>10854</v>
      </c>
      <c r="F1395">
        <v>8673</v>
      </c>
      <c r="G1395" t="s">
        <v>6030</v>
      </c>
      <c r="H1395" t="s">
        <v>85</v>
      </c>
      <c r="I1395">
        <v>1953</v>
      </c>
    </row>
    <row r="1396" spans="1:9" x14ac:dyDescent="0.25">
      <c r="A1396" t="s">
        <v>10858</v>
      </c>
      <c r="B1396" t="s">
        <v>10859</v>
      </c>
      <c r="C1396" t="s">
        <v>10861</v>
      </c>
      <c r="D1396" t="s">
        <v>10861</v>
      </c>
      <c r="E1396" t="s">
        <v>10860</v>
      </c>
      <c r="F1396">
        <v>8511</v>
      </c>
      <c r="G1396" t="s">
        <v>3074</v>
      </c>
      <c r="H1396" t="s">
        <v>106</v>
      </c>
      <c r="I1396">
        <v>53234</v>
      </c>
    </row>
    <row r="1397" spans="1:9" x14ac:dyDescent="0.25">
      <c r="A1397" t="s">
        <v>10864</v>
      </c>
      <c r="B1397" t="s">
        <v>10865</v>
      </c>
      <c r="C1397" t="s">
        <v>10867</v>
      </c>
      <c r="D1397" t="s">
        <v>10867</v>
      </c>
      <c r="E1397" t="s">
        <v>10866</v>
      </c>
      <c r="F1397">
        <v>8566</v>
      </c>
      <c r="G1397" t="s">
        <v>81</v>
      </c>
      <c r="H1397" t="s">
        <v>85</v>
      </c>
      <c r="I1397">
        <v>43497</v>
      </c>
    </row>
    <row r="1398" spans="1:9" x14ac:dyDescent="0.25">
      <c r="A1398" t="s">
        <v>10870</v>
      </c>
      <c r="B1398" t="s">
        <v>10871</v>
      </c>
      <c r="C1398" t="s">
        <v>10874</v>
      </c>
      <c r="D1398" t="s">
        <v>15635</v>
      </c>
      <c r="F1398">
        <v>8768</v>
      </c>
      <c r="G1398" t="s">
        <v>10872</v>
      </c>
      <c r="H1398" t="s">
        <v>137</v>
      </c>
      <c r="I1398">
        <v>53885</v>
      </c>
    </row>
    <row r="1399" spans="1:9" x14ac:dyDescent="0.25">
      <c r="A1399" t="s">
        <v>10877</v>
      </c>
      <c r="B1399" t="s">
        <v>10878</v>
      </c>
      <c r="C1399" t="s">
        <v>10880</v>
      </c>
      <c r="D1399" t="s">
        <v>10880</v>
      </c>
      <c r="E1399" t="s">
        <v>10879</v>
      </c>
      <c r="F1399">
        <v>8558</v>
      </c>
      <c r="G1399" t="s">
        <v>1360</v>
      </c>
      <c r="H1399" t="s">
        <v>1215</v>
      </c>
      <c r="I1399">
        <v>53908</v>
      </c>
    </row>
    <row r="1400" spans="1:9" x14ac:dyDescent="0.25">
      <c r="A1400" t="s">
        <v>10891</v>
      </c>
      <c r="B1400" t="s">
        <v>10892</v>
      </c>
      <c r="C1400" t="s">
        <v>10894</v>
      </c>
      <c r="D1400" t="s">
        <v>10894</v>
      </c>
      <c r="E1400" t="s">
        <v>10893</v>
      </c>
      <c r="F1400">
        <v>8558</v>
      </c>
      <c r="G1400" t="s">
        <v>1360</v>
      </c>
      <c r="H1400" t="s">
        <v>1215</v>
      </c>
      <c r="I1400">
        <v>23063</v>
      </c>
    </row>
    <row r="1401" spans="1:9" x14ac:dyDescent="0.25">
      <c r="A1401" t="s">
        <v>10897</v>
      </c>
      <c r="B1401" t="s">
        <v>10898</v>
      </c>
      <c r="C1401" t="s">
        <v>15636</v>
      </c>
      <c r="D1401" t="s">
        <v>15636</v>
      </c>
      <c r="E1401" t="s">
        <v>10899</v>
      </c>
      <c r="F1401">
        <v>8601</v>
      </c>
      <c r="G1401" t="s">
        <v>10141</v>
      </c>
      <c r="H1401" t="s">
        <v>15534</v>
      </c>
      <c r="I1401">
        <v>3894</v>
      </c>
    </row>
    <row r="1402" spans="1:9" x14ac:dyDescent="0.25">
      <c r="A1402" t="s">
        <v>10903</v>
      </c>
      <c r="B1402" t="s">
        <v>10904</v>
      </c>
      <c r="C1402" t="s">
        <v>10907</v>
      </c>
      <c r="D1402" t="s">
        <v>10907</v>
      </c>
      <c r="E1402">
        <v>4120764907</v>
      </c>
      <c r="F1402">
        <v>8603</v>
      </c>
      <c r="G1402" t="s">
        <v>10905</v>
      </c>
      <c r="H1402" t="s">
        <v>137</v>
      </c>
      <c r="I1402">
        <v>53381</v>
      </c>
    </row>
    <row r="1403" spans="1:9" x14ac:dyDescent="0.25">
      <c r="A1403" t="s">
        <v>10910</v>
      </c>
      <c r="B1403" t="s">
        <v>10911</v>
      </c>
      <c r="C1403" t="s">
        <v>10913</v>
      </c>
      <c r="D1403" t="s">
        <v>10913</v>
      </c>
      <c r="E1403">
        <v>4245482835</v>
      </c>
      <c r="F1403">
        <v>8740</v>
      </c>
      <c r="G1403" t="s">
        <v>8321</v>
      </c>
      <c r="H1403" t="s">
        <v>2399</v>
      </c>
      <c r="I1403">
        <v>52713</v>
      </c>
    </row>
    <row r="1404" spans="1:9" x14ac:dyDescent="0.25">
      <c r="A1404" t="s">
        <v>10916</v>
      </c>
      <c r="B1404" t="s">
        <v>10917</v>
      </c>
      <c r="C1404" t="s">
        <v>10918</v>
      </c>
      <c r="D1404" t="s">
        <v>10918</v>
      </c>
      <c r="E1404">
        <v>4245482835</v>
      </c>
      <c r="F1404">
        <v>8709</v>
      </c>
      <c r="G1404" t="s">
        <v>8192</v>
      </c>
      <c r="H1404" t="s">
        <v>2399</v>
      </c>
      <c r="I1404">
        <v>6437</v>
      </c>
    </row>
    <row r="1405" spans="1:9" x14ac:dyDescent="0.25">
      <c r="A1405" t="s">
        <v>10921</v>
      </c>
      <c r="B1405" t="s">
        <v>10922</v>
      </c>
      <c r="C1405" t="s">
        <v>10923</v>
      </c>
      <c r="D1405" t="s">
        <v>10923</v>
      </c>
      <c r="E1405">
        <v>4245482835</v>
      </c>
      <c r="F1405">
        <v>8709</v>
      </c>
      <c r="G1405" t="s">
        <v>8192</v>
      </c>
      <c r="H1405" t="s">
        <v>2399</v>
      </c>
      <c r="I1405">
        <v>2360</v>
      </c>
    </row>
    <row r="1406" spans="1:9" x14ac:dyDescent="0.25">
      <c r="A1406" t="s">
        <v>10926</v>
      </c>
      <c r="B1406" t="s">
        <v>10927</v>
      </c>
      <c r="C1406" t="s">
        <v>10928</v>
      </c>
      <c r="D1406" t="s">
        <v>10928</v>
      </c>
      <c r="E1406">
        <v>4245482835</v>
      </c>
      <c r="F1406">
        <v>8709</v>
      </c>
      <c r="G1406" t="s">
        <v>8192</v>
      </c>
      <c r="H1406" t="s">
        <v>2399</v>
      </c>
      <c r="I1406">
        <v>45139</v>
      </c>
    </row>
    <row r="1407" spans="1:9" x14ac:dyDescent="0.25">
      <c r="A1407" t="s">
        <v>10931</v>
      </c>
      <c r="B1407" t="s">
        <v>10932</v>
      </c>
      <c r="C1407" t="s">
        <v>10933</v>
      </c>
      <c r="D1407" t="s">
        <v>10933</v>
      </c>
      <c r="E1407">
        <v>4245482835</v>
      </c>
      <c r="F1407">
        <v>8709</v>
      </c>
      <c r="G1407" t="s">
        <v>8192</v>
      </c>
      <c r="H1407" t="s">
        <v>2399</v>
      </c>
      <c r="I1407">
        <v>38673</v>
      </c>
    </row>
    <row r="1408" spans="1:9" x14ac:dyDescent="0.25">
      <c r="A1408" t="s">
        <v>10936</v>
      </c>
      <c r="B1408" t="s">
        <v>10937</v>
      </c>
      <c r="C1408" t="s">
        <v>10941</v>
      </c>
      <c r="D1408" t="s">
        <v>10941</v>
      </c>
      <c r="E1408" t="s">
        <v>10939</v>
      </c>
      <c r="F1408">
        <v>3367</v>
      </c>
      <c r="G1408" t="s">
        <v>10938</v>
      </c>
      <c r="H1408" t="s">
        <v>15534</v>
      </c>
      <c r="I1408">
        <v>44187</v>
      </c>
    </row>
    <row r="1409" spans="1:9" x14ac:dyDescent="0.25">
      <c r="A1409" t="s">
        <v>10949</v>
      </c>
      <c r="B1409" t="s">
        <v>4022</v>
      </c>
      <c r="C1409" t="s">
        <v>10951</v>
      </c>
      <c r="D1409" t="s">
        <v>15637</v>
      </c>
      <c r="F1409">
        <v>8524</v>
      </c>
      <c r="G1409" t="s">
        <v>10950</v>
      </c>
      <c r="H1409" t="s">
        <v>15226</v>
      </c>
      <c r="I1409">
        <v>53967</v>
      </c>
    </row>
    <row r="1410" spans="1:9" x14ac:dyDescent="0.25">
      <c r="A1410" t="s">
        <v>10974</v>
      </c>
      <c r="B1410" t="s">
        <v>10971</v>
      </c>
      <c r="C1410" t="s">
        <v>10972</v>
      </c>
      <c r="D1410" t="s">
        <v>10979</v>
      </c>
      <c r="E1410" t="s">
        <v>10975</v>
      </c>
      <c r="F1410">
        <v>8633</v>
      </c>
      <c r="G1410" t="s">
        <v>4851</v>
      </c>
      <c r="H1410" t="s">
        <v>4854</v>
      </c>
      <c r="I1410">
        <v>42568</v>
      </c>
    </row>
    <row r="1411" spans="1:9" x14ac:dyDescent="0.25">
      <c r="A1411" t="s">
        <v>10978</v>
      </c>
      <c r="B1411" t="s">
        <v>10971</v>
      </c>
      <c r="C1411" t="s">
        <v>10979</v>
      </c>
      <c r="D1411" t="s">
        <v>15638</v>
      </c>
      <c r="E1411" t="s">
        <v>10975</v>
      </c>
      <c r="F1411">
        <v>8633</v>
      </c>
      <c r="G1411" t="s">
        <v>7860</v>
      </c>
      <c r="H1411" t="s">
        <v>4854</v>
      </c>
      <c r="I1411">
        <v>50705</v>
      </c>
    </row>
    <row r="1412" spans="1:9" x14ac:dyDescent="0.25">
      <c r="A1412" t="s">
        <v>10989</v>
      </c>
      <c r="B1412" t="s">
        <v>10990</v>
      </c>
      <c r="C1412" t="s">
        <v>10992</v>
      </c>
      <c r="D1412" t="s">
        <v>10992</v>
      </c>
      <c r="E1412" t="s">
        <v>10991</v>
      </c>
      <c r="F1412">
        <v>8534</v>
      </c>
      <c r="G1412" t="s">
        <v>446</v>
      </c>
      <c r="H1412" t="s">
        <v>72</v>
      </c>
      <c r="I1412">
        <v>16717</v>
      </c>
    </row>
    <row r="1413" spans="1:9" x14ac:dyDescent="0.25">
      <c r="A1413" t="s">
        <v>10994</v>
      </c>
      <c r="B1413" t="s">
        <v>10995</v>
      </c>
      <c r="C1413" t="s">
        <v>5607</v>
      </c>
      <c r="F1413">
        <v>6201</v>
      </c>
      <c r="G1413" t="s">
        <v>41</v>
      </c>
      <c r="H1413" t="s">
        <v>15220</v>
      </c>
    </row>
    <row r="1414" spans="1:9" x14ac:dyDescent="0.25">
      <c r="A1414" t="s">
        <v>11001</v>
      </c>
      <c r="B1414" t="s">
        <v>8421</v>
      </c>
      <c r="C1414" t="s">
        <v>8423</v>
      </c>
      <c r="D1414" t="s">
        <v>15639</v>
      </c>
      <c r="E1414" t="s">
        <v>15640</v>
      </c>
      <c r="F1414">
        <v>8603</v>
      </c>
      <c r="G1414" t="s">
        <v>446</v>
      </c>
      <c r="H1414" t="s">
        <v>137</v>
      </c>
      <c r="I1414">
        <v>47935</v>
      </c>
    </row>
    <row r="1415" spans="1:9" x14ac:dyDescent="0.25">
      <c r="A1415" t="s">
        <v>11005</v>
      </c>
      <c r="B1415" t="s">
        <v>8421</v>
      </c>
      <c r="C1415" t="s">
        <v>11006</v>
      </c>
      <c r="D1415" t="s">
        <v>15641</v>
      </c>
      <c r="E1415" t="s">
        <v>15642</v>
      </c>
      <c r="F1415">
        <v>8647</v>
      </c>
      <c r="G1415" t="s">
        <v>714</v>
      </c>
      <c r="H1415" t="s">
        <v>137</v>
      </c>
      <c r="I1415">
        <v>48216</v>
      </c>
    </row>
    <row r="1416" spans="1:9" x14ac:dyDescent="0.25">
      <c r="A1416" t="s">
        <v>11011</v>
      </c>
      <c r="B1416" t="s">
        <v>11012</v>
      </c>
      <c r="C1416" t="s">
        <v>11013</v>
      </c>
      <c r="D1416" t="s">
        <v>11013</v>
      </c>
      <c r="E1416">
        <v>4245482835</v>
      </c>
      <c r="F1416">
        <v>3305</v>
      </c>
      <c r="G1416" t="s">
        <v>10224</v>
      </c>
      <c r="H1416" t="s">
        <v>2399</v>
      </c>
      <c r="I1416">
        <v>48961</v>
      </c>
    </row>
    <row r="1417" spans="1:9" x14ac:dyDescent="0.25">
      <c r="A1417" t="s">
        <v>11019</v>
      </c>
      <c r="B1417" t="s">
        <v>11020</v>
      </c>
      <c r="C1417" t="s">
        <v>11021</v>
      </c>
      <c r="D1417" t="s">
        <v>11021</v>
      </c>
      <c r="E1417" t="s">
        <v>10401</v>
      </c>
      <c r="F1417">
        <v>8649</v>
      </c>
      <c r="G1417" t="s">
        <v>10727</v>
      </c>
      <c r="H1417" t="s">
        <v>1215</v>
      </c>
      <c r="I1417">
        <v>53816</v>
      </c>
    </row>
    <row r="1418" spans="1:9" x14ac:dyDescent="0.25">
      <c r="A1418" t="s">
        <v>11024</v>
      </c>
      <c r="B1418" t="s">
        <v>11025</v>
      </c>
      <c r="C1418" t="s">
        <v>11026</v>
      </c>
      <c r="D1418" t="s">
        <v>11026</v>
      </c>
      <c r="E1418" t="s">
        <v>10401</v>
      </c>
      <c r="F1418">
        <v>8649</v>
      </c>
      <c r="G1418" t="s">
        <v>10727</v>
      </c>
      <c r="H1418" t="s">
        <v>1215</v>
      </c>
      <c r="I1418">
        <v>53749</v>
      </c>
    </row>
    <row r="1419" spans="1:9" x14ac:dyDescent="0.25">
      <c r="A1419" t="s">
        <v>11029</v>
      </c>
      <c r="B1419" t="s">
        <v>11030</v>
      </c>
      <c r="C1419" t="s">
        <v>11032</v>
      </c>
      <c r="D1419" t="s">
        <v>11032</v>
      </c>
      <c r="E1419" t="s">
        <v>11031</v>
      </c>
      <c r="F1419">
        <v>8558</v>
      </c>
      <c r="G1419" t="s">
        <v>1360</v>
      </c>
      <c r="H1419" t="s">
        <v>1215</v>
      </c>
      <c r="I1419">
        <v>22105</v>
      </c>
    </row>
    <row r="1420" spans="1:9" x14ac:dyDescent="0.25">
      <c r="A1420" t="s">
        <v>11034</v>
      </c>
      <c r="B1420" t="s">
        <v>11035</v>
      </c>
      <c r="C1420" t="s">
        <v>11037</v>
      </c>
      <c r="D1420" t="s">
        <v>11037</v>
      </c>
      <c r="E1420" t="s">
        <v>11036</v>
      </c>
      <c r="F1420">
        <v>8533</v>
      </c>
      <c r="G1420" t="s">
        <v>303</v>
      </c>
      <c r="H1420" t="s">
        <v>72</v>
      </c>
      <c r="I1420">
        <v>4887</v>
      </c>
    </row>
    <row r="1421" spans="1:9" x14ac:dyDescent="0.25">
      <c r="A1421" t="s">
        <v>11039</v>
      </c>
      <c r="B1421" t="s">
        <v>11040</v>
      </c>
      <c r="C1421" t="s">
        <v>11041</v>
      </c>
      <c r="D1421" t="s">
        <v>15643</v>
      </c>
      <c r="F1421">
        <v>8701</v>
      </c>
      <c r="G1421" t="s">
        <v>8209</v>
      </c>
      <c r="H1421" t="s">
        <v>79</v>
      </c>
      <c r="I1421">
        <v>28270</v>
      </c>
    </row>
    <row r="1422" spans="1:9" x14ac:dyDescent="0.25">
      <c r="A1422" t="s">
        <v>11045</v>
      </c>
      <c r="B1422" t="s">
        <v>11046</v>
      </c>
      <c r="C1422" t="s">
        <v>11047</v>
      </c>
      <c r="D1422" t="s">
        <v>11047</v>
      </c>
      <c r="F1422">
        <v>8566</v>
      </c>
      <c r="G1422" t="s">
        <v>81</v>
      </c>
      <c r="H1422" t="s">
        <v>85</v>
      </c>
      <c r="I1422">
        <v>10421</v>
      </c>
    </row>
    <row r="1423" spans="1:9" x14ac:dyDescent="0.25">
      <c r="A1423" t="s">
        <v>11050</v>
      </c>
      <c r="B1423" t="s">
        <v>11051</v>
      </c>
      <c r="C1423" t="s">
        <v>11053</v>
      </c>
      <c r="D1423" t="s">
        <v>11053</v>
      </c>
      <c r="E1423" t="s">
        <v>11052</v>
      </c>
      <c r="F1423">
        <v>8649</v>
      </c>
      <c r="G1423" t="s">
        <v>10727</v>
      </c>
      <c r="H1423" t="s">
        <v>1215</v>
      </c>
      <c r="I1423">
        <v>40113</v>
      </c>
    </row>
    <row r="1424" spans="1:9" x14ac:dyDescent="0.25">
      <c r="A1424" t="s">
        <v>11056</v>
      </c>
      <c r="B1424" t="s">
        <v>11057</v>
      </c>
      <c r="C1424" t="s">
        <v>11059</v>
      </c>
      <c r="D1424" t="s">
        <v>11059</v>
      </c>
      <c r="E1424" t="s">
        <v>11058</v>
      </c>
      <c r="F1424">
        <v>8511</v>
      </c>
      <c r="G1424" t="s">
        <v>3074</v>
      </c>
      <c r="H1424" t="s">
        <v>106</v>
      </c>
      <c r="I1424">
        <v>5256</v>
      </c>
    </row>
    <row r="1425" spans="1:9" x14ac:dyDescent="0.25">
      <c r="A1425" t="s">
        <v>11062</v>
      </c>
      <c r="B1425" t="s">
        <v>11063</v>
      </c>
      <c r="C1425" t="s">
        <v>11066</v>
      </c>
      <c r="D1425" t="s">
        <v>11066</v>
      </c>
      <c r="E1425" t="s">
        <v>11065</v>
      </c>
      <c r="F1425">
        <v>8735</v>
      </c>
      <c r="G1425" t="s">
        <v>11064</v>
      </c>
      <c r="H1425" t="s">
        <v>79</v>
      </c>
      <c r="I1425">
        <v>23224</v>
      </c>
    </row>
    <row r="1426" spans="1:9" x14ac:dyDescent="0.25">
      <c r="A1426" t="s">
        <v>11071</v>
      </c>
      <c r="B1426" t="s">
        <v>11072</v>
      </c>
      <c r="C1426" t="s">
        <v>11074</v>
      </c>
      <c r="D1426" t="s">
        <v>11074</v>
      </c>
      <c r="E1426" s="20">
        <v>4168731883</v>
      </c>
      <c r="F1426">
        <v>8680</v>
      </c>
      <c r="G1426" t="s">
        <v>6240</v>
      </c>
      <c r="H1426" t="s">
        <v>85</v>
      </c>
      <c r="I1426">
        <v>7648</v>
      </c>
    </row>
    <row r="1427" spans="1:9" x14ac:dyDescent="0.25">
      <c r="A1427" t="s">
        <v>11077</v>
      </c>
      <c r="B1427" t="s">
        <v>11078</v>
      </c>
      <c r="C1427" t="s">
        <v>38</v>
      </c>
      <c r="F1427">
        <v>6201</v>
      </c>
      <c r="G1427" t="s">
        <v>41</v>
      </c>
      <c r="H1427" t="s">
        <v>15220</v>
      </c>
    </row>
    <row r="1428" spans="1:9" x14ac:dyDescent="0.25">
      <c r="A1428" t="s">
        <v>11080</v>
      </c>
      <c r="B1428" t="s">
        <v>11081</v>
      </c>
      <c r="C1428" t="s">
        <v>11084</v>
      </c>
      <c r="D1428" t="s">
        <v>11084</v>
      </c>
      <c r="E1428" t="s">
        <v>11083</v>
      </c>
      <c r="F1428">
        <v>8664</v>
      </c>
      <c r="G1428" t="s">
        <v>11082</v>
      </c>
      <c r="H1428" t="s">
        <v>15231</v>
      </c>
    </row>
    <row r="1429" spans="1:9" x14ac:dyDescent="0.25">
      <c r="A1429" t="s">
        <v>11087</v>
      </c>
      <c r="B1429" t="s">
        <v>11088</v>
      </c>
      <c r="C1429" t="s">
        <v>11090</v>
      </c>
      <c r="D1429" t="s">
        <v>11090</v>
      </c>
      <c r="E1429" t="s">
        <v>11089</v>
      </c>
      <c r="F1429">
        <v>8543</v>
      </c>
      <c r="G1429" t="s">
        <v>699</v>
      </c>
      <c r="H1429" t="s">
        <v>72</v>
      </c>
      <c r="I1429">
        <v>53852</v>
      </c>
    </row>
    <row r="1430" spans="1:9" x14ac:dyDescent="0.25">
      <c r="A1430" t="s">
        <v>11092</v>
      </c>
      <c r="B1430" t="s">
        <v>11093</v>
      </c>
      <c r="C1430" t="s">
        <v>11095</v>
      </c>
      <c r="D1430" t="s">
        <v>11095</v>
      </c>
      <c r="E1430">
        <v>4125260697</v>
      </c>
      <c r="F1430">
        <v>8680</v>
      </c>
      <c r="G1430" t="s">
        <v>6240</v>
      </c>
      <c r="H1430" t="s">
        <v>85</v>
      </c>
      <c r="I1430">
        <v>2143</v>
      </c>
    </row>
    <row r="1431" spans="1:9" x14ac:dyDescent="0.25">
      <c r="A1431" t="s">
        <v>11097</v>
      </c>
      <c r="B1431" t="s">
        <v>11098</v>
      </c>
      <c r="F1431">
        <v>6201</v>
      </c>
      <c r="G1431" t="s">
        <v>41</v>
      </c>
      <c r="H1431" t="s">
        <v>15220</v>
      </c>
    </row>
    <row r="1432" spans="1:9" x14ac:dyDescent="0.25">
      <c r="A1432" t="s">
        <v>11100</v>
      </c>
      <c r="B1432" t="s">
        <v>11101</v>
      </c>
      <c r="C1432" t="s">
        <v>11103</v>
      </c>
      <c r="D1432" t="s">
        <v>11103</v>
      </c>
      <c r="E1432" t="s">
        <v>11102</v>
      </c>
      <c r="F1432">
        <v>8769</v>
      </c>
      <c r="G1432" t="s">
        <v>137</v>
      </c>
      <c r="H1432" t="s">
        <v>137</v>
      </c>
      <c r="I1432">
        <v>39068</v>
      </c>
    </row>
    <row r="1433" spans="1:9" x14ac:dyDescent="0.25">
      <c r="A1433" t="s">
        <v>11106</v>
      </c>
      <c r="B1433" t="s">
        <v>11107</v>
      </c>
      <c r="C1433" t="s">
        <v>11109</v>
      </c>
      <c r="D1433" t="s">
        <v>11109</v>
      </c>
      <c r="E1433" t="s">
        <v>11108</v>
      </c>
      <c r="F1433">
        <v>8566</v>
      </c>
      <c r="G1433" t="s">
        <v>81</v>
      </c>
      <c r="H1433" t="s">
        <v>85</v>
      </c>
      <c r="I1433">
        <v>3405</v>
      </c>
    </row>
    <row r="1434" spans="1:9" x14ac:dyDescent="0.25">
      <c r="A1434" t="s">
        <v>11112</v>
      </c>
      <c r="B1434" t="s">
        <v>11113</v>
      </c>
      <c r="C1434" t="s">
        <v>11115</v>
      </c>
      <c r="D1434" t="s">
        <v>15644</v>
      </c>
      <c r="E1434" t="s">
        <v>11114</v>
      </c>
      <c r="F1434">
        <v>8525</v>
      </c>
      <c r="G1434" t="s">
        <v>1581</v>
      </c>
      <c r="H1434" t="s">
        <v>15226</v>
      </c>
      <c r="I1434">
        <v>46646</v>
      </c>
    </row>
    <row r="1435" spans="1:9" x14ac:dyDescent="0.25">
      <c r="A1435" t="s">
        <v>11118</v>
      </c>
      <c r="B1435" t="s">
        <v>11119</v>
      </c>
      <c r="C1435" t="s">
        <v>11120</v>
      </c>
      <c r="D1435" t="s">
        <v>11120</v>
      </c>
      <c r="E1435" t="s">
        <v>9938</v>
      </c>
      <c r="F1435">
        <v>8524</v>
      </c>
      <c r="G1435" t="s">
        <v>404</v>
      </c>
      <c r="H1435" t="s">
        <v>15226</v>
      </c>
      <c r="I1435">
        <v>40484</v>
      </c>
    </row>
    <row r="1436" spans="1:9" x14ac:dyDescent="0.25">
      <c r="A1436" t="s">
        <v>11128</v>
      </c>
      <c r="B1436" t="s">
        <v>11129</v>
      </c>
      <c r="C1436" t="s">
        <v>11132</v>
      </c>
      <c r="D1436" t="s">
        <v>11132</v>
      </c>
      <c r="F1436">
        <v>8770</v>
      </c>
      <c r="G1436" t="s">
        <v>15645</v>
      </c>
      <c r="H1436" t="s">
        <v>15231</v>
      </c>
      <c r="I1436">
        <v>53689</v>
      </c>
    </row>
    <row r="1437" spans="1:9" x14ac:dyDescent="0.25">
      <c r="A1437" t="s">
        <v>11134</v>
      </c>
      <c r="B1437" t="s">
        <v>11135</v>
      </c>
      <c r="C1437" t="s">
        <v>11137</v>
      </c>
      <c r="D1437" t="s">
        <v>11137</v>
      </c>
      <c r="E1437" t="s">
        <v>11136</v>
      </c>
      <c r="F1437">
        <v>8659</v>
      </c>
      <c r="G1437" t="s">
        <v>7819</v>
      </c>
      <c r="H1437" t="s">
        <v>1215</v>
      </c>
      <c r="I1437">
        <v>37902</v>
      </c>
    </row>
    <row r="1438" spans="1:9" x14ac:dyDescent="0.25">
      <c r="A1438" t="s">
        <v>11140</v>
      </c>
      <c r="B1438" t="s">
        <v>11141</v>
      </c>
      <c r="C1438" t="s">
        <v>11144</v>
      </c>
      <c r="D1438" t="s">
        <v>15646</v>
      </c>
      <c r="E1438" t="s">
        <v>11143</v>
      </c>
      <c r="F1438">
        <v>8666</v>
      </c>
      <c r="G1438" t="s">
        <v>11142</v>
      </c>
      <c r="H1438" t="s">
        <v>15231</v>
      </c>
      <c r="I1438">
        <v>53735</v>
      </c>
    </row>
    <row r="1439" spans="1:9" x14ac:dyDescent="0.25">
      <c r="A1439" t="s">
        <v>11147</v>
      </c>
      <c r="B1439" t="s">
        <v>11148</v>
      </c>
      <c r="C1439" t="s">
        <v>15647</v>
      </c>
      <c r="D1439" t="s">
        <v>15647</v>
      </c>
      <c r="E1439" t="s">
        <v>11149</v>
      </c>
      <c r="F1439">
        <v>8601</v>
      </c>
      <c r="G1439" t="s">
        <v>10141</v>
      </c>
      <c r="H1439" t="s">
        <v>15534</v>
      </c>
      <c r="I1439">
        <v>4702</v>
      </c>
    </row>
    <row r="1440" spans="1:9" x14ac:dyDescent="0.25">
      <c r="A1440" t="s">
        <v>11153</v>
      </c>
      <c r="B1440" t="s">
        <v>11154</v>
      </c>
      <c r="C1440" t="s">
        <v>11155</v>
      </c>
      <c r="D1440" t="s">
        <v>11155</v>
      </c>
      <c r="F1440">
        <v>8605</v>
      </c>
      <c r="G1440" t="s">
        <v>3233</v>
      </c>
      <c r="H1440" t="s">
        <v>1215</v>
      </c>
      <c r="I1440">
        <v>53775</v>
      </c>
    </row>
    <row r="1441" spans="1:9" x14ac:dyDescent="0.25">
      <c r="A1441" t="s">
        <v>11158</v>
      </c>
      <c r="B1441" t="s">
        <v>11159</v>
      </c>
      <c r="C1441" t="s">
        <v>11161</v>
      </c>
      <c r="D1441" t="s">
        <v>11161</v>
      </c>
      <c r="E1441" t="s">
        <v>11160</v>
      </c>
      <c r="F1441">
        <v>8601</v>
      </c>
      <c r="G1441" t="s">
        <v>7935</v>
      </c>
      <c r="H1441" t="s">
        <v>15534</v>
      </c>
      <c r="I1441">
        <v>51607</v>
      </c>
    </row>
    <row r="1442" spans="1:9" x14ac:dyDescent="0.25">
      <c r="A1442" t="s">
        <v>11167</v>
      </c>
      <c r="B1442" t="s">
        <v>11159</v>
      </c>
      <c r="C1442" t="s">
        <v>15648</v>
      </c>
      <c r="D1442" t="s">
        <v>15649</v>
      </c>
      <c r="E1442" t="s">
        <v>11160</v>
      </c>
      <c r="F1442">
        <v>8601</v>
      </c>
      <c r="G1442" t="s">
        <v>10141</v>
      </c>
      <c r="H1442" t="s">
        <v>15534</v>
      </c>
      <c r="I1442">
        <v>38045</v>
      </c>
    </row>
    <row r="1443" spans="1:9" x14ac:dyDescent="0.25">
      <c r="A1443" t="s">
        <v>11170</v>
      </c>
      <c r="B1443" t="s">
        <v>11171</v>
      </c>
      <c r="C1443" t="s">
        <v>11173</v>
      </c>
      <c r="D1443" t="s">
        <v>11173</v>
      </c>
      <c r="E1443" s="20">
        <v>4143160091</v>
      </c>
      <c r="F1443">
        <v>8685</v>
      </c>
      <c r="G1443" t="s">
        <v>4223</v>
      </c>
      <c r="H1443" t="s">
        <v>85</v>
      </c>
      <c r="I1443">
        <v>53876</v>
      </c>
    </row>
    <row r="1444" spans="1:9" x14ac:dyDescent="0.25">
      <c r="A1444" t="s">
        <v>15195</v>
      </c>
      <c r="B1444" t="s">
        <v>5596</v>
      </c>
      <c r="C1444" t="s">
        <v>5599</v>
      </c>
      <c r="D1444" t="s">
        <v>15650</v>
      </c>
      <c r="E1444" t="s">
        <v>5598</v>
      </c>
      <c r="F1444">
        <v>8543</v>
      </c>
      <c r="G1444" t="s">
        <v>2508</v>
      </c>
      <c r="H1444" t="s">
        <v>72</v>
      </c>
      <c r="I1444">
        <v>53907</v>
      </c>
    </row>
    <row r="1445" spans="1:9" x14ac:dyDescent="0.25">
      <c r="A1445" t="s">
        <v>11188</v>
      </c>
      <c r="B1445" t="s">
        <v>6538</v>
      </c>
      <c r="C1445" t="s">
        <v>6540</v>
      </c>
      <c r="D1445" t="s">
        <v>15651</v>
      </c>
      <c r="F1445">
        <v>8685</v>
      </c>
      <c r="G1445" t="s">
        <v>11189</v>
      </c>
      <c r="H1445" t="s">
        <v>85</v>
      </c>
      <c r="I1445">
        <v>52000</v>
      </c>
    </row>
    <row r="1446" spans="1:9" x14ac:dyDescent="0.25">
      <c r="A1446" t="s">
        <v>11192</v>
      </c>
      <c r="B1446" t="s">
        <v>11193</v>
      </c>
      <c r="C1446" t="s">
        <v>11195</v>
      </c>
      <c r="D1446" t="s">
        <v>11195</v>
      </c>
      <c r="E1446" t="s">
        <v>11194</v>
      </c>
      <c r="F1446">
        <v>8516</v>
      </c>
      <c r="G1446" t="s">
        <v>157</v>
      </c>
      <c r="H1446" t="s">
        <v>15226</v>
      </c>
      <c r="I1446">
        <v>41711</v>
      </c>
    </row>
    <row r="1447" spans="1:9" x14ac:dyDescent="0.25">
      <c r="A1447" t="s">
        <v>11198</v>
      </c>
      <c r="B1447" t="s">
        <v>11199</v>
      </c>
      <c r="C1447" t="s">
        <v>11200</v>
      </c>
      <c r="D1447" t="s">
        <v>11200</v>
      </c>
      <c r="E1447" t="s">
        <v>11194</v>
      </c>
      <c r="F1447">
        <v>8516</v>
      </c>
      <c r="G1447" t="s">
        <v>157</v>
      </c>
      <c r="H1447" t="s">
        <v>15226</v>
      </c>
      <c r="I1447">
        <v>50243</v>
      </c>
    </row>
    <row r="1448" spans="1:9" x14ac:dyDescent="0.25">
      <c r="A1448" t="s">
        <v>11203</v>
      </c>
      <c r="B1448" t="s">
        <v>11204</v>
      </c>
      <c r="C1448" t="s">
        <v>11205</v>
      </c>
      <c r="D1448" t="s">
        <v>11205</v>
      </c>
      <c r="E1448" t="s">
        <v>11194</v>
      </c>
      <c r="F1448">
        <v>8516</v>
      </c>
      <c r="G1448" t="s">
        <v>157</v>
      </c>
      <c r="H1448" t="s">
        <v>15226</v>
      </c>
      <c r="I1448">
        <v>53006</v>
      </c>
    </row>
    <row r="1449" spans="1:9" x14ac:dyDescent="0.25">
      <c r="A1449" t="s">
        <v>11208</v>
      </c>
      <c r="B1449" t="s">
        <v>11209</v>
      </c>
      <c r="C1449" t="s">
        <v>11195</v>
      </c>
      <c r="D1449" t="s">
        <v>11195</v>
      </c>
      <c r="E1449" t="s">
        <v>11194</v>
      </c>
      <c r="F1449">
        <v>8516</v>
      </c>
      <c r="G1449" t="s">
        <v>157</v>
      </c>
      <c r="H1449" t="s">
        <v>15226</v>
      </c>
      <c r="I1449">
        <v>53946</v>
      </c>
    </row>
    <row r="1450" spans="1:9" x14ac:dyDescent="0.25">
      <c r="A1450" t="s">
        <v>11211</v>
      </c>
      <c r="B1450" t="s">
        <v>11212</v>
      </c>
      <c r="C1450" t="s">
        <v>11213</v>
      </c>
      <c r="D1450" t="s">
        <v>11213</v>
      </c>
      <c r="E1450" t="s">
        <v>9045</v>
      </c>
      <c r="F1450">
        <v>8590</v>
      </c>
      <c r="G1450" t="s">
        <v>2463</v>
      </c>
      <c r="H1450" t="s">
        <v>15293</v>
      </c>
      <c r="I1450">
        <v>51028</v>
      </c>
    </row>
    <row r="1451" spans="1:9" x14ac:dyDescent="0.25">
      <c r="A1451" t="s">
        <v>11216</v>
      </c>
      <c r="B1451" t="s">
        <v>11217</v>
      </c>
      <c r="C1451" t="s">
        <v>11219</v>
      </c>
      <c r="D1451" t="s">
        <v>11219</v>
      </c>
      <c r="E1451" t="s">
        <v>11218</v>
      </c>
      <c r="F1451">
        <v>2050</v>
      </c>
      <c r="G1451" t="s">
        <v>7518</v>
      </c>
      <c r="H1451" t="s">
        <v>1215</v>
      </c>
      <c r="I1451">
        <v>50089</v>
      </c>
    </row>
    <row r="1452" spans="1:9" x14ac:dyDescent="0.25">
      <c r="A1452" t="s">
        <v>11222</v>
      </c>
      <c r="B1452" t="s">
        <v>11223</v>
      </c>
      <c r="C1452" t="s">
        <v>11226</v>
      </c>
      <c r="E1452">
        <v>4245476335</v>
      </c>
      <c r="F1452">
        <v>8510</v>
      </c>
      <c r="G1452" t="s">
        <v>6986</v>
      </c>
      <c r="H1452" t="s">
        <v>2399</v>
      </c>
    </row>
    <row r="1453" spans="1:9" x14ac:dyDescent="0.25">
      <c r="A1453" t="s">
        <v>11229</v>
      </c>
      <c r="B1453" t="s">
        <v>11230</v>
      </c>
      <c r="C1453" t="s">
        <v>11232</v>
      </c>
      <c r="D1453" t="s">
        <v>11232</v>
      </c>
      <c r="E1453" t="s">
        <v>11231</v>
      </c>
      <c r="F1453">
        <v>8693</v>
      </c>
      <c r="G1453" t="s">
        <v>7090</v>
      </c>
      <c r="H1453" t="s">
        <v>85</v>
      </c>
      <c r="I1453">
        <v>41272</v>
      </c>
    </row>
    <row r="1454" spans="1:9" x14ac:dyDescent="0.25">
      <c r="A1454" t="s">
        <v>11236</v>
      </c>
      <c r="B1454" t="s">
        <v>11237</v>
      </c>
      <c r="C1454" t="s">
        <v>15652</v>
      </c>
      <c r="D1454" t="s">
        <v>15653</v>
      </c>
      <c r="E1454" t="s">
        <v>11238</v>
      </c>
      <c r="F1454">
        <v>8601</v>
      </c>
      <c r="G1454" t="s">
        <v>10141</v>
      </c>
      <c r="H1454" t="s">
        <v>15534</v>
      </c>
      <c r="I1454">
        <v>17013</v>
      </c>
    </row>
    <row r="1455" spans="1:9" x14ac:dyDescent="0.25">
      <c r="A1455" t="s">
        <v>11242</v>
      </c>
      <c r="B1455" t="s">
        <v>11243</v>
      </c>
      <c r="C1455" t="s">
        <v>11245</v>
      </c>
      <c r="D1455" t="s">
        <v>11245</v>
      </c>
      <c r="E1455" t="s">
        <v>11244</v>
      </c>
      <c r="F1455">
        <v>3305</v>
      </c>
      <c r="G1455" t="s">
        <v>10224</v>
      </c>
      <c r="H1455" t="s">
        <v>2399</v>
      </c>
      <c r="I1455">
        <v>38699</v>
      </c>
    </row>
    <row r="1456" spans="1:9" x14ac:dyDescent="0.25">
      <c r="A1456" t="s">
        <v>11248</v>
      </c>
      <c r="B1456" t="s">
        <v>11249</v>
      </c>
      <c r="C1456" t="s">
        <v>15654</v>
      </c>
      <c r="D1456" t="s">
        <v>15654</v>
      </c>
      <c r="E1456" t="s">
        <v>11250</v>
      </c>
      <c r="F1456">
        <v>8752</v>
      </c>
      <c r="G1456" t="s">
        <v>10155</v>
      </c>
      <c r="H1456" t="s">
        <v>15534</v>
      </c>
      <c r="I1456">
        <v>3917</v>
      </c>
    </row>
    <row r="1457" spans="1:9" x14ac:dyDescent="0.25">
      <c r="A1457" t="s">
        <v>11254</v>
      </c>
      <c r="B1457" t="s">
        <v>11255</v>
      </c>
      <c r="C1457" t="s">
        <v>11258</v>
      </c>
      <c r="D1457" t="s">
        <v>11258</v>
      </c>
      <c r="E1457" t="s">
        <v>11257</v>
      </c>
      <c r="F1457">
        <v>8522</v>
      </c>
      <c r="G1457" t="s">
        <v>11256</v>
      </c>
      <c r="H1457" t="s">
        <v>15293</v>
      </c>
      <c r="I1457">
        <v>36625</v>
      </c>
    </row>
    <row r="1458" spans="1:9" x14ac:dyDescent="0.25">
      <c r="A1458" t="s">
        <v>11261</v>
      </c>
      <c r="B1458" t="s">
        <v>11262</v>
      </c>
      <c r="C1458" t="s">
        <v>11264</v>
      </c>
      <c r="D1458" t="s">
        <v>11264</v>
      </c>
      <c r="E1458">
        <v>4129924319</v>
      </c>
      <c r="F1458">
        <v>8695</v>
      </c>
      <c r="G1458" t="s">
        <v>7263</v>
      </c>
      <c r="H1458" t="s">
        <v>2399</v>
      </c>
      <c r="I1458">
        <v>53887</v>
      </c>
    </row>
    <row r="1459" spans="1:9" x14ac:dyDescent="0.25">
      <c r="A1459" t="s">
        <v>11267</v>
      </c>
      <c r="B1459" t="s">
        <v>11268</v>
      </c>
      <c r="C1459" t="s">
        <v>11271</v>
      </c>
      <c r="D1459" t="s">
        <v>11271</v>
      </c>
      <c r="E1459" t="s">
        <v>11270</v>
      </c>
      <c r="F1459">
        <v>8708</v>
      </c>
      <c r="G1459" t="s">
        <v>11269</v>
      </c>
      <c r="H1459" t="s">
        <v>4854</v>
      </c>
      <c r="I1459">
        <v>6455</v>
      </c>
    </row>
    <row r="1460" spans="1:9" x14ac:dyDescent="0.25">
      <c r="A1460" t="s">
        <v>11279</v>
      </c>
      <c r="B1460" t="s">
        <v>11280</v>
      </c>
      <c r="C1460" t="s">
        <v>15655</v>
      </c>
      <c r="D1460" t="s">
        <v>15655</v>
      </c>
      <c r="E1460" t="s">
        <v>11281</v>
      </c>
      <c r="F1460">
        <v>8601</v>
      </c>
      <c r="G1460" t="s">
        <v>10141</v>
      </c>
      <c r="H1460" t="s">
        <v>15534</v>
      </c>
      <c r="I1460">
        <v>3890</v>
      </c>
    </row>
    <row r="1461" spans="1:9" x14ac:dyDescent="0.25">
      <c r="A1461" t="s">
        <v>11285</v>
      </c>
      <c r="B1461" t="s">
        <v>11286</v>
      </c>
      <c r="C1461" t="s">
        <v>15656</v>
      </c>
      <c r="D1461" t="s">
        <v>15656</v>
      </c>
      <c r="E1461" t="s">
        <v>10142</v>
      </c>
      <c r="F1461">
        <v>8601</v>
      </c>
      <c r="G1461" t="s">
        <v>10141</v>
      </c>
      <c r="H1461" t="s">
        <v>15534</v>
      </c>
      <c r="I1461">
        <v>5043</v>
      </c>
    </row>
    <row r="1462" spans="1:9" x14ac:dyDescent="0.25">
      <c r="A1462" t="s">
        <v>11290</v>
      </c>
      <c r="B1462" t="s">
        <v>11292</v>
      </c>
      <c r="C1462" t="s">
        <v>11294</v>
      </c>
      <c r="D1462" t="s">
        <v>11294</v>
      </c>
      <c r="E1462" t="s">
        <v>11293</v>
      </c>
      <c r="F1462">
        <v>8649</v>
      </c>
      <c r="G1462" t="s">
        <v>10727</v>
      </c>
      <c r="H1462" t="s">
        <v>1215</v>
      </c>
      <c r="I1462">
        <v>48999</v>
      </c>
    </row>
    <row r="1463" spans="1:9" x14ac:dyDescent="0.25">
      <c r="A1463" t="s">
        <v>11296</v>
      </c>
      <c r="B1463" t="s">
        <v>11297</v>
      </c>
      <c r="F1463">
        <v>6201</v>
      </c>
      <c r="G1463" t="s">
        <v>41</v>
      </c>
      <c r="H1463" t="s">
        <v>15220</v>
      </c>
    </row>
    <row r="1464" spans="1:9" x14ac:dyDescent="0.25">
      <c r="A1464" t="s">
        <v>11299</v>
      </c>
      <c r="B1464" t="s">
        <v>11300</v>
      </c>
      <c r="C1464" t="s">
        <v>11302</v>
      </c>
      <c r="D1464" t="s">
        <v>11302</v>
      </c>
      <c r="E1464" t="s">
        <v>11301</v>
      </c>
      <c r="F1464">
        <v>8628</v>
      </c>
      <c r="G1464" t="s">
        <v>4798</v>
      </c>
      <c r="H1464" t="s">
        <v>1215</v>
      </c>
      <c r="I1464">
        <v>43139</v>
      </c>
    </row>
    <row r="1465" spans="1:9" x14ac:dyDescent="0.25">
      <c r="A1465" t="s">
        <v>11305</v>
      </c>
      <c r="B1465" t="s">
        <v>11306</v>
      </c>
      <c r="C1465" t="s">
        <v>11308</v>
      </c>
      <c r="D1465" t="s">
        <v>11308</v>
      </c>
      <c r="E1465" t="s">
        <v>11307</v>
      </c>
      <c r="F1465">
        <v>8558</v>
      </c>
      <c r="G1465" t="s">
        <v>1360</v>
      </c>
      <c r="H1465" t="s">
        <v>1215</v>
      </c>
      <c r="I1465">
        <v>42985</v>
      </c>
    </row>
    <row r="1466" spans="1:9" x14ac:dyDescent="0.25">
      <c r="A1466" t="s">
        <v>11311</v>
      </c>
      <c r="B1466" t="s">
        <v>11312</v>
      </c>
      <c r="C1466" t="s">
        <v>11317</v>
      </c>
      <c r="D1466" t="s">
        <v>11317</v>
      </c>
      <c r="E1466">
        <v>4147804172</v>
      </c>
      <c r="F1466">
        <v>8771</v>
      </c>
      <c r="G1466" t="s">
        <v>11313</v>
      </c>
      <c r="H1466" t="s">
        <v>15222</v>
      </c>
      <c r="I1466">
        <v>4348</v>
      </c>
    </row>
    <row r="1467" spans="1:9" x14ac:dyDescent="0.25">
      <c r="A1467" t="s">
        <v>11320</v>
      </c>
      <c r="B1467" t="s">
        <v>11321</v>
      </c>
      <c r="C1467" t="s">
        <v>15657</v>
      </c>
      <c r="D1467" t="s">
        <v>15657</v>
      </c>
      <c r="E1467" t="s">
        <v>11322</v>
      </c>
      <c r="F1467">
        <v>5003</v>
      </c>
      <c r="G1467" t="s">
        <v>7938</v>
      </c>
      <c r="H1467" t="s">
        <v>15534</v>
      </c>
      <c r="I1467">
        <v>30952</v>
      </c>
    </row>
    <row r="1468" spans="1:9" x14ac:dyDescent="0.25">
      <c r="A1468" t="s">
        <v>11327</v>
      </c>
      <c r="B1468" t="s">
        <v>11328</v>
      </c>
      <c r="F1468">
        <v>6201</v>
      </c>
      <c r="G1468" t="s">
        <v>41</v>
      </c>
      <c r="H1468" t="s">
        <v>15220</v>
      </c>
    </row>
    <row r="1469" spans="1:9" x14ac:dyDescent="0.25">
      <c r="A1469" t="s">
        <v>11330</v>
      </c>
      <c r="B1469" t="s">
        <v>11331</v>
      </c>
      <c r="F1469">
        <v>6201</v>
      </c>
      <c r="G1469" t="s">
        <v>41</v>
      </c>
      <c r="H1469" t="s">
        <v>15220</v>
      </c>
    </row>
    <row r="1470" spans="1:9" x14ac:dyDescent="0.25">
      <c r="A1470" t="s">
        <v>11333</v>
      </c>
      <c r="B1470" t="s">
        <v>11334</v>
      </c>
      <c r="F1470">
        <v>6201</v>
      </c>
      <c r="G1470" t="s">
        <v>41</v>
      </c>
      <c r="H1470" t="s">
        <v>15220</v>
      </c>
    </row>
    <row r="1471" spans="1:9" x14ac:dyDescent="0.25">
      <c r="A1471" t="s">
        <v>11336</v>
      </c>
      <c r="B1471" t="s">
        <v>11337</v>
      </c>
      <c r="F1471">
        <v>6201</v>
      </c>
      <c r="G1471" t="s">
        <v>41</v>
      </c>
      <c r="H1471" t="s">
        <v>15220</v>
      </c>
    </row>
    <row r="1472" spans="1:9" x14ac:dyDescent="0.25">
      <c r="A1472" t="s">
        <v>11343</v>
      </c>
      <c r="B1472" t="s">
        <v>10221</v>
      </c>
      <c r="C1472" t="s">
        <v>15658</v>
      </c>
      <c r="D1472" t="s">
        <v>15658</v>
      </c>
      <c r="E1472" t="s">
        <v>11344</v>
      </c>
      <c r="F1472">
        <v>8752</v>
      </c>
      <c r="G1472" t="s">
        <v>10155</v>
      </c>
      <c r="H1472" t="s">
        <v>15534</v>
      </c>
      <c r="I1472">
        <v>36073</v>
      </c>
    </row>
    <row r="1473" spans="1:9" x14ac:dyDescent="0.25">
      <c r="A1473" t="s">
        <v>11347</v>
      </c>
      <c r="B1473" t="s">
        <v>10221</v>
      </c>
      <c r="C1473" t="s">
        <v>15658</v>
      </c>
      <c r="D1473" t="s">
        <v>15659</v>
      </c>
      <c r="E1473" t="s">
        <v>11344</v>
      </c>
      <c r="F1473">
        <v>8601</v>
      </c>
      <c r="G1473" t="s">
        <v>10155</v>
      </c>
      <c r="H1473" t="s">
        <v>2399</v>
      </c>
      <c r="I1473">
        <v>42485</v>
      </c>
    </row>
    <row r="1474" spans="1:9" x14ac:dyDescent="0.25">
      <c r="A1474" t="s">
        <v>11350</v>
      </c>
      <c r="B1474" t="s">
        <v>11351</v>
      </c>
      <c r="C1474" t="s">
        <v>11354</v>
      </c>
      <c r="D1474" t="s">
        <v>11354</v>
      </c>
      <c r="F1474">
        <v>8783</v>
      </c>
      <c r="G1474" t="s">
        <v>11352</v>
      </c>
      <c r="H1474" t="s">
        <v>15534</v>
      </c>
      <c r="I1474">
        <v>54063</v>
      </c>
    </row>
    <row r="1475" spans="1:9" x14ac:dyDescent="0.25">
      <c r="A1475" t="s">
        <v>11357</v>
      </c>
      <c r="B1475" t="s">
        <v>11358</v>
      </c>
      <c r="C1475" t="s">
        <v>11361</v>
      </c>
      <c r="D1475" t="s">
        <v>11361</v>
      </c>
      <c r="E1475" t="s">
        <v>11360</v>
      </c>
      <c r="F1475">
        <v>3357</v>
      </c>
      <c r="G1475" t="s">
        <v>11359</v>
      </c>
      <c r="H1475" t="s">
        <v>2399</v>
      </c>
      <c r="I1475">
        <v>47488</v>
      </c>
    </row>
    <row r="1476" spans="1:9" x14ac:dyDescent="0.25">
      <c r="A1476" t="s">
        <v>11364</v>
      </c>
      <c r="B1476" t="s">
        <v>11365</v>
      </c>
      <c r="C1476" t="s">
        <v>11366</v>
      </c>
      <c r="D1476" t="s">
        <v>11366</v>
      </c>
      <c r="E1476" t="s">
        <v>11136</v>
      </c>
      <c r="F1476">
        <v>8659</v>
      </c>
      <c r="G1476" t="s">
        <v>2473</v>
      </c>
      <c r="H1476" t="s">
        <v>1215</v>
      </c>
      <c r="I1476">
        <v>46984</v>
      </c>
    </row>
    <row r="1477" spans="1:9" x14ac:dyDescent="0.25">
      <c r="A1477" t="s">
        <v>15196</v>
      </c>
      <c r="B1477" t="s">
        <v>8920</v>
      </c>
      <c r="C1477" t="s">
        <v>8922</v>
      </c>
      <c r="D1477" t="s">
        <v>15660</v>
      </c>
      <c r="E1477" t="s">
        <v>11370</v>
      </c>
      <c r="F1477">
        <v>8691</v>
      </c>
      <c r="G1477" t="s">
        <v>10395</v>
      </c>
      <c r="H1477" t="s">
        <v>79</v>
      </c>
      <c r="I1477">
        <v>53726</v>
      </c>
    </row>
    <row r="1478" spans="1:9" x14ac:dyDescent="0.25">
      <c r="A1478" t="s">
        <v>15197</v>
      </c>
      <c r="B1478" t="s">
        <v>11374</v>
      </c>
      <c r="C1478" t="s">
        <v>11379</v>
      </c>
      <c r="D1478" t="s">
        <v>11379</v>
      </c>
      <c r="E1478" t="s">
        <v>11376</v>
      </c>
      <c r="F1478">
        <v>8788</v>
      </c>
      <c r="G1478" t="s">
        <v>15661</v>
      </c>
      <c r="H1478" t="s">
        <v>79</v>
      </c>
      <c r="I1478">
        <v>39883</v>
      </c>
    </row>
    <row r="1479" spans="1:9" x14ac:dyDescent="0.25">
      <c r="A1479" t="s">
        <v>11382</v>
      </c>
      <c r="B1479" t="s">
        <v>11383</v>
      </c>
      <c r="C1479" t="s">
        <v>11384</v>
      </c>
      <c r="D1479" t="s">
        <v>11384</v>
      </c>
      <c r="F1479">
        <v>8641</v>
      </c>
      <c r="G1479" t="s">
        <v>6728</v>
      </c>
      <c r="H1479" t="s">
        <v>85</v>
      </c>
      <c r="I1479">
        <v>378</v>
      </c>
    </row>
    <row r="1480" spans="1:9" x14ac:dyDescent="0.25">
      <c r="A1480" t="s">
        <v>15198</v>
      </c>
      <c r="B1480" t="s">
        <v>11388</v>
      </c>
      <c r="C1480" t="s">
        <v>11389</v>
      </c>
      <c r="D1480" t="s">
        <v>11389</v>
      </c>
      <c r="F1480">
        <v>8551</v>
      </c>
      <c r="G1480" t="s">
        <v>349</v>
      </c>
      <c r="H1480" t="s">
        <v>15233</v>
      </c>
    </row>
    <row r="1481" spans="1:9" x14ac:dyDescent="0.25">
      <c r="A1481" t="s">
        <v>11391</v>
      </c>
      <c r="B1481" t="s">
        <v>11392</v>
      </c>
      <c r="C1481" t="s">
        <v>15662</v>
      </c>
      <c r="D1481" t="s">
        <v>15662</v>
      </c>
      <c r="F1481">
        <v>8601</v>
      </c>
      <c r="G1481" t="s">
        <v>10141</v>
      </c>
      <c r="H1481" t="s">
        <v>15534</v>
      </c>
      <c r="I1481">
        <v>7532</v>
      </c>
    </row>
    <row r="1482" spans="1:9" x14ac:dyDescent="0.25">
      <c r="A1482" t="s">
        <v>11396</v>
      </c>
      <c r="B1482" t="s">
        <v>11397</v>
      </c>
      <c r="C1482" t="s">
        <v>11398</v>
      </c>
      <c r="D1482" t="s">
        <v>11398</v>
      </c>
      <c r="E1482" t="s">
        <v>6659</v>
      </c>
      <c r="F1482">
        <v>8523</v>
      </c>
      <c r="G1482" t="s">
        <v>1222</v>
      </c>
      <c r="H1482" t="s">
        <v>15226</v>
      </c>
    </row>
    <row r="1483" spans="1:9" x14ac:dyDescent="0.25">
      <c r="A1483" t="s">
        <v>11401</v>
      </c>
      <c r="B1483" t="s">
        <v>11402</v>
      </c>
      <c r="C1483" t="s">
        <v>11404</v>
      </c>
      <c r="D1483" t="s">
        <v>11404</v>
      </c>
      <c r="E1483" t="s">
        <v>11403</v>
      </c>
      <c r="F1483">
        <v>8637</v>
      </c>
      <c r="G1483" t="s">
        <v>7210</v>
      </c>
      <c r="H1483" t="s">
        <v>1215</v>
      </c>
      <c r="I1483">
        <v>41198</v>
      </c>
    </row>
    <row r="1484" spans="1:9" x14ac:dyDescent="0.25">
      <c r="A1484" t="s">
        <v>11411</v>
      </c>
      <c r="B1484" t="s">
        <v>11412</v>
      </c>
      <c r="C1484" t="s">
        <v>15663</v>
      </c>
      <c r="D1484" t="s">
        <v>15663</v>
      </c>
      <c r="E1484" t="s">
        <v>11413</v>
      </c>
      <c r="F1484">
        <v>8749</v>
      </c>
      <c r="G1484" t="s">
        <v>7938</v>
      </c>
      <c r="H1484" t="s">
        <v>15534</v>
      </c>
      <c r="I1484">
        <v>54066</v>
      </c>
    </row>
    <row r="1485" spans="1:9" x14ac:dyDescent="0.25">
      <c r="A1485" t="s">
        <v>11417</v>
      </c>
      <c r="B1485" t="s">
        <v>11418</v>
      </c>
      <c r="C1485" t="s">
        <v>11420</v>
      </c>
      <c r="D1485" t="s">
        <v>11420</v>
      </c>
      <c r="E1485" t="s">
        <v>11419</v>
      </c>
      <c r="F1485">
        <v>8558</v>
      </c>
      <c r="G1485" t="s">
        <v>1360</v>
      </c>
      <c r="H1485" t="s">
        <v>1215</v>
      </c>
      <c r="I1485">
        <v>53980</v>
      </c>
    </row>
    <row r="1486" spans="1:9" x14ac:dyDescent="0.25">
      <c r="A1486" t="s">
        <v>11423</v>
      </c>
      <c r="B1486" t="s">
        <v>11424</v>
      </c>
      <c r="C1486" t="s">
        <v>11426</v>
      </c>
      <c r="D1486" t="s">
        <v>11426</v>
      </c>
      <c r="E1486" t="s">
        <v>11425</v>
      </c>
      <c r="F1486">
        <v>8630</v>
      </c>
      <c r="G1486" t="s">
        <v>1123</v>
      </c>
      <c r="H1486" t="s">
        <v>15226</v>
      </c>
    </row>
    <row r="1487" spans="1:9" x14ac:dyDescent="0.25">
      <c r="A1487" t="s">
        <v>11429</v>
      </c>
      <c r="B1487" t="s">
        <v>11430</v>
      </c>
      <c r="C1487" t="s">
        <v>11431</v>
      </c>
      <c r="D1487" t="s">
        <v>11431</v>
      </c>
      <c r="E1487" t="s">
        <v>5303</v>
      </c>
      <c r="F1487">
        <v>8647</v>
      </c>
      <c r="G1487" t="s">
        <v>714</v>
      </c>
      <c r="H1487" t="s">
        <v>137</v>
      </c>
      <c r="I1487">
        <v>5378</v>
      </c>
    </row>
    <row r="1488" spans="1:9" x14ac:dyDescent="0.25">
      <c r="A1488" t="s">
        <v>11434</v>
      </c>
      <c r="B1488" t="s">
        <v>11435</v>
      </c>
      <c r="F1488">
        <v>6201</v>
      </c>
      <c r="G1488" t="s">
        <v>41</v>
      </c>
      <c r="H1488" t="s">
        <v>15220</v>
      </c>
    </row>
    <row r="1489" spans="1:9" x14ac:dyDescent="0.25">
      <c r="A1489" t="s">
        <v>11438</v>
      </c>
      <c r="B1489" t="s">
        <v>11439</v>
      </c>
      <c r="C1489" t="s">
        <v>11441</v>
      </c>
      <c r="D1489" t="s">
        <v>11441</v>
      </c>
      <c r="F1489">
        <v>1201</v>
      </c>
      <c r="G1489" t="s">
        <v>11440</v>
      </c>
      <c r="H1489" t="s">
        <v>137</v>
      </c>
      <c r="I1489">
        <v>10410</v>
      </c>
    </row>
    <row r="1490" spans="1:9" x14ac:dyDescent="0.25">
      <c r="A1490" t="s">
        <v>11444</v>
      </c>
      <c r="B1490" t="s">
        <v>11445</v>
      </c>
      <c r="C1490" t="s">
        <v>11447</v>
      </c>
      <c r="D1490" t="s">
        <v>11447</v>
      </c>
      <c r="E1490" t="s">
        <v>11446</v>
      </c>
      <c r="F1490">
        <v>8751</v>
      </c>
      <c r="G1490" t="s">
        <v>10147</v>
      </c>
      <c r="H1490" t="s">
        <v>15534</v>
      </c>
      <c r="I1490">
        <v>40040</v>
      </c>
    </row>
    <row r="1491" spans="1:9" x14ac:dyDescent="0.25">
      <c r="A1491" t="s">
        <v>11450</v>
      </c>
      <c r="B1491" t="s">
        <v>11451</v>
      </c>
      <c r="C1491" t="s">
        <v>11453</v>
      </c>
      <c r="D1491" t="s">
        <v>11453</v>
      </c>
      <c r="E1491">
        <v>4147088017</v>
      </c>
      <c r="F1491">
        <v>8601</v>
      </c>
      <c r="G1491" t="s">
        <v>10141</v>
      </c>
      <c r="H1491" t="s">
        <v>15534</v>
      </c>
      <c r="I1491">
        <v>50869</v>
      </c>
    </row>
    <row r="1492" spans="1:9" x14ac:dyDescent="0.25">
      <c r="A1492" t="s">
        <v>11456</v>
      </c>
      <c r="B1492" t="s">
        <v>11457</v>
      </c>
      <c r="C1492" t="s">
        <v>11460</v>
      </c>
      <c r="D1492" t="s">
        <v>11460</v>
      </c>
      <c r="E1492">
        <v>4141326147</v>
      </c>
      <c r="F1492">
        <v>8790</v>
      </c>
      <c r="G1492" t="s">
        <v>5009</v>
      </c>
      <c r="H1492" t="s">
        <v>137</v>
      </c>
      <c r="I1492">
        <v>39910</v>
      </c>
    </row>
    <row r="1493" spans="1:9" x14ac:dyDescent="0.25">
      <c r="A1493" t="s">
        <v>11467</v>
      </c>
      <c r="B1493" t="s">
        <v>11468</v>
      </c>
      <c r="C1493" t="s">
        <v>11470</v>
      </c>
      <c r="D1493" t="s">
        <v>11470</v>
      </c>
      <c r="E1493" t="s">
        <v>11469</v>
      </c>
      <c r="F1493">
        <v>8749</v>
      </c>
      <c r="G1493" t="s">
        <v>7938</v>
      </c>
      <c r="H1493" t="s">
        <v>15534</v>
      </c>
      <c r="I1493">
        <v>54054</v>
      </c>
    </row>
    <row r="1494" spans="1:9" x14ac:dyDescent="0.25">
      <c r="A1494" t="s">
        <v>11476</v>
      </c>
      <c r="B1494" t="s">
        <v>5356</v>
      </c>
      <c r="C1494" t="s">
        <v>11478</v>
      </c>
      <c r="D1494" t="s">
        <v>11478</v>
      </c>
      <c r="E1494" t="s">
        <v>11477</v>
      </c>
      <c r="F1494">
        <v>8526</v>
      </c>
      <c r="G1494" t="s">
        <v>15287</v>
      </c>
      <c r="H1494" t="s">
        <v>106</v>
      </c>
      <c r="I1494">
        <v>54062</v>
      </c>
    </row>
    <row r="1495" spans="1:9" x14ac:dyDescent="0.25">
      <c r="A1495" t="s">
        <v>11480</v>
      </c>
      <c r="B1495" t="s">
        <v>11481</v>
      </c>
      <c r="C1495" t="s">
        <v>11482</v>
      </c>
      <c r="D1495" t="s">
        <v>11482</v>
      </c>
      <c r="E1495" t="s">
        <v>9045</v>
      </c>
      <c r="F1495">
        <v>8590</v>
      </c>
      <c r="G1495" t="s">
        <v>2463</v>
      </c>
      <c r="H1495" t="s">
        <v>15293</v>
      </c>
      <c r="I1495">
        <v>50910</v>
      </c>
    </row>
    <row r="1496" spans="1:9" x14ac:dyDescent="0.25">
      <c r="A1496" t="s">
        <v>11485</v>
      </c>
      <c r="B1496" t="s">
        <v>11486</v>
      </c>
      <c r="C1496" t="s">
        <v>11488</v>
      </c>
      <c r="D1496" t="s">
        <v>11488</v>
      </c>
      <c r="E1496" t="s">
        <v>11487</v>
      </c>
      <c r="F1496">
        <v>8626</v>
      </c>
      <c r="G1496" t="s">
        <v>5739</v>
      </c>
      <c r="H1496" t="s">
        <v>15453</v>
      </c>
      <c r="I1496">
        <v>53837</v>
      </c>
    </row>
    <row r="1497" spans="1:9" x14ac:dyDescent="0.25">
      <c r="A1497" t="s">
        <v>11491</v>
      </c>
      <c r="B1497" t="s">
        <v>11492</v>
      </c>
      <c r="C1497" t="s">
        <v>11494</v>
      </c>
      <c r="D1497" t="s">
        <v>11494</v>
      </c>
      <c r="E1497" t="s">
        <v>11493</v>
      </c>
      <c r="F1497">
        <v>6201</v>
      </c>
      <c r="G1497" t="s">
        <v>41</v>
      </c>
      <c r="H1497" t="s">
        <v>15220</v>
      </c>
      <c r="I1497">
        <v>54107</v>
      </c>
    </row>
    <row r="1498" spans="1:9" x14ac:dyDescent="0.25">
      <c r="A1498" t="s">
        <v>11497</v>
      </c>
      <c r="B1498" t="s">
        <v>11498</v>
      </c>
      <c r="C1498" t="s">
        <v>11500</v>
      </c>
      <c r="E1498">
        <v>4126892883</v>
      </c>
      <c r="F1498">
        <v>6201</v>
      </c>
      <c r="H1498" t="s">
        <v>15220</v>
      </c>
    </row>
    <row r="1499" spans="1:9" x14ac:dyDescent="0.25">
      <c r="A1499" t="s">
        <v>11502</v>
      </c>
      <c r="B1499" t="s">
        <v>11503</v>
      </c>
      <c r="C1499" t="s">
        <v>11504</v>
      </c>
      <c r="D1499" t="s">
        <v>11504</v>
      </c>
      <c r="F1499">
        <v>8531</v>
      </c>
      <c r="G1499" t="s">
        <v>90</v>
      </c>
      <c r="H1499" t="s">
        <v>15222</v>
      </c>
      <c r="I1499">
        <v>13561</v>
      </c>
    </row>
    <row r="1500" spans="1:9" x14ac:dyDescent="0.25">
      <c r="A1500" t="s">
        <v>11506</v>
      </c>
      <c r="B1500" t="s">
        <v>11507</v>
      </c>
      <c r="C1500" t="s">
        <v>11509</v>
      </c>
      <c r="D1500" t="s">
        <v>15664</v>
      </c>
      <c r="E1500">
        <v>4125277692</v>
      </c>
      <c r="F1500">
        <v>8626</v>
      </c>
      <c r="G1500" t="s">
        <v>6113</v>
      </c>
      <c r="H1500" t="s">
        <v>15453</v>
      </c>
      <c r="I1500">
        <v>41480</v>
      </c>
    </row>
    <row r="1501" spans="1:9" x14ac:dyDescent="0.25">
      <c r="A1501" t="s">
        <v>11522</v>
      </c>
      <c r="B1501" t="s">
        <v>11523</v>
      </c>
      <c r="C1501" t="s">
        <v>15665</v>
      </c>
      <c r="D1501" t="s">
        <v>15665</v>
      </c>
      <c r="E1501" t="s">
        <v>11524</v>
      </c>
      <c r="F1501">
        <v>8601</v>
      </c>
      <c r="G1501" t="s">
        <v>10141</v>
      </c>
      <c r="H1501" t="s">
        <v>15534</v>
      </c>
      <c r="I1501">
        <v>4267</v>
      </c>
    </row>
    <row r="1502" spans="1:9" x14ac:dyDescent="0.25">
      <c r="A1502" t="s">
        <v>11530</v>
      </c>
      <c r="B1502" t="s">
        <v>11523</v>
      </c>
      <c r="C1502" t="s">
        <v>15665</v>
      </c>
      <c r="D1502" t="s">
        <v>15666</v>
      </c>
      <c r="E1502" t="s">
        <v>11524</v>
      </c>
      <c r="F1502">
        <v>8601</v>
      </c>
      <c r="G1502" t="s">
        <v>10141</v>
      </c>
      <c r="H1502" t="s">
        <v>15534</v>
      </c>
      <c r="I1502">
        <v>4267</v>
      </c>
    </row>
    <row r="1503" spans="1:9" x14ac:dyDescent="0.25">
      <c r="A1503" t="s">
        <v>11534</v>
      </c>
      <c r="B1503" t="s">
        <v>11535</v>
      </c>
      <c r="C1503" t="s">
        <v>11536</v>
      </c>
      <c r="D1503" t="s">
        <v>11536</v>
      </c>
      <c r="F1503">
        <v>8590</v>
      </c>
      <c r="G1503" t="s">
        <v>2463</v>
      </c>
      <c r="H1503" t="s">
        <v>15293</v>
      </c>
      <c r="I1503">
        <v>40818</v>
      </c>
    </row>
    <row r="1504" spans="1:9" x14ac:dyDescent="0.25">
      <c r="A1504" t="s">
        <v>11547</v>
      </c>
      <c r="B1504" t="s">
        <v>11548</v>
      </c>
      <c r="C1504" t="s">
        <v>11550</v>
      </c>
      <c r="D1504" t="s">
        <v>11550</v>
      </c>
      <c r="E1504" t="s">
        <v>11549</v>
      </c>
      <c r="F1504">
        <v>8566</v>
      </c>
      <c r="G1504" t="s">
        <v>81</v>
      </c>
      <c r="H1504" t="s">
        <v>85</v>
      </c>
      <c r="I1504">
        <v>54083</v>
      </c>
    </row>
    <row r="1505" spans="1:9" x14ac:dyDescent="0.25">
      <c r="A1505" t="s">
        <v>11553</v>
      </c>
      <c r="B1505" t="s">
        <v>10884</v>
      </c>
      <c r="C1505" t="s">
        <v>11555</v>
      </c>
      <c r="D1505" t="s">
        <v>11555</v>
      </c>
      <c r="E1505" t="s">
        <v>11554</v>
      </c>
      <c r="F1505">
        <v>5201</v>
      </c>
      <c r="G1505" t="s">
        <v>79</v>
      </c>
      <c r="H1505" t="s">
        <v>79</v>
      </c>
      <c r="I1505">
        <v>6181</v>
      </c>
    </row>
    <row r="1506" spans="1:9" x14ac:dyDescent="0.25">
      <c r="A1506" t="s">
        <v>11558</v>
      </c>
      <c r="B1506" t="s">
        <v>10884</v>
      </c>
      <c r="C1506" t="s">
        <v>11555</v>
      </c>
      <c r="D1506" t="s">
        <v>15667</v>
      </c>
      <c r="F1506">
        <v>5201</v>
      </c>
      <c r="G1506" t="s">
        <v>79</v>
      </c>
      <c r="H1506" t="s">
        <v>79</v>
      </c>
      <c r="I1506">
        <v>31265</v>
      </c>
    </row>
    <row r="1507" spans="1:9" x14ac:dyDescent="0.25">
      <c r="A1507" t="s">
        <v>11561</v>
      </c>
      <c r="B1507" t="s">
        <v>10884</v>
      </c>
      <c r="C1507" t="s">
        <v>11555</v>
      </c>
      <c r="D1507" t="s">
        <v>15668</v>
      </c>
      <c r="E1507" t="s">
        <v>11554</v>
      </c>
      <c r="F1507">
        <v>5201</v>
      </c>
      <c r="G1507" t="s">
        <v>79</v>
      </c>
      <c r="H1507" t="s">
        <v>79</v>
      </c>
      <c r="I1507">
        <v>48243</v>
      </c>
    </row>
    <row r="1508" spans="1:9" x14ac:dyDescent="0.25">
      <c r="A1508" t="s">
        <v>11564</v>
      </c>
      <c r="B1508" t="s">
        <v>11565</v>
      </c>
      <c r="C1508" t="s">
        <v>11567</v>
      </c>
      <c r="D1508" t="s">
        <v>11567</v>
      </c>
      <c r="E1508" t="s">
        <v>11566</v>
      </c>
      <c r="F1508">
        <v>8715</v>
      </c>
      <c r="G1508" t="s">
        <v>8401</v>
      </c>
      <c r="H1508" t="s">
        <v>2399</v>
      </c>
      <c r="I1508">
        <v>37581</v>
      </c>
    </row>
    <row r="1509" spans="1:9" x14ac:dyDescent="0.25">
      <c r="A1509" t="s">
        <v>11570</v>
      </c>
      <c r="B1509" t="s">
        <v>11571</v>
      </c>
      <c r="C1509" t="s">
        <v>11573</v>
      </c>
      <c r="D1509" t="s">
        <v>11573</v>
      </c>
      <c r="E1509" t="s">
        <v>11572</v>
      </c>
      <c r="F1509">
        <v>8633</v>
      </c>
      <c r="G1509" t="s">
        <v>4851</v>
      </c>
      <c r="H1509" t="s">
        <v>4854</v>
      </c>
      <c r="I1509">
        <v>6186</v>
      </c>
    </row>
    <row r="1510" spans="1:9" x14ac:dyDescent="0.25">
      <c r="A1510" t="s">
        <v>11582</v>
      </c>
      <c r="B1510" t="s">
        <v>2733</v>
      </c>
      <c r="C1510" t="s">
        <v>2735</v>
      </c>
      <c r="D1510" t="s">
        <v>15669</v>
      </c>
      <c r="E1510" t="s">
        <v>2734</v>
      </c>
      <c r="F1510">
        <v>8534</v>
      </c>
      <c r="G1510" t="s">
        <v>11583</v>
      </c>
      <c r="H1510" t="s">
        <v>72</v>
      </c>
      <c r="I1510">
        <v>51708</v>
      </c>
    </row>
    <row r="1511" spans="1:9" x14ac:dyDescent="0.25">
      <c r="A1511" t="s">
        <v>11586</v>
      </c>
      <c r="B1511" t="s">
        <v>11587</v>
      </c>
      <c r="C1511" t="s">
        <v>11591</v>
      </c>
      <c r="D1511" t="s">
        <v>11591</v>
      </c>
      <c r="E1511" t="s">
        <v>11589</v>
      </c>
      <c r="F1511">
        <v>8772</v>
      </c>
      <c r="G1511" t="s">
        <v>11588</v>
      </c>
      <c r="H1511" t="s">
        <v>1215</v>
      </c>
      <c r="I1511">
        <v>50905</v>
      </c>
    </row>
    <row r="1512" spans="1:9" x14ac:dyDescent="0.25">
      <c r="A1512" t="s">
        <v>11593</v>
      </c>
      <c r="B1512" t="s">
        <v>11594</v>
      </c>
      <c r="C1512" t="s">
        <v>11596</v>
      </c>
      <c r="D1512" t="s">
        <v>11596</v>
      </c>
      <c r="E1512" t="s">
        <v>11595</v>
      </c>
      <c r="F1512">
        <v>8558</v>
      </c>
      <c r="G1512" t="s">
        <v>1360</v>
      </c>
      <c r="H1512" t="s">
        <v>1215</v>
      </c>
      <c r="I1512">
        <v>54116</v>
      </c>
    </row>
    <row r="1513" spans="1:9" x14ac:dyDescent="0.25">
      <c r="A1513" t="s">
        <v>11599</v>
      </c>
      <c r="B1513" t="s">
        <v>11600</v>
      </c>
      <c r="C1513" t="s">
        <v>11601</v>
      </c>
      <c r="D1513" t="s">
        <v>11601</v>
      </c>
      <c r="F1513">
        <v>8587</v>
      </c>
      <c r="G1513" t="s">
        <v>2396</v>
      </c>
      <c r="H1513" t="s">
        <v>2399</v>
      </c>
      <c r="I1513">
        <v>6356</v>
      </c>
    </row>
    <row r="1514" spans="1:9" x14ac:dyDescent="0.25">
      <c r="A1514" t="s">
        <v>11604</v>
      </c>
      <c r="B1514" t="s">
        <v>11605</v>
      </c>
      <c r="C1514" t="s">
        <v>11608</v>
      </c>
      <c r="D1514" t="s">
        <v>11608</v>
      </c>
      <c r="E1514" t="s">
        <v>11607</v>
      </c>
      <c r="F1514">
        <v>8727</v>
      </c>
      <c r="G1514" t="s">
        <v>11606</v>
      </c>
      <c r="H1514" t="s">
        <v>15453</v>
      </c>
      <c r="I1514">
        <v>5921</v>
      </c>
    </row>
    <row r="1515" spans="1:9" x14ac:dyDescent="0.25">
      <c r="A1515" t="s">
        <v>11611</v>
      </c>
      <c r="B1515" t="s">
        <v>11612</v>
      </c>
      <c r="F1515">
        <v>6201</v>
      </c>
      <c r="G1515" t="s">
        <v>41</v>
      </c>
      <c r="H1515" t="s">
        <v>15220</v>
      </c>
    </row>
    <row r="1516" spans="1:9" x14ac:dyDescent="0.25">
      <c r="A1516" t="s">
        <v>11616</v>
      </c>
      <c r="B1516" t="s">
        <v>11617</v>
      </c>
      <c r="C1516" t="s">
        <v>11619</v>
      </c>
      <c r="D1516" t="s">
        <v>11619</v>
      </c>
      <c r="E1516" t="s">
        <v>11618</v>
      </c>
      <c r="F1516">
        <v>8695</v>
      </c>
      <c r="G1516" t="s">
        <v>7263</v>
      </c>
      <c r="H1516" t="s">
        <v>2399</v>
      </c>
      <c r="I1516">
        <v>53327</v>
      </c>
    </row>
    <row r="1517" spans="1:9" x14ac:dyDescent="0.25">
      <c r="A1517" t="s">
        <v>11622</v>
      </c>
      <c r="B1517" t="s">
        <v>11623</v>
      </c>
      <c r="C1517" t="s">
        <v>11624</v>
      </c>
      <c r="D1517" t="s">
        <v>11624</v>
      </c>
      <c r="F1517">
        <v>8708</v>
      </c>
      <c r="G1517" t="s">
        <v>8101</v>
      </c>
      <c r="H1517" t="s">
        <v>4854</v>
      </c>
      <c r="I1517">
        <v>36179</v>
      </c>
    </row>
    <row r="1518" spans="1:9" x14ac:dyDescent="0.25">
      <c r="A1518" t="s">
        <v>11627</v>
      </c>
      <c r="B1518" t="s">
        <v>11628</v>
      </c>
      <c r="C1518" t="s">
        <v>15670</v>
      </c>
      <c r="D1518" t="s">
        <v>15670</v>
      </c>
      <c r="E1518" t="s">
        <v>11630</v>
      </c>
      <c r="F1518">
        <v>5003</v>
      </c>
      <c r="G1518" t="s">
        <v>11629</v>
      </c>
      <c r="H1518" t="s">
        <v>15534</v>
      </c>
      <c r="I1518">
        <v>41319</v>
      </c>
    </row>
    <row r="1519" spans="1:9" x14ac:dyDescent="0.25">
      <c r="A1519" t="s">
        <v>11634</v>
      </c>
      <c r="B1519" t="s">
        <v>11635</v>
      </c>
      <c r="C1519" t="s">
        <v>11637</v>
      </c>
      <c r="D1519" t="s">
        <v>15671</v>
      </c>
      <c r="E1519" t="s">
        <v>11636</v>
      </c>
      <c r="F1519">
        <v>8534</v>
      </c>
      <c r="G1519" t="s">
        <v>443</v>
      </c>
      <c r="H1519" t="s">
        <v>72</v>
      </c>
      <c r="I1519">
        <v>2045</v>
      </c>
    </row>
    <row r="1520" spans="1:9" x14ac:dyDescent="0.25">
      <c r="A1520" t="s">
        <v>11645</v>
      </c>
      <c r="B1520" t="s">
        <v>11646</v>
      </c>
      <c r="C1520" t="s">
        <v>11647</v>
      </c>
      <c r="D1520" t="s">
        <v>11647</v>
      </c>
      <c r="F1520">
        <v>8515</v>
      </c>
      <c r="G1520" t="s">
        <v>1335</v>
      </c>
      <c r="H1520" t="s">
        <v>15249</v>
      </c>
      <c r="I1520">
        <v>54162</v>
      </c>
    </row>
    <row r="1521" spans="1:9" x14ac:dyDescent="0.25">
      <c r="A1521" t="s">
        <v>11650</v>
      </c>
      <c r="B1521" t="s">
        <v>11651</v>
      </c>
      <c r="C1521" t="s">
        <v>11655</v>
      </c>
      <c r="D1521" t="s">
        <v>11655</v>
      </c>
      <c r="E1521" t="s">
        <v>11653</v>
      </c>
      <c r="F1521">
        <v>8773</v>
      </c>
      <c r="G1521" t="s">
        <v>11652</v>
      </c>
      <c r="H1521" t="s">
        <v>137</v>
      </c>
      <c r="I1521">
        <v>37047</v>
      </c>
    </row>
    <row r="1522" spans="1:9" x14ac:dyDescent="0.25">
      <c r="A1522" t="s">
        <v>11658</v>
      </c>
      <c r="B1522" t="s">
        <v>11659</v>
      </c>
      <c r="C1522" t="s">
        <v>11662</v>
      </c>
      <c r="D1522" t="s">
        <v>11662</v>
      </c>
      <c r="E1522" t="s">
        <v>11661</v>
      </c>
      <c r="F1522">
        <v>8703</v>
      </c>
      <c r="G1522" t="s">
        <v>11660</v>
      </c>
      <c r="H1522" t="s">
        <v>79</v>
      </c>
      <c r="I1522">
        <v>1598</v>
      </c>
    </row>
    <row r="1523" spans="1:9" x14ac:dyDescent="0.25">
      <c r="A1523" t="s">
        <v>11664</v>
      </c>
      <c r="B1523" t="s">
        <v>11665</v>
      </c>
      <c r="C1523" t="s">
        <v>11666</v>
      </c>
      <c r="D1523" t="s">
        <v>11666</v>
      </c>
      <c r="F1523">
        <v>8608</v>
      </c>
      <c r="G1523" t="s">
        <v>638</v>
      </c>
      <c r="H1523" t="s">
        <v>15222</v>
      </c>
      <c r="I1523">
        <v>53371</v>
      </c>
    </row>
    <row r="1524" spans="1:9" x14ac:dyDescent="0.25">
      <c r="A1524" t="s">
        <v>11674</v>
      </c>
      <c r="B1524" t="s">
        <v>11675</v>
      </c>
      <c r="C1524" t="s">
        <v>11678</v>
      </c>
      <c r="D1524" t="s">
        <v>11678</v>
      </c>
      <c r="E1524" t="s">
        <v>11677</v>
      </c>
      <c r="F1524">
        <v>8571</v>
      </c>
      <c r="G1524" t="s">
        <v>11676</v>
      </c>
      <c r="H1524" t="s">
        <v>15231</v>
      </c>
      <c r="I1524">
        <v>7596</v>
      </c>
    </row>
    <row r="1525" spans="1:9" x14ac:dyDescent="0.25">
      <c r="A1525" t="s">
        <v>11680</v>
      </c>
      <c r="B1525" t="s">
        <v>11681</v>
      </c>
      <c r="C1525" t="s">
        <v>11683</v>
      </c>
      <c r="D1525" t="s">
        <v>11683</v>
      </c>
      <c r="E1525">
        <v>4245241059</v>
      </c>
      <c r="F1525">
        <v>8695</v>
      </c>
      <c r="G1525" t="s">
        <v>7263</v>
      </c>
      <c r="H1525" t="s">
        <v>2399</v>
      </c>
      <c r="I1525">
        <v>49662</v>
      </c>
    </row>
    <row r="1526" spans="1:9" x14ac:dyDescent="0.25">
      <c r="A1526" t="s">
        <v>11686</v>
      </c>
      <c r="B1526" t="s">
        <v>11687</v>
      </c>
      <c r="C1526" t="s">
        <v>11689</v>
      </c>
      <c r="D1526" t="s">
        <v>11689</v>
      </c>
      <c r="E1526" t="s">
        <v>11688</v>
      </c>
      <c r="F1526">
        <v>8695</v>
      </c>
      <c r="G1526" t="s">
        <v>7263</v>
      </c>
      <c r="H1526" t="s">
        <v>2399</v>
      </c>
      <c r="I1526">
        <v>38203</v>
      </c>
    </row>
    <row r="1527" spans="1:9" x14ac:dyDescent="0.25">
      <c r="A1527" t="s">
        <v>11692</v>
      </c>
      <c r="B1527" t="s">
        <v>11693</v>
      </c>
      <c r="C1527" t="s">
        <v>11695</v>
      </c>
      <c r="D1527" t="s">
        <v>11695</v>
      </c>
      <c r="E1527">
        <v>4245241059</v>
      </c>
      <c r="F1527">
        <v>8695</v>
      </c>
      <c r="G1527" t="s">
        <v>11694</v>
      </c>
      <c r="H1527" t="s">
        <v>2399</v>
      </c>
      <c r="I1527">
        <v>43924</v>
      </c>
    </row>
    <row r="1528" spans="1:9" x14ac:dyDescent="0.25">
      <c r="A1528" t="s">
        <v>11698</v>
      </c>
      <c r="B1528" t="s">
        <v>11699</v>
      </c>
      <c r="C1528" t="s">
        <v>11700</v>
      </c>
      <c r="D1528" t="s">
        <v>11700</v>
      </c>
      <c r="E1528" t="s">
        <v>11688</v>
      </c>
      <c r="F1528">
        <v>8695</v>
      </c>
      <c r="G1528" t="s">
        <v>7263</v>
      </c>
      <c r="H1528" t="s">
        <v>2399</v>
      </c>
      <c r="I1528">
        <v>15376</v>
      </c>
    </row>
    <row r="1529" spans="1:9" x14ac:dyDescent="0.25">
      <c r="A1529" t="s">
        <v>11704</v>
      </c>
      <c r="B1529" t="s">
        <v>11705</v>
      </c>
      <c r="C1529" t="s">
        <v>11706</v>
      </c>
      <c r="D1529" t="s">
        <v>11706</v>
      </c>
      <c r="F1529">
        <v>8558</v>
      </c>
      <c r="G1529" t="s">
        <v>9937</v>
      </c>
      <c r="H1529" t="s">
        <v>1215</v>
      </c>
      <c r="I1529">
        <v>50139</v>
      </c>
    </row>
    <row r="1530" spans="1:9" x14ac:dyDescent="0.25">
      <c r="A1530" t="s">
        <v>11709</v>
      </c>
      <c r="B1530" t="s">
        <v>11711</v>
      </c>
      <c r="C1530" t="s">
        <v>11712</v>
      </c>
      <c r="D1530" t="s">
        <v>11712</v>
      </c>
      <c r="F1530">
        <v>8648</v>
      </c>
      <c r="G1530" t="s">
        <v>6519</v>
      </c>
      <c r="H1530" t="s">
        <v>4854</v>
      </c>
      <c r="I1530">
        <v>50951</v>
      </c>
    </row>
    <row r="1531" spans="1:9" x14ac:dyDescent="0.25">
      <c r="A1531" t="s">
        <v>11715</v>
      </c>
      <c r="B1531" t="s">
        <v>11716</v>
      </c>
      <c r="C1531" t="s">
        <v>11718</v>
      </c>
      <c r="D1531" t="s">
        <v>11718</v>
      </c>
      <c r="E1531" t="s">
        <v>15672</v>
      </c>
      <c r="F1531">
        <v>8673</v>
      </c>
      <c r="G1531" t="s">
        <v>6027</v>
      </c>
      <c r="H1531" t="s">
        <v>85</v>
      </c>
      <c r="I1531">
        <v>53148</v>
      </c>
    </row>
    <row r="1532" spans="1:9" x14ac:dyDescent="0.25">
      <c r="A1532" t="s">
        <v>11721</v>
      </c>
      <c r="B1532" t="s">
        <v>11722</v>
      </c>
      <c r="C1532" t="s">
        <v>11725</v>
      </c>
      <c r="D1532" t="s">
        <v>11725</v>
      </c>
      <c r="E1532" t="s">
        <v>15673</v>
      </c>
      <c r="F1532">
        <v>8520</v>
      </c>
      <c r="G1532" t="s">
        <v>11723</v>
      </c>
      <c r="H1532" t="s">
        <v>15226</v>
      </c>
      <c r="I1532">
        <v>53430</v>
      </c>
    </row>
    <row r="1533" spans="1:9" x14ac:dyDescent="0.25">
      <c r="A1533" t="s">
        <v>11728</v>
      </c>
      <c r="B1533" t="s">
        <v>11729</v>
      </c>
      <c r="C1533" t="s">
        <v>11731</v>
      </c>
      <c r="D1533" t="s">
        <v>11731</v>
      </c>
      <c r="E1533" t="s">
        <v>11730</v>
      </c>
      <c r="F1533">
        <v>8558</v>
      </c>
      <c r="G1533" t="s">
        <v>2647</v>
      </c>
      <c r="H1533" t="s">
        <v>1215</v>
      </c>
      <c r="I1533">
        <v>45322</v>
      </c>
    </row>
    <row r="1534" spans="1:9" x14ac:dyDescent="0.25">
      <c r="A1534" t="s">
        <v>11734</v>
      </c>
      <c r="B1534" t="s">
        <v>11735</v>
      </c>
      <c r="C1534" t="s">
        <v>11738</v>
      </c>
      <c r="D1534" t="s">
        <v>11738</v>
      </c>
      <c r="E1534" t="s">
        <v>11737</v>
      </c>
      <c r="F1534">
        <v>8626</v>
      </c>
      <c r="G1534" t="s">
        <v>15674</v>
      </c>
      <c r="H1534" t="s">
        <v>15453</v>
      </c>
      <c r="I1534">
        <v>49695</v>
      </c>
    </row>
    <row r="1535" spans="1:9" x14ac:dyDescent="0.25">
      <c r="A1535" t="s">
        <v>11740</v>
      </c>
      <c r="B1535" t="s">
        <v>11741</v>
      </c>
      <c r="C1535" t="s">
        <v>11742</v>
      </c>
      <c r="D1535" t="s">
        <v>11742</v>
      </c>
      <c r="E1535" t="s">
        <v>11737</v>
      </c>
      <c r="F1535">
        <v>8695</v>
      </c>
      <c r="G1535" t="s">
        <v>7263</v>
      </c>
      <c r="H1535" t="s">
        <v>2399</v>
      </c>
      <c r="I1535">
        <v>40574</v>
      </c>
    </row>
    <row r="1536" spans="1:9" x14ac:dyDescent="0.25">
      <c r="A1536" t="s">
        <v>11749</v>
      </c>
      <c r="B1536" t="s">
        <v>11750</v>
      </c>
      <c r="C1536" t="s">
        <v>15675</v>
      </c>
      <c r="D1536" t="s">
        <v>15675</v>
      </c>
      <c r="E1536" t="s">
        <v>11751</v>
      </c>
      <c r="F1536">
        <v>8750</v>
      </c>
      <c r="G1536" t="s">
        <v>10105</v>
      </c>
      <c r="H1536" t="s">
        <v>15534</v>
      </c>
      <c r="I1536">
        <v>2716</v>
      </c>
    </row>
    <row r="1537" spans="1:9" x14ac:dyDescent="0.25">
      <c r="A1537" t="s">
        <v>11755</v>
      </c>
      <c r="B1537" t="s">
        <v>11756</v>
      </c>
      <c r="F1537">
        <v>6201</v>
      </c>
      <c r="G1537" t="s">
        <v>41</v>
      </c>
      <c r="H1537" t="s">
        <v>15220</v>
      </c>
    </row>
    <row r="1538" spans="1:9" x14ac:dyDescent="0.25">
      <c r="A1538" t="s">
        <v>11758</v>
      </c>
      <c r="B1538" t="s">
        <v>11759</v>
      </c>
      <c r="C1538" t="s">
        <v>15676</v>
      </c>
      <c r="D1538" t="s">
        <v>15676</v>
      </c>
      <c r="E1538" t="s">
        <v>11760</v>
      </c>
      <c r="F1538">
        <v>8759</v>
      </c>
      <c r="G1538" t="s">
        <v>10458</v>
      </c>
      <c r="H1538" t="s">
        <v>15534</v>
      </c>
      <c r="I1538">
        <v>49574</v>
      </c>
    </row>
    <row r="1539" spans="1:9" x14ac:dyDescent="0.25">
      <c r="A1539" t="s">
        <v>11764</v>
      </c>
      <c r="B1539" t="s">
        <v>11765</v>
      </c>
      <c r="F1539">
        <v>6201</v>
      </c>
      <c r="G1539" t="s">
        <v>41</v>
      </c>
      <c r="H1539" t="s">
        <v>15220</v>
      </c>
    </row>
    <row r="1540" spans="1:9" x14ac:dyDescent="0.25">
      <c r="A1540" t="s">
        <v>11768</v>
      </c>
      <c r="B1540" t="s">
        <v>11769</v>
      </c>
      <c r="C1540" t="s">
        <v>11771</v>
      </c>
      <c r="D1540" t="s">
        <v>11771</v>
      </c>
      <c r="E1540" t="s">
        <v>11770</v>
      </c>
      <c r="F1540">
        <v>8527</v>
      </c>
      <c r="G1540" t="s">
        <v>2002</v>
      </c>
      <c r="H1540" t="s">
        <v>106</v>
      </c>
      <c r="I1540">
        <v>54091</v>
      </c>
    </row>
    <row r="1541" spans="1:9" x14ac:dyDescent="0.25">
      <c r="A1541" t="s">
        <v>11774</v>
      </c>
      <c r="B1541" t="s">
        <v>11775</v>
      </c>
      <c r="C1541" t="s">
        <v>11776</v>
      </c>
      <c r="D1541" t="s">
        <v>11776</v>
      </c>
      <c r="E1541" t="s">
        <v>11770</v>
      </c>
      <c r="F1541">
        <v>8527</v>
      </c>
      <c r="G1541" t="s">
        <v>2002</v>
      </c>
      <c r="H1541" t="s">
        <v>106</v>
      </c>
      <c r="I1541">
        <v>53977</v>
      </c>
    </row>
    <row r="1542" spans="1:9" x14ac:dyDescent="0.25">
      <c r="A1542" t="s">
        <v>11779</v>
      </c>
      <c r="B1542" t="s">
        <v>11780</v>
      </c>
      <c r="F1542">
        <v>6201</v>
      </c>
      <c r="G1542" t="s">
        <v>41</v>
      </c>
      <c r="H1542" t="s">
        <v>15220</v>
      </c>
    </row>
    <row r="1543" spans="1:9" x14ac:dyDescent="0.25">
      <c r="A1543" t="s">
        <v>11782</v>
      </c>
      <c r="B1543" t="s">
        <v>11783</v>
      </c>
      <c r="F1543">
        <v>6201</v>
      </c>
      <c r="G1543" t="s">
        <v>41</v>
      </c>
      <c r="H1543" t="s">
        <v>15220</v>
      </c>
    </row>
    <row r="1544" spans="1:9" x14ac:dyDescent="0.25">
      <c r="A1544" t="s">
        <v>11786</v>
      </c>
      <c r="B1544" t="s">
        <v>11787</v>
      </c>
      <c r="C1544" t="s">
        <v>11789</v>
      </c>
      <c r="D1544" t="s">
        <v>11789</v>
      </c>
      <c r="E1544" t="s">
        <v>11788</v>
      </c>
      <c r="F1544">
        <v>5201</v>
      </c>
      <c r="G1544" t="s">
        <v>79</v>
      </c>
      <c r="H1544" t="s">
        <v>79</v>
      </c>
      <c r="I1544">
        <v>44812</v>
      </c>
    </row>
    <row r="1545" spans="1:9" x14ac:dyDescent="0.25">
      <c r="A1545" t="s">
        <v>11794</v>
      </c>
      <c r="B1545" t="s">
        <v>11795</v>
      </c>
      <c r="C1545" t="s">
        <v>11796</v>
      </c>
      <c r="D1545" t="s">
        <v>11796</v>
      </c>
      <c r="E1545" t="s">
        <v>11788</v>
      </c>
      <c r="F1545">
        <v>5201</v>
      </c>
      <c r="G1545" t="s">
        <v>79</v>
      </c>
      <c r="H1545" t="s">
        <v>79</v>
      </c>
      <c r="I1545">
        <v>53958</v>
      </c>
    </row>
    <row r="1546" spans="1:9" x14ac:dyDescent="0.25">
      <c r="A1546" t="s">
        <v>11803</v>
      </c>
      <c r="B1546" t="s">
        <v>10922</v>
      </c>
      <c r="C1546" t="s">
        <v>10923</v>
      </c>
      <c r="D1546" t="s">
        <v>10923</v>
      </c>
      <c r="E1546">
        <v>4245482835</v>
      </c>
      <c r="F1546">
        <v>3309</v>
      </c>
      <c r="G1546" t="s">
        <v>11801</v>
      </c>
      <c r="H1546" t="s">
        <v>2399</v>
      </c>
      <c r="I1546">
        <v>2360</v>
      </c>
    </row>
    <row r="1547" spans="1:9" x14ac:dyDescent="0.25">
      <c r="A1547" t="s">
        <v>11806</v>
      </c>
      <c r="B1547" t="s">
        <v>11807</v>
      </c>
      <c r="C1547" t="s">
        <v>11809</v>
      </c>
      <c r="D1547" t="s">
        <v>11809</v>
      </c>
      <c r="E1547" t="s">
        <v>11808</v>
      </c>
      <c r="F1547">
        <v>8526</v>
      </c>
      <c r="G1547" t="s">
        <v>7828</v>
      </c>
      <c r="H1547" t="s">
        <v>106</v>
      </c>
      <c r="I1547">
        <v>5424</v>
      </c>
    </row>
    <row r="1548" spans="1:9" x14ac:dyDescent="0.25">
      <c r="A1548" t="s">
        <v>11812</v>
      </c>
      <c r="B1548" t="s">
        <v>11813</v>
      </c>
      <c r="C1548" t="s">
        <v>11814</v>
      </c>
      <c r="D1548" t="s">
        <v>11814</v>
      </c>
      <c r="E1548" t="s">
        <v>11808</v>
      </c>
      <c r="F1548">
        <v>8526</v>
      </c>
      <c r="G1548" t="s">
        <v>7828</v>
      </c>
      <c r="H1548" t="s">
        <v>106</v>
      </c>
      <c r="I1548">
        <v>5421</v>
      </c>
    </row>
    <row r="1549" spans="1:9" x14ac:dyDescent="0.25">
      <c r="A1549" t="s">
        <v>11816</v>
      </c>
      <c r="B1549" t="s">
        <v>11817</v>
      </c>
      <c r="C1549" t="s">
        <v>11819</v>
      </c>
      <c r="D1549" t="s">
        <v>11819</v>
      </c>
      <c r="E1549" t="s">
        <v>11818</v>
      </c>
      <c r="F1549">
        <v>8579</v>
      </c>
      <c r="G1549" t="s">
        <v>2234</v>
      </c>
      <c r="H1549" t="s">
        <v>15255</v>
      </c>
      <c r="I1549">
        <v>46837</v>
      </c>
    </row>
    <row r="1550" spans="1:9" x14ac:dyDescent="0.25">
      <c r="A1550" t="s">
        <v>11822</v>
      </c>
      <c r="B1550" t="s">
        <v>11823</v>
      </c>
      <c r="C1550" t="s">
        <v>11824</v>
      </c>
      <c r="D1550" t="s">
        <v>11824</v>
      </c>
      <c r="E1550" t="s">
        <v>11808</v>
      </c>
      <c r="F1550">
        <v>8526</v>
      </c>
      <c r="G1550" t="s">
        <v>7828</v>
      </c>
      <c r="H1550" t="s">
        <v>106</v>
      </c>
      <c r="I1550">
        <v>23641</v>
      </c>
    </row>
    <row r="1551" spans="1:9" x14ac:dyDescent="0.25">
      <c r="A1551" t="s">
        <v>11832</v>
      </c>
      <c r="B1551" t="s">
        <v>11833</v>
      </c>
      <c r="C1551" t="s">
        <v>11835</v>
      </c>
      <c r="D1551" t="s">
        <v>11835</v>
      </c>
      <c r="E1551">
        <v>4248253888</v>
      </c>
      <c r="F1551">
        <v>8533</v>
      </c>
      <c r="G1551" t="s">
        <v>10888</v>
      </c>
      <c r="H1551" t="s">
        <v>72</v>
      </c>
      <c r="I1551">
        <v>54175</v>
      </c>
    </row>
    <row r="1552" spans="1:9" x14ac:dyDescent="0.25">
      <c r="A1552" t="s">
        <v>11838</v>
      </c>
      <c r="B1552" t="s">
        <v>11839</v>
      </c>
      <c r="C1552" t="s">
        <v>11841</v>
      </c>
      <c r="D1552" t="s">
        <v>11841</v>
      </c>
      <c r="E1552" t="s">
        <v>11840</v>
      </c>
      <c r="F1552">
        <v>8533</v>
      </c>
      <c r="G1552" t="s">
        <v>10888</v>
      </c>
      <c r="H1552" t="s">
        <v>72</v>
      </c>
      <c r="I1552">
        <v>48298</v>
      </c>
    </row>
    <row r="1553" spans="1:9" x14ac:dyDescent="0.25">
      <c r="A1553" t="s">
        <v>11852</v>
      </c>
      <c r="B1553" t="s">
        <v>11853</v>
      </c>
      <c r="C1553" t="s">
        <v>11855</v>
      </c>
      <c r="D1553" t="s">
        <v>11855</v>
      </c>
      <c r="E1553" t="s">
        <v>10826</v>
      </c>
      <c r="F1553">
        <v>8649</v>
      </c>
      <c r="G1553" t="s">
        <v>11854</v>
      </c>
      <c r="H1553" t="s">
        <v>1215</v>
      </c>
      <c r="I1553">
        <v>35587</v>
      </c>
    </row>
    <row r="1554" spans="1:9" x14ac:dyDescent="0.25">
      <c r="A1554" t="s">
        <v>11858</v>
      </c>
      <c r="B1554" t="s">
        <v>11859</v>
      </c>
      <c r="C1554" t="s">
        <v>11862</v>
      </c>
      <c r="D1554" t="s">
        <v>11862</v>
      </c>
      <c r="E1554" t="s">
        <v>11861</v>
      </c>
      <c r="F1554">
        <v>8558</v>
      </c>
      <c r="G1554" t="s">
        <v>11860</v>
      </c>
      <c r="H1554" t="s">
        <v>1215</v>
      </c>
      <c r="I1554">
        <v>50138</v>
      </c>
    </row>
    <row r="1555" spans="1:9" x14ac:dyDescent="0.25">
      <c r="A1555" t="s">
        <v>11865</v>
      </c>
      <c r="B1555" t="s">
        <v>11866</v>
      </c>
      <c r="C1555" t="s">
        <v>11869</v>
      </c>
      <c r="D1555" t="s">
        <v>11869</v>
      </c>
      <c r="E1555" t="s">
        <v>11868</v>
      </c>
      <c r="F1555">
        <v>8692</v>
      </c>
      <c r="G1555" t="s">
        <v>11867</v>
      </c>
      <c r="H1555" t="s">
        <v>2399</v>
      </c>
      <c r="I1555">
        <v>6628</v>
      </c>
    </row>
    <row r="1556" spans="1:9" x14ac:dyDescent="0.25">
      <c r="A1556" t="s">
        <v>11872</v>
      </c>
      <c r="B1556" t="s">
        <v>11873</v>
      </c>
      <c r="C1556" t="s">
        <v>11876</v>
      </c>
      <c r="D1556" t="s">
        <v>11876</v>
      </c>
      <c r="E1556" t="s">
        <v>11875</v>
      </c>
      <c r="F1556">
        <v>6101</v>
      </c>
      <c r="G1556" t="s">
        <v>11874</v>
      </c>
      <c r="H1556" t="s">
        <v>15231</v>
      </c>
      <c r="I1556">
        <v>46982</v>
      </c>
    </row>
    <row r="1557" spans="1:9" x14ac:dyDescent="0.25">
      <c r="A1557" t="s">
        <v>11879</v>
      </c>
      <c r="B1557" t="s">
        <v>11880</v>
      </c>
      <c r="C1557" t="s">
        <v>11882</v>
      </c>
      <c r="D1557" t="s">
        <v>11882</v>
      </c>
      <c r="E1557" t="s">
        <v>11881</v>
      </c>
      <c r="F1557">
        <v>2050</v>
      </c>
      <c r="G1557" t="s">
        <v>7515</v>
      </c>
      <c r="H1557" t="s">
        <v>1215</v>
      </c>
      <c r="I1557">
        <v>53268</v>
      </c>
    </row>
    <row r="1558" spans="1:9" x14ac:dyDescent="0.25">
      <c r="A1558" t="s">
        <v>11885</v>
      </c>
      <c r="B1558" t="s">
        <v>11886</v>
      </c>
      <c r="C1558" t="s">
        <v>11888</v>
      </c>
      <c r="D1558" t="s">
        <v>11888</v>
      </c>
      <c r="E1558" t="s">
        <v>11887</v>
      </c>
      <c r="F1558">
        <v>8558</v>
      </c>
      <c r="G1558" t="s">
        <v>2647</v>
      </c>
      <c r="H1558" t="s">
        <v>1215</v>
      </c>
      <c r="I1558">
        <v>52144</v>
      </c>
    </row>
    <row r="1559" spans="1:9" x14ac:dyDescent="0.25">
      <c r="A1559" t="s">
        <v>11891</v>
      </c>
      <c r="B1559" t="s">
        <v>11892</v>
      </c>
      <c r="C1559" t="s">
        <v>11894</v>
      </c>
      <c r="D1559" t="s">
        <v>11894</v>
      </c>
      <c r="E1559" t="s">
        <v>11893</v>
      </c>
      <c r="F1559">
        <v>8583</v>
      </c>
      <c r="G1559" t="s">
        <v>277</v>
      </c>
      <c r="H1559" t="s">
        <v>279</v>
      </c>
      <c r="I1559">
        <v>54267</v>
      </c>
    </row>
    <row r="1560" spans="1:9" x14ac:dyDescent="0.25">
      <c r="A1560" t="s">
        <v>11897</v>
      </c>
      <c r="B1560" t="s">
        <v>11898</v>
      </c>
      <c r="C1560" t="s">
        <v>11900</v>
      </c>
      <c r="D1560" t="s">
        <v>11900</v>
      </c>
      <c r="E1560">
        <v>4241268891</v>
      </c>
      <c r="F1560">
        <v>8689</v>
      </c>
      <c r="G1560" t="s">
        <v>6733</v>
      </c>
      <c r="H1560" t="s">
        <v>85</v>
      </c>
      <c r="I1560">
        <v>52978</v>
      </c>
    </row>
    <row r="1561" spans="1:9" x14ac:dyDescent="0.25">
      <c r="A1561" t="s">
        <v>11903</v>
      </c>
      <c r="B1561" t="s">
        <v>11904</v>
      </c>
      <c r="C1561" t="s">
        <v>11906</v>
      </c>
      <c r="D1561" t="s">
        <v>11906</v>
      </c>
      <c r="E1561">
        <v>4228011323</v>
      </c>
      <c r="F1561">
        <v>8566</v>
      </c>
      <c r="G1561" t="s">
        <v>81</v>
      </c>
      <c r="H1561" t="s">
        <v>85</v>
      </c>
      <c r="I1561">
        <v>3368</v>
      </c>
    </row>
    <row r="1562" spans="1:9" x14ac:dyDescent="0.25">
      <c r="A1562" t="s">
        <v>11913</v>
      </c>
      <c r="B1562" t="s">
        <v>7948</v>
      </c>
      <c r="C1562" t="s">
        <v>11911</v>
      </c>
      <c r="D1562" t="s">
        <v>11911</v>
      </c>
      <c r="E1562" t="s">
        <v>11861</v>
      </c>
      <c r="F1562">
        <v>8515</v>
      </c>
      <c r="G1562" t="s">
        <v>255</v>
      </c>
      <c r="H1562" t="s">
        <v>15249</v>
      </c>
      <c r="I1562">
        <v>36030</v>
      </c>
    </row>
    <row r="1563" spans="1:9" x14ac:dyDescent="0.25">
      <c r="A1563" t="s">
        <v>11916</v>
      </c>
      <c r="B1563" t="s">
        <v>11917</v>
      </c>
      <c r="C1563" t="s">
        <v>11919</v>
      </c>
      <c r="D1563" t="s">
        <v>11919</v>
      </c>
      <c r="E1563" t="s">
        <v>11918</v>
      </c>
      <c r="F1563">
        <v>8558</v>
      </c>
      <c r="G1563" t="s">
        <v>2647</v>
      </c>
      <c r="H1563" t="s">
        <v>1215</v>
      </c>
      <c r="I1563">
        <v>48159</v>
      </c>
    </row>
    <row r="1564" spans="1:9" x14ac:dyDescent="0.25">
      <c r="A1564" t="s">
        <v>11922</v>
      </c>
      <c r="B1564" t="s">
        <v>11923</v>
      </c>
      <c r="C1564" t="s">
        <v>11925</v>
      </c>
      <c r="D1564" t="s">
        <v>11925</v>
      </c>
      <c r="E1564" t="s">
        <v>11924</v>
      </c>
      <c r="F1564">
        <v>8558</v>
      </c>
      <c r="G1564" t="s">
        <v>2647</v>
      </c>
      <c r="H1564" t="s">
        <v>1215</v>
      </c>
      <c r="I1564">
        <v>53116</v>
      </c>
    </row>
    <row r="1565" spans="1:9" x14ac:dyDescent="0.25">
      <c r="A1565" t="s">
        <v>11928</v>
      </c>
      <c r="B1565" t="s">
        <v>11929</v>
      </c>
      <c r="C1565" t="s">
        <v>11931</v>
      </c>
      <c r="D1565" t="s">
        <v>11931</v>
      </c>
      <c r="E1565" t="s">
        <v>11930</v>
      </c>
      <c r="F1565">
        <v>8649</v>
      </c>
      <c r="G1565" t="s">
        <v>6285</v>
      </c>
      <c r="H1565" t="s">
        <v>1215</v>
      </c>
      <c r="I1565">
        <v>52186</v>
      </c>
    </row>
    <row r="1566" spans="1:9" x14ac:dyDescent="0.25">
      <c r="A1566" t="s">
        <v>11934</v>
      </c>
      <c r="B1566" t="s">
        <v>11935</v>
      </c>
      <c r="C1566" t="s">
        <v>11937</v>
      </c>
      <c r="D1566" t="s">
        <v>11937</v>
      </c>
      <c r="E1566" t="s">
        <v>11936</v>
      </c>
      <c r="F1566">
        <v>8558</v>
      </c>
      <c r="G1566" t="s">
        <v>2647</v>
      </c>
      <c r="H1566" t="s">
        <v>1215</v>
      </c>
      <c r="I1566">
        <v>50727</v>
      </c>
    </row>
    <row r="1567" spans="1:9" x14ac:dyDescent="0.25">
      <c r="A1567" t="s">
        <v>11940</v>
      </c>
      <c r="B1567" t="s">
        <v>11941</v>
      </c>
      <c r="C1567" t="s">
        <v>11944</v>
      </c>
      <c r="D1567" t="s">
        <v>11944</v>
      </c>
      <c r="E1567" t="s">
        <v>11943</v>
      </c>
      <c r="F1567">
        <v>8566</v>
      </c>
      <c r="G1567" t="s">
        <v>11942</v>
      </c>
      <c r="H1567" t="s">
        <v>85</v>
      </c>
      <c r="I1567">
        <v>2691</v>
      </c>
    </row>
    <row r="1568" spans="1:9" x14ac:dyDescent="0.25">
      <c r="A1568" t="s">
        <v>11946</v>
      </c>
      <c r="B1568" t="s">
        <v>11947</v>
      </c>
      <c r="C1568" t="s">
        <v>11949</v>
      </c>
      <c r="D1568" t="s">
        <v>11949</v>
      </c>
      <c r="E1568" t="s">
        <v>11948</v>
      </c>
      <c r="F1568">
        <v>8515</v>
      </c>
      <c r="G1568" t="s">
        <v>255</v>
      </c>
      <c r="H1568" t="s">
        <v>15249</v>
      </c>
      <c r="I1568">
        <v>31916</v>
      </c>
    </row>
    <row r="1569" spans="1:9" x14ac:dyDescent="0.25">
      <c r="A1569" t="s">
        <v>11952</v>
      </c>
      <c r="B1569" t="s">
        <v>11953</v>
      </c>
      <c r="C1569" t="s">
        <v>11955</v>
      </c>
      <c r="F1569">
        <v>8660</v>
      </c>
      <c r="G1569" t="s">
        <v>11954</v>
      </c>
      <c r="H1569" t="s">
        <v>137</v>
      </c>
      <c r="I1569">
        <v>40315</v>
      </c>
    </row>
    <row r="1570" spans="1:9" x14ac:dyDescent="0.25">
      <c r="A1570" t="s">
        <v>11958</v>
      </c>
      <c r="B1570" t="s">
        <v>11959</v>
      </c>
      <c r="C1570" t="s">
        <v>11960</v>
      </c>
      <c r="D1570" t="s">
        <v>11960</v>
      </c>
      <c r="F1570">
        <v>8515</v>
      </c>
      <c r="G1570" t="s">
        <v>255</v>
      </c>
      <c r="H1570" t="s">
        <v>15249</v>
      </c>
      <c r="I1570">
        <v>51667</v>
      </c>
    </row>
    <row r="1571" spans="1:9" x14ac:dyDescent="0.25">
      <c r="A1571" t="s">
        <v>11963</v>
      </c>
      <c r="B1571" t="s">
        <v>11964</v>
      </c>
      <c r="C1571" t="s">
        <v>11966</v>
      </c>
      <c r="D1571" t="s">
        <v>11966</v>
      </c>
      <c r="E1571" t="s">
        <v>11965</v>
      </c>
      <c r="F1571">
        <v>8596</v>
      </c>
      <c r="G1571" t="s">
        <v>1425</v>
      </c>
      <c r="H1571" t="s">
        <v>85</v>
      </c>
      <c r="I1571">
        <v>43597</v>
      </c>
    </row>
    <row r="1572" spans="1:9" x14ac:dyDescent="0.25">
      <c r="A1572" t="s">
        <v>11969</v>
      </c>
      <c r="B1572" t="s">
        <v>11970</v>
      </c>
      <c r="C1572" t="s">
        <v>11972</v>
      </c>
      <c r="D1572" t="s">
        <v>11972</v>
      </c>
      <c r="E1572" t="s">
        <v>11971</v>
      </c>
      <c r="F1572">
        <v>8524</v>
      </c>
      <c r="G1572" t="s">
        <v>402</v>
      </c>
      <c r="H1572" t="s">
        <v>15226</v>
      </c>
      <c r="I1572">
        <v>6573</v>
      </c>
    </row>
    <row r="1573" spans="1:9" x14ac:dyDescent="0.25">
      <c r="A1573" t="s">
        <v>11980</v>
      </c>
      <c r="B1573" t="s">
        <v>11981</v>
      </c>
      <c r="F1573">
        <v>6201</v>
      </c>
      <c r="G1573" t="s">
        <v>41</v>
      </c>
      <c r="H1573" t="s">
        <v>15220</v>
      </c>
    </row>
    <row r="1574" spans="1:9" x14ac:dyDescent="0.25">
      <c r="A1574" t="s">
        <v>11983</v>
      </c>
      <c r="B1574" t="s">
        <v>11984</v>
      </c>
      <c r="C1574" t="s">
        <v>11986</v>
      </c>
      <c r="D1574" t="s">
        <v>11986</v>
      </c>
      <c r="E1574">
        <v>4126107609</v>
      </c>
      <c r="F1574">
        <v>8515</v>
      </c>
      <c r="G1574" t="s">
        <v>255</v>
      </c>
      <c r="H1574" t="s">
        <v>15249</v>
      </c>
      <c r="I1574">
        <v>1021</v>
      </c>
    </row>
    <row r="1575" spans="1:9" x14ac:dyDescent="0.25">
      <c r="A1575" t="s">
        <v>11999</v>
      </c>
      <c r="B1575" t="s">
        <v>12000</v>
      </c>
      <c r="C1575" t="s">
        <v>12002</v>
      </c>
      <c r="D1575" t="s">
        <v>12002</v>
      </c>
      <c r="E1575" t="s">
        <v>12001</v>
      </c>
      <c r="F1575">
        <v>8515</v>
      </c>
      <c r="G1575" t="s">
        <v>1335</v>
      </c>
      <c r="H1575" t="s">
        <v>15249</v>
      </c>
      <c r="I1575">
        <v>52139</v>
      </c>
    </row>
    <row r="1576" spans="1:9" x14ac:dyDescent="0.25">
      <c r="A1576" t="s">
        <v>12005</v>
      </c>
      <c r="B1576" t="s">
        <v>12006</v>
      </c>
      <c r="C1576" t="s">
        <v>12008</v>
      </c>
      <c r="D1576" t="s">
        <v>12008</v>
      </c>
      <c r="E1576">
        <v>4148861545</v>
      </c>
      <c r="F1576">
        <v>8520</v>
      </c>
      <c r="G1576" t="s">
        <v>584</v>
      </c>
      <c r="H1576" t="s">
        <v>15226</v>
      </c>
      <c r="I1576">
        <v>53030</v>
      </c>
    </row>
    <row r="1577" spans="1:9" x14ac:dyDescent="0.25">
      <c r="A1577" t="s">
        <v>12011</v>
      </c>
      <c r="B1577" t="s">
        <v>12012</v>
      </c>
      <c r="C1577" t="s">
        <v>12015</v>
      </c>
      <c r="D1577" t="s">
        <v>12015</v>
      </c>
      <c r="E1577">
        <v>4125140578</v>
      </c>
      <c r="F1577">
        <v>8577</v>
      </c>
      <c r="G1577" t="s">
        <v>12013</v>
      </c>
      <c r="H1577" t="s">
        <v>15293</v>
      </c>
      <c r="I1577">
        <v>35431</v>
      </c>
    </row>
    <row r="1578" spans="1:9" x14ac:dyDescent="0.25">
      <c r="A1578" t="s">
        <v>12018</v>
      </c>
      <c r="B1578" t="s">
        <v>12019</v>
      </c>
      <c r="C1578" t="s">
        <v>12021</v>
      </c>
      <c r="D1578" t="s">
        <v>12021</v>
      </c>
      <c r="E1578" t="s">
        <v>12020</v>
      </c>
      <c r="F1578">
        <v>8515</v>
      </c>
      <c r="G1578" t="s">
        <v>252</v>
      </c>
      <c r="H1578" t="s">
        <v>15249</v>
      </c>
      <c r="I1578">
        <v>2149</v>
      </c>
    </row>
    <row r="1579" spans="1:9" x14ac:dyDescent="0.25">
      <c r="A1579" t="s">
        <v>12024</v>
      </c>
      <c r="B1579" t="s">
        <v>12025</v>
      </c>
      <c r="F1579">
        <v>6201</v>
      </c>
      <c r="G1579" t="s">
        <v>41</v>
      </c>
      <c r="H1579" t="s">
        <v>15220</v>
      </c>
    </row>
    <row r="1580" spans="1:9" x14ac:dyDescent="0.25">
      <c r="A1580" t="s">
        <v>12028</v>
      </c>
      <c r="B1580" t="s">
        <v>12029</v>
      </c>
      <c r="C1580" t="s">
        <v>12034</v>
      </c>
      <c r="D1580" t="s">
        <v>12034</v>
      </c>
      <c r="E1580">
        <v>4121606877</v>
      </c>
      <c r="F1580">
        <v>4101</v>
      </c>
      <c r="G1580" t="s">
        <v>12030</v>
      </c>
      <c r="H1580" t="s">
        <v>15293</v>
      </c>
      <c r="I1580">
        <v>54139</v>
      </c>
    </row>
    <row r="1581" spans="1:9" x14ac:dyDescent="0.25">
      <c r="A1581" t="s">
        <v>12042</v>
      </c>
      <c r="B1581" t="s">
        <v>12043</v>
      </c>
      <c r="C1581" t="s">
        <v>12045</v>
      </c>
      <c r="E1581">
        <v>4122842106</v>
      </c>
      <c r="F1581">
        <v>8515</v>
      </c>
      <c r="G1581" t="s">
        <v>255</v>
      </c>
      <c r="H1581" t="s">
        <v>15249</v>
      </c>
      <c r="I1581">
        <v>2935</v>
      </c>
    </row>
    <row r="1582" spans="1:9" x14ac:dyDescent="0.25">
      <c r="A1582" t="s">
        <v>12047</v>
      </c>
      <c r="B1582" t="s">
        <v>12048</v>
      </c>
      <c r="C1582" t="s">
        <v>12049</v>
      </c>
      <c r="F1582">
        <v>8545</v>
      </c>
      <c r="G1582" t="s">
        <v>324</v>
      </c>
      <c r="H1582" t="s">
        <v>15231</v>
      </c>
      <c r="I1582">
        <v>23622</v>
      </c>
    </row>
    <row r="1583" spans="1:9" x14ac:dyDescent="0.25">
      <c r="A1583" t="s">
        <v>12055</v>
      </c>
      <c r="B1583" t="s">
        <v>12056</v>
      </c>
      <c r="C1583" t="s">
        <v>12057</v>
      </c>
      <c r="F1583">
        <v>8508</v>
      </c>
      <c r="G1583" t="s">
        <v>3396</v>
      </c>
      <c r="H1583" t="s">
        <v>72</v>
      </c>
      <c r="I1583">
        <v>54281</v>
      </c>
    </row>
    <row r="1584" spans="1:9" x14ac:dyDescent="0.25">
      <c r="A1584" t="s">
        <v>12066</v>
      </c>
      <c r="B1584" t="s">
        <v>12067</v>
      </c>
      <c r="C1584" t="s">
        <v>12069</v>
      </c>
      <c r="E1584" t="s">
        <v>12068</v>
      </c>
      <c r="F1584">
        <v>8515</v>
      </c>
      <c r="G1584" t="s">
        <v>255</v>
      </c>
      <c r="H1584" t="s">
        <v>15249</v>
      </c>
      <c r="I1584">
        <v>53998</v>
      </c>
    </row>
    <row r="1585" spans="1:9" x14ac:dyDescent="0.25">
      <c r="A1585" t="s">
        <v>12071</v>
      </c>
      <c r="B1585" t="s">
        <v>12072</v>
      </c>
      <c r="C1585" t="s">
        <v>12074</v>
      </c>
      <c r="D1585" t="s">
        <v>12074</v>
      </c>
      <c r="E1585">
        <v>4145355069</v>
      </c>
      <c r="F1585">
        <v>8515</v>
      </c>
      <c r="G1585" t="s">
        <v>255</v>
      </c>
      <c r="H1585" t="s">
        <v>15249</v>
      </c>
      <c r="I1585">
        <v>27401</v>
      </c>
    </row>
    <row r="1586" spans="1:9" x14ac:dyDescent="0.25">
      <c r="A1586" t="s">
        <v>12077</v>
      </c>
      <c r="B1586" t="s">
        <v>12078</v>
      </c>
      <c r="C1586" t="s">
        <v>12080</v>
      </c>
      <c r="D1586" t="s">
        <v>12080</v>
      </c>
      <c r="E1586">
        <v>4241576125</v>
      </c>
      <c r="F1586">
        <v>8790</v>
      </c>
      <c r="G1586" t="s">
        <v>5009</v>
      </c>
      <c r="H1586" t="s">
        <v>137</v>
      </c>
      <c r="I1586">
        <v>41859</v>
      </c>
    </row>
    <row r="1587" spans="1:9" x14ac:dyDescent="0.25">
      <c r="A1587" t="s">
        <v>12083</v>
      </c>
      <c r="B1587" t="s">
        <v>12084</v>
      </c>
      <c r="C1587" t="s">
        <v>15677</v>
      </c>
      <c r="D1587" t="s">
        <v>15677</v>
      </c>
      <c r="E1587">
        <v>4166863555</v>
      </c>
      <c r="F1587">
        <v>8544</v>
      </c>
      <c r="G1587" t="s">
        <v>119</v>
      </c>
      <c r="H1587" t="s">
        <v>15231</v>
      </c>
      <c r="I1587">
        <v>33842</v>
      </c>
    </row>
    <row r="1588" spans="1:9" x14ac:dyDescent="0.25">
      <c r="A1588" t="s">
        <v>12089</v>
      </c>
      <c r="B1588" t="s">
        <v>12090</v>
      </c>
      <c r="C1588" t="s">
        <v>12091</v>
      </c>
      <c r="D1588" t="s">
        <v>15678</v>
      </c>
      <c r="F1588">
        <v>8545</v>
      </c>
      <c r="G1588" t="s">
        <v>324</v>
      </c>
      <c r="H1588" t="s">
        <v>15231</v>
      </c>
      <c r="I1588">
        <v>31891</v>
      </c>
    </row>
    <row r="1589" spans="1:9" x14ac:dyDescent="0.25">
      <c r="A1589" t="s">
        <v>12094</v>
      </c>
      <c r="B1589" t="s">
        <v>12095</v>
      </c>
      <c r="C1589" t="s">
        <v>12097</v>
      </c>
      <c r="D1589" t="s">
        <v>15679</v>
      </c>
      <c r="E1589" t="s">
        <v>12096</v>
      </c>
      <c r="F1589">
        <v>8548</v>
      </c>
      <c r="G1589" t="s">
        <v>4180</v>
      </c>
      <c r="H1589" t="s">
        <v>15231</v>
      </c>
      <c r="I1589">
        <v>25611</v>
      </c>
    </row>
    <row r="1590" spans="1:9" x14ac:dyDescent="0.25">
      <c r="A1590" t="s">
        <v>12100</v>
      </c>
      <c r="B1590" t="s">
        <v>12101</v>
      </c>
      <c r="C1590" t="s">
        <v>15680</v>
      </c>
      <c r="D1590" t="s">
        <v>15680</v>
      </c>
      <c r="E1590" t="s">
        <v>12102</v>
      </c>
      <c r="F1590">
        <v>8556</v>
      </c>
      <c r="G1590" t="s">
        <v>3622</v>
      </c>
      <c r="H1590" t="s">
        <v>15231</v>
      </c>
      <c r="I1590">
        <v>6690</v>
      </c>
    </row>
    <row r="1591" spans="1:9" x14ac:dyDescent="0.25">
      <c r="A1591" t="s">
        <v>12106</v>
      </c>
      <c r="B1591" t="s">
        <v>12107</v>
      </c>
      <c r="C1591" t="s">
        <v>12108</v>
      </c>
      <c r="D1591" t="s">
        <v>15681</v>
      </c>
      <c r="E1591" t="s">
        <v>12102</v>
      </c>
      <c r="F1591">
        <v>8556</v>
      </c>
      <c r="G1591" t="s">
        <v>3622</v>
      </c>
      <c r="H1591" t="s">
        <v>15231</v>
      </c>
      <c r="I1591">
        <v>6700</v>
      </c>
    </row>
    <row r="1592" spans="1:9" x14ac:dyDescent="0.25">
      <c r="A1592" t="s">
        <v>12116</v>
      </c>
      <c r="B1592" t="s">
        <v>12117</v>
      </c>
      <c r="C1592" t="s">
        <v>12120</v>
      </c>
      <c r="D1592" t="s">
        <v>15682</v>
      </c>
      <c r="E1592" t="s">
        <v>12119</v>
      </c>
      <c r="F1592">
        <v>8566</v>
      </c>
      <c r="G1592" t="s">
        <v>12118</v>
      </c>
      <c r="H1592" t="s">
        <v>85</v>
      </c>
      <c r="I1592">
        <v>38450</v>
      </c>
    </row>
    <row r="1593" spans="1:9" x14ac:dyDescent="0.25">
      <c r="A1593" t="s">
        <v>12123</v>
      </c>
      <c r="B1593" t="s">
        <v>12124</v>
      </c>
      <c r="C1593" t="s">
        <v>12126</v>
      </c>
      <c r="D1593" t="s">
        <v>12126</v>
      </c>
      <c r="E1593" t="s">
        <v>12125</v>
      </c>
      <c r="F1593">
        <v>8695</v>
      </c>
      <c r="G1593" t="s">
        <v>11694</v>
      </c>
      <c r="H1593" t="s">
        <v>2399</v>
      </c>
      <c r="I1593">
        <v>38515</v>
      </c>
    </row>
    <row r="1594" spans="1:9" x14ac:dyDescent="0.25">
      <c r="A1594" t="s">
        <v>12128</v>
      </c>
      <c r="B1594" t="s">
        <v>12129</v>
      </c>
      <c r="C1594" t="s">
        <v>12131</v>
      </c>
      <c r="D1594" t="s">
        <v>15683</v>
      </c>
      <c r="E1594">
        <v>4244103331</v>
      </c>
      <c r="F1594">
        <v>3357</v>
      </c>
      <c r="G1594" t="s">
        <v>7340</v>
      </c>
      <c r="H1594" t="s">
        <v>2399</v>
      </c>
      <c r="I1594">
        <v>5853</v>
      </c>
    </row>
    <row r="1595" spans="1:9" x14ac:dyDescent="0.25">
      <c r="A1595" t="s">
        <v>12134</v>
      </c>
      <c r="B1595" t="s">
        <v>12135</v>
      </c>
      <c r="C1595" t="s">
        <v>12137</v>
      </c>
      <c r="D1595" t="s">
        <v>12137</v>
      </c>
      <c r="E1595" t="s">
        <v>12136</v>
      </c>
      <c r="F1595">
        <v>8515</v>
      </c>
      <c r="G1595" t="s">
        <v>255</v>
      </c>
      <c r="H1595" t="s">
        <v>15249</v>
      </c>
      <c r="I1595">
        <v>46568</v>
      </c>
    </row>
    <row r="1596" spans="1:9" x14ac:dyDescent="0.25">
      <c r="A1596" t="s">
        <v>12139</v>
      </c>
      <c r="B1596" t="s">
        <v>12140</v>
      </c>
      <c r="C1596" t="s">
        <v>12142</v>
      </c>
      <c r="D1596" t="s">
        <v>15684</v>
      </c>
      <c r="E1596" t="s">
        <v>12141</v>
      </c>
      <c r="F1596">
        <v>8566</v>
      </c>
      <c r="G1596" t="s">
        <v>2831</v>
      </c>
      <c r="H1596" t="s">
        <v>85</v>
      </c>
      <c r="I1596">
        <v>2929</v>
      </c>
    </row>
    <row r="1597" spans="1:9" x14ac:dyDescent="0.25">
      <c r="A1597" t="s">
        <v>12145</v>
      </c>
      <c r="B1597" t="s">
        <v>12146</v>
      </c>
      <c r="C1597" t="s">
        <v>12148</v>
      </c>
      <c r="D1597" t="s">
        <v>12148</v>
      </c>
      <c r="E1597" t="s">
        <v>12147</v>
      </c>
      <c r="F1597">
        <v>8513</v>
      </c>
      <c r="G1597" t="s">
        <v>68</v>
      </c>
      <c r="H1597" t="s">
        <v>72</v>
      </c>
    </row>
    <row r="1598" spans="1:9" x14ac:dyDescent="0.25">
      <c r="A1598" t="s">
        <v>12152</v>
      </c>
      <c r="B1598" t="s">
        <v>12153</v>
      </c>
      <c r="C1598" t="s">
        <v>12158</v>
      </c>
      <c r="D1598" t="s">
        <v>15685</v>
      </c>
      <c r="E1598" t="s">
        <v>12155</v>
      </c>
      <c r="F1598">
        <v>8787</v>
      </c>
      <c r="G1598" t="s">
        <v>12154</v>
      </c>
      <c r="H1598" t="s">
        <v>15558</v>
      </c>
      <c r="I1598">
        <v>37506</v>
      </c>
    </row>
    <row r="1599" spans="1:9" x14ac:dyDescent="0.25">
      <c r="A1599" t="s">
        <v>12161</v>
      </c>
      <c r="B1599" t="s">
        <v>12162</v>
      </c>
      <c r="C1599" t="s">
        <v>12164</v>
      </c>
      <c r="D1599" t="s">
        <v>12164</v>
      </c>
      <c r="E1599" t="s">
        <v>12163</v>
      </c>
      <c r="F1599">
        <v>8540</v>
      </c>
      <c r="G1599" t="s">
        <v>15268</v>
      </c>
      <c r="H1599" t="s">
        <v>72</v>
      </c>
      <c r="I1599">
        <v>54283</v>
      </c>
    </row>
    <row r="1600" spans="1:9" x14ac:dyDescent="0.25">
      <c r="A1600" t="s">
        <v>12167</v>
      </c>
      <c r="B1600" t="s">
        <v>12168</v>
      </c>
      <c r="C1600" t="s">
        <v>12170</v>
      </c>
      <c r="D1600" t="s">
        <v>12170</v>
      </c>
      <c r="E1600" t="s">
        <v>12169</v>
      </c>
      <c r="F1600">
        <v>8602</v>
      </c>
      <c r="G1600" t="s">
        <v>391</v>
      </c>
      <c r="H1600" t="s">
        <v>15220</v>
      </c>
      <c r="I1600">
        <v>53154</v>
      </c>
    </row>
    <row r="1601" spans="1:9" x14ac:dyDescent="0.25">
      <c r="A1601" t="s">
        <v>12173</v>
      </c>
      <c r="B1601" t="s">
        <v>12174</v>
      </c>
      <c r="C1601" t="s">
        <v>12176</v>
      </c>
      <c r="D1601" t="s">
        <v>12176</v>
      </c>
      <c r="E1601" t="s">
        <v>12175</v>
      </c>
      <c r="F1601">
        <v>8515</v>
      </c>
      <c r="G1601" t="s">
        <v>1335</v>
      </c>
      <c r="H1601" t="s">
        <v>15249</v>
      </c>
      <c r="I1601">
        <v>8666</v>
      </c>
    </row>
    <row r="1602" spans="1:9" x14ac:dyDescent="0.25">
      <c r="A1602" t="s">
        <v>12178</v>
      </c>
      <c r="B1602" t="s">
        <v>12180</v>
      </c>
      <c r="C1602" t="s">
        <v>12182</v>
      </c>
      <c r="D1602" t="s">
        <v>12182</v>
      </c>
      <c r="E1602" t="s">
        <v>12181</v>
      </c>
      <c r="F1602">
        <v>8662</v>
      </c>
      <c r="G1602" t="s">
        <v>5578</v>
      </c>
      <c r="H1602" t="s">
        <v>137</v>
      </c>
      <c r="I1602">
        <v>6231</v>
      </c>
    </row>
    <row r="1603" spans="1:9" x14ac:dyDescent="0.25">
      <c r="A1603" t="s">
        <v>12184</v>
      </c>
      <c r="B1603" t="s">
        <v>12185</v>
      </c>
      <c r="C1603" t="s">
        <v>12187</v>
      </c>
      <c r="D1603" t="s">
        <v>12187</v>
      </c>
      <c r="E1603" t="s">
        <v>12186</v>
      </c>
      <c r="F1603">
        <v>8781</v>
      </c>
      <c r="G1603" t="s">
        <v>10761</v>
      </c>
      <c r="H1603" t="s">
        <v>15534</v>
      </c>
      <c r="I1603">
        <v>51314</v>
      </c>
    </row>
    <row r="1604" spans="1:9" x14ac:dyDescent="0.25">
      <c r="A1604" t="s">
        <v>12190</v>
      </c>
      <c r="B1604" t="s">
        <v>12191</v>
      </c>
      <c r="C1604" t="s">
        <v>12192</v>
      </c>
      <c r="D1604" t="s">
        <v>12192</v>
      </c>
      <c r="F1604">
        <v>8536</v>
      </c>
      <c r="G1604" t="s">
        <v>939</v>
      </c>
      <c r="H1604" t="s">
        <v>72</v>
      </c>
      <c r="I1604">
        <v>40674</v>
      </c>
    </row>
    <row r="1605" spans="1:9" x14ac:dyDescent="0.25">
      <c r="A1605" t="s">
        <v>12195</v>
      </c>
      <c r="B1605" t="s">
        <v>10221</v>
      </c>
      <c r="C1605" t="s">
        <v>15658</v>
      </c>
      <c r="D1605" t="s">
        <v>15686</v>
      </c>
      <c r="E1605" t="s">
        <v>11344</v>
      </c>
      <c r="F1605">
        <v>8601</v>
      </c>
      <c r="G1605" t="s">
        <v>10141</v>
      </c>
      <c r="H1605" t="s">
        <v>2399</v>
      </c>
      <c r="I1605">
        <v>38022</v>
      </c>
    </row>
    <row r="1606" spans="1:9" x14ac:dyDescent="0.25">
      <c r="A1606" t="s">
        <v>12198</v>
      </c>
      <c r="B1606" t="s">
        <v>12199</v>
      </c>
      <c r="C1606" t="s">
        <v>12200</v>
      </c>
      <c r="D1606" t="s">
        <v>12200</v>
      </c>
      <c r="F1606">
        <v>8545</v>
      </c>
      <c r="G1606" t="s">
        <v>327</v>
      </c>
      <c r="H1606" t="s">
        <v>15231</v>
      </c>
      <c r="I1606">
        <v>43324</v>
      </c>
    </row>
    <row r="1607" spans="1:9" x14ac:dyDescent="0.25">
      <c r="A1607" t="s">
        <v>12203</v>
      </c>
      <c r="B1607" t="s">
        <v>12204</v>
      </c>
      <c r="C1607" t="s">
        <v>15687</v>
      </c>
      <c r="D1607" t="s">
        <v>15687</v>
      </c>
      <c r="E1607" t="s">
        <v>12205</v>
      </c>
      <c r="F1607">
        <v>8601</v>
      </c>
      <c r="G1607" t="s">
        <v>10141</v>
      </c>
      <c r="H1607" t="s">
        <v>15534</v>
      </c>
      <c r="I1607">
        <v>46401</v>
      </c>
    </row>
    <row r="1608" spans="1:9" x14ac:dyDescent="0.25">
      <c r="A1608" t="s">
        <v>12209</v>
      </c>
      <c r="B1608" t="s">
        <v>12210</v>
      </c>
      <c r="C1608" t="s">
        <v>12212</v>
      </c>
      <c r="D1608" t="s">
        <v>12212</v>
      </c>
      <c r="E1608" t="s">
        <v>12211</v>
      </c>
      <c r="F1608">
        <v>8601</v>
      </c>
      <c r="G1608" t="s">
        <v>10141</v>
      </c>
      <c r="H1608" t="s">
        <v>15534</v>
      </c>
      <c r="I1608">
        <v>44618</v>
      </c>
    </row>
    <row r="1609" spans="1:9" x14ac:dyDescent="0.25">
      <c r="A1609" t="s">
        <v>12215</v>
      </c>
      <c r="B1609" t="s">
        <v>12216</v>
      </c>
      <c r="C1609" t="s">
        <v>12218</v>
      </c>
      <c r="D1609" t="s">
        <v>12218</v>
      </c>
      <c r="F1609">
        <v>8790</v>
      </c>
      <c r="G1609" t="s">
        <v>12217</v>
      </c>
      <c r="H1609" t="s">
        <v>137</v>
      </c>
      <c r="I1609">
        <v>8252</v>
      </c>
    </row>
    <row r="1610" spans="1:9" x14ac:dyDescent="0.25">
      <c r="A1610" t="s">
        <v>12220</v>
      </c>
      <c r="B1610" t="s">
        <v>12221</v>
      </c>
      <c r="F1610">
        <v>6201</v>
      </c>
      <c r="G1610" t="s">
        <v>41</v>
      </c>
      <c r="H1610" t="s">
        <v>15220</v>
      </c>
    </row>
    <row r="1611" spans="1:9" x14ac:dyDescent="0.25">
      <c r="A1611" t="s">
        <v>12223</v>
      </c>
      <c r="B1611" t="s">
        <v>12224</v>
      </c>
      <c r="C1611" t="s">
        <v>12226</v>
      </c>
      <c r="D1611" t="s">
        <v>12226</v>
      </c>
      <c r="E1611" t="s">
        <v>12225</v>
      </c>
      <c r="F1611">
        <v>8515</v>
      </c>
      <c r="G1611" t="s">
        <v>252</v>
      </c>
      <c r="H1611" t="s">
        <v>15249</v>
      </c>
      <c r="I1611">
        <v>2933</v>
      </c>
    </row>
    <row r="1612" spans="1:9" x14ac:dyDescent="0.25">
      <c r="A1612" t="s">
        <v>12229</v>
      </c>
      <c r="B1612" t="s">
        <v>12230</v>
      </c>
      <c r="C1612" t="s">
        <v>12232</v>
      </c>
      <c r="D1612" t="s">
        <v>12232</v>
      </c>
      <c r="E1612" t="s">
        <v>12231</v>
      </c>
      <c r="F1612">
        <v>3357</v>
      </c>
      <c r="G1612" t="s">
        <v>7340</v>
      </c>
      <c r="H1612" t="s">
        <v>2399</v>
      </c>
      <c r="I1612">
        <v>46178</v>
      </c>
    </row>
    <row r="1613" spans="1:9" x14ac:dyDescent="0.25">
      <c r="A1613" t="s">
        <v>12235</v>
      </c>
      <c r="B1613" t="s">
        <v>12237</v>
      </c>
      <c r="C1613" t="s">
        <v>12239</v>
      </c>
      <c r="D1613" t="s">
        <v>12239</v>
      </c>
      <c r="E1613" t="s">
        <v>12238</v>
      </c>
      <c r="F1613">
        <v>8524</v>
      </c>
      <c r="G1613" t="s">
        <v>402</v>
      </c>
      <c r="H1613" t="s">
        <v>15226</v>
      </c>
      <c r="I1613">
        <v>54325</v>
      </c>
    </row>
    <row r="1614" spans="1:9" x14ac:dyDescent="0.25">
      <c r="A1614" t="s">
        <v>12242</v>
      </c>
      <c r="B1614" t="s">
        <v>12243</v>
      </c>
      <c r="C1614" t="s">
        <v>12245</v>
      </c>
      <c r="D1614" t="s">
        <v>12245</v>
      </c>
      <c r="E1614" t="s">
        <v>12244</v>
      </c>
      <c r="F1614">
        <v>8524</v>
      </c>
      <c r="G1614" t="s">
        <v>404</v>
      </c>
      <c r="H1614" t="s">
        <v>15226</v>
      </c>
      <c r="I1614">
        <v>53757</v>
      </c>
    </row>
    <row r="1615" spans="1:9" x14ac:dyDescent="0.25">
      <c r="A1615" t="s">
        <v>12248</v>
      </c>
      <c r="B1615" t="s">
        <v>12249</v>
      </c>
      <c r="C1615" t="s">
        <v>12251</v>
      </c>
      <c r="D1615" t="s">
        <v>12251</v>
      </c>
      <c r="F1615">
        <v>8800</v>
      </c>
      <c r="G1615" t="s">
        <v>12250</v>
      </c>
      <c r="H1615" t="s">
        <v>1215</v>
      </c>
      <c r="I1615">
        <v>1533</v>
      </c>
    </row>
    <row r="1616" spans="1:9" x14ac:dyDescent="0.25">
      <c r="A1616" t="s">
        <v>12254</v>
      </c>
      <c r="B1616" t="s">
        <v>12255</v>
      </c>
      <c r="C1616" t="s">
        <v>12257</v>
      </c>
      <c r="D1616" t="s">
        <v>12257</v>
      </c>
      <c r="E1616" t="s">
        <v>12256</v>
      </c>
      <c r="F1616">
        <v>8642</v>
      </c>
      <c r="G1616" t="s">
        <v>15471</v>
      </c>
      <c r="H1616" t="s">
        <v>137</v>
      </c>
      <c r="I1616">
        <v>28296</v>
      </c>
    </row>
    <row r="1617" spans="1:9" x14ac:dyDescent="0.25">
      <c r="A1617" t="s">
        <v>12260</v>
      </c>
      <c r="B1617" t="s">
        <v>12261</v>
      </c>
      <c r="C1617" t="s">
        <v>12263</v>
      </c>
      <c r="D1617" t="s">
        <v>12263</v>
      </c>
      <c r="E1617" t="s">
        <v>12262</v>
      </c>
      <c r="F1617">
        <v>8540</v>
      </c>
      <c r="G1617" t="s">
        <v>1062</v>
      </c>
      <c r="H1617" t="s">
        <v>72</v>
      </c>
      <c r="I1617">
        <v>7874</v>
      </c>
    </row>
    <row r="1618" spans="1:9" x14ac:dyDescent="0.25">
      <c r="A1618" t="s">
        <v>12265</v>
      </c>
      <c r="B1618" t="s">
        <v>12266</v>
      </c>
      <c r="C1618" t="s">
        <v>12269</v>
      </c>
      <c r="D1618" t="s">
        <v>12269</v>
      </c>
      <c r="E1618" t="s">
        <v>12268</v>
      </c>
      <c r="F1618">
        <v>8701</v>
      </c>
      <c r="G1618" t="s">
        <v>12267</v>
      </c>
      <c r="H1618" t="s">
        <v>79</v>
      </c>
      <c r="I1618">
        <v>53800</v>
      </c>
    </row>
    <row r="1619" spans="1:9" x14ac:dyDescent="0.25">
      <c r="A1619" t="s">
        <v>12272</v>
      </c>
      <c r="B1619" t="s">
        <v>8421</v>
      </c>
      <c r="C1619" t="s">
        <v>12274</v>
      </c>
      <c r="D1619" t="s">
        <v>15688</v>
      </c>
      <c r="F1619">
        <v>8534</v>
      </c>
      <c r="G1619" t="s">
        <v>11583</v>
      </c>
      <c r="H1619" t="s">
        <v>72</v>
      </c>
      <c r="I1619">
        <v>52993</v>
      </c>
    </row>
    <row r="1620" spans="1:9" x14ac:dyDescent="0.25">
      <c r="A1620" t="s">
        <v>12277</v>
      </c>
      <c r="B1620" t="s">
        <v>12278</v>
      </c>
      <c r="C1620" t="s">
        <v>12280</v>
      </c>
      <c r="D1620" t="s">
        <v>12280</v>
      </c>
      <c r="E1620" t="s">
        <v>12279</v>
      </c>
      <c r="F1620">
        <v>8515</v>
      </c>
      <c r="G1620" t="s">
        <v>1335</v>
      </c>
      <c r="H1620" t="s">
        <v>15249</v>
      </c>
      <c r="I1620">
        <v>52280</v>
      </c>
    </row>
    <row r="1621" spans="1:9" x14ac:dyDescent="0.25">
      <c r="A1621" t="s">
        <v>12287</v>
      </c>
      <c r="B1621" t="s">
        <v>12288</v>
      </c>
      <c r="C1621" t="s">
        <v>12290</v>
      </c>
      <c r="D1621" t="s">
        <v>12290</v>
      </c>
      <c r="E1621">
        <v>4166302297</v>
      </c>
      <c r="F1621">
        <v>8515</v>
      </c>
      <c r="G1621" t="s">
        <v>1335</v>
      </c>
      <c r="H1621" t="s">
        <v>15249</v>
      </c>
      <c r="I1621">
        <v>2769</v>
      </c>
    </row>
    <row r="1622" spans="1:9" x14ac:dyDescent="0.25">
      <c r="A1622" t="s">
        <v>12296</v>
      </c>
      <c r="B1622" t="s">
        <v>9170</v>
      </c>
      <c r="C1622" t="s">
        <v>9172</v>
      </c>
      <c r="D1622" t="s">
        <v>15689</v>
      </c>
      <c r="F1622">
        <v>8726</v>
      </c>
      <c r="G1622" t="s">
        <v>12294</v>
      </c>
      <c r="H1622" t="s">
        <v>15453</v>
      </c>
      <c r="I1622">
        <v>41981</v>
      </c>
    </row>
    <row r="1623" spans="1:9" x14ac:dyDescent="0.25">
      <c r="A1623" t="s">
        <v>12299</v>
      </c>
      <c r="B1623" t="s">
        <v>4022</v>
      </c>
      <c r="C1623" t="s">
        <v>10951</v>
      </c>
      <c r="D1623" t="s">
        <v>15690</v>
      </c>
      <c r="E1623">
        <v>4148953914</v>
      </c>
      <c r="F1623">
        <v>8525</v>
      </c>
      <c r="G1623" t="s">
        <v>1581</v>
      </c>
      <c r="H1623" t="s">
        <v>15226</v>
      </c>
      <c r="I1623">
        <v>54349</v>
      </c>
    </row>
    <row r="1624" spans="1:9" x14ac:dyDescent="0.25">
      <c r="A1624" t="s">
        <v>12303</v>
      </c>
      <c r="B1624" t="s">
        <v>12304</v>
      </c>
      <c r="C1624" t="s">
        <v>12307</v>
      </c>
      <c r="D1624" t="s">
        <v>12307</v>
      </c>
      <c r="E1624" t="s">
        <v>12306</v>
      </c>
      <c r="F1624">
        <v>8686</v>
      </c>
      <c r="G1624" t="s">
        <v>12305</v>
      </c>
      <c r="H1624" t="s">
        <v>85</v>
      </c>
      <c r="I1624">
        <v>37119</v>
      </c>
    </row>
    <row r="1625" spans="1:9" x14ac:dyDescent="0.25">
      <c r="A1625" t="s">
        <v>12310</v>
      </c>
      <c r="B1625" t="s">
        <v>12311</v>
      </c>
      <c r="C1625" t="s">
        <v>12313</v>
      </c>
      <c r="D1625" t="s">
        <v>12313</v>
      </c>
      <c r="E1625" t="s">
        <v>12312</v>
      </c>
      <c r="F1625">
        <v>8515</v>
      </c>
      <c r="G1625" t="s">
        <v>252</v>
      </c>
      <c r="H1625" t="s">
        <v>15249</v>
      </c>
      <c r="I1625">
        <v>52478</v>
      </c>
    </row>
    <row r="1626" spans="1:9" x14ac:dyDescent="0.25">
      <c r="A1626" t="s">
        <v>15199</v>
      </c>
      <c r="B1626" t="s">
        <v>12317</v>
      </c>
      <c r="C1626" t="s">
        <v>12319</v>
      </c>
      <c r="D1626" t="s">
        <v>12319</v>
      </c>
      <c r="E1626" t="s">
        <v>12318</v>
      </c>
      <c r="F1626">
        <v>8592</v>
      </c>
      <c r="G1626" t="s">
        <v>139</v>
      </c>
      <c r="H1626" t="s">
        <v>139</v>
      </c>
      <c r="I1626">
        <v>7177</v>
      </c>
    </row>
    <row r="1627" spans="1:9" x14ac:dyDescent="0.25">
      <c r="A1627" t="s">
        <v>12321</v>
      </c>
      <c r="B1627" t="s">
        <v>4931</v>
      </c>
      <c r="C1627" t="s">
        <v>15691</v>
      </c>
      <c r="D1627" t="s">
        <v>15691</v>
      </c>
      <c r="E1627" t="s">
        <v>4939</v>
      </c>
      <c r="F1627">
        <v>8558</v>
      </c>
      <c r="G1627" t="s">
        <v>2647</v>
      </c>
      <c r="H1627" t="s">
        <v>1215</v>
      </c>
      <c r="I1627">
        <v>17176</v>
      </c>
    </row>
    <row r="1628" spans="1:9" x14ac:dyDescent="0.25">
      <c r="A1628" t="s">
        <v>12330</v>
      </c>
      <c r="B1628" t="s">
        <v>12331</v>
      </c>
      <c r="C1628" t="s">
        <v>12333</v>
      </c>
      <c r="D1628" t="s">
        <v>12333</v>
      </c>
      <c r="E1628" t="s">
        <v>12332</v>
      </c>
      <c r="F1628">
        <v>8556</v>
      </c>
      <c r="G1628" t="s">
        <v>3622</v>
      </c>
      <c r="H1628" t="s">
        <v>15231</v>
      </c>
      <c r="I1628">
        <v>19744</v>
      </c>
    </row>
    <row r="1629" spans="1:9" x14ac:dyDescent="0.25">
      <c r="A1629" t="s">
        <v>12336</v>
      </c>
      <c r="B1629" t="s">
        <v>12337</v>
      </c>
      <c r="C1629" t="s">
        <v>12339</v>
      </c>
      <c r="D1629" t="s">
        <v>12339</v>
      </c>
      <c r="E1629" t="s">
        <v>12338</v>
      </c>
      <c r="F1629">
        <v>8601</v>
      </c>
      <c r="G1629" t="s">
        <v>10141</v>
      </c>
      <c r="H1629" t="s">
        <v>15534</v>
      </c>
      <c r="I1629">
        <v>50152</v>
      </c>
    </row>
    <row r="1630" spans="1:9" x14ac:dyDescent="0.25">
      <c r="A1630" t="s">
        <v>12342</v>
      </c>
      <c r="B1630" t="s">
        <v>12343</v>
      </c>
      <c r="C1630" t="s">
        <v>12345</v>
      </c>
      <c r="D1630" t="s">
        <v>12345</v>
      </c>
      <c r="E1630">
        <v>4248612062</v>
      </c>
      <c r="F1630">
        <v>8513</v>
      </c>
      <c r="G1630" t="s">
        <v>65</v>
      </c>
      <c r="H1630" t="s">
        <v>72</v>
      </c>
      <c r="I1630">
        <v>34617</v>
      </c>
    </row>
    <row r="1631" spans="1:9" x14ac:dyDescent="0.25">
      <c r="A1631" t="s">
        <v>12348</v>
      </c>
      <c r="B1631" t="s">
        <v>12350</v>
      </c>
      <c r="C1631" t="s">
        <v>12352</v>
      </c>
      <c r="D1631" t="s">
        <v>12352</v>
      </c>
      <c r="E1631" t="s">
        <v>12351</v>
      </c>
      <c r="F1631">
        <v>8515</v>
      </c>
      <c r="G1631" t="s">
        <v>252</v>
      </c>
      <c r="H1631" t="s">
        <v>15249</v>
      </c>
    </row>
    <row r="1632" spans="1:9" x14ac:dyDescent="0.25">
      <c r="A1632" t="s">
        <v>12355</v>
      </c>
      <c r="B1632" t="s">
        <v>12357</v>
      </c>
      <c r="C1632" t="s">
        <v>12359</v>
      </c>
      <c r="D1632" t="s">
        <v>12359</v>
      </c>
      <c r="E1632" t="s">
        <v>12358</v>
      </c>
      <c r="F1632">
        <v>8601</v>
      </c>
      <c r="G1632" t="s">
        <v>10141</v>
      </c>
      <c r="H1632" t="s">
        <v>15534</v>
      </c>
      <c r="I1632">
        <v>37475</v>
      </c>
    </row>
    <row r="1633" spans="1:9" x14ac:dyDescent="0.25">
      <c r="A1633" t="s">
        <v>12362</v>
      </c>
      <c r="B1633" t="s">
        <v>12363</v>
      </c>
      <c r="C1633" t="s">
        <v>12365</v>
      </c>
      <c r="D1633" t="s">
        <v>12365</v>
      </c>
      <c r="E1633" t="s">
        <v>12364</v>
      </c>
      <c r="F1633">
        <v>8515</v>
      </c>
      <c r="G1633" t="s">
        <v>1335</v>
      </c>
      <c r="H1633" t="s">
        <v>15249</v>
      </c>
      <c r="I1633">
        <v>5399</v>
      </c>
    </row>
    <row r="1634" spans="1:9" x14ac:dyDescent="0.25">
      <c r="A1634" t="s">
        <v>15200</v>
      </c>
      <c r="B1634" t="s">
        <v>1131</v>
      </c>
      <c r="C1634" t="s">
        <v>12369</v>
      </c>
      <c r="D1634" t="s">
        <v>15557</v>
      </c>
      <c r="F1634">
        <v>8533</v>
      </c>
      <c r="G1634" t="s">
        <v>300</v>
      </c>
      <c r="H1634" t="s">
        <v>72</v>
      </c>
      <c r="I1634">
        <v>49723</v>
      </c>
    </row>
    <row r="1635" spans="1:9" x14ac:dyDescent="0.25">
      <c r="A1635" t="s">
        <v>15201</v>
      </c>
      <c r="B1635" t="s">
        <v>12373</v>
      </c>
      <c r="C1635" t="s">
        <v>12375</v>
      </c>
      <c r="D1635" t="s">
        <v>12375</v>
      </c>
      <c r="E1635" t="s">
        <v>12374</v>
      </c>
      <c r="F1635">
        <v>8691</v>
      </c>
      <c r="G1635" t="s">
        <v>7147</v>
      </c>
      <c r="H1635" t="s">
        <v>79</v>
      </c>
      <c r="I1635">
        <v>27105</v>
      </c>
    </row>
    <row r="1636" spans="1:9" x14ac:dyDescent="0.25">
      <c r="A1636" t="s">
        <v>15202</v>
      </c>
      <c r="B1636" t="s">
        <v>12379</v>
      </c>
      <c r="C1636" t="s">
        <v>12382</v>
      </c>
      <c r="D1636" t="s">
        <v>12382</v>
      </c>
      <c r="E1636" t="s">
        <v>12381</v>
      </c>
      <c r="F1636">
        <v>8691</v>
      </c>
      <c r="G1636" t="s">
        <v>12380</v>
      </c>
      <c r="H1636" t="s">
        <v>79</v>
      </c>
      <c r="I1636">
        <v>22787</v>
      </c>
    </row>
    <row r="1637" spans="1:9" x14ac:dyDescent="0.25">
      <c r="A1637" t="s">
        <v>12384</v>
      </c>
      <c r="B1637" t="s">
        <v>12385</v>
      </c>
      <c r="C1637" t="s">
        <v>12387</v>
      </c>
      <c r="D1637" t="s">
        <v>12387</v>
      </c>
      <c r="E1637" t="s">
        <v>12386</v>
      </c>
      <c r="F1637">
        <v>8513</v>
      </c>
      <c r="G1637" t="s">
        <v>65</v>
      </c>
      <c r="H1637" t="s">
        <v>72</v>
      </c>
      <c r="I1637">
        <v>4653</v>
      </c>
    </row>
    <row r="1638" spans="1:9" x14ac:dyDescent="0.25">
      <c r="A1638" t="s">
        <v>12390</v>
      </c>
      <c r="B1638" t="s">
        <v>12391</v>
      </c>
      <c r="C1638" t="s">
        <v>12396</v>
      </c>
      <c r="D1638" t="s">
        <v>12396</v>
      </c>
      <c r="E1638" t="s">
        <v>12393</v>
      </c>
      <c r="F1638">
        <v>8789</v>
      </c>
      <c r="G1638" t="s">
        <v>12392</v>
      </c>
      <c r="H1638" t="s">
        <v>139</v>
      </c>
      <c r="I1638">
        <v>3516</v>
      </c>
    </row>
    <row r="1639" spans="1:9" x14ac:dyDescent="0.25">
      <c r="A1639" t="s">
        <v>12399</v>
      </c>
      <c r="B1639" t="s">
        <v>12400</v>
      </c>
      <c r="C1639" t="s">
        <v>12402</v>
      </c>
      <c r="D1639" t="s">
        <v>12402</v>
      </c>
      <c r="E1639" t="s">
        <v>12401</v>
      </c>
      <c r="F1639">
        <v>8524</v>
      </c>
      <c r="G1639" t="s">
        <v>402</v>
      </c>
      <c r="H1639" t="s">
        <v>15226</v>
      </c>
      <c r="I1639">
        <v>50452</v>
      </c>
    </row>
    <row r="1640" spans="1:9" x14ac:dyDescent="0.25">
      <c r="A1640" t="s">
        <v>12404</v>
      </c>
      <c r="B1640" t="s">
        <v>12405</v>
      </c>
      <c r="C1640" t="s">
        <v>12408</v>
      </c>
      <c r="D1640" t="s">
        <v>15692</v>
      </c>
      <c r="E1640" t="s">
        <v>12407</v>
      </c>
      <c r="F1640">
        <v>8624</v>
      </c>
      <c r="G1640" t="s">
        <v>12406</v>
      </c>
      <c r="H1640" t="s">
        <v>15558</v>
      </c>
      <c r="I1640">
        <v>34805</v>
      </c>
    </row>
    <row r="1641" spans="1:9" x14ac:dyDescent="0.25">
      <c r="A1641" t="s">
        <v>12412</v>
      </c>
      <c r="B1641" t="s">
        <v>12413</v>
      </c>
      <c r="C1641" t="s">
        <v>12415</v>
      </c>
      <c r="D1641" t="s">
        <v>12415</v>
      </c>
      <c r="E1641" t="s">
        <v>12414</v>
      </c>
      <c r="F1641">
        <v>8750</v>
      </c>
      <c r="G1641" t="s">
        <v>10105</v>
      </c>
      <c r="H1641" t="s">
        <v>15534</v>
      </c>
      <c r="I1641">
        <v>52531</v>
      </c>
    </row>
    <row r="1642" spans="1:9" x14ac:dyDescent="0.25">
      <c r="A1642" t="s">
        <v>12418</v>
      </c>
      <c r="B1642" t="s">
        <v>12419</v>
      </c>
      <c r="C1642" t="s">
        <v>12423</v>
      </c>
      <c r="D1642" t="s">
        <v>12423</v>
      </c>
      <c r="E1642" t="s">
        <v>12420</v>
      </c>
      <c r="F1642">
        <v>5148</v>
      </c>
      <c r="G1642" t="s">
        <v>2394</v>
      </c>
      <c r="H1642" t="s">
        <v>15558</v>
      </c>
      <c r="I1642">
        <v>40023</v>
      </c>
    </row>
    <row r="1643" spans="1:9" x14ac:dyDescent="0.25">
      <c r="A1643" t="s">
        <v>12426</v>
      </c>
      <c r="B1643" t="s">
        <v>12427</v>
      </c>
      <c r="C1643" t="s">
        <v>12429</v>
      </c>
      <c r="D1643" t="s">
        <v>12429</v>
      </c>
      <c r="E1643" t="s">
        <v>12428</v>
      </c>
      <c r="F1643">
        <v>8524</v>
      </c>
      <c r="G1643" t="s">
        <v>404</v>
      </c>
      <c r="H1643" t="s">
        <v>15226</v>
      </c>
      <c r="I1643">
        <v>53864</v>
      </c>
    </row>
    <row r="1644" spans="1:9" x14ac:dyDescent="0.25">
      <c r="A1644" t="s">
        <v>12432</v>
      </c>
      <c r="B1644" t="s">
        <v>12433</v>
      </c>
      <c r="C1644" t="s">
        <v>12435</v>
      </c>
      <c r="D1644" t="s">
        <v>12435</v>
      </c>
      <c r="E1644">
        <v>421898476</v>
      </c>
      <c r="F1644">
        <v>8515</v>
      </c>
      <c r="G1644" t="s">
        <v>1335</v>
      </c>
      <c r="H1644" t="s">
        <v>15249</v>
      </c>
      <c r="I1644">
        <v>40428</v>
      </c>
    </row>
    <row r="1645" spans="1:9" x14ac:dyDescent="0.25">
      <c r="A1645" t="s">
        <v>12443</v>
      </c>
      <c r="B1645" t="s">
        <v>12444</v>
      </c>
      <c r="C1645" t="s">
        <v>12446</v>
      </c>
      <c r="D1645" t="s">
        <v>12446</v>
      </c>
      <c r="E1645" t="s">
        <v>12445</v>
      </c>
      <c r="F1645">
        <v>8673</v>
      </c>
      <c r="G1645" t="s">
        <v>6419</v>
      </c>
      <c r="H1645" t="s">
        <v>85</v>
      </c>
      <c r="I1645">
        <v>15406</v>
      </c>
    </row>
    <row r="1646" spans="1:9" x14ac:dyDescent="0.25">
      <c r="A1646" t="s">
        <v>12448</v>
      </c>
      <c r="B1646" t="s">
        <v>2871</v>
      </c>
      <c r="C1646" t="s">
        <v>12450</v>
      </c>
      <c r="D1646" t="s">
        <v>15693</v>
      </c>
      <c r="E1646">
        <v>4249152410</v>
      </c>
      <c r="F1646">
        <v>8525</v>
      </c>
      <c r="G1646" t="s">
        <v>1581</v>
      </c>
      <c r="H1646" t="s">
        <v>15226</v>
      </c>
    </row>
    <row r="1647" spans="1:9" x14ac:dyDescent="0.25">
      <c r="A1647" t="s">
        <v>12452</v>
      </c>
      <c r="B1647" t="s">
        <v>12453</v>
      </c>
      <c r="C1647" t="s">
        <v>15694</v>
      </c>
      <c r="D1647" t="s">
        <v>15694</v>
      </c>
      <c r="E1647">
        <v>4242832292</v>
      </c>
      <c r="F1647">
        <v>8790</v>
      </c>
      <c r="G1647" t="s">
        <v>12217</v>
      </c>
      <c r="H1647" t="s">
        <v>137</v>
      </c>
      <c r="I1647">
        <v>42033</v>
      </c>
    </row>
    <row r="1648" spans="1:9" x14ac:dyDescent="0.25">
      <c r="A1648" t="s">
        <v>12458</v>
      </c>
      <c r="B1648" t="s">
        <v>12459</v>
      </c>
      <c r="C1648" t="s">
        <v>12461</v>
      </c>
      <c r="D1648" t="s">
        <v>12461</v>
      </c>
      <c r="E1648">
        <v>4143150773</v>
      </c>
      <c r="F1648">
        <v>8515</v>
      </c>
      <c r="G1648" t="s">
        <v>1335</v>
      </c>
      <c r="H1648" t="s">
        <v>15249</v>
      </c>
      <c r="I1648">
        <v>30613</v>
      </c>
    </row>
    <row r="1649" spans="1:9" x14ac:dyDescent="0.25">
      <c r="A1649" t="s">
        <v>12463</v>
      </c>
      <c r="B1649" t="s">
        <v>12464</v>
      </c>
      <c r="C1649" t="s">
        <v>12466</v>
      </c>
      <c r="D1649" t="s">
        <v>12466</v>
      </c>
      <c r="E1649" t="s">
        <v>12465</v>
      </c>
      <c r="F1649">
        <v>8515</v>
      </c>
      <c r="G1649" t="s">
        <v>1335</v>
      </c>
      <c r="H1649" t="s">
        <v>15249</v>
      </c>
      <c r="I1649">
        <v>3766</v>
      </c>
    </row>
    <row r="1650" spans="1:9" x14ac:dyDescent="0.25">
      <c r="A1650" t="s">
        <v>12469</v>
      </c>
      <c r="B1650" t="s">
        <v>12470</v>
      </c>
      <c r="C1650" t="s">
        <v>12472</v>
      </c>
      <c r="E1650">
        <v>4245024127</v>
      </c>
      <c r="F1650">
        <v>8510</v>
      </c>
      <c r="G1650" t="s">
        <v>2399</v>
      </c>
      <c r="H1650" t="s">
        <v>2399</v>
      </c>
      <c r="I1650">
        <v>46744</v>
      </c>
    </row>
    <row r="1651" spans="1:9" x14ac:dyDescent="0.25">
      <c r="A1651" t="s">
        <v>12475</v>
      </c>
      <c r="B1651" t="s">
        <v>9243</v>
      </c>
      <c r="C1651" t="s">
        <v>15543</v>
      </c>
      <c r="D1651" t="s">
        <v>15695</v>
      </c>
      <c r="F1651">
        <v>8533</v>
      </c>
      <c r="G1651" t="s">
        <v>2981</v>
      </c>
      <c r="H1651" t="s">
        <v>72</v>
      </c>
      <c r="I1651">
        <v>43452</v>
      </c>
    </row>
    <row r="1652" spans="1:9" x14ac:dyDescent="0.25">
      <c r="A1652" t="s">
        <v>12479</v>
      </c>
      <c r="B1652" t="s">
        <v>9243</v>
      </c>
      <c r="C1652" t="s">
        <v>15696</v>
      </c>
      <c r="D1652" t="s">
        <v>15697</v>
      </c>
      <c r="F1652">
        <v>8539</v>
      </c>
      <c r="G1652" t="s">
        <v>1095</v>
      </c>
      <c r="H1652" t="s">
        <v>72</v>
      </c>
      <c r="I1652">
        <v>42382</v>
      </c>
    </row>
    <row r="1653" spans="1:9" x14ac:dyDescent="0.25">
      <c r="A1653" t="s">
        <v>12483</v>
      </c>
      <c r="B1653" t="s">
        <v>9243</v>
      </c>
      <c r="C1653" t="s">
        <v>12484</v>
      </c>
      <c r="D1653" t="s">
        <v>15698</v>
      </c>
      <c r="F1653">
        <v>8540</v>
      </c>
      <c r="G1653" t="s">
        <v>15268</v>
      </c>
      <c r="H1653" t="s">
        <v>72</v>
      </c>
      <c r="I1653">
        <v>43936</v>
      </c>
    </row>
    <row r="1654" spans="1:9" x14ac:dyDescent="0.25">
      <c r="A1654" t="s">
        <v>12487</v>
      </c>
      <c r="B1654" t="s">
        <v>9243</v>
      </c>
      <c r="C1654" t="s">
        <v>12484</v>
      </c>
      <c r="D1654" t="s">
        <v>15699</v>
      </c>
      <c r="F1654">
        <v>8539</v>
      </c>
      <c r="G1654" t="s">
        <v>1039</v>
      </c>
      <c r="H1654" t="s">
        <v>72</v>
      </c>
      <c r="I1654">
        <v>34535</v>
      </c>
    </row>
    <row r="1655" spans="1:9" x14ac:dyDescent="0.25">
      <c r="A1655" t="s">
        <v>12490</v>
      </c>
      <c r="B1655" t="s">
        <v>9243</v>
      </c>
      <c r="C1655" t="s">
        <v>12484</v>
      </c>
      <c r="D1655" t="s">
        <v>15700</v>
      </c>
      <c r="F1655">
        <v>8513</v>
      </c>
      <c r="G1655" t="s">
        <v>15268</v>
      </c>
      <c r="H1655" t="s">
        <v>72</v>
      </c>
      <c r="I1655">
        <v>41350</v>
      </c>
    </row>
    <row r="1656" spans="1:9" x14ac:dyDescent="0.25">
      <c r="A1656" t="s">
        <v>12493</v>
      </c>
      <c r="B1656" t="s">
        <v>9243</v>
      </c>
      <c r="C1656" t="s">
        <v>12484</v>
      </c>
      <c r="D1656" t="s">
        <v>15701</v>
      </c>
      <c r="F1656">
        <v>8540</v>
      </c>
      <c r="G1656" t="s">
        <v>15268</v>
      </c>
      <c r="H1656" t="s">
        <v>72</v>
      </c>
      <c r="I1656">
        <v>42385</v>
      </c>
    </row>
    <row r="1657" spans="1:9" x14ac:dyDescent="0.25">
      <c r="A1657" t="s">
        <v>12496</v>
      </c>
      <c r="B1657" t="s">
        <v>9243</v>
      </c>
      <c r="C1657" t="s">
        <v>12484</v>
      </c>
      <c r="D1657" t="s">
        <v>15702</v>
      </c>
      <c r="F1657">
        <v>8531</v>
      </c>
      <c r="G1657" t="s">
        <v>87</v>
      </c>
      <c r="H1657" t="s">
        <v>15222</v>
      </c>
      <c r="I1657">
        <v>46796</v>
      </c>
    </row>
    <row r="1658" spans="1:9" x14ac:dyDescent="0.25">
      <c r="A1658" t="s">
        <v>12501</v>
      </c>
      <c r="B1658" t="s">
        <v>9243</v>
      </c>
      <c r="C1658" t="s">
        <v>12484</v>
      </c>
      <c r="D1658" t="s">
        <v>15703</v>
      </c>
      <c r="F1658">
        <v>8531</v>
      </c>
      <c r="G1658" t="s">
        <v>87</v>
      </c>
      <c r="H1658" t="s">
        <v>15222</v>
      </c>
      <c r="I1658">
        <v>53076</v>
      </c>
    </row>
    <row r="1659" spans="1:9" x14ac:dyDescent="0.25">
      <c r="A1659" t="s">
        <v>12504</v>
      </c>
      <c r="B1659" t="s">
        <v>12505</v>
      </c>
      <c r="C1659" t="s">
        <v>12507</v>
      </c>
      <c r="D1659" t="s">
        <v>12507</v>
      </c>
      <c r="E1659" t="s">
        <v>15704</v>
      </c>
      <c r="F1659">
        <v>8601</v>
      </c>
      <c r="G1659" t="s">
        <v>10141</v>
      </c>
      <c r="H1659" t="s">
        <v>15534</v>
      </c>
      <c r="I1659">
        <v>3601</v>
      </c>
    </row>
    <row r="1660" spans="1:9" x14ac:dyDescent="0.25">
      <c r="A1660" t="s">
        <v>12514</v>
      </c>
      <c r="B1660" t="s">
        <v>9243</v>
      </c>
      <c r="C1660" t="s">
        <v>12484</v>
      </c>
      <c r="D1660" t="s">
        <v>15705</v>
      </c>
      <c r="F1660">
        <v>8540</v>
      </c>
      <c r="G1660" t="s">
        <v>1062</v>
      </c>
      <c r="H1660" t="s">
        <v>72</v>
      </c>
      <c r="I1660">
        <v>41350</v>
      </c>
    </row>
    <row r="1661" spans="1:9" x14ac:dyDescent="0.25">
      <c r="A1661" t="s">
        <v>12517</v>
      </c>
      <c r="B1661" t="s">
        <v>9243</v>
      </c>
      <c r="C1661" t="s">
        <v>12484</v>
      </c>
      <c r="D1661" t="s">
        <v>15706</v>
      </c>
      <c r="F1661">
        <v>8533</v>
      </c>
      <c r="G1661" t="s">
        <v>10888</v>
      </c>
      <c r="H1661" t="s">
        <v>72</v>
      </c>
      <c r="I1661">
        <v>55107</v>
      </c>
    </row>
    <row r="1662" spans="1:9" x14ac:dyDescent="0.25">
      <c r="A1662" t="s">
        <v>12520</v>
      </c>
      <c r="B1662" t="s">
        <v>9243</v>
      </c>
      <c r="C1662" t="s">
        <v>12484</v>
      </c>
      <c r="D1662" t="s">
        <v>15707</v>
      </c>
      <c r="F1662">
        <v>8539</v>
      </c>
      <c r="G1662" t="s">
        <v>1095</v>
      </c>
      <c r="H1662" t="s">
        <v>72</v>
      </c>
      <c r="I1662">
        <v>42378</v>
      </c>
    </row>
    <row r="1663" spans="1:9" x14ac:dyDescent="0.25">
      <c r="A1663" t="s">
        <v>12523</v>
      </c>
      <c r="B1663" t="s">
        <v>9243</v>
      </c>
      <c r="C1663" t="s">
        <v>12484</v>
      </c>
      <c r="D1663" t="s">
        <v>15708</v>
      </c>
      <c r="F1663">
        <v>8534</v>
      </c>
      <c r="G1663" t="s">
        <v>443</v>
      </c>
      <c r="H1663" t="s">
        <v>72</v>
      </c>
      <c r="I1663">
        <v>45647</v>
      </c>
    </row>
    <row r="1664" spans="1:9" x14ac:dyDescent="0.25">
      <c r="A1664" t="s">
        <v>12526</v>
      </c>
      <c r="B1664" t="s">
        <v>9243</v>
      </c>
      <c r="C1664" t="s">
        <v>12484</v>
      </c>
      <c r="D1664" t="s">
        <v>15709</v>
      </c>
      <c r="F1664">
        <v>8534</v>
      </c>
      <c r="G1664" t="s">
        <v>443</v>
      </c>
      <c r="H1664" t="s">
        <v>72</v>
      </c>
      <c r="I1664">
        <v>46282</v>
      </c>
    </row>
    <row r="1665" spans="1:9" x14ac:dyDescent="0.25">
      <c r="A1665" t="s">
        <v>12528</v>
      </c>
      <c r="B1665" t="s">
        <v>9243</v>
      </c>
      <c r="C1665" t="s">
        <v>12484</v>
      </c>
      <c r="D1665" t="s">
        <v>15710</v>
      </c>
      <c r="F1665">
        <v>8539</v>
      </c>
      <c r="G1665" t="s">
        <v>1095</v>
      </c>
      <c r="H1665" t="s">
        <v>72</v>
      </c>
      <c r="I1665">
        <v>42382</v>
      </c>
    </row>
    <row r="1666" spans="1:9" x14ac:dyDescent="0.25">
      <c r="A1666" t="s">
        <v>12531</v>
      </c>
      <c r="B1666" t="s">
        <v>9243</v>
      </c>
      <c r="C1666" t="s">
        <v>12484</v>
      </c>
      <c r="D1666" t="s">
        <v>15711</v>
      </c>
      <c r="F1666">
        <v>8638</v>
      </c>
      <c r="G1666" t="s">
        <v>15388</v>
      </c>
      <c r="H1666" t="s">
        <v>137</v>
      </c>
    </row>
    <row r="1667" spans="1:9" x14ac:dyDescent="0.25">
      <c r="A1667" t="s">
        <v>12534</v>
      </c>
      <c r="B1667" t="s">
        <v>12535</v>
      </c>
      <c r="C1667" t="s">
        <v>12537</v>
      </c>
      <c r="D1667" t="s">
        <v>15712</v>
      </c>
      <c r="E1667" t="s">
        <v>12536</v>
      </c>
      <c r="F1667">
        <v>8655</v>
      </c>
      <c r="G1667" t="s">
        <v>8479</v>
      </c>
      <c r="H1667" t="s">
        <v>137</v>
      </c>
      <c r="I1667">
        <v>53388</v>
      </c>
    </row>
    <row r="1668" spans="1:9" x14ac:dyDescent="0.25">
      <c r="A1668" t="s">
        <v>12540</v>
      </c>
      <c r="B1668" t="s">
        <v>12541</v>
      </c>
      <c r="C1668" t="s">
        <v>12544</v>
      </c>
      <c r="D1668" t="s">
        <v>12544</v>
      </c>
      <c r="E1668" t="s">
        <v>12543</v>
      </c>
      <c r="F1668">
        <v>8695</v>
      </c>
      <c r="G1668" t="s">
        <v>12542</v>
      </c>
      <c r="H1668" t="s">
        <v>2399</v>
      </c>
      <c r="I1668">
        <v>36804</v>
      </c>
    </row>
    <row r="1669" spans="1:9" x14ac:dyDescent="0.25">
      <c r="A1669" t="s">
        <v>12547</v>
      </c>
      <c r="B1669" t="s">
        <v>12548</v>
      </c>
      <c r="C1669" t="s">
        <v>12550</v>
      </c>
      <c r="D1669" t="s">
        <v>15713</v>
      </c>
      <c r="E1669" t="s">
        <v>12549</v>
      </c>
      <c r="F1669">
        <v>8515</v>
      </c>
      <c r="G1669" t="s">
        <v>1335</v>
      </c>
      <c r="H1669" t="s">
        <v>15249</v>
      </c>
      <c r="I1669">
        <v>54117</v>
      </c>
    </row>
    <row r="1670" spans="1:9" x14ac:dyDescent="0.25">
      <c r="A1670" t="s">
        <v>12552</v>
      </c>
      <c r="B1670" t="s">
        <v>12553</v>
      </c>
      <c r="C1670" t="s">
        <v>12555</v>
      </c>
      <c r="D1670" t="s">
        <v>12555</v>
      </c>
      <c r="E1670" t="s">
        <v>12554</v>
      </c>
      <c r="F1670">
        <v>5201</v>
      </c>
      <c r="G1670" t="s">
        <v>79</v>
      </c>
      <c r="H1670" t="s">
        <v>79</v>
      </c>
      <c r="I1670">
        <v>33140</v>
      </c>
    </row>
    <row r="1671" spans="1:9" x14ac:dyDescent="0.25">
      <c r="A1671" t="s">
        <v>12560</v>
      </c>
      <c r="B1671" t="s">
        <v>12561</v>
      </c>
      <c r="C1671" t="s">
        <v>12564</v>
      </c>
      <c r="D1671" t="s">
        <v>12564</v>
      </c>
      <c r="E1671" t="s">
        <v>12563</v>
      </c>
      <c r="F1671">
        <v>8671</v>
      </c>
      <c r="G1671" t="s">
        <v>12562</v>
      </c>
      <c r="H1671" t="s">
        <v>85</v>
      </c>
      <c r="I1671">
        <v>34152</v>
      </c>
    </row>
    <row r="1672" spans="1:9" x14ac:dyDescent="0.25">
      <c r="A1672" t="s">
        <v>12567</v>
      </c>
      <c r="B1672" t="s">
        <v>12568</v>
      </c>
      <c r="C1672" t="s">
        <v>12570</v>
      </c>
      <c r="D1672" t="s">
        <v>12570</v>
      </c>
      <c r="E1672" t="s">
        <v>12569</v>
      </c>
      <c r="F1672">
        <v>8592</v>
      </c>
      <c r="G1672" t="s">
        <v>139</v>
      </c>
      <c r="H1672" t="s">
        <v>139</v>
      </c>
      <c r="I1672">
        <v>31665</v>
      </c>
    </row>
    <row r="1673" spans="1:9" x14ac:dyDescent="0.25">
      <c r="A1673" t="s">
        <v>12573</v>
      </c>
      <c r="B1673" t="s">
        <v>12574</v>
      </c>
      <c r="C1673" t="s">
        <v>12576</v>
      </c>
      <c r="D1673" t="s">
        <v>12576</v>
      </c>
      <c r="E1673">
        <v>4129655114</v>
      </c>
      <c r="F1673">
        <v>8558</v>
      </c>
      <c r="G1673" t="s">
        <v>9937</v>
      </c>
      <c r="H1673" t="s">
        <v>1215</v>
      </c>
      <c r="I1673">
        <v>4763</v>
      </c>
    </row>
    <row r="1674" spans="1:9" x14ac:dyDescent="0.25">
      <c r="A1674" t="s">
        <v>12579</v>
      </c>
      <c r="B1674" t="s">
        <v>12580</v>
      </c>
      <c r="C1674" t="s">
        <v>12582</v>
      </c>
      <c r="D1674" t="s">
        <v>12582</v>
      </c>
      <c r="E1674" t="s">
        <v>12581</v>
      </c>
      <c r="F1674">
        <v>8592</v>
      </c>
      <c r="G1674" t="s">
        <v>139</v>
      </c>
      <c r="H1674" t="s">
        <v>139</v>
      </c>
      <c r="I1674">
        <v>17017</v>
      </c>
    </row>
    <row r="1675" spans="1:9" x14ac:dyDescent="0.25">
      <c r="A1675" t="s">
        <v>12585</v>
      </c>
      <c r="B1675" t="s">
        <v>12586</v>
      </c>
      <c r="C1675" t="s">
        <v>12589</v>
      </c>
      <c r="D1675" t="s">
        <v>12589</v>
      </c>
      <c r="E1675" t="s">
        <v>12588</v>
      </c>
      <c r="F1675">
        <v>8680</v>
      </c>
      <c r="G1675" t="s">
        <v>12587</v>
      </c>
      <c r="H1675" t="s">
        <v>85</v>
      </c>
      <c r="I1675">
        <v>50777</v>
      </c>
    </row>
    <row r="1676" spans="1:9" x14ac:dyDescent="0.25">
      <c r="A1676" t="s">
        <v>12598</v>
      </c>
      <c r="B1676" t="s">
        <v>12599</v>
      </c>
      <c r="C1676" t="s">
        <v>12601</v>
      </c>
      <c r="D1676" t="s">
        <v>12601</v>
      </c>
      <c r="E1676" t="s">
        <v>12600</v>
      </c>
      <c r="F1676">
        <v>8515</v>
      </c>
      <c r="G1676" t="s">
        <v>1335</v>
      </c>
      <c r="H1676" t="s">
        <v>15249</v>
      </c>
      <c r="I1676">
        <v>54739</v>
      </c>
    </row>
    <row r="1677" spans="1:9" x14ac:dyDescent="0.25">
      <c r="A1677" t="s">
        <v>12604</v>
      </c>
      <c r="B1677" t="s">
        <v>12605</v>
      </c>
      <c r="C1677" t="s">
        <v>12608</v>
      </c>
      <c r="D1677" t="s">
        <v>12608</v>
      </c>
      <c r="E1677" t="s">
        <v>12607</v>
      </c>
      <c r="F1677">
        <v>5219</v>
      </c>
      <c r="G1677" t="s">
        <v>12606</v>
      </c>
      <c r="H1677" t="s">
        <v>79</v>
      </c>
      <c r="I1677">
        <v>54399</v>
      </c>
    </row>
    <row r="1678" spans="1:9" x14ac:dyDescent="0.25">
      <c r="A1678" t="s">
        <v>12610</v>
      </c>
      <c r="B1678" t="s">
        <v>12611</v>
      </c>
      <c r="C1678" t="s">
        <v>12613</v>
      </c>
      <c r="D1678" t="s">
        <v>15714</v>
      </c>
      <c r="E1678">
        <v>4244252007</v>
      </c>
      <c r="F1678">
        <v>8558</v>
      </c>
      <c r="G1678" t="s">
        <v>9937</v>
      </c>
      <c r="H1678" t="s">
        <v>1215</v>
      </c>
      <c r="I1678">
        <v>46623</v>
      </c>
    </row>
    <row r="1679" spans="1:9" x14ac:dyDescent="0.25">
      <c r="A1679" t="s">
        <v>12616</v>
      </c>
      <c r="B1679" t="s">
        <v>12617</v>
      </c>
      <c r="C1679" t="s">
        <v>12619</v>
      </c>
      <c r="D1679" t="s">
        <v>12619</v>
      </c>
      <c r="E1679" t="s">
        <v>12618</v>
      </c>
      <c r="F1679">
        <v>8592</v>
      </c>
      <c r="G1679" t="s">
        <v>139</v>
      </c>
      <c r="H1679" t="s">
        <v>139</v>
      </c>
      <c r="I1679">
        <v>1554</v>
      </c>
    </row>
    <row r="1680" spans="1:9" x14ac:dyDescent="0.25">
      <c r="A1680" t="s">
        <v>12622</v>
      </c>
      <c r="B1680" t="s">
        <v>12623</v>
      </c>
      <c r="C1680" t="s">
        <v>12625</v>
      </c>
      <c r="D1680" t="s">
        <v>12625</v>
      </c>
      <c r="E1680" t="s">
        <v>12624</v>
      </c>
      <c r="F1680">
        <v>8515</v>
      </c>
      <c r="G1680" t="s">
        <v>1335</v>
      </c>
      <c r="H1680" t="s">
        <v>15249</v>
      </c>
      <c r="I1680">
        <v>50503</v>
      </c>
    </row>
    <row r="1681" spans="1:9" x14ac:dyDescent="0.25">
      <c r="A1681" t="s">
        <v>12628</v>
      </c>
      <c r="B1681" t="s">
        <v>12629</v>
      </c>
      <c r="C1681" t="s">
        <v>12631</v>
      </c>
      <c r="D1681" t="s">
        <v>12631</v>
      </c>
      <c r="E1681">
        <v>4144242415</v>
      </c>
      <c r="F1681">
        <v>8648</v>
      </c>
      <c r="G1681" t="s">
        <v>5202</v>
      </c>
      <c r="H1681" t="s">
        <v>4854</v>
      </c>
      <c r="I1681">
        <v>46944</v>
      </c>
    </row>
    <row r="1682" spans="1:9" x14ac:dyDescent="0.25">
      <c r="A1682" t="s">
        <v>12634</v>
      </c>
      <c r="B1682" t="s">
        <v>12635</v>
      </c>
      <c r="C1682" t="s">
        <v>12637</v>
      </c>
      <c r="D1682" t="s">
        <v>12637</v>
      </c>
      <c r="E1682">
        <v>4124500077</v>
      </c>
      <c r="F1682">
        <v>8772</v>
      </c>
      <c r="G1682" t="s">
        <v>11588</v>
      </c>
      <c r="H1682" t="s">
        <v>1215</v>
      </c>
      <c r="I1682">
        <v>53583</v>
      </c>
    </row>
    <row r="1683" spans="1:9" x14ac:dyDescent="0.25">
      <c r="A1683" t="s">
        <v>12640</v>
      </c>
      <c r="B1683" t="s">
        <v>12641</v>
      </c>
      <c r="C1683" t="s">
        <v>12643</v>
      </c>
      <c r="D1683" t="s">
        <v>15715</v>
      </c>
      <c r="E1683" t="s">
        <v>12642</v>
      </c>
      <c r="F1683">
        <v>8527</v>
      </c>
      <c r="G1683" t="s">
        <v>2002</v>
      </c>
      <c r="H1683" t="s">
        <v>106</v>
      </c>
      <c r="I1683">
        <v>54221</v>
      </c>
    </row>
    <row r="1684" spans="1:9" x14ac:dyDescent="0.25">
      <c r="A1684" t="s">
        <v>12646</v>
      </c>
      <c r="B1684" t="s">
        <v>12419</v>
      </c>
      <c r="C1684" t="s">
        <v>12648</v>
      </c>
      <c r="D1684" t="s">
        <v>15716</v>
      </c>
      <c r="E1684" t="s">
        <v>12647</v>
      </c>
      <c r="F1684">
        <v>5148</v>
      </c>
      <c r="G1684" t="s">
        <v>2394</v>
      </c>
      <c r="H1684" t="s">
        <v>15558</v>
      </c>
      <c r="I1684">
        <v>40023</v>
      </c>
    </row>
    <row r="1685" spans="1:9" x14ac:dyDescent="0.25">
      <c r="A1685" t="s">
        <v>12651</v>
      </c>
      <c r="B1685" t="s">
        <v>12652</v>
      </c>
      <c r="C1685" t="s">
        <v>12653</v>
      </c>
      <c r="D1685" t="s">
        <v>12423</v>
      </c>
      <c r="E1685" t="s">
        <v>12420</v>
      </c>
      <c r="F1685">
        <v>5148</v>
      </c>
      <c r="G1685" t="s">
        <v>2394</v>
      </c>
      <c r="H1685" t="s">
        <v>15558</v>
      </c>
      <c r="I1685">
        <v>51431</v>
      </c>
    </row>
    <row r="1686" spans="1:9" x14ac:dyDescent="0.25">
      <c r="A1686" t="s">
        <v>12656</v>
      </c>
      <c r="B1686" t="s">
        <v>12657</v>
      </c>
      <c r="C1686" t="s">
        <v>12659</v>
      </c>
      <c r="D1686" t="s">
        <v>12659</v>
      </c>
      <c r="E1686">
        <v>4122372550</v>
      </c>
      <c r="F1686">
        <v>8772</v>
      </c>
      <c r="G1686" t="s">
        <v>11588</v>
      </c>
      <c r="H1686" t="s">
        <v>1215</v>
      </c>
      <c r="I1686">
        <v>17074</v>
      </c>
    </row>
    <row r="1687" spans="1:9" x14ac:dyDescent="0.25">
      <c r="A1687" t="s">
        <v>12662</v>
      </c>
      <c r="B1687" t="s">
        <v>12663</v>
      </c>
      <c r="C1687" t="s">
        <v>12666</v>
      </c>
      <c r="D1687" t="s">
        <v>12666</v>
      </c>
      <c r="E1687" t="s">
        <v>12665</v>
      </c>
      <c r="F1687">
        <v>8772</v>
      </c>
      <c r="G1687" t="s">
        <v>12664</v>
      </c>
      <c r="H1687" t="s">
        <v>1215</v>
      </c>
      <c r="I1687">
        <v>4697</v>
      </c>
    </row>
    <row r="1688" spans="1:9" x14ac:dyDescent="0.25">
      <c r="A1688" t="s">
        <v>12674</v>
      </c>
      <c r="B1688" t="s">
        <v>12675</v>
      </c>
      <c r="C1688" t="s">
        <v>12677</v>
      </c>
      <c r="D1688" t="s">
        <v>12677</v>
      </c>
      <c r="E1688" t="s">
        <v>12676</v>
      </c>
      <c r="F1688">
        <v>8515</v>
      </c>
      <c r="G1688" t="s">
        <v>1335</v>
      </c>
      <c r="H1688" t="s">
        <v>15249</v>
      </c>
      <c r="I1688">
        <v>31923</v>
      </c>
    </row>
    <row r="1689" spans="1:9" x14ac:dyDescent="0.25">
      <c r="A1689" t="s">
        <v>12680</v>
      </c>
      <c r="B1689" t="s">
        <v>12681</v>
      </c>
      <c r="C1689" t="s">
        <v>12683</v>
      </c>
      <c r="D1689" t="s">
        <v>12683</v>
      </c>
      <c r="E1689" t="s">
        <v>12682</v>
      </c>
      <c r="F1689">
        <v>8790</v>
      </c>
      <c r="G1689" t="s">
        <v>11440</v>
      </c>
      <c r="H1689" t="s">
        <v>137</v>
      </c>
      <c r="I1689">
        <v>1484</v>
      </c>
    </row>
    <row r="1690" spans="1:9" x14ac:dyDescent="0.25">
      <c r="A1690" t="s">
        <v>12686</v>
      </c>
      <c r="B1690" t="s">
        <v>12687</v>
      </c>
      <c r="C1690" t="s">
        <v>12688</v>
      </c>
      <c r="D1690" t="s">
        <v>12688</v>
      </c>
      <c r="F1690">
        <v>8790</v>
      </c>
      <c r="G1690" t="s">
        <v>11440</v>
      </c>
      <c r="H1690" t="s">
        <v>137</v>
      </c>
      <c r="I1690">
        <v>26928</v>
      </c>
    </row>
    <row r="1691" spans="1:9" x14ac:dyDescent="0.25">
      <c r="A1691" t="s">
        <v>12696</v>
      </c>
      <c r="B1691" t="s">
        <v>12697</v>
      </c>
      <c r="C1691" t="s">
        <v>12699</v>
      </c>
      <c r="D1691" t="s">
        <v>12699</v>
      </c>
      <c r="E1691" t="s">
        <v>12698</v>
      </c>
      <c r="F1691">
        <v>8592</v>
      </c>
      <c r="G1691" t="s">
        <v>139</v>
      </c>
      <c r="H1691" t="s">
        <v>139</v>
      </c>
      <c r="I1691">
        <v>46577</v>
      </c>
    </row>
    <row r="1692" spans="1:9" x14ac:dyDescent="0.25">
      <c r="A1692" t="s">
        <v>12706</v>
      </c>
      <c r="B1692" t="s">
        <v>12707</v>
      </c>
      <c r="C1692" t="s">
        <v>12709</v>
      </c>
      <c r="D1692" t="s">
        <v>12709</v>
      </c>
      <c r="E1692" t="s">
        <v>12708</v>
      </c>
      <c r="F1692">
        <v>8587</v>
      </c>
      <c r="G1692" t="s">
        <v>6986</v>
      </c>
      <c r="H1692" t="s">
        <v>2399</v>
      </c>
      <c r="I1692">
        <v>54398</v>
      </c>
    </row>
    <row r="1693" spans="1:9" x14ac:dyDescent="0.25">
      <c r="A1693" t="s">
        <v>12712</v>
      </c>
      <c r="B1693" t="s">
        <v>12713</v>
      </c>
      <c r="C1693" t="s">
        <v>12715</v>
      </c>
      <c r="D1693" t="s">
        <v>12715</v>
      </c>
      <c r="E1693" t="s">
        <v>12714</v>
      </c>
      <c r="F1693">
        <v>8531</v>
      </c>
      <c r="G1693" t="s">
        <v>90</v>
      </c>
      <c r="H1693" t="s">
        <v>15222</v>
      </c>
      <c r="I1693">
        <v>730</v>
      </c>
    </row>
    <row r="1694" spans="1:9" x14ac:dyDescent="0.25">
      <c r="A1694" t="s">
        <v>12718</v>
      </c>
      <c r="B1694" t="s">
        <v>12719</v>
      </c>
      <c r="C1694" t="s">
        <v>12722</v>
      </c>
      <c r="D1694" t="s">
        <v>12722</v>
      </c>
      <c r="E1694" t="s">
        <v>12721</v>
      </c>
      <c r="F1694">
        <v>8721</v>
      </c>
      <c r="G1694" t="s">
        <v>12720</v>
      </c>
      <c r="H1694" t="s">
        <v>15534</v>
      </c>
      <c r="I1694">
        <v>54409</v>
      </c>
    </row>
    <row r="1695" spans="1:9" x14ac:dyDescent="0.25">
      <c r="A1695" t="s">
        <v>12725</v>
      </c>
      <c r="B1695" t="s">
        <v>12726</v>
      </c>
      <c r="C1695" t="s">
        <v>12728</v>
      </c>
      <c r="D1695" t="s">
        <v>12728</v>
      </c>
      <c r="E1695">
        <v>4125855884</v>
      </c>
      <c r="F1695">
        <v>8611</v>
      </c>
      <c r="G1695" t="s">
        <v>9129</v>
      </c>
      <c r="H1695" t="s">
        <v>137</v>
      </c>
      <c r="I1695">
        <v>5499</v>
      </c>
    </row>
    <row r="1696" spans="1:9" x14ac:dyDescent="0.25">
      <c r="A1696" t="s">
        <v>12731</v>
      </c>
      <c r="B1696" t="s">
        <v>12732</v>
      </c>
      <c r="C1696" t="s">
        <v>12734</v>
      </c>
      <c r="D1696" t="s">
        <v>12734</v>
      </c>
      <c r="E1696">
        <v>4248770208</v>
      </c>
      <c r="F1696">
        <v>5201</v>
      </c>
      <c r="G1696" t="s">
        <v>79</v>
      </c>
      <c r="H1696" t="s">
        <v>79</v>
      </c>
      <c r="I1696">
        <v>52797</v>
      </c>
    </row>
    <row r="1697" spans="1:9" x14ac:dyDescent="0.25">
      <c r="A1697" t="s">
        <v>12737</v>
      </c>
      <c r="B1697" t="s">
        <v>12738</v>
      </c>
      <c r="C1697" t="s">
        <v>12740</v>
      </c>
      <c r="D1697" t="s">
        <v>12740</v>
      </c>
      <c r="E1697">
        <v>4145556025</v>
      </c>
      <c r="F1697">
        <v>8721</v>
      </c>
      <c r="G1697" t="s">
        <v>8790</v>
      </c>
      <c r="H1697" t="s">
        <v>15534</v>
      </c>
      <c r="I1697">
        <v>49083</v>
      </c>
    </row>
    <row r="1698" spans="1:9" x14ac:dyDescent="0.25">
      <c r="A1698" t="s">
        <v>12743</v>
      </c>
      <c r="B1698" t="s">
        <v>12744</v>
      </c>
      <c r="C1698" t="s">
        <v>12746</v>
      </c>
      <c r="D1698" t="s">
        <v>12746</v>
      </c>
      <c r="E1698">
        <v>4121622845</v>
      </c>
      <c r="F1698">
        <v>8592</v>
      </c>
      <c r="G1698" t="s">
        <v>139</v>
      </c>
      <c r="H1698" t="s">
        <v>139</v>
      </c>
      <c r="I1698">
        <v>49104</v>
      </c>
    </row>
    <row r="1699" spans="1:9" x14ac:dyDescent="0.25">
      <c r="A1699" t="s">
        <v>12749</v>
      </c>
      <c r="B1699" t="s">
        <v>12750</v>
      </c>
      <c r="C1699" t="s">
        <v>12752</v>
      </c>
      <c r="D1699" t="s">
        <v>12752</v>
      </c>
      <c r="E1699">
        <v>4241766189</v>
      </c>
      <c r="F1699">
        <v>8697</v>
      </c>
      <c r="G1699" t="s">
        <v>7706</v>
      </c>
      <c r="H1699" t="s">
        <v>15249</v>
      </c>
      <c r="I1699">
        <v>46633</v>
      </c>
    </row>
    <row r="1700" spans="1:9" x14ac:dyDescent="0.25">
      <c r="A1700" t="s">
        <v>15203</v>
      </c>
      <c r="B1700" t="s">
        <v>12761</v>
      </c>
      <c r="C1700" t="s">
        <v>12763</v>
      </c>
      <c r="D1700" t="s">
        <v>12763</v>
      </c>
      <c r="E1700">
        <v>4147377146</v>
      </c>
      <c r="F1700">
        <v>8592</v>
      </c>
      <c r="G1700" t="s">
        <v>139</v>
      </c>
      <c r="H1700" t="s">
        <v>139</v>
      </c>
      <c r="I1700">
        <v>23650</v>
      </c>
    </row>
    <row r="1701" spans="1:9" x14ac:dyDescent="0.25">
      <c r="A1701" t="s">
        <v>12766</v>
      </c>
      <c r="B1701" t="s">
        <v>12767</v>
      </c>
      <c r="C1701" t="s">
        <v>12769</v>
      </c>
      <c r="D1701" t="s">
        <v>12769</v>
      </c>
      <c r="E1701">
        <v>4122594988</v>
      </c>
      <c r="F1701">
        <v>8790</v>
      </c>
      <c r="G1701" t="s">
        <v>11440</v>
      </c>
      <c r="H1701" t="s">
        <v>137</v>
      </c>
      <c r="I1701">
        <v>33652</v>
      </c>
    </row>
    <row r="1702" spans="1:9" x14ac:dyDescent="0.25">
      <c r="A1702" t="s">
        <v>12772</v>
      </c>
      <c r="B1702" t="s">
        <v>12773</v>
      </c>
      <c r="C1702" t="s">
        <v>12775</v>
      </c>
      <c r="D1702" t="s">
        <v>12775</v>
      </c>
      <c r="E1702" t="s">
        <v>12774</v>
      </c>
      <c r="F1702">
        <v>6201</v>
      </c>
      <c r="G1702" t="s">
        <v>41</v>
      </c>
      <c r="H1702" t="s">
        <v>15220</v>
      </c>
      <c r="I1702">
        <v>35936</v>
      </c>
    </row>
    <row r="1703" spans="1:9" x14ac:dyDescent="0.25">
      <c r="A1703" t="s">
        <v>12778</v>
      </c>
      <c r="B1703" t="s">
        <v>8493</v>
      </c>
      <c r="C1703" t="s">
        <v>12779</v>
      </c>
      <c r="D1703" t="s">
        <v>15717</v>
      </c>
      <c r="E1703" t="s">
        <v>8494</v>
      </c>
      <c r="F1703">
        <v>8695</v>
      </c>
      <c r="G1703" t="s">
        <v>7263</v>
      </c>
      <c r="H1703" t="s">
        <v>2399</v>
      </c>
      <c r="I1703">
        <v>54407</v>
      </c>
    </row>
    <row r="1704" spans="1:9" x14ac:dyDescent="0.25">
      <c r="A1704" t="s">
        <v>12782</v>
      </c>
      <c r="B1704" t="s">
        <v>12783</v>
      </c>
      <c r="C1704" t="s">
        <v>12785</v>
      </c>
      <c r="D1704" t="s">
        <v>41</v>
      </c>
      <c r="E1704" s="20">
        <v>4126582336</v>
      </c>
      <c r="F1704">
        <v>6201</v>
      </c>
      <c r="G1704" t="s">
        <v>41</v>
      </c>
      <c r="H1704" t="s">
        <v>15220</v>
      </c>
    </row>
    <row r="1705" spans="1:9" x14ac:dyDescent="0.25">
      <c r="A1705" t="s">
        <v>12787</v>
      </c>
      <c r="B1705" t="s">
        <v>12788</v>
      </c>
      <c r="C1705" t="s">
        <v>12785</v>
      </c>
      <c r="D1705" t="s">
        <v>41</v>
      </c>
      <c r="E1705" t="s">
        <v>12789</v>
      </c>
      <c r="F1705">
        <v>6201</v>
      </c>
      <c r="G1705" t="s">
        <v>41</v>
      </c>
      <c r="H1705" t="s">
        <v>15220</v>
      </c>
    </row>
    <row r="1706" spans="1:9" x14ac:dyDescent="0.25">
      <c r="A1706" t="s">
        <v>12791</v>
      </c>
      <c r="B1706" t="s">
        <v>12792</v>
      </c>
      <c r="C1706" t="s">
        <v>12785</v>
      </c>
      <c r="D1706" t="s">
        <v>47</v>
      </c>
      <c r="E1706" t="s">
        <v>12793</v>
      </c>
      <c r="F1706">
        <v>6201</v>
      </c>
      <c r="G1706" t="s">
        <v>41</v>
      </c>
      <c r="H1706" t="s">
        <v>15220</v>
      </c>
    </row>
    <row r="1707" spans="1:9" x14ac:dyDescent="0.25">
      <c r="A1707" t="s">
        <v>12795</v>
      </c>
      <c r="B1707" t="s">
        <v>12796</v>
      </c>
      <c r="C1707" t="s">
        <v>15718</v>
      </c>
      <c r="D1707" t="s">
        <v>15718</v>
      </c>
      <c r="E1707" t="s">
        <v>12797</v>
      </c>
      <c r="F1707">
        <v>8549</v>
      </c>
      <c r="G1707" t="s">
        <v>1448</v>
      </c>
      <c r="H1707" t="s">
        <v>15231</v>
      </c>
      <c r="I1707">
        <v>47818</v>
      </c>
    </row>
    <row r="1708" spans="1:9" x14ac:dyDescent="0.25">
      <c r="A1708" t="s">
        <v>12801</v>
      </c>
      <c r="B1708" t="s">
        <v>12802</v>
      </c>
      <c r="C1708" t="s">
        <v>15719</v>
      </c>
      <c r="D1708" t="s">
        <v>15719</v>
      </c>
      <c r="E1708">
        <v>4140810190</v>
      </c>
      <c r="F1708">
        <v>8592</v>
      </c>
      <c r="G1708" t="s">
        <v>139</v>
      </c>
      <c r="H1708" t="s">
        <v>139</v>
      </c>
      <c r="I1708">
        <v>2132</v>
      </c>
    </row>
    <row r="1709" spans="1:9" x14ac:dyDescent="0.25">
      <c r="A1709" t="s">
        <v>12812</v>
      </c>
      <c r="B1709" t="s">
        <v>12813</v>
      </c>
      <c r="C1709" t="s">
        <v>12815</v>
      </c>
      <c r="D1709" t="s">
        <v>12815</v>
      </c>
      <c r="E1709" t="s">
        <v>12814</v>
      </c>
      <c r="F1709">
        <v>8552</v>
      </c>
      <c r="G1709" t="s">
        <v>437</v>
      </c>
      <c r="H1709" t="s">
        <v>15220</v>
      </c>
      <c r="I1709">
        <v>54233</v>
      </c>
    </row>
    <row r="1710" spans="1:9" x14ac:dyDescent="0.25">
      <c r="A1710" t="s">
        <v>12822</v>
      </c>
      <c r="B1710" t="s">
        <v>12819</v>
      </c>
      <c r="C1710" t="s">
        <v>12820</v>
      </c>
      <c r="D1710" t="s">
        <v>15720</v>
      </c>
      <c r="F1710">
        <v>8513</v>
      </c>
      <c r="G1710" t="s">
        <v>65</v>
      </c>
      <c r="H1710" t="s">
        <v>72</v>
      </c>
      <c r="I1710">
        <v>53067</v>
      </c>
    </row>
    <row r="1711" spans="1:9" x14ac:dyDescent="0.25">
      <c r="A1711" t="s">
        <v>12825</v>
      </c>
      <c r="B1711" t="s">
        <v>12819</v>
      </c>
      <c r="C1711" t="s">
        <v>12820</v>
      </c>
      <c r="D1711" t="s">
        <v>15721</v>
      </c>
      <c r="F1711">
        <v>8534</v>
      </c>
      <c r="G1711" t="s">
        <v>446</v>
      </c>
      <c r="H1711" t="s">
        <v>72</v>
      </c>
      <c r="I1711">
        <v>53067</v>
      </c>
    </row>
    <row r="1712" spans="1:9" x14ac:dyDescent="0.25">
      <c r="A1712" t="s">
        <v>12833</v>
      </c>
      <c r="B1712" t="s">
        <v>12834</v>
      </c>
      <c r="C1712" t="s">
        <v>15722</v>
      </c>
      <c r="D1712" t="s">
        <v>15722</v>
      </c>
      <c r="E1712" t="s">
        <v>12835</v>
      </c>
      <c r="F1712">
        <v>8592</v>
      </c>
      <c r="G1712" t="s">
        <v>139</v>
      </c>
      <c r="H1712" t="s">
        <v>139</v>
      </c>
      <c r="I1712">
        <v>1168</v>
      </c>
    </row>
    <row r="1713" spans="1:9" x14ac:dyDescent="0.25">
      <c r="A1713" t="s">
        <v>12839</v>
      </c>
      <c r="B1713" t="s">
        <v>12840</v>
      </c>
      <c r="C1713" t="s">
        <v>12842</v>
      </c>
      <c r="D1713" t="s">
        <v>15723</v>
      </c>
      <c r="E1713" t="s">
        <v>12841</v>
      </c>
      <c r="F1713">
        <v>8769</v>
      </c>
      <c r="G1713" t="s">
        <v>137</v>
      </c>
      <c r="H1713" t="s">
        <v>137</v>
      </c>
      <c r="I1713">
        <v>37325</v>
      </c>
    </row>
    <row r="1714" spans="1:9" x14ac:dyDescent="0.25">
      <c r="A1714" t="s">
        <v>12845</v>
      </c>
      <c r="B1714" t="s">
        <v>12846</v>
      </c>
      <c r="C1714" t="s">
        <v>15724</v>
      </c>
      <c r="D1714" t="s">
        <v>15725</v>
      </c>
      <c r="F1714">
        <v>8515</v>
      </c>
      <c r="G1714" t="s">
        <v>252</v>
      </c>
      <c r="H1714" t="s">
        <v>15249</v>
      </c>
      <c r="I1714">
        <v>45181</v>
      </c>
    </row>
    <row r="1715" spans="1:9" x14ac:dyDescent="0.25">
      <c r="A1715" t="s">
        <v>12850</v>
      </c>
      <c r="B1715" t="s">
        <v>12851</v>
      </c>
      <c r="C1715" t="s">
        <v>15726</v>
      </c>
      <c r="D1715" t="s">
        <v>15726</v>
      </c>
      <c r="E1715" t="s">
        <v>12852</v>
      </c>
      <c r="F1715">
        <v>8769</v>
      </c>
      <c r="G1715" t="s">
        <v>137</v>
      </c>
      <c r="H1715" t="s">
        <v>137</v>
      </c>
      <c r="I1715">
        <v>35322</v>
      </c>
    </row>
    <row r="1716" spans="1:9" x14ac:dyDescent="0.25">
      <c r="A1716" t="s">
        <v>12856</v>
      </c>
      <c r="B1716" t="s">
        <v>12857</v>
      </c>
      <c r="C1716" t="s">
        <v>12858</v>
      </c>
      <c r="D1716" t="s">
        <v>15727</v>
      </c>
      <c r="F1716">
        <v>8566</v>
      </c>
      <c r="G1716" t="s">
        <v>12118</v>
      </c>
      <c r="H1716" t="s">
        <v>85</v>
      </c>
      <c r="I1716">
        <v>53059</v>
      </c>
    </row>
    <row r="1717" spans="1:9" x14ac:dyDescent="0.25">
      <c r="A1717" t="s">
        <v>12861</v>
      </c>
      <c r="B1717" t="s">
        <v>12862</v>
      </c>
      <c r="C1717" t="s">
        <v>12858</v>
      </c>
      <c r="D1717" t="s">
        <v>15728</v>
      </c>
      <c r="F1717">
        <v>8566</v>
      </c>
      <c r="G1717" t="s">
        <v>12118</v>
      </c>
      <c r="H1717" t="s">
        <v>85</v>
      </c>
      <c r="I1717">
        <v>51614</v>
      </c>
    </row>
    <row r="1718" spans="1:9" x14ac:dyDescent="0.25">
      <c r="A1718" t="s">
        <v>12864</v>
      </c>
      <c r="B1718" t="s">
        <v>12865</v>
      </c>
      <c r="C1718" t="s">
        <v>12867</v>
      </c>
      <c r="E1718" t="s">
        <v>12866</v>
      </c>
      <c r="F1718">
        <v>6201</v>
      </c>
      <c r="G1718" t="s">
        <v>41</v>
      </c>
      <c r="H1718" t="s">
        <v>15220</v>
      </c>
      <c r="I1718">
        <v>4619</v>
      </c>
    </row>
    <row r="1719" spans="1:9" x14ac:dyDescent="0.25">
      <c r="A1719" t="s">
        <v>12869</v>
      </c>
      <c r="B1719" t="s">
        <v>12870</v>
      </c>
      <c r="C1719" t="s">
        <v>12872</v>
      </c>
      <c r="D1719" t="s">
        <v>12872</v>
      </c>
      <c r="E1719" t="s">
        <v>12871</v>
      </c>
      <c r="F1719">
        <v>8592</v>
      </c>
      <c r="G1719" t="s">
        <v>139</v>
      </c>
      <c r="H1719" t="s">
        <v>139</v>
      </c>
      <c r="I1719">
        <v>53995</v>
      </c>
    </row>
    <row r="1720" spans="1:9" x14ac:dyDescent="0.25">
      <c r="A1720" t="s">
        <v>12875</v>
      </c>
      <c r="B1720" t="s">
        <v>12876</v>
      </c>
      <c r="C1720" t="s">
        <v>12878</v>
      </c>
      <c r="D1720" t="s">
        <v>12878</v>
      </c>
      <c r="E1720" t="s">
        <v>12877</v>
      </c>
      <c r="F1720">
        <v>8592</v>
      </c>
      <c r="G1720" t="s">
        <v>139</v>
      </c>
      <c r="H1720" t="s">
        <v>139</v>
      </c>
      <c r="I1720">
        <v>22494</v>
      </c>
    </row>
    <row r="1721" spans="1:9" x14ac:dyDescent="0.25">
      <c r="A1721" t="s">
        <v>12881</v>
      </c>
      <c r="B1721" t="s">
        <v>12882</v>
      </c>
      <c r="C1721" t="s">
        <v>12884</v>
      </c>
      <c r="D1721" t="s">
        <v>12884</v>
      </c>
      <c r="E1721">
        <v>4269375524</v>
      </c>
      <c r="F1721">
        <v>8545</v>
      </c>
      <c r="G1721" t="s">
        <v>324</v>
      </c>
      <c r="H1721" t="s">
        <v>15231</v>
      </c>
      <c r="I1721">
        <v>54610</v>
      </c>
    </row>
    <row r="1722" spans="1:9" x14ac:dyDescent="0.25">
      <c r="A1722" t="s">
        <v>12887</v>
      </c>
      <c r="B1722" t="s">
        <v>12889</v>
      </c>
      <c r="C1722" t="s">
        <v>12890</v>
      </c>
      <c r="D1722" t="s">
        <v>12890</v>
      </c>
      <c r="F1722">
        <v>5148</v>
      </c>
      <c r="G1722" t="s">
        <v>12422</v>
      </c>
      <c r="H1722" t="s">
        <v>15558</v>
      </c>
      <c r="I1722">
        <v>46204</v>
      </c>
    </row>
    <row r="1723" spans="1:9" x14ac:dyDescent="0.25">
      <c r="A1723" t="s">
        <v>12898</v>
      </c>
      <c r="B1723" t="s">
        <v>12899</v>
      </c>
      <c r="C1723" t="s">
        <v>12900</v>
      </c>
      <c r="D1723" t="s">
        <v>12900</v>
      </c>
      <c r="F1723">
        <v>8533</v>
      </c>
      <c r="G1723" t="s">
        <v>300</v>
      </c>
      <c r="H1723" t="s">
        <v>72</v>
      </c>
      <c r="I1723">
        <v>53701</v>
      </c>
    </row>
    <row r="1724" spans="1:9" x14ac:dyDescent="0.25">
      <c r="A1724" t="s">
        <v>12908</v>
      </c>
      <c r="B1724" t="s">
        <v>12909</v>
      </c>
      <c r="C1724" t="s">
        <v>15729</v>
      </c>
      <c r="D1724" t="s">
        <v>15729</v>
      </c>
      <c r="E1724" t="s">
        <v>12911</v>
      </c>
      <c r="F1724">
        <v>8779</v>
      </c>
      <c r="G1724" t="s">
        <v>12910</v>
      </c>
      <c r="H1724" t="s">
        <v>15534</v>
      </c>
      <c r="I1724">
        <v>3502</v>
      </c>
    </row>
    <row r="1725" spans="1:9" x14ac:dyDescent="0.25">
      <c r="A1725" t="s">
        <v>12915</v>
      </c>
      <c r="B1725" t="s">
        <v>5352</v>
      </c>
      <c r="C1725" t="s">
        <v>5354</v>
      </c>
      <c r="D1725" t="s">
        <v>15730</v>
      </c>
      <c r="E1725" t="s">
        <v>5353</v>
      </c>
      <c r="F1725">
        <v>8531</v>
      </c>
      <c r="G1725" t="s">
        <v>87</v>
      </c>
      <c r="H1725" t="s">
        <v>15222</v>
      </c>
      <c r="I1725">
        <v>42134</v>
      </c>
    </row>
    <row r="1726" spans="1:9" x14ac:dyDescent="0.25">
      <c r="A1726" t="s">
        <v>12918</v>
      </c>
      <c r="B1726" t="s">
        <v>5352</v>
      </c>
      <c r="C1726" t="s">
        <v>5354</v>
      </c>
      <c r="D1726" t="s">
        <v>15731</v>
      </c>
      <c r="E1726" t="s">
        <v>5353</v>
      </c>
      <c r="F1726">
        <v>8608</v>
      </c>
      <c r="G1726" t="s">
        <v>87</v>
      </c>
      <c r="H1726" t="s">
        <v>15222</v>
      </c>
      <c r="I1726">
        <v>42136</v>
      </c>
    </row>
    <row r="1727" spans="1:9" x14ac:dyDescent="0.25">
      <c r="A1727" t="s">
        <v>12921</v>
      </c>
      <c r="B1727" t="s">
        <v>12922</v>
      </c>
      <c r="C1727" t="s">
        <v>12924</v>
      </c>
      <c r="D1727" t="s">
        <v>12924</v>
      </c>
      <c r="E1727" t="s">
        <v>12923</v>
      </c>
      <c r="F1727">
        <v>8515</v>
      </c>
      <c r="G1727" t="s">
        <v>1335</v>
      </c>
      <c r="H1727" t="s">
        <v>15249</v>
      </c>
      <c r="I1727">
        <v>9494</v>
      </c>
    </row>
    <row r="1728" spans="1:9" x14ac:dyDescent="0.25">
      <c r="A1728" t="s">
        <v>12927</v>
      </c>
      <c r="B1728" t="s">
        <v>12928</v>
      </c>
      <c r="C1728" t="s">
        <v>15732</v>
      </c>
      <c r="D1728" t="s">
        <v>15732</v>
      </c>
      <c r="E1728" t="s">
        <v>8506</v>
      </c>
      <c r="F1728">
        <v>5201</v>
      </c>
      <c r="G1728" t="s">
        <v>79</v>
      </c>
      <c r="H1728" t="s">
        <v>79</v>
      </c>
      <c r="I1728">
        <v>50065</v>
      </c>
    </row>
    <row r="1729" spans="1:9" x14ac:dyDescent="0.25">
      <c r="A1729" t="s">
        <v>12932</v>
      </c>
      <c r="B1729" t="s">
        <v>12933</v>
      </c>
      <c r="C1729" t="s">
        <v>15733</v>
      </c>
      <c r="D1729" t="s">
        <v>15733</v>
      </c>
      <c r="E1729" t="s">
        <v>12935</v>
      </c>
      <c r="F1729">
        <v>5220</v>
      </c>
      <c r="G1729" t="s">
        <v>12934</v>
      </c>
      <c r="H1729" t="s">
        <v>79</v>
      </c>
      <c r="I1729">
        <v>40849</v>
      </c>
    </row>
    <row r="1730" spans="1:9" x14ac:dyDescent="0.25">
      <c r="A1730" t="s">
        <v>12939</v>
      </c>
      <c r="B1730" t="s">
        <v>12940</v>
      </c>
      <c r="C1730" t="s">
        <v>15734</v>
      </c>
      <c r="D1730" t="s">
        <v>15734</v>
      </c>
      <c r="E1730" t="s">
        <v>12941</v>
      </c>
      <c r="F1730">
        <v>8604</v>
      </c>
      <c r="G1730" t="s">
        <v>3119</v>
      </c>
      <c r="H1730" t="s">
        <v>1215</v>
      </c>
      <c r="I1730">
        <v>40810</v>
      </c>
    </row>
    <row r="1731" spans="1:9" x14ac:dyDescent="0.25">
      <c r="A1731" t="s">
        <v>15204</v>
      </c>
      <c r="B1731" t="s">
        <v>12951</v>
      </c>
      <c r="C1731" t="s">
        <v>15735</v>
      </c>
      <c r="D1731" t="s">
        <v>15735</v>
      </c>
      <c r="E1731" t="s">
        <v>12952</v>
      </c>
      <c r="F1731">
        <v>8566</v>
      </c>
      <c r="G1731" t="s">
        <v>12498</v>
      </c>
      <c r="H1731" t="s">
        <v>85</v>
      </c>
      <c r="I1731">
        <v>2845</v>
      </c>
    </row>
    <row r="1732" spans="1:9" x14ac:dyDescent="0.25">
      <c r="A1732" t="s">
        <v>12956</v>
      </c>
      <c r="B1732" t="s">
        <v>12957</v>
      </c>
      <c r="C1732" t="s">
        <v>12959</v>
      </c>
      <c r="D1732" t="s">
        <v>12959</v>
      </c>
      <c r="E1732" t="s">
        <v>12958</v>
      </c>
      <c r="F1732">
        <v>8510</v>
      </c>
      <c r="G1732" t="s">
        <v>2399</v>
      </c>
      <c r="H1732" t="s">
        <v>2399</v>
      </c>
      <c r="I1732">
        <v>37302</v>
      </c>
    </row>
    <row r="1733" spans="1:9" x14ac:dyDescent="0.25">
      <c r="A1733" t="s">
        <v>12967</v>
      </c>
      <c r="B1733" t="s">
        <v>12968</v>
      </c>
      <c r="C1733" t="s">
        <v>15736</v>
      </c>
      <c r="D1733" t="s">
        <v>15736</v>
      </c>
      <c r="E1733" t="s">
        <v>12969</v>
      </c>
      <c r="F1733">
        <v>8544</v>
      </c>
      <c r="G1733" t="s">
        <v>238</v>
      </c>
      <c r="H1733" t="s">
        <v>15231</v>
      </c>
      <c r="I1733">
        <v>54840</v>
      </c>
    </row>
    <row r="1734" spans="1:9" x14ac:dyDescent="0.25">
      <c r="A1734" t="s">
        <v>12973</v>
      </c>
      <c r="B1734" t="s">
        <v>12974</v>
      </c>
      <c r="C1734" t="s">
        <v>15737</v>
      </c>
      <c r="D1734" t="s">
        <v>15737</v>
      </c>
      <c r="E1734">
        <v>4121762944</v>
      </c>
      <c r="F1734">
        <v>3061</v>
      </c>
      <c r="G1734" t="s">
        <v>7668</v>
      </c>
      <c r="H1734" t="s">
        <v>15453</v>
      </c>
      <c r="I1734">
        <v>54515</v>
      </c>
    </row>
    <row r="1735" spans="1:9" x14ac:dyDescent="0.25">
      <c r="A1735" t="s">
        <v>12983</v>
      </c>
      <c r="B1735" t="s">
        <v>12984</v>
      </c>
      <c r="C1735" t="s">
        <v>15738</v>
      </c>
      <c r="D1735" t="s">
        <v>15738</v>
      </c>
      <c r="E1735">
        <v>584147148895</v>
      </c>
      <c r="F1735">
        <v>8601</v>
      </c>
      <c r="G1735" t="s">
        <v>7935</v>
      </c>
      <c r="H1735" t="s">
        <v>15534</v>
      </c>
    </row>
    <row r="1736" spans="1:9" x14ac:dyDescent="0.25">
      <c r="A1736" t="s">
        <v>12989</v>
      </c>
      <c r="B1736" t="s">
        <v>12991</v>
      </c>
      <c r="C1736" t="s">
        <v>15739</v>
      </c>
      <c r="D1736" t="s">
        <v>15739</v>
      </c>
      <c r="E1736">
        <v>4247356693</v>
      </c>
      <c r="F1736">
        <v>8592</v>
      </c>
      <c r="G1736" t="s">
        <v>139</v>
      </c>
      <c r="H1736" t="s">
        <v>139</v>
      </c>
      <c r="I1736">
        <v>40973</v>
      </c>
    </row>
    <row r="1737" spans="1:9" x14ac:dyDescent="0.25">
      <c r="A1737" t="s">
        <v>12996</v>
      </c>
      <c r="B1737" t="s">
        <v>12991</v>
      </c>
      <c r="C1737" t="s">
        <v>15739</v>
      </c>
      <c r="D1737" t="s">
        <v>15740</v>
      </c>
      <c r="E1737">
        <v>4247356693</v>
      </c>
      <c r="F1737">
        <v>8592</v>
      </c>
      <c r="G1737" t="s">
        <v>139</v>
      </c>
      <c r="H1737" t="s">
        <v>139</v>
      </c>
      <c r="I1737">
        <v>50444</v>
      </c>
    </row>
    <row r="1738" spans="1:9" x14ac:dyDescent="0.25">
      <c r="A1738" t="s">
        <v>12998</v>
      </c>
      <c r="B1738" t="s">
        <v>9578</v>
      </c>
      <c r="C1738" t="s">
        <v>15741</v>
      </c>
      <c r="D1738" t="s">
        <v>15742</v>
      </c>
      <c r="E1738" t="s">
        <v>9582</v>
      </c>
      <c r="F1738">
        <v>8626</v>
      </c>
      <c r="G1738" t="s">
        <v>6058</v>
      </c>
      <c r="H1738" t="s">
        <v>15453</v>
      </c>
      <c r="I1738">
        <v>54481</v>
      </c>
    </row>
    <row r="1739" spans="1:9" x14ac:dyDescent="0.25">
      <c r="A1739" t="s">
        <v>13002</v>
      </c>
      <c r="B1739" t="s">
        <v>13003</v>
      </c>
      <c r="C1739" t="s">
        <v>13004</v>
      </c>
      <c r="D1739" t="s">
        <v>13004</v>
      </c>
      <c r="E1739" t="s">
        <v>12841</v>
      </c>
      <c r="F1739">
        <v>8769</v>
      </c>
      <c r="G1739" t="s">
        <v>137</v>
      </c>
      <c r="H1739" t="s">
        <v>137</v>
      </c>
      <c r="I1739">
        <v>2555</v>
      </c>
    </row>
    <row r="1740" spans="1:9" x14ac:dyDescent="0.25">
      <c r="A1740" t="s">
        <v>13007</v>
      </c>
      <c r="B1740" t="s">
        <v>13008</v>
      </c>
      <c r="C1740" t="s">
        <v>13010</v>
      </c>
      <c r="D1740" t="s">
        <v>13010</v>
      </c>
      <c r="E1740" t="s">
        <v>13009</v>
      </c>
      <c r="F1740">
        <v>8558</v>
      </c>
      <c r="G1740" t="s">
        <v>11860</v>
      </c>
      <c r="H1740" t="s">
        <v>1215</v>
      </c>
      <c r="I1740">
        <v>45466</v>
      </c>
    </row>
    <row r="1741" spans="1:9" x14ac:dyDescent="0.25">
      <c r="A1741" t="s">
        <v>13012</v>
      </c>
      <c r="B1741" t="s">
        <v>13013</v>
      </c>
      <c r="C1741" t="s">
        <v>13015</v>
      </c>
      <c r="D1741" t="s">
        <v>13015</v>
      </c>
      <c r="E1741" t="s">
        <v>13014</v>
      </c>
      <c r="F1741">
        <v>8592</v>
      </c>
      <c r="G1741" t="s">
        <v>139</v>
      </c>
      <c r="H1741" t="s">
        <v>139</v>
      </c>
      <c r="I1741">
        <v>35905</v>
      </c>
    </row>
    <row r="1742" spans="1:9" x14ac:dyDescent="0.25">
      <c r="A1742" t="s">
        <v>13023</v>
      </c>
      <c r="B1742" t="s">
        <v>13024</v>
      </c>
      <c r="C1742" t="s">
        <v>13026</v>
      </c>
      <c r="D1742" t="s">
        <v>13026</v>
      </c>
      <c r="E1742" t="s">
        <v>13025</v>
      </c>
      <c r="F1742">
        <v>8587</v>
      </c>
      <c r="G1742" t="s">
        <v>2396</v>
      </c>
      <c r="H1742" t="s">
        <v>2399</v>
      </c>
      <c r="I1742">
        <v>33477</v>
      </c>
    </row>
    <row r="1743" spans="1:9" x14ac:dyDescent="0.25">
      <c r="A1743" t="s">
        <v>13029</v>
      </c>
      <c r="B1743" t="s">
        <v>13030</v>
      </c>
      <c r="C1743" t="s">
        <v>13032</v>
      </c>
      <c r="D1743" t="s">
        <v>13032</v>
      </c>
      <c r="E1743" t="s">
        <v>13031</v>
      </c>
      <c r="F1743">
        <v>8790</v>
      </c>
      <c r="G1743" t="s">
        <v>5009</v>
      </c>
      <c r="H1743" t="s">
        <v>137</v>
      </c>
      <c r="I1743">
        <v>8346</v>
      </c>
    </row>
    <row r="1744" spans="1:9" x14ac:dyDescent="0.25">
      <c r="A1744" t="s">
        <v>13034</v>
      </c>
      <c r="B1744" t="s">
        <v>13035</v>
      </c>
      <c r="C1744" t="s">
        <v>15743</v>
      </c>
      <c r="D1744" t="s">
        <v>15743</v>
      </c>
      <c r="E1744" t="s">
        <v>13036</v>
      </c>
      <c r="F1744">
        <v>8601</v>
      </c>
      <c r="G1744" t="s">
        <v>10141</v>
      </c>
      <c r="H1744" t="s">
        <v>15534</v>
      </c>
      <c r="I1744">
        <v>28361</v>
      </c>
    </row>
    <row r="1745" spans="1:9" x14ac:dyDescent="0.25">
      <c r="A1745" t="s">
        <v>13040</v>
      </c>
      <c r="B1745" t="s">
        <v>13041</v>
      </c>
      <c r="C1745" t="s">
        <v>15744</v>
      </c>
      <c r="D1745" t="s">
        <v>15744</v>
      </c>
      <c r="E1745" t="s">
        <v>13042</v>
      </c>
      <c r="F1745">
        <v>8592</v>
      </c>
      <c r="G1745" t="s">
        <v>139</v>
      </c>
      <c r="H1745" t="s">
        <v>139</v>
      </c>
      <c r="I1745">
        <v>17538</v>
      </c>
    </row>
    <row r="1746" spans="1:9" x14ac:dyDescent="0.25">
      <c r="A1746" t="s">
        <v>13046</v>
      </c>
      <c r="B1746" t="s">
        <v>13047</v>
      </c>
      <c r="C1746" t="s">
        <v>13048</v>
      </c>
      <c r="D1746" t="s">
        <v>13048</v>
      </c>
      <c r="E1746">
        <v>4122594988</v>
      </c>
      <c r="F1746">
        <v>8790</v>
      </c>
      <c r="G1746" t="s">
        <v>5009</v>
      </c>
      <c r="H1746" t="s">
        <v>137</v>
      </c>
      <c r="I1746">
        <v>42453</v>
      </c>
    </row>
    <row r="1747" spans="1:9" x14ac:dyDescent="0.25">
      <c r="A1747" t="s">
        <v>13051</v>
      </c>
      <c r="B1747" t="s">
        <v>13052</v>
      </c>
      <c r="C1747" t="s">
        <v>13053</v>
      </c>
      <c r="D1747" t="s">
        <v>13053</v>
      </c>
      <c r="E1747" t="s">
        <v>12238</v>
      </c>
      <c r="F1747">
        <v>8524</v>
      </c>
      <c r="G1747" t="s">
        <v>10950</v>
      </c>
      <c r="H1747" t="s">
        <v>15226</v>
      </c>
      <c r="I1747">
        <v>54539</v>
      </c>
    </row>
    <row r="1748" spans="1:9" x14ac:dyDescent="0.25">
      <c r="A1748" t="s">
        <v>13056</v>
      </c>
      <c r="B1748" t="s">
        <v>13057</v>
      </c>
      <c r="C1748" t="s">
        <v>13059</v>
      </c>
      <c r="D1748" t="s">
        <v>13059</v>
      </c>
      <c r="E1748">
        <v>2934672137</v>
      </c>
      <c r="F1748">
        <v>8544</v>
      </c>
      <c r="G1748" t="s">
        <v>116</v>
      </c>
      <c r="H1748" t="s">
        <v>15231</v>
      </c>
      <c r="I1748">
        <v>17160</v>
      </c>
    </row>
    <row r="1749" spans="1:9" x14ac:dyDescent="0.25">
      <c r="A1749" t="s">
        <v>13062</v>
      </c>
      <c r="B1749" t="s">
        <v>13063</v>
      </c>
      <c r="C1749" t="s">
        <v>13065</v>
      </c>
      <c r="D1749" t="s">
        <v>13065</v>
      </c>
      <c r="E1749">
        <v>4248543288</v>
      </c>
      <c r="F1749">
        <v>8544</v>
      </c>
      <c r="G1749" t="s">
        <v>238</v>
      </c>
      <c r="H1749" t="s">
        <v>15231</v>
      </c>
      <c r="I1749">
        <v>39808</v>
      </c>
    </row>
    <row r="1750" spans="1:9" x14ac:dyDescent="0.25">
      <c r="A1750" t="s">
        <v>13068</v>
      </c>
      <c r="B1750" t="s">
        <v>13069</v>
      </c>
      <c r="C1750" t="s">
        <v>15745</v>
      </c>
      <c r="D1750" t="s">
        <v>15745</v>
      </c>
      <c r="E1750">
        <v>4120183478</v>
      </c>
      <c r="F1750">
        <v>1201</v>
      </c>
      <c r="G1750" t="s">
        <v>5009</v>
      </c>
      <c r="H1750" t="s">
        <v>137</v>
      </c>
      <c r="I1750">
        <v>28546</v>
      </c>
    </row>
    <row r="1751" spans="1:9" x14ac:dyDescent="0.25">
      <c r="A1751" t="s">
        <v>13074</v>
      </c>
      <c r="B1751" t="s">
        <v>13075</v>
      </c>
      <c r="C1751" t="s">
        <v>15746</v>
      </c>
      <c r="D1751" t="s">
        <v>15746</v>
      </c>
      <c r="E1751" t="s">
        <v>13076</v>
      </c>
      <c r="F1751">
        <v>8790</v>
      </c>
      <c r="G1751" t="s">
        <v>5009</v>
      </c>
      <c r="H1751" t="s">
        <v>137</v>
      </c>
      <c r="I1751">
        <v>1482</v>
      </c>
    </row>
    <row r="1752" spans="1:9" x14ac:dyDescent="0.25">
      <c r="A1752" t="s">
        <v>13085</v>
      </c>
      <c r="B1752" t="s">
        <v>13086</v>
      </c>
      <c r="C1752" t="s">
        <v>13088</v>
      </c>
      <c r="D1752" t="s">
        <v>13088</v>
      </c>
      <c r="E1752" t="s">
        <v>13087</v>
      </c>
      <c r="F1752">
        <v>8558</v>
      </c>
      <c r="G1752" t="s">
        <v>11860</v>
      </c>
      <c r="H1752" t="s">
        <v>1215</v>
      </c>
      <c r="I1752">
        <v>40881</v>
      </c>
    </row>
    <row r="1753" spans="1:9" x14ac:dyDescent="0.25">
      <c r="A1753" t="s">
        <v>13097</v>
      </c>
      <c r="B1753" t="s">
        <v>13098</v>
      </c>
      <c r="C1753" t="s">
        <v>15747</v>
      </c>
      <c r="D1753" t="s">
        <v>15747</v>
      </c>
      <c r="E1753" t="s">
        <v>13099</v>
      </c>
      <c r="F1753">
        <v>8790</v>
      </c>
      <c r="G1753" t="s">
        <v>5009</v>
      </c>
      <c r="H1753" t="s">
        <v>137</v>
      </c>
      <c r="I1753">
        <v>1698</v>
      </c>
    </row>
    <row r="1754" spans="1:9" x14ac:dyDescent="0.25">
      <c r="A1754" t="s">
        <v>13106</v>
      </c>
      <c r="B1754" t="s">
        <v>13107</v>
      </c>
      <c r="C1754" t="s">
        <v>13109</v>
      </c>
      <c r="D1754" t="s">
        <v>15748</v>
      </c>
      <c r="E1754" t="s">
        <v>13108</v>
      </c>
      <c r="F1754">
        <v>8592</v>
      </c>
      <c r="G1754" t="s">
        <v>139</v>
      </c>
      <c r="H1754" t="s">
        <v>139</v>
      </c>
      <c r="I1754">
        <v>27901</v>
      </c>
    </row>
    <row r="1755" spans="1:9" x14ac:dyDescent="0.25">
      <c r="A1755" t="s">
        <v>13112</v>
      </c>
      <c r="B1755" t="s">
        <v>13113</v>
      </c>
      <c r="C1755" t="s">
        <v>13115</v>
      </c>
      <c r="D1755" t="s">
        <v>13115</v>
      </c>
      <c r="E1755" t="s">
        <v>13114</v>
      </c>
      <c r="F1755">
        <v>8558</v>
      </c>
      <c r="G1755" t="s">
        <v>11860</v>
      </c>
      <c r="H1755" t="s">
        <v>1215</v>
      </c>
      <c r="I1755">
        <v>41124</v>
      </c>
    </row>
    <row r="1756" spans="1:9" x14ac:dyDescent="0.25">
      <c r="A1756" t="s">
        <v>13118</v>
      </c>
      <c r="B1756" t="s">
        <v>13119</v>
      </c>
      <c r="C1756" t="s">
        <v>13120</v>
      </c>
      <c r="D1756" t="s">
        <v>13120</v>
      </c>
      <c r="E1756" t="s">
        <v>13114</v>
      </c>
      <c r="F1756">
        <v>8637</v>
      </c>
      <c r="G1756" t="s">
        <v>7210</v>
      </c>
      <c r="H1756" t="s">
        <v>1215</v>
      </c>
      <c r="I1756">
        <v>37159</v>
      </c>
    </row>
    <row r="1757" spans="1:9" x14ac:dyDescent="0.25">
      <c r="A1757" t="s">
        <v>13123</v>
      </c>
      <c r="B1757" t="s">
        <v>13124</v>
      </c>
      <c r="C1757" t="s">
        <v>13126</v>
      </c>
      <c r="D1757" t="s">
        <v>13126</v>
      </c>
      <c r="E1757" t="s">
        <v>13125</v>
      </c>
      <c r="F1757">
        <v>2050</v>
      </c>
      <c r="G1757" t="s">
        <v>7515</v>
      </c>
      <c r="H1757" t="s">
        <v>1215</v>
      </c>
      <c r="I1757">
        <v>46394</v>
      </c>
    </row>
    <row r="1758" spans="1:9" x14ac:dyDescent="0.25">
      <c r="A1758" t="s">
        <v>13128</v>
      </c>
      <c r="B1758" t="s">
        <v>9243</v>
      </c>
      <c r="C1758" t="s">
        <v>12484</v>
      </c>
      <c r="D1758" t="s">
        <v>15749</v>
      </c>
      <c r="F1758">
        <v>8531</v>
      </c>
      <c r="G1758" t="s">
        <v>90</v>
      </c>
      <c r="H1758" t="s">
        <v>15222</v>
      </c>
    </row>
    <row r="1759" spans="1:9" x14ac:dyDescent="0.25">
      <c r="A1759" t="s">
        <v>13131</v>
      </c>
      <c r="B1759" t="s">
        <v>13132</v>
      </c>
      <c r="C1759" t="s">
        <v>13134</v>
      </c>
      <c r="D1759" t="s">
        <v>13134</v>
      </c>
      <c r="E1759">
        <v>4247801074</v>
      </c>
      <c r="F1759">
        <v>8601</v>
      </c>
      <c r="G1759" t="s">
        <v>10141</v>
      </c>
      <c r="H1759" t="s">
        <v>15534</v>
      </c>
      <c r="I1759">
        <v>3369</v>
      </c>
    </row>
    <row r="1760" spans="1:9" x14ac:dyDescent="0.25">
      <c r="A1760" t="s">
        <v>13137</v>
      </c>
      <c r="B1760" t="s">
        <v>13138</v>
      </c>
      <c r="C1760" t="s">
        <v>15750</v>
      </c>
      <c r="D1760" t="s">
        <v>15750</v>
      </c>
      <c r="E1760" t="s">
        <v>13139</v>
      </c>
      <c r="F1760">
        <v>8592</v>
      </c>
      <c r="G1760" t="s">
        <v>139</v>
      </c>
      <c r="H1760" t="s">
        <v>139</v>
      </c>
      <c r="I1760">
        <v>154</v>
      </c>
    </row>
    <row r="1761" spans="1:9" x14ac:dyDescent="0.25">
      <c r="A1761" t="s">
        <v>13146</v>
      </c>
      <c r="B1761" t="s">
        <v>13147</v>
      </c>
      <c r="C1761" t="s">
        <v>15751</v>
      </c>
      <c r="D1761" t="s">
        <v>15751</v>
      </c>
      <c r="E1761" t="s">
        <v>13148</v>
      </c>
      <c r="F1761">
        <v>8639</v>
      </c>
      <c r="G1761" t="s">
        <v>15532</v>
      </c>
      <c r="H1761" t="s">
        <v>1215</v>
      </c>
      <c r="I1761">
        <v>36882</v>
      </c>
    </row>
    <row r="1762" spans="1:9" x14ac:dyDescent="0.25">
      <c r="A1762" t="s">
        <v>13152</v>
      </c>
      <c r="B1762" t="s">
        <v>13153</v>
      </c>
      <c r="C1762" t="s">
        <v>13157</v>
      </c>
      <c r="D1762" t="s">
        <v>13157</v>
      </c>
      <c r="E1762" t="s">
        <v>13154</v>
      </c>
      <c r="F1762">
        <v>8791</v>
      </c>
      <c r="G1762" t="s">
        <v>1072</v>
      </c>
      <c r="H1762" t="s">
        <v>15231</v>
      </c>
    </row>
    <row r="1763" spans="1:9" x14ac:dyDescent="0.25">
      <c r="A1763" t="s">
        <v>13159</v>
      </c>
      <c r="B1763" t="s">
        <v>13161</v>
      </c>
      <c r="C1763" t="s">
        <v>13163</v>
      </c>
      <c r="D1763" t="s">
        <v>15752</v>
      </c>
      <c r="E1763" t="s">
        <v>13162</v>
      </c>
      <c r="F1763">
        <v>8790</v>
      </c>
      <c r="G1763" t="s">
        <v>12217</v>
      </c>
      <c r="H1763" t="s">
        <v>137</v>
      </c>
      <c r="I1763">
        <v>1971</v>
      </c>
    </row>
    <row r="1764" spans="1:9" x14ac:dyDescent="0.25">
      <c r="A1764" t="s">
        <v>13166</v>
      </c>
      <c r="B1764" t="s">
        <v>13167</v>
      </c>
      <c r="C1764" t="s">
        <v>13169</v>
      </c>
      <c r="D1764" t="s">
        <v>13169</v>
      </c>
      <c r="E1764" t="s">
        <v>13168</v>
      </c>
      <c r="F1764">
        <v>8752</v>
      </c>
      <c r="G1764" t="s">
        <v>10155</v>
      </c>
      <c r="H1764" t="s">
        <v>15534</v>
      </c>
      <c r="I1764">
        <v>40964</v>
      </c>
    </row>
    <row r="1765" spans="1:9" x14ac:dyDescent="0.25">
      <c r="A1765" t="s">
        <v>13172</v>
      </c>
      <c r="B1765" t="s">
        <v>13173</v>
      </c>
      <c r="C1765" t="s">
        <v>13175</v>
      </c>
      <c r="D1765" t="s">
        <v>13175</v>
      </c>
      <c r="E1765" t="s">
        <v>13174</v>
      </c>
      <c r="F1765">
        <v>8790</v>
      </c>
      <c r="G1765" t="s">
        <v>5009</v>
      </c>
      <c r="H1765" t="s">
        <v>137</v>
      </c>
      <c r="I1765">
        <v>47011</v>
      </c>
    </row>
    <row r="1766" spans="1:9" x14ac:dyDescent="0.25">
      <c r="A1766" t="s">
        <v>13178</v>
      </c>
      <c r="B1766" t="s">
        <v>13179</v>
      </c>
      <c r="C1766" t="s">
        <v>15753</v>
      </c>
      <c r="D1766" t="s">
        <v>15753</v>
      </c>
      <c r="E1766" t="s">
        <v>13180</v>
      </c>
      <c r="F1766">
        <v>8582</v>
      </c>
      <c r="G1766" t="s">
        <v>2275</v>
      </c>
      <c r="H1766" t="s">
        <v>137</v>
      </c>
      <c r="I1766">
        <v>22367</v>
      </c>
    </row>
    <row r="1767" spans="1:9" x14ac:dyDescent="0.25">
      <c r="A1767" t="s">
        <v>13183</v>
      </c>
      <c r="B1767" t="s">
        <v>13184</v>
      </c>
      <c r="C1767" t="s">
        <v>15754</v>
      </c>
      <c r="D1767" t="s">
        <v>15754</v>
      </c>
      <c r="E1767" t="s">
        <v>13185</v>
      </c>
      <c r="F1767">
        <v>8545</v>
      </c>
      <c r="G1767" t="s">
        <v>324</v>
      </c>
      <c r="H1767" t="s">
        <v>15231</v>
      </c>
      <c r="I1767">
        <v>32602</v>
      </c>
    </row>
    <row r="1768" spans="1:9" x14ac:dyDescent="0.25">
      <c r="A1768" t="s">
        <v>13188</v>
      </c>
      <c r="B1768" t="s">
        <v>13189</v>
      </c>
      <c r="C1768" t="s">
        <v>13191</v>
      </c>
      <c r="D1768" t="s">
        <v>13191</v>
      </c>
      <c r="E1768" t="s">
        <v>13190</v>
      </c>
      <c r="F1768">
        <v>8657</v>
      </c>
      <c r="G1768" t="s">
        <v>3254</v>
      </c>
      <c r="H1768" t="s">
        <v>15261</v>
      </c>
      <c r="I1768">
        <v>54495</v>
      </c>
    </row>
    <row r="1769" spans="1:9" x14ac:dyDescent="0.25">
      <c r="A1769" t="s">
        <v>13194</v>
      </c>
      <c r="B1769" t="s">
        <v>9243</v>
      </c>
      <c r="C1769" t="s">
        <v>13196</v>
      </c>
      <c r="D1769" t="s">
        <v>13196</v>
      </c>
      <c r="F1769">
        <v>8555</v>
      </c>
      <c r="G1769" t="s">
        <v>922</v>
      </c>
      <c r="H1769" t="s">
        <v>15222</v>
      </c>
      <c r="I1769">
        <v>48849</v>
      </c>
    </row>
    <row r="1770" spans="1:9" x14ac:dyDescent="0.25">
      <c r="A1770" t="s">
        <v>13199</v>
      </c>
      <c r="B1770" t="s">
        <v>13200</v>
      </c>
      <c r="C1770" t="s">
        <v>13202</v>
      </c>
      <c r="D1770" t="s">
        <v>13202</v>
      </c>
      <c r="E1770" t="s">
        <v>13201</v>
      </c>
      <c r="F1770">
        <v>8611</v>
      </c>
      <c r="G1770" t="s">
        <v>4130</v>
      </c>
      <c r="H1770" t="s">
        <v>137</v>
      </c>
      <c r="I1770">
        <v>54271</v>
      </c>
    </row>
    <row r="1771" spans="1:9" x14ac:dyDescent="0.25">
      <c r="A1771" t="s">
        <v>13205</v>
      </c>
      <c r="B1771" t="s">
        <v>13206</v>
      </c>
      <c r="C1771" t="s">
        <v>13208</v>
      </c>
      <c r="D1771" t="s">
        <v>13208</v>
      </c>
      <c r="E1771" t="s">
        <v>13207</v>
      </c>
      <c r="F1771">
        <v>8671</v>
      </c>
      <c r="G1771" t="s">
        <v>12562</v>
      </c>
      <c r="H1771" t="s">
        <v>85</v>
      </c>
      <c r="I1771">
        <v>39970</v>
      </c>
    </row>
    <row r="1772" spans="1:9" x14ac:dyDescent="0.25">
      <c r="A1772" t="s">
        <v>13211</v>
      </c>
      <c r="B1772" t="s">
        <v>11904</v>
      </c>
      <c r="C1772" t="s">
        <v>13213</v>
      </c>
      <c r="D1772" t="s">
        <v>15755</v>
      </c>
      <c r="E1772" t="s">
        <v>13207</v>
      </c>
      <c r="F1772">
        <v>8566</v>
      </c>
      <c r="G1772" t="s">
        <v>12118</v>
      </c>
      <c r="H1772" t="s">
        <v>85</v>
      </c>
      <c r="I1772">
        <v>6953</v>
      </c>
    </row>
    <row r="1773" spans="1:9" x14ac:dyDescent="0.25">
      <c r="A1773" t="s">
        <v>13216</v>
      </c>
      <c r="B1773" t="s">
        <v>13217</v>
      </c>
      <c r="C1773" t="s">
        <v>15756</v>
      </c>
      <c r="D1773" t="s">
        <v>15756</v>
      </c>
      <c r="E1773" t="s">
        <v>13219</v>
      </c>
      <c r="F1773">
        <v>8776</v>
      </c>
      <c r="G1773" t="s">
        <v>13218</v>
      </c>
      <c r="H1773" t="s">
        <v>15534</v>
      </c>
      <c r="I1773">
        <v>47305</v>
      </c>
    </row>
    <row r="1774" spans="1:9" x14ac:dyDescent="0.25">
      <c r="A1774" t="s">
        <v>13223</v>
      </c>
      <c r="B1774" t="s">
        <v>13225</v>
      </c>
      <c r="C1774" t="s">
        <v>15757</v>
      </c>
      <c r="D1774" t="s">
        <v>15757</v>
      </c>
      <c r="E1774" t="s">
        <v>13226</v>
      </c>
      <c r="F1774">
        <v>8650</v>
      </c>
      <c r="G1774" t="s">
        <v>5261</v>
      </c>
      <c r="H1774" t="s">
        <v>139</v>
      </c>
      <c r="I1774">
        <v>51145</v>
      </c>
    </row>
    <row r="1775" spans="1:9" x14ac:dyDescent="0.25">
      <c r="A1775" t="s">
        <v>13229</v>
      </c>
      <c r="B1775" t="s">
        <v>13231</v>
      </c>
      <c r="C1775" t="s">
        <v>15758</v>
      </c>
      <c r="D1775" t="s">
        <v>15758</v>
      </c>
      <c r="E1775">
        <v>4245899134</v>
      </c>
      <c r="F1775">
        <v>5201</v>
      </c>
      <c r="G1775" t="s">
        <v>79</v>
      </c>
      <c r="H1775" t="s">
        <v>79</v>
      </c>
      <c r="I1775">
        <v>54599</v>
      </c>
    </row>
    <row r="1776" spans="1:9" x14ac:dyDescent="0.25">
      <c r="A1776" t="s">
        <v>13242</v>
      </c>
      <c r="B1776" t="s">
        <v>13244</v>
      </c>
      <c r="C1776" t="s">
        <v>13246</v>
      </c>
      <c r="D1776" t="s">
        <v>13246</v>
      </c>
      <c r="E1776" t="s">
        <v>13245</v>
      </c>
      <c r="F1776">
        <v>8527</v>
      </c>
      <c r="G1776" t="s">
        <v>2002</v>
      </c>
      <c r="H1776" t="s">
        <v>106</v>
      </c>
    </row>
    <row r="1777" spans="1:9" x14ac:dyDescent="0.25">
      <c r="A1777" t="s">
        <v>13249</v>
      </c>
      <c r="B1777" t="s">
        <v>13250</v>
      </c>
      <c r="C1777" t="s">
        <v>15759</v>
      </c>
      <c r="D1777" t="s">
        <v>15759</v>
      </c>
      <c r="F1777">
        <v>8515</v>
      </c>
      <c r="G1777" t="s">
        <v>252</v>
      </c>
      <c r="H1777" t="s">
        <v>15249</v>
      </c>
      <c r="I1777">
        <v>43300</v>
      </c>
    </row>
    <row r="1778" spans="1:9" x14ac:dyDescent="0.25">
      <c r="A1778" t="s">
        <v>13254</v>
      </c>
      <c r="B1778" t="s">
        <v>13256</v>
      </c>
      <c r="C1778" t="s">
        <v>15760</v>
      </c>
      <c r="D1778" t="s">
        <v>15760</v>
      </c>
      <c r="F1778">
        <v>8611</v>
      </c>
      <c r="G1778" t="s">
        <v>4130</v>
      </c>
      <c r="H1778" t="s">
        <v>137</v>
      </c>
      <c r="I1778">
        <v>54572</v>
      </c>
    </row>
    <row r="1779" spans="1:9" x14ac:dyDescent="0.25">
      <c r="A1779" t="s">
        <v>13260</v>
      </c>
      <c r="B1779" t="s">
        <v>13261</v>
      </c>
      <c r="C1779" t="s">
        <v>13263</v>
      </c>
      <c r="D1779" t="s">
        <v>13263</v>
      </c>
      <c r="E1779" t="s">
        <v>13262</v>
      </c>
      <c r="F1779">
        <v>8752</v>
      </c>
      <c r="G1779" t="s">
        <v>10155</v>
      </c>
      <c r="H1779" t="s">
        <v>15534</v>
      </c>
      <c r="I1779">
        <v>7370</v>
      </c>
    </row>
    <row r="1780" spans="1:9" x14ac:dyDescent="0.25">
      <c r="A1780" t="s">
        <v>13266</v>
      </c>
      <c r="B1780" t="s">
        <v>13267</v>
      </c>
      <c r="C1780" t="s">
        <v>13269</v>
      </c>
      <c r="D1780" t="s">
        <v>13269</v>
      </c>
      <c r="E1780" t="s">
        <v>13268</v>
      </c>
      <c r="F1780">
        <v>8650</v>
      </c>
      <c r="G1780" t="s">
        <v>5261</v>
      </c>
      <c r="H1780" t="s">
        <v>139</v>
      </c>
      <c r="I1780">
        <v>50683</v>
      </c>
    </row>
    <row r="1781" spans="1:9" x14ac:dyDescent="0.25">
      <c r="A1781" t="s">
        <v>13272</v>
      </c>
      <c r="B1781" t="s">
        <v>13273</v>
      </c>
      <c r="C1781" t="s">
        <v>15761</v>
      </c>
      <c r="D1781" t="s">
        <v>15761</v>
      </c>
      <c r="E1781" t="s">
        <v>13274</v>
      </c>
      <c r="F1781">
        <v>8515</v>
      </c>
      <c r="G1781" t="s">
        <v>1335</v>
      </c>
      <c r="H1781" t="s">
        <v>15249</v>
      </c>
      <c r="I1781">
        <v>37412</v>
      </c>
    </row>
    <row r="1782" spans="1:9" x14ac:dyDescent="0.25">
      <c r="A1782" t="s">
        <v>13277</v>
      </c>
      <c r="B1782" t="s">
        <v>13278</v>
      </c>
      <c r="C1782" t="s">
        <v>15762</v>
      </c>
      <c r="D1782" t="s">
        <v>15762</v>
      </c>
      <c r="E1782">
        <v>4144116007</v>
      </c>
      <c r="F1782">
        <v>8558</v>
      </c>
      <c r="G1782" t="s">
        <v>9937</v>
      </c>
      <c r="H1782" t="s">
        <v>1215</v>
      </c>
      <c r="I1782">
        <v>32000</v>
      </c>
    </row>
    <row r="1783" spans="1:9" x14ac:dyDescent="0.25">
      <c r="A1783" t="s">
        <v>13281</v>
      </c>
      <c r="B1783" t="s">
        <v>13282</v>
      </c>
      <c r="C1783" t="s">
        <v>13284</v>
      </c>
      <c r="D1783" t="s">
        <v>13284</v>
      </c>
      <c r="E1783" t="s">
        <v>13283</v>
      </c>
      <c r="F1783">
        <v>5201</v>
      </c>
      <c r="G1783" t="s">
        <v>79</v>
      </c>
      <c r="H1783" t="s">
        <v>79</v>
      </c>
      <c r="I1783">
        <v>53489</v>
      </c>
    </row>
    <row r="1784" spans="1:9" x14ac:dyDescent="0.25">
      <c r="A1784" t="s">
        <v>13287</v>
      </c>
      <c r="B1784" t="s">
        <v>13288</v>
      </c>
      <c r="C1784" t="s">
        <v>15763</v>
      </c>
      <c r="D1784" t="s">
        <v>15763</v>
      </c>
      <c r="E1784" t="s">
        <v>13289</v>
      </c>
      <c r="F1784">
        <v>8513</v>
      </c>
      <c r="G1784" t="s">
        <v>2045</v>
      </c>
      <c r="H1784" t="s">
        <v>72</v>
      </c>
      <c r="I1784">
        <v>50583</v>
      </c>
    </row>
    <row r="1785" spans="1:9" x14ac:dyDescent="0.25">
      <c r="A1785" t="s">
        <v>13293</v>
      </c>
      <c r="B1785" t="s">
        <v>13294</v>
      </c>
      <c r="C1785" t="s">
        <v>13298</v>
      </c>
      <c r="D1785" t="s">
        <v>13298</v>
      </c>
      <c r="E1785" t="s">
        <v>13296</v>
      </c>
      <c r="F1785">
        <v>8792</v>
      </c>
      <c r="G1785" t="s">
        <v>13295</v>
      </c>
      <c r="H1785" t="s">
        <v>15534</v>
      </c>
      <c r="I1785">
        <v>1805</v>
      </c>
    </row>
    <row r="1786" spans="1:9" x14ac:dyDescent="0.25">
      <c r="A1786" t="s">
        <v>13301</v>
      </c>
      <c r="B1786" t="s">
        <v>13302</v>
      </c>
      <c r="C1786" t="s">
        <v>13304</v>
      </c>
      <c r="D1786" t="s">
        <v>15764</v>
      </c>
      <c r="E1786">
        <v>4122280575</v>
      </c>
      <c r="F1786">
        <v>8792</v>
      </c>
      <c r="G1786" t="s">
        <v>13295</v>
      </c>
      <c r="H1786" t="s">
        <v>15534</v>
      </c>
      <c r="I1786">
        <v>41201</v>
      </c>
    </row>
    <row r="1787" spans="1:9" x14ac:dyDescent="0.25">
      <c r="A1787" t="s">
        <v>13307</v>
      </c>
      <c r="B1787" t="s">
        <v>13309</v>
      </c>
      <c r="C1787" t="s">
        <v>15765</v>
      </c>
      <c r="D1787" t="s">
        <v>15766</v>
      </c>
      <c r="E1787" t="s">
        <v>13310</v>
      </c>
      <c r="F1787">
        <v>8792</v>
      </c>
      <c r="G1787" t="s">
        <v>13295</v>
      </c>
      <c r="H1787" t="s">
        <v>15534</v>
      </c>
      <c r="I1787">
        <v>47387</v>
      </c>
    </row>
    <row r="1788" spans="1:9" x14ac:dyDescent="0.25">
      <c r="A1788" t="s">
        <v>13314</v>
      </c>
      <c r="B1788" t="s">
        <v>13315</v>
      </c>
      <c r="C1788" t="s">
        <v>13317</v>
      </c>
      <c r="D1788" t="s">
        <v>13317</v>
      </c>
      <c r="E1788" t="s">
        <v>13316</v>
      </c>
      <c r="F1788">
        <v>8515</v>
      </c>
      <c r="G1788" t="s">
        <v>6685</v>
      </c>
      <c r="H1788" t="s">
        <v>137</v>
      </c>
      <c r="I1788">
        <v>37936</v>
      </c>
    </row>
    <row r="1789" spans="1:9" x14ac:dyDescent="0.25">
      <c r="A1789" t="s">
        <v>13320</v>
      </c>
      <c r="B1789" t="s">
        <v>13321</v>
      </c>
      <c r="C1789" t="s">
        <v>15767</v>
      </c>
      <c r="D1789" t="s">
        <v>15767</v>
      </c>
      <c r="E1789" t="s">
        <v>13322</v>
      </c>
      <c r="F1789">
        <v>8592</v>
      </c>
      <c r="G1789" t="s">
        <v>139</v>
      </c>
      <c r="H1789" t="s">
        <v>139</v>
      </c>
      <c r="I1789">
        <v>47294</v>
      </c>
    </row>
    <row r="1790" spans="1:9" x14ac:dyDescent="0.25">
      <c r="A1790" t="s">
        <v>13326</v>
      </c>
      <c r="B1790" t="s">
        <v>7834</v>
      </c>
      <c r="C1790" t="s">
        <v>13328</v>
      </c>
      <c r="D1790" t="s">
        <v>13328</v>
      </c>
      <c r="E1790" t="s">
        <v>7836</v>
      </c>
      <c r="F1790">
        <v>8719</v>
      </c>
      <c r="G1790" t="s">
        <v>8673</v>
      </c>
      <c r="H1790" t="s">
        <v>79</v>
      </c>
    </row>
    <row r="1791" spans="1:9" x14ac:dyDescent="0.25">
      <c r="A1791" t="s">
        <v>13331</v>
      </c>
      <c r="B1791" t="s">
        <v>13333</v>
      </c>
      <c r="C1791" t="s">
        <v>13335</v>
      </c>
      <c r="D1791" t="s">
        <v>13335</v>
      </c>
      <c r="E1791" t="s">
        <v>13334</v>
      </c>
      <c r="F1791">
        <v>5148</v>
      </c>
      <c r="G1791" t="s">
        <v>12422</v>
      </c>
      <c r="H1791" t="s">
        <v>15558</v>
      </c>
      <c r="I1791">
        <v>46708</v>
      </c>
    </row>
    <row r="1792" spans="1:9" x14ac:dyDescent="0.25">
      <c r="A1792" t="s">
        <v>13338</v>
      </c>
      <c r="B1792" t="s">
        <v>13339</v>
      </c>
      <c r="C1792" t="s">
        <v>15768</v>
      </c>
      <c r="D1792" t="s">
        <v>15768</v>
      </c>
      <c r="E1792" t="s">
        <v>13322</v>
      </c>
      <c r="F1792">
        <v>8592</v>
      </c>
      <c r="G1792" t="s">
        <v>139</v>
      </c>
      <c r="H1792" t="s">
        <v>139</v>
      </c>
      <c r="I1792">
        <v>41448</v>
      </c>
    </row>
    <row r="1793" spans="1:9" x14ac:dyDescent="0.25">
      <c r="A1793" t="s">
        <v>13342</v>
      </c>
      <c r="B1793" t="s">
        <v>13343</v>
      </c>
      <c r="C1793" t="s">
        <v>15769</v>
      </c>
      <c r="D1793" t="s">
        <v>15769</v>
      </c>
      <c r="E1793" t="s">
        <v>13344</v>
      </c>
      <c r="F1793">
        <v>8592</v>
      </c>
      <c r="G1793" t="s">
        <v>139</v>
      </c>
      <c r="H1793" t="s">
        <v>139</v>
      </c>
      <c r="I1793">
        <v>40133</v>
      </c>
    </row>
    <row r="1794" spans="1:9" x14ac:dyDescent="0.25">
      <c r="A1794" t="s">
        <v>13348</v>
      </c>
      <c r="B1794" t="s">
        <v>13256</v>
      </c>
      <c r="C1794" t="s">
        <v>13351</v>
      </c>
      <c r="D1794" t="s">
        <v>13351</v>
      </c>
      <c r="E1794" t="s">
        <v>13350</v>
      </c>
      <c r="F1794">
        <v>8515</v>
      </c>
      <c r="G1794" t="s">
        <v>1335</v>
      </c>
      <c r="H1794" t="s">
        <v>15249</v>
      </c>
      <c r="I1794">
        <v>54122</v>
      </c>
    </row>
    <row r="1795" spans="1:9" x14ac:dyDescent="0.25">
      <c r="A1795" t="s">
        <v>13354</v>
      </c>
      <c r="B1795" t="s">
        <v>13355</v>
      </c>
      <c r="C1795" t="s">
        <v>13357</v>
      </c>
      <c r="D1795" t="s">
        <v>13357</v>
      </c>
      <c r="E1795" t="s">
        <v>13356</v>
      </c>
      <c r="F1795">
        <v>8701</v>
      </c>
      <c r="G1795" t="s">
        <v>10672</v>
      </c>
      <c r="H1795" t="s">
        <v>79</v>
      </c>
      <c r="I1795">
        <v>53232</v>
      </c>
    </row>
    <row r="1796" spans="1:9" x14ac:dyDescent="0.25">
      <c r="A1796" t="s">
        <v>13360</v>
      </c>
      <c r="B1796" t="s">
        <v>5352</v>
      </c>
      <c r="C1796" t="s">
        <v>15770</v>
      </c>
      <c r="D1796" t="s">
        <v>15770</v>
      </c>
      <c r="E1796" t="s">
        <v>5353</v>
      </c>
      <c r="F1796">
        <v>8531</v>
      </c>
      <c r="G1796" t="s">
        <v>11671</v>
      </c>
      <c r="H1796" t="s">
        <v>15222</v>
      </c>
      <c r="I1796">
        <v>54465</v>
      </c>
    </row>
    <row r="1797" spans="1:9" x14ac:dyDescent="0.25">
      <c r="A1797" t="s">
        <v>13363</v>
      </c>
      <c r="B1797" t="s">
        <v>13364</v>
      </c>
      <c r="C1797" t="s">
        <v>13367</v>
      </c>
      <c r="D1797" t="s">
        <v>13367</v>
      </c>
      <c r="F1797">
        <v>8793</v>
      </c>
      <c r="G1797" t="s">
        <v>13365</v>
      </c>
      <c r="H1797" t="s">
        <v>15222</v>
      </c>
      <c r="I1797">
        <v>6911</v>
      </c>
    </row>
    <row r="1798" spans="1:9" x14ac:dyDescent="0.25">
      <c r="A1798" t="s">
        <v>13369</v>
      </c>
      <c r="B1798" t="s">
        <v>13370</v>
      </c>
      <c r="C1798" t="s">
        <v>13372</v>
      </c>
      <c r="D1798" t="s">
        <v>13372</v>
      </c>
      <c r="E1798" t="s">
        <v>13371</v>
      </c>
      <c r="F1798">
        <v>8523</v>
      </c>
      <c r="G1798" t="s">
        <v>1222</v>
      </c>
      <c r="H1798" t="s">
        <v>15226</v>
      </c>
      <c r="I1798">
        <v>35429</v>
      </c>
    </row>
    <row r="1799" spans="1:9" x14ac:dyDescent="0.25">
      <c r="A1799" t="s">
        <v>13374</v>
      </c>
      <c r="B1799" t="s">
        <v>5352</v>
      </c>
      <c r="C1799" t="s">
        <v>15771</v>
      </c>
      <c r="D1799" t="s">
        <v>15771</v>
      </c>
      <c r="E1799" t="s">
        <v>5353</v>
      </c>
      <c r="F1799">
        <v>8531</v>
      </c>
      <c r="G1799" t="s">
        <v>11671</v>
      </c>
      <c r="H1799" t="s">
        <v>15222</v>
      </c>
      <c r="I1799">
        <v>54464</v>
      </c>
    </row>
    <row r="1800" spans="1:9" x14ac:dyDescent="0.25">
      <c r="A1800" t="s">
        <v>13377</v>
      </c>
      <c r="B1800" t="s">
        <v>13256</v>
      </c>
      <c r="C1800" t="s">
        <v>15772</v>
      </c>
      <c r="D1800" t="s">
        <v>15772</v>
      </c>
      <c r="E1800" t="s">
        <v>13350</v>
      </c>
      <c r="F1800">
        <v>8515</v>
      </c>
      <c r="G1800" t="s">
        <v>1335</v>
      </c>
      <c r="H1800" t="s">
        <v>15249</v>
      </c>
      <c r="I1800">
        <v>54096</v>
      </c>
    </row>
    <row r="1801" spans="1:9" x14ac:dyDescent="0.25">
      <c r="A1801" t="s">
        <v>13381</v>
      </c>
      <c r="B1801" t="s">
        <v>13382</v>
      </c>
      <c r="C1801" t="s">
        <v>15773</v>
      </c>
      <c r="D1801" t="s">
        <v>15773</v>
      </c>
      <c r="E1801" t="s">
        <v>13383</v>
      </c>
      <c r="F1801">
        <v>8515</v>
      </c>
      <c r="G1801" t="s">
        <v>1335</v>
      </c>
      <c r="H1801" t="s">
        <v>15249</v>
      </c>
      <c r="I1801">
        <v>942</v>
      </c>
    </row>
    <row r="1802" spans="1:9" x14ac:dyDescent="0.25">
      <c r="A1802" t="s">
        <v>13391</v>
      </c>
      <c r="B1802" t="s">
        <v>13392</v>
      </c>
      <c r="C1802" t="s">
        <v>13394</v>
      </c>
      <c r="D1802" t="s">
        <v>13394</v>
      </c>
      <c r="E1802" t="s">
        <v>13393</v>
      </c>
      <c r="F1802">
        <v>8639</v>
      </c>
      <c r="G1802" t="s">
        <v>15532</v>
      </c>
      <c r="H1802" t="s">
        <v>1215</v>
      </c>
      <c r="I1802">
        <v>46913</v>
      </c>
    </row>
    <row r="1803" spans="1:9" x14ac:dyDescent="0.25">
      <c r="A1803" t="s">
        <v>13396</v>
      </c>
      <c r="B1803" t="s">
        <v>13397</v>
      </c>
      <c r="C1803" t="s">
        <v>13399</v>
      </c>
      <c r="D1803" t="s">
        <v>13399</v>
      </c>
      <c r="E1803">
        <v>4243350342</v>
      </c>
      <c r="F1803">
        <v>8673</v>
      </c>
      <c r="G1803" t="s">
        <v>6419</v>
      </c>
      <c r="H1803" t="s">
        <v>85</v>
      </c>
      <c r="I1803">
        <v>54635</v>
      </c>
    </row>
    <row r="1804" spans="1:9" x14ac:dyDescent="0.25">
      <c r="A1804" t="s">
        <v>3897</v>
      </c>
      <c r="B1804" t="s">
        <v>13402</v>
      </c>
      <c r="C1804" t="s">
        <v>13404</v>
      </c>
      <c r="D1804" t="s">
        <v>13404</v>
      </c>
      <c r="E1804">
        <v>4243107740</v>
      </c>
      <c r="F1804">
        <v>8597</v>
      </c>
      <c r="G1804" t="s">
        <v>6288</v>
      </c>
      <c r="H1804" t="s">
        <v>85</v>
      </c>
      <c r="I1804">
        <v>1394</v>
      </c>
    </row>
    <row r="1805" spans="1:9" x14ac:dyDescent="0.25">
      <c r="A1805" t="s">
        <v>13407</v>
      </c>
      <c r="B1805" t="s">
        <v>13408</v>
      </c>
      <c r="C1805" t="s">
        <v>15774</v>
      </c>
      <c r="D1805" t="s">
        <v>15775</v>
      </c>
      <c r="E1805">
        <v>4244404250</v>
      </c>
      <c r="F1805">
        <v>8558</v>
      </c>
      <c r="G1805" t="s">
        <v>9937</v>
      </c>
      <c r="H1805" t="s">
        <v>1215</v>
      </c>
      <c r="I1805">
        <v>46263</v>
      </c>
    </row>
    <row r="1806" spans="1:9" x14ac:dyDescent="0.25">
      <c r="A1806" t="s">
        <v>13417</v>
      </c>
      <c r="B1806" t="s">
        <v>13418</v>
      </c>
      <c r="C1806" t="s">
        <v>15776</v>
      </c>
      <c r="D1806" t="s">
        <v>15776</v>
      </c>
      <c r="E1806" t="s">
        <v>13419</v>
      </c>
      <c r="F1806">
        <v>8555</v>
      </c>
      <c r="G1806" t="s">
        <v>922</v>
      </c>
      <c r="H1806" t="s">
        <v>15222</v>
      </c>
      <c r="I1806">
        <v>54342</v>
      </c>
    </row>
    <row r="1807" spans="1:9" x14ac:dyDescent="0.25">
      <c r="A1807" t="s">
        <v>13422</v>
      </c>
      <c r="B1807" t="s">
        <v>13423</v>
      </c>
      <c r="C1807" t="s">
        <v>13424</v>
      </c>
      <c r="D1807" t="s">
        <v>15777</v>
      </c>
      <c r="F1807">
        <v>8673</v>
      </c>
      <c r="G1807" t="s">
        <v>6419</v>
      </c>
      <c r="H1807" t="s">
        <v>85</v>
      </c>
      <c r="I1807">
        <v>53079</v>
      </c>
    </row>
    <row r="1808" spans="1:9" x14ac:dyDescent="0.25">
      <c r="A1808" t="s">
        <v>13427</v>
      </c>
      <c r="B1808" t="s">
        <v>13428</v>
      </c>
      <c r="C1808" t="s">
        <v>13430</v>
      </c>
      <c r="D1808" t="s">
        <v>13430</v>
      </c>
      <c r="E1808">
        <v>4268666373</v>
      </c>
      <c r="F1808">
        <v>8691</v>
      </c>
      <c r="G1808" t="s">
        <v>10395</v>
      </c>
      <c r="H1808" t="s">
        <v>79</v>
      </c>
      <c r="I1808">
        <v>38937</v>
      </c>
    </row>
    <row r="1809" spans="1:9" x14ac:dyDescent="0.25">
      <c r="A1809" t="s">
        <v>13432</v>
      </c>
      <c r="B1809" t="s">
        <v>13433</v>
      </c>
      <c r="C1809" t="s">
        <v>13435</v>
      </c>
      <c r="D1809" t="s">
        <v>15504</v>
      </c>
      <c r="E1809" t="s">
        <v>13434</v>
      </c>
      <c r="F1809">
        <v>8708</v>
      </c>
      <c r="G1809" t="s">
        <v>79</v>
      </c>
      <c r="H1809" t="s">
        <v>4854</v>
      </c>
      <c r="I1809">
        <v>30588</v>
      </c>
    </row>
    <row r="1810" spans="1:9" x14ac:dyDescent="0.25">
      <c r="A1810" t="s">
        <v>13438</v>
      </c>
      <c r="B1810" t="s">
        <v>13439</v>
      </c>
      <c r="C1810" t="s">
        <v>13441</v>
      </c>
      <c r="D1810" t="s">
        <v>13441</v>
      </c>
      <c r="E1810" t="s">
        <v>13440</v>
      </c>
      <c r="F1810">
        <v>8650</v>
      </c>
      <c r="G1810" t="s">
        <v>5261</v>
      </c>
      <c r="H1810" t="s">
        <v>139</v>
      </c>
      <c r="I1810">
        <v>50970</v>
      </c>
    </row>
    <row r="1811" spans="1:9" x14ac:dyDescent="0.25">
      <c r="A1811" t="s">
        <v>13449</v>
      </c>
      <c r="B1811" t="s">
        <v>13450</v>
      </c>
      <c r="C1811" t="s">
        <v>13452</v>
      </c>
      <c r="D1811" t="s">
        <v>13452</v>
      </c>
      <c r="E1811" t="s">
        <v>13451</v>
      </c>
      <c r="F1811">
        <v>8601</v>
      </c>
      <c r="G1811" t="s">
        <v>10141</v>
      </c>
      <c r="H1811" t="s">
        <v>15534</v>
      </c>
      <c r="I1811">
        <v>51436</v>
      </c>
    </row>
    <row r="1812" spans="1:9" x14ac:dyDescent="0.25">
      <c r="A1812" t="s">
        <v>13455</v>
      </c>
      <c r="B1812" t="s">
        <v>13456</v>
      </c>
      <c r="C1812" t="s">
        <v>15778</v>
      </c>
      <c r="D1812" t="s">
        <v>15778</v>
      </c>
      <c r="F1812">
        <v>8566</v>
      </c>
      <c r="G1812" t="s">
        <v>10695</v>
      </c>
      <c r="H1812" t="s">
        <v>85</v>
      </c>
      <c r="I1812">
        <v>3642</v>
      </c>
    </row>
    <row r="1813" spans="1:9" x14ac:dyDescent="0.25">
      <c r="A1813" t="s">
        <v>13460</v>
      </c>
      <c r="B1813" t="s">
        <v>8203</v>
      </c>
      <c r="C1813" t="s">
        <v>13463</v>
      </c>
      <c r="D1813" t="s">
        <v>13463</v>
      </c>
      <c r="E1813" t="s">
        <v>13462</v>
      </c>
      <c r="F1813">
        <v>8515</v>
      </c>
      <c r="G1813" t="s">
        <v>1335</v>
      </c>
      <c r="H1813" t="s">
        <v>15249</v>
      </c>
      <c r="I1813">
        <v>42392</v>
      </c>
    </row>
    <row r="1814" spans="1:9" x14ac:dyDescent="0.25">
      <c r="A1814" t="s">
        <v>13466</v>
      </c>
      <c r="B1814" t="s">
        <v>13467</v>
      </c>
      <c r="C1814" t="s">
        <v>15779</v>
      </c>
      <c r="D1814" t="s">
        <v>15779</v>
      </c>
      <c r="E1814" t="s">
        <v>1369</v>
      </c>
      <c r="F1814">
        <v>8541</v>
      </c>
      <c r="G1814" t="s">
        <v>1072</v>
      </c>
      <c r="H1814" t="s">
        <v>72</v>
      </c>
      <c r="I1814">
        <v>54774</v>
      </c>
    </row>
    <row r="1815" spans="1:9" x14ac:dyDescent="0.25">
      <c r="A1815" t="s">
        <v>13471</v>
      </c>
      <c r="B1815" t="s">
        <v>13472</v>
      </c>
      <c r="C1815" t="s">
        <v>13474</v>
      </c>
      <c r="D1815" t="s">
        <v>13474</v>
      </c>
      <c r="E1815" t="s">
        <v>13473</v>
      </c>
      <c r="F1815">
        <v>8601</v>
      </c>
      <c r="G1815" t="s">
        <v>10141</v>
      </c>
      <c r="H1815" t="s">
        <v>15534</v>
      </c>
      <c r="I1815">
        <v>1735</v>
      </c>
    </row>
    <row r="1816" spans="1:9" x14ac:dyDescent="0.25">
      <c r="A1816" t="s">
        <v>13478</v>
      </c>
      <c r="B1816" t="s">
        <v>13479</v>
      </c>
      <c r="C1816" t="s">
        <v>15780</v>
      </c>
      <c r="D1816" t="s">
        <v>15780</v>
      </c>
      <c r="E1816" t="s">
        <v>13480</v>
      </c>
      <c r="F1816">
        <v>8601</v>
      </c>
      <c r="G1816" t="s">
        <v>10141</v>
      </c>
      <c r="H1816" t="s">
        <v>15534</v>
      </c>
      <c r="I1816">
        <v>53999</v>
      </c>
    </row>
    <row r="1817" spans="1:9" x14ac:dyDescent="0.25">
      <c r="A1817" t="s">
        <v>13484</v>
      </c>
      <c r="B1817" t="s">
        <v>13486</v>
      </c>
      <c r="C1817" t="s">
        <v>13488</v>
      </c>
      <c r="D1817" t="s">
        <v>13488</v>
      </c>
      <c r="E1817" t="s">
        <v>13487</v>
      </c>
      <c r="F1817">
        <v>8543</v>
      </c>
      <c r="G1817" t="s">
        <v>2508</v>
      </c>
      <c r="H1817" t="s">
        <v>72</v>
      </c>
      <c r="I1817">
        <v>8731</v>
      </c>
    </row>
    <row r="1818" spans="1:9" x14ac:dyDescent="0.25">
      <c r="A1818" t="s">
        <v>13495</v>
      </c>
      <c r="B1818" t="s">
        <v>13496</v>
      </c>
      <c r="C1818" t="s">
        <v>15781</v>
      </c>
      <c r="D1818" t="s">
        <v>15782</v>
      </c>
      <c r="F1818">
        <v>8709</v>
      </c>
      <c r="G1818" t="s">
        <v>8192</v>
      </c>
      <c r="H1818" t="s">
        <v>2399</v>
      </c>
      <c r="I1818">
        <v>7965</v>
      </c>
    </row>
    <row r="1819" spans="1:9" x14ac:dyDescent="0.25">
      <c r="A1819" t="s">
        <v>13500</v>
      </c>
      <c r="B1819" t="s">
        <v>2744</v>
      </c>
      <c r="C1819" t="s">
        <v>15783</v>
      </c>
      <c r="D1819" t="s">
        <v>15783</v>
      </c>
      <c r="E1819" t="s">
        <v>2745</v>
      </c>
      <c r="F1819">
        <v>8540</v>
      </c>
      <c r="G1819" t="s">
        <v>2981</v>
      </c>
      <c r="H1819" t="s">
        <v>72</v>
      </c>
      <c r="I1819">
        <v>54656</v>
      </c>
    </row>
    <row r="1820" spans="1:9" x14ac:dyDescent="0.25">
      <c r="A1820" t="s">
        <v>13504</v>
      </c>
      <c r="B1820" t="s">
        <v>13505</v>
      </c>
      <c r="C1820" t="s">
        <v>13507</v>
      </c>
      <c r="D1820" t="s">
        <v>13507</v>
      </c>
      <c r="E1820">
        <v>4128888220</v>
      </c>
      <c r="F1820">
        <v>8558</v>
      </c>
      <c r="G1820" t="s">
        <v>9937</v>
      </c>
      <c r="H1820" t="s">
        <v>1215</v>
      </c>
      <c r="I1820">
        <v>54595</v>
      </c>
    </row>
    <row r="1821" spans="1:9" x14ac:dyDescent="0.25">
      <c r="A1821" t="s">
        <v>13510</v>
      </c>
      <c r="B1821" t="s">
        <v>13512</v>
      </c>
      <c r="C1821" t="s">
        <v>15784</v>
      </c>
      <c r="D1821" t="s">
        <v>15784</v>
      </c>
      <c r="E1821" t="s">
        <v>13513</v>
      </c>
      <c r="F1821">
        <v>8638</v>
      </c>
      <c r="G1821" t="s">
        <v>15388</v>
      </c>
      <c r="H1821" t="s">
        <v>137</v>
      </c>
      <c r="I1821">
        <v>52627</v>
      </c>
    </row>
    <row r="1822" spans="1:9" x14ac:dyDescent="0.25">
      <c r="A1822" t="s">
        <v>13521</v>
      </c>
      <c r="B1822" t="s">
        <v>13522</v>
      </c>
      <c r="C1822" t="s">
        <v>15785</v>
      </c>
      <c r="D1822" t="s">
        <v>15785</v>
      </c>
      <c r="E1822" t="s">
        <v>13524</v>
      </c>
      <c r="F1822">
        <v>8645</v>
      </c>
      <c r="G1822" t="s">
        <v>13523</v>
      </c>
      <c r="H1822" t="s">
        <v>137</v>
      </c>
      <c r="I1822">
        <v>31657</v>
      </c>
    </row>
    <row r="1823" spans="1:9" x14ac:dyDescent="0.25">
      <c r="A1823" t="s">
        <v>13529</v>
      </c>
      <c r="B1823" t="s">
        <v>13530</v>
      </c>
      <c r="C1823" t="s">
        <v>15786</v>
      </c>
      <c r="D1823" t="s">
        <v>15786</v>
      </c>
      <c r="E1823" t="s">
        <v>13531</v>
      </c>
      <c r="F1823">
        <v>8601</v>
      </c>
      <c r="G1823" t="s">
        <v>10141</v>
      </c>
      <c r="H1823" t="s">
        <v>15534</v>
      </c>
      <c r="I1823">
        <v>40275</v>
      </c>
    </row>
    <row r="1824" spans="1:9" x14ac:dyDescent="0.25">
      <c r="A1824" t="s">
        <v>13535</v>
      </c>
      <c r="B1824" t="s">
        <v>13530</v>
      </c>
      <c r="C1824" t="s">
        <v>13536</v>
      </c>
      <c r="D1824" t="s">
        <v>15787</v>
      </c>
      <c r="E1824" t="s">
        <v>13531</v>
      </c>
      <c r="F1824">
        <v>8601</v>
      </c>
      <c r="G1824" t="s">
        <v>10141</v>
      </c>
      <c r="H1824" t="s">
        <v>15534</v>
      </c>
      <c r="I1824">
        <v>45960</v>
      </c>
    </row>
    <row r="1825" spans="1:9" x14ac:dyDescent="0.25">
      <c r="A1825" t="s">
        <v>13539</v>
      </c>
      <c r="B1825" t="s">
        <v>13540</v>
      </c>
      <c r="C1825" t="s">
        <v>15788</v>
      </c>
      <c r="D1825" t="s">
        <v>15788</v>
      </c>
      <c r="E1825" t="s">
        <v>13541</v>
      </c>
      <c r="F1825">
        <v>8761</v>
      </c>
      <c r="G1825" t="s">
        <v>10571</v>
      </c>
      <c r="H1825" t="s">
        <v>15591</v>
      </c>
      <c r="I1825">
        <v>40443</v>
      </c>
    </row>
    <row r="1826" spans="1:9" x14ac:dyDescent="0.25">
      <c r="A1826" t="s">
        <v>13552</v>
      </c>
      <c r="B1826" t="s">
        <v>13554</v>
      </c>
      <c r="F1826">
        <v>6201</v>
      </c>
      <c r="G1826" t="s">
        <v>41</v>
      </c>
      <c r="H1826" t="s">
        <v>15220</v>
      </c>
    </row>
    <row r="1827" spans="1:9" x14ac:dyDescent="0.25">
      <c r="A1827" t="s">
        <v>13559</v>
      </c>
      <c r="B1827" t="s">
        <v>13560</v>
      </c>
      <c r="C1827" t="s">
        <v>15789</v>
      </c>
      <c r="D1827" t="s">
        <v>15789</v>
      </c>
      <c r="E1827" t="s">
        <v>13561</v>
      </c>
      <c r="F1827">
        <v>8772</v>
      </c>
      <c r="G1827" t="s">
        <v>11588</v>
      </c>
      <c r="H1827" t="s">
        <v>1215</v>
      </c>
      <c r="I1827">
        <v>1585</v>
      </c>
    </row>
    <row r="1828" spans="1:9" x14ac:dyDescent="0.25">
      <c r="A1828" t="s">
        <v>13565</v>
      </c>
      <c r="B1828" t="s">
        <v>13566</v>
      </c>
      <c r="F1828">
        <v>6201</v>
      </c>
      <c r="G1828" t="s">
        <v>41</v>
      </c>
      <c r="H1828" t="s">
        <v>15220</v>
      </c>
    </row>
    <row r="1829" spans="1:9" x14ac:dyDescent="0.25">
      <c r="A1829" t="s">
        <v>13569</v>
      </c>
      <c r="B1829" t="s">
        <v>13570</v>
      </c>
      <c r="C1829" t="s">
        <v>13572</v>
      </c>
      <c r="D1829" t="s">
        <v>13572</v>
      </c>
      <c r="E1829" t="s">
        <v>13571</v>
      </c>
      <c r="F1829">
        <v>8678</v>
      </c>
      <c r="G1829" t="s">
        <v>6104</v>
      </c>
      <c r="H1829" t="s">
        <v>15293</v>
      </c>
      <c r="I1829">
        <v>2318</v>
      </c>
    </row>
    <row r="1830" spans="1:9" x14ac:dyDescent="0.25">
      <c r="A1830" t="s">
        <v>13575</v>
      </c>
      <c r="B1830" t="s">
        <v>13576</v>
      </c>
      <c r="C1830" t="s">
        <v>13577</v>
      </c>
      <c r="D1830" t="s">
        <v>13577</v>
      </c>
      <c r="F1830">
        <v>8566</v>
      </c>
      <c r="G1830" t="s">
        <v>10695</v>
      </c>
      <c r="H1830" t="s">
        <v>85</v>
      </c>
      <c r="I1830">
        <v>40644</v>
      </c>
    </row>
    <row r="1831" spans="1:9" x14ac:dyDescent="0.25">
      <c r="A1831" t="s">
        <v>13580</v>
      </c>
      <c r="B1831" t="s">
        <v>13581</v>
      </c>
      <c r="C1831" t="s">
        <v>15790</v>
      </c>
      <c r="D1831" t="s">
        <v>15790</v>
      </c>
      <c r="E1831" t="s">
        <v>13583</v>
      </c>
      <c r="F1831">
        <v>8795</v>
      </c>
      <c r="G1831" t="s">
        <v>13582</v>
      </c>
      <c r="H1831" t="s">
        <v>15534</v>
      </c>
      <c r="I1831">
        <v>49981</v>
      </c>
    </row>
    <row r="1832" spans="1:9" x14ac:dyDescent="0.25">
      <c r="A1832" t="s">
        <v>13589</v>
      </c>
      <c r="B1832" t="s">
        <v>13590</v>
      </c>
      <c r="C1832" t="s">
        <v>13592</v>
      </c>
      <c r="D1832" t="s">
        <v>13592</v>
      </c>
      <c r="E1832" t="s">
        <v>13591</v>
      </c>
      <c r="F1832">
        <v>8566</v>
      </c>
      <c r="G1832" t="s">
        <v>12118</v>
      </c>
      <c r="H1832" t="s">
        <v>85</v>
      </c>
      <c r="I1832">
        <v>51345</v>
      </c>
    </row>
    <row r="1833" spans="1:9" x14ac:dyDescent="0.25">
      <c r="A1833" t="s">
        <v>13594</v>
      </c>
      <c r="B1833" t="s">
        <v>3353</v>
      </c>
      <c r="C1833" t="s">
        <v>3355</v>
      </c>
      <c r="D1833" t="s">
        <v>15791</v>
      </c>
      <c r="E1833" t="s">
        <v>3354</v>
      </c>
      <c r="F1833">
        <v>6201</v>
      </c>
      <c r="G1833" t="s">
        <v>41</v>
      </c>
      <c r="H1833" t="s">
        <v>15220</v>
      </c>
      <c r="I1833">
        <v>6762</v>
      </c>
    </row>
    <row r="1834" spans="1:9" x14ac:dyDescent="0.25">
      <c r="A1834" t="s">
        <v>13596</v>
      </c>
      <c r="B1834" t="s">
        <v>3353</v>
      </c>
      <c r="C1834" t="s">
        <v>3355</v>
      </c>
      <c r="D1834" t="s">
        <v>15792</v>
      </c>
      <c r="E1834" t="s">
        <v>3354</v>
      </c>
      <c r="F1834">
        <v>6201</v>
      </c>
      <c r="G1834" t="s">
        <v>41</v>
      </c>
      <c r="H1834" t="s">
        <v>15220</v>
      </c>
      <c r="I1834">
        <v>6762</v>
      </c>
    </row>
    <row r="1835" spans="1:9" x14ac:dyDescent="0.25">
      <c r="A1835" t="s">
        <v>13598</v>
      </c>
      <c r="B1835" t="s">
        <v>3353</v>
      </c>
      <c r="C1835" t="s">
        <v>3355</v>
      </c>
      <c r="D1835" t="s">
        <v>15793</v>
      </c>
      <c r="F1835">
        <v>6201</v>
      </c>
      <c r="G1835" t="s">
        <v>41</v>
      </c>
      <c r="H1835" t="s">
        <v>15220</v>
      </c>
      <c r="I1835">
        <v>6762</v>
      </c>
    </row>
    <row r="1836" spans="1:9" x14ac:dyDescent="0.25">
      <c r="A1836" t="s">
        <v>13601</v>
      </c>
      <c r="B1836" t="s">
        <v>3353</v>
      </c>
      <c r="C1836" t="s">
        <v>3355</v>
      </c>
      <c r="D1836" t="s">
        <v>15794</v>
      </c>
      <c r="F1836">
        <v>6201</v>
      </c>
      <c r="G1836" t="s">
        <v>41</v>
      </c>
      <c r="H1836" t="s">
        <v>15220</v>
      </c>
      <c r="I1836">
        <v>6762</v>
      </c>
    </row>
    <row r="1837" spans="1:9" x14ac:dyDescent="0.25">
      <c r="A1837" t="s">
        <v>13603</v>
      </c>
      <c r="B1837" t="s">
        <v>3353</v>
      </c>
      <c r="C1837" t="s">
        <v>3355</v>
      </c>
      <c r="D1837" t="s">
        <v>15795</v>
      </c>
      <c r="E1837" t="s">
        <v>3354</v>
      </c>
      <c r="F1837">
        <v>6201</v>
      </c>
      <c r="G1837" t="s">
        <v>41</v>
      </c>
      <c r="H1837" t="s">
        <v>15220</v>
      </c>
      <c r="I1837">
        <v>6762</v>
      </c>
    </row>
    <row r="1838" spans="1:9" x14ac:dyDescent="0.25">
      <c r="A1838" t="s">
        <v>13605</v>
      </c>
      <c r="B1838" t="s">
        <v>3353</v>
      </c>
      <c r="C1838" t="s">
        <v>3355</v>
      </c>
      <c r="D1838" t="s">
        <v>15796</v>
      </c>
      <c r="F1838">
        <v>6201</v>
      </c>
      <c r="G1838" t="s">
        <v>41</v>
      </c>
      <c r="H1838" t="s">
        <v>15220</v>
      </c>
      <c r="I1838">
        <v>6762</v>
      </c>
    </row>
    <row r="1839" spans="1:9" x14ac:dyDescent="0.25">
      <c r="A1839" t="s">
        <v>13609</v>
      </c>
      <c r="B1839" t="s">
        <v>3353</v>
      </c>
      <c r="C1839" t="s">
        <v>3355</v>
      </c>
      <c r="D1839" t="s">
        <v>15797</v>
      </c>
      <c r="E1839" t="s">
        <v>3354</v>
      </c>
      <c r="F1839">
        <v>6201</v>
      </c>
      <c r="G1839" t="s">
        <v>41</v>
      </c>
      <c r="H1839" t="s">
        <v>15220</v>
      </c>
      <c r="I1839">
        <v>6762</v>
      </c>
    </row>
    <row r="1840" spans="1:9" x14ac:dyDescent="0.25">
      <c r="A1840" t="s">
        <v>13611</v>
      </c>
      <c r="B1840" t="s">
        <v>3353</v>
      </c>
      <c r="C1840" t="s">
        <v>3355</v>
      </c>
      <c r="D1840" t="s">
        <v>15798</v>
      </c>
      <c r="F1840">
        <v>6201</v>
      </c>
      <c r="G1840" t="s">
        <v>41</v>
      </c>
      <c r="H1840" t="s">
        <v>15220</v>
      </c>
    </row>
    <row r="1841" spans="1:9" x14ac:dyDescent="0.25">
      <c r="A1841" t="s">
        <v>13613</v>
      </c>
      <c r="B1841" t="s">
        <v>3353</v>
      </c>
      <c r="C1841" t="s">
        <v>3355</v>
      </c>
      <c r="D1841" t="s">
        <v>15799</v>
      </c>
      <c r="E1841" t="s">
        <v>3354</v>
      </c>
      <c r="F1841">
        <v>6201</v>
      </c>
      <c r="G1841" t="s">
        <v>41</v>
      </c>
      <c r="H1841" t="s">
        <v>15220</v>
      </c>
      <c r="I1841">
        <v>6762</v>
      </c>
    </row>
    <row r="1842" spans="1:9" x14ac:dyDescent="0.25">
      <c r="A1842" t="s">
        <v>13615</v>
      </c>
      <c r="B1842" t="s">
        <v>3353</v>
      </c>
      <c r="C1842" t="s">
        <v>3355</v>
      </c>
      <c r="D1842" t="s">
        <v>15800</v>
      </c>
      <c r="F1842">
        <v>6201</v>
      </c>
      <c r="G1842" t="s">
        <v>41</v>
      </c>
      <c r="H1842" t="s">
        <v>15220</v>
      </c>
      <c r="I1842">
        <v>6762</v>
      </c>
    </row>
    <row r="1843" spans="1:9" x14ac:dyDescent="0.25">
      <c r="A1843" t="s">
        <v>13617</v>
      </c>
      <c r="B1843" t="s">
        <v>3353</v>
      </c>
      <c r="C1843" t="s">
        <v>3355</v>
      </c>
      <c r="D1843" t="s">
        <v>15801</v>
      </c>
      <c r="F1843">
        <v>6201</v>
      </c>
      <c r="G1843" t="s">
        <v>41</v>
      </c>
      <c r="H1843" t="s">
        <v>15220</v>
      </c>
      <c r="I1843">
        <v>6762</v>
      </c>
    </row>
    <row r="1844" spans="1:9" x14ac:dyDescent="0.25">
      <c r="A1844" t="s">
        <v>13619</v>
      </c>
      <c r="B1844" t="s">
        <v>3353</v>
      </c>
      <c r="C1844" t="s">
        <v>3355</v>
      </c>
      <c r="D1844" t="s">
        <v>15802</v>
      </c>
      <c r="E1844" t="s">
        <v>3354</v>
      </c>
      <c r="F1844">
        <v>6201</v>
      </c>
      <c r="G1844" t="s">
        <v>41</v>
      </c>
      <c r="H1844" t="s">
        <v>15220</v>
      </c>
      <c r="I1844">
        <v>6762</v>
      </c>
    </row>
    <row r="1845" spans="1:9" x14ac:dyDescent="0.25">
      <c r="A1845" t="s">
        <v>13621</v>
      </c>
      <c r="B1845" t="s">
        <v>3353</v>
      </c>
      <c r="C1845" t="s">
        <v>3355</v>
      </c>
      <c r="D1845" t="s">
        <v>15803</v>
      </c>
      <c r="E1845" t="s">
        <v>3354</v>
      </c>
      <c r="F1845">
        <v>6201</v>
      </c>
      <c r="G1845" t="s">
        <v>41</v>
      </c>
      <c r="H1845" t="s">
        <v>15220</v>
      </c>
      <c r="I1845">
        <v>6762</v>
      </c>
    </row>
    <row r="1846" spans="1:9" x14ac:dyDescent="0.25">
      <c r="A1846" t="s">
        <v>13623</v>
      </c>
      <c r="B1846" t="s">
        <v>13624</v>
      </c>
      <c r="C1846" t="s">
        <v>13626</v>
      </c>
      <c r="D1846" t="s">
        <v>15804</v>
      </c>
      <c r="E1846" t="s">
        <v>13625</v>
      </c>
      <c r="F1846">
        <v>8691</v>
      </c>
      <c r="G1846" t="s">
        <v>10395</v>
      </c>
      <c r="H1846" t="s">
        <v>79</v>
      </c>
      <c r="I1846">
        <v>3455</v>
      </c>
    </row>
    <row r="1847" spans="1:9" x14ac:dyDescent="0.25">
      <c r="A1847" t="s">
        <v>13629</v>
      </c>
      <c r="B1847" t="s">
        <v>3353</v>
      </c>
      <c r="C1847" t="s">
        <v>3355</v>
      </c>
      <c r="D1847" t="s">
        <v>15805</v>
      </c>
      <c r="E1847" t="s">
        <v>3354</v>
      </c>
      <c r="F1847">
        <v>6201</v>
      </c>
      <c r="G1847" t="s">
        <v>41</v>
      </c>
      <c r="H1847" t="s">
        <v>15220</v>
      </c>
      <c r="I1847">
        <v>6762</v>
      </c>
    </row>
    <row r="1848" spans="1:9" x14ac:dyDescent="0.25">
      <c r="A1848" t="s">
        <v>13631</v>
      </c>
      <c r="B1848" t="s">
        <v>3353</v>
      </c>
      <c r="C1848" t="s">
        <v>3355</v>
      </c>
      <c r="D1848" t="s">
        <v>15806</v>
      </c>
      <c r="E1848" t="s">
        <v>3354</v>
      </c>
      <c r="F1848">
        <v>6201</v>
      </c>
      <c r="G1848" t="s">
        <v>41</v>
      </c>
      <c r="H1848" t="s">
        <v>15220</v>
      </c>
      <c r="I1848">
        <v>6762</v>
      </c>
    </row>
    <row r="1849" spans="1:9" x14ac:dyDescent="0.25">
      <c r="A1849" t="s">
        <v>13633</v>
      </c>
      <c r="B1849" t="s">
        <v>3353</v>
      </c>
      <c r="C1849" t="s">
        <v>3355</v>
      </c>
      <c r="D1849" t="s">
        <v>15807</v>
      </c>
      <c r="E1849" t="s">
        <v>3354</v>
      </c>
      <c r="F1849">
        <v>6201</v>
      </c>
      <c r="G1849" t="s">
        <v>41</v>
      </c>
      <c r="H1849" t="s">
        <v>15220</v>
      </c>
      <c r="I1849">
        <v>6762</v>
      </c>
    </row>
    <row r="1850" spans="1:9" x14ac:dyDescent="0.25">
      <c r="A1850" t="s">
        <v>13636</v>
      </c>
      <c r="B1850" t="s">
        <v>3353</v>
      </c>
      <c r="C1850" t="s">
        <v>3355</v>
      </c>
      <c r="D1850" t="s">
        <v>15808</v>
      </c>
      <c r="E1850" t="s">
        <v>3354</v>
      </c>
      <c r="F1850">
        <v>6201</v>
      </c>
      <c r="G1850" t="s">
        <v>41</v>
      </c>
      <c r="H1850" t="s">
        <v>15220</v>
      </c>
      <c r="I1850">
        <v>6762</v>
      </c>
    </row>
    <row r="1851" spans="1:9" x14ac:dyDescent="0.25">
      <c r="A1851" t="s">
        <v>13638</v>
      </c>
      <c r="B1851" t="s">
        <v>3353</v>
      </c>
      <c r="C1851" t="s">
        <v>3355</v>
      </c>
      <c r="D1851" t="s">
        <v>15809</v>
      </c>
      <c r="E1851" t="s">
        <v>3354</v>
      </c>
      <c r="F1851">
        <v>6201</v>
      </c>
      <c r="G1851" t="s">
        <v>41</v>
      </c>
      <c r="H1851" t="s">
        <v>15220</v>
      </c>
      <c r="I1851">
        <v>6762</v>
      </c>
    </row>
    <row r="1852" spans="1:9" x14ac:dyDescent="0.25">
      <c r="A1852" t="s">
        <v>13640</v>
      </c>
      <c r="B1852" t="s">
        <v>3353</v>
      </c>
      <c r="C1852" t="s">
        <v>3355</v>
      </c>
      <c r="D1852" t="s">
        <v>15330</v>
      </c>
      <c r="E1852" t="s">
        <v>3354</v>
      </c>
      <c r="F1852">
        <v>6201</v>
      </c>
      <c r="G1852" t="s">
        <v>41</v>
      </c>
      <c r="H1852" t="s">
        <v>15220</v>
      </c>
      <c r="I1852">
        <v>6762</v>
      </c>
    </row>
    <row r="1853" spans="1:9" x14ac:dyDescent="0.25">
      <c r="A1853" t="s">
        <v>13642</v>
      </c>
      <c r="B1853" t="s">
        <v>3353</v>
      </c>
      <c r="C1853" t="s">
        <v>3355</v>
      </c>
      <c r="D1853" t="s">
        <v>15810</v>
      </c>
      <c r="E1853" t="s">
        <v>3354</v>
      </c>
      <c r="F1853">
        <v>6201</v>
      </c>
      <c r="G1853" t="s">
        <v>41</v>
      </c>
      <c r="H1853" t="s">
        <v>15220</v>
      </c>
      <c r="I1853">
        <v>6762</v>
      </c>
    </row>
    <row r="1854" spans="1:9" x14ac:dyDescent="0.25">
      <c r="A1854" t="s">
        <v>13644</v>
      </c>
      <c r="B1854" t="s">
        <v>13645</v>
      </c>
      <c r="C1854" t="s">
        <v>13647</v>
      </c>
      <c r="D1854" t="s">
        <v>13647</v>
      </c>
      <c r="E1854" t="s">
        <v>13646</v>
      </c>
      <c r="F1854">
        <v>8601</v>
      </c>
      <c r="G1854" t="s">
        <v>10141</v>
      </c>
      <c r="H1854" t="s">
        <v>15534</v>
      </c>
      <c r="I1854">
        <v>53831</v>
      </c>
    </row>
    <row r="1855" spans="1:9" x14ac:dyDescent="0.25">
      <c r="A1855" t="s">
        <v>13650</v>
      </c>
      <c r="B1855" t="s">
        <v>13651</v>
      </c>
      <c r="C1855" t="s">
        <v>13656</v>
      </c>
      <c r="D1855" t="s">
        <v>13656</v>
      </c>
      <c r="E1855" t="s">
        <v>13653</v>
      </c>
      <c r="F1855">
        <v>8796</v>
      </c>
      <c r="G1855" t="s">
        <v>13652</v>
      </c>
      <c r="H1855" t="s">
        <v>15534</v>
      </c>
      <c r="I1855">
        <v>53465</v>
      </c>
    </row>
    <row r="1856" spans="1:9" x14ac:dyDescent="0.25">
      <c r="A1856" t="s">
        <v>13659</v>
      </c>
      <c r="B1856" t="s">
        <v>13660</v>
      </c>
      <c r="C1856" t="s">
        <v>13662</v>
      </c>
      <c r="D1856" t="s">
        <v>13662</v>
      </c>
      <c r="E1856" t="s">
        <v>13661</v>
      </c>
      <c r="F1856">
        <v>8763</v>
      </c>
      <c r="G1856" t="s">
        <v>10344</v>
      </c>
      <c r="H1856" t="s">
        <v>15534</v>
      </c>
      <c r="I1856">
        <v>47269</v>
      </c>
    </row>
    <row r="1857" spans="1:9" x14ac:dyDescent="0.25">
      <c r="A1857" t="s">
        <v>13670</v>
      </c>
      <c r="B1857" t="s">
        <v>13671</v>
      </c>
      <c r="C1857" t="s">
        <v>13672</v>
      </c>
      <c r="D1857" t="s">
        <v>13672</v>
      </c>
      <c r="E1857" t="s">
        <v>993</v>
      </c>
      <c r="F1857">
        <v>8543</v>
      </c>
      <c r="G1857" t="s">
        <v>2508</v>
      </c>
      <c r="H1857" t="s">
        <v>72</v>
      </c>
      <c r="I1857">
        <v>54740</v>
      </c>
    </row>
    <row r="1858" spans="1:9" x14ac:dyDescent="0.25">
      <c r="A1858" t="s">
        <v>13691</v>
      </c>
      <c r="B1858" t="s">
        <v>13692</v>
      </c>
      <c r="C1858" t="s">
        <v>13694</v>
      </c>
      <c r="D1858" t="s">
        <v>13694</v>
      </c>
      <c r="E1858">
        <v>4125902406</v>
      </c>
      <c r="F1858">
        <v>8695</v>
      </c>
      <c r="G1858" t="s">
        <v>8524</v>
      </c>
      <c r="H1858" t="s">
        <v>2399</v>
      </c>
      <c r="I1858">
        <v>45895</v>
      </c>
    </row>
    <row r="1859" spans="1:9" x14ac:dyDescent="0.25">
      <c r="A1859" t="s">
        <v>13697</v>
      </c>
      <c r="B1859" t="s">
        <v>13698</v>
      </c>
      <c r="C1859" t="s">
        <v>13699</v>
      </c>
      <c r="D1859" t="s">
        <v>13699</v>
      </c>
      <c r="F1859">
        <v>8568</v>
      </c>
      <c r="G1859" t="s">
        <v>358</v>
      </c>
      <c r="H1859" t="s">
        <v>15220</v>
      </c>
    </row>
    <row r="1860" spans="1:9" x14ac:dyDescent="0.25">
      <c r="A1860" t="s">
        <v>13701</v>
      </c>
      <c r="B1860" t="s">
        <v>13702</v>
      </c>
      <c r="C1860" t="s">
        <v>13704</v>
      </c>
      <c r="D1860" t="s">
        <v>13704</v>
      </c>
      <c r="E1860" t="s">
        <v>13703</v>
      </c>
      <c r="F1860">
        <v>8544</v>
      </c>
      <c r="G1860" t="s">
        <v>238</v>
      </c>
      <c r="H1860" t="s">
        <v>15231</v>
      </c>
      <c r="I1860">
        <v>54619</v>
      </c>
    </row>
    <row r="1861" spans="1:9" x14ac:dyDescent="0.25">
      <c r="A1861" t="s">
        <v>13707</v>
      </c>
      <c r="B1861" t="s">
        <v>13708</v>
      </c>
      <c r="C1861" t="s">
        <v>13710</v>
      </c>
      <c r="D1861" t="s">
        <v>13710</v>
      </c>
      <c r="E1861">
        <v>4127797028</v>
      </c>
      <c r="F1861">
        <v>8778</v>
      </c>
      <c r="G1861" t="s">
        <v>10361</v>
      </c>
      <c r="H1861" t="s">
        <v>279</v>
      </c>
      <c r="I1861">
        <v>54666</v>
      </c>
    </row>
    <row r="1862" spans="1:9" x14ac:dyDescent="0.25">
      <c r="A1862" t="s">
        <v>13713</v>
      </c>
      <c r="B1862" t="s">
        <v>13714</v>
      </c>
      <c r="C1862" t="s">
        <v>15811</v>
      </c>
      <c r="D1862" t="s">
        <v>15811</v>
      </c>
      <c r="E1862">
        <v>42464102917</v>
      </c>
      <c r="F1862">
        <v>8649</v>
      </c>
      <c r="G1862" t="s">
        <v>1211</v>
      </c>
      <c r="H1862" t="s">
        <v>1215</v>
      </c>
      <c r="I1862">
        <v>28265</v>
      </c>
    </row>
    <row r="1863" spans="1:9" x14ac:dyDescent="0.25">
      <c r="A1863" t="s">
        <v>13719</v>
      </c>
      <c r="B1863" t="s">
        <v>8701</v>
      </c>
      <c r="C1863" t="s">
        <v>13720</v>
      </c>
      <c r="D1863" t="s">
        <v>15812</v>
      </c>
      <c r="E1863" t="s">
        <v>8702</v>
      </c>
      <c r="F1863">
        <v>8526</v>
      </c>
      <c r="G1863" t="s">
        <v>7828</v>
      </c>
      <c r="H1863" t="s">
        <v>106</v>
      </c>
      <c r="I1863">
        <v>52204</v>
      </c>
    </row>
    <row r="1864" spans="1:9" x14ac:dyDescent="0.25">
      <c r="A1864" t="s">
        <v>13723</v>
      </c>
      <c r="B1864" t="s">
        <v>13724</v>
      </c>
      <c r="C1864" t="s">
        <v>13726</v>
      </c>
      <c r="D1864" t="s">
        <v>13726</v>
      </c>
      <c r="E1864" t="s">
        <v>13725</v>
      </c>
      <c r="F1864">
        <v>8566</v>
      </c>
      <c r="G1864" t="s">
        <v>12118</v>
      </c>
      <c r="H1864" t="s">
        <v>85</v>
      </c>
      <c r="I1864">
        <v>12894</v>
      </c>
    </row>
    <row r="1865" spans="1:9" x14ac:dyDescent="0.25">
      <c r="A1865" t="s">
        <v>13729</v>
      </c>
      <c r="B1865" t="s">
        <v>13730</v>
      </c>
      <c r="C1865" t="s">
        <v>13732</v>
      </c>
      <c r="D1865" t="s">
        <v>15813</v>
      </c>
      <c r="E1865" t="s">
        <v>13731</v>
      </c>
      <c r="F1865">
        <v>8625</v>
      </c>
      <c r="G1865" t="s">
        <v>4761</v>
      </c>
      <c r="H1865" t="s">
        <v>1215</v>
      </c>
      <c r="I1865">
        <v>13191</v>
      </c>
    </row>
    <row r="1866" spans="1:9" x14ac:dyDescent="0.25">
      <c r="A1866" t="s">
        <v>13734</v>
      </c>
      <c r="B1866" t="s">
        <v>13735</v>
      </c>
      <c r="C1866" t="s">
        <v>13737</v>
      </c>
      <c r="D1866" t="s">
        <v>13737</v>
      </c>
      <c r="E1866" t="s">
        <v>13736</v>
      </c>
      <c r="F1866">
        <v>8596</v>
      </c>
      <c r="G1866" t="s">
        <v>9783</v>
      </c>
      <c r="H1866" t="s">
        <v>85</v>
      </c>
      <c r="I1866">
        <v>3411</v>
      </c>
    </row>
    <row r="1867" spans="1:9" x14ac:dyDescent="0.25">
      <c r="A1867" t="s">
        <v>13749</v>
      </c>
      <c r="B1867" t="s">
        <v>13750</v>
      </c>
      <c r="C1867" t="s">
        <v>15814</v>
      </c>
      <c r="D1867" t="s">
        <v>15815</v>
      </c>
      <c r="E1867">
        <v>4245152748</v>
      </c>
      <c r="F1867">
        <v>8797</v>
      </c>
      <c r="G1867" t="s">
        <v>13751</v>
      </c>
      <c r="H1867" t="s">
        <v>15453</v>
      </c>
      <c r="I1867">
        <v>54750</v>
      </c>
    </row>
    <row r="1868" spans="1:9" x14ac:dyDescent="0.25">
      <c r="A1868" t="s">
        <v>13758</v>
      </c>
      <c r="B1868" t="s">
        <v>13759</v>
      </c>
      <c r="C1868" t="s">
        <v>13761</v>
      </c>
      <c r="D1868" t="s">
        <v>13761</v>
      </c>
      <c r="E1868" t="s">
        <v>13760</v>
      </c>
      <c r="F1868">
        <v>8566</v>
      </c>
      <c r="G1868" t="s">
        <v>2831</v>
      </c>
      <c r="H1868" t="s">
        <v>85</v>
      </c>
      <c r="I1868">
        <v>50574</v>
      </c>
    </row>
    <row r="1869" spans="1:9" x14ac:dyDescent="0.25">
      <c r="A1869" t="s">
        <v>13763</v>
      </c>
      <c r="B1869" t="s">
        <v>13764</v>
      </c>
      <c r="C1869" t="s">
        <v>15816</v>
      </c>
      <c r="D1869" t="s">
        <v>15816</v>
      </c>
      <c r="E1869" t="s">
        <v>13765</v>
      </c>
      <c r="F1869">
        <v>8750</v>
      </c>
      <c r="G1869" t="s">
        <v>10105</v>
      </c>
      <c r="H1869" t="s">
        <v>15534</v>
      </c>
      <c r="I1869">
        <v>54351</v>
      </c>
    </row>
    <row r="1870" spans="1:9" x14ac:dyDescent="0.25">
      <c r="A1870" t="s">
        <v>13769</v>
      </c>
      <c r="B1870" t="s">
        <v>13770</v>
      </c>
      <c r="C1870" t="s">
        <v>15817</v>
      </c>
      <c r="D1870" t="s">
        <v>15817</v>
      </c>
      <c r="E1870" t="s">
        <v>13771</v>
      </c>
      <c r="F1870">
        <v>8566</v>
      </c>
      <c r="G1870" t="s">
        <v>10695</v>
      </c>
      <c r="H1870" t="s">
        <v>85</v>
      </c>
      <c r="I1870">
        <v>353</v>
      </c>
    </row>
    <row r="1871" spans="1:9" x14ac:dyDescent="0.25">
      <c r="A1871" t="s">
        <v>13781</v>
      </c>
      <c r="B1871" t="s">
        <v>13782</v>
      </c>
      <c r="C1871" t="s">
        <v>13784</v>
      </c>
      <c r="D1871" t="s">
        <v>13784</v>
      </c>
      <c r="E1871" t="s">
        <v>13783</v>
      </c>
      <c r="F1871">
        <v>8519</v>
      </c>
      <c r="G1871" t="s">
        <v>1901</v>
      </c>
      <c r="H1871" t="s">
        <v>15226</v>
      </c>
    </row>
    <row r="1872" spans="1:9" x14ac:dyDescent="0.25">
      <c r="A1872" t="s">
        <v>13786</v>
      </c>
      <c r="B1872" t="s">
        <v>13787</v>
      </c>
      <c r="C1872" t="s">
        <v>13789</v>
      </c>
      <c r="D1872" t="s">
        <v>13789</v>
      </c>
      <c r="E1872">
        <v>4142597692</v>
      </c>
      <c r="F1872">
        <v>8655</v>
      </c>
      <c r="G1872" t="s">
        <v>8479</v>
      </c>
      <c r="H1872" t="s">
        <v>15261</v>
      </c>
      <c r="I1872">
        <v>2871</v>
      </c>
    </row>
    <row r="1873" spans="1:9" x14ac:dyDescent="0.25">
      <c r="A1873" t="s">
        <v>13791</v>
      </c>
      <c r="B1873" t="s">
        <v>13792</v>
      </c>
      <c r="C1873" t="s">
        <v>15818</v>
      </c>
      <c r="D1873" t="s">
        <v>15818</v>
      </c>
      <c r="E1873">
        <v>4243706335</v>
      </c>
      <c r="F1873">
        <v>8566</v>
      </c>
      <c r="G1873" t="s">
        <v>10695</v>
      </c>
      <c r="H1873" t="s">
        <v>85</v>
      </c>
      <c r="I1873">
        <v>47520</v>
      </c>
    </row>
    <row r="1874" spans="1:9" x14ac:dyDescent="0.25">
      <c r="A1874" t="s">
        <v>10771</v>
      </c>
      <c r="B1874" t="s">
        <v>13797</v>
      </c>
      <c r="C1874" t="s">
        <v>15819</v>
      </c>
      <c r="D1874" t="s">
        <v>15819</v>
      </c>
      <c r="E1874" t="s">
        <v>13798</v>
      </c>
      <c r="F1874">
        <v>8693</v>
      </c>
      <c r="G1874" t="s">
        <v>7090</v>
      </c>
      <c r="H1874" t="s">
        <v>85</v>
      </c>
      <c r="I1874">
        <v>2014</v>
      </c>
    </row>
    <row r="1875" spans="1:9" x14ac:dyDescent="0.25">
      <c r="A1875" t="s">
        <v>13801</v>
      </c>
      <c r="B1875" t="s">
        <v>13802</v>
      </c>
      <c r="C1875" t="s">
        <v>13804</v>
      </c>
      <c r="D1875" t="s">
        <v>13804</v>
      </c>
      <c r="E1875" t="s">
        <v>13803</v>
      </c>
      <c r="F1875">
        <v>8604</v>
      </c>
      <c r="G1875" t="s">
        <v>4943</v>
      </c>
      <c r="H1875" t="s">
        <v>1215</v>
      </c>
      <c r="I1875">
        <v>40316</v>
      </c>
    </row>
    <row r="1876" spans="1:9" x14ac:dyDescent="0.25">
      <c r="A1876" t="s">
        <v>13807</v>
      </c>
      <c r="B1876" t="s">
        <v>12535</v>
      </c>
      <c r="C1876" t="s">
        <v>13808</v>
      </c>
      <c r="D1876" t="s">
        <v>13808</v>
      </c>
      <c r="E1876" t="s">
        <v>12536</v>
      </c>
      <c r="F1876">
        <v>8515</v>
      </c>
      <c r="G1876" t="s">
        <v>828</v>
      </c>
      <c r="H1876" t="s">
        <v>137</v>
      </c>
      <c r="I1876">
        <v>53388</v>
      </c>
    </row>
    <row r="1877" spans="1:9" x14ac:dyDescent="0.25">
      <c r="A1877" t="s">
        <v>13810</v>
      </c>
      <c r="B1877" t="s">
        <v>13811</v>
      </c>
      <c r="C1877" t="s">
        <v>15820</v>
      </c>
      <c r="D1877" t="s">
        <v>15820</v>
      </c>
      <c r="E1877" t="s">
        <v>13812</v>
      </c>
      <c r="F1877">
        <v>8515</v>
      </c>
      <c r="G1877" t="s">
        <v>13777</v>
      </c>
      <c r="H1877" t="s">
        <v>137</v>
      </c>
      <c r="I1877">
        <v>6073</v>
      </c>
    </row>
    <row r="1878" spans="1:9" x14ac:dyDescent="0.25">
      <c r="A1878" t="s">
        <v>13816</v>
      </c>
      <c r="B1878" t="s">
        <v>13817</v>
      </c>
      <c r="C1878" t="s">
        <v>15821</v>
      </c>
      <c r="D1878" t="s">
        <v>15821</v>
      </c>
      <c r="E1878" t="s">
        <v>13798</v>
      </c>
      <c r="F1878">
        <v>8673</v>
      </c>
      <c r="G1878" t="s">
        <v>6419</v>
      </c>
      <c r="H1878" t="s">
        <v>85</v>
      </c>
      <c r="I1878">
        <v>54287</v>
      </c>
    </row>
    <row r="1879" spans="1:9" x14ac:dyDescent="0.25">
      <c r="A1879" t="s">
        <v>13837</v>
      </c>
      <c r="B1879" t="s">
        <v>3353</v>
      </c>
      <c r="C1879" t="s">
        <v>13838</v>
      </c>
      <c r="D1879" t="s">
        <v>13838</v>
      </c>
      <c r="E1879" t="s">
        <v>3354</v>
      </c>
      <c r="F1879">
        <v>6201</v>
      </c>
      <c r="G1879" t="s">
        <v>245</v>
      </c>
      <c r="H1879" t="s">
        <v>15220</v>
      </c>
      <c r="I1879">
        <v>6762</v>
      </c>
    </row>
    <row r="1880" spans="1:9" x14ac:dyDescent="0.25">
      <c r="A1880" t="s">
        <v>13840</v>
      </c>
      <c r="B1880" t="s">
        <v>13841</v>
      </c>
      <c r="C1880" t="s">
        <v>13846</v>
      </c>
      <c r="D1880" t="s">
        <v>13846</v>
      </c>
      <c r="E1880" t="s">
        <v>13843</v>
      </c>
      <c r="F1880">
        <v>8798</v>
      </c>
      <c r="G1880" t="s">
        <v>13842</v>
      </c>
      <c r="H1880" t="s">
        <v>15534</v>
      </c>
      <c r="I1880">
        <v>51220</v>
      </c>
    </row>
    <row r="1881" spans="1:9" x14ac:dyDescent="0.25">
      <c r="A1881" t="s">
        <v>13849</v>
      </c>
      <c r="B1881" t="s">
        <v>13850</v>
      </c>
      <c r="C1881" t="s">
        <v>15822</v>
      </c>
      <c r="D1881" t="s">
        <v>15822</v>
      </c>
      <c r="E1881" t="s">
        <v>13851</v>
      </c>
      <c r="F1881">
        <v>8695</v>
      </c>
      <c r="G1881" t="s">
        <v>8524</v>
      </c>
      <c r="H1881" t="s">
        <v>2399</v>
      </c>
      <c r="I1881">
        <v>2368</v>
      </c>
    </row>
    <row r="1882" spans="1:9" x14ac:dyDescent="0.25">
      <c r="A1882" t="s">
        <v>13855</v>
      </c>
      <c r="B1882" t="s">
        <v>13856</v>
      </c>
      <c r="C1882" t="s">
        <v>13858</v>
      </c>
      <c r="D1882" t="s">
        <v>13858</v>
      </c>
      <c r="E1882" t="s">
        <v>13857</v>
      </c>
      <c r="F1882">
        <v>8774</v>
      </c>
      <c r="G1882" t="s">
        <v>10092</v>
      </c>
      <c r="H1882" t="s">
        <v>15534</v>
      </c>
      <c r="I1882">
        <v>36066</v>
      </c>
    </row>
    <row r="1883" spans="1:9" x14ac:dyDescent="0.25">
      <c r="A1883" t="s">
        <v>13861</v>
      </c>
      <c r="B1883" t="s">
        <v>408</v>
      </c>
      <c r="C1883" t="s">
        <v>15823</v>
      </c>
      <c r="D1883" t="s">
        <v>15823</v>
      </c>
      <c r="E1883" t="s">
        <v>409</v>
      </c>
      <c r="F1883">
        <v>8545</v>
      </c>
      <c r="G1883" t="s">
        <v>324</v>
      </c>
      <c r="H1883" t="s">
        <v>15231</v>
      </c>
      <c r="I1883">
        <v>54391</v>
      </c>
    </row>
    <row r="1884" spans="1:9" x14ac:dyDescent="0.25">
      <c r="A1884" t="s">
        <v>13865</v>
      </c>
      <c r="B1884" t="s">
        <v>365</v>
      </c>
      <c r="C1884" t="s">
        <v>13868</v>
      </c>
      <c r="D1884" t="s">
        <v>15824</v>
      </c>
      <c r="E1884" t="s">
        <v>13867</v>
      </c>
      <c r="F1884">
        <v>8551</v>
      </c>
      <c r="G1884" t="s">
        <v>349</v>
      </c>
      <c r="H1884" t="s">
        <v>15233</v>
      </c>
      <c r="I1884">
        <v>37642</v>
      </c>
    </row>
    <row r="1885" spans="1:9" x14ac:dyDescent="0.25">
      <c r="A1885" t="s">
        <v>13871</v>
      </c>
      <c r="B1885" t="s">
        <v>13872</v>
      </c>
      <c r="C1885" t="s">
        <v>13873</v>
      </c>
      <c r="D1885" t="s">
        <v>15825</v>
      </c>
      <c r="F1885">
        <v>8604</v>
      </c>
      <c r="G1885" t="s">
        <v>3122</v>
      </c>
      <c r="H1885" t="s">
        <v>1215</v>
      </c>
      <c r="I1885">
        <v>50506</v>
      </c>
    </row>
    <row r="1886" spans="1:9" x14ac:dyDescent="0.25">
      <c r="A1886" t="s">
        <v>13876</v>
      </c>
      <c r="B1886" t="s">
        <v>13877</v>
      </c>
      <c r="C1886" t="s">
        <v>13879</v>
      </c>
      <c r="D1886" t="s">
        <v>13879</v>
      </c>
      <c r="F1886">
        <v>8592</v>
      </c>
      <c r="G1886" t="s">
        <v>15826</v>
      </c>
      <c r="H1886" t="s">
        <v>139</v>
      </c>
      <c r="I1886">
        <v>43225</v>
      </c>
    </row>
    <row r="1887" spans="1:9" x14ac:dyDescent="0.25">
      <c r="A1887" t="s">
        <v>15205</v>
      </c>
      <c r="B1887" t="s">
        <v>13883</v>
      </c>
      <c r="C1887" t="s">
        <v>13884</v>
      </c>
      <c r="D1887" t="s">
        <v>15504</v>
      </c>
      <c r="F1887">
        <v>8708</v>
      </c>
      <c r="G1887" t="s">
        <v>79</v>
      </c>
      <c r="H1887" t="s">
        <v>4854</v>
      </c>
      <c r="I1887">
        <v>54154</v>
      </c>
    </row>
    <row r="1888" spans="1:9" x14ac:dyDescent="0.25">
      <c r="A1888" t="s">
        <v>13887</v>
      </c>
      <c r="B1888" t="s">
        <v>4022</v>
      </c>
      <c r="C1888" t="s">
        <v>13888</v>
      </c>
      <c r="D1888" t="s">
        <v>15827</v>
      </c>
      <c r="F1888">
        <v>8524</v>
      </c>
      <c r="G1888" t="s">
        <v>404</v>
      </c>
      <c r="H1888" t="s">
        <v>15226</v>
      </c>
      <c r="I1888">
        <v>54819</v>
      </c>
    </row>
    <row r="1889" spans="1:9" x14ac:dyDescent="0.25">
      <c r="A1889" t="s">
        <v>13891</v>
      </c>
      <c r="B1889" t="s">
        <v>13892</v>
      </c>
      <c r="C1889" t="s">
        <v>13893</v>
      </c>
      <c r="D1889" t="s">
        <v>15828</v>
      </c>
      <c r="F1889">
        <v>8566</v>
      </c>
      <c r="G1889" t="s">
        <v>81</v>
      </c>
      <c r="H1889" t="s">
        <v>85</v>
      </c>
      <c r="I1889">
        <v>4458</v>
      </c>
    </row>
    <row r="1890" spans="1:9" x14ac:dyDescent="0.25">
      <c r="A1890" t="s">
        <v>13895</v>
      </c>
      <c r="B1890" t="s">
        <v>13896</v>
      </c>
      <c r="C1890" t="s">
        <v>13898</v>
      </c>
      <c r="D1890" t="s">
        <v>15829</v>
      </c>
      <c r="E1890" t="s">
        <v>13897</v>
      </c>
      <c r="F1890">
        <v>8540</v>
      </c>
      <c r="G1890" t="s">
        <v>1062</v>
      </c>
      <c r="H1890" t="s">
        <v>72</v>
      </c>
      <c r="I1890">
        <v>54893</v>
      </c>
    </row>
    <row r="1891" spans="1:9" x14ac:dyDescent="0.25">
      <c r="A1891" t="s">
        <v>13901</v>
      </c>
      <c r="B1891" t="s">
        <v>13902</v>
      </c>
      <c r="C1891" t="s">
        <v>13903</v>
      </c>
      <c r="D1891" t="s">
        <v>15830</v>
      </c>
      <c r="E1891" t="s">
        <v>13857</v>
      </c>
      <c r="F1891">
        <v>8778</v>
      </c>
      <c r="G1891" t="s">
        <v>10361</v>
      </c>
      <c r="H1891" t="s">
        <v>279</v>
      </c>
      <c r="I1891">
        <v>26160</v>
      </c>
    </row>
    <row r="1892" spans="1:9" x14ac:dyDescent="0.25">
      <c r="A1892" t="s">
        <v>13906</v>
      </c>
      <c r="B1892" t="s">
        <v>13907</v>
      </c>
      <c r="C1892" t="s">
        <v>13909</v>
      </c>
      <c r="D1892" t="s">
        <v>13909</v>
      </c>
      <c r="E1892">
        <v>4121752850</v>
      </c>
      <c r="F1892">
        <v>8611</v>
      </c>
      <c r="G1892" t="s">
        <v>4130</v>
      </c>
      <c r="H1892" t="s">
        <v>137</v>
      </c>
    </row>
    <row r="1893" spans="1:9" x14ac:dyDescent="0.25">
      <c r="A1893" t="s">
        <v>13916</v>
      </c>
      <c r="B1893" t="s">
        <v>3353</v>
      </c>
      <c r="C1893" t="s">
        <v>15831</v>
      </c>
      <c r="D1893" t="s">
        <v>15832</v>
      </c>
      <c r="F1893">
        <v>6201</v>
      </c>
      <c r="G1893" t="s">
        <v>41</v>
      </c>
      <c r="H1893" t="s">
        <v>15220</v>
      </c>
      <c r="I1893">
        <v>6762</v>
      </c>
    </row>
    <row r="1894" spans="1:9" x14ac:dyDescent="0.25">
      <c r="A1894" t="s">
        <v>13919</v>
      </c>
      <c r="B1894" t="s">
        <v>13920</v>
      </c>
      <c r="C1894" t="s">
        <v>13922</v>
      </c>
      <c r="D1894" t="s">
        <v>13922</v>
      </c>
      <c r="E1894" t="s">
        <v>13921</v>
      </c>
      <c r="F1894">
        <v>8720</v>
      </c>
      <c r="G1894" t="s">
        <v>8687</v>
      </c>
      <c r="H1894" t="s">
        <v>4854</v>
      </c>
      <c r="I1894">
        <v>23133</v>
      </c>
    </row>
    <row r="1895" spans="1:9" x14ac:dyDescent="0.25">
      <c r="A1895" t="s">
        <v>13925</v>
      </c>
      <c r="B1895" t="s">
        <v>13926</v>
      </c>
      <c r="C1895" t="s">
        <v>13928</v>
      </c>
      <c r="D1895" t="s">
        <v>15833</v>
      </c>
      <c r="E1895" t="s">
        <v>13927</v>
      </c>
      <c r="F1895">
        <v>8671</v>
      </c>
      <c r="G1895" t="s">
        <v>12118</v>
      </c>
      <c r="H1895" t="s">
        <v>85</v>
      </c>
      <c r="I1895">
        <v>36074</v>
      </c>
    </row>
    <row r="1896" spans="1:9" x14ac:dyDescent="0.25">
      <c r="A1896" t="s">
        <v>13936</v>
      </c>
      <c r="B1896" t="s">
        <v>13937</v>
      </c>
      <c r="C1896" t="s">
        <v>13938</v>
      </c>
      <c r="D1896" t="s">
        <v>15834</v>
      </c>
      <c r="F1896">
        <v>8587</v>
      </c>
      <c r="G1896" t="s">
        <v>6986</v>
      </c>
      <c r="H1896" t="s">
        <v>2399</v>
      </c>
      <c r="I1896">
        <v>16044</v>
      </c>
    </row>
    <row r="1897" spans="1:9" x14ac:dyDescent="0.25">
      <c r="A1897" t="s">
        <v>13946</v>
      </c>
      <c r="B1897" t="s">
        <v>13947</v>
      </c>
      <c r="C1897" t="s">
        <v>13948</v>
      </c>
      <c r="D1897" t="s">
        <v>15835</v>
      </c>
      <c r="F1897">
        <v>8515</v>
      </c>
      <c r="G1897" t="s">
        <v>1335</v>
      </c>
      <c r="H1897" t="s">
        <v>15249</v>
      </c>
      <c r="I1897">
        <v>8662</v>
      </c>
    </row>
    <row r="1898" spans="1:9" x14ac:dyDescent="0.25">
      <c r="A1898" t="s">
        <v>13951</v>
      </c>
      <c r="B1898" t="s">
        <v>13952</v>
      </c>
      <c r="C1898" t="s">
        <v>13954</v>
      </c>
      <c r="D1898" t="s">
        <v>15836</v>
      </c>
      <c r="E1898">
        <v>4245205684</v>
      </c>
      <c r="F1898">
        <v>8792</v>
      </c>
      <c r="G1898" t="s">
        <v>7938</v>
      </c>
      <c r="H1898" t="s">
        <v>15534</v>
      </c>
      <c r="I1898">
        <v>22721</v>
      </c>
    </row>
    <row r="1899" spans="1:9" x14ac:dyDescent="0.25">
      <c r="A1899" t="s">
        <v>13970</v>
      </c>
      <c r="B1899" t="s">
        <v>13971</v>
      </c>
      <c r="C1899" t="s">
        <v>13973</v>
      </c>
      <c r="D1899" t="s">
        <v>15837</v>
      </c>
      <c r="E1899" t="s">
        <v>13972</v>
      </c>
      <c r="F1899">
        <v>8750</v>
      </c>
      <c r="G1899" t="s">
        <v>7938</v>
      </c>
      <c r="H1899" t="s">
        <v>15534</v>
      </c>
      <c r="I1899">
        <v>46308</v>
      </c>
    </row>
    <row r="1900" spans="1:9" x14ac:dyDescent="0.25">
      <c r="A1900" t="s">
        <v>13976</v>
      </c>
      <c r="B1900" t="s">
        <v>13977</v>
      </c>
      <c r="C1900" t="s">
        <v>13978</v>
      </c>
      <c r="D1900" t="s">
        <v>15838</v>
      </c>
      <c r="F1900">
        <v>8755</v>
      </c>
      <c r="G1900" t="s">
        <v>10141</v>
      </c>
      <c r="H1900" t="s">
        <v>15534</v>
      </c>
      <c r="I1900">
        <v>51788</v>
      </c>
    </row>
    <row r="1901" spans="1:9" x14ac:dyDescent="0.25">
      <c r="A1901" t="s">
        <v>13981</v>
      </c>
      <c r="B1901" t="s">
        <v>13982</v>
      </c>
      <c r="C1901" t="s">
        <v>13984</v>
      </c>
      <c r="D1901" t="s">
        <v>15839</v>
      </c>
      <c r="E1901" t="s">
        <v>13983</v>
      </c>
      <c r="F1901">
        <v>8721</v>
      </c>
      <c r="G1901" t="s">
        <v>7938</v>
      </c>
      <c r="H1901" t="s">
        <v>15534</v>
      </c>
      <c r="I1901">
        <v>54392</v>
      </c>
    </row>
    <row r="1902" spans="1:9" x14ac:dyDescent="0.25">
      <c r="A1902" t="s">
        <v>13987</v>
      </c>
      <c r="B1902" t="s">
        <v>13971</v>
      </c>
      <c r="C1902" t="s">
        <v>15840</v>
      </c>
      <c r="D1902" t="s">
        <v>15841</v>
      </c>
      <c r="F1902">
        <v>5003</v>
      </c>
      <c r="G1902" t="s">
        <v>7938</v>
      </c>
      <c r="H1902" t="s">
        <v>15534</v>
      </c>
      <c r="I1902">
        <v>47056</v>
      </c>
    </row>
    <row r="1903" spans="1:9" x14ac:dyDescent="0.25">
      <c r="A1903" t="s">
        <v>13991</v>
      </c>
      <c r="B1903" t="s">
        <v>13971</v>
      </c>
      <c r="C1903" t="s">
        <v>15842</v>
      </c>
      <c r="D1903" t="s">
        <v>15843</v>
      </c>
      <c r="F1903">
        <v>5003</v>
      </c>
      <c r="G1903" t="s">
        <v>7938</v>
      </c>
      <c r="H1903" t="s">
        <v>15534</v>
      </c>
      <c r="I1903">
        <v>47056</v>
      </c>
    </row>
    <row r="1904" spans="1:9" x14ac:dyDescent="0.25">
      <c r="A1904" t="s">
        <v>13995</v>
      </c>
      <c r="B1904" t="s">
        <v>13997</v>
      </c>
      <c r="C1904" t="s">
        <v>13998</v>
      </c>
      <c r="D1904" t="s">
        <v>15844</v>
      </c>
      <c r="F1904">
        <v>8558</v>
      </c>
      <c r="G1904" t="s">
        <v>1360</v>
      </c>
      <c r="H1904" t="s">
        <v>1215</v>
      </c>
    </row>
    <row r="1905" spans="1:9" x14ac:dyDescent="0.25">
      <c r="A1905" t="s">
        <v>14001</v>
      </c>
      <c r="B1905" t="s">
        <v>14002</v>
      </c>
      <c r="C1905" t="s">
        <v>14003</v>
      </c>
      <c r="D1905" t="s">
        <v>15845</v>
      </c>
      <c r="F1905">
        <v>8558</v>
      </c>
      <c r="G1905" t="s">
        <v>1360</v>
      </c>
      <c r="H1905" t="s">
        <v>1215</v>
      </c>
      <c r="I1905">
        <v>54836</v>
      </c>
    </row>
    <row r="1906" spans="1:9" x14ac:dyDescent="0.25">
      <c r="A1906" t="s">
        <v>14006</v>
      </c>
      <c r="B1906" t="s">
        <v>14007</v>
      </c>
      <c r="C1906" t="s">
        <v>14009</v>
      </c>
      <c r="D1906" t="s">
        <v>15846</v>
      </c>
      <c r="E1906">
        <v>4129277147</v>
      </c>
      <c r="F1906">
        <v>8566</v>
      </c>
      <c r="G1906" t="s">
        <v>12118</v>
      </c>
      <c r="H1906" t="s">
        <v>85</v>
      </c>
      <c r="I1906">
        <v>3229</v>
      </c>
    </row>
    <row r="1907" spans="1:9" x14ac:dyDescent="0.25">
      <c r="A1907" t="s">
        <v>14012</v>
      </c>
      <c r="B1907" t="s">
        <v>14013</v>
      </c>
      <c r="C1907" t="s">
        <v>14015</v>
      </c>
      <c r="D1907" t="s">
        <v>14015</v>
      </c>
      <c r="E1907" t="s">
        <v>14014</v>
      </c>
      <c r="F1907">
        <v>8601</v>
      </c>
      <c r="G1907" t="s">
        <v>10141</v>
      </c>
      <c r="H1907" t="s">
        <v>15534</v>
      </c>
      <c r="I1907">
        <v>3386</v>
      </c>
    </row>
    <row r="1908" spans="1:9" x14ac:dyDescent="0.25">
      <c r="A1908" t="s">
        <v>14018</v>
      </c>
      <c r="B1908" t="s">
        <v>14019</v>
      </c>
      <c r="C1908" t="s">
        <v>14021</v>
      </c>
      <c r="D1908" t="s">
        <v>15847</v>
      </c>
      <c r="E1908" t="s">
        <v>14020</v>
      </c>
      <c r="F1908">
        <v>8601</v>
      </c>
      <c r="G1908" t="s">
        <v>10141</v>
      </c>
      <c r="H1908" t="s">
        <v>15534</v>
      </c>
      <c r="I1908">
        <v>39356</v>
      </c>
    </row>
    <row r="1909" spans="1:9" x14ac:dyDescent="0.25">
      <c r="A1909" t="s">
        <v>15206</v>
      </c>
      <c r="B1909" t="s">
        <v>14025</v>
      </c>
      <c r="C1909" t="s">
        <v>14027</v>
      </c>
      <c r="D1909" t="s">
        <v>15848</v>
      </c>
      <c r="E1909">
        <v>4247439747</v>
      </c>
      <c r="F1909">
        <v>8601</v>
      </c>
      <c r="G1909" t="s">
        <v>10141</v>
      </c>
      <c r="H1909" t="s">
        <v>15534</v>
      </c>
      <c r="I1909">
        <v>1395</v>
      </c>
    </row>
    <row r="1910" spans="1:9" x14ac:dyDescent="0.25">
      <c r="A1910" t="s">
        <v>14029</v>
      </c>
      <c r="B1910" t="s">
        <v>14030</v>
      </c>
      <c r="C1910" t="s">
        <v>14032</v>
      </c>
      <c r="D1910" t="s">
        <v>15849</v>
      </c>
      <c r="E1910" t="s">
        <v>14031</v>
      </c>
      <c r="F1910">
        <v>8721</v>
      </c>
      <c r="G1910" t="s">
        <v>7938</v>
      </c>
      <c r="H1910" t="s">
        <v>15534</v>
      </c>
      <c r="I1910">
        <v>17216</v>
      </c>
    </row>
    <row r="1911" spans="1:9" x14ac:dyDescent="0.25">
      <c r="A1911" t="s">
        <v>14034</v>
      </c>
      <c r="B1911" t="s">
        <v>14035</v>
      </c>
      <c r="C1911" t="s">
        <v>14037</v>
      </c>
      <c r="D1911" t="s">
        <v>15850</v>
      </c>
      <c r="E1911" t="s">
        <v>14036</v>
      </c>
      <c r="F1911">
        <v>8592</v>
      </c>
      <c r="G1911" t="s">
        <v>139</v>
      </c>
      <c r="H1911" t="s">
        <v>139</v>
      </c>
      <c r="I1911">
        <v>7265</v>
      </c>
    </row>
    <row r="1912" spans="1:9" x14ac:dyDescent="0.25">
      <c r="A1912" t="s">
        <v>14045</v>
      </c>
      <c r="B1912" t="s">
        <v>14046</v>
      </c>
      <c r="C1912" t="s">
        <v>14047</v>
      </c>
      <c r="D1912" t="s">
        <v>15851</v>
      </c>
      <c r="E1912" t="s">
        <v>14020</v>
      </c>
      <c r="F1912">
        <v>8721</v>
      </c>
      <c r="G1912" t="s">
        <v>8790</v>
      </c>
      <c r="H1912" t="s">
        <v>15534</v>
      </c>
      <c r="I1912">
        <v>28472</v>
      </c>
    </row>
    <row r="1913" spans="1:9" x14ac:dyDescent="0.25">
      <c r="A1913" t="s">
        <v>14050</v>
      </c>
      <c r="B1913" t="s">
        <v>14051</v>
      </c>
      <c r="C1913" t="s">
        <v>14055</v>
      </c>
      <c r="D1913" t="s">
        <v>15852</v>
      </c>
      <c r="E1913" t="s">
        <v>14052</v>
      </c>
      <c r="F1913">
        <v>5221</v>
      </c>
      <c r="G1913" t="s">
        <v>7938</v>
      </c>
      <c r="H1913" t="s">
        <v>15534</v>
      </c>
      <c r="I1913">
        <v>28193</v>
      </c>
    </row>
    <row r="1914" spans="1:9" x14ac:dyDescent="0.25">
      <c r="A1914" t="s">
        <v>14058</v>
      </c>
      <c r="B1914" t="s">
        <v>14060</v>
      </c>
      <c r="C1914" t="s">
        <v>14062</v>
      </c>
      <c r="D1914" t="s">
        <v>15853</v>
      </c>
      <c r="E1914" t="s">
        <v>14061</v>
      </c>
      <c r="F1914">
        <v>8558</v>
      </c>
      <c r="G1914" t="s">
        <v>1360</v>
      </c>
      <c r="H1914" t="s">
        <v>1215</v>
      </c>
      <c r="I1914">
        <v>6178</v>
      </c>
    </row>
    <row r="1915" spans="1:9" x14ac:dyDescent="0.25">
      <c r="A1915" t="s">
        <v>14065</v>
      </c>
      <c r="B1915" t="s">
        <v>14060</v>
      </c>
      <c r="C1915" t="s">
        <v>14062</v>
      </c>
      <c r="D1915" t="s">
        <v>15854</v>
      </c>
      <c r="E1915" t="s">
        <v>14061</v>
      </c>
      <c r="F1915">
        <v>5222</v>
      </c>
      <c r="G1915" t="s">
        <v>1360</v>
      </c>
      <c r="H1915" t="s">
        <v>1215</v>
      </c>
      <c r="I1915">
        <v>6182</v>
      </c>
    </row>
    <row r="1916" spans="1:9" x14ac:dyDescent="0.25">
      <c r="A1916" t="s">
        <v>14069</v>
      </c>
      <c r="B1916" t="s">
        <v>14060</v>
      </c>
      <c r="C1916" t="s">
        <v>14062</v>
      </c>
      <c r="D1916" t="s">
        <v>15855</v>
      </c>
      <c r="E1916" t="s">
        <v>14061</v>
      </c>
      <c r="F1916">
        <v>8558</v>
      </c>
      <c r="G1916" t="s">
        <v>1360</v>
      </c>
      <c r="H1916" t="s">
        <v>1215</v>
      </c>
      <c r="I1916">
        <v>45986</v>
      </c>
    </row>
    <row r="1917" spans="1:9" x14ac:dyDescent="0.25">
      <c r="A1917" t="s">
        <v>14072</v>
      </c>
      <c r="B1917" t="s">
        <v>14060</v>
      </c>
      <c r="C1917" t="s">
        <v>14062</v>
      </c>
      <c r="D1917" t="s">
        <v>15856</v>
      </c>
      <c r="E1917" t="s">
        <v>14061</v>
      </c>
      <c r="F1917">
        <v>8558</v>
      </c>
      <c r="G1917" t="s">
        <v>1360</v>
      </c>
      <c r="H1917" t="s">
        <v>1215</v>
      </c>
      <c r="I1917">
        <v>33662</v>
      </c>
    </row>
    <row r="1918" spans="1:9" x14ac:dyDescent="0.25">
      <c r="A1918" t="s">
        <v>14076</v>
      </c>
      <c r="B1918" t="s">
        <v>14077</v>
      </c>
      <c r="C1918" t="s">
        <v>14079</v>
      </c>
      <c r="D1918" t="s">
        <v>15857</v>
      </c>
      <c r="E1918" t="s">
        <v>14078</v>
      </c>
      <c r="F1918">
        <v>8510</v>
      </c>
      <c r="G1918" t="s">
        <v>2399</v>
      </c>
      <c r="H1918" t="s">
        <v>2399</v>
      </c>
      <c r="I1918">
        <v>53979</v>
      </c>
    </row>
    <row r="1919" spans="1:9" x14ac:dyDescent="0.25">
      <c r="A1919" t="s">
        <v>14081</v>
      </c>
      <c r="B1919" t="s">
        <v>14082</v>
      </c>
      <c r="C1919" t="s">
        <v>14084</v>
      </c>
      <c r="D1919" t="s">
        <v>15858</v>
      </c>
      <c r="E1919" t="s">
        <v>14083</v>
      </c>
      <c r="F1919">
        <v>8601</v>
      </c>
      <c r="G1919" t="s">
        <v>7938</v>
      </c>
      <c r="H1919" t="s">
        <v>15534</v>
      </c>
      <c r="I1919">
        <v>37061</v>
      </c>
    </row>
    <row r="1920" spans="1:9" x14ac:dyDescent="0.25">
      <c r="A1920" t="s">
        <v>14087</v>
      </c>
      <c r="B1920" t="s">
        <v>14088</v>
      </c>
      <c r="C1920" t="s">
        <v>14090</v>
      </c>
      <c r="D1920" t="s">
        <v>15859</v>
      </c>
      <c r="E1920" t="s">
        <v>14089</v>
      </c>
      <c r="F1920">
        <v>8592</v>
      </c>
      <c r="G1920" t="s">
        <v>139</v>
      </c>
      <c r="H1920" t="s">
        <v>139</v>
      </c>
      <c r="I1920">
        <v>22538</v>
      </c>
    </row>
    <row r="1921" spans="1:9" x14ac:dyDescent="0.25">
      <c r="A1921" t="s">
        <v>14093</v>
      </c>
      <c r="B1921" t="s">
        <v>14094</v>
      </c>
      <c r="C1921" t="s">
        <v>14096</v>
      </c>
      <c r="D1921" t="s">
        <v>15860</v>
      </c>
      <c r="E1921" t="s">
        <v>14095</v>
      </c>
      <c r="F1921">
        <v>8557</v>
      </c>
      <c r="G1921" t="s">
        <v>2951</v>
      </c>
      <c r="H1921" t="s">
        <v>15231</v>
      </c>
      <c r="I1921">
        <v>55235</v>
      </c>
    </row>
    <row r="1922" spans="1:9" x14ac:dyDescent="0.25">
      <c r="A1922" t="s">
        <v>14099</v>
      </c>
      <c r="B1922" t="s">
        <v>14013</v>
      </c>
      <c r="C1922" t="s">
        <v>14102</v>
      </c>
      <c r="D1922" t="s">
        <v>15861</v>
      </c>
      <c r="E1922" t="s">
        <v>14101</v>
      </c>
      <c r="F1922">
        <v>8601</v>
      </c>
      <c r="G1922" t="s">
        <v>10141</v>
      </c>
      <c r="H1922" t="s">
        <v>15534</v>
      </c>
    </row>
    <row r="1923" spans="1:9" x14ac:dyDescent="0.25">
      <c r="A1923" t="s">
        <v>14105</v>
      </c>
      <c r="B1923" t="s">
        <v>14107</v>
      </c>
      <c r="C1923" t="s">
        <v>14109</v>
      </c>
      <c r="D1923" t="s">
        <v>15862</v>
      </c>
      <c r="E1923" t="s">
        <v>14108</v>
      </c>
      <c r="F1923">
        <v>8671</v>
      </c>
      <c r="G1923" t="s">
        <v>5939</v>
      </c>
      <c r="H1923" t="s">
        <v>85</v>
      </c>
      <c r="I1923">
        <v>54394</v>
      </c>
    </row>
    <row r="1924" spans="1:9" x14ac:dyDescent="0.25">
      <c r="A1924" t="s">
        <v>15207</v>
      </c>
      <c r="B1924" t="s">
        <v>14123</v>
      </c>
      <c r="C1924" t="s">
        <v>14125</v>
      </c>
      <c r="D1924" t="s">
        <v>15863</v>
      </c>
      <c r="E1924" t="s">
        <v>14124</v>
      </c>
      <c r="F1924">
        <v>8575</v>
      </c>
      <c r="G1924" t="s">
        <v>2105</v>
      </c>
      <c r="H1924" t="s">
        <v>279</v>
      </c>
      <c r="I1924">
        <v>54891</v>
      </c>
    </row>
    <row r="1925" spans="1:9" x14ac:dyDescent="0.25">
      <c r="A1925" t="s">
        <v>14127</v>
      </c>
      <c r="B1925" t="s">
        <v>14128</v>
      </c>
      <c r="C1925" t="s">
        <v>14130</v>
      </c>
      <c r="D1925" t="s">
        <v>15864</v>
      </c>
      <c r="E1925" t="s">
        <v>14129</v>
      </c>
      <c r="F1925">
        <v>8523</v>
      </c>
      <c r="G1925" t="s">
        <v>1607</v>
      </c>
      <c r="H1925" t="s">
        <v>15226</v>
      </c>
      <c r="I1925">
        <v>55152</v>
      </c>
    </row>
    <row r="1926" spans="1:9" x14ac:dyDescent="0.25">
      <c r="A1926" t="s">
        <v>14132</v>
      </c>
      <c r="B1926" t="s">
        <v>14133</v>
      </c>
      <c r="C1926" t="s">
        <v>14135</v>
      </c>
      <c r="D1926" t="s">
        <v>15865</v>
      </c>
      <c r="E1926" t="s">
        <v>14134</v>
      </c>
      <c r="F1926">
        <v>8592</v>
      </c>
      <c r="G1926" t="s">
        <v>139</v>
      </c>
      <c r="H1926" t="s">
        <v>139</v>
      </c>
      <c r="I1926">
        <v>35156</v>
      </c>
    </row>
    <row r="1927" spans="1:9" x14ac:dyDescent="0.25">
      <c r="A1927" t="s">
        <v>14138</v>
      </c>
      <c r="B1927" t="s">
        <v>14139</v>
      </c>
      <c r="C1927" t="s">
        <v>14140</v>
      </c>
      <c r="D1927" t="s">
        <v>14140</v>
      </c>
      <c r="F1927">
        <v>8583</v>
      </c>
      <c r="G1927" t="s">
        <v>277</v>
      </c>
      <c r="H1927" t="s">
        <v>279</v>
      </c>
      <c r="I1927">
        <v>55297</v>
      </c>
    </row>
    <row r="1928" spans="1:9" x14ac:dyDescent="0.25">
      <c r="A1928" t="s">
        <v>14143</v>
      </c>
      <c r="B1928" t="s">
        <v>14144</v>
      </c>
      <c r="C1928" t="s">
        <v>14146</v>
      </c>
      <c r="D1928" t="s">
        <v>15866</v>
      </c>
      <c r="E1928" t="s">
        <v>14145</v>
      </c>
      <c r="F1928">
        <v>8592</v>
      </c>
      <c r="G1928" t="s">
        <v>139</v>
      </c>
      <c r="H1928" t="s">
        <v>139</v>
      </c>
    </row>
    <row r="1929" spans="1:9" x14ac:dyDescent="0.25">
      <c r="A1929" t="s">
        <v>14148</v>
      </c>
      <c r="B1929" t="s">
        <v>14149</v>
      </c>
      <c r="C1929" t="s">
        <v>14150</v>
      </c>
      <c r="D1929" t="s">
        <v>14150</v>
      </c>
      <c r="F1929">
        <v>8583</v>
      </c>
      <c r="G1929" t="s">
        <v>277</v>
      </c>
      <c r="H1929" t="s">
        <v>279</v>
      </c>
      <c r="I1929">
        <v>55371</v>
      </c>
    </row>
    <row r="1930" spans="1:9" x14ac:dyDescent="0.25">
      <c r="A1930" t="s">
        <v>14158</v>
      </c>
      <c r="B1930" t="s">
        <v>14159</v>
      </c>
      <c r="C1930" t="s">
        <v>14161</v>
      </c>
      <c r="D1930" t="s">
        <v>15867</v>
      </c>
      <c r="E1930" t="s">
        <v>14160</v>
      </c>
      <c r="F1930">
        <v>8611</v>
      </c>
      <c r="G1930" t="s">
        <v>9129</v>
      </c>
      <c r="H1930" t="s">
        <v>137</v>
      </c>
      <c r="I1930">
        <v>54886</v>
      </c>
    </row>
    <row r="1931" spans="1:9" x14ac:dyDescent="0.25">
      <c r="A1931" t="s">
        <v>14164</v>
      </c>
      <c r="B1931" t="s">
        <v>14166</v>
      </c>
      <c r="C1931" t="s">
        <v>14168</v>
      </c>
      <c r="D1931" t="s">
        <v>15868</v>
      </c>
      <c r="E1931" t="s">
        <v>14167</v>
      </c>
      <c r="F1931">
        <v>8566</v>
      </c>
      <c r="G1931" t="s">
        <v>12118</v>
      </c>
      <c r="H1931" t="s">
        <v>85</v>
      </c>
      <c r="I1931">
        <v>44393</v>
      </c>
    </row>
    <row r="1932" spans="1:9" x14ac:dyDescent="0.25">
      <c r="A1932" t="s">
        <v>14176</v>
      </c>
      <c r="B1932" t="s">
        <v>14177</v>
      </c>
      <c r="C1932" t="s">
        <v>14179</v>
      </c>
      <c r="D1932" t="s">
        <v>15869</v>
      </c>
      <c r="E1932" t="s">
        <v>14178</v>
      </c>
      <c r="F1932">
        <v>8544</v>
      </c>
      <c r="G1932" t="s">
        <v>1644</v>
      </c>
      <c r="H1932" t="s">
        <v>15231</v>
      </c>
      <c r="I1932">
        <v>55014</v>
      </c>
    </row>
    <row r="1933" spans="1:9" x14ac:dyDescent="0.25">
      <c r="A1933" t="s">
        <v>14181</v>
      </c>
      <c r="B1933" t="s">
        <v>14182</v>
      </c>
      <c r="C1933" t="s">
        <v>14183</v>
      </c>
      <c r="D1933" t="s">
        <v>15870</v>
      </c>
      <c r="F1933">
        <v>8601</v>
      </c>
      <c r="G1933" t="s">
        <v>10141</v>
      </c>
      <c r="H1933" t="s">
        <v>15534</v>
      </c>
    </row>
    <row r="1934" spans="1:9" x14ac:dyDescent="0.25">
      <c r="A1934" t="s">
        <v>14186</v>
      </c>
      <c r="B1934" t="s">
        <v>14187</v>
      </c>
      <c r="C1934" t="s">
        <v>14189</v>
      </c>
      <c r="D1934" t="s">
        <v>15871</v>
      </c>
      <c r="E1934" t="s">
        <v>14188</v>
      </c>
      <c r="F1934">
        <v>8752</v>
      </c>
      <c r="G1934" t="s">
        <v>10155</v>
      </c>
      <c r="H1934" t="s">
        <v>15534</v>
      </c>
      <c r="I1934">
        <v>54429</v>
      </c>
    </row>
    <row r="1935" spans="1:9" x14ac:dyDescent="0.25">
      <c r="A1935" t="s">
        <v>14192</v>
      </c>
      <c r="B1935" t="s">
        <v>14193</v>
      </c>
      <c r="C1935" t="s">
        <v>14195</v>
      </c>
      <c r="D1935" t="s">
        <v>15872</v>
      </c>
      <c r="E1935" t="s">
        <v>14194</v>
      </c>
      <c r="F1935">
        <v>8641</v>
      </c>
      <c r="G1935" t="s">
        <v>6728</v>
      </c>
      <c r="H1935" t="s">
        <v>85</v>
      </c>
      <c r="I1935">
        <v>54755</v>
      </c>
    </row>
    <row r="1936" spans="1:9" x14ac:dyDescent="0.25">
      <c r="A1936" t="s">
        <v>14198</v>
      </c>
      <c r="B1936" t="s">
        <v>14199</v>
      </c>
      <c r="C1936" t="s">
        <v>14203</v>
      </c>
      <c r="D1936" t="s">
        <v>15873</v>
      </c>
      <c r="E1936" t="s">
        <v>14201</v>
      </c>
      <c r="F1936">
        <v>2301</v>
      </c>
      <c r="G1936" t="s">
        <v>14200</v>
      </c>
      <c r="H1936" t="s">
        <v>106</v>
      </c>
      <c r="I1936">
        <v>22389</v>
      </c>
    </row>
    <row r="1937" spans="1:9" x14ac:dyDescent="0.25">
      <c r="A1937" t="s">
        <v>14206</v>
      </c>
      <c r="B1937" t="s">
        <v>14207</v>
      </c>
      <c r="C1937" t="s">
        <v>14209</v>
      </c>
      <c r="D1937" t="s">
        <v>15874</v>
      </c>
      <c r="E1937" t="s">
        <v>14208</v>
      </c>
      <c r="F1937">
        <v>8673</v>
      </c>
      <c r="G1937" t="s">
        <v>6027</v>
      </c>
      <c r="H1937" t="s">
        <v>85</v>
      </c>
      <c r="I1937">
        <v>53100</v>
      </c>
    </row>
    <row r="1938" spans="1:9" x14ac:dyDescent="0.25">
      <c r="A1938" t="s">
        <v>14212</v>
      </c>
      <c r="B1938" t="s">
        <v>14213</v>
      </c>
      <c r="C1938" t="s">
        <v>14216</v>
      </c>
      <c r="D1938" t="s">
        <v>15875</v>
      </c>
      <c r="E1938" t="s">
        <v>14214</v>
      </c>
      <c r="F1938">
        <v>8761</v>
      </c>
      <c r="G1938" t="s">
        <v>10576</v>
      </c>
      <c r="H1938" t="s">
        <v>15591</v>
      </c>
      <c r="I1938">
        <v>42317</v>
      </c>
    </row>
    <row r="1939" spans="1:9" x14ac:dyDescent="0.25">
      <c r="A1939" t="s">
        <v>14219</v>
      </c>
      <c r="B1939" t="s">
        <v>14220</v>
      </c>
      <c r="C1939" t="s">
        <v>14222</v>
      </c>
      <c r="D1939" t="s">
        <v>15876</v>
      </c>
      <c r="E1939" t="s">
        <v>14221</v>
      </c>
      <c r="F1939">
        <v>8769</v>
      </c>
      <c r="G1939" t="s">
        <v>137</v>
      </c>
      <c r="H1939" t="s">
        <v>137</v>
      </c>
      <c r="I1939">
        <v>39076</v>
      </c>
    </row>
    <row r="1940" spans="1:9" x14ac:dyDescent="0.25">
      <c r="A1940" t="s">
        <v>14225</v>
      </c>
      <c r="B1940" t="s">
        <v>14226</v>
      </c>
      <c r="C1940" t="s">
        <v>14228</v>
      </c>
      <c r="D1940" t="s">
        <v>15877</v>
      </c>
      <c r="E1940" t="s">
        <v>14227</v>
      </c>
      <c r="F1940">
        <v>8752</v>
      </c>
      <c r="G1940" t="s">
        <v>10155</v>
      </c>
      <c r="H1940" t="s">
        <v>15534</v>
      </c>
      <c r="I1940">
        <v>54344</v>
      </c>
    </row>
    <row r="1941" spans="1:9" x14ac:dyDescent="0.25">
      <c r="A1941" t="s">
        <v>14231</v>
      </c>
      <c r="B1941" t="s">
        <v>13256</v>
      </c>
      <c r="C1941" t="s">
        <v>14234</v>
      </c>
      <c r="D1941" t="s">
        <v>15878</v>
      </c>
      <c r="E1941" t="s">
        <v>14233</v>
      </c>
      <c r="F1941">
        <v>8769</v>
      </c>
      <c r="G1941" t="s">
        <v>14232</v>
      </c>
      <c r="H1941" t="s">
        <v>137</v>
      </c>
      <c r="I1941">
        <v>55032</v>
      </c>
    </row>
    <row r="1942" spans="1:9" x14ac:dyDescent="0.25">
      <c r="A1942" t="s">
        <v>14247</v>
      </c>
      <c r="B1942" t="s">
        <v>14248</v>
      </c>
      <c r="C1942" t="s">
        <v>14250</v>
      </c>
      <c r="D1942" t="s">
        <v>15879</v>
      </c>
      <c r="E1942" t="s">
        <v>14249</v>
      </c>
      <c r="F1942">
        <v>8566</v>
      </c>
      <c r="G1942" t="s">
        <v>12118</v>
      </c>
      <c r="H1942" t="s">
        <v>85</v>
      </c>
      <c r="I1942">
        <v>54603</v>
      </c>
    </row>
    <row r="1943" spans="1:9" x14ac:dyDescent="0.25">
      <c r="A1943" t="s">
        <v>14253</v>
      </c>
      <c r="B1943" t="s">
        <v>14254</v>
      </c>
      <c r="C1943" t="s">
        <v>14256</v>
      </c>
      <c r="D1943" t="s">
        <v>15880</v>
      </c>
      <c r="E1943" t="s">
        <v>14255</v>
      </c>
      <c r="F1943">
        <v>8723</v>
      </c>
      <c r="G1943" t="s">
        <v>8984</v>
      </c>
      <c r="H1943" t="s">
        <v>15541</v>
      </c>
      <c r="I1943">
        <v>40740</v>
      </c>
    </row>
    <row r="1944" spans="1:9" x14ac:dyDescent="0.25">
      <c r="A1944" t="s">
        <v>14259</v>
      </c>
      <c r="B1944" t="s">
        <v>14260</v>
      </c>
      <c r="C1944" t="s">
        <v>14261</v>
      </c>
      <c r="D1944" t="s">
        <v>15881</v>
      </c>
      <c r="E1944" t="s">
        <v>14255</v>
      </c>
      <c r="F1944">
        <v>8723</v>
      </c>
      <c r="G1944" t="s">
        <v>8984</v>
      </c>
      <c r="H1944" t="s">
        <v>15541</v>
      </c>
      <c r="I1944">
        <v>43814</v>
      </c>
    </row>
    <row r="1945" spans="1:9" x14ac:dyDescent="0.25">
      <c r="A1945" t="s">
        <v>14264</v>
      </c>
      <c r="B1945" t="s">
        <v>14265</v>
      </c>
      <c r="C1945" t="s">
        <v>14267</v>
      </c>
      <c r="D1945" t="s">
        <v>15882</v>
      </c>
      <c r="E1945" t="s">
        <v>14266</v>
      </c>
      <c r="F1945">
        <v>8725</v>
      </c>
      <c r="G1945" t="s">
        <v>7493</v>
      </c>
      <c r="H1945" t="s">
        <v>15541</v>
      </c>
      <c r="I1945">
        <v>37426</v>
      </c>
    </row>
    <row r="1946" spans="1:9" x14ac:dyDescent="0.25">
      <c r="A1946" t="s">
        <v>14270</v>
      </c>
      <c r="B1946" t="s">
        <v>14271</v>
      </c>
      <c r="C1946" t="s">
        <v>14272</v>
      </c>
      <c r="D1946" t="s">
        <v>15883</v>
      </c>
      <c r="E1946" t="s">
        <v>14255</v>
      </c>
      <c r="F1946">
        <v>8680</v>
      </c>
      <c r="G1946" t="s">
        <v>6237</v>
      </c>
      <c r="H1946" t="s">
        <v>85</v>
      </c>
      <c r="I1946">
        <v>50262</v>
      </c>
    </row>
    <row r="1947" spans="1:9" x14ac:dyDescent="0.25">
      <c r="A1947" t="s">
        <v>14275</v>
      </c>
      <c r="B1947" t="s">
        <v>14276</v>
      </c>
      <c r="C1947" t="s">
        <v>14277</v>
      </c>
      <c r="D1947" t="s">
        <v>15884</v>
      </c>
      <c r="E1947" t="s">
        <v>14266</v>
      </c>
      <c r="F1947">
        <v>8680</v>
      </c>
      <c r="G1947" t="s">
        <v>6237</v>
      </c>
      <c r="H1947" t="s">
        <v>85</v>
      </c>
      <c r="I1947">
        <v>50719</v>
      </c>
    </row>
    <row r="1948" spans="1:9" x14ac:dyDescent="0.25">
      <c r="A1948" t="s">
        <v>14280</v>
      </c>
      <c r="B1948" t="s">
        <v>14281</v>
      </c>
      <c r="C1948" t="s">
        <v>14282</v>
      </c>
      <c r="D1948" t="s">
        <v>15885</v>
      </c>
      <c r="E1948" t="s">
        <v>14266</v>
      </c>
      <c r="F1948">
        <v>8605</v>
      </c>
      <c r="G1948" t="s">
        <v>3233</v>
      </c>
      <c r="H1948" t="s">
        <v>1215</v>
      </c>
      <c r="I1948">
        <v>52005</v>
      </c>
    </row>
    <row r="1949" spans="1:9" x14ac:dyDescent="0.25">
      <c r="A1949" t="s">
        <v>14285</v>
      </c>
      <c r="B1949" t="s">
        <v>14286</v>
      </c>
      <c r="C1949" t="s">
        <v>14287</v>
      </c>
      <c r="D1949" t="s">
        <v>15886</v>
      </c>
      <c r="E1949" t="s">
        <v>14266</v>
      </c>
      <c r="F1949">
        <v>8717</v>
      </c>
      <c r="G1949" t="s">
        <v>9834</v>
      </c>
      <c r="H1949" t="s">
        <v>15453</v>
      </c>
      <c r="I1949">
        <v>39904</v>
      </c>
    </row>
    <row r="1950" spans="1:9" x14ac:dyDescent="0.25">
      <c r="A1950" t="s">
        <v>14290</v>
      </c>
      <c r="B1950" t="s">
        <v>14291</v>
      </c>
      <c r="C1950" t="s">
        <v>14292</v>
      </c>
      <c r="D1950" t="s">
        <v>15887</v>
      </c>
      <c r="E1950" t="s">
        <v>14266</v>
      </c>
      <c r="F1950">
        <v>8726</v>
      </c>
      <c r="G1950" t="s">
        <v>12294</v>
      </c>
      <c r="H1950" t="s">
        <v>15453</v>
      </c>
      <c r="I1950">
        <v>4185</v>
      </c>
    </row>
    <row r="1951" spans="1:9" x14ac:dyDescent="0.25">
      <c r="A1951" t="s">
        <v>14295</v>
      </c>
      <c r="B1951" t="s">
        <v>14296</v>
      </c>
      <c r="C1951" t="s">
        <v>14297</v>
      </c>
      <c r="D1951" t="s">
        <v>15888</v>
      </c>
      <c r="E1951" t="s">
        <v>14266</v>
      </c>
      <c r="F1951">
        <v>8758</v>
      </c>
      <c r="G1951" t="s">
        <v>10436</v>
      </c>
      <c r="H1951" t="s">
        <v>15541</v>
      </c>
      <c r="I1951">
        <v>48657</v>
      </c>
    </row>
    <row r="1952" spans="1:9" x14ac:dyDescent="0.25">
      <c r="A1952" t="s">
        <v>14300</v>
      </c>
      <c r="B1952" t="s">
        <v>14301</v>
      </c>
      <c r="C1952" t="s">
        <v>14305</v>
      </c>
      <c r="D1952" t="s">
        <v>15889</v>
      </c>
      <c r="E1952" t="s">
        <v>14303</v>
      </c>
      <c r="F1952">
        <v>5224</v>
      </c>
      <c r="G1952" t="s">
        <v>14302</v>
      </c>
      <c r="H1952" t="s">
        <v>15591</v>
      </c>
      <c r="I1952">
        <v>50436</v>
      </c>
    </row>
    <row r="1953" spans="1:9" x14ac:dyDescent="0.25">
      <c r="A1953" t="s">
        <v>14308</v>
      </c>
      <c r="B1953" t="s">
        <v>14309</v>
      </c>
      <c r="C1953" t="s">
        <v>14311</v>
      </c>
      <c r="D1953" t="s">
        <v>15890</v>
      </c>
      <c r="E1953" t="s">
        <v>14310</v>
      </c>
      <c r="F1953">
        <v>8761</v>
      </c>
      <c r="G1953" t="s">
        <v>10571</v>
      </c>
      <c r="H1953" t="s">
        <v>15591</v>
      </c>
      <c r="I1953">
        <v>43388</v>
      </c>
    </row>
    <row r="1954" spans="1:9" x14ac:dyDescent="0.25">
      <c r="A1954" t="s">
        <v>14313</v>
      </c>
      <c r="B1954" t="s">
        <v>14314</v>
      </c>
      <c r="C1954" t="s">
        <v>14316</v>
      </c>
      <c r="D1954" t="s">
        <v>15891</v>
      </c>
      <c r="E1954" t="s">
        <v>14315</v>
      </c>
      <c r="F1954">
        <v>5148</v>
      </c>
      <c r="G1954" t="s">
        <v>12422</v>
      </c>
      <c r="H1954" t="s">
        <v>15558</v>
      </c>
      <c r="I1954">
        <v>54592</v>
      </c>
    </row>
    <row r="1955" spans="1:9" x14ac:dyDescent="0.25">
      <c r="A1955" t="s">
        <v>14319</v>
      </c>
      <c r="B1955" t="s">
        <v>14320</v>
      </c>
      <c r="C1955" t="s">
        <v>14322</v>
      </c>
      <c r="D1955" t="s">
        <v>15892</v>
      </c>
      <c r="E1955" t="s">
        <v>14321</v>
      </c>
      <c r="F1955">
        <v>5148</v>
      </c>
      <c r="G1955" t="s">
        <v>12422</v>
      </c>
      <c r="H1955" t="s">
        <v>15558</v>
      </c>
      <c r="I1955">
        <v>52914</v>
      </c>
    </row>
    <row r="1956" spans="1:9" x14ac:dyDescent="0.25">
      <c r="A1956" t="s">
        <v>14332</v>
      </c>
      <c r="B1956" t="s">
        <v>14333</v>
      </c>
      <c r="C1956" t="s">
        <v>14334</v>
      </c>
      <c r="D1956" t="s">
        <v>15893</v>
      </c>
      <c r="E1956" t="s">
        <v>14321</v>
      </c>
      <c r="F1956">
        <v>5148</v>
      </c>
      <c r="G1956" t="s">
        <v>12422</v>
      </c>
      <c r="H1956" t="s">
        <v>15558</v>
      </c>
      <c r="I1956">
        <v>49986</v>
      </c>
    </row>
    <row r="1957" spans="1:9" x14ac:dyDescent="0.25">
      <c r="A1957" t="s">
        <v>14337</v>
      </c>
      <c r="B1957" t="s">
        <v>9578</v>
      </c>
      <c r="C1957" t="s">
        <v>14338</v>
      </c>
      <c r="D1957" t="s">
        <v>15894</v>
      </c>
      <c r="E1957" t="s">
        <v>9582</v>
      </c>
      <c r="F1957">
        <v>8717</v>
      </c>
      <c r="G1957" t="s">
        <v>9834</v>
      </c>
      <c r="H1957" t="s">
        <v>15453</v>
      </c>
      <c r="I1957">
        <v>55234</v>
      </c>
    </row>
    <row r="1958" spans="1:9" x14ac:dyDescent="0.25">
      <c r="A1958" t="s">
        <v>14341</v>
      </c>
      <c r="B1958" t="s">
        <v>14342</v>
      </c>
      <c r="C1958" t="s">
        <v>14343</v>
      </c>
      <c r="D1958" t="s">
        <v>15895</v>
      </c>
      <c r="E1958" t="s">
        <v>14145</v>
      </c>
      <c r="F1958">
        <v>8592</v>
      </c>
      <c r="G1958" t="s">
        <v>139</v>
      </c>
      <c r="H1958" t="s">
        <v>139</v>
      </c>
      <c r="I1958">
        <v>50961</v>
      </c>
    </row>
    <row r="1959" spans="1:9" x14ac:dyDescent="0.25">
      <c r="A1959" t="s">
        <v>14345</v>
      </c>
      <c r="B1959" t="s">
        <v>14346</v>
      </c>
      <c r="C1959" t="s">
        <v>14347</v>
      </c>
      <c r="D1959" t="s">
        <v>15896</v>
      </c>
      <c r="E1959" t="s">
        <v>7078</v>
      </c>
      <c r="F1959">
        <v>8524</v>
      </c>
      <c r="G1959" t="s">
        <v>1607</v>
      </c>
      <c r="H1959" t="s">
        <v>15226</v>
      </c>
      <c r="I1959">
        <v>55348</v>
      </c>
    </row>
    <row r="1960" spans="1:9" x14ac:dyDescent="0.25">
      <c r="A1960" t="s">
        <v>14373</v>
      </c>
      <c r="B1960" t="s">
        <v>14374</v>
      </c>
      <c r="C1960" t="s">
        <v>14376</v>
      </c>
      <c r="D1960" t="s">
        <v>15897</v>
      </c>
      <c r="E1960" t="s">
        <v>14375</v>
      </c>
      <c r="F1960">
        <v>8753</v>
      </c>
      <c r="G1960" t="s">
        <v>10163</v>
      </c>
      <c r="H1960" t="s">
        <v>15591</v>
      </c>
      <c r="I1960">
        <v>4558</v>
      </c>
    </row>
    <row r="1961" spans="1:9" x14ac:dyDescent="0.25">
      <c r="A1961" t="s">
        <v>14379</v>
      </c>
      <c r="B1961" t="s">
        <v>14380</v>
      </c>
      <c r="C1961" t="s">
        <v>14382</v>
      </c>
      <c r="D1961" t="s">
        <v>15898</v>
      </c>
      <c r="E1961" t="s">
        <v>14381</v>
      </c>
      <c r="F1961">
        <v>8688</v>
      </c>
      <c r="G1961" t="s">
        <v>6627</v>
      </c>
      <c r="H1961" t="s">
        <v>79</v>
      </c>
      <c r="I1961">
        <v>54701</v>
      </c>
    </row>
    <row r="1962" spans="1:9" x14ac:dyDescent="0.25">
      <c r="A1962" t="s">
        <v>15208</v>
      </c>
      <c r="B1962" t="s">
        <v>14391</v>
      </c>
      <c r="C1962" t="s">
        <v>14393</v>
      </c>
      <c r="D1962" t="s">
        <v>15899</v>
      </c>
      <c r="E1962" t="s">
        <v>14392</v>
      </c>
      <c r="F1962">
        <v>5224</v>
      </c>
      <c r="G1962" t="s">
        <v>14302</v>
      </c>
      <c r="H1962" t="s">
        <v>15591</v>
      </c>
      <c r="I1962">
        <v>6714</v>
      </c>
    </row>
    <row r="1963" spans="1:9" x14ac:dyDescent="0.25">
      <c r="A1963" t="s">
        <v>14401</v>
      </c>
      <c r="B1963" t="s">
        <v>14402</v>
      </c>
      <c r="C1963" t="s">
        <v>14403</v>
      </c>
      <c r="D1963" t="s">
        <v>15900</v>
      </c>
      <c r="E1963" t="s">
        <v>14266</v>
      </c>
      <c r="F1963">
        <v>8717</v>
      </c>
      <c r="G1963" t="s">
        <v>9834</v>
      </c>
      <c r="H1963" t="s">
        <v>15453</v>
      </c>
      <c r="I1963">
        <v>36724</v>
      </c>
    </row>
    <row r="1964" spans="1:9" x14ac:dyDescent="0.25">
      <c r="A1964" t="s">
        <v>14406</v>
      </c>
      <c r="B1964" t="s">
        <v>14407</v>
      </c>
      <c r="C1964" t="s">
        <v>14408</v>
      </c>
      <c r="D1964" t="s">
        <v>15901</v>
      </c>
      <c r="E1964" t="s">
        <v>14266</v>
      </c>
      <c r="F1964">
        <v>8717</v>
      </c>
      <c r="G1964" t="s">
        <v>9587</v>
      </c>
      <c r="H1964" t="s">
        <v>15453</v>
      </c>
    </row>
    <row r="1965" spans="1:9" x14ac:dyDescent="0.25">
      <c r="A1965" t="s">
        <v>14411</v>
      </c>
      <c r="B1965" t="s">
        <v>14412</v>
      </c>
      <c r="C1965" t="s">
        <v>14414</v>
      </c>
      <c r="D1965" t="s">
        <v>15902</v>
      </c>
      <c r="E1965" t="s">
        <v>14413</v>
      </c>
      <c r="F1965">
        <v>8564</v>
      </c>
      <c r="G1965" t="s">
        <v>10350</v>
      </c>
      <c r="H1965" t="s">
        <v>15534</v>
      </c>
      <c r="I1965">
        <v>47298</v>
      </c>
    </row>
    <row r="1966" spans="1:9" x14ac:dyDescent="0.25">
      <c r="A1966" t="s">
        <v>14417</v>
      </c>
      <c r="B1966" t="s">
        <v>14418</v>
      </c>
      <c r="C1966" t="s">
        <v>14422</v>
      </c>
      <c r="D1966" t="s">
        <v>15903</v>
      </c>
      <c r="E1966" t="s">
        <v>14419</v>
      </c>
      <c r="F1966">
        <v>5227</v>
      </c>
      <c r="G1966" t="s">
        <v>137</v>
      </c>
      <c r="H1966" t="s">
        <v>137</v>
      </c>
      <c r="I1966">
        <v>37955</v>
      </c>
    </row>
    <row r="1967" spans="1:9" x14ac:dyDescent="0.25">
      <c r="A1967" t="s">
        <v>14425</v>
      </c>
      <c r="B1967" t="s">
        <v>14426</v>
      </c>
      <c r="C1967" t="s">
        <v>14428</v>
      </c>
      <c r="D1967" t="s">
        <v>15904</v>
      </c>
      <c r="E1967" t="s">
        <v>14427</v>
      </c>
      <c r="F1967">
        <v>8755</v>
      </c>
      <c r="G1967" t="s">
        <v>10214</v>
      </c>
      <c r="H1967" t="s">
        <v>15534</v>
      </c>
      <c r="I1967">
        <v>3594</v>
      </c>
    </row>
    <row r="1968" spans="1:9" x14ac:dyDescent="0.25">
      <c r="A1968" t="s">
        <v>14451</v>
      </c>
      <c r="B1968" t="s">
        <v>14452</v>
      </c>
      <c r="C1968" t="s">
        <v>14454</v>
      </c>
      <c r="D1968" t="s">
        <v>15905</v>
      </c>
      <c r="E1968" t="s">
        <v>14453</v>
      </c>
      <c r="F1968">
        <v>8761</v>
      </c>
      <c r="G1968" t="s">
        <v>10571</v>
      </c>
      <c r="H1968" t="s">
        <v>15591</v>
      </c>
      <c r="I1968">
        <v>3738</v>
      </c>
    </row>
    <row r="1969" spans="1:9" x14ac:dyDescent="0.25">
      <c r="A1969" t="s">
        <v>14457</v>
      </c>
      <c r="B1969" t="s">
        <v>14458</v>
      </c>
      <c r="C1969" t="s">
        <v>14460</v>
      </c>
      <c r="D1969" t="s">
        <v>15906</v>
      </c>
      <c r="E1969" t="s">
        <v>14459</v>
      </c>
      <c r="F1969">
        <v>8769</v>
      </c>
      <c r="G1969" t="s">
        <v>137</v>
      </c>
      <c r="H1969" t="s">
        <v>137</v>
      </c>
      <c r="I1969">
        <v>43390</v>
      </c>
    </row>
    <row r="1970" spans="1:9" x14ac:dyDescent="0.25">
      <c r="A1970" t="s">
        <v>14463</v>
      </c>
      <c r="B1970" t="s">
        <v>14464</v>
      </c>
      <c r="C1970" t="s">
        <v>14466</v>
      </c>
      <c r="D1970" t="s">
        <v>15907</v>
      </c>
      <c r="E1970" t="s">
        <v>14465</v>
      </c>
      <c r="F1970">
        <v>8566</v>
      </c>
      <c r="G1970" t="s">
        <v>12118</v>
      </c>
      <c r="H1970" t="s">
        <v>85</v>
      </c>
      <c r="I1970">
        <v>2720</v>
      </c>
    </row>
    <row r="1971" spans="1:9" x14ac:dyDescent="0.25">
      <c r="A1971" t="s">
        <v>14469</v>
      </c>
      <c r="B1971" t="s">
        <v>14470</v>
      </c>
      <c r="C1971" t="s">
        <v>14472</v>
      </c>
      <c r="D1971" t="s">
        <v>15908</v>
      </c>
      <c r="E1971" t="s">
        <v>14471</v>
      </c>
      <c r="F1971">
        <v>8592</v>
      </c>
      <c r="G1971" t="s">
        <v>139</v>
      </c>
      <c r="H1971" t="s">
        <v>139</v>
      </c>
      <c r="I1971">
        <v>38597</v>
      </c>
    </row>
    <row r="1972" spans="1:9" x14ac:dyDescent="0.25">
      <c r="A1972" t="s">
        <v>14475</v>
      </c>
      <c r="B1972" t="s">
        <v>14476</v>
      </c>
      <c r="C1972" t="s">
        <v>14478</v>
      </c>
      <c r="D1972" t="s">
        <v>15909</v>
      </c>
      <c r="E1972" t="s">
        <v>14477</v>
      </c>
      <c r="F1972">
        <v>8592</v>
      </c>
      <c r="G1972" t="s">
        <v>139</v>
      </c>
      <c r="H1972" t="s">
        <v>139</v>
      </c>
      <c r="I1972">
        <v>8233</v>
      </c>
    </row>
    <row r="1973" spans="1:9" x14ac:dyDescent="0.25">
      <c r="A1973" t="s">
        <v>15209</v>
      </c>
      <c r="B1973" t="s">
        <v>14482</v>
      </c>
      <c r="C1973" t="s">
        <v>14484</v>
      </c>
      <c r="D1973" t="s">
        <v>15910</v>
      </c>
      <c r="E1973" t="s">
        <v>14483</v>
      </c>
      <c r="F1973">
        <v>8715</v>
      </c>
      <c r="G1973" t="s">
        <v>8401</v>
      </c>
      <c r="H1973" t="s">
        <v>2399</v>
      </c>
      <c r="I1973">
        <v>55364</v>
      </c>
    </row>
    <row r="1974" spans="1:9" x14ac:dyDescent="0.25">
      <c r="A1974" t="s">
        <v>14487</v>
      </c>
      <c r="B1974" t="s">
        <v>14488</v>
      </c>
      <c r="C1974" t="s">
        <v>14489</v>
      </c>
      <c r="D1974" t="s">
        <v>15911</v>
      </c>
      <c r="E1974" t="s">
        <v>14227</v>
      </c>
      <c r="F1974">
        <v>8752</v>
      </c>
      <c r="G1974" t="s">
        <v>10155</v>
      </c>
      <c r="H1974" t="s">
        <v>15534</v>
      </c>
      <c r="I1974">
        <v>52530</v>
      </c>
    </row>
    <row r="1975" spans="1:9" x14ac:dyDescent="0.25">
      <c r="A1975" t="s">
        <v>14492</v>
      </c>
      <c r="B1975" t="s">
        <v>14493</v>
      </c>
      <c r="C1975" t="s">
        <v>14495</v>
      </c>
      <c r="D1975" t="s">
        <v>15912</v>
      </c>
      <c r="E1975" t="s">
        <v>14494</v>
      </c>
      <c r="F1975">
        <v>8719</v>
      </c>
      <c r="G1975" t="s">
        <v>11848</v>
      </c>
      <c r="H1975" t="s">
        <v>79</v>
      </c>
      <c r="I1975">
        <v>46437</v>
      </c>
    </row>
    <row r="1976" spans="1:9" x14ac:dyDescent="0.25">
      <c r="A1976" t="s">
        <v>14497</v>
      </c>
      <c r="B1976" t="s">
        <v>14498</v>
      </c>
      <c r="C1976" t="s">
        <v>14500</v>
      </c>
      <c r="D1976" t="s">
        <v>15913</v>
      </c>
      <c r="E1976" t="s">
        <v>14499</v>
      </c>
      <c r="F1976">
        <v>8761</v>
      </c>
      <c r="G1976" t="s">
        <v>10576</v>
      </c>
      <c r="H1976" t="s">
        <v>15591</v>
      </c>
      <c r="I1976">
        <v>54431</v>
      </c>
    </row>
    <row r="1977" spans="1:9" x14ac:dyDescent="0.25">
      <c r="A1977" t="s">
        <v>14502</v>
      </c>
      <c r="B1977" t="s">
        <v>14503</v>
      </c>
      <c r="C1977" t="s">
        <v>14505</v>
      </c>
      <c r="D1977" t="s">
        <v>15914</v>
      </c>
      <c r="E1977" t="s">
        <v>14504</v>
      </c>
      <c r="F1977">
        <v>8761</v>
      </c>
      <c r="G1977" t="s">
        <v>10576</v>
      </c>
      <c r="H1977" t="s">
        <v>15591</v>
      </c>
      <c r="I1977">
        <v>39227</v>
      </c>
    </row>
    <row r="1978" spans="1:9" x14ac:dyDescent="0.25">
      <c r="A1978" t="s">
        <v>14508</v>
      </c>
      <c r="B1978" t="s">
        <v>14509</v>
      </c>
      <c r="C1978" t="s">
        <v>14511</v>
      </c>
      <c r="D1978" t="s">
        <v>15915</v>
      </c>
      <c r="E1978" t="s">
        <v>14510</v>
      </c>
      <c r="F1978">
        <v>8513</v>
      </c>
      <c r="G1978" t="s">
        <v>65</v>
      </c>
      <c r="H1978" t="s">
        <v>72</v>
      </c>
      <c r="I1978">
        <v>55430</v>
      </c>
    </row>
    <row r="1979" spans="1:9" x14ac:dyDescent="0.25">
      <c r="A1979" t="s">
        <v>14514</v>
      </c>
      <c r="B1979" t="s">
        <v>14515</v>
      </c>
      <c r="C1979" t="s">
        <v>14517</v>
      </c>
      <c r="D1979" t="s">
        <v>15916</v>
      </c>
      <c r="E1979" t="s">
        <v>14516</v>
      </c>
      <c r="F1979">
        <v>8742</v>
      </c>
      <c r="G1979" t="s">
        <v>10077</v>
      </c>
      <c r="H1979" t="s">
        <v>2399</v>
      </c>
      <c r="I1979">
        <v>31599</v>
      </c>
    </row>
    <row r="1980" spans="1:9" x14ac:dyDescent="0.25">
      <c r="A1980" t="s">
        <v>14520</v>
      </c>
      <c r="B1980" t="s">
        <v>10162</v>
      </c>
      <c r="C1980" t="s">
        <v>14523</v>
      </c>
      <c r="D1980" t="s">
        <v>15917</v>
      </c>
      <c r="E1980" t="s">
        <v>14522</v>
      </c>
      <c r="F1980">
        <v>8753</v>
      </c>
      <c r="G1980" t="s">
        <v>10163</v>
      </c>
      <c r="H1980" t="s">
        <v>15591</v>
      </c>
      <c r="I1980">
        <v>55377</v>
      </c>
    </row>
    <row r="1981" spans="1:9" x14ac:dyDescent="0.25">
      <c r="A1981" t="s">
        <v>14526</v>
      </c>
      <c r="B1981" t="s">
        <v>14527</v>
      </c>
      <c r="C1981" t="s">
        <v>14529</v>
      </c>
      <c r="D1981" t="s">
        <v>15918</v>
      </c>
      <c r="E1981" t="s">
        <v>14528</v>
      </c>
      <c r="F1981">
        <v>8636</v>
      </c>
      <c r="G1981" t="s">
        <v>4978</v>
      </c>
      <c r="H1981" t="s">
        <v>72</v>
      </c>
      <c r="I1981">
        <v>54981</v>
      </c>
    </row>
    <row r="1982" spans="1:9" x14ac:dyDescent="0.25">
      <c r="A1982" t="s">
        <v>14532</v>
      </c>
      <c r="B1982" t="s">
        <v>14533</v>
      </c>
      <c r="C1982" t="s">
        <v>14535</v>
      </c>
      <c r="D1982" t="s">
        <v>15919</v>
      </c>
      <c r="E1982" t="s">
        <v>14534</v>
      </c>
      <c r="F1982">
        <v>8566</v>
      </c>
      <c r="G1982" t="s">
        <v>2831</v>
      </c>
      <c r="H1982" t="s">
        <v>85</v>
      </c>
      <c r="I1982">
        <v>54439</v>
      </c>
    </row>
    <row r="1983" spans="1:9" x14ac:dyDescent="0.25">
      <c r="A1983" t="s">
        <v>14538</v>
      </c>
      <c r="B1983" t="s">
        <v>14539</v>
      </c>
      <c r="C1983" t="s">
        <v>14541</v>
      </c>
      <c r="D1983" t="s">
        <v>15920</v>
      </c>
      <c r="E1983" t="s">
        <v>14540</v>
      </c>
      <c r="F1983">
        <v>8525</v>
      </c>
      <c r="G1983" t="s">
        <v>317</v>
      </c>
      <c r="H1983" t="s">
        <v>15233</v>
      </c>
      <c r="I1983">
        <v>52078</v>
      </c>
    </row>
    <row r="1984" spans="1:9" x14ac:dyDescent="0.25">
      <c r="A1984" t="s">
        <v>14547</v>
      </c>
      <c r="B1984" t="s">
        <v>14549</v>
      </c>
      <c r="C1984" t="s">
        <v>14551</v>
      </c>
      <c r="D1984" t="s">
        <v>15921</v>
      </c>
      <c r="E1984" t="s">
        <v>14550</v>
      </c>
      <c r="F1984">
        <v>8582</v>
      </c>
      <c r="G1984" t="s">
        <v>137</v>
      </c>
      <c r="H1984" t="s">
        <v>137</v>
      </c>
      <c r="I1984">
        <v>36164</v>
      </c>
    </row>
    <row r="1985" spans="1:9" x14ac:dyDescent="0.25">
      <c r="A1985" t="s">
        <v>14554</v>
      </c>
      <c r="B1985" t="s">
        <v>2744</v>
      </c>
      <c r="C1985" t="s">
        <v>2746</v>
      </c>
      <c r="D1985" t="s">
        <v>15922</v>
      </c>
      <c r="E1985" t="s">
        <v>2745</v>
      </c>
      <c r="F1985">
        <v>8542</v>
      </c>
      <c r="G1985" t="s">
        <v>15342</v>
      </c>
      <c r="H1985" t="s">
        <v>72</v>
      </c>
      <c r="I1985">
        <v>51148</v>
      </c>
    </row>
    <row r="1986" spans="1:9" x14ac:dyDescent="0.25">
      <c r="A1986" t="s">
        <v>14557</v>
      </c>
      <c r="B1986" t="s">
        <v>11193</v>
      </c>
      <c r="C1986" t="s">
        <v>11195</v>
      </c>
      <c r="D1986" t="s">
        <v>15923</v>
      </c>
      <c r="E1986" t="s">
        <v>14558</v>
      </c>
      <c r="F1986">
        <v>8533</v>
      </c>
      <c r="G1986" t="s">
        <v>300</v>
      </c>
      <c r="H1986" t="s">
        <v>72</v>
      </c>
      <c r="I1986">
        <v>55186</v>
      </c>
    </row>
    <row r="1987" spans="1:9" x14ac:dyDescent="0.25">
      <c r="A1987" t="s">
        <v>14566</v>
      </c>
      <c r="B1987" t="s">
        <v>14567</v>
      </c>
      <c r="C1987" t="s">
        <v>14568</v>
      </c>
      <c r="D1987" t="s">
        <v>15924</v>
      </c>
      <c r="E1987" t="s">
        <v>4344</v>
      </c>
      <c r="F1987">
        <v>8519</v>
      </c>
      <c r="G1987" t="s">
        <v>1898</v>
      </c>
      <c r="H1987" t="s">
        <v>15226</v>
      </c>
      <c r="I1987">
        <v>46883</v>
      </c>
    </row>
    <row r="1988" spans="1:9" x14ac:dyDescent="0.25">
      <c r="A1988" t="s">
        <v>14571</v>
      </c>
      <c r="B1988" t="s">
        <v>14572</v>
      </c>
      <c r="C1988" t="s">
        <v>14574</v>
      </c>
      <c r="D1988" t="s">
        <v>15925</v>
      </c>
      <c r="E1988" t="s">
        <v>14573</v>
      </c>
      <c r="F1988">
        <v>8761</v>
      </c>
      <c r="G1988" t="s">
        <v>10576</v>
      </c>
      <c r="H1988" t="s">
        <v>15591</v>
      </c>
      <c r="I1988">
        <v>4198</v>
      </c>
    </row>
    <row r="1989" spans="1:9" x14ac:dyDescent="0.25">
      <c r="A1989" t="s">
        <v>14577</v>
      </c>
      <c r="B1989" t="s">
        <v>14578</v>
      </c>
      <c r="C1989" t="s">
        <v>14580</v>
      </c>
      <c r="D1989" t="s">
        <v>15926</v>
      </c>
      <c r="E1989" t="s">
        <v>14579</v>
      </c>
      <c r="F1989">
        <v>8601</v>
      </c>
      <c r="G1989" t="s">
        <v>10141</v>
      </c>
      <c r="H1989" t="s">
        <v>15534</v>
      </c>
      <c r="I1989">
        <v>5932</v>
      </c>
    </row>
    <row r="1990" spans="1:9" x14ac:dyDescent="0.25">
      <c r="A1990" t="s">
        <v>14588</v>
      </c>
      <c r="B1990" t="s">
        <v>14589</v>
      </c>
      <c r="C1990" t="s">
        <v>14591</v>
      </c>
      <c r="D1990" t="s">
        <v>15927</v>
      </c>
      <c r="E1990" t="s">
        <v>14590</v>
      </c>
      <c r="F1990">
        <v>8761</v>
      </c>
      <c r="G1990" t="s">
        <v>10571</v>
      </c>
      <c r="H1990" t="s">
        <v>15591</v>
      </c>
      <c r="I1990">
        <v>4120</v>
      </c>
    </row>
    <row r="1991" spans="1:9" x14ac:dyDescent="0.25">
      <c r="A1991" t="s">
        <v>14594</v>
      </c>
      <c r="B1991" t="s">
        <v>14595</v>
      </c>
      <c r="C1991" t="s">
        <v>14597</v>
      </c>
      <c r="D1991" t="s">
        <v>15928</v>
      </c>
      <c r="E1991" t="s">
        <v>14596</v>
      </c>
      <c r="F1991">
        <v>8592</v>
      </c>
      <c r="G1991" t="s">
        <v>139</v>
      </c>
      <c r="H1991" t="s">
        <v>139</v>
      </c>
      <c r="I1991">
        <v>51550</v>
      </c>
    </row>
    <row r="1992" spans="1:9" x14ac:dyDescent="0.25">
      <c r="A1992" t="s">
        <v>14600</v>
      </c>
      <c r="B1992" t="s">
        <v>8057</v>
      </c>
      <c r="C1992" t="s">
        <v>8059</v>
      </c>
      <c r="D1992" t="s">
        <v>15929</v>
      </c>
      <c r="E1992" t="s">
        <v>8058</v>
      </c>
      <c r="F1992">
        <v>8646</v>
      </c>
      <c r="G1992" t="s">
        <v>137</v>
      </c>
      <c r="H1992" t="s">
        <v>137</v>
      </c>
      <c r="I1992">
        <v>55492</v>
      </c>
    </row>
    <row r="1993" spans="1:9" x14ac:dyDescent="0.25">
      <c r="A1993" t="s">
        <v>14604</v>
      </c>
      <c r="B1993" t="s">
        <v>8057</v>
      </c>
      <c r="C1993" t="s">
        <v>8059</v>
      </c>
      <c r="D1993" t="s">
        <v>15930</v>
      </c>
      <c r="E1993" t="s">
        <v>8058</v>
      </c>
      <c r="F1993">
        <v>8769</v>
      </c>
      <c r="G1993" t="s">
        <v>137</v>
      </c>
      <c r="H1993" t="s">
        <v>137</v>
      </c>
      <c r="I1993">
        <v>55494</v>
      </c>
    </row>
    <row r="1994" spans="1:9" x14ac:dyDescent="0.25">
      <c r="A1994" t="s">
        <v>14607</v>
      </c>
      <c r="B1994" t="s">
        <v>8057</v>
      </c>
      <c r="C1994" t="s">
        <v>8059</v>
      </c>
      <c r="D1994" t="s">
        <v>15931</v>
      </c>
      <c r="E1994" t="s">
        <v>14608</v>
      </c>
      <c r="F1994">
        <v>8663</v>
      </c>
      <c r="G1994" t="s">
        <v>137</v>
      </c>
      <c r="H1994" t="s">
        <v>137</v>
      </c>
      <c r="I1994">
        <v>55347</v>
      </c>
    </row>
    <row r="1995" spans="1:9" x14ac:dyDescent="0.25">
      <c r="A1995" t="s">
        <v>14611</v>
      </c>
      <c r="B1995" t="s">
        <v>14563</v>
      </c>
      <c r="C1995" t="s">
        <v>14564</v>
      </c>
      <c r="D1995" t="s">
        <v>15932</v>
      </c>
      <c r="E1995" t="s">
        <v>6696</v>
      </c>
      <c r="F1995">
        <v>5201</v>
      </c>
      <c r="G1995" t="s">
        <v>79</v>
      </c>
      <c r="H1995" t="s">
        <v>79</v>
      </c>
      <c r="I1995">
        <v>3685</v>
      </c>
    </row>
    <row r="1996" spans="1:9" x14ac:dyDescent="0.25">
      <c r="A1996" t="s">
        <v>14614</v>
      </c>
      <c r="B1996" t="s">
        <v>1227</v>
      </c>
      <c r="C1996" t="s">
        <v>14617</v>
      </c>
      <c r="D1996" t="s">
        <v>15933</v>
      </c>
      <c r="E1996" t="s">
        <v>14616</v>
      </c>
      <c r="F1996">
        <v>8536</v>
      </c>
      <c r="G1996" t="s">
        <v>939</v>
      </c>
      <c r="H1996" t="s">
        <v>72</v>
      </c>
      <c r="I1996">
        <v>55424</v>
      </c>
    </row>
    <row r="1997" spans="1:9" x14ac:dyDescent="0.25">
      <c r="A1997" t="s">
        <v>14620</v>
      </c>
      <c r="B1997" t="s">
        <v>14621</v>
      </c>
      <c r="C1997" t="s">
        <v>14623</v>
      </c>
      <c r="D1997" t="s">
        <v>15934</v>
      </c>
      <c r="E1997" t="s">
        <v>14622</v>
      </c>
      <c r="F1997">
        <v>8695</v>
      </c>
      <c r="G1997" t="s">
        <v>11694</v>
      </c>
      <c r="H1997" t="s">
        <v>2399</v>
      </c>
      <c r="I1997">
        <v>55382</v>
      </c>
    </row>
    <row r="1998" spans="1:9" x14ac:dyDescent="0.25">
      <c r="A1998" t="s">
        <v>14626</v>
      </c>
      <c r="B1998" t="s">
        <v>14627</v>
      </c>
      <c r="C1998" t="s">
        <v>14629</v>
      </c>
      <c r="D1998" t="s">
        <v>15935</v>
      </c>
      <c r="E1998" t="s">
        <v>14628</v>
      </c>
      <c r="F1998">
        <v>8650</v>
      </c>
      <c r="G1998" t="s">
        <v>5261</v>
      </c>
      <c r="H1998" t="s">
        <v>139</v>
      </c>
      <c r="I1998">
        <v>34071</v>
      </c>
    </row>
    <row r="1999" spans="1:9" x14ac:dyDescent="0.25">
      <c r="A1999" t="s">
        <v>14632</v>
      </c>
      <c r="B1999" t="s">
        <v>14627</v>
      </c>
      <c r="C1999" t="s">
        <v>14629</v>
      </c>
      <c r="D1999" t="s">
        <v>15936</v>
      </c>
      <c r="E1999" t="s">
        <v>14628</v>
      </c>
      <c r="F1999">
        <v>8650</v>
      </c>
      <c r="G1999" t="s">
        <v>5261</v>
      </c>
      <c r="H1999" t="s">
        <v>139</v>
      </c>
      <c r="I1999">
        <v>51262</v>
      </c>
    </row>
    <row r="2000" spans="1:9" x14ac:dyDescent="0.25">
      <c r="A2000" t="s">
        <v>14635</v>
      </c>
      <c r="B2000" t="s">
        <v>14636</v>
      </c>
      <c r="C2000" t="s">
        <v>14637</v>
      </c>
      <c r="D2000" t="s">
        <v>15937</v>
      </c>
      <c r="E2000" t="s">
        <v>14628</v>
      </c>
      <c r="F2000">
        <v>8592</v>
      </c>
      <c r="G2000" t="s">
        <v>139</v>
      </c>
      <c r="H2000" t="s">
        <v>139</v>
      </c>
      <c r="I2000">
        <v>41213</v>
      </c>
    </row>
    <row r="2001" spans="1:9" x14ac:dyDescent="0.25">
      <c r="A2001" t="s">
        <v>14640</v>
      </c>
      <c r="B2001" t="s">
        <v>14641</v>
      </c>
      <c r="C2001" t="s">
        <v>14643</v>
      </c>
      <c r="D2001" t="s">
        <v>15938</v>
      </c>
      <c r="E2001" t="s">
        <v>14642</v>
      </c>
      <c r="F2001">
        <v>8761</v>
      </c>
      <c r="G2001" t="s">
        <v>10576</v>
      </c>
      <c r="H2001" t="s">
        <v>15591</v>
      </c>
      <c r="I2001">
        <v>53815</v>
      </c>
    </row>
    <row r="2002" spans="1:9" x14ac:dyDescent="0.25">
      <c r="A2002" t="s">
        <v>14646</v>
      </c>
      <c r="B2002" t="s">
        <v>14647</v>
      </c>
      <c r="C2002" t="s">
        <v>14649</v>
      </c>
      <c r="D2002" t="s">
        <v>15939</v>
      </c>
      <c r="E2002" t="s">
        <v>14648</v>
      </c>
      <c r="F2002">
        <v>5224</v>
      </c>
      <c r="G2002" t="s">
        <v>14302</v>
      </c>
      <c r="H2002" t="s">
        <v>15591</v>
      </c>
      <c r="I2002">
        <v>6076</v>
      </c>
    </row>
    <row r="2003" spans="1:9" x14ac:dyDescent="0.25">
      <c r="A2003" t="s">
        <v>14652</v>
      </c>
      <c r="B2003" t="s">
        <v>14653</v>
      </c>
      <c r="C2003" t="s">
        <v>14655</v>
      </c>
      <c r="D2003" t="s">
        <v>14655</v>
      </c>
      <c r="E2003" t="s">
        <v>14654</v>
      </c>
      <c r="F2003">
        <v>8520</v>
      </c>
      <c r="G2003" t="s">
        <v>1531</v>
      </c>
      <c r="H2003" t="s">
        <v>15226</v>
      </c>
    </row>
    <row r="2004" spans="1:9" x14ac:dyDescent="0.25">
      <c r="A2004" t="s">
        <v>14657</v>
      </c>
      <c r="B2004" t="s">
        <v>14658</v>
      </c>
      <c r="C2004" t="s">
        <v>14660</v>
      </c>
      <c r="D2004" t="s">
        <v>15940</v>
      </c>
      <c r="E2004" t="s">
        <v>14315</v>
      </c>
      <c r="F2004">
        <v>8509</v>
      </c>
      <c r="G2004" t="s">
        <v>9657</v>
      </c>
      <c r="H2004" t="s">
        <v>15558</v>
      </c>
      <c r="I2004">
        <v>50943</v>
      </c>
    </row>
    <row r="2005" spans="1:9" x14ac:dyDescent="0.25">
      <c r="A2005" t="s">
        <v>14663</v>
      </c>
      <c r="B2005" t="s">
        <v>14664</v>
      </c>
      <c r="C2005" t="s">
        <v>14665</v>
      </c>
      <c r="D2005" t="s">
        <v>15941</v>
      </c>
      <c r="E2005" t="s">
        <v>14315</v>
      </c>
      <c r="F2005">
        <v>8509</v>
      </c>
      <c r="G2005" t="s">
        <v>9657</v>
      </c>
      <c r="H2005" t="s">
        <v>15558</v>
      </c>
      <c r="I2005">
        <v>51147</v>
      </c>
    </row>
    <row r="2006" spans="1:9" x14ac:dyDescent="0.25">
      <c r="A2006" t="s">
        <v>14668</v>
      </c>
      <c r="B2006" t="s">
        <v>14669</v>
      </c>
      <c r="C2006" t="s">
        <v>14674</v>
      </c>
      <c r="D2006" t="s">
        <v>15942</v>
      </c>
      <c r="E2006" t="s">
        <v>14671</v>
      </c>
      <c r="F2006">
        <v>3351</v>
      </c>
      <c r="G2006" t="s">
        <v>14670</v>
      </c>
      <c r="H2006" t="s">
        <v>15591</v>
      </c>
      <c r="I2006">
        <v>7588</v>
      </c>
    </row>
    <row r="2007" spans="1:9" x14ac:dyDescent="0.25">
      <c r="A2007" t="s">
        <v>14677</v>
      </c>
      <c r="B2007" t="s">
        <v>14678</v>
      </c>
      <c r="C2007" t="s">
        <v>14679</v>
      </c>
      <c r="D2007" t="s">
        <v>14679</v>
      </c>
      <c r="E2007" t="s">
        <v>14671</v>
      </c>
      <c r="F2007">
        <v>8753</v>
      </c>
      <c r="G2007" t="s">
        <v>10163</v>
      </c>
      <c r="H2007" t="s">
        <v>15591</v>
      </c>
      <c r="I2007">
        <v>49631</v>
      </c>
    </row>
    <row r="2008" spans="1:9" x14ac:dyDescent="0.25">
      <c r="A2008" t="s">
        <v>14682</v>
      </c>
      <c r="B2008" t="s">
        <v>14683</v>
      </c>
      <c r="C2008" t="s">
        <v>14686</v>
      </c>
      <c r="D2008" t="s">
        <v>15943</v>
      </c>
      <c r="E2008" t="s">
        <v>14321</v>
      </c>
      <c r="F2008">
        <v>4045</v>
      </c>
      <c r="G2008" t="s">
        <v>14684</v>
      </c>
      <c r="H2008" t="s">
        <v>15558</v>
      </c>
      <c r="I2008">
        <v>54346</v>
      </c>
    </row>
    <row r="2009" spans="1:9" x14ac:dyDescent="0.25">
      <c r="A2009" t="s">
        <v>14689</v>
      </c>
      <c r="B2009" t="s">
        <v>14690</v>
      </c>
      <c r="C2009" t="s">
        <v>14692</v>
      </c>
      <c r="D2009" t="s">
        <v>15944</v>
      </c>
      <c r="E2009" t="s">
        <v>14691</v>
      </c>
      <c r="F2009">
        <v>8761</v>
      </c>
      <c r="G2009" t="s">
        <v>10576</v>
      </c>
      <c r="H2009" t="s">
        <v>15591</v>
      </c>
      <c r="I2009">
        <v>1625</v>
      </c>
    </row>
    <row r="2010" spans="1:9" x14ac:dyDescent="0.25">
      <c r="A2010" t="s">
        <v>14705</v>
      </c>
      <c r="B2010" t="s">
        <v>14706</v>
      </c>
      <c r="C2010" t="s">
        <v>14708</v>
      </c>
      <c r="D2010" t="s">
        <v>15945</v>
      </c>
      <c r="E2010" t="s">
        <v>14707</v>
      </c>
      <c r="F2010">
        <v>8601</v>
      </c>
      <c r="G2010" t="s">
        <v>10141</v>
      </c>
      <c r="H2010" t="s">
        <v>15534</v>
      </c>
      <c r="I2010">
        <v>37419</v>
      </c>
    </row>
    <row r="2011" spans="1:9" x14ac:dyDescent="0.25">
      <c r="A2011" t="s">
        <v>14711</v>
      </c>
      <c r="B2011" t="s">
        <v>14712</v>
      </c>
      <c r="C2011" t="s">
        <v>14716</v>
      </c>
      <c r="D2011" t="s">
        <v>15946</v>
      </c>
      <c r="E2011" t="s">
        <v>14714</v>
      </c>
      <c r="F2011">
        <v>3352</v>
      </c>
      <c r="G2011" t="s">
        <v>14713</v>
      </c>
      <c r="H2011" t="s">
        <v>15591</v>
      </c>
      <c r="I2011">
        <v>6696</v>
      </c>
    </row>
    <row r="2012" spans="1:9" x14ac:dyDescent="0.25">
      <c r="A2012" t="s">
        <v>14727</v>
      </c>
      <c r="B2012" t="s">
        <v>14728</v>
      </c>
      <c r="C2012" t="s">
        <v>14732</v>
      </c>
      <c r="D2012" t="s">
        <v>15947</v>
      </c>
      <c r="E2012" t="s">
        <v>14730</v>
      </c>
      <c r="F2012">
        <v>3354</v>
      </c>
      <c r="G2012" t="s">
        <v>14729</v>
      </c>
      <c r="H2012" t="s">
        <v>15591</v>
      </c>
      <c r="I2012">
        <v>49980</v>
      </c>
    </row>
    <row r="2013" spans="1:9" x14ac:dyDescent="0.25">
      <c r="A2013" t="s">
        <v>14735</v>
      </c>
      <c r="B2013" t="s">
        <v>13343</v>
      </c>
      <c r="C2013" t="s">
        <v>14739</v>
      </c>
      <c r="D2013" t="s">
        <v>15948</v>
      </c>
      <c r="E2013" t="s">
        <v>14737</v>
      </c>
      <c r="F2013">
        <v>3355</v>
      </c>
      <c r="G2013" t="s">
        <v>14736</v>
      </c>
      <c r="H2013" t="s">
        <v>139</v>
      </c>
      <c r="I2013">
        <v>54455</v>
      </c>
    </row>
    <row r="2014" spans="1:9" x14ac:dyDescent="0.25">
      <c r="A2014" t="s">
        <v>14742</v>
      </c>
      <c r="B2014" t="s">
        <v>14743</v>
      </c>
      <c r="C2014" t="s">
        <v>14745</v>
      </c>
      <c r="D2014" t="s">
        <v>15949</v>
      </c>
      <c r="E2014" t="s">
        <v>14744</v>
      </c>
      <c r="F2014">
        <v>8752</v>
      </c>
      <c r="G2014" t="s">
        <v>10155</v>
      </c>
      <c r="H2014" t="s">
        <v>15534</v>
      </c>
      <c r="I2014">
        <v>32116</v>
      </c>
    </row>
    <row r="2015" spans="1:9" x14ac:dyDescent="0.25">
      <c r="A2015" t="s">
        <v>14748</v>
      </c>
      <c r="B2015" t="s">
        <v>14749</v>
      </c>
      <c r="C2015" t="s">
        <v>14750</v>
      </c>
      <c r="D2015" t="s">
        <v>15950</v>
      </c>
      <c r="E2015" t="s">
        <v>14744</v>
      </c>
      <c r="F2015">
        <v>8601</v>
      </c>
      <c r="G2015" t="s">
        <v>10141</v>
      </c>
      <c r="H2015" t="s">
        <v>15534</v>
      </c>
      <c r="I2015">
        <v>46091</v>
      </c>
    </row>
    <row r="2016" spans="1:9" x14ac:dyDescent="0.25">
      <c r="A2016" t="s">
        <v>14753</v>
      </c>
      <c r="B2016" t="s">
        <v>14754</v>
      </c>
      <c r="C2016" t="s">
        <v>14755</v>
      </c>
      <c r="D2016" t="s">
        <v>15951</v>
      </c>
      <c r="E2016" t="s">
        <v>14744</v>
      </c>
      <c r="F2016">
        <v>8755</v>
      </c>
      <c r="G2016" t="s">
        <v>10214</v>
      </c>
      <c r="H2016" t="s">
        <v>15534</v>
      </c>
      <c r="I2016">
        <v>40557</v>
      </c>
    </row>
    <row r="2017" spans="1:9" x14ac:dyDescent="0.25">
      <c r="A2017" t="s">
        <v>14758</v>
      </c>
      <c r="B2017" t="s">
        <v>14749</v>
      </c>
      <c r="C2017" t="s">
        <v>14750</v>
      </c>
      <c r="D2017" t="s">
        <v>15952</v>
      </c>
      <c r="E2017" t="s">
        <v>14744</v>
      </c>
      <c r="F2017">
        <v>8601</v>
      </c>
      <c r="G2017" t="s">
        <v>10141</v>
      </c>
      <c r="H2017" t="s">
        <v>15534</v>
      </c>
    </row>
    <row r="2018" spans="1:9" x14ac:dyDescent="0.25">
      <c r="A2018" t="s">
        <v>14761</v>
      </c>
      <c r="B2018" t="s">
        <v>14762</v>
      </c>
      <c r="C2018" t="s">
        <v>14763</v>
      </c>
      <c r="D2018" t="s">
        <v>15953</v>
      </c>
      <c r="E2018" t="s">
        <v>8377</v>
      </c>
      <c r="F2018">
        <v>8717</v>
      </c>
      <c r="G2018" t="s">
        <v>9834</v>
      </c>
      <c r="H2018" t="s">
        <v>15453</v>
      </c>
      <c r="I2018">
        <v>7935</v>
      </c>
    </row>
    <row r="2019" spans="1:9" x14ac:dyDescent="0.25">
      <c r="A2019" t="s">
        <v>14781</v>
      </c>
      <c r="B2019" t="s">
        <v>4022</v>
      </c>
      <c r="C2019" t="s">
        <v>10951</v>
      </c>
      <c r="D2019" t="s">
        <v>15954</v>
      </c>
      <c r="E2019" t="s">
        <v>1018</v>
      </c>
      <c r="F2019">
        <v>8525</v>
      </c>
      <c r="G2019" t="s">
        <v>201</v>
      </c>
      <c r="H2019" t="s">
        <v>15226</v>
      </c>
      <c r="I2019">
        <v>55598</v>
      </c>
    </row>
    <row r="2020" spans="1:9" x14ac:dyDescent="0.25">
      <c r="A2020" t="s">
        <v>14788</v>
      </c>
      <c r="B2020" t="s">
        <v>14159</v>
      </c>
      <c r="C2020" t="s">
        <v>14789</v>
      </c>
      <c r="D2020" t="s">
        <v>15955</v>
      </c>
      <c r="E2020" t="s">
        <v>14160</v>
      </c>
      <c r="F2020">
        <v>8515</v>
      </c>
      <c r="G2020" t="s">
        <v>1335</v>
      </c>
      <c r="H2020" t="s">
        <v>15249</v>
      </c>
      <c r="I2020">
        <v>48171</v>
      </c>
    </row>
    <row r="2021" spans="1:9" x14ac:dyDescent="0.25">
      <c r="A2021" t="s">
        <v>14792</v>
      </c>
      <c r="B2021" t="s">
        <v>14793</v>
      </c>
      <c r="C2021" t="s">
        <v>14797</v>
      </c>
      <c r="D2021" t="s">
        <v>14797</v>
      </c>
      <c r="E2021" t="s">
        <v>14795</v>
      </c>
      <c r="F2021">
        <v>3356</v>
      </c>
      <c r="G2021" t="s">
        <v>14794</v>
      </c>
      <c r="H2021" t="s">
        <v>15591</v>
      </c>
      <c r="I2021">
        <v>54087</v>
      </c>
    </row>
    <row r="2022" spans="1:9" x14ac:dyDescent="0.25">
      <c r="A2022" t="s">
        <v>14801</v>
      </c>
      <c r="B2022" t="s">
        <v>14802</v>
      </c>
      <c r="C2022" t="s">
        <v>14804</v>
      </c>
      <c r="D2022" t="s">
        <v>15956</v>
      </c>
      <c r="E2022" t="s">
        <v>14803</v>
      </c>
      <c r="F2022">
        <v>8533</v>
      </c>
      <c r="G2022" t="s">
        <v>300</v>
      </c>
      <c r="H2022" t="s">
        <v>72</v>
      </c>
      <c r="I2022">
        <v>55529</v>
      </c>
    </row>
    <row r="2023" spans="1:9" x14ac:dyDescent="0.25">
      <c r="A2023" t="s">
        <v>14807</v>
      </c>
      <c r="B2023" t="s">
        <v>14808</v>
      </c>
      <c r="C2023" t="s">
        <v>14811</v>
      </c>
      <c r="D2023" t="s">
        <v>15957</v>
      </c>
      <c r="E2023" t="s">
        <v>10406</v>
      </c>
      <c r="F2023">
        <v>3358</v>
      </c>
      <c r="G2023" t="s">
        <v>7938</v>
      </c>
      <c r="H2023" t="s">
        <v>15534</v>
      </c>
      <c r="I2023">
        <v>55599</v>
      </c>
    </row>
    <row r="2024" spans="1:9" x14ac:dyDescent="0.25">
      <c r="A2024" t="s">
        <v>14815</v>
      </c>
      <c r="B2024" t="s">
        <v>14816</v>
      </c>
      <c r="C2024" t="s">
        <v>14818</v>
      </c>
      <c r="D2024" t="s">
        <v>15958</v>
      </c>
      <c r="E2024" t="s">
        <v>14817</v>
      </c>
      <c r="F2024">
        <v>8596</v>
      </c>
      <c r="G2024" t="s">
        <v>1425</v>
      </c>
      <c r="H2024" t="s">
        <v>85</v>
      </c>
      <c r="I2024">
        <v>55497</v>
      </c>
    </row>
    <row r="2025" spans="1:9" x14ac:dyDescent="0.25">
      <c r="A2025" t="s">
        <v>14821</v>
      </c>
      <c r="B2025" t="s">
        <v>14822</v>
      </c>
      <c r="C2025" t="s">
        <v>15959</v>
      </c>
      <c r="D2025" t="s">
        <v>15960</v>
      </c>
      <c r="E2025" t="s">
        <v>13541</v>
      </c>
      <c r="F2025">
        <v>8761</v>
      </c>
      <c r="G2025" t="s">
        <v>10571</v>
      </c>
      <c r="H2025" t="s">
        <v>15591</v>
      </c>
      <c r="I2025">
        <v>17425</v>
      </c>
    </row>
    <row r="2026" spans="1:9" x14ac:dyDescent="0.25">
      <c r="A2026" t="s">
        <v>14825</v>
      </c>
      <c r="B2026" t="s">
        <v>14826</v>
      </c>
      <c r="C2026" t="s">
        <v>14827</v>
      </c>
      <c r="D2026" t="s">
        <v>15961</v>
      </c>
      <c r="E2026" t="s">
        <v>8114</v>
      </c>
      <c r="F2026">
        <v>8531</v>
      </c>
      <c r="G2026" t="s">
        <v>87</v>
      </c>
      <c r="H2026" t="s">
        <v>15222</v>
      </c>
      <c r="I2026">
        <v>55526</v>
      </c>
    </row>
    <row r="2027" spans="1:9" x14ac:dyDescent="0.25">
      <c r="A2027" t="s">
        <v>14830</v>
      </c>
      <c r="B2027" t="s">
        <v>14831</v>
      </c>
      <c r="C2027" t="s">
        <v>14833</v>
      </c>
      <c r="D2027" t="s">
        <v>15962</v>
      </c>
      <c r="E2027" t="s">
        <v>14832</v>
      </c>
      <c r="F2027">
        <v>8763</v>
      </c>
      <c r="G2027" t="s">
        <v>15606</v>
      </c>
      <c r="H2027" t="s">
        <v>15534</v>
      </c>
      <c r="I2027">
        <v>40695</v>
      </c>
    </row>
    <row r="2028" spans="1:9" x14ac:dyDescent="0.25">
      <c r="A2028" t="s">
        <v>14836</v>
      </c>
      <c r="B2028" t="s">
        <v>14013</v>
      </c>
      <c r="C2028" t="s">
        <v>14015</v>
      </c>
      <c r="D2028" t="s">
        <v>15963</v>
      </c>
      <c r="E2028" t="s">
        <v>14014</v>
      </c>
      <c r="F2028">
        <v>8601</v>
      </c>
      <c r="G2028" t="s">
        <v>10141</v>
      </c>
      <c r="H2028" t="s">
        <v>15534</v>
      </c>
      <c r="I2028">
        <v>54885</v>
      </c>
    </row>
    <row r="2029" spans="1:9" x14ac:dyDescent="0.25">
      <c r="A2029" t="s">
        <v>14839</v>
      </c>
      <c r="B2029" t="s">
        <v>14840</v>
      </c>
      <c r="C2029" t="s">
        <v>14842</v>
      </c>
      <c r="D2029" t="s">
        <v>15964</v>
      </c>
      <c r="E2029" t="s">
        <v>14841</v>
      </c>
      <c r="F2029">
        <v>8750</v>
      </c>
      <c r="G2029" t="s">
        <v>10105</v>
      </c>
      <c r="H2029" t="s">
        <v>15534</v>
      </c>
      <c r="I2029">
        <v>16786</v>
      </c>
    </row>
    <row r="2030" spans="1:9" x14ac:dyDescent="0.25">
      <c r="A2030" t="s">
        <v>14845</v>
      </c>
      <c r="B2030" t="s">
        <v>14754</v>
      </c>
      <c r="C2030" t="s">
        <v>14755</v>
      </c>
      <c r="D2030" t="s">
        <v>15965</v>
      </c>
      <c r="E2030" t="s">
        <v>14846</v>
      </c>
      <c r="F2030">
        <v>8652</v>
      </c>
      <c r="G2030" t="s">
        <v>15497</v>
      </c>
      <c r="H2030" t="s">
        <v>15222</v>
      </c>
      <c r="I2030">
        <v>52616</v>
      </c>
    </row>
    <row r="2031" spans="1:9" x14ac:dyDescent="0.25">
      <c r="A2031" t="s">
        <v>14849</v>
      </c>
      <c r="B2031" t="s">
        <v>14850</v>
      </c>
      <c r="C2031" t="s">
        <v>14852</v>
      </c>
      <c r="D2031" t="s">
        <v>15966</v>
      </c>
      <c r="E2031" t="s">
        <v>14851</v>
      </c>
      <c r="F2031">
        <v>8695</v>
      </c>
      <c r="G2031" t="s">
        <v>7263</v>
      </c>
      <c r="H2031" t="s">
        <v>2399</v>
      </c>
      <c r="I2031">
        <v>32132</v>
      </c>
    </row>
    <row r="2032" spans="1:9" x14ac:dyDescent="0.25">
      <c r="A2032" t="s">
        <v>14855</v>
      </c>
      <c r="B2032" t="s">
        <v>14857</v>
      </c>
      <c r="C2032" t="s">
        <v>14859</v>
      </c>
      <c r="D2032" t="s">
        <v>15967</v>
      </c>
      <c r="E2032" t="s">
        <v>14858</v>
      </c>
      <c r="F2032">
        <v>8638</v>
      </c>
      <c r="G2032" t="s">
        <v>15388</v>
      </c>
      <c r="H2032" t="s">
        <v>137</v>
      </c>
      <c r="I2032">
        <v>43971</v>
      </c>
    </row>
    <row r="2033" spans="1:9" x14ac:dyDescent="0.25">
      <c r="A2033" t="s">
        <v>14870</v>
      </c>
      <c r="B2033" t="s">
        <v>14871</v>
      </c>
      <c r="C2033" t="s">
        <v>14875</v>
      </c>
      <c r="D2033" t="s">
        <v>15968</v>
      </c>
      <c r="E2033" t="s">
        <v>14873</v>
      </c>
      <c r="F2033">
        <v>3361</v>
      </c>
      <c r="G2033" t="s">
        <v>14872</v>
      </c>
      <c r="H2033" t="s">
        <v>15591</v>
      </c>
      <c r="I2033">
        <v>4513</v>
      </c>
    </row>
    <row r="2034" spans="1:9" x14ac:dyDescent="0.25">
      <c r="A2034" t="s">
        <v>14878</v>
      </c>
      <c r="B2034" t="s">
        <v>14879</v>
      </c>
      <c r="C2034" t="s">
        <v>14881</v>
      </c>
      <c r="D2034" t="s">
        <v>15969</v>
      </c>
      <c r="E2034" t="s">
        <v>14880</v>
      </c>
      <c r="F2034">
        <v>8558</v>
      </c>
      <c r="G2034" t="s">
        <v>9937</v>
      </c>
      <c r="H2034" t="s">
        <v>1215</v>
      </c>
      <c r="I2034">
        <v>55557</v>
      </c>
    </row>
    <row r="2035" spans="1:9" x14ac:dyDescent="0.25">
      <c r="A2035" t="s">
        <v>14884</v>
      </c>
      <c r="B2035" t="s">
        <v>14885</v>
      </c>
      <c r="C2035" t="s">
        <v>14889</v>
      </c>
      <c r="D2035" t="s">
        <v>15970</v>
      </c>
      <c r="E2035" t="s">
        <v>14887</v>
      </c>
      <c r="F2035">
        <v>3362</v>
      </c>
      <c r="G2035" t="s">
        <v>14886</v>
      </c>
      <c r="H2035" t="s">
        <v>139</v>
      </c>
      <c r="I2035">
        <v>44677</v>
      </c>
    </row>
    <row r="2036" spans="1:9" x14ac:dyDescent="0.25">
      <c r="A2036" t="s">
        <v>14892</v>
      </c>
      <c r="B2036" t="s">
        <v>14893</v>
      </c>
      <c r="C2036" t="s">
        <v>14895</v>
      </c>
      <c r="D2036" t="s">
        <v>15971</v>
      </c>
      <c r="E2036" t="s">
        <v>14894</v>
      </c>
      <c r="F2036">
        <v>3356</v>
      </c>
      <c r="G2036" t="s">
        <v>14794</v>
      </c>
      <c r="H2036" t="s">
        <v>15591</v>
      </c>
      <c r="I2036">
        <v>55372</v>
      </c>
    </row>
    <row r="2037" spans="1:9" x14ac:dyDescent="0.25">
      <c r="A2037" t="s">
        <v>14898</v>
      </c>
      <c r="B2037" t="s">
        <v>14899</v>
      </c>
      <c r="C2037" t="s">
        <v>14901</v>
      </c>
      <c r="D2037" t="s">
        <v>15972</v>
      </c>
      <c r="E2037" t="s">
        <v>14900</v>
      </c>
      <c r="F2037">
        <v>8601</v>
      </c>
      <c r="G2037" t="s">
        <v>10141</v>
      </c>
      <c r="H2037" t="s">
        <v>15534</v>
      </c>
      <c r="I2037">
        <v>4701</v>
      </c>
    </row>
    <row r="2038" spans="1:9" x14ac:dyDescent="0.25">
      <c r="A2038" t="s">
        <v>14904</v>
      </c>
      <c r="B2038" t="s">
        <v>14905</v>
      </c>
      <c r="C2038" t="s">
        <v>14906</v>
      </c>
      <c r="D2038" t="s">
        <v>15973</v>
      </c>
      <c r="E2038" t="s">
        <v>13803</v>
      </c>
      <c r="F2038">
        <v>8558</v>
      </c>
      <c r="G2038" t="s">
        <v>2647</v>
      </c>
      <c r="H2038" t="s">
        <v>1215</v>
      </c>
      <c r="I2038">
        <v>54820</v>
      </c>
    </row>
    <row r="2039" spans="1:9" x14ac:dyDescent="0.25">
      <c r="A2039" t="s">
        <v>14909</v>
      </c>
      <c r="B2039" t="s">
        <v>11141</v>
      </c>
      <c r="C2039" t="s">
        <v>14911</v>
      </c>
      <c r="D2039" t="s">
        <v>15974</v>
      </c>
      <c r="E2039" t="s">
        <v>11143</v>
      </c>
      <c r="F2039">
        <v>8571</v>
      </c>
      <c r="G2039" t="s">
        <v>1522</v>
      </c>
      <c r="H2039" t="s">
        <v>15231</v>
      </c>
      <c r="I2039">
        <v>54617</v>
      </c>
    </row>
    <row r="2040" spans="1:9" x14ac:dyDescent="0.25">
      <c r="A2040" t="s">
        <v>14941</v>
      </c>
      <c r="B2040" t="s">
        <v>14942</v>
      </c>
      <c r="C2040" t="s">
        <v>14943</v>
      </c>
      <c r="D2040" t="s">
        <v>15975</v>
      </c>
      <c r="E2040" t="s">
        <v>9378</v>
      </c>
      <c r="F2040">
        <v>8566</v>
      </c>
      <c r="G2040" t="s">
        <v>12118</v>
      </c>
      <c r="H2040" t="s">
        <v>85</v>
      </c>
      <c r="I2040">
        <v>55736</v>
      </c>
    </row>
    <row r="2041" spans="1:9" x14ac:dyDescent="0.25">
      <c r="A2041" t="s">
        <v>14946</v>
      </c>
      <c r="B2041" t="s">
        <v>14947</v>
      </c>
      <c r="C2041" t="s">
        <v>14949</v>
      </c>
      <c r="D2041" t="s">
        <v>15976</v>
      </c>
      <c r="E2041" t="s">
        <v>14948</v>
      </c>
      <c r="F2041">
        <v>8761</v>
      </c>
      <c r="G2041" t="s">
        <v>10576</v>
      </c>
      <c r="H2041" t="s">
        <v>15591</v>
      </c>
      <c r="I2041">
        <v>17526</v>
      </c>
    </row>
    <row r="2042" spans="1:9" x14ac:dyDescent="0.25">
      <c r="A2042" t="s">
        <v>7199</v>
      </c>
      <c r="B2042" t="s">
        <v>14952</v>
      </c>
      <c r="C2042" t="s">
        <v>14954</v>
      </c>
      <c r="D2042" t="s">
        <v>15977</v>
      </c>
      <c r="E2042" t="s">
        <v>14953</v>
      </c>
      <c r="F2042">
        <v>8761</v>
      </c>
      <c r="G2042" t="s">
        <v>10576</v>
      </c>
      <c r="H2042" t="s">
        <v>15591</v>
      </c>
      <c r="I2042">
        <v>4170</v>
      </c>
    </row>
    <row r="2043" spans="1:9" x14ac:dyDescent="0.25">
      <c r="A2043" t="s">
        <v>14957</v>
      </c>
      <c r="B2043" t="s">
        <v>14958</v>
      </c>
      <c r="C2043" t="s">
        <v>14960</v>
      </c>
      <c r="D2043" t="s">
        <v>15978</v>
      </c>
      <c r="E2043" t="s">
        <v>14959</v>
      </c>
      <c r="F2043">
        <v>8643</v>
      </c>
      <c r="G2043" t="s">
        <v>13682</v>
      </c>
      <c r="H2043" t="s">
        <v>1215</v>
      </c>
      <c r="I2043">
        <v>53158</v>
      </c>
    </row>
    <row r="2044" spans="1:9" x14ac:dyDescent="0.25">
      <c r="A2044" t="s">
        <v>14963</v>
      </c>
      <c r="B2044" t="s">
        <v>14964</v>
      </c>
      <c r="C2044" t="s">
        <v>14966</v>
      </c>
      <c r="D2044" t="s">
        <v>15979</v>
      </c>
      <c r="E2044" t="s">
        <v>14965</v>
      </c>
      <c r="F2044">
        <v>8540</v>
      </c>
      <c r="G2044" t="s">
        <v>15268</v>
      </c>
      <c r="H2044" t="s">
        <v>72</v>
      </c>
      <c r="I2044">
        <v>55807</v>
      </c>
    </row>
    <row r="2045" spans="1:9" x14ac:dyDescent="0.25">
      <c r="A2045" t="s">
        <v>14969</v>
      </c>
      <c r="B2045" t="s">
        <v>14971</v>
      </c>
      <c r="C2045" t="s">
        <v>14973</v>
      </c>
      <c r="D2045" t="s">
        <v>15980</v>
      </c>
      <c r="E2045" t="s">
        <v>14972</v>
      </c>
      <c r="F2045">
        <v>8653</v>
      </c>
      <c r="G2045" t="s">
        <v>932</v>
      </c>
      <c r="H2045" t="s">
        <v>279</v>
      </c>
      <c r="I2045">
        <v>37640</v>
      </c>
    </row>
    <row r="2046" spans="1:9" x14ac:dyDescent="0.25">
      <c r="A2046" t="s">
        <v>14976</v>
      </c>
      <c r="B2046" t="s">
        <v>14977</v>
      </c>
      <c r="C2046" t="s">
        <v>14979</v>
      </c>
      <c r="D2046" t="s">
        <v>15981</v>
      </c>
      <c r="E2046" t="s">
        <v>14978</v>
      </c>
      <c r="F2046">
        <v>8519</v>
      </c>
      <c r="G2046" t="s">
        <v>1123</v>
      </c>
      <c r="H2046" t="s">
        <v>15226</v>
      </c>
    </row>
    <row r="2047" spans="1:9" x14ac:dyDescent="0.25">
      <c r="A2047" t="s">
        <v>14982</v>
      </c>
      <c r="B2047" t="s">
        <v>14983</v>
      </c>
      <c r="C2047" t="s">
        <v>14985</v>
      </c>
      <c r="D2047" t="s">
        <v>15982</v>
      </c>
      <c r="E2047" t="s">
        <v>14984</v>
      </c>
      <c r="F2047">
        <v>8540</v>
      </c>
      <c r="G2047" t="s">
        <v>15268</v>
      </c>
      <c r="H2047" t="s">
        <v>72</v>
      </c>
      <c r="I2047">
        <v>55735</v>
      </c>
    </row>
    <row r="2048" spans="1:9" x14ac:dyDescent="0.25">
      <c r="A2048" t="s">
        <v>14988</v>
      </c>
      <c r="B2048" t="s">
        <v>14989</v>
      </c>
      <c r="C2048" t="s">
        <v>14991</v>
      </c>
      <c r="D2048" t="s">
        <v>15983</v>
      </c>
      <c r="E2048" t="s">
        <v>14990</v>
      </c>
      <c r="F2048">
        <v>8761</v>
      </c>
      <c r="G2048" t="s">
        <v>10576</v>
      </c>
      <c r="H2048" t="s">
        <v>15591</v>
      </c>
      <c r="I2048">
        <v>25162</v>
      </c>
    </row>
    <row r="2049" spans="1:9" x14ac:dyDescent="0.25">
      <c r="A2049" t="s">
        <v>14999</v>
      </c>
      <c r="B2049" t="s">
        <v>15000</v>
      </c>
      <c r="C2049" t="s">
        <v>15004</v>
      </c>
      <c r="D2049" t="s">
        <v>15984</v>
      </c>
      <c r="E2049" t="s">
        <v>15002</v>
      </c>
      <c r="F2049">
        <v>3366</v>
      </c>
      <c r="G2049" t="s">
        <v>15001</v>
      </c>
      <c r="H2049" t="s">
        <v>15558</v>
      </c>
      <c r="I2049">
        <v>48140</v>
      </c>
    </row>
    <row r="2050" spans="1:9" x14ac:dyDescent="0.25">
      <c r="A2050" t="s">
        <v>15007</v>
      </c>
      <c r="B2050" t="s">
        <v>15008</v>
      </c>
      <c r="C2050" t="s">
        <v>15010</v>
      </c>
      <c r="D2050" t="s">
        <v>15985</v>
      </c>
      <c r="E2050" t="s">
        <v>15009</v>
      </c>
      <c r="F2050">
        <v>8601</v>
      </c>
      <c r="G2050" t="s">
        <v>10141</v>
      </c>
      <c r="H2050" t="s">
        <v>15534</v>
      </c>
      <c r="I2050">
        <v>19302</v>
      </c>
    </row>
    <row r="2051" spans="1:9" x14ac:dyDescent="0.25">
      <c r="A2051" t="s">
        <v>15023</v>
      </c>
      <c r="B2051" t="s">
        <v>15024</v>
      </c>
      <c r="C2051" t="s">
        <v>15026</v>
      </c>
      <c r="D2051" t="s">
        <v>15986</v>
      </c>
      <c r="E2051" t="s">
        <v>15025</v>
      </c>
      <c r="F2051">
        <v>8761</v>
      </c>
      <c r="G2051" t="s">
        <v>10576</v>
      </c>
      <c r="H2051" t="s">
        <v>15591</v>
      </c>
      <c r="I2051">
        <v>47796</v>
      </c>
    </row>
    <row r="2052" spans="1:9" x14ac:dyDescent="0.25">
      <c r="A2052" t="s">
        <v>15029</v>
      </c>
      <c r="B2052" t="s">
        <v>15030</v>
      </c>
      <c r="C2052" t="s">
        <v>15031</v>
      </c>
      <c r="D2052" t="s">
        <v>15987</v>
      </c>
      <c r="E2052" t="s">
        <v>15025</v>
      </c>
      <c r="F2052">
        <v>8761</v>
      </c>
      <c r="G2052" t="s">
        <v>10576</v>
      </c>
      <c r="H2052" t="s">
        <v>15591</v>
      </c>
      <c r="I2052">
        <v>45310</v>
      </c>
    </row>
    <row r="2053" spans="1:9" x14ac:dyDescent="0.25">
      <c r="A2053" t="s">
        <v>15034</v>
      </c>
      <c r="B2053" t="s">
        <v>15035</v>
      </c>
      <c r="C2053" t="s">
        <v>15036</v>
      </c>
      <c r="D2053" t="s">
        <v>15988</v>
      </c>
      <c r="E2053" t="s">
        <v>15025</v>
      </c>
      <c r="F2053">
        <v>8761</v>
      </c>
      <c r="G2053" t="s">
        <v>10576</v>
      </c>
      <c r="H2053" t="s">
        <v>15591</v>
      </c>
      <c r="I2053">
        <v>54263</v>
      </c>
    </row>
    <row r="2054" spans="1:9" x14ac:dyDescent="0.25">
      <c r="A2054" t="s">
        <v>15039</v>
      </c>
      <c r="B2054" t="s">
        <v>15040</v>
      </c>
      <c r="C2054" t="s">
        <v>15042</v>
      </c>
      <c r="D2054" t="s">
        <v>15989</v>
      </c>
      <c r="E2054" t="s">
        <v>15041</v>
      </c>
      <c r="F2054">
        <v>3303</v>
      </c>
      <c r="G2054" t="s">
        <v>7535</v>
      </c>
      <c r="H2054" t="s">
        <v>2399</v>
      </c>
      <c r="I2054">
        <v>55615</v>
      </c>
    </row>
    <row r="2055" spans="1:9" x14ac:dyDescent="0.25">
      <c r="A2055" t="s">
        <v>15067</v>
      </c>
      <c r="B2055" t="s">
        <v>15068</v>
      </c>
      <c r="C2055" t="s">
        <v>15069</v>
      </c>
      <c r="D2055" t="s">
        <v>15069</v>
      </c>
      <c r="F2055">
        <v>8531</v>
      </c>
      <c r="G2055" t="s">
        <v>90</v>
      </c>
      <c r="H2055" t="s">
        <v>15222</v>
      </c>
    </row>
    <row r="2056" spans="1:9" x14ac:dyDescent="0.25">
      <c r="A2056" t="s">
        <v>15077</v>
      </c>
      <c r="B2056" t="s">
        <v>15078</v>
      </c>
      <c r="C2056" t="s">
        <v>15080</v>
      </c>
      <c r="D2056" t="s">
        <v>15990</v>
      </c>
      <c r="E2056" t="s">
        <v>15079</v>
      </c>
      <c r="F2056">
        <v>5201</v>
      </c>
      <c r="G2056" t="s">
        <v>79</v>
      </c>
      <c r="H2056" t="s">
        <v>79</v>
      </c>
      <c r="I2056">
        <v>55870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Worksheet</vt:lpstr>
      <vt:lpstr>Mestro clientes</vt:lpstr>
      <vt:lpstr>CLIENTES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ProteoERP</dc:subject>
  <dc:creator>CARLOS MARFFISIS</dc:creator>
  <cp:keywords>ProteoERP</cp:keywords>
  <dc:description>Generado desde ProteoERP.</dc:description>
  <cp:lastModifiedBy>Carlos Marffisis</cp:lastModifiedBy>
  <dcterms:created xsi:type="dcterms:W3CDTF">2025-12-03T20:47:38Z</dcterms:created>
  <dcterms:modified xsi:type="dcterms:W3CDTF">2025-12-04T22:26:15Z</dcterms:modified>
  <cp:category>ProteoERP</cp:category>
</cp:coreProperties>
</file>